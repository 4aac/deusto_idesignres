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54" i="3"/>
  <c r="X54" i="3"/>
  <c r="Y53" i="3"/>
  <c r="X4" i="12"/>
  <c r="X41" i="12"/>
  <c r="Y45" i="3"/>
  <c r="X45" i="3"/>
  <c r="X48" i="13"/>
  <c r="X83" i="3"/>
  <c r="Y76" i="3"/>
  <c r="Y24" i="13"/>
  <c r="X5" i="13"/>
  <c r="Y23" i="13"/>
  <c r="Y7" i="15"/>
  <c r="X28" i="3"/>
  <c r="Y27" i="3"/>
  <c r="X27" i="3"/>
  <c r="Y15" i="17"/>
  <c r="X88" i="3"/>
  <c r="Y14" i="17"/>
  <c r="X31" i="3"/>
  <c r="Y3" i="18"/>
  <c r="Y17" i="18" s="1"/>
  <c r="X10" i="19"/>
  <c r="Y4" i="19"/>
  <c r="Y90" i="3"/>
  <c r="X90" i="3"/>
  <c r="Y85" i="3"/>
  <c r="X85" i="3"/>
  <c r="X76" i="3"/>
  <c r="Y44" i="3"/>
  <c r="X44" i="3"/>
  <c r="Y42" i="3"/>
  <c r="Y31" i="3"/>
  <c r="Y30" i="3"/>
  <c r="Y25" i="3"/>
  <c r="Y10" i="3"/>
  <c r="Y41" i="12" l="1"/>
  <c r="X25" i="9"/>
  <c r="Y69" i="11"/>
  <c r="Y55" i="3"/>
  <c r="Y207" i="3" s="1"/>
  <c r="X90" i="8"/>
  <c r="X14" i="17"/>
  <c r="X46" i="3"/>
  <c r="X43" i="3" s="1"/>
  <c r="X75" i="3"/>
  <c r="X227" i="3" s="1"/>
  <c r="X29" i="9"/>
  <c r="Y57" i="8"/>
  <c r="Y79" i="8" s="1"/>
  <c r="Y75" i="3"/>
  <c r="Y29" i="9"/>
  <c r="X91" i="8"/>
  <c r="X55" i="3"/>
  <c r="X207" i="3" s="1"/>
  <c r="Y91" i="8"/>
  <c r="X31" i="9"/>
  <c r="X53" i="3"/>
  <c r="Y15" i="14"/>
  <c r="Y21" i="14" s="1"/>
  <c r="Y53" i="9"/>
  <c r="X84" i="3"/>
  <c r="X82" i="3" s="1"/>
  <c r="Y44" i="11"/>
  <c r="Y43" i="9"/>
  <c r="Y44" i="12"/>
  <c r="X19" i="12"/>
  <c r="X69" i="12" s="1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X23" i="3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25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X29" i="19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10" i="17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122" i="11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22" i="10" l="1"/>
  <c r="Y52" i="3"/>
  <c r="X52" i="3"/>
  <c r="Y22" i="18"/>
  <c r="X23" i="15"/>
  <c r="Y3" i="19"/>
  <c r="Y28" i="19" s="1"/>
  <c r="X4" i="8"/>
  <c r="X108" i="8" s="1"/>
  <c r="Y11" i="20"/>
  <c r="X192" i="3"/>
  <c r="Y20" i="16"/>
  <c r="Y3" i="16"/>
  <c r="Y29" i="16" s="1"/>
  <c r="X96" i="8"/>
  <c r="Y13" i="18"/>
  <c r="X11" i="17"/>
  <c r="X86" i="3"/>
  <c r="X238" i="3" s="1"/>
  <c r="Y13" i="15"/>
  <c r="X89" i="3"/>
  <c r="X181" i="3" s="1"/>
  <c r="Y57" i="3"/>
  <c r="Y209" i="3" s="1"/>
  <c r="Y18" i="15"/>
  <c r="Y17" i="15"/>
  <c r="X3" i="16"/>
  <c r="X28" i="16" s="1"/>
  <c r="X61" i="8"/>
  <c r="X198" i="3"/>
  <c r="Y20" i="14"/>
  <c r="X236" i="3"/>
  <c r="X80" i="11"/>
  <c r="X41" i="3"/>
  <c r="X193" i="3" s="1"/>
  <c r="X36" i="8"/>
  <c r="X11" i="9"/>
  <c r="X46" i="9" s="1"/>
  <c r="Y73" i="3"/>
  <c r="X23" i="20"/>
  <c r="X22" i="15"/>
  <c r="Y227" i="3"/>
  <c r="Y3" i="12"/>
  <c r="Y54" i="12" s="1"/>
  <c r="X205" i="3"/>
  <c r="X25" i="14"/>
  <c r="Y96" i="11"/>
  <c r="Y197" i="3"/>
  <c r="Y25" i="14"/>
  <c r="Y27" i="14"/>
  <c r="X116" i="11"/>
  <c r="X43" i="11"/>
  <c r="X41" i="9"/>
  <c r="Y36" i="8"/>
  <c r="X22" i="3"/>
  <c r="X204" i="3" s="1"/>
  <c r="X118" i="11"/>
  <c r="X21" i="20"/>
  <c r="Y22" i="13"/>
  <c r="X9" i="20"/>
  <c r="X235" i="3"/>
  <c r="X112" i="8"/>
  <c r="X233" i="3"/>
  <c r="X22" i="17"/>
  <c r="X13" i="20"/>
  <c r="X24" i="19"/>
  <c r="X44" i="10"/>
  <c r="Y13" i="3"/>
  <c r="Y43" i="11"/>
  <c r="X100" i="8"/>
  <c r="Y198" i="3"/>
  <c r="X111" i="8"/>
  <c r="X76" i="11"/>
  <c r="X10" i="20"/>
  <c r="X60" i="3"/>
  <c r="X212" i="3" s="1"/>
  <c r="X20" i="19"/>
  <c r="X113" i="8"/>
  <c r="Y21" i="18"/>
  <c r="X13" i="11"/>
  <c r="X117" i="11"/>
  <c r="X224" i="3"/>
  <c r="Y111" i="11"/>
  <c r="Y42" i="13"/>
  <c r="Y12" i="14"/>
  <c r="Y24" i="14" s="1"/>
  <c r="X13" i="3"/>
  <c r="X195" i="3" s="1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7" i="16"/>
  <c r="Y23" i="16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Y204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9" i="12"/>
  <c r="X23" i="18"/>
  <c r="X28" i="19"/>
  <c r="Y19" i="16" l="1"/>
  <c r="X39" i="3"/>
  <c r="Y28" i="16"/>
  <c r="Y17" i="12"/>
  <c r="Y67" i="12" s="1"/>
  <c r="Y9" i="17"/>
  <c r="X110" i="8"/>
  <c r="X105" i="8"/>
  <c r="Y9" i="20"/>
  <c r="Y23" i="19"/>
  <c r="Y27" i="19"/>
  <c r="X107" i="8"/>
  <c r="Y52" i="12"/>
  <c r="Y56" i="3"/>
  <c r="Y208" i="3" s="1"/>
  <c r="Y19" i="19"/>
  <c r="X106" i="8"/>
  <c r="X38" i="10"/>
  <c r="X94" i="8"/>
  <c r="X109" i="8"/>
  <c r="Y55" i="12"/>
  <c r="Y51" i="12"/>
  <c r="X29" i="16"/>
  <c r="Y47" i="12"/>
  <c r="Y48" i="12"/>
  <c r="X10" i="9"/>
  <c r="X57" i="9" s="1"/>
  <c r="X27" i="16"/>
  <c r="Y50" i="12"/>
  <c r="Y18" i="14"/>
  <c r="Y195" i="3"/>
  <c r="X35" i="9"/>
  <c r="X234" i="3"/>
  <c r="X95" i="11"/>
  <c r="X19" i="16"/>
  <c r="X182" i="3"/>
  <c r="X23" i="16"/>
  <c r="X9" i="17"/>
  <c r="X183" i="3"/>
  <c r="X209" i="3"/>
  <c r="X24" i="9"/>
  <c r="Y225" i="3"/>
  <c r="X225" i="3"/>
  <c r="X62" i="10"/>
  <c r="X59" i="3"/>
  <c r="X153" i="3" s="1"/>
  <c r="Y95" i="11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58" i="9" l="1"/>
  <c r="X45" i="9"/>
  <c r="X59" i="9"/>
  <c r="X63" i="9"/>
  <c r="X65" i="9"/>
  <c r="X61" i="9"/>
  <c r="X152" i="3"/>
  <c r="X62" i="9"/>
  <c r="X60" i="9"/>
  <c r="X56" i="9"/>
  <c r="X64" i="9"/>
  <c r="X151" i="3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Q25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M22" i="20" l="1"/>
  <c r="Q21" i="19"/>
  <c r="R25" i="19"/>
  <c r="E13" i="18"/>
  <c r="I21" i="18"/>
  <c r="W23" i="20"/>
  <c r="L10" i="20"/>
  <c r="I22" i="18"/>
  <c r="J11" i="20"/>
  <c r="M23" i="20"/>
  <c r="P10" i="20"/>
  <c r="W24" i="19"/>
  <c r="R21" i="19"/>
  <c r="N13" i="20"/>
  <c r="U19" i="18"/>
  <c r="G18" i="18"/>
  <c r="F22" i="20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N27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N19" i="19"/>
  <c r="U121" i="3"/>
  <c r="U122" i="3"/>
  <c r="F183" i="3"/>
  <c r="E23" i="19"/>
  <c r="E27" i="19"/>
  <c r="F182" i="3"/>
  <c r="M28" i="19"/>
  <c r="N9" i="20"/>
  <c r="M9" i="20"/>
  <c r="M29" i="19"/>
  <c r="N29" i="19"/>
  <c r="W9" i="20"/>
  <c r="Q23" i="19"/>
  <c r="M27" i="19"/>
  <c r="W29" i="19"/>
  <c r="M19" i="19"/>
  <c r="H27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20" i="1"/>
  <c r="B11" i="1"/>
  <c r="B16" i="1"/>
  <c r="B13" i="1"/>
  <c r="B6" i="1"/>
  <c r="B17" i="1"/>
  <c r="B4" i="1"/>
  <c r="B18" i="1"/>
  <c r="B9" i="1"/>
  <c r="B8" i="1"/>
  <c r="B15" i="1"/>
  <c r="B21" i="1"/>
  <c r="B22" i="1"/>
  <c r="B12" i="1"/>
  <c r="B7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221" i="3" l="1"/>
  <c r="K221" i="3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X4" i="6" s="1"/>
  <c r="Y10" i="6"/>
  <c r="Y4" i="6" s="1"/>
  <c r="X49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H270" i="4" l="1"/>
  <c r="G215" i="4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B211" i="4" s="1"/>
  <c r="F170" i="4"/>
  <c r="F31" i="4"/>
  <c r="F253" i="4" s="1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H226" i="4" s="1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231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26" i="4" l="1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<sst xmlns="http://schemas.openxmlformats.org/spreadsheetml/2006/main" count="2657" uniqueCount="1169">
  <si>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</si>
  <si>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</si>
  <si>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</si>
  <si>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</si>
  <si>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</si>
  <si>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</si>
  <si>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</si>
  <si>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</si>
  <si>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</si>
  <si>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</si>
  <si>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</si>
  <si>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</si>
  <si>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</si>
  <si>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</si>
  <si>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</si>
  <si>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</si>
  <si>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</si>
  <si>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</si>
  <si>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</si>
  <si>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</si>
  <si>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</si>
  <si>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</si>
  <si>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</si>
  <si>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</si>
  <si>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</si>
  <si>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</si>
  <si>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</si>
  <si>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</si>
  <si>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</si>
  <si>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</si>
  <si>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</si>
  <si>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</si>
  <si>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</si>
  <si>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</si>
  <si>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</si>
  <si>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</si>
  <si>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</si>
  <si>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</si>
  <si>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</si>
  <si>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</si>
  <si>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</si>
  <si>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</si>
  <si>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</si>
  <si>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</si>
  <si>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</si>
  <si>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</si>
  <si>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</si>
  <si>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</si>
  <si>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</si>
  <si>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</si>
  <si>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</si>
  <si>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</si>
  <si>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</si>
  <si>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</si>
  <si>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</si>
  <si>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</si>
  <si>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</si>
  <si>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</si>
  <si>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</si>
  <si>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</si>
  <si>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</si>
  <si>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</si>
  <si>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</si>
  <si>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</si>
  <si>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</si>
  <si>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</si>
  <si>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</si>
  <si>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</si>
  <si>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</si>
  <si>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</si>
  <si>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</si>
  <si>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</si>
  <si>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</si>
  <si>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</si>
  <si>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</si>
  <si>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</si>
  <si>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</si>
  <si>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</si>
  <si>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</si>
  <si>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</si>
  <si>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</si>
  <si>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</si>
  <si>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</si>
  <si>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</si>
  <si>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</si>
  <si>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</si>
  <si>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</si>
  <si>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</si>
  <si>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</si>
  <si>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</si>
  <si>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</si>
  <si>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</si>
  <si>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</si>
  <si>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</si>
  <si>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</si>
  <si>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</si>
  <si>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</si>
  <si>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</si>
  <si>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</si>
  <si>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</si>
  <si>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</si>
  <si>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</si>
  <si>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</si>
  <si>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</si>
  <si>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</si>
  <si>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</si>
  <si>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</si>
  <si>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</si>
  <si>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</si>
  <si>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</si>
  <si>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</si>
  <si>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</si>
  <si>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</si>
  <si>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</si>
  <si>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</si>
  <si>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</si>
  <si>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</si>
  <si>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</si>
  <si>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</si>
  <si>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</si>
  <si>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</si>
  <si>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</si>
  <si>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</si>
  <si>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</si>
  <si>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</si>
  <si>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</si>
  <si>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</si>
  <si>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</si>
  <si>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</si>
  <si>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</si>
  <si>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</si>
  <si>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</si>
  <si>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</si>
  <si>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</si>
  <si>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</si>
  <si>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</si>
  <si>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</si>
  <si>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</si>
  <si>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</si>
  <si>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</si>
  <si>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</si>
  <si>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</si>
  <si>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</si>
  <si>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</si>
  <si>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</si>
  <si>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</si>
  <si>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</si>
  <si>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</si>
  <si>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</si>
  <si>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</si>
  <si>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</si>
  <si>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</si>
  <si>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</si>
  <si>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</si>
  <si>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</si>
  <si>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</si>
  <si>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</si>
  <si>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</si>
  <si>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</si>
  <si>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</si>
  <si>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</si>
  <si>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</si>
  <si>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</si>
  <si>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</si>
  <si>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</si>
  <si>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</si>
  <si>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</si>
  <si>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</si>
  <si>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</si>
  <si>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</si>
  <si>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</si>
  <si>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</si>
  <si>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</si>
  <si>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</si>
  <si>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</si>
  <si>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</si>
  <si>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</si>
  <si>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</si>
  <si>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</si>
  <si>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</si>
  <si>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</si>
  <si>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</si>
  <si>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</si>
  <si>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</si>
  <si>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</si>
  <si>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</si>
  <si>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</si>
  <si>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BE</t>
  </si>
  <si>
    <t>Belgium</t>
  </si>
  <si>
    <t>Aviation - BE - Belgium</t>
  </si>
  <si>
    <t>Activity.Mpkm.BE.Tr.Avia.Passenger</t>
  </si>
  <si>
    <t>Activity.Mpkm.BE.Tr.Avia.Passenger.Domestic</t>
  </si>
  <si>
    <t>Activity.Mpkm.BE.Tr.Avia.Passenger.IntraEEAwCHUK</t>
  </si>
  <si>
    <t>Activity.Mpkm.BE.Tr.Avia.Passenger.ExtraEEAwCHUK</t>
  </si>
  <si>
    <t>Activity.Mtkm.BE.Tr.Avia.Freight</t>
  </si>
  <si>
    <t>Activity.Mtkm.BE.Tr.Avia.Freight.Domestic</t>
  </si>
  <si>
    <t>Activity.Mtkm.BE.Tr.Avia.Freight.IntraEEAwCHUK</t>
  </si>
  <si>
    <t>Activity.Mtkm.BE.Tr.Avia.Freight.ExtraEEAwCHUK</t>
  </si>
  <si>
    <t>VehicleKm.Mkm.BE.Tr.Avia</t>
  </si>
  <si>
    <t>VehicleKm.Mkm.BE.Tr.Avia.Passenger</t>
  </si>
  <si>
    <t>VehicleKm.Mkm.BE.Tr.Avia.Passenger.Domestic</t>
  </si>
  <si>
    <t>VehicleKm.Mkm.BE.Tr.Avia.Passenger.IntraEEAwCHUK</t>
  </si>
  <si>
    <t>VehicleKm.Mkm.BE.Tr.Avia.Passenger.ExtraEEAwCHUK</t>
  </si>
  <si>
    <t>VehicleKm.Mkm.BE.Tr.Avia.Freight</t>
  </si>
  <si>
    <t>VehicleKm.Mkm.BE.Tr.Avia.Freight.Domestic</t>
  </si>
  <si>
    <t>VehicleKm.Mkm.BE.Tr.Avia.Freight.IntraEEAwCHUK</t>
  </si>
  <si>
    <t>VehicleKm.Mkm.BE.Tr.Avia.Freight.ExtraEEAwCHUK</t>
  </si>
  <si>
    <t>Flights.number.BE.Tr.Avia</t>
  </si>
  <si>
    <t>Flights.number.BE.Tr.Avia.Passenger</t>
  </si>
  <si>
    <t>Flights.number.BE.Tr.Avia.Passenger.Domestic</t>
  </si>
  <si>
    <t>Flights.number.BE.Tr.Avia.Passenger.IntraEEAwCHUK</t>
  </si>
  <si>
    <t>Flights.number.BE.Tr.Avia.Passenger.ExtraEEAwCHUK</t>
  </si>
  <si>
    <t>Flights.number.BE.Tr.Avia.Freight</t>
  </si>
  <si>
    <t>Flights.number.BE.Tr.Avia.Freight.Domestic</t>
  </si>
  <si>
    <t>Flights.number.BE.Tr.Avia.Freight.IntraEEAwCHUK</t>
  </si>
  <si>
    <t>Flights.number.BE.Tr.Avia.Freight.ExtraEEAwCHUK</t>
  </si>
  <si>
    <t>VolCarried.passenger.BE.Tr.Avia.Passenger</t>
  </si>
  <si>
    <t>VolCarried.passenger.BE.Tr.Avia.Passenger.Domestic</t>
  </si>
  <si>
    <t>VolCarried.passenger.BE.Tr.Avia.Passenger.IntraEEAwCHUK</t>
  </si>
  <si>
    <t>VolCarried.passenger.BE.Tr.Avia.Passenger.ExtraEEAwCHUK</t>
  </si>
  <si>
    <t>VolCarried.t.BE.Tr.Avia.Freight</t>
  </si>
  <si>
    <t>VolCarried.t.BE.Tr.Avia.Freight.Domestic</t>
  </si>
  <si>
    <t>VolCarried.t.BE.Tr.Avia.Freight.IntraEEAwCHUK</t>
  </si>
  <si>
    <t>VolCarried.t.BE.Tr.Avia.Freight.ExtraEEAwCHUK</t>
  </si>
  <si>
    <t>Stock.number.BE.Tr.Avia</t>
  </si>
  <si>
    <t>Stock.number.BE.Tr.Avia.Passenger</t>
  </si>
  <si>
    <t>Stock.number.BE.Tr.Avia.Passenger.Domestic</t>
  </si>
  <si>
    <t>Stock.number.BE.Tr.Avia.Passenger.IntraEEAwCHUK</t>
  </si>
  <si>
    <t>Stock.number.BE.Tr.Avia.Passenger.ExtraEEAwCHUK</t>
  </si>
  <si>
    <t>Stock.number.BE.Tr.Avia.Freight</t>
  </si>
  <si>
    <t>Stock.number.BE.Tr.Avia.Freight.Domestic</t>
  </si>
  <si>
    <t>Stock.number.BE.Tr.Avia.Freight.IntraEEAwCHUK</t>
  </si>
  <si>
    <t>Stock.number.BE.Tr.Avia.Freight.ExtraEEAwCHUK</t>
  </si>
  <si>
    <t>StockNew.number.BE.Tr.Avia</t>
  </si>
  <si>
    <t>StockNew.number.BE.Tr.Avia.Passenger</t>
  </si>
  <si>
    <t>StockNew.number.BE.Tr.Avia.Passenger.Domestic</t>
  </si>
  <si>
    <t>StockNew.number.BE.Tr.Avia.Passenger.IntraEEAwCHUK</t>
  </si>
  <si>
    <t>StockNew.number.BE.Tr.Avia.Passenger.ExtraEEAwCHUK</t>
  </si>
  <si>
    <t>StockNew.number.BE.Tr.Avia.Freight</t>
  </si>
  <si>
    <t>StockNew.number.BE.Tr.Avia.Freight.Domestic</t>
  </si>
  <si>
    <t>StockNew.number.BE.Tr.Avia.Freight.IntraEEAwCHUK</t>
  </si>
  <si>
    <t>StockNew.number.BE.Tr.Avia.Freight.ExtraEEAwCHUK</t>
  </si>
  <si>
    <t>Load.passenger_per_movement.BE.Tr.Avia.Passenger</t>
  </si>
  <si>
    <t>Load.passenger_per_movement.BE.Tr.Avia.Passenger.Domestic</t>
  </si>
  <si>
    <t>Load.passenger_per_movement.BE.Tr.Avia.Passenger.IntraEEAwCHUK</t>
  </si>
  <si>
    <t>Load.passenger_per_movement.BE.Tr.Avia.Passenger.ExtraEEAwCHUK</t>
  </si>
  <si>
    <t>Load.t_per_movement.BE.Tr.Avia.Freight</t>
  </si>
  <si>
    <t>Load.t_per_movement.BE.Tr.Avia.Freight.Domestic</t>
  </si>
  <si>
    <t>Load.t_per_movement.BE.Tr.Avia.Freight.IntraEEAwCHUK</t>
  </si>
  <si>
    <t>Load.t_per_movement.BE.Tr.Avia.Freight.ExtraEEAwCHUK</t>
  </si>
  <si>
    <t>VehicleKm_per_flight.km.BE.Tr.Avia</t>
  </si>
  <si>
    <t>VehicleKm_per_flight.km.BE.Tr.Avia.Passenger</t>
  </si>
  <si>
    <t>VehicleKm_per_flight.km.BE.Tr.Avia.Passenger.Domestic</t>
  </si>
  <si>
    <t>VehicleKm_per_flight.km.BE.Tr.Avia.Passenger.IntraEEAwCHUK</t>
  </si>
  <si>
    <t>VehicleKm_per_flight.km.BE.Tr.Avia.Passenger.ExtraEEAwCHUK</t>
  </si>
  <si>
    <t>VehicleKm_per_flight.km.BE.Tr.Avia.Freight</t>
  </si>
  <si>
    <t>VehicleKm_per_flight.km.BE.Tr.Avia.Freight.Domestic</t>
  </si>
  <si>
    <t>VehicleKm_per_flight.km.BE.Tr.Avia.Freight.IntraEEAwCHUK</t>
  </si>
  <si>
    <t>VehicleKm_per_flight.km.BE.Tr.Avia.Freight.ExtraEEAwCHUK</t>
  </si>
  <si>
    <t>Activity_per_flight.pkm.BE.Tr.Avia.Passenger</t>
  </si>
  <si>
    <t>Activity_per_flight.pkm.BE.Tr.Avia.Passenger.Domestic</t>
  </si>
  <si>
    <t>Activity_per_flight.pkm.BE.Tr.Avia.Passenger.IntraEEAwCHUK</t>
  </si>
  <si>
    <t>Activity_per_flight.pkm.BE.Tr.Avia.Passenger.ExtraEEAwCHUK</t>
  </si>
  <si>
    <t>Activity_per_flight.tkm.BE.Tr.Avia.Freight</t>
  </si>
  <si>
    <t>Activity_per_flight.tkm.BE.Tr.Avia.Freight.Domestic</t>
  </si>
  <si>
    <t>Activity_per_flight.tkm.BE.Tr.Avia.Freight.IntraEEAwCHUK</t>
  </si>
  <si>
    <t>Activity_per_flight.tkm.BE.Tr.Avia.Freight.ExtraEEAwCHUK</t>
  </si>
  <si>
    <t>Flights_per_vehicle.number.BE.Tr.Avia</t>
  </si>
  <si>
    <t>Flights_per_vehicle.number.BE.Tr.Avia.Passenger</t>
  </si>
  <si>
    <t>Flights_per_vehicle.number.BE.Tr.Avia.Passenger.Domestic</t>
  </si>
  <si>
    <t>Flights_per_vehicle.number.BE.Tr.Avia.Passenger.IntraEEAwCHUK</t>
  </si>
  <si>
    <t>Flights_per_vehicle.number.BE.Tr.Avia.Passenger.ExtraEEAwCHUK</t>
  </si>
  <si>
    <t>Flights_per_vehicle.number.BE.Tr.Avia.Freight</t>
  </si>
  <si>
    <t>Flights_per_vehicle.number.BE.Tr.Avia.Freight.Domestic</t>
  </si>
  <si>
    <t>Flights_per_vehicle.number.BE.Tr.Avia.Freight.IntraEEAwCHUK</t>
  </si>
  <si>
    <t>Flights_per_vehicle.number.BE.Tr.Avia.Freight.ExtraEEAwCHUK</t>
  </si>
  <si>
    <t>Aviation / energy consumption - BE - Belgium</t>
  </si>
  <si>
    <t>FEC.ktoe.BE.Tr.Avia</t>
  </si>
  <si>
    <t>FEC.ktoe.BE.Tr.Avia.Domestic</t>
  </si>
  <si>
    <t>FEC.ktoe.BE.Tr.Avia.International</t>
  </si>
  <si>
    <t>FEC.ktoe.BE.Tr.Avia.Passenger</t>
  </si>
  <si>
    <t>FEC.ktoe.BE.Tr.Avia.Passenger.Domestic</t>
  </si>
  <si>
    <t>FEC.ktoe.BE.Tr.Avia.Passenger.IntraEEAwCHUK</t>
  </si>
  <si>
    <t>FEC.ktoe.BE.Tr.Avia.Passenger.ExtraEEAwCHUK</t>
  </si>
  <si>
    <t>FEC.ktoe.BE.Tr.Avia.Freight</t>
  </si>
  <si>
    <t>FEC.ktoe.BE.Tr.Avia.Freight.Domestic</t>
  </si>
  <si>
    <t>FEC.ktoe.BE.Tr.Avia.Freight.IntraEEAwCHUK</t>
  </si>
  <si>
    <t>FEC.ktoe.BE.Tr.Avia.Freight.ExtraEEAwCHUK</t>
  </si>
  <si>
    <t>Eff.kgoe_per_100km.BE.Tr.Avia</t>
  </si>
  <si>
    <t>Eff.kgoe_per_100km.BE.Tr.Avia.Passenger</t>
  </si>
  <si>
    <t>Eff.kgoe_per_100km.BE.Tr.Avia.Passenger.Domestic</t>
  </si>
  <si>
    <t>Eff.kgoe_per_100km.BE.Tr.Avia.Passenger.IntraEEAwCHUK</t>
  </si>
  <si>
    <t>Eff.kgoe_per_100km.BE.Tr.Avia.Passenger.ExtraEEAwCHUK</t>
  </si>
  <si>
    <t>Eff.kgoe_per_100km.BE.Tr.Avia.Freight</t>
  </si>
  <si>
    <t>Eff.kgoe_per_100km.BE.Tr.Avia.Freight.Domestic</t>
  </si>
  <si>
    <t>Eff.kgoe_per_100km.BE.Tr.Avia.Freight.IntraEEAwCHUK</t>
  </si>
  <si>
    <t>Eff.kgoe_per_100km.BE.Tr.Avia.Freight.ExtraEEAwCHUK</t>
  </si>
  <si>
    <t>Eff.kgoe_per_kpkm.BE.Tr.Avia.Passenger</t>
  </si>
  <si>
    <t>Eff.kgoe_per_kpkm.BE.Tr.Avia.Passenger.Domestic</t>
  </si>
  <si>
    <t>Eff.kgoe_per_kpkm.BE.Tr.Avia.Passenger.IntraEEAwCHUK</t>
  </si>
  <si>
    <t>Eff.kgoe_per_kpkm.BE.Tr.Avia.Passenger.ExtraEEAwCHUK</t>
  </si>
  <si>
    <t>Eff.kgoe_per_ktkm.BE.Tr.Avia.Freight</t>
  </si>
  <si>
    <t>Eff.kgoe_per_ktkm.BE.Tr.Avia.Freight.Domestic</t>
  </si>
  <si>
    <t>Eff.kgoe_per_ktkm.BE.Tr.Avia.Freight.IntraEEAwCHUK</t>
  </si>
  <si>
    <t>Eff.kgoe_per_ktkm.BE.Tr.Avia.Freight.ExtraEEAwCHUK</t>
  </si>
  <si>
    <t>FEC_per_flight.kgoe.BE.Tr.Avia</t>
  </si>
  <si>
    <t>FEC_per_flight.kgoe.BE.Tr.Avia.Passenger</t>
  </si>
  <si>
    <t>FEC_per_flight.kgoe.BE.Tr.Avia.Passenger.Domestic</t>
  </si>
  <si>
    <t>FEC_per_flight.kgoe.BE.Tr.Avia.Passenger.IntraEEAwCHUK</t>
  </si>
  <si>
    <t>FEC_per_flight.kgoe.BE.Tr.Avia.Passenger.ExtraEEAwCHUK</t>
  </si>
  <si>
    <t>FEC_per_flight.kgoe.BE.Tr.Avia.Freight</t>
  </si>
  <si>
    <t>FEC_per_flight.kgoe.BE.Tr.Avia.Freight.Domestic</t>
  </si>
  <si>
    <t>FEC_per_flight.kgoe.BE.Tr.Avia.Freight.IntraEEAwCHUK</t>
  </si>
  <si>
    <t>FEC_per_flight.kgoe.BE.Tr.Avia.Freight.ExtraEEAwCHUK</t>
  </si>
  <si>
    <t>Eff_theor.kgoe_per_100km.BE.Tr.Avia</t>
  </si>
  <si>
    <t>Eff_theor.kgoe_per_100km.BE.Tr.Avia.Passenger</t>
  </si>
  <si>
    <t>Eff_theor.kgoe_per_100km.BE.Tr.Avia.Passenger.Domestic</t>
  </si>
  <si>
    <t>Eff_theor.kgoe_per_100km.BE.Tr.Avia.Passenger.IntraEEAwCHUK</t>
  </si>
  <si>
    <t>Eff_theor.kgoe_per_100km.BE.Tr.Avia.Passenger.ExtraEEAwCHUK</t>
  </si>
  <si>
    <t>Eff_theor.kgoe_per_100km.BE.Tr.Avia.Freight</t>
  </si>
  <si>
    <t>Eff_theor.kgoe_per_100km.BE.Tr.Avia.Freight.Domestic</t>
  </si>
  <si>
    <t>Eff_theor.kgoe_per_100km.BE.Tr.Avia.Freight.IntraEEAwCHUK</t>
  </si>
  <si>
    <t>Eff_theor.kgoe_per_100km.BE.Tr.Avia.Freight.ExtraEEAwCHUK</t>
  </si>
  <si>
    <t>Aviation / CO2 emissions - BE - Belgium</t>
  </si>
  <si>
    <t>EMI.ktCO2.BE.Tr.Avia</t>
  </si>
  <si>
    <t>EMI.ktCO2.BE.Tr.Avia.Domestic</t>
  </si>
  <si>
    <t>EMI.ktCO2.BE.Tr.Avia.International</t>
  </si>
  <si>
    <t>EMI.ktCO2.BE.Tr.Avia.Passenger</t>
  </si>
  <si>
    <t>EMI.ktCO2.BE.Tr.Avia.Passenger.Domestic</t>
  </si>
  <si>
    <t>EMI.ktCO2.BE.Tr.Avia.Passenger.IntraEEAwCHUK</t>
  </si>
  <si>
    <t>EMI.ktCO2.BE.Tr.Avia.Passenger.ExtraEEAwCHUK</t>
  </si>
  <si>
    <t>EMI.ktCO2.BE.Tr.Avia.Freight</t>
  </si>
  <si>
    <t>EMI.ktCO2.BE.Tr.Avia.Freight.Domestic</t>
  </si>
  <si>
    <t>EMI.ktCO2.BE.Tr.Avia.Freight.IntraEEAwCHUK</t>
  </si>
  <si>
    <t>EMI.ktCO2.BE.Tr.Avia.Freight.ExtraEEAwCHUK</t>
  </si>
  <si>
    <t>EMIint.gCO2_per_km.BE.Tr.Avia</t>
  </si>
  <si>
    <t>EMIint.gCO2_per_km.BE.Tr.Avia.Passenger</t>
  </si>
  <si>
    <t>EMIint.gCO2_per_km.BE.Tr.Avia.Passenger.Domestic</t>
  </si>
  <si>
    <t>EMIint.gCO2_per_km.BE.Tr.Avia.Passenger.IntraEEAwCHUK</t>
  </si>
  <si>
    <t>EMIint.gCO2_per_km.BE.Tr.Avia.Passenger.ExtraEEAwCHUK</t>
  </si>
  <si>
    <t>EMIint.gCO2_per_km.BE.Tr.Avia.Freight</t>
  </si>
  <si>
    <t>EMIint.gCO2_per_km.BE.Tr.Avia.Freight.Domestic</t>
  </si>
  <si>
    <t>EMIint.gCO2_per_km.BE.Tr.Avia.Freight.IntraEEAwCHUK</t>
  </si>
  <si>
    <t>EMIint.gCO2_per_km.BE.Tr.Avia.Freight.ExtraEEAwCHUK</t>
  </si>
  <si>
    <t>EMIint.gCO2_per_pkm.BE.Tr.Avia.Passenger</t>
  </si>
  <si>
    <t>EMIint.gCO2_per_pkm.BE.Tr.Avia.Passenger.Domestic</t>
  </si>
  <si>
    <t>EMIint.gCO2_per_pkm.BE.Tr.Avia.Passenger.IntraEEAwCHUK</t>
  </si>
  <si>
    <t>EMIint.gCO2_per_pkm.BE.Tr.Avia.Passenger.ExtraEEAwCHUK</t>
  </si>
  <si>
    <t>EMIint.gCO2_per_tkm.BE.Tr.Avia.Freight</t>
  </si>
  <si>
    <t>EMIint.gCO2_per_tkm.BE.Tr.Avia.Freight.Domestic</t>
  </si>
  <si>
    <t>EMIint.gCO2_per_tkm.BE.Tr.Avia.Freight.IntraEEAwCHUK</t>
  </si>
  <si>
    <t>EMIint.gCO2_per_tkm.BE.Tr.Avia.Freight.ExtraEEAwCHUK</t>
  </si>
  <si>
    <t>EMI_per_flight.kgCO2.BE.Tr.Avia</t>
  </si>
  <si>
    <t>EMI_per_flight.kgCO2.BE.Tr.Avia.Passenger</t>
  </si>
  <si>
    <t>EMI_per_flight.kgCO2.BE.Tr.Avia.Passenger.Domestic</t>
  </si>
  <si>
    <t>EMI_per_flight.kgCO2.BE.Tr.Avia.Passenger.IntraEEAwCHUK</t>
  </si>
  <si>
    <t>EMI_per_flight.kgCO2.BE.Tr.Avia.Passenger.ExtraEEAwCHUK</t>
  </si>
  <si>
    <t>EMI_per_flight.kgCO2.BE.Tr.Avia.Freight</t>
  </si>
  <si>
    <t>EMI_per_flight.kgCO2.BE.Tr.Avia.Freight.Domestic</t>
  </si>
  <si>
    <t>EMI_per_flight.kgCO2.BE.Tr.Avia.Freight.IntraEEAwCHUK</t>
  </si>
  <si>
    <t>EMI_per_flight.kgCO2.BE.Tr.Avia.Freight.ExtraEEAwCHUK</t>
  </si>
  <si>
    <t>Aviation / passenger transport specific data - BE - Belgium</t>
  </si>
  <si>
    <t>TrCap.seats.BE.Tr.Avia.Passenger</t>
  </si>
  <si>
    <t>TrCap.seats.BE.Tr.Avia.Passenger.Domestic</t>
  </si>
  <si>
    <t>TrCap.seats.BE.Tr.Avia.Passenger.IntraEEAwCHUK</t>
  </si>
  <si>
    <t>TrCap.seats.BE.Tr.Avia.Passenger.ExtraEEAwCHUK</t>
  </si>
  <si>
    <t>TrCap_per_flight.seats.BE.Tr.Avia.Passenger</t>
  </si>
  <si>
    <t>TrCap_per_flight.seats.BE.Tr.Avia.Passenger.Domestic</t>
  </si>
  <si>
    <t>TrCap_per_flight.seats.BE.Tr.Avia.Passenger.IntraEEAwCHUK</t>
  </si>
  <si>
    <t>TrCap_per_flight.seats.BE.Tr.Avia.Passenger.ExtraEEAwCHUK</t>
  </si>
  <si>
    <t>Transport overview - BE - Belgium</t>
  </si>
  <si>
    <t>Activity.Mpkm.BE.Tr</t>
  </si>
  <si>
    <t>Activity.Mpkm.BE.Tr.Road.Passenger</t>
  </si>
  <si>
    <t>Activity.Mpkm.BE.Tr.Road.Passenger.P2W</t>
  </si>
  <si>
    <t>Activity.Mpkm.BE.Tr.Road.Passenger.Car</t>
  </si>
  <si>
    <t>Activity.Mpkm.BE.Tr.Road.Passenger.Bus</t>
  </si>
  <si>
    <t>Activity.Mpkm.BE.Tr.Rail.Passenger</t>
  </si>
  <si>
    <t>Activity.Mpkm.BE.Tr.Rail.Passenger.MTU</t>
  </si>
  <si>
    <t>Activity.Mpkm.BE.Tr.Rail.Passenger.CPT</t>
  </si>
  <si>
    <t>Activity.Mpkm.BE.Tr.Rail.Passenger.HST</t>
  </si>
  <si>
    <t>Activity.Mtkm.BE.Tr</t>
  </si>
  <si>
    <t>Activity.Mtkm.BE.Tr.Road.Freight</t>
  </si>
  <si>
    <t>Activity.Mtkm.BE.Tr.Road.Freight.LCV</t>
  </si>
  <si>
    <t>Activity.Mtkm.BE.Tr.Road.Freight.HGV_All</t>
  </si>
  <si>
    <t>Activity.Mtkm.BE.Tr.Rail.Freight</t>
  </si>
  <si>
    <t>Activity.Mtkm.BE.Tr.DNavi.Freight</t>
  </si>
  <si>
    <t>Activity.Mtkm.BE.Tr.DNavi.Freight.DCS</t>
  </si>
  <si>
    <t>Activity.Mtkm.BE.Tr.DNavi.Freight.IWW</t>
  </si>
  <si>
    <t>Activity.Mtkm.BE.MBunk.Freight</t>
  </si>
  <si>
    <t>Activity.Mtkm.BE.MBunk.Freight.IntraEEA</t>
  </si>
  <si>
    <t>Activity.Mtkm.BE.MBunk.Freight.ExtraEEA</t>
  </si>
  <si>
    <t>FEC.ktoe.BE.Tr.Road.Passenger</t>
  </si>
  <si>
    <t>FEC.ktoe.BE.Tr.Road.Passenger.P2W</t>
  </si>
  <si>
    <t>FEC.ktoe.BE.Tr.Road.Passenger.Car</t>
  </si>
  <si>
    <t>FEC.ktoe.BE.Tr.Road.Passenger.Bus</t>
  </si>
  <si>
    <t>FEC.ktoe.BE.Tr.Rail.Passenger</t>
  </si>
  <si>
    <t>FEC.ktoe.BE.Tr.Rail.Passenger.MTU</t>
  </si>
  <si>
    <t>FEC.ktoe.BE.Tr.Rail.Passenger.CPT</t>
  </si>
  <si>
    <t>FEC.ktoe.BE.Tr.Rail.Passenger.HST</t>
  </si>
  <si>
    <t>FEC.ktoe.BE.Tr.Road.Freight</t>
  </si>
  <si>
    <t>FEC.ktoe.BE.Tr.Road.Freight.LCV</t>
  </si>
  <si>
    <t>FEC.ktoe.BE.Tr.Road.Freight.HGV_All</t>
  </si>
  <si>
    <t>FEC.ktoe.BE.Tr.Rail.Freight</t>
  </si>
  <si>
    <t>EMI.ktCO2.BE.Tr.Road.Passenger</t>
  </si>
  <si>
    <t>EMI.ktCO2.BE.Tr.Road.Passenger.P2W</t>
  </si>
  <si>
    <t>EMI.ktCO2.BE.Tr.Road.Passenger.Car</t>
  </si>
  <si>
    <t>EMI.ktCO2.BE.Tr.Road.Passenger.Bus</t>
  </si>
  <si>
    <t>EMI.ktCO2.BE.Tr.Rail.Passenger</t>
  </si>
  <si>
    <t>EMI.ktCO2.BE.Tr.Rail.Passenger.MTU</t>
  </si>
  <si>
    <t>EMI.ktCO2.BE.Tr.Rail.Passenger.CPT</t>
  </si>
  <si>
    <t>EMI.ktCO2.BE.Tr.Rail.Passenger.HST</t>
  </si>
  <si>
    <t>EMI.ktCO2.BE.Tr.Road.Freight</t>
  </si>
  <si>
    <t>EMI.ktCO2.BE.Tr.Road.Freight.LCV</t>
  </si>
  <si>
    <t>EMI.ktCO2.BE.Tr.Road.Freight.HGV_All</t>
  </si>
  <si>
    <t>EMI.ktCO2.BE.Tr.Rail.Freight</t>
  </si>
  <si>
    <t>Eff.kgoe_per_kpkm.BE.Tr</t>
  </si>
  <si>
    <t>Eff.kgoe_per_kpkm.BE.Tr.Road.Passenger</t>
  </si>
  <si>
    <t>Eff.kgoe_per_kpkm.BE.Tr.Road.Passenger.P2W</t>
  </si>
  <si>
    <t>Eff.kgoe_per_kpkm.BE.Tr.Road.Passenger.Car</t>
  </si>
  <si>
    <t>Eff.kgoe_per_kpkm.BE.Tr.Road.Passenger.Bus</t>
  </si>
  <si>
    <t>Eff.kgoe_per_kpkm.BE.Tr.Rail.Passenger</t>
  </si>
  <si>
    <t>Eff.kgoe_per_kpkm.BE.Tr.Rail.Passenger.MTU</t>
  </si>
  <si>
    <t>Eff.kgoe_per_kpkm.BE.Tr.Rail.Passenger.CPT</t>
  </si>
  <si>
    <t>Eff.kgoe_per_kpkm.BE.Tr.Rail.Passenger.HST</t>
  </si>
  <si>
    <t>Eff.kgoe_per_ktkm.BE.Tr</t>
  </si>
  <si>
    <t>Eff.kgoe_per_ktkm.BE.Tr.Road.Freight</t>
  </si>
  <si>
    <t>Eff.kgoe_per_ktkm.BE.Tr.Road.Freight.LCV</t>
  </si>
  <si>
    <t>Eff.kgoe_per_ktkm.BE.Tr.Road.Freight.HGV_All</t>
  </si>
  <si>
    <t>Eff.kgoe_per_ktkm.BE.Tr.Rail.Freight</t>
  </si>
  <si>
    <t>Eff.kgoe_per_ktkm.BE.Tr.DNavi.Freight</t>
  </si>
  <si>
    <t>Eff.kgoe_per_ktkm.BE.Tr.DNavi.Freight.DCS</t>
  </si>
  <si>
    <t>Eff.kgoe_per_ktkm.BE.Tr.DNavi.Freight.IWW</t>
  </si>
  <si>
    <t>Eff.kgoe_per_ktkm.BE.MBunk.Freight</t>
  </si>
  <si>
    <t>Eff.kgoe_per_ktkm.BE.MBunk.Freight.IntraEEA</t>
  </si>
  <si>
    <t>Eff.kgoe_per_ktkm.BE.MBunk.Freight.ExtraEEA</t>
  </si>
  <si>
    <t>EMIint.gCO2_per_pkm.BE.Tr</t>
  </si>
  <si>
    <t>EMIint.gCO2_per_pkm.BE.Tr.Road.Passenger</t>
  </si>
  <si>
    <t>EMIint.gCO2_per_pkm.BE.Tr.Road.Passenger.P2W</t>
  </si>
  <si>
    <t>EMIint.gCO2_per_pkm.BE.Tr.Road.Passenger.Car</t>
  </si>
  <si>
    <t>EMIint.gCO2_per_pkm.BE.Tr.Road.Passenger.Bus</t>
  </si>
  <si>
    <t>EMIint.gCO2_per_pkm.BE.Tr.Rail.Passenger</t>
  </si>
  <si>
    <t>EMIint.gCO2_per_pkm.BE.Tr.Rail.Passenger.MTU</t>
  </si>
  <si>
    <t>EMIint.gCO2_per_pkm.BE.Tr.Rail.Passenger.CPT</t>
  </si>
  <si>
    <t>EMIint.gCO2_per_pkm.BE.Tr.Rail.Passenger.HST</t>
  </si>
  <si>
    <t>EMIint.gCO2_per_tkm.BE.Tr</t>
  </si>
  <si>
    <t>EMIint.gCO2_per_tkm.BE.Tr.Road.Freight</t>
  </si>
  <si>
    <t>EMIint.gCO2_per_tkm.BE.Tr.Road.Freight.LCV</t>
  </si>
  <si>
    <t>EMIint.gCO2_per_tkm.BE.Tr.Road.Freight.HGV_All</t>
  </si>
  <si>
    <t>EMIint.gCO2_per_tkm.BE.Tr.Rail.Freight</t>
  </si>
  <si>
    <t>EMIint.gCO2_per_tkm.BE.Tr.DNavi.Freight</t>
  </si>
  <si>
    <t>EMIint.gCO2_per_tkm.BE.Tr.DNavi.Freight.DCS</t>
  </si>
  <si>
    <t>EMIint.gCO2_per_tkm.BE.Tr.DNavi.Freight.IWW</t>
  </si>
  <si>
    <t>EMIint.gCO2_per_tkm.BE.MBunk.Freight</t>
  </si>
  <si>
    <t>EMIint.gCO2_per_tkm.BE.MBunk.Freight.IntraEEA</t>
  </si>
  <si>
    <t>EMIint.gCO2_per_tkm.BE.MBunk.Freight.ExtraEEA</t>
  </si>
  <si>
    <t>Road transport - BE - Belgium</t>
  </si>
  <si>
    <t>Activity.Mpkm.BE.Tr.Road.Passenger.Car.ICE.Gasoline</t>
  </si>
  <si>
    <t>Activity.Mpkm.BE.Tr.Road.Passenger.Car.ICE.Diesel</t>
  </si>
  <si>
    <t>Activity.Mpkm.BE.Tr.Road.Passenger.Car.ICE.LPG</t>
  </si>
  <si>
    <t>Activity.Mpkm.BE.Tr.Road.Passenger.Car.ICE.NGas</t>
  </si>
  <si>
    <t>Activity.Mpkm.BE.Tr.Road.Passenger.Car.PHEV.Gasoline</t>
  </si>
  <si>
    <t>Activity.Mpkm.BE.Tr.Road.Passenger.Car.BEV</t>
  </si>
  <si>
    <t>Activity.Mpkm.BE.Tr.Road.Passenger.Bus.ICE.Gasoline</t>
  </si>
  <si>
    <t>Activity.Mpkm.BE.Tr.Road.Passenger.Bus.ICE.Diesel</t>
  </si>
  <si>
    <t>Activity.Mpkm.BE.Tr.Road.Passenger.Bus.ICE.LPG</t>
  </si>
  <si>
    <t>Activity.Mpkm.BE.Tr.Road.Passenger.Bus.ICE.NGas</t>
  </si>
  <si>
    <t>Activity.Mpkm.BE.Tr.Road.Passenger.Bus.BEV</t>
  </si>
  <si>
    <t>Activity.Mtkm.BE.Tr.Road.Freight.LCV.ICE.Gasoline</t>
  </si>
  <si>
    <t>Activity.Mtkm.BE.Tr.Road.Freight.LCV.ICE.Diesel</t>
  </si>
  <si>
    <t>Activity.Mtkm.BE.Tr.Road.Freight.LCV.ICE.LPG</t>
  </si>
  <si>
    <t>Activity.Mtkm.BE.Tr.Road.Freight.LCV.ICE.NGas</t>
  </si>
  <si>
    <t>Activity.Mtkm.BE.Tr.Road.Freight.LCV.BEV</t>
  </si>
  <si>
    <t>Activity.Mtkm.BE.Tr.Road.Freight.HGV_Domestic</t>
  </si>
  <si>
    <t>Activity.Mtkm.BE.Tr.Road.Freight.HGV_International</t>
  </si>
  <si>
    <t>VehicleKm.Mkm.BE.Tr.Road</t>
  </si>
  <si>
    <t>VehicleKm.Mkm.BE.Tr.Road.Passenger</t>
  </si>
  <si>
    <t>VehicleKm.Mkm.BE.Tr.Road.Passenger.P2W</t>
  </si>
  <si>
    <t>VehicleKm.Mkm.BE.Tr.Road.Passenger.Car</t>
  </si>
  <si>
    <t>VehicleKm.Mkm.BE.Tr.Road.Passenger.Car.ICE.Gasoline</t>
  </si>
  <si>
    <t>VehicleKm.Mkm.BE.Tr.Road.Passenger.Car.ICE.Diesel</t>
  </si>
  <si>
    <t>VehicleKm.Mkm.BE.Tr.Road.Passenger.Car.ICE.LPG</t>
  </si>
  <si>
    <t>VehicleKm.Mkm.BE.Tr.Road.Passenger.Car.ICE.NGas</t>
  </si>
  <si>
    <t>VehicleKm.Mkm.BE.Tr.Road.Passenger.Car.PHEV.Gasoline</t>
  </si>
  <si>
    <t>VehicleKm.Mkm.BE.Tr.Road.Passenger.Car.BEV</t>
  </si>
  <si>
    <t>VehicleKm.Mkm.BE.Tr.Road.Passenger.Bus</t>
  </si>
  <si>
    <t>VehicleKm.Mkm.BE.Tr.Road.Passenger.Bus.ICE.Gasoline</t>
  </si>
  <si>
    <t>VehicleKm.Mkm.BE.Tr.Road.Passenger.Bus.ICE.Diesel</t>
  </si>
  <si>
    <t>VehicleKm.Mkm.BE.Tr.Road.Passenger.Bus.ICE.LPG</t>
  </si>
  <si>
    <t>VehicleKm.Mkm.BE.Tr.Road.Passenger.Bus.ICE.NGas</t>
  </si>
  <si>
    <t>VehicleKm.Mkm.BE.Tr.Road.Passenger.Bus.BEV</t>
  </si>
  <si>
    <t>VehicleKm.Mkm.BE.Tr.Road.Freight</t>
  </si>
  <si>
    <t>VehicleKm.Mkm.BE.Tr.Road.Freight.LCV</t>
  </si>
  <si>
    <t>VehicleKm.Mkm.BE.Tr.Road.Freight.LCV.ICE.Gasoline</t>
  </si>
  <si>
    <t>VehicleKm.Mkm.BE.Tr.Road.Freight.LCV.ICE.Diesel</t>
  </si>
  <si>
    <t>VehicleKm.Mkm.BE.Tr.Road.Freight.LCV.ICE.LPG</t>
  </si>
  <si>
    <t>VehicleKm.Mkm.BE.Tr.Road.Freight.LCV.ICE.NGas</t>
  </si>
  <si>
    <t>VehicleKm.Mkm.BE.Tr.Road.Freight.LCV.BEV</t>
  </si>
  <si>
    <t>VehicleKm.Mkm.BE.Tr.Road.Freight.HGV_All</t>
  </si>
  <si>
    <t>VehicleKm.Mkm.BE.Tr.Road.Freight.HGV_Domestic</t>
  </si>
  <si>
    <t>VehicleKm.Mkm.BE.Tr.Road.Freight.HGV_International</t>
  </si>
  <si>
    <t>Stock.number.BE.Tr.Road</t>
  </si>
  <si>
    <t>Stock.number.BE.Tr.Road.Passenger</t>
  </si>
  <si>
    <t>Stock.number.BE.Tr.Road.Passenger.P2W</t>
  </si>
  <si>
    <t>Stock.number.BE.Tr.Road.Passenger.Car</t>
  </si>
  <si>
    <t>Stock.number.BE.Tr.Road.Passenger.Car.ICE.Gasoline</t>
  </si>
  <si>
    <t>Stock.number.BE.Tr.Road.Passenger.Car.ICE.Diesel</t>
  </si>
  <si>
    <t>Stock.number.BE.Tr.Road.Passenger.Car.ICE.LPG</t>
  </si>
  <si>
    <t>Stock.number.BE.Tr.Road.Passenger.Car.ICE.NGas</t>
  </si>
  <si>
    <t>Stock.number.BE.Tr.Road.Passenger.Car.PHEV.Gasoline</t>
  </si>
  <si>
    <t>Stock.number.BE.Tr.Road.Passenger.Car.BEV</t>
  </si>
  <si>
    <t>Stock.number.BE.Tr.Road.Passenger.Bus</t>
  </si>
  <si>
    <t>Stock.number.BE.Tr.Road.Passenger.Bus.ICE.Gasoline</t>
  </si>
  <si>
    <t>Stock.number.BE.Tr.Road.Passenger.Bus.ICE.Diesel</t>
  </si>
  <si>
    <t>Stock.number.BE.Tr.Road.Passenger.Bus.ICE.LPG</t>
  </si>
  <si>
    <t>Stock.number.BE.Tr.Road.Passenger.Bus.ICE.NGas</t>
  </si>
  <si>
    <t>Stock.number.BE.Tr.Road.Passenger.Bus.BEV</t>
  </si>
  <si>
    <t>Stock.number.BE.Tr.Road.Freight</t>
  </si>
  <si>
    <t>Stock.number.BE.Tr.Road.Freight.LCV</t>
  </si>
  <si>
    <t>Stock.number.BE.Tr.Road.Freight.LCV.ICE.Gasoline</t>
  </si>
  <si>
    <t>Stock.number.BE.Tr.Road.Freight.LCV.ICE.Diesel</t>
  </si>
  <si>
    <t>Stock.number.BE.Tr.Road.Freight.LCV.ICE.LPG</t>
  </si>
  <si>
    <t>Stock.number.BE.Tr.Road.Freight.LCV.ICE.NGas</t>
  </si>
  <si>
    <t>Stock.number.BE.Tr.Road.Freight.LCV.BEV</t>
  </si>
  <si>
    <t>Stock.number.BE.Tr.Road.Freight.HGV_All</t>
  </si>
  <si>
    <t>Stock.number.BE.Tr.Road.Freight.HGV_Domestic</t>
  </si>
  <si>
    <t>Stock.number.BE.Tr.Road.Freight.HGV_International</t>
  </si>
  <si>
    <t>StockNew.number.BE.Tr.Road</t>
  </si>
  <si>
    <t>StockNew.number.BE.Tr.Road.Passenger</t>
  </si>
  <si>
    <t>StockNew.number.BE.Tr.Road.Passenger.P2W</t>
  </si>
  <si>
    <t>StockNew.number.BE.Tr.Road.Passenger.Car</t>
  </si>
  <si>
    <t>StockNew.number.BE.Tr.Road.Passenger.Car.ICE.Gasoline</t>
  </si>
  <si>
    <t>StockNew.number.BE.Tr.Road.Passenger.Car.ICE.Diesel</t>
  </si>
  <si>
    <t>StockNew.number.BE.Tr.Road.Passenger.Car.ICE.LPG</t>
  </si>
  <si>
    <t>StockNew.number.BE.Tr.Road.Passenger.Car.ICE.NGas</t>
  </si>
  <si>
    <t>StockNew.number.BE.Tr.Road.Passenger.Car.PHEV.Gasoline</t>
  </si>
  <si>
    <t>StockNew.number.BE.Tr.Road.Passenger.Car.BEV</t>
  </si>
  <si>
    <t>StockNew.number.BE.Tr.Road.Passenger.Bus</t>
  </si>
  <si>
    <t>StockNew.number.BE.Tr.Road.Passenger.Bus.ICE.Gasoline</t>
  </si>
  <si>
    <t>StockNew.number.BE.Tr.Road.Passenger.Bus.ICE.Diesel</t>
  </si>
  <si>
    <t>StockNew.number.BE.Tr.Road.Passenger.Bus.ICE.LPG</t>
  </si>
  <si>
    <t>StockNew.number.BE.Tr.Road.Passenger.Bus.ICE.NGas</t>
  </si>
  <si>
    <t>StockNew.number.BE.Tr.Road.Passenger.Bus.BEV</t>
  </si>
  <si>
    <t>StockNew.number.BE.Tr.Road.Freight</t>
  </si>
  <si>
    <t>StockNew.number.BE.Tr.Road.Freight.LCV</t>
  </si>
  <si>
    <t>StockNew.number.BE.Tr.Road.Freight.LCV.ICE.Gasoline</t>
  </si>
  <si>
    <t>StockNew.number.BE.Tr.Road.Freight.LCV.ICE.Diesel</t>
  </si>
  <si>
    <t>StockNew.number.BE.Tr.Road.Freight.LCV.ICE.LPG</t>
  </si>
  <si>
    <t>StockNew.number.BE.Tr.Road.Freight.LCV.ICE.NGas</t>
  </si>
  <si>
    <t>StockNew.number.BE.Tr.Road.Freight.LCV.BEV</t>
  </si>
  <si>
    <t>StockNew.number.BE.Tr.Road.Freight.HGV_All</t>
  </si>
  <si>
    <t>StockNew.number.BE.Tr.Road.Freight.HGV_Domestic</t>
  </si>
  <si>
    <t>StockNew.number.BE.Tr.Road.Freight.HGV_International</t>
  </si>
  <si>
    <t>Load.passenger_per_movement.BE.Tr.Road.Passenger</t>
  </si>
  <si>
    <t>Load.passenger_per_movement.BE.Tr.Road.Passenger.P2W</t>
  </si>
  <si>
    <t>Load.passenger_per_movement.BE.Tr.Road.Passenger.Car</t>
  </si>
  <si>
    <t>Load.passenger_per_movement.BE.Tr.Road.Passenger.Car.ICE.Gasoline</t>
  </si>
  <si>
    <t>Load.passenger_per_movement.BE.Tr.Road.Passenger.Car.ICE.Diesel</t>
  </si>
  <si>
    <t>Load.passenger_per_movement.BE.Tr.Road.Passenger.Car.ICE.LPG</t>
  </si>
  <si>
    <t>Load.passenger_per_movement.BE.Tr.Road.Passenger.Car.ICE.NGas</t>
  </si>
  <si>
    <t>Load.passenger_per_movement.BE.Tr.Road.Passenger.Car.PHEV.Gasoline</t>
  </si>
  <si>
    <t>Load.passenger_per_movement.BE.Tr.Road.Passenger.Car.BEV</t>
  </si>
  <si>
    <t>Load.passenger_per_movement.BE.Tr.Road.Passenger.Bus</t>
  </si>
  <si>
    <t>Load.passenger_per_movement.BE.Tr.Road.Passenger.Bus.ICE.Gasoline</t>
  </si>
  <si>
    <t>Load.passenger_per_movement.BE.Tr.Road.Passenger.Bus.ICE.Diesel</t>
  </si>
  <si>
    <t>Load.passenger_per_movement.BE.Tr.Road.Passenger.Bus.ICE.LPG</t>
  </si>
  <si>
    <t>Load.passenger_per_movement.BE.Tr.Road.Passenger.Bus.ICE.NGas</t>
  </si>
  <si>
    <t>Load.passenger_per_movement.BE.Tr.Road.Passenger.Bus.BEV</t>
  </si>
  <si>
    <t>Load.t_per_movement.BE.Tr.Road.Freight</t>
  </si>
  <si>
    <t>Load.t_per_movement.BE.Tr.Road.Freight.LCV</t>
  </si>
  <si>
    <t>Load.t_per_movement.BE.Tr.Road.Freight.LCV.ICE.Gasoline</t>
  </si>
  <si>
    <t>Load.t_per_movement.BE.Tr.Road.Freight.LCV.ICE.Diesel</t>
  </si>
  <si>
    <t>Load.t_per_movement.BE.Tr.Road.Freight.LCV.ICE.LPG</t>
  </si>
  <si>
    <t>Load.t_per_movement.BE.Tr.Road.Freight.LCV.ICE.NGas</t>
  </si>
  <si>
    <t>Load.t_per_movement.BE.Tr.Road.Freight.LCV.BEV</t>
  </si>
  <si>
    <t>Load.t_per_movement.BE.Tr.Road.Freight.HGV_All</t>
  </si>
  <si>
    <t>Load.t_per_movement.BE.Tr.Road.Freight.HGV_Domestic</t>
  </si>
  <si>
    <t>Load.t_per_movement.BE.Tr.Road.Freight.HGV_International</t>
  </si>
  <si>
    <t>VehicleKm_per_vehicle.km.BE.Tr.Road</t>
  </si>
  <si>
    <t>VehicleKm_per_vehicle.km.BE.Tr.Road.Passenger</t>
  </si>
  <si>
    <t>VehicleKm_per_vehicle.km.BE.Tr.Road.Passenger.P2W</t>
  </si>
  <si>
    <t>VehicleKm_per_vehicle.km.BE.Tr.Road.Passenger.Car</t>
  </si>
  <si>
    <t>VehicleKm_per_vehicle.km.BE.Tr.Road.Passenger.Car.ICE.Gasoline</t>
  </si>
  <si>
    <t>VehicleKm_per_vehicle.km.BE.Tr.Road.Passenger.Car.ICE.Diesel</t>
  </si>
  <si>
    <t>VehicleKm_per_vehicle.km.BE.Tr.Road.Passenger.Car.ICE.LPG</t>
  </si>
  <si>
    <t>VehicleKm_per_vehicle.km.BE.Tr.Road.Passenger.Car.ICE.NGas</t>
  </si>
  <si>
    <t>VehicleKm_per_vehicle.km.BE.Tr.Road.Passenger.Car.PHEV.Gasoline</t>
  </si>
  <si>
    <t>VehicleKm_per_vehicle.km.BE.Tr.Road.Passenger.Car.BEV</t>
  </si>
  <si>
    <t>VehicleKm_per_vehicle.km.BE.Tr.Road.Passenger.Bus</t>
  </si>
  <si>
    <t>VehicleKm_per_vehicle.km.BE.Tr.Road.Passenger.Bus.ICE.Gasoline</t>
  </si>
  <si>
    <t>VehicleKm_per_vehicle.km.BE.Tr.Road.Passenger.Bus.ICE.Diesel</t>
  </si>
  <si>
    <t>VehicleKm_per_vehicle.km.BE.Tr.Road.Passenger.Bus.ICE.LPG</t>
  </si>
  <si>
    <t>VehicleKm_per_vehicle.km.BE.Tr.Road.Passenger.Bus.ICE.NGas</t>
  </si>
  <si>
    <t>VehicleKm_per_vehicle.km.BE.Tr.Road.Passenger.Bus.BEV</t>
  </si>
  <si>
    <t>VehicleKm_per_vehicle.km.BE.Tr.Road.Freight</t>
  </si>
  <si>
    <t>VehicleKm_per_vehicle.km.BE.Tr.Road.Freight.LCV</t>
  </si>
  <si>
    <t>VehicleKm_per_vehicle.km.BE.Tr.Road.Freight.LCV.ICE.Gasoline</t>
  </si>
  <si>
    <t>VehicleKm_per_vehicle.km.BE.Tr.Road.Freight.LCV.ICE.Diesel</t>
  </si>
  <si>
    <t>VehicleKm_per_vehicle.km.BE.Tr.Road.Freight.LCV.ICE.LPG</t>
  </si>
  <si>
    <t>VehicleKm_per_vehicle.km.BE.Tr.Road.Freight.LCV.ICE.NGas</t>
  </si>
  <si>
    <t>VehicleKm_per_vehicle.km.BE.Tr.Road.Freight.LCV.BEV</t>
  </si>
  <si>
    <t>VehicleKm_per_vehicle.km.BE.Tr.Road.Freight.HGV_All</t>
  </si>
  <si>
    <t>VehicleKm_per_vehicle.km.BE.Tr.Road.Freight.HGV_Domestic</t>
  </si>
  <si>
    <t>VehicleKm_per_vehicle.km.BE.Tr.Road.Freight.HGV_International</t>
  </si>
  <si>
    <t>Activity_per_vehicle.pkm.BE.Tr.Road.Passenger</t>
  </si>
  <si>
    <t>Activity_per_vehicle.pkm.BE.Tr.Road.Passenger.P2W</t>
  </si>
  <si>
    <t>Activity_per_vehicle.pkm.BE.Tr.Road.Passenger.Car</t>
  </si>
  <si>
    <t>Activity_per_vehicle.pkm.BE.Tr.Road.Passenger.Car.ICE.Gasoline</t>
  </si>
  <si>
    <t>Activity_per_vehicle.pkm.BE.Tr.Road.Passenger.Car.ICE.Diesel</t>
  </si>
  <si>
    <t>Activity_per_vehicle.pkm.BE.Tr.Road.Passenger.Car.ICE.LPG</t>
  </si>
  <si>
    <t>Activity_per_vehicle.pkm.BE.Tr.Road.Passenger.Car.ICE.NGas</t>
  </si>
  <si>
    <t>Activity_per_vehicle.pkm.BE.Tr.Road.Passenger.Car.PHEV.Gasoline</t>
  </si>
  <si>
    <t>Activity_per_vehicle.pkm.BE.Tr.Road.Passenger.Car.BEV</t>
  </si>
  <si>
    <t>Activity_per_vehicle.pkm.BE.Tr.Road.Passenger.Bus</t>
  </si>
  <si>
    <t>Activity_per_vehicle.pkm.BE.Tr.Road.Passenger.Bus.ICE.Gasoline</t>
  </si>
  <si>
    <t>Activity_per_vehicle.pkm.BE.Tr.Road.Passenger.Bus.ICE.Diesel</t>
  </si>
  <si>
    <t>Activity_per_vehicle.pkm.BE.Tr.Road.Passenger.Bus.ICE.LPG</t>
  </si>
  <si>
    <t>Activity_per_vehicle.pkm.BE.Tr.Road.Passenger.Bus.ICE.NGas</t>
  </si>
  <si>
    <t>Activity_per_vehicle.pkm.BE.Tr.Road.Passenger.Bus.BEV</t>
  </si>
  <si>
    <t>Activity_per_vehicle.tkm.BE.Tr.Road.Freight</t>
  </si>
  <si>
    <t>Activity_per_vehicle.tkm.BE.Tr.Road.Freight.LCV</t>
  </si>
  <si>
    <t>Activity_per_vehicle.tkm.BE.Tr.Road.Freight.LCV.ICE.Gasoline</t>
  </si>
  <si>
    <t>Activity_per_vehicle.tkm.BE.Tr.Road.Freight.LCV.ICE.Diesel</t>
  </si>
  <si>
    <t>Activity_per_vehicle.tkm.BE.Tr.Road.Freight.LCV.ICE.LPG</t>
  </si>
  <si>
    <t>Activity_per_vehicle.tkm.BE.Tr.Road.Freight.LCV.ICE.NGas</t>
  </si>
  <si>
    <t>Activity_per_vehicle.tkm.BE.Tr.Road.Freight.LCV.BEV</t>
  </si>
  <si>
    <t>Activity_per_vehicle.tkm.BE.Tr.Road.Freight.HGV_All</t>
  </si>
  <si>
    <t>Activity_per_vehicle.tkm.BE.Tr.Road.Freight.HGV_Domestic</t>
  </si>
  <si>
    <t>Activity_per_vehicle.tkm.BE.Tr.Road.Freight.HGV_International</t>
  </si>
  <si>
    <t>Road transport / energy consumption - BE - Belgium</t>
  </si>
  <si>
    <t>FEC.ktoe.BE.ES.Tr.Road</t>
  </si>
  <si>
    <t>FEC.ktoe.BE.ES.Tr.Road.LPG</t>
  </si>
  <si>
    <t>FEC.ktoe.BE.ES.Tr.Road.Gasoline</t>
  </si>
  <si>
    <t>FEC.ktoe.BE.ES.Tr.Road.Diesel</t>
  </si>
  <si>
    <t>FEC.ktoe.BE.ES.Tr.Road.NG</t>
  </si>
  <si>
    <t>FEC.ktoe.BE.ES.Tr.Road.Biogas</t>
  </si>
  <si>
    <t>FEC.ktoe.BE.ES.Tr.Road.Biogasoline</t>
  </si>
  <si>
    <t>FEC.ktoe.BE.ES.Tr.Road.Biodiesel</t>
  </si>
  <si>
    <t>FEC.ktoe.BE.ES.Tr.Road.OthLiqBio</t>
  </si>
  <si>
    <t>FEC.ktoe.BE.ES.Tr.Road.Elec</t>
  </si>
  <si>
    <t>FEC.ktoe.BE.Tr.Road</t>
  </si>
  <si>
    <t>FEC.ktoe.BE.Tr.Road.Passenger.P2W.Total.Total.Biogasoline</t>
  </si>
  <si>
    <t>FEC.ktoe.BE.Tr.Road.Passenger.Car.ICE.Gasoline</t>
  </si>
  <si>
    <t>FEC.ktoe.BE.Tr.Road.Passenger.Car.ICE.Gasoline.Biogasoline</t>
  </si>
  <si>
    <t>FEC.ktoe.BE.Tr.Road.Passenger.Car.ICE.Diesel</t>
  </si>
  <si>
    <t>FEC.ktoe.BE.Tr.Road.Passenger.Car.ICE.Diesel.BioDiesel_OthLiqBio</t>
  </si>
  <si>
    <t>FEC.ktoe.BE.Tr.Road.Passenger.Car.ICE.LPG</t>
  </si>
  <si>
    <t>FEC.ktoe.BE.Tr.Road.Passenger.Car.ICE.NGas</t>
  </si>
  <si>
    <t>FEC.ktoe.BE.Tr.Road.Passenger.Car.ICE.NGas.Biogas</t>
  </si>
  <si>
    <t>FEC.ktoe.BE.Tr.Road.Passenger.Car.PHEV.Gasoline</t>
  </si>
  <si>
    <t>FEC.ktoe.BE.Tr.Road.Passenger.Car.PHEV.Gasoline.Biogasoline</t>
  </si>
  <si>
    <t>FEC.ktoe.BE.Tr.Road.Passenger.Car.PHEV.Gasoline.Elec</t>
  </si>
  <si>
    <t>FEC.ktoe.BE.Tr.Road.Passenger.Car.BEV</t>
  </si>
  <si>
    <t>FEC.ktoe.BE.Tr.Road.Passenger.Bus.ICE.Gasoline</t>
  </si>
  <si>
    <t>FEC.ktoe.BE.Tr.Road.Passenger.Bus.ICE.Gasoline.Biogasoline</t>
  </si>
  <si>
    <t>FEC.ktoe.BE.Tr.Road.Passenger.Bus.ICE.Diesel</t>
  </si>
  <si>
    <t>FEC.ktoe.BE.Tr.Road.Passenger.Bus.ICE.Diesel.BioDiesel_OthLiqBio</t>
  </si>
  <si>
    <t>FEC.ktoe.BE.Tr.Road.Passenger.Bus.ICE.LPG</t>
  </si>
  <si>
    <t>FEC.ktoe.BE.Tr.Road.Passenger.Bus.ICE.NGas</t>
  </si>
  <si>
    <t>FEC.ktoe.BE.Tr.Road.Passenger.Bus.ICE.NGas.Biogas</t>
  </si>
  <si>
    <t>FEC.ktoe.BE.Tr.Road.Passenger.Bus.BEV</t>
  </si>
  <si>
    <t>FEC.ktoe.BE.Tr.Road.Freight.LCV.ICE.Gasoline</t>
  </si>
  <si>
    <t>FEC.ktoe.BE.Tr.Road.Freight.LCV.ICE.Gasoline.Biogasoline</t>
  </si>
  <si>
    <t>FEC.ktoe.BE.Tr.Road.Freight.LCV.ICE.Diesel</t>
  </si>
  <si>
    <t>FEC.ktoe.BE.Tr.Road.Freight.LCV.ICE.Diesel.BioDiesel_OthLiqBio</t>
  </si>
  <si>
    <t>FEC.ktoe.BE.Tr.Road.Freight.LCV.ICE.LPG</t>
  </si>
  <si>
    <t>FEC.ktoe.BE.Tr.Road.Freight.LCV.ICE.NGas</t>
  </si>
  <si>
    <t>FEC.ktoe.BE.Tr.Road.Freight.LCV.ICE.NGas.Biogas</t>
  </si>
  <si>
    <t>FEC.ktoe.BE.Tr.Road.Freight.LCV.BEV</t>
  </si>
  <si>
    <t>FEC.ktoe.BE.Tr.Road.Freight.HGV_Domestic</t>
  </si>
  <si>
    <t>FEC.ktoe.BE.Tr.Road.Freight.HGV_Domestic.Total.Total.BioDiesel_OthLiqBio</t>
  </si>
  <si>
    <t>FEC.ktoe.BE.Tr.Road.Freight.HGV_International</t>
  </si>
  <si>
    <t>FEC.ktoe.BE.Tr.Road.Freight.HGV_International.Total.Total.BioDiesel_OthLiqBio</t>
  </si>
  <si>
    <t>Eff.kgoe_per_100km.BE.Tr.Road</t>
  </si>
  <si>
    <t>Eff.kgoe_per_100km.BE.Tr.Road.Passenger</t>
  </si>
  <si>
    <t>Eff.kgoe_per_100km.BE.Tr.Road.Passenger.P2W</t>
  </si>
  <si>
    <t>Eff.kgoe_per_100km.BE.Tr.Road.Passenger.Car</t>
  </si>
  <si>
    <t>Eff.kgoe_per_100km.BE.Tr.Road.Passenger.Car.ICE.Gasoline</t>
  </si>
  <si>
    <t>Eff.kgoe_per_100km.BE.Tr.Road.Passenger.Car.ICE.Diesel</t>
  </si>
  <si>
    <t>Eff.kgoe_per_100km.BE.Tr.Road.Passenger.Car.ICE.LPG</t>
  </si>
  <si>
    <t>Eff.kgoe_per_100km.BE.Tr.Road.Passenger.Car.ICE.NGas</t>
  </si>
  <si>
    <t>Eff.kgoe_per_100km.BE.Tr.Road.Passenger.Car.PHEV.Gasoline</t>
  </si>
  <si>
    <t>Eff.kgoe_per_100km.BE.Tr.Road.Passenger.Car.BEV</t>
  </si>
  <si>
    <t>Eff.kgoe_per_100km.BE.Tr.Road.Passenger.Bus</t>
  </si>
  <si>
    <t>Eff.kgoe_per_100km.BE.Tr.Road.Passenger.Bus.ICE.Gasoline</t>
  </si>
  <si>
    <t>Eff.kgoe_per_100km.BE.Tr.Road.Passenger.Bus.ICE.Diesel</t>
  </si>
  <si>
    <t>Eff.kgoe_per_100km.BE.Tr.Road.Passenger.Bus.ICE.LPG</t>
  </si>
  <si>
    <t>Eff.kgoe_per_100km.BE.Tr.Road.Passenger.Bus.ICE.NGas</t>
  </si>
  <si>
    <t>Eff.kgoe_per_100km.BE.Tr.Road.Passenger.Bus.BEV</t>
  </si>
  <si>
    <t>Eff.kgoe_per_100km.BE.Tr.Road.Freight</t>
  </si>
  <si>
    <t>Eff.kgoe_per_100km.BE.Tr.Road.Freight.LCV</t>
  </si>
  <si>
    <t>Eff.kgoe_per_100km.BE.Tr.Road.Freight.LCV.ICE.Gasoline</t>
  </si>
  <si>
    <t>Eff.kgoe_per_100km.BE.Tr.Road.Freight.LCV.ICE.Diesel</t>
  </si>
  <si>
    <t>Eff.kgoe_per_100km.BE.Tr.Road.Freight.LCV.ICE.LPG</t>
  </si>
  <si>
    <t>Eff.kgoe_per_100km.BE.Tr.Road.Freight.LCV.ICE.NGas</t>
  </si>
  <si>
    <t>Eff.kgoe_per_100km.BE.Tr.Road.Freight.LCV.BEV</t>
  </si>
  <si>
    <t>Eff.kgoe_per_100km.BE.Tr.Road.Freight.HGV_All</t>
  </si>
  <si>
    <t>Eff.kgoe_per_100km.BE.Tr.Road.Freight.HGV_Domestic</t>
  </si>
  <si>
    <t>Eff.kgoe_per_100km.BE.Tr.Road.Freight.HGV_International</t>
  </si>
  <si>
    <t>Eff.kgoe_per_kpkm.BE.Tr.Road.Passenger.Car.ICE.Gasoline</t>
  </si>
  <si>
    <t>Eff.kgoe_per_kpkm.BE.Tr.Road.Passenger.Car.ICE.Diesel</t>
  </si>
  <si>
    <t>Eff.kgoe_per_kpkm.BE.Tr.Road.Passenger.Car.ICE.LPG</t>
  </si>
  <si>
    <t>Eff.kgoe_per_kpkm.BE.Tr.Road.Passenger.Car.ICE.NGas</t>
  </si>
  <si>
    <t>Eff.kgoe_per_kpkm.BE.Tr.Road.Passenger.Car.PHEV.Gasoline</t>
  </si>
  <si>
    <t>Eff.kgoe_per_kpkm.BE.Tr.Road.Passenger.Car.BEV</t>
  </si>
  <si>
    <t>Eff.kgoe_per_kpkm.BE.Tr.Road.Passenger.Bus.ICE.Gasoline</t>
  </si>
  <si>
    <t>Eff.kgoe_per_kpkm.BE.Tr.Road.Passenger.Bus.ICE.Diesel</t>
  </si>
  <si>
    <t>Eff.kgoe_per_kpkm.BE.Tr.Road.Passenger.Bus.ICE.LPG</t>
  </si>
  <si>
    <t>Eff.kgoe_per_kpkm.BE.Tr.Road.Passenger.Bus.ICE.NGas</t>
  </si>
  <si>
    <t>Eff.kgoe_per_kpkm.BE.Tr.Road.Passenger.Bus.BEV</t>
  </si>
  <si>
    <t>Eff.kgoe_per_ktkm.BE.Tr.Road.Freight.LCV.ICE.Gasoline</t>
  </si>
  <si>
    <t>Eff.kgoe_per_ktkm.BE.Tr.Road.Freight.LCV.ICE.Diesel</t>
  </si>
  <si>
    <t>Eff.kgoe_per_ktkm.BE.Tr.Road.Freight.LCV.ICE.LPG</t>
  </si>
  <si>
    <t>Eff.kgoe_per_ktkm.BE.Tr.Road.Freight.LCV.ICE.NGas</t>
  </si>
  <si>
    <t>Eff.kgoe_per_ktkm.BE.Tr.Road.Freight.LCV.BEV</t>
  </si>
  <si>
    <t>Eff.kgoe_per_ktkm.BE.Tr.Road.Freight.HGV_Domestic</t>
  </si>
  <si>
    <t>Eff.kgoe_per_ktkm.BE.Tr.Road.Freight.HGV_International</t>
  </si>
  <si>
    <t>FEC_per_vehicle.kgoe.BE.Tr.Road.Passenger.P2W</t>
  </si>
  <si>
    <t>FEC_per_vehicle.kgoe.BE.Tr.Road.Passenger.Car</t>
  </si>
  <si>
    <t>FEC_per_vehicle.kgoe.BE.Tr.Road.Passenger.Car.ICE.Gasoline</t>
  </si>
  <si>
    <t>FEC_per_vehicle.kgoe.BE.Tr.Road.Passenger.Car.ICE.Diesel</t>
  </si>
  <si>
    <t>FEC_per_vehicle.kgoe.BE.Tr.Road.Passenger.Car.ICE.LPG</t>
  </si>
  <si>
    <t>FEC_per_vehicle.kgoe.BE.Tr.Road.Passenger.Car.ICE.NGas</t>
  </si>
  <si>
    <t>FEC_per_vehicle.kgoe.BE.Tr.Road.Passenger.Car.PHEV.Gasoline</t>
  </si>
  <si>
    <t>FEC_per_vehicle.kgoe.BE.Tr.Road.Passenger.Car.BEV</t>
  </si>
  <si>
    <t>FEC_per_vehicle.kgoe.BE.Tr.Road.Passenger.Bus</t>
  </si>
  <si>
    <t>FEC_per_vehicle.kgoe.BE.Tr.Road.Passenger.Bus.ICE.Gasoline</t>
  </si>
  <si>
    <t>FEC_per_vehicle.kgoe.BE.Tr.Road.Passenger.Bus.ICE.Diesel</t>
  </si>
  <si>
    <t>FEC_per_vehicle.kgoe.BE.Tr.Road.Passenger.Bus.ICE.LPG</t>
  </si>
  <si>
    <t>FEC_per_vehicle.kgoe.BE.Tr.Road.Passenger.Bus.ICE.NGas</t>
  </si>
  <si>
    <t>FEC_per_vehicle.kgoe.BE.Tr.Road.Passenger.Bus.BEV</t>
  </si>
  <si>
    <t>FEC_per_vehicle.kgoe.BE.Tr.Road.Freight.LCV</t>
  </si>
  <si>
    <t>FEC_per_vehicle.kgoe.BE.Tr.Road.Freight.LCV.ICE.Gasoline</t>
  </si>
  <si>
    <t>FEC_per_vehicle.kgoe.BE.Tr.Road.Freight.LCV.ICE.Diesel</t>
  </si>
  <si>
    <t>FEC_per_vehicle.kgoe.BE.Tr.Road.Freight.LCV.ICE.LPG</t>
  </si>
  <si>
    <t>FEC_per_vehicle.kgoe.BE.Tr.Road.Freight.LCV.ICE.NGas</t>
  </si>
  <si>
    <t>FEC_per_vehicle.kgoe.BE.Tr.Road.Freight.LCV.BEV</t>
  </si>
  <si>
    <t>FEC_per_vehicle.kgoe.BE.Tr.Road.Freight.HGV_All</t>
  </si>
  <si>
    <t>FEC_per_vehicle.kgoe.BE.Tr.Road.Freight.HGV_Domestic</t>
  </si>
  <si>
    <t>FEC_per_vehicle.kgoe.BE.Tr.Road.Freight.HGV_International</t>
  </si>
  <si>
    <t>Road transport / CO2 emissions - BE - Belgium</t>
  </si>
  <si>
    <t>EMI.ktCO2.BE.ES.Tr.Road</t>
  </si>
  <si>
    <t>EMI.ktCO2.BE.ES.Tr.Road.LPG</t>
  </si>
  <si>
    <t>EMI.ktCO2.BE.ES.Tr.Road.Gasoline</t>
  </si>
  <si>
    <t>EMI.ktCO2.BE.ES.Tr.Road.Diesel</t>
  </si>
  <si>
    <t>EMI.ktCO2.BE.ES.Tr.Road.NG</t>
  </si>
  <si>
    <t>EMI.ktCO2.BE.ES.Tr.Road.Biogas</t>
  </si>
  <si>
    <t>EMI.ktCO2.BE.ES.Tr.Road.Biogasoline</t>
  </si>
  <si>
    <t>EMI.ktCO2.BE.ES.Tr.Road.Biodiesel</t>
  </si>
  <si>
    <t>EMI.ktCO2.BE.ES.Tr.Road.OthLiqBio</t>
  </si>
  <si>
    <t>EMI.ktCO2.BE.ES.Tr.Road.Elec</t>
  </si>
  <si>
    <t>EMI.ktCO2.BE.Tr.Road</t>
  </si>
  <si>
    <t>EMI.ktCO2.BE.Tr.Road.Passenger.Car.ICE.Gasoline</t>
  </si>
  <si>
    <t>EMI.ktCO2.BE.Tr.Road.Passenger.Car.ICE.Diesel</t>
  </si>
  <si>
    <t>EMI.ktCO2.BE.Tr.Road.Passenger.Car.ICE.LPG</t>
  </si>
  <si>
    <t>EMI.ktCO2.BE.Tr.Road.Passenger.Car.ICE.NGas</t>
  </si>
  <si>
    <t>EMI.ktCO2.BE.Tr.Road.Passenger.Car.PHEV.Gasoline</t>
  </si>
  <si>
    <t>EMI.ktCO2.BE.Tr.Road.Passenger.Car.BEV</t>
  </si>
  <si>
    <t>EMI.ktCO2.BE.Tr.Road.Passenger.Bus.ICE.Gasoline</t>
  </si>
  <si>
    <t>EMI.ktCO2.BE.Tr.Road.Passenger.Bus.ICE.Diesel</t>
  </si>
  <si>
    <t>EMI.ktCO2.BE.Tr.Road.Passenger.Bus.ICE.LPG</t>
  </si>
  <si>
    <t>EMI.ktCO2.BE.Tr.Road.Passenger.Bus.ICE.NGas</t>
  </si>
  <si>
    <t>EMI.ktCO2.BE.Tr.Road.Passenger.Bus.BEV</t>
  </si>
  <si>
    <t>EMI.ktCO2.BE.Tr.Road.Freight.LCV.ICE.Gasoline</t>
  </si>
  <si>
    <t>EMI.ktCO2.BE.Tr.Road.Freight.LCV.ICE.Diesel</t>
  </si>
  <si>
    <t>EMI.ktCO2.BE.Tr.Road.Freight.LCV.ICE.LPG</t>
  </si>
  <si>
    <t>EMI.ktCO2.BE.Tr.Road.Freight.LCV.ICE.NGas</t>
  </si>
  <si>
    <t>EMI.ktCO2.BE.Tr.Road.Freight.LCV.BEV</t>
  </si>
  <si>
    <t>EMI.ktCO2.BE.Tr.Road.Freight.HGV_Domestic</t>
  </si>
  <si>
    <t>EMI.ktCO2.BE.Tr.Road.Freight.HGV_International</t>
  </si>
  <si>
    <t>EMIint.gCO2_per_km.BE.Tr.Road</t>
  </si>
  <si>
    <t>EMIint.gCO2_per_km.BE.Tr.Road.Passenger</t>
  </si>
  <si>
    <t>EMIint.gCO2_per_km.BE.Tr.Road.Passenger.P2W</t>
  </si>
  <si>
    <t>EMIint.gCO2_per_km.BE.Tr.Road.Passenger.Car</t>
  </si>
  <si>
    <t>EMIint.gCO2_per_km.BE.Tr.Road.Passenger.Car.ICE.Gasoline</t>
  </si>
  <si>
    <t>EMIint.gCO2_per_km.BE.Tr.Road.Passenger.Car.ICE.Diesel</t>
  </si>
  <si>
    <t>EMIint.gCO2_per_km.BE.Tr.Road.Passenger.Car.ICE.LPG</t>
  </si>
  <si>
    <t>EMIint.gCO2_per_km.BE.Tr.Road.Passenger.Car.ICE.NGas</t>
  </si>
  <si>
    <t>EMIint.gCO2_per_km.BE.Tr.Road.Passenger.Car.PHEV.Gasoline</t>
  </si>
  <si>
    <t>EMIint.gCO2_per_km.BE.Tr.Road.Passenger.Car.BEV</t>
  </si>
  <si>
    <t>EMIint.gCO2_per_km.BE.Tr.Road.Passenger.Bus</t>
  </si>
  <si>
    <t>EMIint.gCO2_per_km.BE.Tr.Road.Passenger.Bus.ICE.Gasoline</t>
  </si>
  <si>
    <t>EMIint.gCO2_per_km.BE.Tr.Road.Passenger.Bus.ICE.Diesel</t>
  </si>
  <si>
    <t>EMIint.gCO2_per_km.BE.Tr.Road.Passenger.Bus.ICE.LPG</t>
  </si>
  <si>
    <t>EMIint.gCO2_per_km.BE.Tr.Road.Passenger.Bus.ICE.NGas</t>
  </si>
  <si>
    <t>EMIint.gCO2_per_km.BE.Tr.Road.Passenger.Bus.BEV</t>
  </si>
  <si>
    <t>EMIint.gCO2_per_km.BE.Tr.Road.Freight</t>
  </si>
  <si>
    <t>EMIint.gCO2_per_km.BE.Tr.Road.Freight.LCV</t>
  </si>
  <si>
    <t>EMIint.gCO2_per_km.BE.Tr.Road.Freight.LCV.ICE.Gasoline</t>
  </si>
  <si>
    <t>EMIint.gCO2_per_km.BE.Tr.Road.Freight.LCV.ICE.Diesel</t>
  </si>
  <si>
    <t>EMIint.gCO2_per_km.BE.Tr.Road.Freight.LCV.ICE.LPG</t>
  </si>
  <si>
    <t>EMIint.gCO2_per_km.BE.Tr.Road.Freight.LCV.ICE.NGas</t>
  </si>
  <si>
    <t>EMIint.gCO2_per_km.BE.Tr.Road.Freight.LCV.BEV</t>
  </si>
  <si>
    <t>EMIint.gCO2_per_km.BE.Tr.Road.Freight.HGV_All</t>
  </si>
  <si>
    <t>EMIint.gCO2_per_km.BE.Tr.Road.Freight.HGV_Domestic</t>
  </si>
  <si>
    <t>EMIint.gCO2_per_km.BE.Tr.Road.Freight.HGV_International</t>
  </si>
  <si>
    <t>EMIint.gCO2_per_pkm.BE.Tr.Road.Passenger.Car.ICE.Gasoline</t>
  </si>
  <si>
    <t>EMIint.gCO2_per_pkm.BE.Tr.Road.Passenger.Car.ICE.Diesel</t>
  </si>
  <si>
    <t>EMIint.gCO2_per_pkm.BE.Tr.Road.Passenger.Car.ICE.LPG</t>
  </si>
  <si>
    <t>EMIint.gCO2_per_pkm.BE.Tr.Road.Passenger.Car.ICE.NGas</t>
  </si>
  <si>
    <t>EMIint.gCO2_per_pkm.BE.Tr.Road.Passenger.Car.PHEV.Gasoline</t>
  </si>
  <si>
    <t>EMIint.gCO2_per_pkm.BE.Tr.Road.Passenger.Car.BEV</t>
  </si>
  <si>
    <t>EMIint.gCO2_per_pkm.BE.Tr.Road.Passenger.Bus.ICE.Gasoline</t>
  </si>
  <si>
    <t>EMIint.gCO2_per_pkm.BE.Tr.Road.Passenger.Bus.ICE.Diesel</t>
  </si>
  <si>
    <t>EMIint.gCO2_per_pkm.BE.Tr.Road.Passenger.Bus.ICE.LPG</t>
  </si>
  <si>
    <t>EMIint.gCO2_per_pkm.BE.Tr.Road.Passenger.Bus.ICE.NGas</t>
  </si>
  <si>
    <t>EMIint.gCO2_per_pkm.BE.Tr.Road.Passenger.Bus.BEV</t>
  </si>
  <si>
    <t>EMIint.gCO2_per_tkm.BE.Tr.Road.Freight.LCV.ICE.Gasoline</t>
  </si>
  <si>
    <t>EMIint.gCO2_per_tkm.BE.Tr.Road.Freight.LCV.ICE.Diesel</t>
  </si>
  <si>
    <t>EMIint.gCO2_per_tkm.BE.Tr.Road.Freight.LCV.ICE.LPG</t>
  </si>
  <si>
    <t>EMIint.gCO2_per_tkm.BE.Tr.Road.Freight.LCV.ICE.NGas</t>
  </si>
  <si>
    <t>EMIint.gCO2_per_tkm.BE.Tr.Road.Freight.LCV.BEV</t>
  </si>
  <si>
    <t>EMIint.gCO2_per_tkm.BE.Tr.Road.Freight.HGV_Domestic</t>
  </si>
  <si>
    <t>EMIint.gCO2_per_tkm.BE.Tr.Road.Freight.HGV_International</t>
  </si>
  <si>
    <t>EMI_per_vehicle.kgCO2.BE.Tr.Road.Passenger.P2W</t>
  </si>
  <si>
    <t>EMI_per_vehicle.kgCO2.BE.Tr.Road.Passenger.Car</t>
  </si>
  <si>
    <t>EMI_per_vehicle.kgCO2.BE.Tr.Road.Passenger.Car.ICE.Gasoline</t>
  </si>
  <si>
    <t>EMI_per_vehicle.kgCO2.BE.Tr.Road.Passenger.Car.ICE.Diesel</t>
  </si>
  <si>
    <t>EMI_per_vehicle.kgCO2.BE.Tr.Road.Passenger.Car.ICE.LPG</t>
  </si>
  <si>
    <t>EMI_per_vehicle.kgCO2.BE.Tr.Road.Passenger.Car.ICE.NGas</t>
  </si>
  <si>
    <t>EMI_per_vehicle.kgCO2.BE.Tr.Road.Passenger.Car.PHEV.Gasoline</t>
  </si>
  <si>
    <t>EMI_per_vehicle.kgCO2.BE.Tr.Road.Passenger.Car.BEV</t>
  </si>
  <si>
    <t>EMI_per_vehicle.kgCO2.BE.Tr.Road.Passenger.Bus</t>
  </si>
  <si>
    <t>EMI_per_vehicle.kgCO2.BE.Tr.Road.Passenger.Bus.ICE.Gasoline</t>
  </si>
  <si>
    <t>EMI_per_vehicle.kgCO2.BE.Tr.Road.Passenger.Bus.ICE.Diesel</t>
  </si>
  <si>
    <t>EMI_per_vehicle.kgCO2.BE.Tr.Road.Passenger.Bus.ICE.LPG</t>
  </si>
  <si>
    <t>EMI_per_vehicle.kgCO2.BE.Tr.Road.Passenger.Bus.ICE.NGas</t>
  </si>
  <si>
    <t>EMI_per_vehicle.kgCO2.BE.Tr.Road.Passenger.Bus.BEV</t>
  </si>
  <si>
    <t>EMI_per_vehicle.kgCO2.BE.Tr.Road.Freight.LCV</t>
  </si>
  <si>
    <t>EMI_per_vehicle.kgCO2.BE.Tr.Road.Freight.LCV.ICE.Gasoline</t>
  </si>
  <si>
    <t>EMI_per_vehicle.kgCO2.BE.Tr.Road.Freight.LCV.ICE.Diesel</t>
  </si>
  <si>
    <t>EMI_per_vehicle.kgCO2.BE.Tr.Road.Freight.LCV.ICE.LPG</t>
  </si>
  <si>
    <t>EMI_per_vehicle.kgCO2.BE.Tr.Road.Freight.LCV.ICE.NGas</t>
  </si>
  <si>
    <t>EMI_per_vehicle.kgCO2.BE.Tr.Road.Freight.LCV.BEV</t>
  </si>
  <si>
    <t>EMI_per_vehicle.kgCO2.BE.Tr.Road.Freight.HGV_All</t>
  </si>
  <si>
    <t>EMI_per_vehicle.kgCO2.BE.Tr.Road.Freight.HGV_Domestic</t>
  </si>
  <si>
    <t>EMI_per_vehicle.kgCO2.BE.Tr.Road.Freight.HGV_International</t>
  </si>
  <si>
    <t>Road transport / technologies - BE - Belgium</t>
  </si>
  <si>
    <t>Stock.number.BE.Tr.Road.Freight.HGV_all</t>
  </si>
  <si>
    <t>StockVin.number.BE.Tr.Road</t>
  </si>
  <si>
    <t>StockVin.number.BE.Tr.Road.Passenger</t>
  </si>
  <si>
    <t>StockVin.number.BE.Tr.Road.Passenger.P2W</t>
  </si>
  <si>
    <t>StockVin.number.BE.Tr.Road.Passenger.Car</t>
  </si>
  <si>
    <t>StockVin.number.BE.Tr.Road.Passenger.Car.ICE.Gasoline</t>
  </si>
  <si>
    <t>StockVin.number.BE.Tr.Road.Passenger.Car.ICE.Diesel</t>
  </si>
  <si>
    <t>StockVin.number.BE.Tr.Road.Passenger.Car.ICE.LPG</t>
  </si>
  <si>
    <t>StockVin.number.BE.Tr.Road.Passenger.Car.ICE.NGas</t>
  </si>
  <si>
    <t>StockVin.number.BE.Tr.Road.Passenger.Car.PHEV.Gasoline</t>
  </si>
  <si>
    <t>StockVin.number.BE.Tr.Road.Passenger.Car.BEV</t>
  </si>
  <si>
    <t>StockVin.number.BE.Tr.Road.Passenger.Bus</t>
  </si>
  <si>
    <t>StockVin.number.BE.Tr.Road.Passenger.Bus.ICE.Gasoline</t>
  </si>
  <si>
    <t>StockVin.number.BE.Tr.Road.Passenger.Bus.ICE.Diesel</t>
  </si>
  <si>
    <t>StockVin.number.BE.Tr.Road.Passenger.Bus.ICE.LPG</t>
  </si>
  <si>
    <t>StockVin.number.BE.Tr.Road.Passenger.Bus.ICE.NGas</t>
  </si>
  <si>
    <t>StockVin.number.BE.Tr.Road.Passenger.Bus.BEV</t>
  </si>
  <si>
    <t>StockVin.number.BE.Tr.Road.Freight</t>
  </si>
  <si>
    <t>StockVin.number.BE.Tr.Road.Freight.LCV</t>
  </si>
  <si>
    <t>StockVin.number.BE.Tr.Road.Freight.LCV.ICE.Gasoline</t>
  </si>
  <si>
    <t>StockVin.number.BE.Tr.Road.Freight.LCV.ICE.Diesel</t>
  </si>
  <si>
    <t>StockVin.number.BE.Tr.Road.Freight.LCV.ICE.LPG</t>
  </si>
  <si>
    <t>StockVin.number.BE.Tr.Road.Freight.LCV.ICE.NGas</t>
  </si>
  <si>
    <t>StockVin.number.BE.Tr.Road.Freight.LCV.BEV</t>
  </si>
  <si>
    <t>StockVin.number.BE.Tr.Road.Freight.HGV_All</t>
  </si>
  <si>
    <t>StockVin.number.BE.Tr.Road.Freight.HGV_Domestic</t>
  </si>
  <si>
    <t>StockVin.number.BE.Tr.Road.Freight.HGV_International</t>
  </si>
  <si>
    <t>Eff_test_stock.kgoe_per_100km.BE.Tr.Road.Passenger.P2W</t>
  </si>
  <si>
    <t>Eff_test_stock.kgoe_per_100km.BE.Tr.Road.Passenger.Car</t>
  </si>
  <si>
    <t>Eff_test_stock.kgoe_per_100km.BE.Tr.Road.Passenger.Car.ICE.Gasoline</t>
  </si>
  <si>
    <t>Eff_test_stock.kgoe_per_100km.BE.Tr.Road.Passenger.Car.ICE.Diesel</t>
  </si>
  <si>
    <t>Eff_test_stock.kgoe_per_100km.BE.Tr.Road.Passenger.Car.ICE.LPG</t>
  </si>
  <si>
    <t>Eff_test_stock.kgoe_per_100km.BE.Tr.Road.Passenger.Car.ICE.NGas</t>
  </si>
  <si>
    <t>Eff_test_stock.kgoe_per_100km.BE.Tr.Road.Passenger.Car.PHEV.Gasoline</t>
  </si>
  <si>
    <t>Eff_test_stock.kgoe_per_100km.BE.Tr.Road.Passenger.Car.BEV</t>
  </si>
  <si>
    <t>Eff_test_stock.kgoe_per_100km.BE.Tr.Road.Passenger.Bus</t>
  </si>
  <si>
    <t>Eff_test_stock.kgoe_per_100km.BE.Tr.Road.Passenger.Bus.ICE.Gasoline</t>
  </si>
  <si>
    <t>Eff_test_stock.kgoe_per_100km.BE.Tr.Road.Passenger.Bus.ICE.Diesel</t>
  </si>
  <si>
    <t>Eff_test_stock.kgoe_per_100km.BE.Tr.Road.Passenger.Bus.ICE.LPG</t>
  </si>
  <si>
    <t>Eff_test_stock.kgoe_per_100km.BE.Tr.Road.Passenger.Bus.ICE.NGas</t>
  </si>
  <si>
    <t>Eff_test_stock.kgoe_per_100km.BE.Tr.Road.Passenger.Bus.BEV</t>
  </si>
  <si>
    <t>Eff_test_stock.kgoe_per_100km.BE.Tr.Road.Freight.LCV</t>
  </si>
  <si>
    <t>Eff_test_stock.kgoe_per_100km.BE.Tr.Road.Freight.LCV.ICE.Gasoline</t>
  </si>
  <si>
    <t>Eff_test_stock.kgoe_per_100km.BE.Tr.Road.Freight.LCV.ICE.Diesel</t>
  </si>
  <si>
    <t>Eff_test_stock.kgoe_per_100km.BE.Tr.Road.Freight.LCV.ICE.LPG</t>
  </si>
  <si>
    <t>Eff_test_stock.kgoe_per_100km.BE.Tr.Road.Freight.LCV.ICE.NGas</t>
  </si>
  <si>
    <t>Eff_test_stock.kgoe_per_100km.BE.Tr.Road.Freight.LCV.BEV</t>
  </si>
  <si>
    <t>Eff_test_stock.kgoe_per_100km.BE.Tr.Road.Freight.HGV_All</t>
  </si>
  <si>
    <t>Eff_test_stock.kgoe_per_100km.BE.Tr.Road.Freight.HGV_Domestic</t>
  </si>
  <si>
    <t>Eff_test_stock.kgoe_per_100km.BE.Tr.Road.Freight.HGV_International</t>
  </si>
  <si>
    <t>Eff_test_new.kgoe_per_100km.BE.Tr.Road.Passenger.P2W</t>
  </si>
  <si>
    <t>Eff_test_new.kgoe_per_100km.BE.Tr.Road.Passenger.Car</t>
  </si>
  <si>
    <t>Eff_test_new.kgoe_per_100km.BE.Tr.Road.Passenger.Car.ICE.Gasoline</t>
  </si>
  <si>
    <t>Eff_test_new.kgoe_per_100km.BE.Tr.Road.Passenger.Car.ICE.Diesel</t>
  </si>
  <si>
    <t>Eff_test_new.kgoe_per_100km.BE.Tr.Road.Passenger.Car.ICE.LPG</t>
  </si>
  <si>
    <t>Eff_test_new.kgoe_per_100km.BE.Tr.Road.Passenger.Car.ICE.NGas</t>
  </si>
  <si>
    <t>Eff_test_new.kgoe_per_100km.BE.Tr.Road.Passenger.Car.PHEV.Gasoline</t>
  </si>
  <si>
    <t>Eff_test_new.kgoe_per_100km.BE.Tr.Road.Passenger.Car.BEV</t>
  </si>
  <si>
    <t>Eff_test_new.kgoe_per_100km.BE.Tr.Road.Passenger.Bus</t>
  </si>
  <si>
    <t>Eff_test_new.kgoe_per_100km.BE.Tr.Road.Passenger.Bus.ICE.Gasoline</t>
  </si>
  <si>
    <t>Eff_test_new.kgoe_per_100km.BE.Tr.Road.Passenger.Bus.ICE.Diesel</t>
  </si>
  <si>
    <t>Eff_test_new.kgoe_per_100km.BE.Tr.Road.Passenger.Bus.ICE.LPG</t>
  </si>
  <si>
    <t>Eff_test_new.kgoe_per_100km.BE.Tr.Road.Passenger.Bus.ICE.NGas</t>
  </si>
  <si>
    <t>Eff_test_new.kgoe_per_100km.BE.Tr.Road.Passenger.Bus.BEV</t>
  </si>
  <si>
    <t>Eff_test_new.kgoe_per_100km.BE.Tr.Road.Freight.LCV</t>
  </si>
  <si>
    <t>Eff_test_new.kgoe_per_100km.BE.Tr.Road.Freight.LCV.ICE.Gasoline</t>
  </si>
  <si>
    <t>Eff_test_new.kgoe_per_100km.BE.Tr.Road.Freight.LCV.ICE.Diesel</t>
  </si>
  <si>
    <t>Eff_test_new.kgoe_per_100km.BE.Tr.Road.Freight.LCV.ICE.LPG</t>
  </si>
  <si>
    <t>Eff_test_new.kgoe_per_100km.BE.Tr.Road.Freight.LCV.ICE.NGas</t>
  </si>
  <si>
    <t>Eff_test_new.kgoe_per_100km.BE.Tr.Road.Freight.LCV.BEV</t>
  </si>
  <si>
    <t>Eff_test_new.kgoe_per_100km.BE.Tr.Road.Freight.HGV_All</t>
  </si>
  <si>
    <t>Eff_test_new.kgoe_per_100km.BE.Tr.Road.Freight.HGV_Domestic</t>
  </si>
  <si>
    <t>Eff_test_new.kgoe_per_100km.BE.Tr.Road.Freight.HGV_International</t>
  </si>
  <si>
    <t>EMIint_test_stock.gCO2_per_km.BE.Tr.Road.Passenger.P2W</t>
  </si>
  <si>
    <t>EMIint_test_stock.gCO2_per_km.BE.Tr.Road.Passenger.Car</t>
  </si>
  <si>
    <t>EMIint_test_stock.gCO2_per_km.BE.Tr.Road.Passenger.Car.ICE.Gasoline</t>
  </si>
  <si>
    <t>EMIint_test_stock.gCO2_per_km.BE.Tr.Road.Passenger.Car.ICE.Diesel</t>
  </si>
  <si>
    <t>EMIint_test_stock.gCO2_per_km.BE.Tr.Road.Passenger.Car.ICE.LPG</t>
  </si>
  <si>
    <t>EMIint_test_stock.gCO2_per_km.BE.Tr.Road.Passenger.Car.ICE.NGas</t>
  </si>
  <si>
    <t>EMIint_test_stock.gCO2_per_km.BE.Tr.Road.Passenger.Car.PHEV.Gasoline</t>
  </si>
  <si>
    <t>EMIint_test_stock.gCO2_per_km.BE.Tr.Road.Passenger.Car.BEV</t>
  </si>
  <si>
    <t>EMIint_test_stock.gCO2_per_km.BE.Tr.Road.Passenger.Bus</t>
  </si>
  <si>
    <t>EMIint_test_stock.gCO2_per_km.BE.Tr.Road.Passenger.Bus.ICE.Gasoline</t>
  </si>
  <si>
    <t>EMIint_test_stock.gCO2_per_km.BE.Tr.Road.Passenger.Bus.ICE.Diesel</t>
  </si>
  <si>
    <t>EMIint_test_stock.gCO2_per_km.BE.Tr.Road.Passenger.Bus.ICE.LPG</t>
  </si>
  <si>
    <t>EMIint_test_stock.gCO2_per_km.BE.Tr.Road.Passenger.Bus.ICE.NGas</t>
  </si>
  <si>
    <t>EMIint_test_stock.gCO2_per_km.BE.Tr.Road.Passenger.Bus.BEV</t>
  </si>
  <si>
    <t>EMIint_test_stock.gCO2_per_km.BE.Tr.Road.Freight.LCV</t>
  </si>
  <si>
    <t>EMIint_test_stock.gCO2_per_km.BE.Tr.Road.Freight.LCV.ICE.Gasoline</t>
  </si>
  <si>
    <t>EMIint_test_stock.gCO2_per_km.BE.Tr.Road.Freight.LCV.ICE.Diesel</t>
  </si>
  <si>
    <t>EMIint_test_stock.gCO2_per_km.BE.Tr.Road.Freight.LCV.ICE.LPG</t>
  </si>
  <si>
    <t>EMIint_test_stock.gCO2_per_km.BE.Tr.Road.Freight.LCV.ICE.NGas</t>
  </si>
  <si>
    <t>EMIint_test_stock.gCO2_per_km.BE.Tr.Road.Freight.LCV.BEV</t>
  </si>
  <si>
    <t>EMIint_test_stock.gCO2_per_km.BE.Tr.Road.Freight.HGV_All</t>
  </si>
  <si>
    <t>EMIint_test_stock.gCO2_per_km.BE.Tr.Road.Freight.HGV_Domestic</t>
  </si>
  <si>
    <t>EMIint_test_stock.gCO2_per_km.BE.Tr.Road.Freight.HGV_International</t>
  </si>
  <si>
    <t>EMIint_test_new.gCO2_per_km.BE.Tr.Road.Passenger.P2W</t>
  </si>
  <si>
    <t>EMIint_test_new.gCO2_per_km.BE.Tr.Road.Passenger.Car</t>
  </si>
  <si>
    <t>EMIint_test_new.gCO2_per_km.BE.Tr.Road.Passenger.Car.ICE.Gasoline</t>
  </si>
  <si>
    <t>EMIint_test_new.gCO2_per_km.BE.Tr.Road.Passenger.Car.ICE.Diesel</t>
  </si>
  <si>
    <t>EMIint_test_new.gCO2_per_km.BE.Tr.Road.Passenger.Car.ICE.LPG</t>
  </si>
  <si>
    <t>EMIint_test_new.gCO2_per_km.BE.Tr.Road.Passenger.Car.ICE.NGas</t>
  </si>
  <si>
    <t>EMIint_test_new.gCO2_per_km.BE.Tr.Road.Passenger.Car.PHEV.Gasoline</t>
  </si>
  <si>
    <t>EMIint_test_new.gCO2_per_km.BE.Tr.Road.Passenger.Car.BEV</t>
  </si>
  <si>
    <t>EMIint_test_new.gCO2_per_km.BE.Tr.Road.Passenger.Bus</t>
  </si>
  <si>
    <t>EMIint_test_new.gCO2_per_km.BE.Tr.Road.Passenger.Bus.ICE.Gasoline</t>
  </si>
  <si>
    <t>EMIint_test_new.gCO2_per_km.BE.Tr.Road.Passenger.Bus.ICE.Diesel</t>
  </si>
  <si>
    <t>EMIint_test_new.gCO2_per_km.BE.Tr.Road.Passenger.Bus.ICE.LPG</t>
  </si>
  <si>
    <t>EMIint_test_new.gCO2_per_km.BE.Tr.Road.Passenger.Bus.ICE.NGas</t>
  </si>
  <si>
    <t>EMIint_test_new.gCO2_per_km.BE.Tr.Road.Passenger.Bus.BEV</t>
  </si>
  <si>
    <t>EMIint_test_new.gCO2_per_km.BE.Tr.Road.Freight.LCV</t>
  </si>
  <si>
    <t>EMIint_test_new.gCO2_per_km.BE.Tr.Road.Freight.LCV.ICE.Gasoline</t>
  </si>
  <si>
    <t>EMIint_test_new.gCO2_per_km.BE.Tr.Road.Freight.LCV.ICE.Diesel</t>
  </si>
  <si>
    <t>EMIint_test_new.gCO2_per_km.BE.Tr.Road.Freight.LCV.ICE.LPG</t>
  </si>
  <si>
    <t>EMIint_test_new.gCO2_per_km.BE.Tr.Road.Freight.LCV.ICE.NGas</t>
  </si>
  <si>
    <t>EMIint_test_new.gCO2_per_km.BE.Tr.Road.Freight.LCV.BEV</t>
  </si>
  <si>
    <t>EMIint_test_new.gCO2_per_km.BE.Tr.Road.Freight.HGV_All</t>
  </si>
  <si>
    <t>EMIint_test_new.gCO2_per_km.BE.Tr.Road.Freight.HGV_Domestic</t>
  </si>
  <si>
    <t>EMIint_test_new.gCO2_per_km.BE.Tr.Road.Freight.HGV_International</t>
  </si>
  <si>
    <t>FEC.ktoe.BE.MBunk</t>
  </si>
  <si>
    <t>FEC.ktoe.BE.MBunk.IntraEEA</t>
  </si>
  <si>
    <t>FEC.ktoe.BE.MBunk.ExtraEEA</t>
  </si>
  <si>
    <t>EMI.ktCO2.BE.MBunk</t>
  </si>
  <si>
    <t>EMI.ktCO2.BE.MBunk.IntraEEA</t>
  </si>
  <si>
    <t>EMI.ktCO2.BE.MBunk.ExtraEEA</t>
  </si>
  <si>
    <t>International maritime bunkers - BE - Belgium</t>
  </si>
  <si>
    <t>VehicleKm.Mkm.BE.MBunk.Freight</t>
  </si>
  <si>
    <t>VehicleKm.Mkm.BE.MBunk.Freight.IntraEEA</t>
  </si>
  <si>
    <t>VehicleKm.Mkm.BE.MBunk.Freight.ExtraEEA</t>
  </si>
  <si>
    <t>Load.t_per_movement.BE.MBunk.Freight</t>
  </si>
  <si>
    <t>Load.t_per_movement.BE.MBunk.Freight.IntraEEA</t>
  </si>
  <si>
    <t>Load.t_per_movement.BE.MBunk.Freight.ExtraEEA</t>
  </si>
  <si>
    <t>International maritime bunkers / energy consumption - BE - Belgium</t>
  </si>
  <si>
    <t>FEC.ktoe.BE.ES.MBunk</t>
  </si>
  <si>
    <t>FEC.ktoe.BE.ES.MBunk.IntraEEA</t>
  </si>
  <si>
    <t>FEC.ktoe.BE.ES.MBunk.IntraEEA.Diesel</t>
  </si>
  <si>
    <t>FEC.ktoe.BE.ES.MBunk.IntraEEA.RFO_Other</t>
  </si>
  <si>
    <t>FEC.ktoe.BE.ES.MBunk.IntraEEA.LiqBio</t>
  </si>
  <si>
    <t>FEC.ktoe.BE.ES.MBunk.IntraEEA.NG</t>
  </si>
  <si>
    <t>FEC.ktoe.BE.ES.MBunk.IntraEEA.Biogas</t>
  </si>
  <si>
    <t>FEC.ktoe.BE.ES.MBunk.ExtraEEA</t>
  </si>
  <si>
    <t>FEC.ktoe.BE.ES.MBunk.ExtraEEA.Diesel</t>
  </si>
  <si>
    <t>FEC.ktoe.BE.ES.MBunk.ExtraEEA.RFO_Other</t>
  </si>
  <si>
    <t>FEC.ktoe.BE.ES.MBunk.ExtraEEA.LiqBio</t>
  </si>
  <si>
    <t>FEC.ktoe.BE.ES.MBunk.ExtraEEA.NG</t>
  </si>
  <si>
    <t>FEC.ktoe.BE.ES.MBunk.ExtraEEA.Biogas</t>
  </si>
  <si>
    <t>Eff.kgoe_per_100km.BE.MBunk.Freight</t>
  </si>
  <si>
    <t>Eff.kgoe_per_100km.BE.MBunk.Freight.IntraEEA</t>
  </si>
  <si>
    <t>Eff.kgoe_per_100km.BE.MBunk.Freight.ExtraEEA</t>
  </si>
  <si>
    <t>International maritime bunkers / CO2 emissions - BE - Belgium</t>
  </si>
  <si>
    <t>EMI.ktCO2.BE.ES.MBunk</t>
  </si>
  <si>
    <t>EMI.ktCO2.BE.ES.MBunk.IntraEEA</t>
  </si>
  <si>
    <t>EMI.ktCO2.BE.ES.MBunk.ExtraEEA</t>
  </si>
  <si>
    <t>EMIint.gCO2_per_km.BE.MBunk.Freight</t>
  </si>
  <si>
    <t>EMIint.gCO2_per_km.BE.MBunk.Freight.IntraEEA</t>
  </si>
  <si>
    <t>EMIint.gCO2_per_km.BE.MBunk.Freight.ExtraEEA</t>
  </si>
  <si>
    <t>FEC.ktoe.BE.Tr.DNavi</t>
  </si>
  <si>
    <t>FEC.ktoe.BE.Tr.Dnavi.DCS</t>
  </si>
  <si>
    <t>FEC.ktoe.BE.Tr.Dnavi.IWW</t>
  </si>
  <si>
    <t>EMI.ktCO2.BE.Tr.DNavi</t>
  </si>
  <si>
    <t>EMI.ktCO2.BE.Tr.Dnavi.DCS</t>
  </si>
  <si>
    <t>EMI.ktCO2.BE.Tr.Dnavi.IWW</t>
  </si>
  <si>
    <t>Domestic navigation - BE - Belgium</t>
  </si>
  <si>
    <t>VehicleKm.Mkm.BE.Tr.DNavi.Freight</t>
  </si>
  <si>
    <t>VehicleKm.Mkm.BE.Tr.DNavi.Freight.DCS</t>
  </si>
  <si>
    <t>VehicleKm.Mkm.BE.Tr.DNavi.Freight.IWW</t>
  </si>
  <si>
    <t>Load.t_per_movement.BE.Tr.DNavi.Freight</t>
  </si>
  <si>
    <t>Load.t_per_movement.BE.Tr.DNavi.Freight.DCS</t>
  </si>
  <si>
    <t>Load.t_per_movement.BE.Tr.DNavi.Freight.IWW</t>
  </si>
  <si>
    <t>Domestic navigation / energy consumption - BE - Belgium</t>
  </si>
  <si>
    <t>FEC.ktoe.BE.ES.Tr.DNavi</t>
  </si>
  <si>
    <t>FEC.ktoe.BE.ES.Tr.DNavi.DCS</t>
  </si>
  <si>
    <t>FEC.ktoe.BE.ES.Tr.DNavi.DCS.Diesel</t>
  </si>
  <si>
    <t>FEC.ktoe.BE.ES.Tr.DNavi.DCS.RFO_Other</t>
  </si>
  <si>
    <t>FEC.ktoe.BE.ES.Tr.DNavi.DCS.LiqBio</t>
  </si>
  <si>
    <t>FEC.ktoe.BE.ES.Tr.DNavi.DCS.NG</t>
  </si>
  <si>
    <t>FEC.ktoe.BE.ES.Tr.DNavi.DCS.Biogas</t>
  </si>
  <si>
    <t>FEC.ktoe.BE.ES.Tr.DNavi.IWW</t>
  </si>
  <si>
    <t>FEC.ktoe.BE.ES.Tr.DNavi.IWW.Diesel</t>
  </si>
  <si>
    <t>FEC.ktoe.BE.ES.Tr.DNavi.IWW.RFO_Other</t>
  </si>
  <si>
    <t>FEC.ktoe.BE.ES.Tr.DNavi.IWW.LiqBio</t>
  </si>
  <si>
    <t>FEC.ktoe.BE.ES.Tr.DNavi.IWW.NG</t>
  </si>
  <si>
    <t>FEC.ktoe.BE.ES.Tr.DNavi.IWW.Biogas</t>
  </si>
  <si>
    <t>Eff.kgoe_per_100km.BE.Tr.DNavi.Freight</t>
  </si>
  <si>
    <t>Eff.kgoe_per_100km.BE.Tr.DNavi.Freight.DCS</t>
  </si>
  <si>
    <t>Eff.kgoe_per_100km.BE.Tr.DNavi.Freight.IWW</t>
  </si>
  <si>
    <t>Domestic navigation / CO2 emissions - BE - Belgium</t>
  </si>
  <si>
    <t>EMI.ktCO2.BE.ES.Tr.DNavi</t>
  </si>
  <si>
    <t>EMI.ktCO2.BE.ES.Tr.DNavi.DCS</t>
  </si>
  <si>
    <t>EMI.ktCO2.BE.ES.Tr.DNavi.IWW</t>
  </si>
  <si>
    <t>EMIint.gCO2_per_km.BE.Tr.DNavi.Freight</t>
  </si>
  <si>
    <t>EMIint.gCO2_per_km.BE.Tr.DNavi.Freight.DCS</t>
  </si>
  <si>
    <t>EMIint.gCO2_per_km.BE.Tr.DNavi.Freight.IWW</t>
  </si>
  <si>
    <t>Rail, metro and tram - BE - Belgium</t>
  </si>
  <si>
    <t>Activity.Mpkm.BE.Tr.Rail.Passenger.CPT.Diesel</t>
  </si>
  <si>
    <t>Activity.Mpkm.BE.Tr.Rail.Passenger.CPT.Elc</t>
  </si>
  <si>
    <t>Activity.Mtkm.BE.Tr.Rail.Freight.Diesel</t>
  </si>
  <si>
    <t>Activity.Mtkm.BE.Tr.Rail.Freight.Elc</t>
  </si>
  <si>
    <t>VehicleKm.Mkm.BE.Tr.Rail</t>
  </si>
  <si>
    <t>VehicleKm.Mkm.BE.Tr.Rail.Passenger</t>
  </si>
  <si>
    <t>VehicleKm.Mkm.BE.Tr.Rail.Passenger.MTU</t>
  </si>
  <si>
    <t>VehicleKm.Mkm.BE.Tr.Rail.Passenger.CPT</t>
  </si>
  <si>
    <t>VehicleKm.Mkm.BE.Tr.Rail.Passenger.CPT.Diesel</t>
  </si>
  <si>
    <t>VehicleKm.Mkm.BE.Tr.Rail.Passenger.CPT.Elc</t>
  </si>
  <si>
    <t>VehicleKm.Mkm.BE.Tr.Rail.Passenger.HST</t>
  </si>
  <si>
    <t>VehicleKm.Mkm.BE.Tr.Rail.Freight</t>
  </si>
  <si>
    <t>VehicleKm.Mkm.BE.Tr.Rail.Freight.Diesel</t>
  </si>
  <si>
    <t>VehicleKm.Mkm.BE.Tr.Rail.Freight.Elc</t>
  </si>
  <si>
    <t>Stock.number.BE.Tr.Rail</t>
  </si>
  <si>
    <t>Stock.number.BE.Tr.Rail.Passenger</t>
  </si>
  <si>
    <t>Stock.number.BE.Tr.Rail.Passenger.MTU</t>
  </si>
  <si>
    <t>Stock.number.BE.Tr.Rail.Passenger.CPT</t>
  </si>
  <si>
    <t>Stock.number.BE.Tr.Rail.Passenger.CPT.Diesel</t>
  </si>
  <si>
    <t>Stock.number.BE.Tr.Rail.Passenger.CPT.Elc</t>
  </si>
  <si>
    <t>Stock.number.BE.Tr.Rail.Passenger.HST</t>
  </si>
  <si>
    <t>Stock.number.BE.Tr.Rail.Freight</t>
  </si>
  <si>
    <t>Stock.number.BE.Tr.Rail.Freight.Diesel</t>
  </si>
  <si>
    <t>Stock.number.BE.Tr.Rail.Freight.Elc</t>
  </si>
  <si>
    <t>StockNew.number.BE.Tr.Rail</t>
  </si>
  <si>
    <t>StockNew.number.BE.Tr.Rail.Passenger</t>
  </si>
  <si>
    <t>StockNew.number.BE.Tr.Rail.Passenger.MTU</t>
  </si>
  <si>
    <t>StockNew.number.BE.Tr.Rail.Passenger.CPT</t>
  </si>
  <si>
    <t>StockNew.number.BE.Tr.Rail.Passenger.CPT.Diesel</t>
  </si>
  <si>
    <t>StockNew.number.BE.Tr.Rail.Passenger.CPT.Elc</t>
  </si>
  <si>
    <t>StockNew.number.BE.Tr.Rail.Passenger.HST</t>
  </si>
  <si>
    <t>StockNew.number.BE.Tr.Rail.Freight</t>
  </si>
  <si>
    <t>StockNew.number.BE.Tr.Rail.Freight.Diesel</t>
  </si>
  <si>
    <t>StockNew.number.BE.Tr.Rail.Freight.Elc</t>
  </si>
  <si>
    <t>Load.passenger_per_movement.BE.Tr.Rail.Passenger</t>
  </si>
  <si>
    <t>Load.passenger_per_movement.BE.Tr.Rail.Passenger.MTU</t>
  </si>
  <si>
    <t>Load.passenger_per_movement.BE.Tr.Rail.Passenger.CPT</t>
  </si>
  <si>
    <t>Load.passenger_per_movement.BE.Tr.Rail.Passenger.CPT.Diesel</t>
  </si>
  <si>
    <t>Load.passenger_per_movement.BE.Tr.Rail.Passenger.CPT.Elc</t>
  </si>
  <si>
    <t>Load.passenger_per_movement.BE.Tr.Rail.Passenger.HST</t>
  </si>
  <si>
    <t>Load.t_per_movement.BE.Tr.Rail.Freight</t>
  </si>
  <si>
    <t>Load.t_per_movement.BE.Tr.Rail.Freight.Diesel</t>
  </si>
  <si>
    <t>Load.t_per_movement.BE.Tr.Rail.Freight.Elc</t>
  </si>
  <si>
    <t>TrCap.seats.BE.Tr.Rail.Passenger</t>
  </si>
  <si>
    <t>TrCap.seats.BE.Tr.Rail.Passenger.MTU</t>
  </si>
  <si>
    <t>TrCap.seats.BE.Tr.Rail.Passenger.CPT</t>
  </si>
  <si>
    <t>TrCap.seats.BE.Tr.Rail.Passenger.CPT.Diesel</t>
  </si>
  <si>
    <t>TrCap.seats.BE.Tr.Rail.Passenger.CPT.Elc</t>
  </si>
  <si>
    <t>TrCap.seats.BE.Tr.Rail.Passenger.HST</t>
  </si>
  <si>
    <t>TrCap.t.BE.Tr.Rail.Freight</t>
  </si>
  <si>
    <t>TrCap.t.BE.Tr.Rail.Freight.Diesel</t>
  </si>
  <si>
    <t>TrCap.t.BE.Tr.Rail.Freight.Elc</t>
  </si>
  <si>
    <t>VehicleKm_per_vehicle.km.BE.Tr.Rail</t>
  </si>
  <si>
    <t>VehicleKm_per_vehicle.km.BE.Tr.Rail.Passenger</t>
  </si>
  <si>
    <t>VehicleKm_per_vehicle.km.BE.Tr.Rail.Passenger.MTU</t>
  </si>
  <si>
    <t>VehicleKm_per_vehicle.km.BE.Tr.Rail.Passenger.CPT</t>
  </si>
  <si>
    <t>VehicleKm_per_vehicle.km.BE.Tr.Rail.Passenger.CPT.Diesel</t>
  </si>
  <si>
    <t>VehicleKm_per_vehicle.km.BE.Tr.Rail.Passenger.CPT.Elc</t>
  </si>
  <si>
    <t>VehicleKm_per_vehicle.km.BE.Tr.Rail.Passenger.HST</t>
  </si>
  <si>
    <t>VehicleKm_per_vehicle.km.BE.Tr.Rail.Freight</t>
  </si>
  <si>
    <t>VehicleKm_per_vehicle.km.BE.Tr.Rail.Freight.Diesel</t>
  </si>
  <si>
    <t>VehicleKm_per_vehicle.km.BE.Tr.Rail.Freight.Elc</t>
  </si>
  <si>
    <t>Activity_per_vehicle.pkm.BE.Tr.Rail.Passenger</t>
  </si>
  <si>
    <t>Activity_per_vehicle.pkm.BE.Tr.Rail.Passenger.MTU</t>
  </si>
  <si>
    <t>Activity_per_vehicle.pkm.BE.Tr.Rail.Passenger.CPT</t>
  </si>
  <si>
    <t>Activity_per_vehicle.pkm.BE.Tr.Rail.Passenger.CPT.Diesel</t>
  </si>
  <si>
    <t>Activity_per_vehicle.pkm.BE.Tr.Rail.Passenger.CPT.Elc</t>
  </si>
  <si>
    <t>Activity_per_vehicle.pkm.BE.Tr.Rail.Passenger.HST</t>
  </si>
  <si>
    <t>Activity_per_vehicle.tkm.BE.Tr.Rail.Freight</t>
  </si>
  <si>
    <t>Activity_per_vehicle.tkm.BE.Tr.Rail.Freight.Diesel</t>
  </si>
  <si>
    <t>Activity_per_vehicle.tkm.BE.Tr.Rail.Freight.Elc</t>
  </si>
  <si>
    <t>Rail, metro and tram / energy consumption - BE - Belgium</t>
  </si>
  <si>
    <t>FEC.ktoe.BE.ES.Tr.Rail</t>
  </si>
  <si>
    <t>FEC.ktoe.BE.ES.Tr.Rail.Diesel</t>
  </si>
  <si>
    <t>FEC.ktoe.BE.ES.Tr.Rail.LiqBio</t>
  </si>
  <si>
    <t>FEC.ktoe.BE.ES.Tr.Rail.Elec</t>
  </si>
  <si>
    <t>FEC.ktoe.BE.Tr.Rail</t>
  </si>
  <si>
    <t>FEC.ktoe.BE.Tr.Rail.Passenger.CPT.Diesel</t>
  </si>
  <si>
    <t>FEC.ktoe.BE.Tr.Rail.Passenger.CPT.Elc</t>
  </si>
  <si>
    <t>FEC.ktoe.BE.Tr.Rail.Freight.Diesel</t>
  </si>
  <si>
    <t>FEC.ktoe.BE.Tr.Rail.Freight.Elc</t>
  </si>
  <si>
    <t>Eff.kgoe_per_100km.BE.Tr.Rail</t>
  </si>
  <si>
    <t>Eff.kgoe_per_100km.BE.Tr.Rail.Passenger</t>
  </si>
  <si>
    <t>Eff.kgoe_per_100km.BE.Tr.Rail.Passenger.MTU</t>
  </si>
  <si>
    <t>Eff.kgoe_per_100km.BE.Tr.Rail.Passenger.CPT</t>
  </si>
  <si>
    <t>Eff.kgoe_per_100km.BE.Tr.Rail.Passenger.CPT.Diesel</t>
  </si>
  <si>
    <t>Eff.kgoe_per_100km.BE.Tr.Rail.Passenger.CPT.Elc</t>
  </si>
  <si>
    <t>Eff.kgoe_per_100km.BE.Tr.Rail.Passenger.HST</t>
  </si>
  <si>
    <t>Eff.kgoe_per_100km.BE.Tr.Rail.Freight</t>
  </si>
  <si>
    <t>Eff.kgoe_per_100km.BE.Tr.Rail.Freight.Diesel</t>
  </si>
  <si>
    <t>Eff.kgoe_per_100km.BE.Tr.Rail.Freight.Elc</t>
  </si>
  <si>
    <t>Eff.kgoe_per_kpkm.BE.Tr.Rail.Passenger.CPT.Diesel</t>
  </si>
  <si>
    <t>Eff.kgoe_per_kpkm.BE.Tr.Rail.Passenger.CPT.Elc</t>
  </si>
  <si>
    <t>Eff.kgoe_per_ktkm.BE.Tr.Rail.Freight.Diesel</t>
  </si>
  <si>
    <t>Eff.kgoe_per_ktkm.BE.Tr.Rail.Freight.Elc</t>
  </si>
  <si>
    <t>FEC_per_vehicle.kgoe.BE.Tr.Rail</t>
  </si>
  <si>
    <t>FEC_per_vehicle.kgoe.BE.Tr.Rail.Passenger</t>
  </si>
  <si>
    <t>FEC_per_vehicle.kgoe.BE.Tr.Rail.Passenger.MTU</t>
  </si>
  <si>
    <t>FEC_per_vehicle.kgoe.BE.Tr.Rail.Passenger.CPT</t>
  </si>
  <si>
    <t>FEC_per_vehicle.kgoe.BE.Tr.Rail.Passenger.CPT.Diesel</t>
  </si>
  <si>
    <t>FEC_per_vehicle.kgoe.BE.Tr.Rail.Passenger.CPT.Elc</t>
  </si>
  <si>
    <t>FEC_per_vehicle.kgoe.BE.Tr.Rail.Passenger.HST</t>
  </si>
  <si>
    <t>FEC_per_vehicle.kgoe.BE.Tr.Rail.Freight</t>
  </si>
  <si>
    <t>FEC_per_vehicle.kgoe.BE.Tr.Rail.Freight.Diesel</t>
  </si>
  <si>
    <t>FEC_per_vehicle.kgoe.BE.Tr.Rail.Freight.Elc</t>
  </si>
  <si>
    <t>Rail, metro and tram / CO2 emissions - BE - Belgium</t>
  </si>
  <si>
    <t>EMI.ktCO2.BE.ES.Tr.Rail</t>
  </si>
  <si>
    <t>EMI.ktCO2.BE.ES.Tr.Rail.Diesel</t>
  </si>
  <si>
    <t>EMI.ktCO2.BE.ES.Tr.Rail.Elec</t>
  </si>
  <si>
    <t>EMI.ktCO2.BE.Tr.Rail</t>
  </si>
  <si>
    <t>EMI.ktCO2.BE.Tr.Rail.Passenger.CPT.Diesel</t>
  </si>
  <si>
    <t>EMI.ktCO2.BE.Tr.Rail.Passenger.CPT.Elc</t>
  </si>
  <si>
    <t>EMI.ktCO2.BE.Tr.Rail.Freight.Diesel</t>
  </si>
  <si>
    <t>EMI.ktCO2.BE.Tr.Rail.Freight.Elc</t>
  </si>
  <si>
    <t>EMIint.gCO2_per_km.BE.Tr.Rail</t>
  </si>
  <si>
    <t>EMIint.gCO2_per_km.BE.Tr.Rail.Passenger</t>
  </si>
  <si>
    <t>EMIint.gCO2_per_km.BE.Tr.Rail.Passenger.MTU</t>
  </si>
  <si>
    <t>EMIint.gCO2_per_km.BE.Tr.Rail.Passenger.CPT</t>
  </si>
  <si>
    <t>EMIint.gCO2_per_km.BE.Tr.Rail.Passenger.CPT.Diesel</t>
  </si>
  <si>
    <t>EMIint.gCO2_per_km.BE.Tr.Rail.Passenger.CPT.Elc</t>
  </si>
  <si>
    <t>EMIint.gCO2_per_km.BE.Tr.Rail.Passenger.HST</t>
  </si>
  <si>
    <t>EMIint.gCO2_per_km.BE.Tr.Rail.Freight</t>
  </si>
  <si>
    <t>EMIint.gCO2_per_km.BE.Tr.Rail.Freight.Diesel</t>
  </si>
  <si>
    <t>EMIint.gCO2_per_km.BE.Tr.Rail.Freight.Elc</t>
  </si>
  <si>
    <t>EMIint.gCO2_per_pkm.BE.Tr.Rail.Passenger.CPT.Diesel</t>
  </si>
  <si>
    <t>EMIint.gCO2_per_pkm.BE.Tr.Rail.Passenger.CPT.Elc</t>
  </si>
  <si>
    <t>EMIint.gCO2_per_tkm.BE.Tr.Rail.Freight.Diesel</t>
  </si>
  <si>
    <t>EMIint.gCO2_per_tkm.BE.Tr.Rail.Freight.Elc</t>
  </si>
  <si>
    <t>EMI_per_vehicle.tCO2.BE.Tr.Rail</t>
  </si>
  <si>
    <t>EMI_per_vehicle.tCO2.BE.Tr.Rail.Passenger</t>
  </si>
  <si>
    <t>EMI_per_vehicle.tCO2.BE.Tr.Rail.Passenger.MTU</t>
  </si>
  <si>
    <t>EMI_per_vehicle.tCO2.BE.Tr.Rail.Passenger.CPT</t>
  </si>
  <si>
    <t>EMI_per_vehicle.tCO2.BE.Tr.Rail.Passenger.CPT.Diesel</t>
  </si>
  <si>
    <t>EMI_per_vehicle.tCO2.BE.Tr.Rail.Passenger.CPT.Elc</t>
  </si>
  <si>
    <t>EMI_per_vehicle.tCO2.BE.Tr.Rail.Passenger.HST</t>
  </si>
  <si>
    <t>EMI_per_vehicle.tCO2.BE.Tr.Rail.Freight</t>
  </si>
  <si>
    <t>EMI_per_vehicle.tCO2.BE.Tr.Rail.Freight.Diesel</t>
  </si>
  <si>
    <t>EMI_per_vehicle.tCO2.BE.Tr.Rail.Freight.Elc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</si>
</sst>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45967.471805555557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146649.59739637384</v>
      </c>
      <c r="C4" s="28">
        <f t="shared" si="0"/>
        <v>147834.32651147805</v>
      </c>
      <c r="D4" s="28">
        <f t="shared" si="0"/>
        <v>144258.36127010148</v>
      </c>
      <c r="E4" s="28">
        <f t="shared" si="0"/>
        <v>144842.50138380437</v>
      </c>
      <c r="F4" s="28">
        <f t="shared" si="0"/>
        <v>149462.62702326779</v>
      </c>
      <c r="G4" s="28">
        <f t="shared" si="0"/>
        <v>148970.39200471516</v>
      </c>
      <c r="H4" s="28">
        <f t="shared" si="0"/>
        <v>150736.21283307753</v>
      </c>
      <c r="I4" s="28">
        <f t="shared" si="0"/>
        <v>155472.12530986694</v>
      </c>
      <c r="J4" s="28">
        <f t="shared" si="0"/>
        <v>160872.99145270325</v>
      </c>
      <c r="K4" s="28">
        <f t="shared" si="0"/>
        <v>160726.66579830536</v>
      </c>
      <c r="L4" s="28">
        <f t="shared" si="0"/>
        <v>164080.56104199507</v>
      </c>
      <c r="M4" s="28">
        <f t="shared" si="0"/>
        <v>167393.43297652726</v>
      </c>
      <c r="N4" s="28">
        <f t="shared" si="0"/>
        <v>168253.73306191849</v>
      </c>
      <c r="O4" s="28">
        <f t="shared" si="0"/>
        <v>161977.311552523</v>
      </c>
      <c r="P4" s="28">
        <f t="shared" si="0"/>
        <v>166398.78479160368</v>
      </c>
      <c r="Q4" s="28">
        <f t="shared" si="0"/>
        <v>165571.47475346318</v>
      </c>
      <c r="R4" s="28">
        <f t="shared" ref="R4:V4" si="1">R5+R9+R13</f>
        <v>161375.89618622378</v>
      </c>
      <c r="S4" s="28">
        <f t="shared" si="1"/>
        <v>165667.28852062847</v>
      </c>
      <c r="T4" s="28">
        <f t="shared" si="1"/>
        <v>170382.06952678549</v>
      </c>
      <c r="U4" s="28">
        <f t="shared" si="1"/>
        <v>172656.51010969796</v>
      </c>
      <c r="V4" s="28">
        <f t="shared" si="1"/>
        <v>121601.72398306429</v>
      </c>
      <c r="W4" s="28">
        <f t="shared" ref="W4:Y4" si="2">W5+W9+W13</f>
        <v>132336.31024405756</v>
      </c>
      <c r="X4" s="28">
        <f t="shared" si="2"/>
        <v>156637.4989807258</v>
      </c>
      <c r="Y4" s="28">
        <f t="shared" si="2"/>
        <v>166920.58884404981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117433.00886125924</v>
      </c>
      <c r="C5" s="137">
        <f t="shared" si="3"/>
        <v>118891.30258396639</v>
      </c>
      <c r="D5" s="137">
        <f t="shared" si="3"/>
        <v>121560.93037711133</v>
      </c>
      <c r="E5" s="137">
        <f t="shared" si="3"/>
        <v>120815.23445392773</v>
      </c>
      <c r="F5" s="137">
        <f t="shared" si="3"/>
        <v>122048.70723302575</v>
      </c>
      <c r="G5" s="137">
        <f t="shared" si="3"/>
        <v>122135.0545299863</v>
      </c>
      <c r="H5" s="137">
        <f t="shared" si="3"/>
        <v>122613.8931304783</v>
      </c>
      <c r="I5" s="137">
        <f t="shared" si="3"/>
        <v>125254.50743766688</v>
      </c>
      <c r="J5" s="137">
        <f t="shared" si="3"/>
        <v>127508.3723264904</v>
      </c>
      <c r="K5" s="137">
        <f t="shared" si="3"/>
        <v>127628.38228942899</v>
      </c>
      <c r="L5" s="137">
        <f t="shared" si="3"/>
        <v>128602.3835045498</v>
      </c>
      <c r="M5" s="137">
        <f t="shared" si="3"/>
        <v>129472.54895241375</v>
      </c>
      <c r="N5" s="137">
        <f t="shared" si="3"/>
        <v>129813.66365750924</v>
      </c>
      <c r="O5" s="137">
        <f t="shared" si="3"/>
        <v>122742.78362016167</v>
      </c>
      <c r="P5" s="137">
        <f t="shared" si="3"/>
        <v>125292.54792586355</v>
      </c>
      <c r="Q5" s="137">
        <f t="shared" si="3"/>
        <v>123141.55671870732</v>
      </c>
      <c r="R5" s="137">
        <f t="shared" ref="R5:V5" si="4">R6+R7+R8</f>
        <v>121526.6455029324</v>
      </c>
      <c r="S5" s="137">
        <f t="shared" si="4"/>
        <v>122000.96864754579</v>
      </c>
      <c r="T5" s="137">
        <f t="shared" si="4"/>
        <v>122477.63199963773</v>
      </c>
      <c r="U5" s="137">
        <f t="shared" si="4"/>
        <v>122878.12076963649</v>
      </c>
      <c r="V5" s="137">
        <f t="shared" si="4"/>
        <v>101887.1540052684</v>
      </c>
      <c r="W5" s="137">
        <f t="shared" ref="W5:Y5" si="5">W6+W7+W8</f>
        <v>107680.02718956837</v>
      </c>
      <c r="X5" s="137">
        <f t="shared" si="5"/>
        <v>114382.79772699421</v>
      </c>
      <c r="Y5" s="137">
        <f t="shared" si="5"/>
        <v>120598.4965159273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1590.3623888303241</v>
      </c>
      <c r="C6" s="102">
        <f>TrRoad_act!C$5</f>
        <v>1665.4020178848684</v>
      </c>
      <c r="D6" s="102">
        <f>TrRoad_act!D$5</f>
        <v>1758.0679492512361</v>
      </c>
      <c r="E6" s="102">
        <f>TrRoad_act!E$5</f>
        <v>1836.7829175178254</v>
      </c>
      <c r="F6" s="102">
        <f>TrRoad_act!F$5</f>
        <v>1871.6898187547949</v>
      </c>
      <c r="G6" s="102">
        <f>TrRoad_act!G$5</f>
        <v>1815.7420138147825</v>
      </c>
      <c r="H6" s="102">
        <f>TrRoad_act!H$5</f>
        <v>1876.2897786461263</v>
      </c>
      <c r="I6" s="102">
        <f>TrRoad_act!I$5</f>
        <v>1954.4734054710248</v>
      </c>
      <c r="J6" s="102">
        <f>TrRoad_act!J$5</f>
        <v>1955.5019977111742</v>
      </c>
      <c r="K6" s="102">
        <f>TrRoad_act!K$5</f>
        <v>1924.6048560295319</v>
      </c>
      <c r="L6" s="102">
        <f>TrRoad_act!L$5</f>
        <v>1834.6232854949799</v>
      </c>
      <c r="M6" s="102">
        <f>TrRoad_act!M$5</f>
        <v>1833.0161514524061</v>
      </c>
      <c r="N6" s="102">
        <f>TrRoad_act!N$5</f>
        <v>1762.6053755749622</v>
      </c>
      <c r="O6" s="102">
        <f>TrRoad_act!O$5</f>
        <v>1683.2479828536912</v>
      </c>
      <c r="P6" s="102">
        <f>TrRoad_act!P$5</f>
        <v>1777.3054142125457</v>
      </c>
      <c r="Q6" s="102">
        <f>TrRoad_act!Q$5</f>
        <v>1758.7881231583178</v>
      </c>
      <c r="R6" s="102">
        <f>TrRoad_act!R$5</f>
        <v>1800.2818020423713</v>
      </c>
      <c r="S6" s="102">
        <f>TrRoad_act!S$5</f>
        <v>1698.326884679253</v>
      </c>
      <c r="T6" s="102">
        <f>TrRoad_act!T$5</f>
        <v>1635.3714093245501</v>
      </c>
      <c r="U6" s="102">
        <f>TrRoad_act!U$5</f>
        <v>1752.0769201085423</v>
      </c>
      <c r="V6" s="102">
        <f>TrRoad_act!V$5</f>
        <v>1576.7533961627651</v>
      </c>
      <c r="W6" s="102">
        <f>TrRoad_act!W$5</f>
        <v>1656.8387177181955</v>
      </c>
      <c r="X6" s="102">
        <f>TrRoad_act!X$5</f>
        <v>1687.9514963740341</v>
      </c>
      <c r="Y6" s="102">
        <f>TrRoad_act!Y$5</f>
        <v>1829.290092944151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102544.38530389039</v>
      </c>
      <c r="C7" s="102">
        <f>TrRoad_act!C$6</f>
        <v>103440.56228671243</v>
      </c>
      <c r="D7" s="102">
        <f>TrRoad_act!D$6</f>
        <v>104843.43859901592</v>
      </c>
      <c r="E7" s="102">
        <f>TrRoad_act!E$6</f>
        <v>102494.87951863394</v>
      </c>
      <c r="F7" s="102">
        <f>TrRoad_act!F$6</f>
        <v>103034.02541013167</v>
      </c>
      <c r="G7" s="102">
        <f>TrRoad_act!G$6</f>
        <v>102804.26446068901</v>
      </c>
      <c r="H7" s="102">
        <f>TrRoad_act!H$6</f>
        <v>102659.59801049536</v>
      </c>
      <c r="I7" s="102">
        <f>TrRoad_act!I$6</f>
        <v>104570.39703409254</v>
      </c>
      <c r="J7" s="102">
        <f>TrRoad_act!J$6</f>
        <v>107942.87032877922</v>
      </c>
      <c r="K7" s="102">
        <f>TrRoad_act!K$6</f>
        <v>108073.77743339946</v>
      </c>
      <c r="L7" s="102">
        <f>TrRoad_act!L$6</f>
        <v>109387.76021905482</v>
      </c>
      <c r="M7" s="102">
        <f>TrRoad_act!M$6</f>
        <v>109969.53280096134</v>
      </c>
      <c r="N7" s="102">
        <f>TrRoad_act!N$6</f>
        <v>110141.05828193428</v>
      </c>
      <c r="O7" s="102">
        <f>TrRoad_act!O$6</f>
        <v>105293.13563730798</v>
      </c>
      <c r="P7" s="102">
        <f>TrRoad_act!P$6</f>
        <v>108110.64251165099</v>
      </c>
      <c r="Q7" s="102">
        <f>TrRoad_act!Q$6</f>
        <v>107001.968595549</v>
      </c>
      <c r="R7" s="102">
        <f>TrRoad_act!R$6</f>
        <v>106139.76370089002</v>
      </c>
      <c r="S7" s="102">
        <f>TrRoad_act!S$6</f>
        <v>106940.00000000001</v>
      </c>
      <c r="T7" s="102">
        <f>TrRoad_act!T$6</f>
        <v>107319.94254833911</v>
      </c>
      <c r="U7" s="102">
        <f>TrRoad_act!U$6</f>
        <v>107444.65259541536</v>
      </c>
      <c r="V7" s="102">
        <f>TrRoad_act!V$6</f>
        <v>91438.818388364307</v>
      </c>
      <c r="W7" s="102">
        <f>TrRoad_act!W$6</f>
        <v>96748.051778661131</v>
      </c>
      <c r="X7" s="102">
        <f>TrRoad_act!X$6</f>
        <v>100828.29149708756</v>
      </c>
      <c r="Y7" s="102">
        <f>TrRoad_act!Y$6</f>
        <v>105305.67919584153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13298.261168538518</v>
      </c>
      <c r="C8" s="102">
        <f>TrRoad_act!C$13</f>
        <v>13785.338279369089</v>
      </c>
      <c r="D8" s="102">
        <f>TrRoad_act!D$13</f>
        <v>14959.423828844177</v>
      </c>
      <c r="E8" s="102">
        <f>TrRoad_act!E$13</f>
        <v>16483.572017775958</v>
      </c>
      <c r="F8" s="102">
        <f>TrRoad_act!F$13</f>
        <v>17142.992004139294</v>
      </c>
      <c r="G8" s="102">
        <f>TrRoad_act!G$13</f>
        <v>17515.048055482508</v>
      </c>
      <c r="H8" s="102">
        <f>TrRoad_act!H$13</f>
        <v>18078.005341336815</v>
      </c>
      <c r="I8" s="102">
        <f>TrRoad_act!I$13</f>
        <v>18729.636998103306</v>
      </c>
      <c r="J8" s="102">
        <f>TrRoad_act!J$13</f>
        <v>17610</v>
      </c>
      <c r="K8" s="102">
        <f>TrRoad_act!K$13</f>
        <v>17630</v>
      </c>
      <c r="L8" s="102">
        <f>TrRoad_act!L$13</f>
        <v>17380</v>
      </c>
      <c r="M8" s="102">
        <f>TrRoad_act!M$13</f>
        <v>17670</v>
      </c>
      <c r="N8" s="102">
        <f>TrRoad_act!N$13</f>
        <v>17910</v>
      </c>
      <c r="O8" s="102">
        <f>TrRoad_act!O$13</f>
        <v>15766.400000000003</v>
      </c>
      <c r="P8" s="102">
        <f>TrRoad_act!P$13</f>
        <v>15404.6</v>
      </c>
      <c r="Q8" s="102">
        <f>TrRoad_act!Q$13</f>
        <v>14380.800000000003</v>
      </c>
      <c r="R8" s="102">
        <f>TrRoad_act!R$13</f>
        <v>13586.6</v>
      </c>
      <c r="S8" s="102">
        <f>TrRoad_act!S$13</f>
        <v>13362.641762866519</v>
      </c>
      <c r="T8" s="102">
        <f>TrRoad_act!T$13</f>
        <v>13522.318041974066</v>
      </c>
      <c r="U8" s="102">
        <f>TrRoad_act!U$13</f>
        <v>13681.391254112579</v>
      </c>
      <c r="V8" s="102">
        <f>TrRoad_act!V$13</f>
        <v>8871.5822207413312</v>
      </c>
      <c r="W8" s="102">
        <f>TrRoad_act!W$13</f>
        <v>9275.1366931890425</v>
      </c>
      <c r="X8" s="102">
        <f>TrRoad_act!X$13</f>
        <v>11866.554733532614</v>
      </c>
      <c r="Y8" s="102">
        <f>TrRoad_act!Y$13</f>
        <v>13463.527227141614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8604</v>
      </c>
      <c r="C9" s="110">
        <f t="shared" si="6"/>
        <v>8914</v>
      </c>
      <c r="D9" s="110">
        <f t="shared" si="6"/>
        <v>9150</v>
      </c>
      <c r="E9" s="110">
        <f t="shared" si="6"/>
        <v>9165</v>
      </c>
      <c r="F9" s="110">
        <f t="shared" si="6"/>
        <v>10135</v>
      </c>
      <c r="G9" s="110">
        <f t="shared" si="6"/>
        <v>9440</v>
      </c>
      <c r="H9" s="110">
        <f t="shared" si="6"/>
        <v>9914</v>
      </c>
      <c r="I9" s="110">
        <f t="shared" si="6"/>
        <v>10373</v>
      </c>
      <c r="J9" s="110">
        <f t="shared" si="6"/>
        <v>11139</v>
      </c>
      <c r="K9" s="110">
        <f t="shared" si="6"/>
        <v>11237</v>
      </c>
      <c r="L9" s="110">
        <f t="shared" si="6"/>
        <v>11568</v>
      </c>
      <c r="M9" s="110">
        <f t="shared" si="6"/>
        <v>11801.840179717587</v>
      </c>
      <c r="N9" s="110">
        <f t="shared" si="6"/>
        <v>12075.553181966081</v>
      </c>
      <c r="O9" s="110">
        <f t="shared" si="6"/>
        <v>12125.514532573296</v>
      </c>
      <c r="P9" s="110">
        <f t="shared" si="6"/>
        <v>12201.917278338889</v>
      </c>
      <c r="Q9" s="110">
        <f t="shared" si="6"/>
        <v>11772.308747385583</v>
      </c>
      <c r="R9" s="110">
        <f t="shared" ref="R9:V9" si="7">R10+R11+R12</f>
        <v>11292.377757983049</v>
      </c>
      <c r="S9" s="110">
        <f t="shared" si="7"/>
        <v>11760.436738466306</v>
      </c>
      <c r="T9" s="110">
        <f t="shared" si="7"/>
        <v>13221.755435622703</v>
      </c>
      <c r="U9" s="110">
        <f t="shared" si="7"/>
        <v>13472.108011195696</v>
      </c>
      <c r="V9" s="110">
        <f t="shared" si="7"/>
        <v>8798.9088570117183</v>
      </c>
      <c r="W9" s="110">
        <f t="shared" ref="W9:Y9" si="8">W10+W11+W12</f>
        <v>8820.2088570117194</v>
      </c>
      <c r="X9" s="110">
        <f t="shared" si="8"/>
        <v>12615.55152955246</v>
      </c>
      <c r="Y9" s="110">
        <f t="shared" si="8"/>
        <v>13622.955074930676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870</v>
      </c>
      <c r="C10" s="102">
        <f>TrRail_act!C$5</f>
        <v>876</v>
      </c>
      <c r="D10" s="102">
        <f>TrRail_act!D$5</f>
        <v>890</v>
      </c>
      <c r="E10" s="102">
        <f>TrRail_act!E$5</f>
        <v>900</v>
      </c>
      <c r="F10" s="102">
        <f>TrRail_act!F$5</f>
        <v>910</v>
      </c>
      <c r="G10" s="102">
        <f>TrRail_act!G$5</f>
        <v>930</v>
      </c>
      <c r="H10" s="102">
        <f>TrRail_act!H$5</f>
        <v>950</v>
      </c>
      <c r="I10" s="102">
        <f>TrRail_act!I$5</f>
        <v>970</v>
      </c>
      <c r="J10" s="102">
        <f>TrRail_act!J$5</f>
        <v>1000</v>
      </c>
      <c r="K10" s="102">
        <f>TrRail_act!K$5</f>
        <v>1000</v>
      </c>
      <c r="L10" s="102">
        <f>TrRail_act!L$5</f>
        <v>1070</v>
      </c>
      <c r="M10" s="102">
        <f>TrRail_act!M$5</f>
        <v>1132.8401797175866</v>
      </c>
      <c r="N10" s="102">
        <f>TrRail_act!N$5</f>
        <v>1218.5531819660803</v>
      </c>
      <c r="O10" s="102">
        <f>TrRail_act!O$5</f>
        <v>1239.5145325732949</v>
      </c>
      <c r="P10" s="102">
        <f>TrRail_act!P$5</f>
        <v>1227.917278338889</v>
      </c>
      <c r="Q10" s="102">
        <f>TrRail_act!Q$5</f>
        <v>1242.308747385583</v>
      </c>
      <c r="R10" s="102">
        <f>TrRail_act!R$5</f>
        <v>1267.3777579830498</v>
      </c>
      <c r="S10" s="102">
        <f>TrRail_act!S$5</f>
        <v>1396.4367384663055</v>
      </c>
      <c r="T10" s="102">
        <f>TrRail_act!T$5</f>
        <v>1424.7554356227033</v>
      </c>
      <c r="U10" s="102">
        <f>TrRail_act!U$5</f>
        <v>1472.1080111956962</v>
      </c>
      <c r="V10" s="102">
        <f>TrRail_act!V$5</f>
        <v>945.9088570117184</v>
      </c>
      <c r="W10" s="102">
        <f>TrRail_act!W$5</f>
        <v>945.9088570117184</v>
      </c>
      <c r="X10" s="102">
        <f>TrRail_act!X$5</f>
        <v>1167.2515295524606</v>
      </c>
      <c r="Y10" s="102">
        <f>TrRail_act!Y$5</f>
        <v>1285.955074930677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6869</v>
      </c>
      <c r="C11" s="102">
        <f>TrRail_act!C$6</f>
        <v>7149</v>
      </c>
      <c r="D11" s="102">
        <f>TrRail_act!D$6</f>
        <v>7351</v>
      </c>
      <c r="E11" s="102">
        <f>TrRail_act!E$6</f>
        <v>7387</v>
      </c>
      <c r="F11" s="102">
        <f>TrRail_act!F$6</f>
        <v>8285</v>
      </c>
      <c r="G11" s="102">
        <f>TrRail_act!G$6</f>
        <v>7528</v>
      </c>
      <c r="H11" s="102">
        <f>TrRail_act!H$6</f>
        <v>7964</v>
      </c>
      <c r="I11" s="102">
        <f>TrRail_act!I$6</f>
        <v>8385</v>
      </c>
      <c r="J11" s="102">
        <f>TrRail_act!J$6</f>
        <v>9060</v>
      </c>
      <c r="K11" s="102">
        <f>TrRail_act!K$6</f>
        <v>9176</v>
      </c>
      <c r="L11" s="102">
        <f>TrRail_act!L$6</f>
        <v>9437</v>
      </c>
      <c r="M11" s="102">
        <f>TrRail_act!M$6</f>
        <v>9764</v>
      </c>
      <c r="N11" s="102">
        <f>TrRail_act!N$6</f>
        <v>9952</v>
      </c>
      <c r="O11" s="102">
        <f>TrRail_act!O$6</f>
        <v>9981</v>
      </c>
      <c r="P11" s="102">
        <f>TrRail_act!P$6</f>
        <v>10064</v>
      </c>
      <c r="Q11" s="102">
        <f>TrRail_act!Q$6</f>
        <v>9330</v>
      </c>
      <c r="R11" s="102">
        <f>TrRail_act!R$6</f>
        <v>8525</v>
      </c>
      <c r="S11" s="102">
        <f>TrRail_act!S$6</f>
        <v>8800</v>
      </c>
      <c r="T11" s="102">
        <f>TrRail_act!T$6</f>
        <v>10233</v>
      </c>
      <c r="U11" s="102">
        <f>TrRail_act!U$6</f>
        <v>10436</v>
      </c>
      <c r="V11" s="102">
        <f>TrRail_act!V$6</f>
        <v>6858</v>
      </c>
      <c r="W11" s="102">
        <f>TrRail_act!W$6</f>
        <v>6524.3</v>
      </c>
      <c r="X11" s="102">
        <f>TrRail_act!X$6</f>
        <v>9993.5032179450209</v>
      </c>
      <c r="Y11" s="102">
        <f>TrRail_act!Y$6</f>
        <v>10769.271350312949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865</v>
      </c>
      <c r="C12" s="102">
        <f>TrRail_act!C$9</f>
        <v>889</v>
      </c>
      <c r="D12" s="102">
        <f>TrRail_act!D$9</f>
        <v>909</v>
      </c>
      <c r="E12" s="102">
        <f>TrRail_act!E$9</f>
        <v>878</v>
      </c>
      <c r="F12" s="102">
        <f>TrRail_act!F$9</f>
        <v>940</v>
      </c>
      <c r="G12" s="102">
        <f>TrRail_act!G$9</f>
        <v>982</v>
      </c>
      <c r="H12" s="102">
        <f>TrRail_act!H$9</f>
        <v>1000</v>
      </c>
      <c r="I12" s="102">
        <f>TrRail_act!I$9</f>
        <v>1018</v>
      </c>
      <c r="J12" s="102">
        <f>TrRail_act!J$9</f>
        <v>1079</v>
      </c>
      <c r="K12" s="102">
        <f>TrRail_act!K$9</f>
        <v>1061</v>
      </c>
      <c r="L12" s="102">
        <f>TrRail_act!L$9</f>
        <v>1061</v>
      </c>
      <c r="M12" s="102">
        <f>TrRail_act!M$9</f>
        <v>905</v>
      </c>
      <c r="N12" s="102">
        <f>TrRail_act!N$9</f>
        <v>905</v>
      </c>
      <c r="O12" s="102">
        <f>TrRail_act!O$9</f>
        <v>905</v>
      </c>
      <c r="P12" s="102">
        <f>TrRail_act!P$9</f>
        <v>910</v>
      </c>
      <c r="Q12" s="102">
        <f>TrRail_act!Q$9</f>
        <v>1200</v>
      </c>
      <c r="R12" s="102">
        <f>TrRail_act!R$9</f>
        <v>1500</v>
      </c>
      <c r="S12" s="102">
        <f>TrRail_act!S$9</f>
        <v>1564</v>
      </c>
      <c r="T12" s="102">
        <f>TrRail_act!T$9</f>
        <v>1564</v>
      </c>
      <c r="U12" s="102">
        <f>TrRail_act!U$9</f>
        <v>1564</v>
      </c>
      <c r="V12" s="102">
        <f>TrRail_act!V$9</f>
        <v>995</v>
      </c>
      <c r="W12" s="102">
        <f>TrRail_act!W$9</f>
        <v>1350</v>
      </c>
      <c r="X12" s="102">
        <f>TrRail_act!X$9</f>
        <v>1454.7967820549777</v>
      </c>
      <c r="Y12" s="102">
        <f>TrRail_act!Y$9</f>
        <v>1567.7286496870504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20612.588535114588</v>
      </c>
      <c r="C13" s="110">
        <f t="shared" ref="C13:V13" si="10">C14+C15+C16</f>
        <v>20029.023927511676</v>
      </c>
      <c r="D13" s="110">
        <f t="shared" si="10"/>
        <v>13547.430892990145</v>
      </c>
      <c r="E13" s="110">
        <f t="shared" si="10"/>
        <v>14862.26692987665</v>
      </c>
      <c r="F13" s="110">
        <f t="shared" si="10"/>
        <v>17278.919790242038</v>
      </c>
      <c r="G13" s="110">
        <f t="shared" si="10"/>
        <v>17395.33747472888</v>
      </c>
      <c r="H13" s="110">
        <f t="shared" si="10"/>
        <v>18208.319702599219</v>
      </c>
      <c r="I13" s="110">
        <f t="shared" si="10"/>
        <v>19844.617872200062</v>
      </c>
      <c r="J13" s="110">
        <f t="shared" si="10"/>
        <v>22225.619126212827</v>
      </c>
      <c r="K13" s="110">
        <f t="shared" si="10"/>
        <v>21861.283508876364</v>
      </c>
      <c r="L13" s="110">
        <f t="shared" si="10"/>
        <v>23910.17753744527</v>
      </c>
      <c r="M13" s="110">
        <f t="shared" si="10"/>
        <v>26119.043844395943</v>
      </c>
      <c r="N13" s="110">
        <f t="shared" si="10"/>
        <v>26364.516222443177</v>
      </c>
      <c r="O13" s="110">
        <f t="shared" si="10"/>
        <v>27109.013399788048</v>
      </c>
      <c r="P13" s="110">
        <f t="shared" si="10"/>
        <v>28904.319587401245</v>
      </c>
      <c r="Q13" s="110">
        <f t="shared" si="10"/>
        <v>30657.609287370287</v>
      </c>
      <c r="R13" s="110">
        <f t="shared" si="10"/>
        <v>28556.872925308337</v>
      </c>
      <c r="S13" s="110">
        <f t="shared" si="10"/>
        <v>31905.883134616379</v>
      </c>
      <c r="T13" s="110">
        <f t="shared" si="10"/>
        <v>34682.682091525057</v>
      </c>
      <c r="U13" s="110">
        <f t="shared" si="10"/>
        <v>36306.281328865785</v>
      </c>
      <c r="V13" s="110">
        <f t="shared" si="10"/>
        <v>10915.661120784182</v>
      </c>
      <c r="W13" s="110">
        <f t="shared" ref="W13:Y13" si="11">W14+W15+W16</f>
        <v>15836.074197477476</v>
      </c>
      <c r="X13" s="110">
        <f t="shared" si="11"/>
        <v>29639.149724179133</v>
      </c>
      <c r="Y13" s="110">
        <f t="shared" si="11"/>
        <v>32699.13725319185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10689.183744284714</v>
      </c>
      <c r="C15" s="102">
        <f>TrAvia_act!C$6</f>
        <v>10637.838771784522</v>
      </c>
      <c r="D15" s="102">
        <f>TrAvia_act!D$6</f>
        <v>7606.6399284788658</v>
      </c>
      <c r="E15" s="102">
        <f>TrAvia_act!E$6</f>
        <v>8431.393720064947</v>
      </c>
      <c r="F15" s="102">
        <f>TrAvia_act!F$6</f>
        <v>9500.9239978181995</v>
      </c>
      <c r="G15" s="102">
        <f>TrAvia_act!G$6</f>
        <v>9299.0042698353209</v>
      </c>
      <c r="H15" s="102">
        <f>TrAvia_act!H$6</f>
        <v>9697.9052187679372</v>
      </c>
      <c r="I15" s="102">
        <f>TrAvia_act!I$6</f>
        <v>9667.1312244668225</v>
      </c>
      <c r="J15" s="102">
        <f>TrAvia_act!J$6</f>
        <v>9488.878431367968</v>
      </c>
      <c r="K15" s="102">
        <f>TrAvia_act!K$6</f>
        <v>9266.3339294802172</v>
      </c>
      <c r="L15" s="102">
        <f>TrAvia_act!L$6</f>
        <v>10074.360047711791</v>
      </c>
      <c r="M15" s="102">
        <f>TrAvia_act!M$6</f>
        <v>11167.025577598715</v>
      </c>
      <c r="N15" s="102">
        <f>TrAvia_act!N$6</f>
        <v>11367.522266435668</v>
      </c>
      <c r="O15" s="102">
        <f>TrAvia_act!O$6</f>
        <v>11585.972857141674</v>
      </c>
      <c r="P15" s="102">
        <f>TrAvia_act!P$6</f>
        <v>12587.033630853462</v>
      </c>
      <c r="Q15" s="102">
        <f>TrAvia_act!Q$6</f>
        <v>13671.666327905894</v>
      </c>
      <c r="R15" s="102">
        <f>TrAvia_act!R$6</f>
        <v>14032.007326737888</v>
      </c>
      <c r="S15" s="102">
        <f>TrAvia_act!S$6</f>
        <v>15150.251022429275</v>
      </c>
      <c r="T15" s="102">
        <f>TrAvia_act!T$6</f>
        <v>15225.076317103531</v>
      </c>
      <c r="U15" s="102">
        <f>TrAvia_act!U$6</f>
        <v>15591.455971400615</v>
      </c>
      <c r="V15" s="102">
        <f>TrAvia_act!V$6</f>
        <v>4622.1195249851044</v>
      </c>
      <c r="W15" s="102">
        <f>TrAvia_act!W$6</f>
        <v>6893.4183898321298</v>
      </c>
      <c r="X15" s="102">
        <f>TrAvia_act!X$6</f>
        <v>13118.123210044534</v>
      </c>
      <c r="Y15" s="102">
        <f>TrAvia_act!Y$6</f>
        <v>14692.499413497342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9923.4047908298744</v>
      </c>
      <c r="C16" s="102">
        <f>TrAvia_act!C$7</f>
        <v>9391.1851557271566</v>
      </c>
      <c r="D16" s="102">
        <f>TrAvia_act!D$7</f>
        <v>5940.7909645112795</v>
      </c>
      <c r="E16" s="102">
        <f>TrAvia_act!E$7</f>
        <v>6430.8732098117034</v>
      </c>
      <c r="F16" s="102">
        <f>TrAvia_act!F$7</f>
        <v>7777.9957924238397</v>
      </c>
      <c r="G16" s="102">
        <f>TrAvia_act!G$7</f>
        <v>8096.333204893559</v>
      </c>
      <c r="H16" s="102">
        <f>TrAvia_act!H$7</f>
        <v>8510.4144838312841</v>
      </c>
      <c r="I16" s="102">
        <f>TrAvia_act!I$7</f>
        <v>10177.48664773324</v>
      </c>
      <c r="J16" s="102">
        <f>TrAvia_act!J$7</f>
        <v>12736.740694844861</v>
      </c>
      <c r="K16" s="102">
        <f>TrAvia_act!K$7</f>
        <v>12594.949579396147</v>
      </c>
      <c r="L16" s="102">
        <f>TrAvia_act!L$7</f>
        <v>13835.817489733477</v>
      </c>
      <c r="M16" s="102">
        <f>TrAvia_act!M$7</f>
        <v>14952.018266797228</v>
      </c>
      <c r="N16" s="102">
        <f>TrAvia_act!N$7</f>
        <v>14996.993956007507</v>
      </c>
      <c r="O16" s="102">
        <f>TrAvia_act!O$7</f>
        <v>15523.040542646373</v>
      </c>
      <c r="P16" s="102">
        <f>TrAvia_act!P$7</f>
        <v>16317.285956547781</v>
      </c>
      <c r="Q16" s="102">
        <f>TrAvia_act!Q$7</f>
        <v>16985.942959464395</v>
      </c>
      <c r="R16" s="102">
        <f>TrAvia_act!R$7</f>
        <v>14524.86559857045</v>
      </c>
      <c r="S16" s="102">
        <f>TrAvia_act!S$7</f>
        <v>16755.632112187104</v>
      </c>
      <c r="T16" s="102">
        <f>TrAvia_act!T$7</f>
        <v>19457.605774421529</v>
      </c>
      <c r="U16" s="102">
        <f>TrAvia_act!U$7</f>
        <v>20714.825357465168</v>
      </c>
      <c r="V16" s="102">
        <f>TrAvia_act!V$7</f>
        <v>6293.5415957990781</v>
      </c>
      <c r="W16" s="102">
        <f>TrAvia_act!W$7</f>
        <v>8942.6558076453457</v>
      </c>
      <c r="X16" s="102">
        <f>TrAvia_act!X$7</f>
        <v>16521.026514134599</v>
      </c>
      <c r="Y16" s="102">
        <f>TrAvia_act!Y$7</f>
        <v>18006.637839694507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56804.513602687017</v>
      </c>
      <c r="C17" s="28">
        <f t="shared" si="12"/>
        <v>58840.834078056301</v>
      </c>
      <c r="D17" s="28">
        <f t="shared" si="12"/>
        <v>60319.853087859039</v>
      </c>
      <c r="E17" s="28">
        <f t="shared" si="12"/>
        <v>60257.502469070881</v>
      </c>
      <c r="F17" s="28">
        <f t="shared" si="12"/>
        <v>64468.197304714398</v>
      </c>
      <c r="G17" s="28">
        <f t="shared" si="12"/>
        <v>66057.743567145299</v>
      </c>
      <c r="H17" s="28">
        <f t="shared" si="12"/>
        <v>68831.164816136443</v>
      </c>
      <c r="I17" s="28">
        <f t="shared" si="12"/>
        <v>71431.215634505803</v>
      </c>
      <c r="J17" s="28">
        <f t="shared" si="12"/>
        <v>68912.198315486414</v>
      </c>
      <c r="K17" s="28">
        <f t="shared" si="12"/>
        <v>61327.722197706928</v>
      </c>
      <c r="L17" s="28">
        <f t="shared" si="12"/>
        <v>66265.555519896763</v>
      </c>
      <c r="M17" s="28">
        <f t="shared" si="12"/>
        <v>66621.604292267177</v>
      </c>
      <c r="N17" s="28">
        <f t="shared" si="12"/>
        <v>74632.124063555442</v>
      </c>
      <c r="O17" s="28">
        <f t="shared" si="12"/>
        <v>75187.571550724009</v>
      </c>
      <c r="P17" s="28">
        <f t="shared" si="12"/>
        <v>76075.918128088801</v>
      </c>
      <c r="Q17" s="28">
        <f t="shared" si="12"/>
        <v>79255.604338294899</v>
      </c>
      <c r="R17" s="28">
        <f t="shared" ref="R17:V17" si="13">R18+R21+R22+R26</f>
        <v>84875.054355537606</v>
      </c>
      <c r="S17" s="28">
        <f t="shared" si="13"/>
        <v>81156.118472054164</v>
      </c>
      <c r="T17" s="28">
        <f t="shared" si="13"/>
        <v>76075.791262853498</v>
      </c>
      <c r="U17" s="28">
        <f t="shared" si="13"/>
        <v>80175.657619683712</v>
      </c>
      <c r="V17" s="28">
        <f t="shared" si="13"/>
        <v>78649.881799559953</v>
      </c>
      <c r="W17" s="28">
        <f t="shared" ref="W17:Y17" si="14">W18+W21+W22+W26</f>
        <v>82343.525241758893</v>
      </c>
      <c r="X17" s="28">
        <f t="shared" si="14"/>
        <v>76523.559325265174</v>
      </c>
      <c r="Y17" s="28">
        <f t="shared" si="14"/>
        <v>75503.044823205157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40262.636999515787</v>
      </c>
      <c r="C18" s="137">
        <f t="shared" si="15"/>
        <v>42533.361995209314</v>
      </c>
      <c r="D18" s="137">
        <f t="shared" si="15"/>
        <v>43646.335254073761</v>
      </c>
      <c r="E18" s="137">
        <f t="shared" si="15"/>
        <v>43241.475992818232</v>
      </c>
      <c r="F18" s="137">
        <f t="shared" si="15"/>
        <v>46831.747401371576</v>
      </c>
      <c r="G18" s="137">
        <f t="shared" si="15"/>
        <v>47692.179681445574</v>
      </c>
      <c r="H18" s="137">
        <f t="shared" si="15"/>
        <v>48931.11970861545</v>
      </c>
      <c r="I18" s="137">
        <f t="shared" si="15"/>
        <v>50075.7053168899</v>
      </c>
      <c r="J18" s="137">
        <f t="shared" si="15"/>
        <v>48110.466561938352</v>
      </c>
      <c r="K18" s="137">
        <f t="shared" si="15"/>
        <v>45486.83678814819</v>
      </c>
      <c r="L18" s="137">
        <f t="shared" si="15"/>
        <v>46704.835100767268</v>
      </c>
      <c r="M18" s="137">
        <f t="shared" si="15"/>
        <v>46637.312060854885</v>
      </c>
      <c r="N18" s="137">
        <f t="shared" si="15"/>
        <v>46912.024493591787</v>
      </c>
      <c r="O18" s="137">
        <f t="shared" si="15"/>
        <v>48626.097979194106</v>
      </c>
      <c r="P18" s="137">
        <f t="shared" si="15"/>
        <v>49019.846113863918</v>
      </c>
      <c r="Q18" s="137">
        <f t="shared" si="15"/>
        <v>51605.809988631125</v>
      </c>
      <c r="R18" s="137">
        <f t="shared" ref="R18:V18" si="16">R19+R20</f>
        <v>53435.263179906855</v>
      </c>
      <c r="S18" s="137">
        <f t="shared" si="16"/>
        <v>53194.710599163962</v>
      </c>
      <c r="T18" s="137">
        <f t="shared" si="16"/>
        <v>52003.158502709739</v>
      </c>
      <c r="U18" s="137">
        <f t="shared" si="16"/>
        <v>53531.619801700588</v>
      </c>
      <c r="V18" s="137">
        <f t="shared" si="16"/>
        <v>52967.442645814102</v>
      </c>
      <c r="W18" s="137">
        <f t="shared" ref="W18:Y18" si="17">W19+W20</f>
        <v>55934.59936388296</v>
      </c>
      <c r="X18" s="137">
        <f t="shared" si="17"/>
        <v>53029.751939270442</v>
      </c>
      <c r="Y18" s="137">
        <f t="shared" si="17"/>
        <v>51780.972356996048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677.21435383689004</v>
      </c>
      <c r="C19" s="102">
        <f>TrRoad_act!C$20</f>
        <v>724.83446499421211</v>
      </c>
      <c r="D19" s="102">
        <f>TrRoad_act!D$20</f>
        <v>758.40087236150055</v>
      </c>
      <c r="E19" s="102">
        <f>TrRoad_act!E$20</f>
        <v>799.54771022488057</v>
      </c>
      <c r="F19" s="102">
        <f>TrRoad_act!F$20</f>
        <v>884.22769620458291</v>
      </c>
      <c r="G19" s="102">
        <f>TrRoad_act!G$20</f>
        <v>929.16563578639284</v>
      </c>
      <c r="H19" s="102">
        <f>TrRoad_act!H$20</f>
        <v>967.20951118175276</v>
      </c>
      <c r="I19" s="102">
        <f>TrRoad_act!I$20</f>
        <v>1023.9063110835185</v>
      </c>
      <c r="J19" s="102">
        <f>TrRoad_act!J$20</f>
        <v>1051.9970486462555</v>
      </c>
      <c r="K19" s="102">
        <f>TrRoad_act!K$20</f>
        <v>1060.91911610075</v>
      </c>
      <c r="L19" s="102">
        <f>TrRoad_act!L$20</f>
        <v>1073.8881205509806</v>
      </c>
      <c r="M19" s="102">
        <f>TrRoad_act!M$20</f>
        <v>1069.4935505294939</v>
      </c>
      <c r="N19" s="102">
        <f>TrRoad_act!N$20</f>
        <v>1062.8088986061032</v>
      </c>
      <c r="O19" s="102">
        <f>TrRoad_act!O$20</f>
        <v>1028.6279113636808</v>
      </c>
      <c r="P19" s="102">
        <f>TrRoad_act!P$20</f>
        <v>1068.4775050641058</v>
      </c>
      <c r="Q19" s="102">
        <f>TrRoad_act!Q$20</f>
        <v>1130.7000443012132</v>
      </c>
      <c r="R19" s="102">
        <f>TrRoad_act!R$20</f>
        <v>1100.33534768456</v>
      </c>
      <c r="S19" s="102">
        <f>TrRoad_act!S$20</f>
        <v>1052.7280839323305</v>
      </c>
      <c r="T19" s="102">
        <f>TrRoad_act!T$20</f>
        <v>1084.1585027097374</v>
      </c>
      <c r="U19" s="102">
        <f>TrRoad_act!U$20</f>
        <v>1094.6198017005916</v>
      </c>
      <c r="V19" s="102">
        <f>TrRoad_act!V$20</f>
        <v>1020.4426458141</v>
      </c>
      <c r="W19" s="102">
        <f>TrRoad_act!W$20</f>
        <v>1233.5993638829636</v>
      </c>
      <c r="X19" s="102">
        <f>TrRoad_act!X$20</f>
        <v>1213.7519392704437</v>
      </c>
      <c r="Y19" s="102">
        <f>TrRoad_act!Y$20</f>
        <v>1286.9723569960456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39585.422645678897</v>
      </c>
      <c r="C20" s="102">
        <f>TrRoad_act!C$26</f>
        <v>41808.527530215099</v>
      </c>
      <c r="D20" s="102">
        <f>TrRoad_act!D$26</f>
        <v>42887.934381712264</v>
      </c>
      <c r="E20" s="102">
        <f>TrRoad_act!E$26</f>
        <v>42441.928282593348</v>
      </c>
      <c r="F20" s="102">
        <f>TrRoad_act!F$26</f>
        <v>45947.519705166997</v>
      </c>
      <c r="G20" s="102">
        <f>TrRoad_act!G$26</f>
        <v>46763.014045659183</v>
      </c>
      <c r="H20" s="102">
        <f>TrRoad_act!H$26</f>
        <v>47963.910197433695</v>
      </c>
      <c r="I20" s="102">
        <f>TrRoad_act!I$26</f>
        <v>49051.799005806381</v>
      </c>
      <c r="J20" s="102">
        <f>TrRoad_act!J$26</f>
        <v>47058.469513292097</v>
      </c>
      <c r="K20" s="102">
        <f>TrRoad_act!K$26</f>
        <v>44425.917672047442</v>
      </c>
      <c r="L20" s="102">
        <f>TrRoad_act!L$26</f>
        <v>45630.946980216286</v>
      </c>
      <c r="M20" s="102">
        <f>TrRoad_act!M$26</f>
        <v>45567.818510325393</v>
      </c>
      <c r="N20" s="102">
        <f>TrRoad_act!N$26</f>
        <v>45849.215594985682</v>
      </c>
      <c r="O20" s="102">
        <f>TrRoad_act!O$26</f>
        <v>47597.470067830429</v>
      </c>
      <c r="P20" s="102">
        <f>TrRoad_act!P$26</f>
        <v>47951.368608799814</v>
      </c>
      <c r="Q20" s="102">
        <f>TrRoad_act!Q$26</f>
        <v>50475.10994432991</v>
      </c>
      <c r="R20" s="102">
        <f>TrRoad_act!R$26</f>
        <v>52334.927832222296</v>
      </c>
      <c r="S20" s="102">
        <f>TrRoad_act!S$26</f>
        <v>52141.982515231633</v>
      </c>
      <c r="T20" s="102">
        <f>TrRoad_act!T$26</f>
        <v>50919</v>
      </c>
      <c r="U20" s="102">
        <f>TrRoad_act!U$26</f>
        <v>52437</v>
      </c>
      <c r="V20" s="102">
        <f>TrRoad_act!V$26</f>
        <v>51947</v>
      </c>
      <c r="W20" s="102">
        <f>TrRoad_act!W$26</f>
        <v>54701</v>
      </c>
      <c r="X20" s="102">
        <f>TrRoad_act!X$26</f>
        <v>51816</v>
      </c>
      <c r="Y20" s="102">
        <f>TrRoad_act!Y$26</f>
        <v>50494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7674</v>
      </c>
      <c r="C21" s="110">
        <f>TrRail_act!C$10</f>
        <v>7081</v>
      </c>
      <c r="D21" s="110">
        <f>TrRail_act!D$10</f>
        <v>7297</v>
      </c>
      <c r="E21" s="110">
        <f>TrRail_act!E$10</f>
        <v>7293</v>
      </c>
      <c r="F21" s="110">
        <f>TrRail_act!F$10</f>
        <v>7691</v>
      </c>
      <c r="G21" s="110">
        <f>TrRail_act!G$10</f>
        <v>8130.0000000000009</v>
      </c>
      <c r="H21" s="110">
        <f>TrRail_act!H$10</f>
        <v>8572</v>
      </c>
      <c r="I21" s="110">
        <f>TrRail_act!I$10</f>
        <v>9258</v>
      </c>
      <c r="J21" s="110">
        <f>TrRail_act!J$10</f>
        <v>8927</v>
      </c>
      <c r="K21" s="110">
        <f>TrRail_act!K$10</f>
        <v>6374</v>
      </c>
      <c r="L21" s="110">
        <f>TrRail_act!L$10</f>
        <v>7476</v>
      </c>
      <c r="M21" s="110">
        <f>TrRail_act!M$10</f>
        <v>7593</v>
      </c>
      <c r="N21" s="110">
        <f>TrRail_act!N$10</f>
        <v>14552</v>
      </c>
      <c r="O21" s="110">
        <f>TrRail_act!O$10</f>
        <v>13666</v>
      </c>
      <c r="P21" s="110">
        <f>TrRail_act!P$10</f>
        <v>13864</v>
      </c>
      <c r="Q21" s="110">
        <f>TrRail_act!Q$10</f>
        <v>13864</v>
      </c>
      <c r="R21" s="110">
        <f>TrRail_act!R$10</f>
        <v>17831</v>
      </c>
      <c r="S21" s="110">
        <f>TrRail_act!S$10</f>
        <v>13227</v>
      </c>
      <c r="T21" s="110">
        <f>TrRail_act!T$10</f>
        <v>11806</v>
      </c>
      <c r="U21" s="110">
        <f>TrRail_act!U$10</f>
        <v>14700</v>
      </c>
      <c r="V21" s="110">
        <f>TrRail_act!V$10</f>
        <v>13383.6</v>
      </c>
      <c r="W21" s="110">
        <f>TrRail_act!W$10</f>
        <v>12106</v>
      </c>
      <c r="X21" s="110">
        <f>TrRail_act!X$10</f>
        <v>10160.1</v>
      </c>
      <c r="Y21" s="110">
        <f>TrRail_act!Y$10</f>
        <v>11909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1371.0766031712244</v>
      </c>
      <c r="C22" s="110">
        <f t="shared" ref="C22:V22" si="19">C23+C24+C25</f>
        <v>1320.6190828469851</v>
      </c>
      <c r="D22" s="110">
        <f t="shared" si="19"/>
        <v>1088.8898337852738</v>
      </c>
      <c r="E22" s="110">
        <f t="shared" si="19"/>
        <v>1289.6214762526488</v>
      </c>
      <c r="F22" s="110">
        <f t="shared" si="19"/>
        <v>1402.3819033428192</v>
      </c>
      <c r="G22" s="110">
        <f t="shared" si="19"/>
        <v>1394.4858856997246</v>
      </c>
      <c r="H22" s="110">
        <f t="shared" si="19"/>
        <v>2089.5741075209949</v>
      </c>
      <c r="I22" s="110">
        <f t="shared" si="19"/>
        <v>2704.4233176159069</v>
      </c>
      <c r="J22" s="110">
        <f t="shared" si="19"/>
        <v>2748.3677535480701</v>
      </c>
      <c r="K22" s="110">
        <f t="shared" si="19"/>
        <v>2142.7554095587434</v>
      </c>
      <c r="L22" s="110">
        <f t="shared" si="19"/>
        <v>2756.8664191294984</v>
      </c>
      <c r="M22" s="110">
        <f t="shared" si="19"/>
        <v>2936.6092314122916</v>
      </c>
      <c r="N22" s="110">
        <f t="shared" si="19"/>
        <v>2542.5275699636472</v>
      </c>
      <c r="O22" s="110">
        <f t="shared" si="19"/>
        <v>2335.4025715299022</v>
      </c>
      <c r="P22" s="110">
        <f t="shared" si="19"/>
        <v>2550.5570142248803</v>
      </c>
      <c r="Q22" s="110">
        <f t="shared" si="19"/>
        <v>3172.8353496637774</v>
      </c>
      <c r="R22" s="110">
        <f t="shared" si="19"/>
        <v>3060.2181756307473</v>
      </c>
      <c r="S22" s="110">
        <f t="shared" si="19"/>
        <v>3471.2278728902184</v>
      </c>
      <c r="T22" s="110">
        <f t="shared" si="19"/>
        <v>4116.2867601437592</v>
      </c>
      <c r="U22" s="110">
        <f t="shared" si="19"/>
        <v>3984.2998179831407</v>
      </c>
      <c r="V22" s="110">
        <f t="shared" si="19"/>
        <v>4703.600153745856</v>
      </c>
      <c r="W22" s="110">
        <f t="shared" ref="W22:Y22" si="20">W23+W24+W25</f>
        <v>5860.7378778759276</v>
      </c>
      <c r="X22" s="110">
        <f t="shared" si="20"/>
        <v>5542.466385994745</v>
      </c>
      <c r="Y22" s="110">
        <f t="shared" si="20"/>
        <v>4671.7794662091083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250.12301649357121</v>
      </c>
      <c r="C24" s="102">
        <f>TrAvia_act!C$10</f>
        <v>205.6479976782739</v>
      </c>
      <c r="D24" s="102">
        <f>TrAvia_act!D$10</f>
        <v>159.83309608501074</v>
      </c>
      <c r="E24" s="102">
        <f>TrAvia_act!E$10</f>
        <v>165.87432365108049</v>
      </c>
      <c r="F24" s="102">
        <f>TrAvia_act!F$10</f>
        <v>171.92670887957425</v>
      </c>
      <c r="G24" s="102">
        <f>TrAvia_act!G$10</f>
        <v>190.55781807988168</v>
      </c>
      <c r="H24" s="102">
        <f>TrAvia_act!H$10</f>
        <v>344.52668265244262</v>
      </c>
      <c r="I24" s="102">
        <f>TrAvia_act!I$10</f>
        <v>360.34571938809881</v>
      </c>
      <c r="J24" s="102">
        <f>TrAvia_act!J$10</f>
        <v>256.61047439793265</v>
      </c>
      <c r="K24" s="102">
        <f>TrAvia_act!K$10</f>
        <v>196.95611414728756</v>
      </c>
      <c r="L24" s="102">
        <f>TrAvia_act!L$10</f>
        <v>208.18561609298183</v>
      </c>
      <c r="M24" s="102">
        <f>TrAvia_act!M$10</f>
        <v>203.64451557494667</v>
      </c>
      <c r="N24" s="102">
        <f>TrAvia_act!N$10</f>
        <v>213.15380601169926</v>
      </c>
      <c r="O24" s="102">
        <f>TrAvia_act!O$10</f>
        <v>215.60486973393841</v>
      </c>
      <c r="P24" s="102">
        <f>TrAvia_act!P$10</f>
        <v>234.48078452927822</v>
      </c>
      <c r="Q24" s="102">
        <f>TrAvia_act!Q$10</f>
        <v>252.60680050806948</v>
      </c>
      <c r="R24" s="102">
        <f>TrAvia_act!R$10</f>
        <v>255.45666520258615</v>
      </c>
      <c r="S24" s="102">
        <f>TrAvia_act!S$10</f>
        <v>248.70223973200549</v>
      </c>
      <c r="T24" s="102">
        <f>TrAvia_act!T$10</f>
        <v>283.86606615199162</v>
      </c>
      <c r="U24" s="102">
        <f>TrAvia_act!U$10</f>
        <v>279.57094459531334</v>
      </c>
      <c r="V24" s="102">
        <f>TrAvia_act!V$10</f>
        <v>283.92548289249413</v>
      </c>
      <c r="W24" s="102">
        <f>TrAvia_act!W$10</f>
        <v>312.01603746191535</v>
      </c>
      <c r="X24" s="102">
        <f>TrAvia_act!X$10</f>
        <v>209.0759205466415</v>
      </c>
      <c r="Y24" s="102">
        <f>TrAvia_act!Y$10</f>
        <v>201.91550159440459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1120.9535866776532</v>
      </c>
      <c r="C25" s="102">
        <f>TrAvia_act!C$11</f>
        <v>1114.9710851687112</v>
      </c>
      <c r="D25" s="102">
        <f>TrAvia_act!D$11</f>
        <v>929.05673770026317</v>
      </c>
      <c r="E25" s="102">
        <f>TrAvia_act!E$11</f>
        <v>1123.7471526015684</v>
      </c>
      <c r="F25" s="102">
        <f>TrAvia_act!F$11</f>
        <v>1230.4551944632449</v>
      </c>
      <c r="G25" s="102">
        <f>TrAvia_act!G$11</f>
        <v>1203.928067619843</v>
      </c>
      <c r="H25" s="102">
        <f>TrAvia_act!H$11</f>
        <v>1745.0474248685523</v>
      </c>
      <c r="I25" s="102">
        <f>TrAvia_act!I$11</f>
        <v>2344.0775982278083</v>
      </c>
      <c r="J25" s="102">
        <f>TrAvia_act!J$11</f>
        <v>2491.7572791501375</v>
      </c>
      <c r="K25" s="102">
        <f>TrAvia_act!K$11</f>
        <v>1945.7992954114559</v>
      </c>
      <c r="L25" s="102">
        <f>TrAvia_act!L$11</f>
        <v>2548.6808030365164</v>
      </c>
      <c r="M25" s="102">
        <f>TrAvia_act!M$11</f>
        <v>2732.964715837345</v>
      </c>
      <c r="N25" s="102">
        <f>TrAvia_act!N$11</f>
        <v>2329.3737639519481</v>
      </c>
      <c r="O25" s="102">
        <f>TrAvia_act!O$11</f>
        <v>2119.7977017959638</v>
      </c>
      <c r="P25" s="102">
        <f>TrAvia_act!P$11</f>
        <v>2316.0762296956023</v>
      </c>
      <c r="Q25" s="102">
        <f>TrAvia_act!Q$11</f>
        <v>2920.2285491557077</v>
      </c>
      <c r="R25" s="102">
        <f>TrAvia_act!R$11</f>
        <v>2804.7615104281613</v>
      </c>
      <c r="S25" s="102">
        <f>TrAvia_act!S$11</f>
        <v>3222.5256331582127</v>
      </c>
      <c r="T25" s="102">
        <f>TrAvia_act!T$11</f>
        <v>3832.4206939917676</v>
      </c>
      <c r="U25" s="102">
        <f>TrAvia_act!U$11</f>
        <v>3704.7288733878272</v>
      </c>
      <c r="V25" s="102">
        <f>TrAvia_act!V$11</f>
        <v>4419.6746708533619</v>
      </c>
      <c r="W25" s="102">
        <f>TrAvia_act!W$11</f>
        <v>5548.7218404140121</v>
      </c>
      <c r="X25" s="102">
        <f>TrAvia_act!X$11</f>
        <v>5333.3904654481039</v>
      </c>
      <c r="Y25" s="102">
        <f>TrAvia_act!Y$11</f>
        <v>4469.8639646147039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7496.8</v>
      </c>
      <c r="C26" s="110">
        <f t="shared" si="21"/>
        <v>7905.8530000000001</v>
      </c>
      <c r="D26" s="110">
        <f t="shared" si="21"/>
        <v>8287.6280000000006</v>
      </c>
      <c r="E26" s="110">
        <f t="shared" si="21"/>
        <v>8433.4050000000007</v>
      </c>
      <c r="F26" s="110">
        <f t="shared" si="21"/>
        <v>8543.0679999999993</v>
      </c>
      <c r="G26" s="110">
        <f t="shared" si="21"/>
        <v>8841.0779999999995</v>
      </c>
      <c r="H26" s="110">
        <f t="shared" si="21"/>
        <v>9238.4709999999995</v>
      </c>
      <c r="I26" s="110">
        <f t="shared" si="21"/>
        <v>9393.0869999999995</v>
      </c>
      <c r="J26" s="110">
        <f t="shared" si="21"/>
        <v>9126.3639999999996</v>
      </c>
      <c r="K26" s="110">
        <f t="shared" si="21"/>
        <v>7324.13</v>
      </c>
      <c r="L26" s="110">
        <f t="shared" si="21"/>
        <v>9327.8539999999994</v>
      </c>
      <c r="M26" s="110">
        <f t="shared" si="21"/>
        <v>9454.6830000000009</v>
      </c>
      <c r="N26" s="110">
        <f t="shared" si="21"/>
        <v>10625.572</v>
      </c>
      <c r="O26" s="110">
        <f t="shared" si="21"/>
        <v>10560.071</v>
      </c>
      <c r="P26" s="110">
        <f t="shared" si="21"/>
        <v>10641.514999999999</v>
      </c>
      <c r="Q26" s="110">
        <f t="shared" si="21"/>
        <v>10612.959000000001</v>
      </c>
      <c r="R26" s="110">
        <f t="shared" ref="R26:V26" si="22">R27+R28</f>
        <v>10548.573</v>
      </c>
      <c r="S26" s="110">
        <f t="shared" si="22"/>
        <v>11263.18</v>
      </c>
      <c r="T26" s="110">
        <f t="shared" si="22"/>
        <v>8150.3459999999995</v>
      </c>
      <c r="U26" s="110">
        <f t="shared" si="22"/>
        <v>7959.7380000000003</v>
      </c>
      <c r="V26" s="110">
        <f t="shared" si="22"/>
        <v>7595.2389999999996</v>
      </c>
      <c r="W26" s="110">
        <f t="shared" ref="W26:Y26" si="23">W27+W28</f>
        <v>8442.1880000000001</v>
      </c>
      <c r="X26" s="110">
        <f t="shared" si="23"/>
        <v>7791.241</v>
      </c>
      <c r="Y26" s="110">
        <f t="shared" si="23"/>
        <v>7141.2929999999997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281.8</v>
      </c>
      <c r="C27" s="102">
        <f>TrNavi_act!C4</f>
        <v>250.85300000000001</v>
      </c>
      <c r="D27" s="102">
        <f>TrNavi_act!D4</f>
        <v>214.62799999999999</v>
      </c>
      <c r="E27" s="102">
        <f>TrNavi_act!E4</f>
        <v>203.405</v>
      </c>
      <c r="F27" s="102">
        <f>TrNavi_act!F4</f>
        <v>151.06800000000001</v>
      </c>
      <c r="G27" s="102">
        <f>TrNavi_act!G4</f>
        <v>275.07799999999997</v>
      </c>
      <c r="H27" s="102">
        <f>TrNavi_act!H4</f>
        <v>330.471</v>
      </c>
      <c r="I27" s="102">
        <f>TrNavi_act!I4</f>
        <v>387.08699999999999</v>
      </c>
      <c r="J27" s="102">
        <f>TrNavi_act!J4</f>
        <v>380.36399999999998</v>
      </c>
      <c r="K27" s="102">
        <f>TrNavi_act!K4</f>
        <v>237.13</v>
      </c>
      <c r="L27" s="102">
        <f>TrNavi_act!L4</f>
        <v>257.85399999999998</v>
      </c>
      <c r="M27" s="102">
        <f>TrNavi_act!M4</f>
        <v>203.68299999999999</v>
      </c>
      <c r="N27" s="102">
        <f>TrNavi_act!N4</f>
        <v>205.572</v>
      </c>
      <c r="O27" s="102">
        <f>TrNavi_act!O4</f>
        <v>195.071</v>
      </c>
      <c r="P27" s="102">
        <f>TrNavi_act!P4</f>
        <v>190.51499999999999</v>
      </c>
      <c r="Q27" s="102">
        <f>TrNavi_act!Q4</f>
        <v>186.959</v>
      </c>
      <c r="R27" s="102">
        <f>TrNavi_act!R4</f>
        <v>217.57300000000001</v>
      </c>
      <c r="S27" s="102">
        <f>TrNavi_act!S4</f>
        <v>165.18</v>
      </c>
      <c r="T27" s="102">
        <f>TrNavi_act!T4</f>
        <v>164.346</v>
      </c>
      <c r="U27" s="102">
        <f>TrNavi_act!U4</f>
        <v>192.738</v>
      </c>
      <c r="V27" s="102">
        <f>TrNavi_act!V4</f>
        <v>207.239</v>
      </c>
      <c r="W27" s="102">
        <f>TrNavi_act!W4</f>
        <v>262.18799999999999</v>
      </c>
      <c r="X27" s="102">
        <f>TrNavi_act!X4</f>
        <v>232.24100000000001</v>
      </c>
      <c r="Y27" s="102">
        <f>TrNavi_act!Y4</f>
        <v>190.29300000000001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7215</v>
      </c>
      <c r="C28" s="169">
        <f>TrNavi_act!C5</f>
        <v>7655</v>
      </c>
      <c r="D28" s="169">
        <f>TrNavi_act!D5</f>
        <v>8073</v>
      </c>
      <c r="E28" s="169">
        <f>TrNavi_act!E5</f>
        <v>8230</v>
      </c>
      <c r="F28" s="169">
        <f>TrNavi_act!F5</f>
        <v>8392</v>
      </c>
      <c r="G28" s="169">
        <f>TrNavi_act!G5</f>
        <v>8566</v>
      </c>
      <c r="H28" s="169">
        <f>TrNavi_act!H5</f>
        <v>8908</v>
      </c>
      <c r="I28" s="169">
        <f>TrNavi_act!I5</f>
        <v>9006</v>
      </c>
      <c r="J28" s="169">
        <f>TrNavi_act!J5</f>
        <v>8746</v>
      </c>
      <c r="K28" s="169">
        <f>TrNavi_act!K5</f>
        <v>7087</v>
      </c>
      <c r="L28" s="169">
        <f>TrNavi_act!L5</f>
        <v>9070</v>
      </c>
      <c r="M28" s="169">
        <f>TrNavi_act!M5</f>
        <v>9251</v>
      </c>
      <c r="N28" s="169">
        <f>TrNavi_act!N5</f>
        <v>10420</v>
      </c>
      <c r="O28" s="169">
        <f>TrNavi_act!O5</f>
        <v>10365</v>
      </c>
      <c r="P28" s="169">
        <f>TrNavi_act!P5</f>
        <v>10451</v>
      </c>
      <c r="Q28" s="169">
        <f>TrNavi_act!Q5</f>
        <v>10426</v>
      </c>
      <c r="R28" s="169">
        <f>TrNavi_act!R5</f>
        <v>10331</v>
      </c>
      <c r="S28" s="169">
        <f>TrNavi_act!S5</f>
        <v>11098</v>
      </c>
      <c r="T28" s="169">
        <f>TrNavi_act!T5</f>
        <v>7986</v>
      </c>
      <c r="U28" s="169">
        <f>TrNavi_act!U5</f>
        <v>7767</v>
      </c>
      <c r="V28" s="169">
        <f>TrNavi_act!V5</f>
        <v>7388</v>
      </c>
      <c r="W28" s="169">
        <f>TrNavi_act!W5</f>
        <v>8180</v>
      </c>
      <c r="X28" s="169">
        <f>TrNavi_act!X5</f>
        <v>7559</v>
      </c>
      <c r="Y28" s="169">
        <f>TrNavi_act!Y5</f>
        <v>6951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536916.56472699996</v>
      </c>
      <c r="C29" s="28">
        <f t="shared" si="24"/>
        <v>520691.82786900003</v>
      </c>
      <c r="D29" s="28">
        <f t="shared" si="24"/>
        <v>531595.50188899995</v>
      </c>
      <c r="E29" s="28">
        <f t="shared" si="24"/>
        <v>574420.27238299989</v>
      </c>
      <c r="F29" s="28">
        <f t="shared" si="24"/>
        <v>613771.14148300001</v>
      </c>
      <c r="G29" s="28">
        <f t="shared" si="24"/>
        <v>664874.12805900001</v>
      </c>
      <c r="H29" s="28">
        <f t="shared" si="24"/>
        <v>708968.74720900005</v>
      </c>
      <c r="I29" s="28">
        <f t="shared" si="24"/>
        <v>781322.25958099996</v>
      </c>
      <c r="J29" s="28">
        <f t="shared" si="24"/>
        <v>813581.504128</v>
      </c>
      <c r="K29" s="28">
        <f t="shared" si="24"/>
        <v>669504.83432400005</v>
      </c>
      <c r="L29" s="28">
        <f t="shared" si="24"/>
        <v>739165.99785699998</v>
      </c>
      <c r="M29" s="28">
        <f t="shared" si="24"/>
        <v>790637.17215100012</v>
      </c>
      <c r="N29" s="28">
        <f t="shared" si="24"/>
        <v>738084.92249000003</v>
      </c>
      <c r="O29" s="28">
        <f t="shared" si="24"/>
        <v>750287.93105100002</v>
      </c>
      <c r="P29" s="28">
        <f t="shared" si="24"/>
        <v>776085.00841999997</v>
      </c>
      <c r="Q29" s="28">
        <f t="shared" si="24"/>
        <v>796288.66436399997</v>
      </c>
      <c r="R29" s="28">
        <f t="shared" si="24"/>
        <v>808204.62106800009</v>
      </c>
      <c r="S29" s="28">
        <f t="shared" si="24"/>
        <v>887239.77969999996</v>
      </c>
      <c r="T29" s="28">
        <f t="shared" si="24"/>
        <v>925120.13366799988</v>
      </c>
      <c r="U29" s="28">
        <f t="shared" si="24"/>
        <v>957578.57390800002</v>
      </c>
      <c r="V29" s="28">
        <f t="shared" si="24"/>
        <v>929165.93140799995</v>
      </c>
      <c r="W29" s="28">
        <f t="shared" si="24"/>
        <v>999101.31787699985</v>
      </c>
      <c r="X29" s="28">
        <f t="shared" ref="X29:Y29" si="25">X30+X31</f>
        <v>1002580.5164259999</v>
      </c>
      <c r="Y29" s="28">
        <f t="shared" si="25"/>
        <v>955781.52598399995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49184.657199000001</v>
      </c>
      <c r="C30" s="102">
        <f>MBunk_act!C$4</f>
        <v>49571.621654000002</v>
      </c>
      <c r="D30" s="102">
        <f>MBunk_act!D$4</f>
        <v>46311.462051999995</v>
      </c>
      <c r="E30" s="102">
        <f>MBunk_act!E$4</f>
        <v>49835.065215000002</v>
      </c>
      <c r="F30" s="102">
        <f>MBunk_act!F$4</f>
        <v>45353.962316000005</v>
      </c>
      <c r="G30" s="102">
        <f>MBunk_act!G$4</f>
        <v>42186.861394</v>
      </c>
      <c r="H30" s="102">
        <f>MBunk_act!H$4</f>
        <v>43542.823435999999</v>
      </c>
      <c r="I30" s="102">
        <f>MBunk_act!I$4</f>
        <v>45916.212125000005</v>
      </c>
      <c r="J30" s="102">
        <f>MBunk_act!J$4</f>
        <v>47033.962696000002</v>
      </c>
      <c r="K30" s="102">
        <f>MBunk_act!K$4</f>
        <v>38142.209949999997</v>
      </c>
      <c r="L30" s="102">
        <f>MBunk_act!L$4</f>
        <v>46831.924543000001</v>
      </c>
      <c r="M30" s="102">
        <f>MBunk_act!M$4</f>
        <v>45203.572231000006</v>
      </c>
      <c r="N30" s="102">
        <f>MBunk_act!N$4</f>
        <v>46983.007283999999</v>
      </c>
      <c r="O30" s="102">
        <f>MBunk_act!O$4</f>
        <v>50501.311792</v>
      </c>
      <c r="P30" s="102">
        <f>MBunk_act!P$4</f>
        <v>54921.373045</v>
      </c>
      <c r="Q30" s="102">
        <f>MBunk_act!Q$4</f>
        <v>59910.052713000005</v>
      </c>
      <c r="R30" s="102">
        <f>MBunk_act!R$4</f>
        <v>74330.511014000003</v>
      </c>
      <c r="S30" s="102">
        <f>MBunk_act!S$4</f>
        <v>71080.777851999999</v>
      </c>
      <c r="T30" s="102">
        <f>MBunk_act!T$4</f>
        <v>68278.003192999997</v>
      </c>
      <c r="U30" s="102">
        <f>MBunk_act!U$4</f>
        <v>73707.247208000001</v>
      </c>
      <c r="V30" s="102">
        <f>MBunk_act!V$4</f>
        <v>73016.350895999989</v>
      </c>
      <c r="W30" s="102">
        <f>MBunk_act!W$4</f>
        <v>78781.264410999996</v>
      </c>
      <c r="X30" s="102">
        <f>MBunk_act!X$4</f>
        <v>80759.409822000001</v>
      </c>
      <c r="Y30" s="102">
        <f>MBunk_act!Y$4</f>
        <v>86938.288992999995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487731.90752800001</v>
      </c>
      <c r="C31" s="86">
        <f>MBunk_act!C$5</f>
        <v>471120.20621500001</v>
      </c>
      <c r="D31" s="86">
        <f>MBunk_act!D$5</f>
        <v>485284.03983699996</v>
      </c>
      <c r="E31" s="86">
        <f>MBunk_act!E$5</f>
        <v>524585.20716799994</v>
      </c>
      <c r="F31" s="86">
        <f>MBunk_act!F$5</f>
        <v>568417.17916699999</v>
      </c>
      <c r="G31" s="86">
        <f>MBunk_act!G$5</f>
        <v>622687.266665</v>
      </c>
      <c r="H31" s="86">
        <f>MBunk_act!H$5</f>
        <v>665425.92377300002</v>
      </c>
      <c r="I31" s="86">
        <f>MBunk_act!I$5</f>
        <v>735406.047456</v>
      </c>
      <c r="J31" s="86">
        <f>MBunk_act!J$5</f>
        <v>766547.541432</v>
      </c>
      <c r="K31" s="86">
        <f>MBunk_act!K$5</f>
        <v>631362.62437400001</v>
      </c>
      <c r="L31" s="86">
        <f>MBunk_act!L$5</f>
        <v>692334.07331400004</v>
      </c>
      <c r="M31" s="86">
        <f>MBunk_act!M$5</f>
        <v>745433.59992000007</v>
      </c>
      <c r="N31" s="86">
        <f>MBunk_act!N$5</f>
        <v>691101.91520599998</v>
      </c>
      <c r="O31" s="86">
        <f>MBunk_act!O$5</f>
        <v>699786.61925900006</v>
      </c>
      <c r="P31" s="86">
        <f>MBunk_act!P$5</f>
        <v>721163.63537499995</v>
      </c>
      <c r="Q31" s="86">
        <f>MBunk_act!Q$5</f>
        <v>736378.61165099998</v>
      </c>
      <c r="R31" s="86">
        <f>MBunk_act!R$5</f>
        <v>733874.11005400005</v>
      </c>
      <c r="S31" s="86">
        <f>MBunk_act!S$5</f>
        <v>816159.00184799999</v>
      </c>
      <c r="T31" s="86">
        <f>MBunk_act!T$5</f>
        <v>856842.1304749999</v>
      </c>
      <c r="U31" s="86">
        <f>MBunk_act!U$5</f>
        <v>883871.32669999998</v>
      </c>
      <c r="V31" s="86">
        <f>MBunk_act!V$5</f>
        <v>856149.5805119999</v>
      </c>
      <c r="W31" s="86">
        <f>MBunk_act!W$5</f>
        <v>920320.0534659999</v>
      </c>
      <c r="X31" s="86">
        <f>MBunk_act!X$5</f>
        <v>921821.10660399997</v>
      </c>
      <c r="Y31" s="86">
        <f>MBunk_act!Y$5</f>
        <v>868843.23699100001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7071.5203656614303</v>
      </c>
      <c r="C34" s="28">
        <f t="shared" si="26"/>
        <v>7043.7352561350681</v>
      </c>
      <c r="D34" s="28">
        <f t="shared" si="26"/>
        <v>6741.6981448478073</v>
      </c>
      <c r="E34" s="28">
        <f t="shared" si="26"/>
        <v>6944.0998347960067</v>
      </c>
      <c r="F34" s="28">
        <f t="shared" si="26"/>
        <v>6979.769556938767</v>
      </c>
      <c r="G34" s="28">
        <f t="shared" si="26"/>
        <v>6670.2670636572839</v>
      </c>
      <c r="H34" s="28">
        <f t="shared" si="26"/>
        <v>6732.5059251325238</v>
      </c>
      <c r="I34" s="28">
        <f t="shared" si="26"/>
        <v>6953.3098859153952</v>
      </c>
      <c r="J34" s="28">
        <f t="shared" si="26"/>
        <v>7184.973469186064</v>
      </c>
      <c r="K34" s="28">
        <f t="shared" si="26"/>
        <v>7162.560306432556</v>
      </c>
      <c r="L34" s="28">
        <f t="shared" si="26"/>
        <v>7107.9737626543792</v>
      </c>
      <c r="M34" s="28">
        <f t="shared" si="26"/>
        <v>7109.4157691341807</v>
      </c>
      <c r="N34" s="28">
        <f t="shared" si="26"/>
        <v>6892.5871813111553</v>
      </c>
      <c r="O34" s="28">
        <f t="shared" si="26"/>
        <v>6692.2982515679469</v>
      </c>
      <c r="P34" s="28">
        <f t="shared" si="26"/>
        <v>6864.5732165717891</v>
      </c>
      <c r="Q34" s="28">
        <f t="shared" si="26"/>
        <v>7048.4961988249615</v>
      </c>
      <c r="R34" s="28">
        <f t="shared" ref="R34:V34" si="27">R35+R39+R43</f>
        <v>6945.8241585230126</v>
      </c>
      <c r="S34" s="28">
        <f t="shared" si="27"/>
        <v>6858.0496200459274</v>
      </c>
      <c r="T34" s="28">
        <f t="shared" si="27"/>
        <v>6907.3707788019947</v>
      </c>
      <c r="U34" s="28">
        <f t="shared" si="27"/>
        <v>6892.2019025480131</v>
      </c>
      <c r="V34" s="28">
        <f t="shared" si="27"/>
        <v>5266.0896367119803</v>
      </c>
      <c r="W34" s="28">
        <f t="shared" ref="W34:Y34" si="28">W35+W39+W43</f>
        <v>5812.8210559511244</v>
      </c>
      <c r="X34" s="28">
        <f t="shared" si="28"/>
        <v>6355.695267547665</v>
      </c>
      <c r="Y34" s="28">
        <f t="shared" si="28"/>
        <v>6474.5031834606471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5637.0765940709816</v>
      </c>
      <c r="C35" s="137">
        <f t="shared" si="29"/>
        <v>5714.9538503121548</v>
      </c>
      <c r="D35" s="137">
        <f t="shared" si="29"/>
        <v>5650.6006048432646</v>
      </c>
      <c r="E35" s="137">
        <f t="shared" si="29"/>
        <v>5786.1375012417948</v>
      </c>
      <c r="F35" s="137">
        <f t="shared" si="29"/>
        <v>5839.7824130353047</v>
      </c>
      <c r="G35" s="137">
        <f t="shared" si="29"/>
        <v>5595.9990246851639</v>
      </c>
      <c r="H35" s="137">
        <f t="shared" si="29"/>
        <v>5698.3931963509694</v>
      </c>
      <c r="I35" s="137">
        <f t="shared" si="29"/>
        <v>5874.1573834624023</v>
      </c>
      <c r="J35" s="137">
        <f t="shared" si="29"/>
        <v>5981.1839573239322</v>
      </c>
      <c r="K35" s="137">
        <f t="shared" si="29"/>
        <v>5983.6485295496268</v>
      </c>
      <c r="L35" s="137">
        <f t="shared" si="29"/>
        <v>5899.4469543956811</v>
      </c>
      <c r="M35" s="137">
        <f t="shared" si="29"/>
        <v>5820.9855654851708</v>
      </c>
      <c r="N35" s="137">
        <f t="shared" si="29"/>
        <v>5666.4901716415716</v>
      </c>
      <c r="O35" s="137">
        <f t="shared" si="29"/>
        <v>5517.7073468612152</v>
      </c>
      <c r="P35" s="137">
        <f t="shared" si="29"/>
        <v>5639.3777944821231</v>
      </c>
      <c r="Q35" s="137">
        <f t="shared" si="29"/>
        <v>5761.271304884237</v>
      </c>
      <c r="R35" s="137">
        <f t="shared" ref="R35:V35" si="30">R36+R37+R38</f>
        <v>5646.8585577827744</v>
      </c>
      <c r="S35" s="137">
        <f t="shared" si="30"/>
        <v>5448.6340851631057</v>
      </c>
      <c r="T35" s="137">
        <f t="shared" si="30"/>
        <v>5427.9083355714483</v>
      </c>
      <c r="U35" s="137">
        <f t="shared" si="30"/>
        <v>5378.285868088723</v>
      </c>
      <c r="V35" s="137">
        <f t="shared" si="30"/>
        <v>4555.6229709175341</v>
      </c>
      <c r="W35" s="137">
        <f t="shared" ref="W35:Y35" si="31">W36+W37+W38</f>
        <v>4866.7672963222503</v>
      </c>
      <c r="X35" s="137">
        <f t="shared" si="31"/>
        <v>5023.3984212686282</v>
      </c>
      <c r="Y35" s="137">
        <f t="shared" si="31"/>
        <v>5090.0266671853969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60.046730769153818</v>
      </c>
      <c r="C36" s="102">
        <f>TrRoad_ene!C$19</f>
        <v>62.221860702765248</v>
      </c>
      <c r="D36" s="102">
        <f>TrRoad_ene!D$19</f>
        <v>65.056963332333027</v>
      </c>
      <c r="E36" s="102">
        <f>TrRoad_ene!E$19</f>
        <v>67.276931391149716</v>
      </c>
      <c r="F36" s="102">
        <f>TrRoad_ene!F$19</f>
        <v>67.66093425512868</v>
      </c>
      <c r="G36" s="102">
        <f>TrRoad_ene!G$19</f>
        <v>64.609592202465777</v>
      </c>
      <c r="H36" s="102">
        <f>TrRoad_ene!H$19</f>
        <v>66.348456595801437</v>
      </c>
      <c r="I36" s="102">
        <f>TrRoad_ene!I$19</f>
        <v>68.222909080171618</v>
      </c>
      <c r="J36" s="102">
        <f>TrRoad_ene!J$19</f>
        <v>67.518596967486033</v>
      </c>
      <c r="K36" s="102">
        <f>TrRoad_ene!K$19</f>
        <v>65.608694494671212</v>
      </c>
      <c r="L36" s="102">
        <f>TrRoad_ene!L$19</f>
        <v>61.812786353021565</v>
      </c>
      <c r="M36" s="102">
        <f>TrRoad_ene!M$19</f>
        <v>60.911687198790901</v>
      </c>
      <c r="N36" s="102">
        <f>TrRoad_ene!N$19</f>
        <v>58.163107542286191</v>
      </c>
      <c r="O36" s="102">
        <f>TrRoad_ene!O$19</f>
        <v>55.241468402059105</v>
      </c>
      <c r="P36" s="102">
        <f>TrRoad_ene!P$19</f>
        <v>57.621134787709288</v>
      </c>
      <c r="Q36" s="102">
        <f>TrRoad_ene!Q$19</f>
        <v>56.483673528599631</v>
      </c>
      <c r="R36" s="102">
        <f>TrRoad_ene!R$19</f>
        <v>54.765846540748839</v>
      </c>
      <c r="S36" s="102">
        <f>TrRoad_ene!S$19</f>
        <v>52.483990457610631</v>
      </c>
      <c r="T36" s="102">
        <f>TrRoad_ene!T$19</f>
        <v>50.235776974039631</v>
      </c>
      <c r="U36" s="102">
        <f>TrRoad_ene!U$19</f>
        <v>53.533120316174418</v>
      </c>
      <c r="V36" s="102">
        <f>TrRoad_ene!V$19</f>
        <v>46.131363032768228</v>
      </c>
      <c r="W36" s="102">
        <f>TrRoad_ene!W$19</f>
        <v>50.291333980983822</v>
      </c>
      <c r="X36" s="102">
        <f>TrRoad_ene!X$19</f>
        <v>51.229268728047664</v>
      </c>
      <c r="Y36" s="102">
        <f>TrRoad_ene!Y$19</f>
        <v>55.315398252971413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5184.6582861228571</v>
      </c>
      <c r="C37" s="102">
        <f>TrRoad_ene!C$21</f>
        <v>5263.4426630346143</v>
      </c>
      <c r="D37" s="102">
        <f>TrRoad_ene!D$21</f>
        <v>5202.2324106186807</v>
      </c>
      <c r="E37" s="102">
        <f>TrRoad_ene!E$21</f>
        <v>5333.8860039244028</v>
      </c>
      <c r="F37" s="102">
        <f>TrRoad_ene!F$21</f>
        <v>5386.0665826745253</v>
      </c>
      <c r="G37" s="102">
        <f>TrRoad_ene!G$21</f>
        <v>5153.1321273962176</v>
      </c>
      <c r="H37" s="102">
        <f>TrRoad_ene!H$21</f>
        <v>5262.373153251684</v>
      </c>
      <c r="I37" s="102">
        <f>TrRoad_ene!I$21</f>
        <v>5441.0426406359884</v>
      </c>
      <c r="J37" s="102">
        <f>TrRoad_ene!J$21</f>
        <v>5541.6471036026387</v>
      </c>
      <c r="K37" s="102">
        <f>TrRoad_ene!K$21</f>
        <v>5552.6248836048962</v>
      </c>
      <c r="L37" s="102">
        <f>TrRoad_ene!L$21</f>
        <v>5474.6165590324135</v>
      </c>
      <c r="M37" s="102">
        <f>TrRoad_ene!M$21</f>
        <v>5409.4058098437899</v>
      </c>
      <c r="N37" s="102">
        <f>TrRoad_ene!N$21</f>
        <v>5268.083956495012</v>
      </c>
      <c r="O37" s="102">
        <f>TrRoad_ene!O$21</f>
        <v>5120.8403546970967</v>
      </c>
      <c r="P37" s="102">
        <f>TrRoad_ene!P$21</f>
        <v>5232.3141866663282</v>
      </c>
      <c r="Q37" s="102">
        <f>TrRoad_ene!Q$21</f>
        <v>5342.5471672010572</v>
      </c>
      <c r="R37" s="102">
        <f>TrRoad_ene!R$21</f>
        <v>5240.7513719235676</v>
      </c>
      <c r="S37" s="102">
        <f>TrRoad_ene!S$21</f>
        <v>5036.5832646179724</v>
      </c>
      <c r="T37" s="102">
        <f>TrRoad_ene!T$21</f>
        <v>5004.7348921804423</v>
      </c>
      <c r="U37" s="102">
        <f>TrRoad_ene!U$21</f>
        <v>4951.3697444582931</v>
      </c>
      <c r="V37" s="102">
        <f>TrRoad_ene!V$21</f>
        <v>4142.9721192027782</v>
      </c>
      <c r="W37" s="102">
        <f>TrRoad_ene!W$21</f>
        <v>4440.1208291341609</v>
      </c>
      <c r="X37" s="102">
        <f>TrRoad_ene!X$21</f>
        <v>4598.6762362538611</v>
      </c>
      <c r="Y37" s="102">
        <f>TrRoad_ene!Y$21</f>
        <v>4663.1831534683051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392.37157717897054</v>
      </c>
      <c r="C38" s="102">
        <f>TrRoad_ene!C$33</f>
        <v>389.28932657477526</v>
      </c>
      <c r="D38" s="102">
        <f>TrRoad_ene!D$33</f>
        <v>383.31123089225127</v>
      </c>
      <c r="E38" s="102">
        <f>TrRoad_ene!E$33</f>
        <v>384.97456592624263</v>
      </c>
      <c r="F38" s="102">
        <f>TrRoad_ene!F$33</f>
        <v>386.05489610565115</v>
      </c>
      <c r="G38" s="102">
        <f>TrRoad_ene!G$33</f>
        <v>378.25730508648041</v>
      </c>
      <c r="H38" s="102">
        <f>TrRoad_ene!H$33</f>
        <v>369.67158650348347</v>
      </c>
      <c r="I38" s="102">
        <f>TrRoad_ene!I$33</f>
        <v>364.89183374624179</v>
      </c>
      <c r="J38" s="102">
        <f>TrRoad_ene!J$33</f>
        <v>372.01825675380741</v>
      </c>
      <c r="K38" s="102">
        <f>TrRoad_ene!K$33</f>
        <v>365.41495145005916</v>
      </c>
      <c r="L38" s="102">
        <f>TrRoad_ene!L$33</f>
        <v>363.01760901024591</v>
      </c>
      <c r="M38" s="102">
        <f>TrRoad_ene!M$33</f>
        <v>350.66806844258974</v>
      </c>
      <c r="N38" s="102">
        <f>TrRoad_ene!N$33</f>
        <v>340.24310760427267</v>
      </c>
      <c r="O38" s="102">
        <f>TrRoad_ene!O$33</f>
        <v>341.62552376206008</v>
      </c>
      <c r="P38" s="102">
        <f>TrRoad_ene!P$33</f>
        <v>349.44247302808515</v>
      </c>
      <c r="Q38" s="102">
        <f>TrRoad_ene!Q$33</f>
        <v>362.24046415458002</v>
      </c>
      <c r="R38" s="102">
        <f>TrRoad_ene!R$33</f>
        <v>351.34133931845861</v>
      </c>
      <c r="S38" s="102">
        <f>TrRoad_ene!S$33</f>
        <v>359.56683008752242</v>
      </c>
      <c r="T38" s="102">
        <f>TrRoad_ene!T$33</f>
        <v>372.93766641696681</v>
      </c>
      <c r="U38" s="102">
        <f>TrRoad_ene!U$33</f>
        <v>373.38300331425546</v>
      </c>
      <c r="V38" s="102">
        <f>TrRoad_ene!V$33</f>
        <v>366.51948868198713</v>
      </c>
      <c r="W38" s="102">
        <f>TrRoad_ene!W$33</f>
        <v>376.35513320710544</v>
      </c>
      <c r="X38" s="102">
        <f>TrRoad_ene!X$33</f>
        <v>373.49291628671949</v>
      </c>
      <c r="Y38" s="102">
        <f>TrRoad_ene!Y$33</f>
        <v>371.5281154641209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122.67149287162427</v>
      </c>
      <c r="C39" s="110">
        <f t="shared" si="32"/>
        <v>124.75549089071257</v>
      </c>
      <c r="D39" s="110">
        <f t="shared" si="32"/>
        <v>124.44581877195661</v>
      </c>
      <c r="E39" s="110">
        <f t="shared" si="32"/>
        <v>128.84321164696766</v>
      </c>
      <c r="F39" s="110">
        <f t="shared" si="32"/>
        <v>137.02765332493701</v>
      </c>
      <c r="G39" s="110">
        <f t="shared" si="32"/>
        <v>135.04690180753053</v>
      </c>
      <c r="H39" s="110">
        <f t="shared" si="32"/>
        <v>142.98143611456916</v>
      </c>
      <c r="I39" s="110">
        <f t="shared" si="32"/>
        <v>142.46533889786036</v>
      </c>
      <c r="J39" s="110">
        <f t="shared" si="32"/>
        <v>147.028424854826</v>
      </c>
      <c r="K39" s="110">
        <f t="shared" si="32"/>
        <v>144.66157017338978</v>
      </c>
      <c r="L39" s="110">
        <f t="shared" si="32"/>
        <v>144.39334689152238</v>
      </c>
      <c r="M39" s="110">
        <f t="shared" si="32"/>
        <v>138.91561718549505</v>
      </c>
      <c r="N39" s="110">
        <f t="shared" si="32"/>
        <v>134.78371564187339</v>
      </c>
      <c r="O39" s="110">
        <f t="shared" si="32"/>
        <v>131.68944850692222</v>
      </c>
      <c r="P39" s="110">
        <f t="shared" si="32"/>
        <v>121.27240046569807</v>
      </c>
      <c r="Q39" s="110">
        <f t="shared" si="32"/>
        <v>123.35516241726222</v>
      </c>
      <c r="R39" s="110">
        <f t="shared" ref="R39:V39" si="33">R40+R41+R42</f>
        <v>122.91216101721812</v>
      </c>
      <c r="S39" s="110">
        <f t="shared" si="33"/>
        <v>125.75175538503504</v>
      </c>
      <c r="T39" s="110">
        <f t="shared" si="33"/>
        <v>117.59950076277993</v>
      </c>
      <c r="U39" s="110">
        <f t="shared" si="33"/>
        <v>116.5951268262487</v>
      </c>
      <c r="V39" s="110">
        <f t="shared" si="33"/>
        <v>98.560290892463286</v>
      </c>
      <c r="W39" s="110">
        <f t="shared" ref="W39:Y39" si="34">W40+W41+W42</f>
        <v>101.73254608914756</v>
      </c>
      <c r="X39" s="110">
        <f t="shared" si="34"/>
        <v>118.54207991256166</v>
      </c>
      <c r="Y39" s="110">
        <f t="shared" si="34"/>
        <v>121.99346378512364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5.2546348921872115</v>
      </c>
      <c r="C40" s="102">
        <f>TrRail_ene!C$12</f>
        <v>5.1666908096310804</v>
      </c>
      <c r="D40" s="102">
        <f>TrRail_ene!D$12</f>
        <v>5.1678632789339884</v>
      </c>
      <c r="E40" s="102">
        <f>TrRail_ene!E$12</f>
        <v>5.2259918376143162</v>
      </c>
      <c r="F40" s="102">
        <f>TrRail_ene!F$12</f>
        <v>5.1035592838660433</v>
      </c>
      <c r="G40" s="102">
        <f>TrRail_ene!G$12</f>
        <v>5.2748187161024953</v>
      </c>
      <c r="H40" s="102">
        <f>TrRail_ene!H$12</f>
        <v>5.3073819041150809</v>
      </c>
      <c r="I40" s="102">
        <f>TrRail_ene!I$12</f>
        <v>5.2652621816315941</v>
      </c>
      <c r="J40" s="102">
        <f>TrRail_ene!J$12</f>
        <v>5.2695434371627279</v>
      </c>
      <c r="K40" s="102">
        <f>TrRail_ene!K$12</f>
        <v>5.2486407475266823</v>
      </c>
      <c r="L40" s="102">
        <f>TrRail_ene!L$12</f>
        <v>5.5096958394803943</v>
      </c>
      <c r="M40" s="102">
        <f>TrRail_ene!M$12</f>
        <v>5.7419757347067106</v>
      </c>
      <c r="N40" s="102">
        <f>TrRail_ene!N$12</f>
        <v>6.1562704732919862</v>
      </c>
      <c r="O40" s="102">
        <f>TrRail_ene!O$12</f>
        <v>6.1847051816054153</v>
      </c>
      <c r="P40" s="102">
        <f>TrRail_ene!P$12</f>
        <v>6.0467144103555936</v>
      </c>
      <c r="Q40" s="102">
        <f>TrRail_ene!Q$12</f>
        <v>6.0312024746598212</v>
      </c>
      <c r="R40" s="102">
        <f>TrRail_ene!R$12</f>
        <v>6.0644471943736633</v>
      </c>
      <c r="S40" s="102">
        <f>TrRail_ene!S$12</f>
        <v>6.65842344413627</v>
      </c>
      <c r="T40" s="102">
        <f>TrRail_ene!T$12</f>
        <v>6.8136687731275547</v>
      </c>
      <c r="U40" s="102">
        <f>TrRail_ene!U$12</f>
        <v>7.0321701095885327</v>
      </c>
      <c r="V40" s="102">
        <f>TrRail_ene!V$12</f>
        <v>4.5313699677241059</v>
      </c>
      <c r="W40" s="102">
        <f>TrRail_ene!W$12</f>
        <v>4.2949262807017998</v>
      </c>
      <c r="X40" s="102">
        <f>TrRail_ene!X$12</f>
        <v>5.5795637638661848</v>
      </c>
      <c r="Y40" s="102">
        <f>TrRail_ene!Y$12</f>
        <v>6.1435235400865187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109.68594648912256</v>
      </c>
      <c r="C41" s="102">
        <f>TrRail_ene!C$13</f>
        <v>111.68251394504824</v>
      </c>
      <c r="D41" s="102">
        <f>TrRail_ene!D$13</f>
        <v>111.22323225020665</v>
      </c>
      <c r="E41" s="102">
        <f>TrRail_ene!E$13</f>
        <v>115.80114503911614</v>
      </c>
      <c r="F41" s="102">
        <f>TrRail_ene!F$13</f>
        <v>123.57068008518684</v>
      </c>
      <c r="G41" s="102">
        <f>TrRail_ene!G$13</f>
        <v>121.19200858653564</v>
      </c>
      <c r="H41" s="102">
        <f>TrRail_ene!H$13</f>
        <v>129.14267154522531</v>
      </c>
      <c r="I41" s="102">
        <f>TrRail_ene!I$13</f>
        <v>128.67116339993271</v>
      </c>
      <c r="J41" s="102">
        <f>TrRail_ene!J$13</f>
        <v>132.72246855147415</v>
      </c>
      <c r="K41" s="102">
        <f>TrRail_ene!K$13</f>
        <v>130.65056373798905</v>
      </c>
      <c r="L41" s="102">
        <f>TrRail_ene!L$13</f>
        <v>130.31654490616083</v>
      </c>
      <c r="M41" s="102">
        <f>TrRail_ene!M$13</f>
        <v>125.93942369653909</v>
      </c>
      <c r="N41" s="102">
        <f>TrRail_ene!N$13</f>
        <v>121.42989764182525</v>
      </c>
      <c r="O41" s="102">
        <f>TrRail_ene!O$13</f>
        <v>118.35233372078045</v>
      </c>
      <c r="P41" s="102">
        <f>TrRail_ene!P$13</f>
        <v>108.11454258270234</v>
      </c>
      <c r="Q41" s="102">
        <f>TrRail_ene!Q$13</f>
        <v>108.24282954627249</v>
      </c>
      <c r="R41" s="102">
        <f>TrRail_ene!R$13</f>
        <v>105.75536337436355</v>
      </c>
      <c r="S41" s="102">
        <f>TrRail_ene!S$13</f>
        <v>107.71432062460373</v>
      </c>
      <c r="T41" s="102">
        <f>TrRail_ene!T$13</f>
        <v>99.592958875239944</v>
      </c>
      <c r="U41" s="102">
        <f>TrRail_ene!U$13</f>
        <v>98.513623678867361</v>
      </c>
      <c r="V41" s="102">
        <f>TrRail_ene!V$13</f>
        <v>83.619384168848072</v>
      </c>
      <c r="W41" s="102">
        <f>TrRail_ene!W$13</f>
        <v>86.425653546439591</v>
      </c>
      <c r="X41" s="102">
        <f>TrRail_ene!X$13</f>
        <v>102.10694127204324</v>
      </c>
      <c r="Y41" s="102">
        <f>TrRail_ene!Y$13</f>
        <v>105.05615103502275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7.7309114903144973</v>
      </c>
      <c r="C42" s="102">
        <f>TrRail_ene!C$16</f>
        <v>7.9062861360332413</v>
      </c>
      <c r="D42" s="102">
        <f>TrRail_ene!D$16</f>
        <v>8.0547232428159639</v>
      </c>
      <c r="E42" s="102">
        <f>TrRail_ene!E$16</f>
        <v>7.8160747702371944</v>
      </c>
      <c r="F42" s="102">
        <f>TrRail_ene!F$16</f>
        <v>8.3534139558841201</v>
      </c>
      <c r="G42" s="102">
        <f>TrRail_ene!G$16</f>
        <v>8.5800745048923996</v>
      </c>
      <c r="H42" s="102">
        <f>TrRail_ene!H$16</f>
        <v>8.5313826652287492</v>
      </c>
      <c r="I42" s="102">
        <f>TrRail_ene!I$16</f>
        <v>8.5289133162960802</v>
      </c>
      <c r="J42" s="102">
        <f>TrRail_ene!J$16</f>
        <v>9.0364128661891261</v>
      </c>
      <c r="K42" s="102">
        <f>TrRail_ene!K$16</f>
        <v>8.7623656878740466</v>
      </c>
      <c r="L42" s="102">
        <f>TrRail_ene!L$16</f>
        <v>8.5671061458811568</v>
      </c>
      <c r="M42" s="102">
        <f>TrRail_ene!M$16</f>
        <v>7.2342177542492472</v>
      </c>
      <c r="N42" s="102">
        <f>TrRail_ene!N$16</f>
        <v>7.1975475267561535</v>
      </c>
      <c r="O42" s="102">
        <f>TrRail_ene!O$16</f>
        <v>7.152409604536361</v>
      </c>
      <c r="P42" s="102">
        <f>TrRail_ene!P$16</f>
        <v>7.1111434726401432</v>
      </c>
      <c r="Q42" s="102">
        <f>TrRail_ene!Q$16</f>
        <v>9.0811303963299075</v>
      </c>
      <c r="R42" s="102">
        <f>TrRail_ene!R$16</f>
        <v>11.092350448480921</v>
      </c>
      <c r="S42" s="102">
        <f>TrRail_ene!S$16</f>
        <v>11.379011316295031</v>
      </c>
      <c r="T42" s="102">
        <f>TrRail_ene!T$16</f>
        <v>11.192873114412425</v>
      </c>
      <c r="U42" s="102">
        <f>TrRail_ene!U$16</f>
        <v>11.049333037792808</v>
      </c>
      <c r="V42" s="102">
        <f>TrRail_ene!V$16</f>
        <v>10.409536755891116</v>
      </c>
      <c r="W42" s="102">
        <f>TrRail_ene!W$16</f>
        <v>11.011966262006165</v>
      </c>
      <c r="X42" s="102">
        <f>TrRail_ene!X$16</f>
        <v>10.855574876652232</v>
      </c>
      <c r="Y42" s="102">
        <f>TrRail_ene!Y$16</f>
        <v>10.793789210014371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1311.7722787188236</v>
      </c>
      <c r="C43" s="110">
        <f t="shared" si="35"/>
        <v>1204.025914932201</v>
      </c>
      <c r="D43" s="110">
        <f t="shared" si="35"/>
        <v>966.65172123258594</v>
      </c>
      <c r="E43" s="110">
        <f t="shared" si="35"/>
        <v>1029.1191219072448</v>
      </c>
      <c r="F43" s="110">
        <f t="shared" si="35"/>
        <v>1002.9594905785251</v>
      </c>
      <c r="G43" s="110">
        <f t="shared" si="35"/>
        <v>939.22113716458898</v>
      </c>
      <c r="H43" s="110">
        <f t="shared" si="35"/>
        <v>891.13129266698547</v>
      </c>
      <c r="I43" s="110">
        <f t="shared" si="35"/>
        <v>936.6871635551322</v>
      </c>
      <c r="J43" s="110">
        <f t="shared" si="35"/>
        <v>1056.7610870073061</v>
      </c>
      <c r="K43" s="110">
        <f t="shared" si="35"/>
        <v>1034.2502067095393</v>
      </c>
      <c r="L43" s="110">
        <f t="shared" si="35"/>
        <v>1064.1334613671761</v>
      </c>
      <c r="M43" s="110">
        <f t="shared" si="35"/>
        <v>1149.5145864635147</v>
      </c>
      <c r="N43" s="110">
        <f t="shared" si="35"/>
        <v>1091.3132940277098</v>
      </c>
      <c r="O43" s="110">
        <f t="shared" si="35"/>
        <v>1042.9014561998097</v>
      </c>
      <c r="P43" s="110">
        <f t="shared" si="35"/>
        <v>1103.9230216239671</v>
      </c>
      <c r="Q43" s="110">
        <f t="shared" si="35"/>
        <v>1163.8697315234624</v>
      </c>
      <c r="R43" s="110">
        <f t="shared" ref="R43:V43" si="36">R44+R45+R46</f>
        <v>1176.0534397230203</v>
      </c>
      <c r="S43" s="110">
        <f t="shared" si="36"/>
        <v>1283.6637794977864</v>
      </c>
      <c r="T43" s="110">
        <f t="shared" si="36"/>
        <v>1361.862942467767</v>
      </c>
      <c r="U43" s="110">
        <f t="shared" si="36"/>
        <v>1397.3209076330409</v>
      </c>
      <c r="V43" s="110">
        <f t="shared" si="36"/>
        <v>611.90637490198333</v>
      </c>
      <c r="W43" s="110">
        <f t="shared" ref="W43:Y43" si="37">W44+W45+W46</f>
        <v>844.32121353972661</v>
      </c>
      <c r="X43" s="110">
        <f t="shared" si="37"/>
        <v>1213.7547663664757</v>
      </c>
      <c r="Y43" s="110">
        <f t="shared" si="37"/>
        <v>1262.4830524901263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707.03769676676507</v>
      </c>
      <c r="C45" s="102">
        <f>TrAvia_ene!C$8</f>
        <v>663.65888802878271</v>
      </c>
      <c r="D45" s="102">
        <f>TrAvia_ene!D$8</f>
        <v>567.66355580364086</v>
      </c>
      <c r="E45" s="102">
        <f>TrAvia_ene!E$8</f>
        <v>597.59341095099785</v>
      </c>
      <c r="F45" s="102">
        <f>TrAvia_ene!F$8</f>
        <v>555.34855552772501</v>
      </c>
      <c r="G45" s="102">
        <f>TrAvia_ene!G$8</f>
        <v>519.97158915021748</v>
      </c>
      <c r="H45" s="102">
        <f>TrAvia_ene!H$8</f>
        <v>498.06012794996968</v>
      </c>
      <c r="I45" s="102">
        <f>TrAvia_ene!I$8</f>
        <v>530.81065948638638</v>
      </c>
      <c r="J45" s="102">
        <f>TrAvia_ene!J$8</f>
        <v>589.64409149857897</v>
      </c>
      <c r="K45" s="102">
        <f>TrAvia_ene!K$8</f>
        <v>560.32165680512605</v>
      </c>
      <c r="L45" s="102">
        <f>TrAvia_ene!L$8</f>
        <v>575.36961839192463</v>
      </c>
      <c r="M45" s="102">
        <f>TrAvia_ene!M$8</f>
        <v>620.66162555002086</v>
      </c>
      <c r="N45" s="102">
        <f>TrAvia_ene!N$8</f>
        <v>582.12518689182787</v>
      </c>
      <c r="O45" s="102">
        <f>TrAvia_ene!O$8</f>
        <v>553.17897542013736</v>
      </c>
      <c r="P45" s="102">
        <f>TrAvia_ene!P$8</f>
        <v>588.24274153787928</v>
      </c>
      <c r="Q45" s="102">
        <f>TrAvia_ene!Q$8</f>
        <v>624.32013487562256</v>
      </c>
      <c r="R45" s="102">
        <f>TrAvia_ene!R$8</f>
        <v>646.49513261911704</v>
      </c>
      <c r="S45" s="102">
        <f>TrAvia_ene!S$8</f>
        <v>718.86031024782733</v>
      </c>
      <c r="T45" s="102">
        <f>TrAvia_ene!T$8</f>
        <v>757.45000947064818</v>
      </c>
      <c r="U45" s="102">
        <f>TrAvia_ene!U$8</f>
        <v>759.28958354660131</v>
      </c>
      <c r="V45" s="102">
        <f>TrAvia_ene!V$8</f>
        <v>302.89517365222446</v>
      </c>
      <c r="W45" s="102">
        <f>TrAvia_ene!W$8</f>
        <v>454.26980564212244</v>
      </c>
      <c r="X45" s="102">
        <f>TrAvia_ene!X$8</f>
        <v>699.88166363074288</v>
      </c>
      <c r="Y45" s="102">
        <f>TrAvia_ene!Y$8</f>
        <v>710.95173173845205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604.73458195205853</v>
      </c>
      <c r="C46" s="102">
        <f>TrAvia_ene!C$9</f>
        <v>540.36702690341815</v>
      </c>
      <c r="D46" s="102">
        <f>TrAvia_ene!D$9</f>
        <v>398.98816542894514</v>
      </c>
      <c r="E46" s="102">
        <f>TrAvia_ene!E$9</f>
        <v>431.52571095624688</v>
      </c>
      <c r="F46" s="102">
        <f>TrAvia_ene!F$9</f>
        <v>447.61093505080009</v>
      </c>
      <c r="G46" s="102">
        <f>TrAvia_ene!G$9</f>
        <v>419.24954801437144</v>
      </c>
      <c r="H46" s="102">
        <f>TrAvia_ene!H$9</f>
        <v>393.07116471701585</v>
      </c>
      <c r="I46" s="102">
        <f>TrAvia_ene!I$9</f>
        <v>405.87650406874582</v>
      </c>
      <c r="J46" s="102">
        <f>TrAvia_ene!J$9</f>
        <v>467.11699550872703</v>
      </c>
      <c r="K46" s="102">
        <f>TrAvia_ene!K$9</f>
        <v>473.92854990441316</v>
      </c>
      <c r="L46" s="102">
        <f>TrAvia_ene!L$9</f>
        <v>488.76384297525141</v>
      </c>
      <c r="M46" s="102">
        <f>TrAvia_ene!M$9</f>
        <v>528.8529609134938</v>
      </c>
      <c r="N46" s="102">
        <f>TrAvia_ene!N$9</f>
        <v>509.18810713588198</v>
      </c>
      <c r="O46" s="102">
        <f>TrAvia_ene!O$9</f>
        <v>489.72248077967225</v>
      </c>
      <c r="P46" s="102">
        <f>TrAvia_ene!P$9</f>
        <v>515.68028008608781</v>
      </c>
      <c r="Q46" s="102">
        <f>TrAvia_ene!Q$9</f>
        <v>539.54959664783985</v>
      </c>
      <c r="R46" s="102">
        <f>TrAvia_ene!R$9</f>
        <v>529.55830710390342</v>
      </c>
      <c r="S46" s="102">
        <f>TrAvia_ene!S$9</f>
        <v>564.80346924995922</v>
      </c>
      <c r="T46" s="102">
        <f>TrAvia_ene!T$9</f>
        <v>604.41293299711879</v>
      </c>
      <c r="U46" s="102">
        <f>TrAvia_ene!U$9</f>
        <v>638.03132408643944</v>
      </c>
      <c r="V46" s="102">
        <f>TrAvia_ene!V$9</f>
        <v>309.01120124975881</v>
      </c>
      <c r="W46" s="102">
        <f>TrAvia_ene!W$9</f>
        <v>390.05140789760424</v>
      </c>
      <c r="X46" s="102">
        <f>TrAvia_ene!X$9</f>
        <v>513.8731027357328</v>
      </c>
      <c r="Y46" s="102">
        <f>TrAvia_ene!Y$9</f>
        <v>551.53132075167434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2608.7769147224499</v>
      </c>
      <c r="C47" s="28">
        <f t="shared" si="38"/>
        <v>2766.5190489296128</v>
      </c>
      <c r="D47" s="28">
        <f t="shared" si="38"/>
        <v>2805.9173908287808</v>
      </c>
      <c r="E47" s="28">
        <f t="shared" si="38"/>
        <v>2915.5020360589251</v>
      </c>
      <c r="F47" s="28">
        <f t="shared" si="38"/>
        <v>3166.4664656602054</v>
      </c>
      <c r="G47" s="28">
        <f t="shared" si="38"/>
        <v>3165.8981683096035</v>
      </c>
      <c r="H47" s="28">
        <f t="shared" si="38"/>
        <v>3278.7276611526304</v>
      </c>
      <c r="I47" s="28">
        <f t="shared" si="38"/>
        <v>3422.7601175087038</v>
      </c>
      <c r="J47" s="28">
        <f t="shared" si="38"/>
        <v>3316.5619301670658</v>
      </c>
      <c r="K47" s="28">
        <f t="shared" si="38"/>
        <v>3066.9233339084681</v>
      </c>
      <c r="L47" s="28">
        <f t="shared" si="38"/>
        <v>3157.1758282226447</v>
      </c>
      <c r="M47" s="28">
        <f t="shared" si="38"/>
        <v>3096.3496177508664</v>
      </c>
      <c r="N47" s="28">
        <f t="shared" si="38"/>
        <v>2943.5518470232673</v>
      </c>
      <c r="O47" s="28">
        <f t="shared" si="38"/>
        <v>2914.746756135095</v>
      </c>
      <c r="P47" s="28">
        <f t="shared" si="38"/>
        <v>2963.0180647775624</v>
      </c>
      <c r="Q47" s="28">
        <f t="shared" si="38"/>
        <v>3272.3919188419445</v>
      </c>
      <c r="R47" s="28">
        <f t="shared" ref="R47:V47" si="39">R48+R51+R52+R56</f>
        <v>3460.2336794683201</v>
      </c>
      <c r="S47" s="28">
        <f t="shared" si="39"/>
        <v>3546.1943060063827</v>
      </c>
      <c r="T47" s="28">
        <f t="shared" si="39"/>
        <v>3642.8884099359639</v>
      </c>
      <c r="U47" s="28">
        <f t="shared" si="39"/>
        <v>3620.4937166855507</v>
      </c>
      <c r="V47" s="28">
        <f t="shared" si="39"/>
        <v>3659.7162925424927</v>
      </c>
      <c r="W47" s="28">
        <f t="shared" ref="W47:Y47" si="40">W48+W51+W52+W56</f>
        <v>4235.8638400019254</v>
      </c>
      <c r="X47" s="28">
        <f t="shared" si="40"/>
        <v>4054.5177320986377</v>
      </c>
      <c r="Y47" s="28">
        <f t="shared" si="40"/>
        <v>4143.3203272641886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2066.8822512312126</v>
      </c>
      <c r="C48" s="137">
        <f t="shared" si="41"/>
        <v>2269.9307213045472</v>
      </c>
      <c r="D48" s="137">
        <f t="shared" si="41"/>
        <v>2339.2948964395141</v>
      </c>
      <c r="E48" s="137">
        <f t="shared" si="41"/>
        <v>2381.3973876698878</v>
      </c>
      <c r="F48" s="137">
        <f t="shared" si="41"/>
        <v>2657.5723541896355</v>
      </c>
      <c r="G48" s="137">
        <f t="shared" si="41"/>
        <v>2665.4044703943628</v>
      </c>
      <c r="H48" s="137">
        <f t="shared" si="41"/>
        <v>2757.576245480187</v>
      </c>
      <c r="I48" s="137">
        <f t="shared" si="41"/>
        <v>2834.9512270124269</v>
      </c>
      <c r="J48" s="137">
        <f t="shared" si="41"/>
        <v>2746.3159304212872</v>
      </c>
      <c r="K48" s="137">
        <f t="shared" si="41"/>
        <v>2644.3647754517583</v>
      </c>
      <c r="L48" s="137">
        <f t="shared" si="41"/>
        <v>2659.8690165329335</v>
      </c>
      <c r="M48" s="137">
        <f t="shared" si="41"/>
        <v>2606.4383768598937</v>
      </c>
      <c r="N48" s="137">
        <f t="shared" si="41"/>
        <v>2513.4904732018786</v>
      </c>
      <c r="O48" s="137">
        <f t="shared" si="41"/>
        <v>2506.047377092902</v>
      </c>
      <c r="P48" s="137">
        <f t="shared" si="41"/>
        <v>2563.6654215189901</v>
      </c>
      <c r="Q48" s="137">
        <f t="shared" si="41"/>
        <v>2821.2952306674511</v>
      </c>
      <c r="R48" s="137">
        <f t="shared" ref="R48:V48" si="42">R49+R50</f>
        <v>3030.4549121948016</v>
      </c>
      <c r="S48" s="137">
        <f t="shared" si="42"/>
        <v>3076.281809934776</v>
      </c>
      <c r="T48" s="137">
        <f t="shared" si="42"/>
        <v>3140.4039916015927</v>
      </c>
      <c r="U48" s="137">
        <f t="shared" si="42"/>
        <v>3122.4438010158642</v>
      </c>
      <c r="V48" s="137">
        <f t="shared" si="42"/>
        <v>2873.4230271245569</v>
      </c>
      <c r="W48" s="137">
        <f t="shared" ref="W48:Y48" si="43">W49+W50</f>
        <v>3369.2727157099057</v>
      </c>
      <c r="X48" s="137">
        <f t="shared" si="43"/>
        <v>3338.5573126854997</v>
      </c>
      <c r="Y48" s="137">
        <f t="shared" si="43"/>
        <v>3482.3448229031537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1041.9873583799549</v>
      </c>
      <c r="C49" s="102">
        <f>TrRoad_ene!C$43</f>
        <v>1049.1164011790165</v>
      </c>
      <c r="D49" s="102">
        <f>TrRoad_ene!D$43</f>
        <v>1090.6876941337214</v>
      </c>
      <c r="E49" s="102">
        <f>TrRoad_ene!E$43</f>
        <v>1094.1358158704297</v>
      </c>
      <c r="F49" s="102">
        <f>TrRoad_ene!F$43</f>
        <v>1167.9753559782625</v>
      </c>
      <c r="G49" s="102">
        <f>TrRoad_ene!G$43</f>
        <v>1181.8132130148545</v>
      </c>
      <c r="H49" s="102">
        <f>TrRoad_ene!H$43</f>
        <v>1195.7211022298723</v>
      </c>
      <c r="I49" s="102">
        <f>TrRoad_ene!I$43</f>
        <v>1237.5459676339585</v>
      </c>
      <c r="J49" s="102">
        <f>TrRoad_ene!J$43</f>
        <v>1232.5918783883158</v>
      </c>
      <c r="K49" s="102">
        <f>TrRoad_ene!K$43</f>
        <v>1203.6867074048087</v>
      </c>
      <c r="L49" s="102">
        <f>TrRoad_ene!L$43</f>
        <v>1198.3787403074609</v>
      </c>
      <c r="M49" s="102">
        <f>TrRoad_ene!M$43</f>
        <v>1186.1248934304033</v>
      </c>
      <c r="N49" s="102">
        <f>TrRoad_ene!N$43</f>
        <v>1161.1480879230742</v>
      </c>
      <c r="O49" s="102">
        <f>TrRoad_ene!O$43</f>
        <v>1097.2111835753624</v>
      </c>
      <c r="P49" s="102">
        <f>TrRoad_ene!P$43</f>
        <v>1133.761497036262</v>
      </c>
      <c r="Q49" s="102">
        <f>TrRoad_ene!Q$43</f>
        <v>1199.6664508255387</v>
      </c>
      <c r="R49" s="102">
        <f>TrRoad_ene!R$43</f>
        <v>1131.944596362508</v>
      </c>
      <c r="S49" s="102">
        <f>TrRoad_ene!S$43</f>
        <v>1046.4990680385756</v>
      </c>
      <c r="T49" s="102">
        <f>TrRoad_ene!T$43</f>
        <v>1065.1591724853595</v>
      </c>
      <c r="U49" s="102">
        <f>TrRoad_ene!U$43</f>
        <v>1060.3472384720603</v>
      </c>
      <c r="V49" s="102">
        <f>TrRoad_ene!V$43</f>
        <v>963.43630082631535</v>
      </c>
      <c r="W49" s="102">
        <f>TrRoad_ene!W$43</f>
        <v>1213.5593999544194</v>
      </c>
      <c r="X49" s="102">
        <f>TrRoad_ene!X$43</f>
        <v>1181.7522915644192</v>
      </c>
      <c r="Y49" s="102">
        <f>TrRoad_ene!Y$43</f>
        <v>1269.6526992257352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1024.8948928512577</v>
      </c>
      <c r="C50" s="102">
        <f>TrRoad_ene!C$52</f>
        <v>1220.8143201255307</v>
      </c>
      <c r="D50" s="102">
        <f>TrRoad_ene!D$52</f>
        <v>1248.6072023057927</v>
      </c>
      <c r="E50" s="102">
        <f>TrRoad_ene!E$52</f>
        <v>1287.2615717994581</v>
      </c>
      <c r="F50" s="102">
        <f>TrRoad_ene!F$52</f>
        <v>1489.5969982113729</v>
      </c>
      <c r="G50" s="102">
        <f>TrRoad_ene!G$52</f>
        <v>1483.5912573795085</v>
      </c>
      <c r="H50" s="102">
        <f>TrRoad_ene!H$52</f>
        <v>1561.855143250315</v>
      </c>
      <c r="I50" s="102">
        <f>TrRoad_ene!I$52</f>
        <v>1597.4052593784681</v>
      </c>
      <c r="J50" s="102">
        <f>TrRoad_ene!J$52</f>
        <v>1513.7240520329715</v>
      </c>
      <c r="K50" s="102">
        <f>TrRoad_ene!K$52</f>
        <v>1440.6780680469496</v>
      </c>
      <c r="L50" s="102">
        <f>TrRoad_ene!L$52</f>
        <v>1461.4902762254724</v>
      </c>
      <c r="M50" s="102">
        <f>TrRoad_ene!M$52</f>
        <v>1420.3134834294906</v>
      </c>
      <c r="N50" s="102">
        <f>TrRoad_ene!N$52</f>
        <v>1352.3423852788046</v>
      </c>
      <c r="O50" s="102">
        <f>TrRoad_ene!O$52</f>
        <v>1408.8361935175399</v>
      </c>
      <c r="P50" s="102">
        <f>TrRoad_ene!P$52</f>
        <v>1429.9039244827279</v>
      </c>
      <c r="Q50" s="102">
        <f>TrRoad_ene!Q$52</f>
        <v>1621.6287798419123</v>
      </c>
      <c r="R50" s="102">
        <f>TrRoad_ene!R$52</f>
        <v>1898.5103158322936</v>
      </c>
      <c r="S50" s="102">
        <f>TrRoad_ene!S$52</f>
        <v>2029.7827418962004</v>
      </c>
      <c r="T50" s="102">
        <f>TrRoad_ene!T$52</f>
        <v>2075.2448191162334</v>
      </c>
      <c r="U50" s="102">
        <f>TrRoad_ene!U$52</f>
        <v>2062.0965625438039</v>
      </c>
      <c r="V50" s="102">
        <f>TrRoad_ene!V$52</f>
        <v>1909.9867262982416</v>
      </c>
      <c r="W50" s="102">
        <f>TrRoad_ene!W$52</f>
        <v>2155.7133157554863</v>
      </c>
      <c r="X50" s="102">
        <f>TrRoad_ene!X$52</f>
        <v>2156.8050211210802</v>
      </c>
      <c r="Y50" s="102">
        <f>TrRoad_ene!Y$52</f>
        <v>2212.6921236774187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55.174594832588951</v>
      </c>
      <c r="C51" s="110">
        <f>TrRail_ene!C$17</f>
        <v>48.658094663887638</v>
      </c>
      <c r="D51" s="110">
        <f>TrRail_ene!D$17</f>
        <v>43.748506249539545</v>
      </c>
      <c r="E51" s="110">
        <f>TrRail_ene!E$17</f>
        <v>41.092299960942924</v>
      </c>
      <c r="F51" s="110">
        <f>TrRail_ene!F$17</f>
        <v>46.215424920978705</v>
      </c>
      <c r="G51" s="110">
        <f>TrRail_ene!G$17</f>
        <v>50.582246945693875</v>
      </c>
      <c r="H51" s="110">
        <f>TrRail_ene!H$17</f>
        <v>57.332407393599425</v>
      </c>
      <c r="I51" s="110">
        <f>TrRail_ene!I$17</f>
        <v>59.864841669637499</v>
      </c>
      <c r="J51" s="110">
        <f>TrRail_ene!J$17</f>
        <v>54.953518395388983</v>
      </c>
      <c r="K51" s="110">
        <f>TrRail_ene!K$17</f>
        <v>36.009109104340226</v>
      </c>
      <c r="L51" s="110">
        <f>TrRail_ene!L$17</f>
        <v>36.586876668236798</v>
      </c>
      <c r="M51" s="110">
        <f>TrRail_ene!M$17</f>
        <v>34.247151516138679</v>
      </c>
      <c r="N51" s="110">
        <f>TrRail_ene!N$17</f>
        <v>35.914220729579739</v>
      </c>
      <c r="O51" s="110">
        <f>TrRail_ene!O$17</f>
        <v>34.065753556706284</v>
      </c>
      <c r="P51" s="110">
        <f>TrRail_ene!P$17</f>
        <v>33.213154134473911</v>
      </c>
      <c r="Q51" s="110">
        <f>TrRail_ene!Q$17</f>
        <v>33.433057703116077</v>
      </c>
      <c r="R51" s="110">
        <f>TrRail_ene!R$17</f>
        <v>35.248887993959791</v>
      </c>
      <c r="S51" s="110">
        <f>TrRail_ene!S$17</f>
        <v>37.6128189915772</v>
      </c>
      <c r="T51" s="110">
        <f>TrRail_ene!T$17</f>
        <v>46.242287715293955</v>
      </c>
      <c r="U51" s="110">
        <f>TrRail_ene!U$17</f>
        <v>47.580539553802893</v>
      </c>
      <c r="V51" s="110">
        <f>TrRail_ene!V$17</f>
        <v>46.859743501345804</v>
      </c>
      <c r="W51" s="110">
        <f>TrRail_ene!W$17</f>
        <v>49.591271623664142</v>
      </c>
      <c r="X51" s="110">
        <f>TrRail_ene!X$17</f>
        <v>27.740637198358399</v>
      </c>
      <c r="Y51" s="110">
        <f>TrRail_ene!Y$17</f>
        <v>26.429838020551287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198.17802222700632</v>
      </c>
      <c r="C52" s="110">
        <f t="shared" si="44"/>
        <v>171.99876262583814</v>
      </c>
      <c r="D52" s="110">
        <f t="shared" si="44"/>
        <v>173.97837335038963</v>
      </c>
      <c r="E52" s="110">
        <f t="shared" si="44"/>
        <v>215.75525470496461</v>
      </c>
      <c r="F52" s="110">
        <f t="shared" si="44"/>
        <v>215.72305456334894</v>
      </c>
      <c r="G52" s="110">
        <f t="shared" si="44"/>
        <v>219.79055673051016</v>
      </c>
      <c r="H52" s="110">
        <f t="shared" si="44"/>
        <v>318.20516477067548</v>
      </c>
      <c r="I52" s="110">
        <f t="shared" si="44"/>
        <v>376.79091039155799</v>
      </c>
      <c r="J52" s="110">
        <f t="shared" si="44"/>
        <v>363.52885280352803</v>
      </c>
      <c r="K52" s="110">
        <f t="shared" si="44"/>
        <v>259.71419569802759</v>
      </c>
      <c r="L52" s="110">
        <f t="shared" si="44"/>
        <v>311.17229959585097</v>
      </c>
      <c r="M52" s="110">
        <f t="shared" si="44"/>
        <v>311.54878412977831</v>
      </c>
      <c r="N52" s="110">
        <f t="shared" si="44"/>
        <v>253.69478851743244</v>
      </c>
      <c r="O52" s="110">
        <f t="shared" si="44"/>
        <v>230.11135549408547</v>
      </c>
      <c r="P52" s="110">
        <f t="shared" si="44"/>
        <v>226.50114002693587</v>
      </c>
      <c r="Q52" s="110">
        <f t="shared" si="44"/>
        <v>281.99346710078424</v>
      </c>
      <c r="R52" s="110">
        <f t="shared" si="44"/>
        <v>263.03134101644611</v>
      </c>
      <c r="S52" s="110">
        <f t="shared" si="44"/>
        <v>297.66562720900612</v>
      </c>
      <c r="T52" s="110">
        <f t="shared" si="44"/>
        <v>324.01891479792477</v>
      </c>
      <c r="U52" s="110">
        <f t="shared" si="44"/>
        <v>307.04762203161903</v>
      </c>
      <c r="V52" s="110">
        <f t="shared" si="44"/>
        <v>586.33954083318463</v>
      </c>
      <c r="W52" s="110">
        <f t="shared" ref="W52:Y52" si="45">W53+W54+W55</f>
        <v>667.7058715849513</v>
      </c>
      <c r="X52" s="110">
        <f t="shared" si="45"/>
        <v>537.58444257591452</v>
      </c>
      <c r="Y52" s="110">
        <f t="shared" si="45"/>
        <v>492.33208078588359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58.217081623207918</v>
      </c>
      <c r="C54" s="102">
        <f>TrAvia_ene!C$12</f>
        <v>44.290169831664372</v>
      </c>
      <c r="D54" s="102">
        <f>TrAvia_ene!D$12</f>
        <v>42.559505902014486</v>
      </c>
      <c r="E54" s="102">
        <f>TrAvia_ene!E$12</f>
        <v>42.877316720275296</v>
      </c>
      <c r="F54" s="102">
        <f>TrAvia_ene!F$12</f>
        <v>43.415443575126567</v>
      </c>
      <c r="G54" s="102">
        <f>TrAvia_ene!G$12</f>
        <v>47.688750987714357</v>
      </c>
      <c r="H54" s="102">
        <f>TrAvia_ene!H$12</f>
        <v>90.565066916401719</v>
      </c>
      <c r="I54" s="102">
        <f>TrAvia_ene!I$12</f>
        <v>98.74204558864821</v>
      </c>
      <c r="J54" s="102">
        <f>TrAvia_ene!J$12</f>
        <v>80.020750811894317</v>
      </c>
      <c r="K54" s="102">
        <f>TrAvia_ene!K$12</f>
        <v>56.773416281797779</v>
      </c>
      <c r="L54" s="102">
        <f>TrAvia_ene!L$12</f>
        <v>58.004736467093544</v>
      </c>
      <c r="M54" s="102">
        <f>TrAvia_ene!M$12</f>
        <v>55.903522704277208</v>
      </c>
      <c r="N54" s="102">
        <f>TrAvia_ene!N$12</f>
        <v>52.524409977325689</v>
      </c>
      <c r="O54" s="102">
        <f>TrAvia_ene!O$12</f>
        <v>51.724625892221894</v>
      </c>
      <c r="P54" s="102">
        <f>TrAvia_ene!P$12</f>
        <v>50.445656662868025</v>
      </c>
      <c r="Q54" s="102">
        <f>TrAvia_ene!Q$12</f>
        <v>56.228975731832485</v>
      </c>
      <c r="R54" s="102">
        <f>TrAvia_ene!R$12</f>
        <v>51.404634575347487</v>
      </c>
      <c r="S54" s="102">
        <f>TrAvia_ene!S$12</f>
        <v>62.510012518843858</v>
      </c>
      <c r="T54" s="102">
        <f>TrAvia_ene!T$12</f>
        <v>76.001455310939562</v>
      </c>
      <c r="U54" s="102">
        <f>TrAvia_ene!U$12</f>
        <v>73.850394072032501</v>
      </c>
      <c r="V54" s="102">
        <f>TrAvia_ene!V$12</f>
        <v>98.421331055112063</v>
      </c>
      <c r="W54" s="102">
        <f>TrAvia_ene!W$12</f>
        <v>133.09596626053641</v>
      </c>
      <c r="X54" s="102">
        <f>TrAvia_ene!X$12</f>
        <v>74.861589218069327</v>
      </c>
      <c r="Y54" s="102">
        <f>TrAvia_ene!Y$12</f>
        <v>73.386613188758645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139.96094060379841</v>
      </c>
      <c r="C55" s="102">
        <f>TrAvia_ene!C$13</f>
        <v>127.70859279417375</v>
      </c>
      <c r="D55" s="102">
        <f>TrAvia_ene!D$13</f>
        <v>131.41886744837515</v>
      </c>
      <c r="E55" s="102">
        <f>TrAvia_ene!E$13</f>
        <v>172.87793798468931</v>
      </c>
      <c r="F55" s="102">
        <f>TrAvia_ene!F$13</f>
        <v>172.30761098822236</v>
      </c>
      <c r="G55" s="102">
        <f>TrAvia_ene!G$13</f>
        <v>172.10180574279579</v>
      </c>
      <c r="H55" s="102">
        <f>TrAvia_ene!H$13</f>
        <v>227.64009785427376</v>
      </c>
      <c r="I55" s="102">
        <f>TrAvia_ene!I$13</f>
        <v>278.04886480290975</v>
      </c>
      <c r="J55" s="102">
        <f>TrAvia_ene!J$13</f>
        <v>283.50810199163368</v>
      </c>
      <c r="K55" s="102">
        <f>TrAvia_ene!K$13</f>
        <v>202.94077941622982</v>
      </c>
      <c r="L55" s="102">
        <f>TrAvia_ene!L$13</f>
        <v>253.16756312875745</v>
      </c>
      <c r="M55" s="102">
        <f>TrAvia_ene!M$13</f>
        <v>255.6452614255011</v>
      </c>
      <c r="N55" s="102">
        <f>TrAvia_ene!N$13</f>
        <v>201.17037854010675</v>
      </c>
      <c r="O55" s="102">
        <f>TrAvia_ene!O$13</f>
        <v>178.38672960186358</v>
      </c>
      <c r="P55" s="102">
        <f>TrAvia_ene!P$13</f>
        <v>176.05548336406784</v>
      </c>
      <c r="Q55" s="102">
        <f>TrAvia_ene!Q$13</f>
        <v>225.76449136895178</v>
      </c>
      <c r="R55" s="102">
        <f>TrAvia_ene!R$13</f>
        <v>211.62670644109863</v>
      </c>
      <c r="S55" s="102">
        <f>TrAvia_ene!S$13</f>
        <v>235.15561469016228</v>
      </c>
      <c r="T55" s="102">
        <f>TrAvia_ene!T$13</f>
        <v>248.01745948698522</v>
      </c>
      <c r="U55" s="102">
        <f>TrAvia_ene!U$13</f>
        <v>233.19722795958654</v>
      </c>
      <c r="V55" s="102">
        <f>TrAvia_ene!V$13</f>
        <v>487.91820977807259</v>
      </c>
      <c r="W55" s="102">
        <f>TrAvia_ene!W$13</f>
        <v>534.60990532441485</v>
      </c>
      <c r="X55" s="102">
        <f>TrAvia_ene!X$13</f>
        <v>462.72285335784517</v>
      </c>
      <c r="Y55" s="102">
        <f>TrAvia_ene!Y$13</f>
        <v>418.94546759712495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288.54204643164235</v>
      </c>
      <c r="C56" s="110">
        <f t="shared" si="46"/>
        <v>275.93147033533961</v>
      </c>
      <c r="D56" s="110">
        <f t="shared" si="46"/>
        <v>248.89561478933788</v>
      </c>
      <c r="E56" s="110">
        <f t="shared" si="46"/>
        <v>277.2570937231298</v>
      </c>
      <c r="F56" s="110">
        <f t="shared" si="46"/>
        <v>246.95563198624245</v>
      </c>
      <c r="G56" s="110">
        <f t="shared" si="46"/>
        <v>230.12089423903689</v>
      </c>
      <c r="H56" s="110">
        <f t="shared" si="46"/>
        <v>145.61384350816854</v>
      </c>
      <c r="I56" s="110">
        <f t="shared" si="46"/>
        <v>151.15313843508167</v>
      </c>
      <c r="J56" s="110">
        <f t="shared" si="46"/>
        <v>151.76362854686158</v>
      </c>
      <c r="K56" s="110">
        <f t="shared" si="46"/>
        <v>126.83525365434218</v>
      </c>
      <c r="L56" s="110">
        <f t="shared" si="46"/>
        <v>149.54763542562344</v>
      </c>
      <c r="M56" s="110">
        <f t="shared" si="46"/>
        <v>144.11530524505591</v>
      </c>
      <c r="N56" s="110">
        <f t="shared" si="46"/>
        <v>140.45236457437665</v>
      </c>
      <c r="O56" s="110">
        <f t="shared" si="46"/>
        <v>144.52226999140152</v>
      </c>
      <c r="P56" s="110">
        <f t="shared" si="46"/>
        <v>139.63834909716255</v>
      </c>
      <c r="Q56" s="110">
        <f t="shared" si="46"/>
        <v>135.67016337059331</v>
      </c>
      <c r="R56" s="110">
        <f t="shared" ref="R56:V56" si="47">R57+R58</f>
        <v>131.49853826311261</v>
      </c>
      <c r="S56" s="110">
        <f t="shared" si="47"/>
        <v>134.63404987102322</v>
      </c>
      <c r="T56" s="110">
        <f t="shared" si="47"/>
        <v>132.22321582115214</v>
      </c>
      <c r="U56" s="110">
        <f t="shared" si="47"/>
        <v>143.42175408426479</v>
      </c>
      <c r="V56" s="110">
        <f t="shared" si="47"/>
        <v>153.09398108340497</v>
      </c>
      <c r="W56" s="110">
        <f t="shared" ref="W56:Y56" si="48">W57+W58</f>
        <v>149.29398108340499</v>
      </c>
      <c r="X56" s="110">
        <f t="shared" si="48"/>
        <v>150.63533963886499</v>
      </c>
      <c r="Y56" s="110">
        <f t="shared" si="48"/>
        <v>142.21358555460017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16.767268479576607</v>
      </c>
      <c r="C57" s="102">
        <f>TrNavi_ene!C4</f>
        <v>13.583205230683582</v>
      </c>
      <c r="D57" s="102">
        <f>TrNavi_ene!D4</f>
        <v>10.650109486832735</v>
      </c>
      <c r="E57" s="102">
        <f>TrNavi_ene!E4</f>
        <v>10.333919438663772</v>
      </c>
      <c r="F57" s="102">
        <f>TrNavi_ene!F4</f>
        <v>6.8504456469907069</v>
      </c>
      <c r="G57" s="102">
        <f>TrNavi_ene!G4</f>
        <v>12.045283863766137</v>
      </c>
      <c r="H57" s="102">
        <f>TrNavi_ene!H4</f>
        <v>10.230087438693655</v>
      </c>
      <c r="I57" s="102">
        <f>TrNavi_ene!I4</f>
        <v>11.656363753687408</v>
      </c>
      <c r="J57" s="102">
        <f>TrNavi_ene!J4</f>
        <v>12.784398104336312</v>
      </c>
      <c r="K57" s="102">
        <f>TrNavi_ene!K4</f>
        <v>7.2831846901378574</v>
      </c>
      <c r="L57" s="102">
        <f>TrNavi_ene!L4</f>
        <v>7.2920645789718366</v>
      </c>
      <c r="M57" s="102">
        <f>TrNavi_ene!M4</f>
        <v>6.3750442498785747</v>
      </c>
      <c r="N57" s="102">
        <f>TrNavi_ene!N4</f>
        <v>5.6501525478795864</v>
      </c>
      <c r="O57" s="102">
        <f>TrNavi_ene!O4</f>
        <v>5.8262807957801792</v>
      </c>
      <c r="P57" s="102">
        <f>TrNavi_ene!P4</f>
        <v>5.6713205562709303</v>
      </c>
      <c r="Q57" s="102">
        <f>TrNavi_ene!Q4</f>
        <v>4.9662346246173472</v>
      </c>
      <c r="R57" s="102">
        <f>TrNavi_ene!R4</f>
        <v>5.7267944551778083</v>
      </c>
      <c r="S57" s="102">
        <f>TrNavi_ene!S4</f>
        <v>4.5306602082564806</v>
      </c>
      <c r="T57" s="102">
        <f>TrNavi_ene!T4</f>
        <v>5.755984029040965</v>
      </c>
      <c r="U57" s="102">
        <f>TrNavi_ene!U4</f>
        <v>7.6601486086602</v>
      </c>
      <c r="V57" s="102">
        <f>TrNavi_ene!V4</f>
        <v>8.3173125596761555</v>
      </c>
      <c r="W57" s="102">
        <f>TrNavi_ene!W4</f>
        <v>9.6426266365975142</v>
      </c>
      <c r="X57" s="102">
        <f>TrNavi_ene!X4</f>
        <v>10.868980039110467</v>
      </c>
      <c r="Y57" s="102">
        <f>TrNavi_ene!Y4</f>
        <v>8.964157879696895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271.77477795206573</v>
      </c>
      <c r="C58" s="169">
        <f>TrNavi_ene!C10</f>
        <v>262.34826510465604</v>
      </c>
      <c r="D58" s="169">
        <f>TrNavi_ene!D10</f>
        <v>238.24550530250514</v>
      </c>
      <c r="E58" s="169">
        <f>TrNavi_ene!E10</f>
        <v>266.92317428446603</v>
      </c>
      <c r="F58" s="169">
        <f>TrNavi_ene!F10</f>
        <v>240.10518633925176</v>
      </c>
      <c r="G58" s="169">
        <f>TrNavi_ene!G10</f>
        <v>218.07561037527074</v>
      </c>
      <c r="H58" s="169">
        <f>TrNavi_ene!H10</f>
        <v>135.38375606947488</v>
      </c>
      <c r="I58" s="169">
        <f>TrNavi_ene!I10</f>
        <v>139.49677468139427</v>
      </c>
      <c r="J58" s="169">
        <f>TrNavi_ene!J10</f>
        <v>138.97923044252528</v>
      </c>
      <c r="K58" s="169">
        <f>TrNavi_ene!K10</f>
        <v>119.55206896420432</v>
      </c>
      <c r="L58" s="169">
        <f>TrNavi_ene!L10</f>
        <v>142.25557084665161</v>
      </c>
      <c r="M58" s="169">
        <f>TrNavi_ene!M10</f>
        <v>137.74026099517732</v>
      </c>
      <c r="N58" s="169">
        <f>TrNavi_ene!N10</f>
        <v>134.80221202649705</v>
      </c>
      <c r="O58" s="169">
        <f>TrNavi_ene!O10</f>
        <v>138.69598919562134</v>
      </c>
      <c r="P58" s="169">
        <f>TrNavi_ene!P10</f>
        <v>133.96702854089162</v>
      </c>
      <c r="Q58" s="169">
        <f>TrNavi_ene!Q10</f>
        <v>130.70392874597596</v>
      </c>
      <c r="R58" s="169">
        <f>TrNavi_ene!R10</f>
        <v>125.77174380793481</v>
      </c>
      <c r="S58" s="169">
        <f>TrNavi_ene!S10</f>
        <v>130.10338966276674</v>
      </c>
      <c r="T58" s="169">
        <f>TrNavi_ene!T10</f>
        <v>126.46723179211118</v>
      </c>
      <c r="U58" s="169">
        <f>TrNavi_ene!U10</f>
        <v>135.7616054756046</v>
      </c>
      <c r="V58" s="169">
        <f>TrNavi_ene!V10</f>
        <v>144.7766685237288</v>
      </c>
      <c r="W58" s="169">
        <f>TrNavi_ene!W10</f>
        <v>139.65135444680746</v>
      </c>
      <c r="X58" s="169">
        <f>TrNavi_ene!X10</f>
        <v>139.76635959975454</v>
      </c>
      <c r="Y58" s="169">
        <f>TrNavi_ene!Y10</f>
        <v>133.24942767490327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5340.7423043852104</v>
      </c>
      <c r="C59" s="28">
        <f t="shared" ref="C59:W59" si="49">C60+C61</f>
        <v>5220.4500429922609</v>
      </c>
      <c r="D59" s="28">
        <f t="shared" si="49"/>
        <v>6810.6668959587269</v>
      </c>
      <c r="E59" s="28">
        <f t="shared" si="49"/>
        <v>7440.7423903697336</v>
      </c>
      <c r="F59" s="28">
        <f t="shared" si="49"/>
        <v>7709.2194325021501</v>
      </c>
      <c r="G59" s="28">
        <f t="shared" si="49"/>
        <v>7630.3334479793648</v>
      </c>
      <c r="H59" s="28">
        <f t="shared" si="49"/>
        <v>8261.0681857265681</v>
      </c>
      <c r="I59" s="28">
        <f t="shared" si="49"/>
        <v>9234.9814273430784</v>
      </c>
      <c r="J59" s="28">
        <f t="shared" si="49"/>
        <v>9523.9562338779033</v>
      </c>
      <c r="K59" s="28">
        <f t="shared" si="49"/>
        <v>6986.252020636286</v>
      </c>
      <c r="L59" s="28">
        <f t="shared" si="49"/>
        <v>7596.4269131556321</v>
      </c>
      <c r="M59" s="28">
        <f t="shared" si="49"/>
        <v>6749.9235597592433</v>
      </c>
      <c r="N59" s="28">
        <f t="shared" si="49"/>
        <v>6044.2343078245913</v>
      </c>
      <c r="O59" s="28">
        <f t="shared" si="49"/>
        <v>6156.324591573517</v>
      </c>
      <c r="P59" s="28">
        <f t="shared" si="49"/>
        <v>5380.7203783319001</v>
      </c>
      <c r="Q59" s="28">
        <f t="shared" si="49"/>
        <v>5821.295442820292</v>
      </c>
      <c r="R59" s="28">
        <f t="shared" si="49"/>
        <v>6663.7966466036114</v>
      </c>
      <c r="S59" s="28">
        <f t="shared" si="49"/>
        <v>7493.3091143594147</v>
      </c>
      <c r="T59" s="28">
        <f t="shared" si="49"/>
        <v>9282.4941530524484</v>
      </c>
      <c r="U59" s="28">
        <f t="shared" si="49"/>
        <v>8197.5016337059333</v>
      </c>
      <c r="V59" s="28">
        <f t="shared" si="49"/>
        <v>6376.6165950128971</v>
      </c>
      <c r="W59" s="28">
        <f t="shared" si="49"/>
        <v>7575.1032674118651</v>
      </c>
      <c r="X59" s="28">
        <f t="shared" ref="X59:Y59" si="50">X60+X61</f>
        <v>7646.274720550301</v>
      </c>
      <c r="Y59" s="28">
        <f t="shared" si="50"/>
        <v>6925.539552880482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1618.6596698740461</v>
      </c>
      <c r="C60" s="102">
        <f>MBunk_ene!C$4</f>
        <v>1625.9181424556909</v>
      </c>
      <c r="D60" s="102">
        <f>MBunk_ene!D$4</f>
        <v>1995.8880712876944</v>
      </c>
      <c r="E60" s="102">
        <f>MBunk_ene!E$4</f>
        <v>2171.4322969736104</v>
      </c>
      <c r="F60" s="102">
        <f>MBunk_ene!F$4</f>
        <v>2018.7577964193956</v>
      </c>
      <c r="G60" s="102">
        <f>MBunk_ene!G$4</f>
        <v>1795.5196151711302</v>
      </c>
      <c r="H60" s="102">
        <f>MBunk_ene!H$4</f>
        <v>1899.9424893199784</v>
      </c>
      <c r="I60" s="102">
        <f>MBunk_ene!I$4</f>
        <v>2056.5096523924658</v>
      </c>
      <c r="J60" s="102">
        <f>MBunk_ene!J$4</f>
        <v>2099.326578385545</v>
      </c>
      <c r="K60" s="102">
        <f>MBunk_ene!K$4</f>
        <v>1519.1183958541008</v>
      </c>
      <c r="L60" s="102">
        <f>MBunk_ene!L$4</f>
        <v>1800.9488311561936</v>
      </c>
      <c r="M60" s="102">
        <f>MBunk_ene!M$4</f>
        <v>1509.3387293914086</v>
      </c>
      <c r="N60" s="102">
        <f>MBunk_ene!N$4</f>
        <v>1463.0628171683463</v>
      </c>
      <c r="O60" s="102">
        <f>MBunk_ene!O$4</f>
        <v>1552.9533764603079</v>
      </c>
      <c r="P60" s="102">
        <f>MBunk_ene!P$4</f>
        <v>1405.4562257730606</v>
      </c>
      <c r="Q60" s="102">
        <f>MBunk_ene!Q$4</f>
        <v>1583.0861871217712</v>
      </c>
      <c r="R60" s="102">
        <f>MBunk_ene!R$4</f>
        <v>2057.1122197633094</v>
      </c>
      <c r="S60" s="102">
        <f>MBunk_ene!S$4</f>
        <v>2123.8317350079124</v>
      </c>
      <c r="T60" s="102">
        <f>MBunk_ene!T$4</f>
        <v>2494.0297074773971</v>
      </c>
      <c r="U60" s="102">
        <f>MBunk_ene!U$4</f>
        <v>2291.1559939835511</v>
      </c>
      <c r="V60" s="102">
        <f>MBunk_ene!V$4</f>
        <v>1562.407944827678</v>
      </c>
      <c r="W60" s="102">
        <f>MBunk_ene!W$4</f>
        <v>1937.8138493753793</v>
      </c>
      <c r="X60" s="102">
        <f>MBunk_ene!X$4</f>
        <v>2121.4418871620019</v>
      </c>
      <c r="Y60" s="102">
        <f>MBunk_ene!Y$4</f>
        <v>2079.7339859080103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3722.0826345111641</v>
      </c>
      <c r="C61" s="86">
        <f>MBunk_ene!C$10</f>
        <v>3594.53190053657</v>
      </c>
      <c r="D61" s="86">
        <f>MBunk_ene!D$10</f>
        <v>4814.7788246710325</v>
      </c>
      <c r="E61" s="86">
        <f>MBunk_ene!E$10</f>
        <v>5269.3100933961232</v>
      </c>
      <c r="F61" s="86">
        <f>MBunk_ene!F$10</f>
        <v>5690.461636082754</v>
      </c>
      <c r="G61" s="86">
        <f>MBunk_ene!G$10</f>
        <v>5834.813832808235</v>
      </c>
      <c r="H61" s="86">
        <f>MBunk_ene!H$10</f>
        <v>6361.1256964065897</v>
      </c>
      <c r="I61" s="86">
        <f>MBunk_ene!I$10</f>
        <v>7178.4717749506126</v>
      </c>
      <c r="J61" s="86">
        <f>MBunk_ene!J$10</f>
        <v>7424.6296554923574</v>
      </c>
      <c r="K61" s="86">
        <f>MBunk_ene!K$10</f>
        <v>5467.1336247821855</v>
      </c>
      <c r="L61" s="86">
        <f>MBunk_ene!L$10</f>
        <v>5795.4780819994385</v>
      </c>
      <c r="M61" s="86">
        <f>MBunk_ene!M$10</f>
        <v>5240.5848303678349</v>
      </c>
      <c r="N61" s="86">
        <f>MBunk_ene!N$10</f>
        <v>4581.1714906562447</v>
      </c>
      <c r="O61" s="86">
        <f>MBunk_ene!O$10</f>
        <v>4603.3712151132086</v>
      </c>
      <c r="P61" s="86">
        <f>MBunk_ene!P$10</f>
        <v>3975.2641525588392</v>
      </c>
      <c r="Q61" s="86">
        <f>MBunk_ene!Q$10</f>
        <v>4238.2092556985208</v>
      </c>
      <c r="R61" s="86">
        <f>MBunk_ene!R$10</f>
        <v>4606.684426840302</v>
      </c>
      <c r="S61" s="86">
        <f>MBunk_ene!S$10</f>
        <v>5369.4773793515023</v>
      </c>
      <c r="T61" s="86">
        <f>MBunk_ene!T$10</f>
        <v>6788.4644455750513</v>
      </c>
      <c r="U61" s="86">
        <f>MBunk_ene!U$10</f>
        <v>5906.3456397223817</v>
      </c>
      <c r="V61" s="86">
        <f>MBunk_ene!V$10</f>
        <v>4814.2086501852191</v>
      </c>
      <c r="W61" s="86">
        <f>MBunk_ene!W$10</f>
        <v>5637.2894180364856</v>
      </c>
      <c r="X61" s="86">
        <f>MBunk_ene!X$10</f>
        <v>5524.8328333882992</v>
      </c>
      <c r="Y61" s="86">
        <f>MBunk_ene!Y$10</f>
        <v>4845.8055669724718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21016.246059417488</v>
      </c>
      <c r="C64" s="28">
        <f t="shared" si="51"/>
        <v>20937.181575648676</v>
      </c>
      <c r="D64" s="28">
        <f t="shared" si="51"/>
        <v>20052.376259850345</v>
      </c>
      <c r="E64" s="28">
        <f t="shared" si="51"/>
        <v>20663.430452867007</v>
      </c>
      <c r="F64" s="28">
        <f t="shared" si="51"/>
        <v>20785.374864632922</v>
      </c>
      <c r="G64" s="28">
        <f t="shared" si="51"/>
        <v>19866.439293262614</v>
      </c>
      <c r="H64" s="28">
        <f t="shared" si="51"/>
        <v>20083.114374896992</v>
      </c>
      <c r="I64" s="28">
        <f t="shared" si="51"/>
        <v>20789.841055479345</v>
      </c>
      <c r="J64" s="28">
        <f t="shared" si="51"/>
        <v>21512.543891369627</v>
      </c>
      <c r="K64" s="28">
        <f t="shared" si="51"/>
        <v>21174.132660510761</v>
      </c>
      <c r="L64" s="28">
        <f t="shared" si="51"/>
        <v>20530.70005131626</v>
      </c>
      <c r="M64" s="28">
        <f t="shared" si="51"/>
        <v>20573.609067195826</v>
      </c>
      <c r="N64" s="28">
        <f t="shared" si="51"/>
        <v>19935.818440336898</v>
      </c>
      <c r="O64" s="28">
        <f t="shared" si="51"/>
        <v>19323.680807655302</v>
      </c>
      <c r="P64" s="28">
        <f t="shared" si="51"/>
        <v>19732.073244941828</v>
      </c>
      <c r="Q64" s="28">
        <f t="shared" si="51"/>
        <v>20587.789826901768</v>
      </c>
      <c r="R64" s="28">
        <f t="shared" ref="R64:V64" si="52">R65+R69+R73</f>
        <v>19935.88976752141</v>
      </c>
      <c r="S64" s="28">
        <f t="shared" si="52"/>
        <v>19530.751626157984</v>
      </c>
      <c r="T64" s="28">
        <f t="shared" si="52"/>
        <v>19646.80094215495</v>
      </c>
      <c r="U64" s="28">
        <f t="shared" si="52"/>
        <v>19523.68539294169</v>
      </c>
      <c r="V64" s="28">
        <f t="shared" si="52"/>
        <v>14309.057714122258</v>
      </c>
      <c r="W64" s="28">
        <f t="shared" ref="W64:Y64" si="53">W65+W69+W73</f>
        <v>15773.684933609942</v>
      </c>
      <c r="X64" s="28">
        <f t="shared" si="53"/>
        <v>17214.243896860069</v>
      </c>
      <c r="Y64" s="28">
        <f t="shared" si="53"/>
        <v>17405.277900140387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17010.8557558539</v>
      </c>
      <c r="C65" s="137">
        <f t="shared" si="54"/>
        <v>17258.390265149716</v>
      </c>
      <c r="D65" s="137">
        <f t="shared" si="54"/>
        <v>17085.141626173605</v>
      </c>
      <c r="E65" s="137">
        <f t="shared" si="54"/>
        <v>17504.014989361043</v>
      </c>
      <c r="F65" s="137">
        <f t="shared" si="54"/>
        <v>17707.752599420721</v>
      </c>
      <c r="G65" s="137">
        <f t="shared" si="54"/>
        <v>16980.793713970706</v>
      </c>
      <c r="H65" s="137">
        <f t="shared" si="54"/>
        <v>17324.842758265855</v>
      </c>
      <c r="I65" s="137">
        <f t="shared" si="54"/>
        <v>17891.372607991754</v>
      </c>
      <c r="J65" s="137">
        <f t="shared" si="54"/>
        <v>18250.75963108235</v>
      </c>
      <c r="K65" s="137">
        <f t="shared" si="54"/>
        <v>17986.105350641916</v>
      </c>
      <c r="L65" s="137">
        <f t="shared" si="54"/>
        <v>17262.359918339844</v>
      </c>
      <c r="M65" s="137">
        <f t="shared" si="54"/>
        <v>17049.035118438147</v>
      </c>
      <c r="N65" s="137">
        <f t="shared" si="54"/>
        <v>16578.514984065463</v>
      </c>
      <c r="O65" s="137">
        <f t="shared" si="54"/>
        <v>16129.756840297398</v>
      </c>
      <c r="P65" s="137">
        <f t="shared" si="54"/>
        <v>16367.376552922577</v>
      </c>
      <c r="Q65" s="137">
        <f t="shared" si="54"/>
        <v>17040.479956906904</v>
      </c>
      <c r="R65" s="137">
        <f t="shared" ref="R65:V65" si="55">R66+R67+R68</f>
        <v>16350.95139783983</v>
      </c>
      <c r="S65" s="137">
        <f t="shared" si="55"/>
        <v>15618.568642542175</v>
      </c>
      <c r="T65" s="137">
        <f t="shared" si="55"/>
        <v>15510.76500774932</v>
      </c>
      <c r="U65" s="137">
        <f t="shared" si="55"/>
        <v>15282.835149401304</v>
      </c>
      <c r="V65" s="137">
        <f t="shared" si="55"/>
        <v>12442.235739084632</v>
      </c>
      <c r="W65" s="137">
        <f t="shared" ref="W65:Y65" si="56">W66+W67+W68</f>
        <v>13207.555136372566</v>
      </c>
      <c r="X65" s="137">
        <f t="shared" si="56"/>
        <v>13536.811556131004</v>
      </c>
      <c r="Y65" s="137">
        <f t="shared" si="56"/>
        <v>13579.538587266936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174.22273110231521</v>
      </c>
      <c r="C66" s="102">
        <f>TrRoad_emi!C$19</f>
        <v>180.53376706850392</v>
      </c>
      <c r="D66" s="102">
        <f>TrRoad_emi!D$19</f>
        <v>188.75968239730966</v>
      </c>
      <c r="E66" s="102">
        <f>TrRoad_emi!E$19</f>
        <v>195.2008140494867</v>
      </c>
      <c r="F66" s="102">
        <f>TrRoad_emi!F$19</f>
        <v>196.31498008078532</v>
      </c>
      <c r="G66" s="102">
        <f>TrRoad_emi!G$19</f>
        <v>187.46556579610149</v>
      </c>
      <c r="H66" s="102">
        <f>TrRoad_emi!H$19</f>
        <v>192.51121163050414</v>
      </c>
      <c r="I66" s="102">
        <f>TrRoad_emi!I$19</f>
        <v>197.95023202498353</v>
      </c>
      <c r="J66" s="102">
        <f>TrRoad_emi!J$19</f>
        <v>195.90708533358605</v>
      </c>
      <c r="K66" s="102">
        <f>TrRoad_emi!K$19</f>
        <v>187.66411474802993</v>
      </c>
      <c r="L66" s="102">
        <f>TrRoad_emi!L$19</f>
        <v>171.63266884109012</v>
      </c>
      <c r="M66" s="102">
        <f>TrRoad_emi!M$19</f>
        <v>168.91603842788416</v>
      </c>
      <c r="N66" s="102">
        <f>TrRoad_emi!N$19</f>
        <v>161.3312036926844</v>
      </c>
      <c r="O66" s="102">
        <f>TrRoad_emi!O$19</f>
        <v>153.25060839711648</v>
      </c>
      <c r="P66" s="102">
        <f>TrRoad_emi!P$19</f>
        <v>162.2066079126991</v>
      </c>
      <c r="Q66" s="102">
        <f>TrRoad_emi!Q$19</f>
        <v>159.08687317839579</v>
      </c>
      <c r="R66" s="102">
        <f>TrRoad_emi!R$19</f>
        <v>154.32813995833206</v>
      </c>
      <c r="S66" s="102">
        <f>TrRoad_emi!S$19</f>
        <v>142.78179832281614</v>
      </c>
      <c r="T66" s="102">
        <f>TrRoad_emi!T$19</f>
        <v>136.25635951467103</v>
      </c>
      <c r="U66" s="102">
        <f>TrRoad_emi!U$19</f>
        <v>145.02721913170146</v>
      </c>
      <c r="V66" s="102">
        <f>TrRoad_emi!V$19</f>
        <v>123.27722996269864</v>
      </c>
      <c r="W66" s="102">
        <f>TrRoad_emi!W$19</f>
        <v>134.15992029193092</v>
      </c>
      <c r="X66" s="102">
        <f>TrRoad_emi!X$19</f>
        <v>137.5653397268137</v>
      </c>
      <c r="Y66" s="102">
        <f>TrRoad_emi!Y$19</f>
        <v>148.44601576134096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15619.733774362385</v>
      </c>
      <c r="C67" s="102">
        <f>TrRoad_emi!C$20</f>
        <v>15870.517255282211</v>
      </c>
      <c r="D67" s="102">
        <f>TrRoad_emi!D$20</f>
        <v>15707.564814644173</v>
      </c>
      <c r="E67" s="102">
        <f>TrRoad_emi!E$20</f>
        <v>16114.840054059368</v>
      </c>
      <c r="F67" s="102">
        <f>TrRoad_emi!F$20</f>
        <v>16314.105564686475</v>
      </c>
      <c r="G67" s="102">
        <f>TrRoad_emi!G$20</f>
        <v>15620.806692044178</v>
      </c>
      <c r="H67" s="102">
        <f>TrRoad_emi!H$20</f>
        <v>15986.419460374736</v>
      </c>
      <c r="I67" s="102">
        <f>TrRoad_emi!I$20</f>
        <v>16562.290993457744</v>
      </c>
      <c r="J67" s="102">
        <f>TrRoad_emi!J$20</f>
        <v>16901.559159087094</v>
      </c>
      <c r="K67" s="102">
        <f>TrRoad_emi!K$20</f>
        <v>16683.734949423728</v>
      </c>
      <c r="L67" s="102">
        <f>TrRoad_emi!L$20</f>
        <v>16013.536266071042</v>
      </c>
      <c r="M67" s="102">
        <f>TrRoad_emi!M$20</f>
        <v>15838.422616889613</v>
      </c>
      <c r="N67" s="102">
        <f>TrRoad_emi!N$20</f>
        <v>15407.802139934436</v>
      </c>
      <c r="O67" s="102">
        <f>TrRoad_emi!O$20</f>
        <v>14963.695886004029</v>
      </c>
      <c r="P67" s="102">
        <f>TrRoad_emi!P$20</f>
        <v>15181.873380312694</v>
      </c>
      <c r="Q67" s="102">
        <f>TrRoad_emi!Q$20</f>
        <v>15793.040704977109</v>
      </c>
      <c r="R67" s="102">
        <f>TrRoad_emi!R$20</f>
        <v>15168.171303928899</v>
      </c>
      <c r="S67" s="102">
        <f>TrRoad_emi!S$20</f>
        <v>14422.545156740263</v>
      </c>
      <c r="T67" s="102">
        <f>TrRoad_emi!T$20</f>
        <v>14281.075928044063</v>
      </c>
      <c r="U67" s="102">
        <f>TrRoad_emi!U$20</f>
        <v>14045.414674341288</v>
      </c>
      <c r="V67" s="102">
        <f>TrRoad_emi!V$20</f>
        <v>11299.102212958212</v>
      </c>
      <c r="W67" s="102">
        <f>TrRoad_emi!W$20</f>
        <v>12029.717509629601</v>
      </c>
      <c r="X67" s="102">
        <f>TrRoad_emi!X$20</f>
        <v>12372.075003753393</v>
      </c>
      <c r="Y67" s="102">
        <f>TrRoad_emi!Y$20</f>
        <v>12414.976702720789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1216.8992503891993</v>
      </c>
      <c r="C68" s="102">
        <f>TrRoad_emi!C$27</f>
        <v>1207.3392427990018</v>
      </c>
      <c r="D68" s="102">
        <f>TrRoad_emi!D$27</f>
        <v>1188.8171291321244</v>
      </c>
      <c r="E68" s="102">
        <f>TrRoad_emi!E$27</f>
        <v>1193.9741212521865</v>
      </c>
      <c r="F68" s="102">
        <f>TrRoad_emi!F$27</f>
        <v>1197.3320546534599</v>
      </c>
      <c r="G68" s="102">
        <f>TrRoad_emi!G$27</f>
        <v>1172.5214561304283</v>
      </c>
      <c r="H68" s="102">
        <f>TrRoad_emi!H$27</f>
        <v>1145.9120862606126</v>
      </c>
      <c r="I68" s="102">
        <f>TrRoad_emi!I$27</f>
        <v>1131.1313825090258</v>
      </c>
      <c r="J68" s="102">
        <f>TrRoad_emi!J$27</f>
        <v>1153.2933866616713</v>
      </c>
      <c r="K68" s="102">
        <f>TrRoad_emi!K$27</f>
        <v>1114.7062864701595</v>
      </c>
      <c r="L68" s="102">
        <f>TrRoad_emi!L$27</f>
        <v>1077.1909834277114</v>
      </c>
      <c r="M68" s="102">
        <f>TrRoad_emi!M$27</f>
        <v>1041.696463120649</v>
      </c>
      <c r="N68" s="102">
        <f>TrRoad_emi!N$27</f>
        <v>1009.381640438343</v>
      </c>
      <c r="O68" s="102">
        <f>TrRoad_emi!O$27</f>
        <v>1012.8103458962516</v>
      </c>
      <c r="P68" s="102">
        <f>TrRoad_emi!P$27</f>
        <v>1023.2965646971826</v>
      </c>
      <c r="Q68" s="102">
        <f>TrRoad_emi!Q$27</f>
        <v>1088.3523787513998</v>
      </c>
      <c r="R68" s="102">
        <f>TrRoad_emi!R$27</f>
        <v>1028.4519539525993</v>
      </c>
      <c r="S68" s="102">
        <f>TrRoad_emi!S$27</f>
        <v>1053.2416874790956</v>
      </c>
      <c r="T68" s="102">
        <f>TrRoad_emi!T$27</f>
        <v>1093.4327201905853</v>
      </c>
      <c r="U68" s="102">
        <f>TrRoad_emi!U$27</f>
        <v>1092.3932559283148</v>
      </c>
      <c r="V68" s="102">
        <f>TrRoad_emi!V$27</f>
        <v>1019.8562961637202</v>
      </c>
      <c r="W68" s="102">
        <f>TrRoad_emi!W$27</f>
        <v>1043.6777064510338</v>
      </c>
      <c r="X68" s="102">
        <f>TrRoad_emi!X$27</f>
        <v>1027.1712126507964</v>
      </c>
      <c r="Y68" s="102">
        <f>TrRoad_emi!Y$27</f>
        <v>1016.1158687848048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56.550144631351358</v>
      </c>
      <c r="C69" s="110">
        <f t="shared" si="57"/>
        <v>54.301021740139859</v>
      </c>
      <c r="D69" s="110">
        <f t="shared" si="57"/>
        <v>57.32114762967457</v>
      </c>
      <c r="E69" s="110">
        <f t="shared" si="57"/>
        <v>61.455612763694965</v>
      </c>
      <c r="F69" s="110">
        <f t="shared" si="57"/>
        <v>58.404083496351312</v>
      </c>
      <c r="G69" s="110">
        <f t="shared" si="57"/>
        <v>58.299549250884134</v>
      </c>
      <c r="H69" s="110">
        <f t="shared" si="57"/>
        <v>75.690887907814513</v>
      </c>
      <c r="I69" s="110">
        <f t="shared" si="57"/>
        <v>78.750461515668107</v>
      </c>
      <c r="J69" s="110">
        <f t="shared" si="57"/>
        <v>80.606637867181036</v>
      </c>
      <c r="K69" s="110">
        <f t="shared" si="57"/>
        <v>74.614397509216971</v>
      </c>
      <c r="L69" s="110">
        <f t="shared" si="57"/>
        <v>64.969384194961876</v>
      </c>
      <c r="M69" s="110">
        <f t="shared" si="57"/>
        <v>64.179613592363978</v>
      </c>
      <c r="N69" s="110">
        <f t="shared" si="57"/>
        <v>72.113007177514604</v>
      </c>
      <c r="O69" s="110">
        <f t="shared" si="57"/>
        <v>54.468119066220815</v>
      </c>
      <c r="P69" s="110">
        <f t="shared" si="57"/>
        <v>41.547063932825161</v>
      </c>
      <c r="Q69" s="110">
        <f t="shared" si="57"/>
        <v>43.702109588253677</v>
      </c>
      <c r="R69" s="110">
        <f t="shared" ref="R69:V69" si="58">R70+R71+R72</f>
        <v>44.653880391721607</v>
      </c>
      <c r="S69" s="110">
        <f t="shared" si="58"/>
        <v>47.958098486850659</v>
      </c>
      <c r="T69" s="110">
        <f t="shared" si="58"/>
        <v>36.407389555840432</v>
      </c>
      <c r="U69" s="110">
        <f t="shared" si="58"/>
        <v>34.482259940290447</v>
      </c>
      <c r="V69" s="110">
        <f t="shared" si="58"/>
        <v>24.794585131536742</v>
      </c>
      <c r="W69" s="110">
        <f t="shared" ref="W69:Y69" si="59">W70+W71+W72</f>
        <v>24.461880363572032</v>
      </c>
      <c r="X69" s="110">
        <f t="shared" si="59"/>
        <v>23.65520099221207</v>
      </c>
      <c r="Y69" s="110">
        <f t="shared" si="59"/>
        <v>25.274965118338535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56.550144631351358</v>
      </c>
      <c r="C71" s="102">
        <f>TrRail_emi!C$11</f>
        <v>54.301021740139859</v>
      </c>
      <c r="D71" s="102">
        <f>TrRail_emi!D$11</f>
        <v>57.32114762967457</v>
      </c>
      <c r="E71" s="102">
        <f>TrRail_emi!E$11</f>
        <v>61.455612763694965</v>
      </c>
      <c r="F71" s="102">
        <f>TrRail_emi!F$11</f>
        <v>58.404083496351312</v>
      </c>
      <c r="G71" s="102">
        <f>TrRail_emi!G$11</f>
        <v>58.299549250884134</v>
      </c>
      <c r="H71" s="102">
        <f>TrRail_emi!H$11</f>
        <v>75.690887907814513</v>
      </c>
      <c r="I71" s="102">
        <f>TrRail_emi!I$11</f>
        <v>78.750461515668107</v>
      </c>
      <c r="J71" s="102">
        <f>TrRail_emi!J$11</f>
        <v>80.606637867181036</v>
      </c>
      <c r="K71" s="102">
        <f>TrRail_emi!K$11</f>
        <v>74.614397509216971</v>
      </c>
      <c r="L71" s="102">
        <f>TrRail_emi!L$11</f>
        <v>64.969384194961876</v>
      </c>
      <c r="M71" s="102">
        <f>TrRail_emi!M$11</f>
        <v>64.179613592363978</v>
      </c>
      <c r="N71" s="102">
        <f>TrRail_emi!N$11</f>
        <v>72.113007177514604</v>
      </c>
      <c r="O71" s="102">
        <f>TrRail_emi!O$11</f>
        <v>54.468119066220815</v>
      </c>
      <c r="P71" s="102">
        <f>TrRail_emi!P$11</f>
        <v>41.547063932825161</v>
      </c>
      <c r="Q71" s="102">
        <f>TrRail_emi!Q$11</f>
        <v>43.702109588253677</v>
      </c>
      <c r="R71" s="102">
        <f>TrRail_emi!R$11</f>
        <v>44.653880391721607</v>
      </c>
      <c r="S71" s="102">
        <f>TrRail_emi!S$11</f>
        <v>47.958098486850659</v>
      </c>
      <c r="T71" s="102">
        <f>TrRail_emi!T$11</f>
        <v>36.407389555840432</v>
      </c>
      <c r="U71" s="102">
        <f>TrRail_emi!U$11</f>
        <v>34.482259940290447</v>
      </c>
      <c r="V71" s="102">
        <f>TrRail_emi!V$11</f>
        <v>24.794585131536742</v>
      </c>
      <c r="W71" s="102">
        <f>TrRail_emi!W$11</f>
        <v>24.461880363572032</v>
      </c>
      <c r="X71" s="102">
        <f>TrRail_emi!X$11</f>
        <v>23.65520099221207</v>
      </c>
      <c r="Y71" s="102">
        <f>TrRail_emi!Y$11</f>
        <v>25.274965118338535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3948.8401589322393</v>
      </c>
      <c r="C73" s="110">
        <f t="shared" si="60"/>
        <v>3624.4902887588214</v>
      </c>
      <c r="D73" s="110">
        <f t="shared" si="60"/>
        <v>2909.9134860470645</v>
      </c>
      <c r="E73" s="110">
        <f t="shared" si="60"/>
        <v>3097.9598507422697</v>
      </c>
      <c r="F73" s="110">
        <f t="shared" si="60"/>
        <v>3019.218181715848</v>
      </c>
      <c r="G73" s="110">
        <f t="shared" si="60"/>
        <v>2827.3460300410234</v>
      </c>
      <c r="H73" s="110">
        <f t="shared" si="60"/>
        <v>2682.5807287233201</v>
      </c>
      <c r="I73" s="110">
        <f t="shared" si="60"/>
        <v>2819.7179859719199</v>
      </c>
      <c r="J73" s="110">
        <f t="shared" si="60"/>
        <v>3181.1776224200939</v>
      </c>
      <c r="K73" s="110">
        <f t="shared" si="60"/>
        <v>3113.4129123596285</v>
      </c>
      <c r="L73" s="110">
        <f t="shared" si="60"/>
        <v>3203.3707487814549</v>
      </c>
      <c r="M73" s="110">
        <f t="shared" si="60"/>
        <v>3460.3943351653152</v>
      </c>
      <c r="N73" s="110">
        <f t="shared" si="60"/>
        <v>3285.1904490939201</v>
      </c>
      <c r="O73" s="110">
        <f t="shared" si="60"/>
        <v>3139.4558482916841</v>
      </c>
      <c r="P73" s="110">
        <f t="shared" si="60"/>
        <v>3323.1496280864276</v>
      </c>
      <c r="Q73" s="110">
        <f t="shared" si="60"/>
        <v>3503.6077604066104</v>
      </c>
      <c r="R73" s="110">
        <f t="shared" ref="R73:V73" si="61">R74+R75+R76</f>
        <v>3540.2844892898561</v>
      </c>
      <c r="S73" s="110">
        <f t="shared" si="61"/>
        <v>3864.2248851289596</v>
      </c>
      <c r="T73" s="110">
        <f t="shared" si="61"/>
        <v>4099.6285448497911</v>
      </c>
      <c r="U73" s="110">
        <f t="shared" si="61"/>
        <v>4206.3679836000938</v>
      </c>
      <c r="V73" s="110">
        <f t="shared" si="61"/>
        <v>1842.0273899060896</v>
      </c>
      <c r="W73" s="110">
        <f t="shared" ref="W73:Y73" si="62">W74+W75+W76</f>
        <v>2541.6679168738046</v>
      </c>
      <c r="X73" s="110">
        <f t="shared" si="62"/>
        <v>3653.7771397368515</v>
      </c>
      <c r="Y73" s="110">
        <f t="shared" si="62"/>
        <v>3800.4643477551122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2128.4020833238033</v>
      </c>
      <c r="C75" s="102">
        <f>TrAvia_emi!C$8</f>
        <v>1997.8184562948143</v>
      </c>
      <c r="D75" s="102">
        <f>TrAvia_emi!D$8</f>
        <v>1708.8386647304101</v>
      </c>
      <c r="E75" s="102">
        <f>TrAvia_emi!E$8</f>
        <v>1798.936930414143</v>
      </c>
      <c r="F75" s="102">
        <f>TrAvia_emi!F$8</f>
        <v>1671.7708659118218</v>
      </c>
      <c r="G75" s="102">
        <f>TrAvia_emi!G$8</f>
        <v>1565.2752585575192</v>
      </c>
      <c r="H75" s="102">
        <f>TrAvia_emi!H$8</f>
        <v>1499.3149853209716</v>
      </c>
      <c r="I75" s="102">
        <f>TrAvia_emi!I$8</f>
        <v>1597.9042117099366</v>
      </c>
      <c r="J75" s="102">
        <f>TrAvia_emi!J$8</f>
        <v>1775.0110333638145</v>
      </c>
      <c r="K75" s="102">
        <f>TrAvia_emi!K$8</f>
        <v>1686.7414384397143</v>
      </c>
      <c r="L75" s="102">
        <f>TrAvia_emi!L$8</f>
        <v>1732.0404556457001</v>
      </c>
      <c r="M75" s="102">
        <f>TrAvia_emi!M$8</f>
        <v>1868.3834014801837</v>
      </c>
      <c r="N75" s="102">
        <f>TrAvia_emi!N$8</f>
        <v>1752.376805652189</v>
      </c>
      <c r="O75" s="102">
        <f>TrAvia_emi!O$8</f>
        <v>1665.2397589538134</v>
      </c>
      <c r="P75" s="102">
        <f>TrAvia_emi!P$8</f>
        <v>1770.7925366847003</v>
      </c>
      <c r="Q75" s="102">
        <f>TrAvia_emi!Q$8</f>
        <v>1879.3966457613283</v>
      </c>
      <c r="R75" s="102">
        <f>TrAvia_emi!R$8</f>
        <v>1946.1502454785493</v>
      </c>
      <c r="S75" s="102">
        <f>TrAvia_emi!S$8</f>
        <v>2163.9918054538898</v>
      </c>
      <c r="T75" s="102">
        <f>TrAvia_emi!T$8</f>
        <v>2280.1587320495801</v>
      </c>
      <c r="U75" s="102">
        <f>TrAvia_emi!U$8</f>
        <v>2285.696418814503</v>
      </c>
      <c r="V75" s="102">
        <f>TrAvia_emi!V$8</f>
        <v>911.80812788088895</v>
      </c>
      <c r="W75" s="102">
        <f>TrAvia_emi!W$8</f>
        <v>1367.4925752066933</v>
      </c>
      <c r="X75" s="102">
        <f>TrAvia_emi!X$8</f>
        <v>2106.8602109389303</v>
      </c>
      <c r="Y75" s="102">
        <f>TrAvia_emi!Y$8</f>
        <v>2140.1845388081952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1820.4380756084361</v>
      </c>
      <c r="C76" s="102">
        <f>TrAvia_emi!C$9</f>
        <v>1626.6718324640071</v>
      </c>
      <c r="D76" s="102">
        <f>TrAvia_emi!D$9</f>
        <v>1201.0748213166544</v>
      </c>
      <c r="E76" s="102">
        <f>TrAvia_emi!E$9</f>
        <v>1299.0229203281267</v>
      </c>
      <c r="F76" s="102">
        <f>TrAvia_emi!F$9</f>
        <v>1347.4473158040259</v>
      </c>
      <c r="G76" s="102">
        <f>TrAvia_emi!G$9</f>
        <v>1262.0707714835041</v>
      </c>
      <c r="H76" s="102">
        <f>TrAvia_emi!H$9</f>
        <v>1183.2657434023488</v>
      </c>
      <c r="I76" s="102">
        <f>TrAvia_emi!I$9</f>
        <v>1221.8137742619833</v>
      </c>
      <c r="J76" s="102">
        <f>TrAvia_emi!J$9</f>
        <v>1406.1665890562795</v>
      </c>
      <c r="K76" s="102">
        <f>TrAvia_emi!K$9</f>
        <v>1426.6714739199144</v>
      </c>
      <c r="L76" s="102">
        <f>TrAvia_emi!L$9</f>
        <v>1471.3302931357548</v>
      </c>
      <c r="M76" s="102">
        <f>TrAvia_emi!M$9</f>
        <v>1592.0109336851312</v>
      </c>
      <c r="N76" s="102">
        <f>TrAvia_emi!N$9</f>
        <v>1532.8136434417311</v>
      </c>
      <c r="O76" s="102">
        <f>TrAvia_emi!O$9</f>
        <v>1474.2160893378707</v>
      </c>
      <c r="P76" s="102">
        <f>TrAvia_emi!P$9</f>
        <v>1552.3570914017271</v>
      </c>
      <c r="Q76" s="102">
        <f>TrAvia_emi!Q$9</f>
        <v>1624.2111146452819</v>
      </c>
      <c r="R76" s="102">
        <f>TrAvia_emi!R$9</f>
        <v>1594.1342438113068</v>
      </c>
      <c r="S76" s="102">
        <f>TrAvia_emi!S$9</f>
        <v>1700.23307967507</v>
      </c>
      <c r="T76" s="102">
        <f>TrAvia_emi!T$9</f>
        <v>1819.4698128002108</v>
      </c>
      <c r="U76" s="102">
        <f>TrAvia_emi!U$9</f>
        <v>1920.6715647855906</v>
      </c>
      <c r="V76" s="102">
        <f>TrAvia_emi!V$9</f>
        <v>930.21926202520069</v>
      </c>
      <c r="W76" s="102">
        <f>TrAvia_emi!W$9</f>
        <v>1174.1753416671113</v>
      </c>
      <c r="X76" s="102">
        <f>TrAvia_emi!X$9</f>
        <v>1546.9169287979214</v>
      </c>
      <c r="Y76" s="102">
        <f>TrAvia_emi!Y$9</f>
        <v>1660.279808946917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7997.9502833425149</v>
      </c>
      <c r="C77" s="28">
        <f t="shared" si="63"/>
        <v>8490.3935817113124</v>
      </c>
      <c r="D77" s="28">
        <f t="shared" si="63"/>
        <v>8608.196257829657</v>
      </c>
      <c r="E77" s="28">
        <f t="shared" si="63"/>
        <v>8949.9161406129897</v>
      </c>
      <c r="F77" s="28">
        <f t="shared" si="63"/>
        <v>9708.0735885270769</v>
      </c>
      <c r="G77" s="28">
        <f t="shared" si="63"/>
        <v>9696.9195974173854</v>
      </c>
      <c r="H77" s="28">
        <f t="shared" si="63"/>
        <v>10019.716880703012</v>
      </c>
      <c r="I77" s="28">
        <f t="shared" si="63"/>
        <v>10463.302636760662</v>
      </c>
      <c r="J77" s="28">
        <f t="shared" si="63"/>
        <v>10138.83125799038</v>
      </c>
      <c r="K77" s="28">
        <f t="shared" si="63"/>
        <v>9273.0425716492373</v>
      </c>
      <c r="L77" s="28">
        <f t="shared" si="63"/>
        <v>9323.818364243738</v>
      </c>
      <c r="M77" s="28">
        <f t="shared" si="63"/>
        <v>9155.3598754041759</v>
      </c>
      <c r="N77" s="28">
        <f t="shared" si="63"/>
        <v>8690.9116811830991</v>
      </c>
      <c r="O77" s="28">
        <f t="shared" si="63"/>
        <v>8598.5900937446931</v>
      </c>
      <c r="P77" s="28">
        <f t="shared" si="63"/>
        <v>8649.0287203381686</v>
      </c>
      <c r="Q77" s="28">
        <f t="shared" si="63"/>
        <v>9770.5730736982296</v>
      </c>
      <c r="R77" s="28">
        <f t="shared" si="63"/>
        <v>10099.141167078593</v>
      </c>
      <c r="S77" s="28">
        <f t="shared" si="63"/>
        <v>10354.605128122019</v>
      </c>
      <c r="T77" s="28">
        <f t="shared" si="63"/>
        <v>10634.832470556699</v>
      </c>
      <c r="U77" s="28">
        <f t="shared" si="63"/>
        <v>10555.643927467401</v>
      </c>
      <c r="V77" s="28">
        <f t="shared" si="63"/>
        <v>10294.408433390088</v>
      </c>
      <c r="W77" s="28">
        <f t="shared" si="63"/>
        <v>11910.21709740707</v>
      </c>
      <c r="X77" s="28">
        <f t="shared" si="63"/>
        <v>11368.702335871634</v>
      </c>
      <c r="Y77" s="28">
        <f t="shared" si="63"/>
        <v>11599.625345839748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6378.0257903061047</v>
      </c>
      <c r="C78" s="137">
        <f t="shared" si="64"/>
        <v>7007.9232856502767</v>
      </c>
      <c r="D78" s="137">
        <f t="shared" si="64"/>
        <v>7222.201830586393</v>
      </c>
      <c r="E78" s="137">
        <f t="shared" si="64"/>
        <v>7355.740823878954</v>
      </c>
      <c r="F78" s="137">
        <f t="shared" si="64"/>
        <v>8213.1226311392784</v>
      </c>
      <c r="G78" s="137">
        <f t="shared" si="64"/>
        <v>8238.9610768692928</v>
      </c>
      <c r="H78" s="137">
        <f t="shared" si="64"/>
        <v>8526.5520406541455</v>
      </c>
      <c r="I78" s="137">
        <f t="shared" si="64"/>
        <v>8769.7619771682475</v>
      </c>
      <c r="J78" s="137">
        <f t="shared" si="64"/>
        <v>8497.4866467176544</v>
      </c>
      <c r="K78" s="137">
        <f t="shared" si="64"/>
        <v>8054.3851143180818</v>
      </c>
      <c r="L78" s="137">
        <f t="shared" si="64"/>
        <v>7883.6697391801536</v>
      </c>
      <c r="M78" s="137">
        <f t="shared" si="64"/>
        <v>7733.7459217618534</v>
      </c>
      <c r="N78" s="137">
        <f t="shared" si="64"/>
        <v>7448.2326985345326</v>
      </c>
      <c r="O78" s="137">
        <f t="shared" si="64"/>
        <v>7423.4648851425991</v>
      </c>
      <c r="P78" s="137">
        <f t="shared" si="64"/>
        <v>7504.6794075974194</v>
      </c>
      <c r="Q78" s="137">
        <f t="shared" si="64"/>
        <v>8472.445111093095</v>
      </c>
      <c r="R78" s="137">
        <f t="shared" ref="R78:V78" si="65">R79+R80</f>
        <v>8869.4638158801699</v>
      </c>
      <c r="S78" s="137">
        <f t="shared" si="65"/>
        <v>9006.9444115378283</v>
      </c>
      <c r="T78" s="137">
        <f t="shared" si="65"/>
        <v>9204.7819092423306</v>
      </c>
      <c r="U78" s="137">
        <f t="shared" si="65"/>
        <v>9139.7121412477863</v>
      </c>
      <c r="V78" s="137">
        <f t="shared" si="65"/>
        <v>8007.4935925077134</v>
      </c>
      <c r="W78" s="137">
        <f t="shared" ref="W78:Y78" si="66">W79+W80</f>
        <v>9387.5905488044446</v>
      </c>
      <c r="X78" s="137">
        <f t="shared" si="66"/>
        <v>9236.9689654007016</v>
      </c>
      <c r="Y78" s="137">
        <f t="shared" si="66"/>
        <v>9631.8648515131972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3198.3726067003772</v>
      </c>
      <c r="C79" s="102">
        <f>TrRoad_emi!C$34</f>
        <v>3220.4459875836128</v>
      </c>
      <c r="D79" s="102">
        <f>TrRoad_emi!D$34</f>
        <v>3348.4993723374982</v>
      </c>
      <c r="E79" s="102">
        <f>TrRoad_emi!E$34</f>
        <v>3362.1163230107654</v>
      </c>
      <c r="F79" s="102">
        <f>TrRoad_emi!F$34</f>
        <v>3591.7688994647478</v>
      </c>
      <c r="G79" s="102">
        <f>TrRoad_emi!G$34</f>
        <v>3636.2396684594655</v>
      </c>
      <c r="H79" s="102">
        <f>TrRoad_emi!H$34</f>
        <v>3681.0232813576754</v>
      </c>
      <c r="I79" s="102">
        <f>TrRoad_emi!I$34</f>
        <v>3813.9418692536105</v>
      </c>
      <c r="J79" s="102">
        <f>TrRoad_emi!J$34</f>
        <v>3801.280689678385</v>
      </c>
      <c r="K79" s="102">
        <f>TrRoad_emi!K$34</f>
        <v>3656.316274494457</v>
      </c>
      <c r="L79" s="102">
        <f>TrRoad_emi!L$34</f>
        <v>3543.9108434281793</v>
      </c>
      <c r="M79" s="102">
        <f>TrRoad_emi!M$34</f>
        <v>3511.6275916887907</v>
      </c>
      <c r="N79" s="102">
        <f>TrRoad_emi!N$34</f>
        <v>3433.6089657653397</v>
      </c>
      <c r="O79" s="102">
        <f>TrRoad_emi!O$34</f>
        <v>3243.7432968432104</v>
      </c>
      <c r="P79" s="102">
        <f>TrRoad_emi!P$34</f>
        <v>3314.4565417205804</v>
      </c>
      <c r="Q79" s="102">
        <f>TrRoad_emi!Q$34</f>
        <v>3596.9604970401856</v>
      </c>
      <c r="R79" s="102">
        <f>TrRoad_emi!R$34</f>
        <v>3308.6496594970372</v>
      </c>
      <c r="S79" s="102">
        <f>TrRoad_emi!S$34</f>
        <v>3057.318493497005</v>
      </c>
      <c r="T79" s="102">
        <f>TrRoad_emi!T$34</f>
        <v>3114.1075378315354</v>
      </c>
      <c r="U79" s="102">
        <f>TrRoad_emi!U$34</f>
        <v>3094.207332167291</v>
      </c>
      <c r="V79" s="102">
        <f>TrRoad_emi!V$34</f>
        <v>2678.2153279414647</v>
      </c>
      <c r="W79" s="102">
        <f>TrRoad_emi!W$34</f>
        <v>3371.7494389441176</v>
      </c>
      <c r="X79" s="102">
        <f>TrRoad_emi!X$34</f>
        <v>3260.5191590936852</v>
      </c>
      <c r="Y79" s="102">
        <f>TrRoad_emi!Y$34</f>
        <v>3500.9387173393006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3179.6531836057275</v>
      </c>
      <c r="C80" s="102">
        <f>TrRoad_emi!C$40</f>
        <v>3787.4772980666644</v>
      </c>
      <c r="D80" s="102">
        <f>TrRoad_emi!D$40</f>
        <v>3873.7024582488948</v>
      </c>
      <c r="E80" s="102">
        <f>TrRoad_emi!E$40</f>
        <v>3993.624500868189</v>
      </c>
      <c r="F80" s="102">
        <f>TrRoad_emi!F$40</f>
        <v>4621.3537316745296</v>
      </c>
      <c r="G80" s="102">
        <f>TrRoad_emi!G$40</f>
        <v>4602.7214084098268</v>
      </c>
      <c r="H80" s="102">
        <f>TrRoad_emi!H$40</f>
        <v>4845.5287592964705</v>
      </c>
      <c r="I80" s="102">
        <f>TrRoad_emi!I$40</f>
        <v>4955.8201079146365</v>
      </c>
      <c r="J80" s="102">
        <f>TrRoad_emi!J$40</f>
        <v>4696.2059570392694</v>
      </c>
      <c r="K80" s="102">
        <f>TrRoad_emi!K$40</f>
        <v>4398.0688398236252</v>
      </c>
      <c r="L80" s="102">
        <f>TrRoad_emi!L$40</f>
        <v>4339.7588957519747</v>
      </c>
      <c r="M80" s="102">
        <f>TrRoad_emi!M$40</f>
        <v>4222.1183300730627</v>
      </c>
      <c r="N80" s="102">
        <f>TrRoad_emi!N$40</f>
        <v>4014.6237327691929</v>
      </c>
      <c r="O80" s="102">
        <f>TrRoad_emi!O$40</f>
        <v>4179.7215882993887</v>
      </c>
      <c r="P80" s="102">
        <f>TrRoad_emi!P$40</f>
        <v>4190.222865876839</v>
      </c>
      <c r="Q80" s="102">
        <f>TrRoad_emi!Q$40</f>
        <v>4875.4846140529089</v>
      </c>
      <c r="R80" s="102">
        <f>TrRoad_emi!R$40</f>
        <v>5560.8141563831332</v>
      </c>
      <c r="S80" s="102">
        <f>TrRoad_emi!S$40</f>
        <v>5949.6259180408233</v>
      </c>
      <c r="T80" s="102">
        <f>TrRoad_emi!T$40</f>
        <v>6090.6743714107961</v>
      </c>
      <c r="U80" s="102">
        <f>TrRoad_emi!U$40</f>
        <v>6045.5048090804949</v>
      </c>
      <c r="V80" s="102">
        <f>TrRoad_emi!V$40</f>
        <v>5329.2782645662483</v>
      </c>
      <c r="W80" s="102">
        <f>TrRoad_emi!W$40</f>
        <v>6015.8411098603265</v>
      </c>
      <c r="X80" s="102">
        <f>TrRoad_emi!X$40</f>
        <v>5976.4498063070159</v>
      </c>
      <c r="Y80" s="102">
        <f>TrRoad_emi!Y$40</f>
        <v>6130.9261341738966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111.06850136864863</v>
      </c>
      <c r="C81" s="110">
        <f>TrRail_emi!C$15</f>
        <v>93.430666259860075</v>
      </c>
      <c r="D81" s="110">
        <f>TrRail_emi!D$15</f>
        <v>77.15256837032544</v>
      </c>
      <c r="E81" s="110">
        <f>TrRail_emi!E$15</f>
        <v>68.283113236305056</v>
      </c>
      <c r="F81" s="110">
        <f>TrRail_emi!F$15</f>
        <v>68.178071423648674</v>
      </c>
      <c r="G81" s="110">
        <f>TrRail_emi!G$15</f>
        <v>73.017595669115835</v>
      </c>
      <c r="H81" s="110">
        <f>TrRail_emi!H$15</f>
        <v>82.457778092185492</v>
      </c>
      <c r="I81" s="110">
        <f>TrRail_emi!I$15</f>
        <v>89.815182484331871</v>
      </c>
      <c r="J81" s="110">
        <f>TrRail_emi!J$15</f>
        <v>75.648032132818983</v>
      </c>
      <c r="K81" s="110">
        <f>TrRail_emi!K$15</f>
        <v>42.813354490782991</v>
      </c>
      <c r="L81" s="110">
        <f>TrRail_emi!L$15</f>
        <v>39.20039580503812</v>
      </c>
      <c r="M81" s="110">
        <f>TrRail_emi!M$15</f>
        <v>36.517751487636026</v>
      </c>
      <c r="N81" s="110">
        <f>TrRail_emi!N$15</f>
        <v>43.105171742485417</v>
      </c>
      <c r="O81" s="110">
        <f>TrRail_emi!O$15</f>
        <v>33.918272013779166</v>
      </c>
      <c r="P81" s="110">
        <f>TrRail_emi!P$15</f>
        <v>29.162208987174846</v>
      </c>
      <c r="Q81" s="110">
        <f>TrRail_emi!Q$15</f>
        <v>28.20277013174633</v>
      </c>
      <c r="R81" s="110">
        <f>TrRail_emi!R$15</f>
        <v>29.776149488278385</v>
      </c>
      <c r="S81" s="110">
        <f>TrRail_emi!S$15</f>
        <v>33.732338313149327</v>
      </c>
      <c r="T81" s="110">
        <f>TrRail_emi!T$15</f>
        <v>44.336049244159547</v>
      </c>
      <c r="U81" s="110">
        <f>TrRail_emi!U$15</f>
        <v>46.576755939709535</v>
      </c>
      <c r="V81" s="110">
        <f>TrRail_emi!V$15</f>
        <v>46.80989366846326</v>
      </c>
      <c r="W81" s="110">
        <f>TrRail_emi!W$15</f>
        <v>49.372978796427951</v>
      </c>
      <c r="X81" s="110">
        <f>TrRail_emi!X$15</f>
        <v>46.037408887787912</v>
      </c>
      <c r="Y81" s="110">
        <f>TrRail_emi!Y$15</f>
        <v>44.415941961661446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596.57712354776163</v>
      </c>
      <c r="C82" s="110">
        <f t="shared" si="67"/>
        <v>517.76945752117661</v>
      </c>
      <c r="D82" s="110">
        <f t="shared" si="67"/>
        <v>523.72742299293782</v>
      </c>
      <c r="E82" s="110">
        <f t="shared" si="67"/>
        <v>649.48857953773017</v>
      </c>
      <c r="F82" s="110">
        <f t="shared" si="67"/>
        <v>649.39309580415136</v>
      </c>
      <c r="G82" s="110">
        <f t="shared" si="67"/>
        <v>661.63753499897655</v>
      </c>
      <c r="H82" s="110">
        <f t="shared" si="67"/>
        <v>957.89593499668069</v>
      </c>
      <c r="I82" s="110">
        <f t="shared" si="67"/>
        <v>1134.2571440280826</v>
      </c>
      <c r="J82" s="110">
        <f t="shared" si="67"/>
        <v>1094.334250059906</v>
      </c>
      <c r="K82" s="110">
        <f t="shared" si="67"/>
        <v>781.82003268037317</v>
      </c>
      <c r="L82" s="110">
        <f t="shared" si="67"/>
        <v>936.72483625854659</v>
      </c>
      <c r="M82" s="110">
        <f t="shared" si="67"/>
        <v>937.858171114686</v>
      </c>
      <c r="N82" s="110">
        <f t="shared" si="67"/>
        <v>763.69975586608132</v>
      </c>
      <c r="O82" s="110">
        <f t="shared" si="67"/>
        <v>692.70633046831608</v>
      </c>
      <c r="P82" s="110">
        <f t="shared" si="67"/>
        <v>681.83846563357338</v>
      </c>
      <c r="Q82" s="110">
        <f t="shared" si="67"/>
        <v>848.88752835338846</v>
      </c>
      <c r="R82" s="110">
        <f t="shared" si="67"/>
        <v>791.80566575014564</v>
      </c>
      <c r="S82" s="110">
        <f t="shared" si="67"/>
        <v>896.06557611104176</v>
      </c>
      <c r="T82" s="110">
        <f t="shared" si="67"/>
        <v>975.39712019020942</v>
      </c>
      <c r="U82" s="110">
        <f t="shared" si="67"/>
        <v>924.30828143990573</v>
      </c>
      <c r="V82" s="110">
        <f t="shared" si="67"/>
        <v>1765.0633140939117</v>
      </c>
      <c r="W82" s="110">
        <f t="shared" ref="W82:Y82" si="68">W83+W84+W85</f>
        <v>2010.0011281261982</v>
      </c>
      <c r="X82" s="110">
        <f t="shared" si="68"/>
        <v>1618.2953932631472</v>
      </c>
      <c r="Y82" s="110">
        <f t="shared" si="68"/>
        <v>1482.0717922448894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175.25141640749374</v>
      </c>
      <c r="C84" s="102">
        <f>TrAvia_emi!C$12</f>
        <v>133.32710571382171</v>
      </c>
      <c r="D84" s="102">
        <f>TrAvia_emi!D$12</f>
        <v>128.1169602903685</v>
      </c>
      <c r="E84" s="102">
        <f>TrAvia_emi!E$12</f>
        <v>129.073693102503</v>
      </c>
      <c r="F84" s="102">
        <f>TrAvia_emi!F$12</f>
        <v>130.69390921628442</v>
      </c>
      <c r="G84" s="102">
        <f>TrAvia_emi!G$12</f>
        <v>143.55788583482561</v>
      </c>
      <c r="H84" s="102">
        <f>TrAvia_emi!H$12</f>
        <v>272.62885413705988</v>
      </c>
      <c r="I84" s="102">
        <f>TrAvia_emi!I$12</f>
        <v>297.24408826232718</v>
      </c>
      <c r="J84" s="102">
        <f>TrAvia_emi!J$12</f>
        <v>240.88720235995294</v>
      </c>
      <c r="K84" s="102">
        <f>TrAvia_emi!K$12</f>
        <v>170.90553734852571</v>
      </c>
      <c r="L84" s="102">
        <f>TrAvia_emi!L$12</f>
        <v>174.61219183046717</v>
      </c>
      <c r="M84" s="102">
        <f>TrAvia_emi!M$12</f>
        <v>168.28688870909463</v>
      </c>
      <c r="N84" s="102">
        <f>TrAvia_emi!N$12</f>
        <v>158.11471457931532</v>
      </c>
      <c r="O84" s="102">
        <f>TrAvia_emi!O$12</f>
        <v>155.70711718991376</v>
      </c>
      <c r="P84" s="102">
        <f>TrAvia_emi!P$12</f>
        <v>151.85702435227296</v>
      </c>
      <c r="Q84" s="102">
        <f>TrAvia_emi!Q$12</f>
        <v>169.26660295211209</v>
      </c>
      <c r="R84" s="102">
        <f>TrAvia_emi!R$12</f>
        <v>154.74384438480678</v>
      </c>
      <c r="S84" s="102">
        <f>TrAvia_emi!S$12</f>
        <v>188.17446577759091</v>
      </c>
      <c r="T84" s="102">
        <f>TrAvia_emi!T$12</f>
        <v>228.78788013591029</v>
      </c>
      <c r="U84" s="102">
        <f>TrAvia_emi!U$12</f>
        <v>222.312520698665</v>
      </c>
      <c r="V84" s="102">
        <f>TrAvia_emi!V$12</f>
        <v>296.27863835144956</v>
      </c>
      <c r="W84" s="102">
        <f>TrAvia_emi!W$12</f>
        <v>400.66001171698247</v>
      </c>
      <c r="X84" s="102">
        <f>TrAvia_emi!X$12</f>
        <v>225.35653074977492</v>
      </c>
      <c r="Y84" s="102">
        <f>TrAvia_emi!Y$12</f>
        <v>220.91639683896159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421.32570714026792</v>
      </c>
      <c r="C85" s="102">
        <f>TrAvia_emi!C$13</f>
        <v>384.4423518073549</v>
      </c>
      <c r="D85" s="102">
        <f>TrAvia_emi!D$13</f>
        <v>395.61046270256935</v>
      </c>
      <c r="E85" s="102">
        <f>TrAvia_emi!E$13</f>
        <v>520.41488643522723</v>
      </c>
      <c r="F85" s="102">
        <f>TrAvia_emi!F$13</f>
        <v>518.69918658786696</v>
      </c>
      <c r="G85" s="102">
        <f>TrAvia_emi!G$13</f>
        <v>518.07964916415096</v>
      </c>
      <c r="H85" s="102">
        <f>TrAvia_emi!H$13</f>
        <v>685.26708085962082</v>
      </c>
      <c r="I85" s="102">
        <f>TrAvia_emi!I$13</f>
        <v>837.01305576575555</v>
      </c>
      <c r="J85" s="102">
        <f>TrAvia_emi!J$13</f>
        <v>853.44704769995315</v>
      </c>
      <c r="K85" s="102">
        <f>TrAvia_emi!K$13</f>
        <v>610.91449533184743</v>
      </c>
      <c r="L85" s="102">
        <f>TrAvia_emi!L$13</f>
        <v>762.11264442807942</v>
      </c>
      <c r="M85" s="102">
        <f>TrAvia_emi!M$13</f>
        <v>769.57128240559132</v>
      </c>
      <c r="N85" s="102">
        <f>TrAvia_emi!N$13</f>
        <v>605.585041286766</v>
      </c>
      <c r="O85" s="102">
        <f>TrAvia_emi!O$13</f>
        <v>536.99921327840229</v>
      </c>
      <c r="P85" s="102">
        <f>TrAvia_emi!P$13</f>
        <v>529.98144128130048</v>
      </c>
      <c r="Q85" s="102">
        <f>TrAvia_emi!Q$13</f>
        <v>679.62092540127639</v>
      </c>
      <c r="R85" s="102">
        <f>TrAvia_emi!R$13</f>
        <v>637.0618213653388</v>
      </c>
      <c r="S85" s="102">
        <f>TrAvia_emi!S$13</f>
        <v>707.89111033345091</v>
      </c>
      <c r="T85" s="102">
        <f>TrAvia_emi!T$13</f>
        <v>746.60924005429911</v>
      </c>
      <c r="U85" s="102">
        <f>TrAvia_emi!U$13</f>
        <v>701.9957607412407</v>
      </c>
      <c r="V85" s="102">
        <f>TrAvia_emi!V$13</f>
        <v>1468.7846757424622</v>
      </c>
      <c r="W85" s="102">
        <f>TrAvia_emi!W$13</f>
        <v>1609.3411164092156</v>
      </c>
      <c r="X85" s="102">
        <f>TrAvia_emi!X$13</f>
        <v>1392.9388625133722</v>
      </c>
      <c r="Y85" s="102">
        <f>TrAvia_emi!Y$13</f>
        <v>1261.1553954059277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912.27886812000008</v>
      </c>
      <c r="C86" s="110">
        <f t="shared" si="69"/>
        <v>871.27017228</v>
      </c>
      <c r="D86" s="110">
        <f t="shared" si="69"/>
        <v>785.11443587999997</v>
      </c>
      <c r="E86" s="110">
        <f t="shared" si="69"/>
        <v>876.40362396</v>
      </c>
      <c r="F86" s="110">
        <f t="shared" si="69"/>
        <v>777.37979016000008</v>
      </c>
      <c r="G86" s="110">
        <f t="shared" si="69"/>
        <v>723.30338987999994</v>
      </c>
      <c r="H86" s="110">
        <f t="shared" si="69"/>
        <v>452.81112696000002</v>
      </c>
      <c r="I86" s="110">
        <f t="shared" si="69"/>
        <v>469.46833307999998</v>
      </c>
      <c r="J86" s="110">
        <f t="shared" si="69"/>
        <v>471.36232908000005</v>
      </c>
      <c r="K86" s="110">
        <f t="shared" si="69"/>
        <v>394.02407015999989</v>
      </c>
      <c r="L86" s="110">
        <f t="shared" si="69"/>
        <v>464.22339300000027</v>
      </c>
      <c r="M86" s="110">
        <f t="shared" si="69"/>
        <v>447.23803104000007</v>
      </c>
      <c r="N86" s="110">
        <f t="shared" si="69"/>
        <v>435.87405504000009</v>
      </c>
      <c r="O86" s="110">
        <f t="shared" si="69"/>
        <v>448.50060611999993</v>
      </c>
      <c r="P86" s="110">
        <f t="shared" si="69"/>
        <v>433.34863812000003</v>
      </c>
      <c r="Q86" s="110">
        <f t="shared" si="69"/>
        <v>421.03766412000004</v>
      </c>
      <c r="R86" s="110">
        <f t="shared" ref="R86:V86" si="70">R87+R88</f>
        <v>408.09553596000001</v>
      </c>
      <c r="S86" s="110">
        <f t="shared" si="70"/>
        <v>417.86280216000011</v>
      </c>
      <c r="T86" s="110">
        <f t="shared" si="70"/>
        <v>410.31739187999978</v>
      </c>
      <c r="U86" s="110">
        <f t="shared" si="70"/>
        <v>445.04674883999985</v>
      </c>
      <c r="V86" s="110">
        <f t="shared" si="70"/>
        <v>475.04163311999991</v>
      </c>
      <c r="W86" s="110">
        <f t="shared" ref="W86:Y86" si="71">W87+W88</f>
        <v>463.25244168</v>
      </c>
      <c r="X86" s="110">
        <f t="shared" si="71"/>
        <v>467.40056831999999</v>
      </c>
      <c r="Y86" s="110">
        <f t="shared" si="71"/>
        <v>441.27276012000004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53.012810088446273</v>
      </c>
      <c r="C87" s="102">
        <f>TrNavi_emi!C$4</f>
        <v>42.889785449516282</v>
      </c>
      <c r="D87" s="102">
        <f>TrNavi_emi!D$4</f>
        <v>33.59462443278494</v>
      </c>
      <c r="E87" s="102">
        <f>TrNavi_emi!E$4</f>
        <v>32.665293876302641</v>
      </c>
      <c r="F87" s="102">
        <f>TrNavi_emi!F$4</f>
        <v>21.564189310964132</v>
      </c>
      <c r="G87" s="102">
        <f>TrNavi_emi!G$4</f>
        <v>37.8600764591109</v>
      </c>
      <c r="H87" s="102">
        <f>TrNavi_emi!H$4</f>
        <v>31.812204872913441</v>
      </c>
      <c r="I87" s="102">
        <f>TrNavi_emi!I$4</f>
        <v>36.203639023797308</v>
      </c>
      <c r="J87" s="102">
        <f>TrNavi_emi!J$4</f>
        <v>39.70703470947366</v>
      </c>
      <c r="K87" s="102">
        <f>TrNavi_emi!K$4</f>
        <v>22.625807830651748</v>
      </c>
      <c r="L87" s="102">
        <f>TrNavi_emi!L$4</f>
        <v>22.635910967037692</v>
      </c>
      <c r="M87" s="102">
        <f>TrNavi_emi!M$4</f>
        <v>19.783896188266802</v>
      </c>
      <c r="N87" s="102">
        <f>TrNavi_emi!N$4</f>
        <v>17.534449563038223</v>
      </c>
      <c r="O87" s="102">
        <f>TrNavi_emi!O$4</f>
        <v>18.080884478829415</v>
      </c>
      <c r="P87" s="102">
        <f>TrNavi_emi!P$4</f>
        <v>17.600172554975508</v>
      </c>
      <c r="Q87" s="102">
        <f>TrNavi_emi!Q$4</f>
        <v>15.412171503833939</v>
      </c>
      <c r="R87" s="102">
        <f>TrNavi_emi!R$4</f>
        <v>17.772663357233153</v>
      </c>
      <c r="S87" s="102">
        <f>TrNavi_emi!S$4</f>
        <v>14.06177985487702</v>
      </c>
      <c r="T87" s="102">
        <f>TrNavi_emi!T$4</f>
        <v>17.862070135199364</v>
      </c>
      <c r="U87" s="102">
        <f>TrNavi_emi!U$4</f>
        <v>23.769924274615292</v>
      </c>
      <c r="V87" s="102">
        <f>TrNavi_emi!V$4</f>
        <v>25.808132452741702</v>
      </c>
      <c r="W87" s="102">
        <f>TrNavi_emi!W$4</f>
        <v>29.920632440747056</v>
      </c>
      <c r="X87" s="102">
        <f>TrNavi_emi!X$4</f>
        <v>33.7249377172596</v>
      </c>
      <c r="Y87" s="102">
        <f>TrNavi_emi!Y$4</f>
        <v>27.814773632907276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859.26605803155383</v>
      </c>
      <c r="C88" s="169">
        <f>TrNavi_emi!C$5</f>
        <v>828.38038683048376</v>
      </c>
      <c r="D88" s="169">
        <f>TrNavi_emi!D$5</f>
        <v>751.51981144721503</v>
      </c>
      <c r="E88" s="169">
        <f>TrNavi_emi!E$5</f>
        <v>843.73833008369741</v>
      </c>
      <c r="F88" s="169">
        <f>TrNavi_emi!F$5</f>
        <v>755.81560084903595</v>
      </c>
      <c r="G88" s="169">
        <f>TrNavi_emi!G$5</f>
        <v>685.44331342088901</v>
      </c>
      <c r="H88" s="169">
        <f>TrNavi_emi!H$5</f>
        <v>420.99892208708656</v>
      </c>
      <c r="I88" s="169">
        <f>TrNavi_emi!I$5</f>
        <v>433.2646940562027</v>
      </c>
      <c r="J88" s="169">
        <f>TrNavi_emi!J$5</f>
        <v>431.65529437052641</v>
      </c>
      <c r="K88" s="169">
        <f>TrNavi_emi!K$5</f>
        <v>371.39826232934814</v>
      </c>
      <c r="L88" s="169">
        <f>TrNavi_emi!L$5</f>
        <v>441.58748203296255</v>
      </c>
      <c r="M88" s="169">
        <f>TrNavi_emi!M$5</f>
        <v>427.45413485173327</v>
      </c>
      <c r="N88" s="169">
        <f>TrNavi_emi!N$5</f>
        <v>418.33960547696188</v>
      </c>
      <c r="O88" s="169">
        <f>TrNavi_emi!O$5</f>
        <v>430.4197216411705</v>
      </c>
      <c r="P88" s="169">
        <f>TrNavi_emi!P$5</f>
        <v>415.7484655650245</v>
      </c>
      <c r="Q88" s="169">
        <f>TrNavi_emi!Q$5</f>
        <v>405.62549261616613</v>
      </c>
      <c r="R88" s="169">
        <f>TrNavi_emi!R$5</f>
        <v>390.32287260276684</v>
      </c>
      <c r="S88" s="169">
        <f>TrNavi_emi!S$5</f>
        <v>403.80102230512307</v>
      </c>
      <c r="T88" s="169">
        <f>TrNavi_emi!T$5</f>
        <v>392.45532174480041</v>
      </c>
      <c r="U88" s="169">
        <f>TrNavi_emi!U$5</f>
        <v>421.27682456538457</v>
      </c>
      <c r="V88" s="169">
        <f>TrNavi_emi!V$5</f>
        <v>449.23350066725823</v>
      </c>
      <c r="W88" s="169">
        <f>TrNavi_emi!W$5</f>
        <v>433.33180923925295</v>
      </c>
      <c r="X88" s="169">
        <f>TrNavi_emi!X$5</f>
        <v>433.6756306027404</v>
      </c>
      <c r="Y88" s="169">
        <f>TrNavi_emi!Y$5</f>
        <v>413.45798648709274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17196.483331080002</v>
      </c>
      <c r="C89" s="28">
        <f t="shared" si="72"/>
        <v>16808.634361800003</v>
      </c>
      <c r="D89" s="28">
        <f t="shared" si="72"/>
        <v>21962.98902384</v>
      </c>
      <c r="E89" s="28">
        <f t="shared" si="72"/>
        <v>24018.859081800008</v>
      </c>
      <c r="F89" s="28">
        <f t="shared" si="72"/>
        <v>24912.639302039999</v>
      </c>
      <c r="G89" s="28">
        <f t="shared" si="72"/>
        <v>24653.909937960008</v>
      </c>
      <c r="H89" s="28">
        <f t="shared" si="72"/>
        <v>26680.145252760001</v>
      </c>
      <c r="I89" s="28">
        <f t="shared" si="72"/>
        <v>29852.640001800006</v>
      </c>
      <c r="J89" s="28">
        <f t="shared" si="72"/>
        <v>30811.860865080005</v>
      </c>
      <c r="K89" s="28">
        <f t="shared" si="72"/>
        <v>22588.043604120001</v>
      </c>
      <c r="L89" s="28">
        <f t="shared" si="72"/>
        <v>24546.999269880005</v>
      </c>
      <c r="M89" s="28">
        <f t="shared" si="72"/>
        <v>21812.817753000003</v>
      </c>
      <c r="N89" s="28">
        <f t="shared" si="72"/>
        <v>19516.554150839998</v>
      </c>
      <c r="O89" s="28">
        <f t="shared" si="72"/>
        <v>19879.089149160001</v>
      </c>
      <c r="P89" s="28">
        <f t="shared" si="72"/>
        <v>17352.324061920001</v>
      </c>
      <c r="Q89" s="28">
        <f t="shared" si="72"/>
        <v>18652.116418200003</v>
      </c>
      <c r="R89" s="28">
        <f t="shared" si="72"/>
        <v>21391.985307240007</v>
      </c>
      <c r="S89" s="28">
        <f t="shared" si="72"/>
        <v>24128.797683959998</v>
      </c>
      <c r="T89" s="28">
        <f t="shared" si="72"/>
        <v>29890.820681577407</v>
      </c>
      <c r="U89" s="28">
        <f t="shared" si="72"/>
        <v>26393.514647214652</v>
      </c>
      <c r="V89" s="28">
        <f t="shared" si="72"/>
        <v>20470.49117627892</v>
      </c>
      <c r="W89" s="28">
        <f t="shared" si="72"/>
        <v>24329.989871456899</v>
      </c>
      <c r="X89" s="28">
        <f t="shared" ref="X89:Y89" si="73">X90+X91</f>
        <v>24572.379583270915</v>
      </c>
      <c r="Y89" s="28">
        <f t="shared" si="73"/>
        <v>22236.739374236862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5168.181258085865</v>
      </c>
      <c r="C90" s="102">
        <f>MBunk_emi!C$4</f>
        <v>5192.267678705527</v>
      </c>
      <c r="D90" s="102">
        <f>MBunk_emi!D$4</f>
        <v>6394.3664416703805</v>
      </c>
      <c r="E90" s="102">
        <f>MBunk_emi!E$4</f>
        <v>6972.9497696521885</v>
      </c>
      <c r="F90" s="102">
        <f>MBunk_emi!F$4</f>
        <v>6496.9571758745533</v>
      </c>
      <c r="G90" s="102">
        <f>MBunk_emi!G$4</f>
        <v>5773.8717234800488</v>
      </c>
      <c r="H90" s="102">
        <f>MBunk_emi!H$4</f>
        <v>6102.0714308016677</v>
      </c>
      <c r="I90" s="102">
        <f>MBunk_emi!I$4</f>
        <v>6620.1827305169163</v>
      </c>
      <c r="J90" s="102">
        <f>MBunk_emi!J$4</f>
        <v>6772.6276595712943</v>
      </c>
      <c r="K90" s="102">
        <f>MBunk_emi!K$4</f>
        <v>4893.2177526330534</v>
      </c>
      <c r="L90" s="102">
        <f>MBunk_emi!L$4</f>
        <v>5793.4208208645668</v>
      </c>
      <c r="M90" s="102">
        <f>MBunk_emi!M$4</f>
        <v>4854.6472115296765</v>
      </c>
      <c r="N90" s="102">
        <f>MBunk_emi!N$4</f>
        <v>4697.3024967115307</v>
      </c>
      <c r="O90" s="102">
        <f>MBunk_emi!O$4</f>
        <v>4987.1427360505868</v>
      </c>
      <c r="P90" s="102">
        <f>MBunk_emi!P$4</f>
        <v>4499.5120796366173</v>
      </c>
      <c r="Q90" s="102">
        <f>MBunk_emi!Q$4</f>
        <v>4989.7799722606933</v>
      </c>
      <c r="R90" s="102">
        <f>MBunk_emi!R$4</f>
        <v>6524.5254257511069</v>
      </c>
      <c r="S90" s="102">
        <f>MBunk_emi!S$4</f>
        <v>6781.1460755169746</v>
      </c>
      <c r="T90" s="102">
        <f>MBunk_emi!T$4</f>
        <v>7960.6051299295186</v>
      </c>
      <c r="U90" s="102">
        <f>MBunk_emi!U$4</f>
        <v>7313.4914846857355</v>
      </c>
      <c r="V90" s="102">
        <f>MBunk_emi!V$4</f>
        <v>4942.9771733208227</v>
      </c>
      <c r="W90" s="102">
        <f>MBunk_emi!W$4</f>
        <v>6142.389329569789</v>
      </c>
      <c r="X90" s="102">
        <f>MBunk_emi!X$4</f>
        <v>6739.304117736101</v>
      </c>
      <c r="Y90" s="102">
        <f>MBunk_emi!Y$4</f>
        <v>6611.0260600388883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12028.302072994136</v>
      </c>
      <c r="C91" s="86">
        <f>MBunk_emi!C$5</f>
        <v>11616.366683094477</v>
      </c>
      <c r="D91" s="86">
        <f>MBunk_emi!D$5</f>
        <v>15568.622582169621</v>
      </c>
      <c r="E91" s="86">
        <f>MBunk_emi!E$5</f>
        <v>17045.909312147818</v>
      </c>
      <c r="F91" s="86">
        <f>MBunk_emi!F$5</f>
        <v>18415.682126165448</v>
      </c>
      <c r="G91" s="86">
        <f>MBunk_emi!G$5</f>
        <v>18880.038214479959</v>
      </c>
      <c r="H91" s="86">
        <f>MBunk_emi!H$5</f>
        <v>20578.073821958333</v>
      </c>
      <c r="I91" s="86">
        <f>MBunk_emi!I$5</f>
        <v>23232.457271283089</v>
      </c>
      <c r="J91" s="86">
        <f>MBunk_emi!J$5</f>
        <v>24039.23320550871</v>
      </c>
      <c r="K91" s="86">
        <f>MBunk_emi!K$5</f>
        <v>17694.825851486949</v>
      </c>
      <c r="L91" s="86">
        <f>MBunk_emi!L$5</f>
        <v>18753.578449015436</v>
      </c>
      <c r="M91" s="86">
        <f>MBunk_emi!M$5</f>
        <v>16958.170541470328</v>
      </c>
      <c r="N91" s="86">
        <f>MBunk_emi!N$5</f>
        <v>14819.251654128469</v>
      </c>
      <c r="O91" s="86">
        <f>MBunk_emi!O$5</f>
        <v>14891.946413109414</v>
      </c>
      <c r="P91" s="86">
        <f>MBunk_emi!P$5</f>
        <v>12852.811982283381</v>
      </c>
      <c r="Q91" s="86">
        <f>MBunk_emi!Q$5</f>
        <v>13662.336445939309</v>
      </c>
      <c r="R91" s="86">
        <f>MBunk_emi!R$5</f>
        <v>14867.459881488901</v>
      </c>
      <c r="S91" s="86">
        <f>MBunk_emi!S$5</f>
        <v>17347.651608443022</v>
      </c>
      <c r="T91" s="86">
        <f>MBunk_emi!T$5</f>
        <v>21930.215551647889</v>
      </c>
      <c r="U91" s="86">
        <f>MBunk_emi!U$5</f>
        <v>19080.023162528916</v>
      </c>
      <c r="V91" s="86">
        <f>MBunk_emi!V$5</f>
        <v>15527.514002958098</v>
      </c>
      <c r="W91" s="86">
        <f>MBunk_emi!W$5</f>
        <v>18187.60054188711</v>
      </c>
      <c r="X91" s="86">
        <f>MBunk_emi!X$5</f>
        <v>17833.075465534814</v>
      </c>
      <c r="Y91" s="86">
        <f>MBunk_emi!Y$5</f>
        <v>15625.713314197974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0.80077280092255454</v>
      </c>
      <c r="C97" s="139">
        <f t="shared" si="75"/>
        <v>0.80421986820994185</v>
      </c>
      <c r="D97" s="139">
        <f t="shared" si="75"/>
        <v>0.84266124546851939</v>
      </c>
      <c r="E97" s="139">
        <f t="shared" si="75"/>
        <v>0.83411452646617124</v>
      </c>
      <c r="F97" s="139">
        <f t="shared" si="75"/>
        <v>0.81658344740605726</v>
      </c>
      <c r="G97" s="139">
        <f t="shared" si="75"/>
        <v>0.81986126831243433</v>
      </c>
      <c r="H97" s="139">
        <f t="shared" si="75"/>
        <v>0.81343355273399787</v>
      </c>
      <c r="I97" s="139">
        <f t="shared" si="75"/>
        <v>0.80563964239908459</v>
      </c>
      <c r="J97" s="139">
        <f t="shared" si="75"/>
        <v>0.7926027307323239</v>
      </c>
      <c r="K97" s="139">
        <f t="shared" si="75"/>
        <v>0.79407098788192898</v>
      </c>
      <c r="L97" s="139">
        <f t="shared" si="75"/>
        <v>0.78377586405031296</v>
      </c>
      <c r="M97" s="139">
        <f t="shared" si="75"/>
        <v>0.77346253464178039</v>
      </c>
      <c r="N97" s="139">
        <f t="shared" si="75"/>
        <v>0.77153511720145285</v>
      </c>
      <c r="O97" s="139">
        <f t="shared" si="75"/>
        <v>0.75777763221092187</v>
      </c>
      <c r="P97" s="139">
        <f t="shared" si="75"/>
        <v>0.75296552245125337</v>
      </c>
      <c r="Q97" s="139">
        <f t="shared" si="75"/>
        <v>0.74373654581542969</v>
      </c>
      <c r="R97" s="139">
        <f t="shared" si="75"/>
        <v>0.75306565834772288</v>
      </c>
      <c r="S97" s="139">
        <f t="shared" si="75"/>
        <v>0.7364215937677675</v>
      </c>
      <c r="T97" s="139">
        <f t="shared" si="75"/>
        <v>0.71884108662257573</v>
      </c>
      <c r="U97" s="139">
        <f t="shared" si="75"/>
        <v>0.71169121101524302</v>
      </c>
      <c r="V97" s="139">
        <f t="shared" si="75"/>
        <v>0.8378759006694545</v>
      </c>
      <c r="W97" s="139">
        <f t="shared" si="75"/>
        <v>0.8136846719617804</v>
      </c>
      <c r="X97" s="139">
        <f t="shared" si="75"/>
        <v>0.73023891770047333</v>
      </c>
      <c r="Y97" s="139">
        <f t="shared" si="75"/>
        <v>0.72249024132427297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1.084464203833981E-2</v>
      </c>
      <c r="C98" s="140">
        <f t="shared" si="76"/>
        <v>1.1265326918207757E-2</v>
      </c>
      <c r="D98" s="140">
        <f t="shared" si="76"/>
        <v>1.2186939694674097E-2</v>
      </c>
      <c r="E98" s="140">
        <f t="shared" si="76"/>
        <v>1.2681242728960535E-2</v>
      </c>
      <c r="F98" s="140">
        <f t="shared" si="76"/>
        <v>1.2522794868736097E-2</v>
      </c>
      <c r="G98" s="140">
        <f t="shared" si="76"/>
        <v>1.2188610027671212E-2</v>
      </c>
      <c r="H98" s="140">
        <f t="shared" si="76"/>
        <v>1.2447505104323502E-2</v>
      </c>
      <c r="I98" s="140">
        <f t="shared" si="76"/>
        <v>1.2571214303371882E-2</v>
      </c>
      <c r="J98" s="140">
        <f t="shared" si="76"/>
        <v>1.2155564337137928E-2</v>
      </c>
      <c r="K98" s="140">
        <f t="shared" si="76"/>
        <v>1.1974396696841229E-2</v>
      </c>
      <c r="L98" s="140">
        <f t="shared" si="76"/>
        <v>1.1181234838814473E-2</v>
      </c>
      <c r="M98" s="140">
        <f t="shared" si="76"/>
        <v>1.0950346849684604E-2</v>
      </c>
      <c r="N98" s="140">
        <f t="shared" si="76"/>
        <v>1.0475876781445983E-2</v>
      </c>
      <c r="O98" s="140">
        <f t="shared" si="76"/>
        <v>1.0391875051635727E-2</v>
      </c>
      <c r="P98" s="140">
        <f t="shared" si="76"/>
        <v>1.0680999963061188E-2</v>
      </c>
      <c r="Q98" s="140">
        <f t="shared" si="76"/>
        <v>1.0622530999238624E-2</v>
      </c>
      <c r="R98" s="140">
        <f t="shared" si="76"/>
        <v>1.1155828377026583E-2</v>
      </c>
      <c r="S98" s="140">
        <f t="shared" si="76"/>
        <v>1.0251431648606851E-2</v>
      </c>
      <c r="T98" s="140">
        <f t="shared" si="76"/>
        <v>9.5982600391378396E-3</v>
      </c>
      <c r="U98" s="140">
        <f t="shared" si="76"/>
        <v>1.014776053909206E-2</v>
      </c>
      <c r="V98" s="140">
        <f t="shared" si="76"/>
        <v>1.2966538174922278E-2</v>
      </c>
      <c r="W98" s="140">
        <f t="shared" si="76"/>
        <v>1.2519910179319771E-2</v>
      </c>
      <c r="X98" s="140">
        <f t="shared" si="76"/>
        <v>1.0776164758489512E-2</v>
      </c>
      <c r="Y98" s="140">
        <f t="shared" si="76"/>
        <v>1.0959044091638186E-2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0.69924764284709839</v>
      </c>
      <c r="C99" s="140">
        <f t="shared" si="77"/>
        <v>0.69970597984684679</v>
      </c>
      <c r="D99" s="140">
        <f t="shared" si="77"/>
        <v>0.72677547197914438</v>
      </c>
      <c r="E99" s="140">
        <f t="shared" si="77"/>
        <v>0.70762986374449932</v>
      </c>
      <c r="F99" s="140">
        <f t="shared" si="77"/>
        <v>0.68936313687361928</v>
      </c>
      <c r="G99" s="140">
        <f t="shared" si="77"/>
        <v>0.69009863689849915</v>
      </c>
      <c r="H99" s="140">
        <f t="shared" si="77"/>
        <v>0.68105464560250484</v>
      </c>
      <c r="I99" s="140">
        <f t="shared" si="77"/>
        <v>0.67259900657867988</v>
      </c>
      <c r="J99" s="140">
        <f t="shared" si="77"/>
        <v>0.67098193024224628</v>
      </c>
      <c r="K99" s="140">
        <f t="shared" si="77"/>
        <v>0.67240726295548492</v>
      </c>
      <c r="L99" s="140">
        <f t="shared" si="77"/>
        <v>0.6666710518563983</v>
      </c>
      <c r="M99" s="140">
        <f t="shared" si="77"/>
        <v>0.6569524911791601</v>
      </c>
      <c r="N99" s="140">
        <f t="shared" si="77"/>
        <v>0.6546128652099602</v>
      </c>
      <c r="O99" s="140">
        <f t="shared" si="77"/>
        <v>0.65004866810105977</v>
      </c>
      <c r="P99" s="140">
        <f t="shared" si="77"/>
        <v>0.6497081252549276</v>
      </c>
      <c r="Q99" s="140">
        <f t="shared" si="77"/>
        <v>0.64625847390002122</v>
      </c>
      <c r="R99" s="140">
        <f t="shared" si="77"/>
        <v>0.65771757870461256</v>
      </c>
      <c r="S99" s="140">
        <f t="shared" si="77"/>
        <v>0.64551065545256459</v>
      </c>
      <c r="T99" s="140">
        <f t="shared" si="77"/>
        <v>0.62987814883577009</v>
      </c>
      <c r="U99" s="140">
        <f t="shared" si="77"/>
        <v>0.62230293272550219</v>
      </c>
      <c r="V99" s="140">
        <f t="shared" si="77"/>
        <v>0.75195330619736256</v>
      </c>
      <c r="W99" s="140">
        <f t="shared" si="77"/>
        <v>0.73107714428667558</v>
      </c>
      <c r="X99" s="140">
        <f t="shared" si="77"/>
        <v>0.64370468216869614</v>
      </c>
      <c r="Y99" s="140">
        <f t="shared" si="77"/>
        <v>0.63087291942293755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9.0680516037116243E-2</v>
      </c>
      <c r="C100" s="140">
        <f t="shared" si="78"/>
        <v>9.3248561444887273E-2</v>
      </c>
      <c r="D100" s="140">
        <f t="shared" si="78"/>
        <v>0.10369883379470095</v>
      </c>
      <c r="E100" s="140">
        <f t="shared" si="78"/>
        <v>0.1138034199927113</v>
      </c>
      <c r="F100" s="140">
        <f t="shared" si="78"/>
        <v>0.11469751566370191</v>
      </c>
      <c r="G100" s="140">
        <f t="shared" si="78"/>
        <v>0.11757402138626397</v>
      </c>
      <c r="H100" s="140">
        <f t="shared" si="78"/>
        <v>0.11993140202716955</v>
      </c>
      <c r="I100" s="140">
        <f t="shared" si="78"/>
        <v>0.12046942151703281</v>
      </c>
      <c r="J100" s="140">
        <f t="shared" si="78"/>
        <v>0.10946523615293963</v>
      </c>
      <c r="K100" s="140">
        <f t="shared" si="78"/>
        <v>0.10968932822960285</v>
      </c>
      <c r="L100" s="140">
        <f t="shared" si="78"/>
        <v>0.10592357735510018</v>
      </c>
      <c r="M100" s="140">
        <f t="shared" si="78"/>
        <v>0.10555969661293568</v>
      </c>
      <c r="N100" s="140">
        <f t="shared" si="78"/>
        <v>0.1064463752100466</v>
      </c>
      <c r="O100" s="140">
        <f t="shared" si="78"/>
        <v>9.7337089058226328E-2</v>
      </c>
      <c r="P100" s="140">
        <f t="shared" si="78"/>
        <v>9.2576397233264537E-2</v>
      </c>
      <c r="Q100" s="140">
        <f t="shared" si="78"/>
        <v>8.6855540916169843E-2</v>
      </c>
      <c r="R100" s="140">
        <f t="shared" si="78"/>
        <v>8.4192251266083762E-2</v>
      </c>
      <c r="S100" s="140">
        <f t="shared" si="78"/>
        <v>8.065950666659602E-2</v>
      </c>
      <c r="T100" s="140">
        <f t="shared" si="78"/>
        <v>7.9364677747667825E-2</v>
      </c>
      <c r="U100" s="140">
        <f t="shared" si="78"/>
        <v>7.9240517750648706E-2</v>
      </c>
      <c r="V100" s="140">
        <f t="shared" si="78"/>
        <v>7.2956056297169711E-2</v>
      </c>
      <c r="W100" s="140">
        <f t="shared" si="78"/>
        <v>7.0087617495785015E-2</v>
      </c>
      <c r="X100" s="140">
        <f t="shared" si="78"/>
        <v>7.575807077328775E-2</v>
      </c>
      <c r="Y100" s="140">
        <f t="shared" si="78"/>
        <v>8.0658277809697213E-2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5.8670464513752213E-2</v>
      </c>
      <c r="C101" s="124">
        <f t="shared" si="79"/>
        <v>6.0297227378432336E-2</v>
      </c>
      <c r="D101" s="124">
        <f t="shared" si="79"/>
        <v>6.3427865944408163E-2</v>
      </c>
      <c r="E101" s="124">
        <f t="shared" si="79"/>
        <v>6.3275626369600851E-2</v>
      </c>
      <c r="F101" s="124">
        <f t="shared" si="79"/>
        <v>6.7809593621168063E-2</v>
      </c>
      <c r="G101" s="124">
        <f t="shared" si="79"/>
        <v>6.3368296699529453E-2</v>
      </c>
      <c r="H101" s="124">
        <f t="shared" si="79"/>
        <v>6.5770525964975513E-2</v>
      </c>
      <c r="I101" s="124">
        <f t="shared" si="79"/>
        <v>6.6719355507142378E-2</v>
      </c>
      <c r="J101" s="124">
        <f t="shared" si="79"/>
        <v>6.9240957723315982E-2</v>
      </c>
      <c r="K101" s="124">
        <f t="shared" si="79"/>
        <v>6.991372554260053E-2</v>
      </c>
      <c r="L101" s="124">
        <f t="shared" si="79"/>
        <v>7.0501952982957347E-2</v>
      </c>
      <c r="M101" s="124">
        <f t="shared" si="79"/>
        <v>7.0503603217053915E-2</v>
      </c>
      <c r="N101" s="124">
        <f t="shared" si="79"/>
        <v>7.1769897536372626E-2</v>
      </c>
      <c r="O101" s="124">
        <f t="shared" si="79"/>
        <v>7.4859339350384635E-2</v>
      </c>
      <c r="P101" s="124">
        <f t="shared" si="79"/>
        <v>7.3329365317303608E-2</v>
      </c>
      <c r="Q101" s="124">
        <f t="shared" si="79"/>
        <v>7.1101068374939666E-2</v>
      </c>
      <c r="R101" s="124">
        <f t="shared" si="79"/>
        <v>6.9975616091711282E-2</v>
      </c>
      <c r="S101" s="124">
        <f t="shared" si="79"/>
        <v>7.0988285276377447E-2</v>
      </c>
      <c r="T101" s="124">
        <f t="shared" si="79"/>
        <v>7.7600627063308045E-2</v>
      </c>
      <c r="U101" s="124">
        <f t="shared" si="79"/>
        <v>7.8028381337235081E-2</v>
      </c>
      <c r="V101" s="124">
        <f t="shared" si="79"/>
        <v>7.2358421976296647E-2</v>
      </c>
      <c r="W101" s="124">
        <f t="shared" si="79"/>
        <v>6.664995299283541E-2</v>
      </c>
      <c r="X101" s="124">
        <f t="shared" si="79"/>
        <v>8.053979163127982E-2</v>
      </c>
      <c r="Y101" s="124">
        <f t="shared" si="79"/>
        <v>8.1613389751807666E-2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5.9325086154073019E-3</v>
      </c>
      <c r="C102" s="140">
        <f t="shared" si="80"/>
        <v>5.9255520735367658E-3</v>
      </c>
      <c r="D102" s="140">
        <f t="shared" si="80"/>
        <v>6.1694864142648386E-3</v>
      </c>
      <c r="E102" s="140">
        <f t="shared" si="80"/>
        <v>6.2136457973421466E-3</v>
      </c>
      <c r="F102" s="140">
        <f t="shared" si="80"/>
        <v>6.0884785589800624E-3</v>
      </c>
      <c r="G102" s="140">
        <f t="shared" si="80"/>
        <v>6.2428512638307617E-3</v>
      </c>
      <c r="H102" s="140">
        <f t="shared" si="80"/>
        <v>6.3024006119353172E-3</v>
      </c>
      <c r="I102" s="140">
        <f t="shared" si="80"/>
        <v>6.2390605265524052E-3</v>
      </c>
      <c r="J102" s="140">
        <f t="shared" si="80"/>
        <v>6.2160838246984457E-3</v>
      </c>
      <c r="K102" s="140">
        <f t="shared" si="80"/>
        <v>6.2217429511969855E-3</v>
      </c>
      <c r="L102" s="140">
        <f t="shared" si="80"/>
        <v>6.5211868682368921E-3</v>
      </c>
      <c r="M102" s="140">
        <f t="shared" si="80"/>
        <v>6.7675305988642879E-3</v>
      </c>
      <c r="N102" s="140">
        <f t="shared" si="80"/>
        <v>7.2423545070328076E-3</v>
      </c>
      <c r="O102" s="140">
        <f t="shared" si="80"/>
        <v>7.6523960096187187E-3</v>
      </c>
      <c r="P102" s="140">
        <f t="shared" si="80"/>
        <v>7.3793644579599627E-3</v>
      </c>
      <c r="Q102" s="140">
        <f t="shared" si="80"/>
        <v>7.5031568646434267E-3</v>
      </c>
      <c r="R102" s="140">
        <f t="shared" si="80"/>
        <v>7.8535753351945906E-3</v>
      </c>
      <c r="S102" s="140">
        <f t="shared" si="80"/>
        <v>8.4291639643297757E-3</v>
      </c>
      <c r="T102" s="140">
        <f t="shared" si="80"/>
        <v>8.3621207300731831E-3</v>
      </c>
      <c r="U102" s="140">
        <f t="shared" si="80"/>
        <v>8.5262236000275167E-3</v>
      </c>
      <c r="V102" s="140">
        <f t="shared" si="80"/>
        <v>7.7787454489005184E-3</v>
      </c>
      <c r="W102" s="140">
        <f t="shared" si="80"/>
        <v>7.147765078739556E-3</v>
      </c>
      <c r="X102" s="140">
        <f t="shared" si="80"/>
        <v>7.4519290536941641E-3</v>
      </c>
      <c r="Y102" s="140">
        <f t="shared" si="80"/>
        <v>7.7039931612757264E-3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4.6839542160037648E-2</v>
      </c>
      <c r="C103" s="140">
        <f t="shared" si="81"/>
        <v>4.8358186956294902E-2</v>
      </c>
      <c r="D103" s="140">
        <f t="shared" si="81"/>
        <v>5.0957184978944747E-2</v>
      </c>
      <c r="E103" s="140">
        <f t="shared" si="81"/>
        <v>5.100022389440715E-2</v>
      </c>
      <c r="F103" s="140">
        <f t="shared" si="81"/>
        <v>5.5431917429834963E-2</v>
      </c>
      <c r="G103" s="140">
        <f t="shared" si="81"/>
        <v>5.0533531520556958E-2</v>
      </c>
      <c r="H103" s="140">
        <f t="shared" si="81"/>
        <v>5.2834019445739858E-2</v>
      </c>
      <c r="I103" s="140">
        <f t="shared" si="81"/>
        <v>5.3932497438290636E-2</v>
      </c>
      <c r="J103" s="140">
        <f t="shared" si="81"/>
        <v>5.6317719451767917E-2</v>
      </c>
      <c r="K103" s="140">
        <f t="shared" si="81"/>
        <v>5.7090713320183541E-2</v>
      </c>
      <c r="L103" s="140">
        <f t="shared" si="81"/>
        <v>5.7514430350982755E-2</v>
      </c>
      <c r="M103" s="140">
        <f t="shared" si="81"/>
        <v>5.832964786240543E-2</v>
      </c>
      <c r="N103" s="140">
        <f t="shared" si="81"/>
        <v>5.914876192576124E-2</v>
      </c>
      <c r="O103" s="140">
        <f t="shared" si="81"/>
        <v>6.1619741088019889E-2</v>
      </c>
      <c r="P103" s="140">
        <f t="shared" si="81"/>
        <v>6.0481210921125787E-2</v>
      </c>
      <c r="Q103" s="140">
        <f t="shared" si="81"/>
        <v>5.6350286266957643E-2</v>
      </c>
      <c r="R103" s="140">
        <f t="shared" si="81"/>
        <v>5.2826972314145119E-2</v>
      </c>
      <c r="S103" s="140">
        <f t="shared" si="81"/>
        <v>5.3118512885567307E-2</v>
      </c>
      <c r="T103" s="140">
        <f t="shared" si="81"/>
        <v>6.0059136671017407E-2</v>
      </c>
      <c r="U103" s="140">
        <f t="shared" si="81"/>
        <v>6.0443709845458174E-2</v>
      </c>
      <c r="V103" s="140">
        <f t="shared" si="81"/>
        <v>5.6397226744541278E-2</v>
      </c>
      <c r="W103" s="140">
        <f t="shared" si="81"/>
        <v>4.9300906062498956E-2</v>
      </c>
      <c r="X103" s="140">
        <f t="shared" si="81"/>
        <v>6.3800196523660785E-2</v>
      </c>
      <c r="Y103" s="140">
        <f t="shared" si="81"/>
        <v>6.451733381059685E-2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5.8984137383072599E-3</v>
      </c>
      <c r="C104" s="140">
        <f t="shared" si="82"/>
        <v>6.0134883486006674E-3</v>
      </c>
      <c r="D104" s="140">
        <f t="shared" si="82"/>
        <v>6.301194551198582E-3</v>
      </c>
      <c r="E104" s="140">
        <f t="shared" si="82"/>
        <v>6.0617566778515602E-3</v>
      </c>
      <c r="F104" s="140">
        <f t="shared" si="82"/>
        <v>6.2891976323530318E-3</v>
      </c>
      <c r="G104" s="140">
        <f t="shared" si="82"/>
        <v>6.5919139151417285E-3</v>
      </c>
      <c r="H104" s="140">
        <f t="shared" si="82"/>
        <v>6.6341059073003333E-3</v>
      </c>
      <c r="I104" s="140">
        <f t="shared" si="82"/>
        <v>6.5477975422993289E-3</v>
      </c>
      <c r="J104" s="140">
        <f t="shared" si="82"/>
        <v>6.7071544468496232E-3</v>
      </c>
      <c r="K104" s="140">
        <f t="shared" si="82"/>
        <v>6.6012692712200021E-3</v>
      </c>
      <c r="L104" s="140">
        <f t="shared" si="82"/>
        <v>6.4663357637377034E-3</v>
      </c>
      <c r="M104" s="140">
        <f t="shared" si="82"/>
        <v>5.4064247557841991E-3</v>
      </c>
      <c r="N104" s="140">
        <f t="shared" si="82"/>
        <v>5.3787811035785693E-3</v>
      </c>
      <c r="O104" s="140">
        <f t="shared" si="82"/>
        <v>5.5872022527460171E-3</v>
      </c>
      <c r="P104" s="140">
        <f t="shared" si="82"/>
        <v>5.4687899382178523E-3</v>
      </c>
      <c r="Q104" s="140">
        <f t="shared" si="82"/>
        <v>7.2476252433386033E-3</v>
      </c>
      <c r="R104" s="140">
        <f t="shared" si="82"/>
        <v>9.2950684423715752E-3</v>
      </c>
      <c r="S104" s="140">
        <f t="shared" si="82"/>
        <v>9.4406084264803715E-3</v>
      </c>
      <c r="T104" s="140">
        <f t="shared" si="82"/>
        <v>9.1793696622174559E-3</v>
      </c>
      <c r="U104" s="140">
        <f t="shared" si="82"/>
        <v>9.0584478917493851E-3</v>
      </c>
      <c r="V104" s="140">
        <f t="shared" si="82"/>
        <v>8.1824497828548517E-3</v>
      </c>
      <c r="W104" s="140">
        <f t="shared" si="82"/>
        <v>1.020128185159689E-2</v>
      </c>
      <c r="X104" s="140">
        <f t="shared" si="82"/>
        <v>9.2876660539248663E-3</v>
      </c>
      <c r="Y104" s="140">
        <f t="shared" si="82"/>
        <v>9.3920627799351005E-3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0.14055673456369319</v>
      </c>
      <c r="C105" s="124">
        <f t="shared" si="83"/>
        <v>0.13548290441162592</v>
      </c>
      <c r="D105" s="124">
        <f t="shared" si="83"/>
        <v>9.391088858707243E-2</v>
      </c>
      <c r="E105" s="124">
        <f t="shared" si="83"/>
        <v>0.10260984716422801</v>
      </c>
      <c r="F105" s="124">
        <f t="shared" si="83"/>
        <v>0.11560695897277465</v>
      </c>
      <c r="G105" s="124">
        <f t="shared" si="83"/>
        <v>0.11677043498803634</v>
      </c>
      <c r="H105" s="124">
        <f t="shared" si="83"/>
        <v>0.12079592130102654</v>
      </c>
      <c r="I105" s="124">
        <f t="shared" si="83"/>
        <v>0.12764100209377299</v>
      </c>
      <c r="J105" s="124">
        <f t="shared" si="83"/>
        <v>0.13815631154435995</v>
      </c>
      <c r="K105" s="124">
        <f t="shared" si="83"/>
        <v>0.13601528657547043</v>
      </c>
      <c r="L105" s="124">
        <f t="shared" si="83"/>
        <v>0.14572218296672973</v>
      </c>
      <c r="M105" s="124">
        <f t="shared" si="83"/>
        <v>0.15603386214116588</v>
      </c>
      <c r="N105" s="124">
        <f t="shared" si="83"/>
        <v>0.1566949852621746</v>
      </c>
      <c r="O105" s="124">
        <f t="shared" si="83"/>
        <v>0.16736302843869366</v>
      </c>
      <c r="P105" s="124">
        <f t="shared" si="83"/>
        <v>0.17370511223144297</v>
      </c>
      <c r="Q105" s="124">
        <f t="shared" si="83"/>
        <v>0.18516238580963076</v>
      </c>
      <c r="R105" s="124">
        <f t="shared" si="83"/>
        <v>0.17695872556056583</v>
      </c>
      <c r="S105" s="124">
        <f t="shared" si="83"/>
        <v>0.19259012095585509</v>
      </c>
      <c r="T105" s="124">
        <f t="shared" si="83"/>
        <v>0.20355828631411621</v>
      </c>
      <c r="U105" s="124">
        <f t="shared" si="83"/>
        <v>0.21028040764752196</v>
      </c>
      <c r="V105" s="124">
        <f t="shared" si="83"/>
        <v>8.976567735424891E-2</v>
      </c>
      <c r="W105" s="124">
        <f t="shared" si="83"/>
        <v>0.11966537504538427</v>
      </c>
      <c r="X105" s="124">
        <f t="shared" si="83"/>
        <v>0.18922129066824683</v>
      </c>
      <c r="Y105" s="124">
        <f t="shared" si="83"/>
        <v>0.19589636892391943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7.2889281212230747E-2</v>
      </c>
      <c r="C107" s="140">
        <f t="shared" si="85"/>
        <v>7.1957839717006367E-2</v>
      </c>
      <c r="D107" s="140">
        <f t="shared" si="85"/>
        <v>5.2729282805567219E-2</v>
      </c>
      <c r="E107" s="140">
        <f t="shared" si="85"/>
        <v>5.821077128268725E-2</v>
      </c>
      <c r="F107" s="140">
        <f t="shared" si="85"/>
        <v>6.356722203430247E-2</v>
      </c>
      <c r="G107" s="140">
        <f t="shared" si="85"/>
        <v>6.242182855732159E-2</v>
      </c>
      <c r="H107" s="140">
        <f t="shared" si="85"/>
        <v>6.4336930300267103E-2</v>
      </c>
      <c r="I107" s="140">
        <f t="shared" si="85"/>
        <v>6.2179192605745538E-2</v>
      </c>
      <c r="J107" s="140">
        <f t="shared" si="85"/>
        <v>5.8983663731756383E-2</v>
      </c>
      <c r="K107" s="140">
        <f t="shared" si="85"/>
        <v>5.7652747809181004E-2</v>
      </c>
      <c r="L107" s="140">
        <f t="shared" si="85"/>
        <v>6.1398863971054686E-2</v>
      </c>
      <c r="M107" s="140">
        <f t="shared" si="85"/>
        <v>6.6711252520668549E-2</v>
      </c>
      <c r="N107" s="140">
        <f t="shared" si="85"/>
        <v>6.7561783382555585E-2</v>
      </c>
      <c r="O107" s="140">
        <f t="shared" si="85"/>
        <v>7.1528368671465392E-2</v>
      </c>
      <c r="P107" s="140">
        <f t="shared" si="85"/>
        <v>7.5643783376286966E-2</v>
      </c>
      <c r="Q107" s="140">
        <f t="shared" si="85"/>
        <v>8.2572594997194285E-2</v>
      </c>
      <c r="R107" s="140">
        <f t="shared" si="85"/>
        <v>8.6952312323925376E-2</v>
      </c>
      <c r="S107" s="140">
        <f t="shared" si="85"/>
        <v>9.1449864108464618E-2</v>
      </c>
      <c r="T107" s="140">
        <f t="shared" si="85"/>
        <v>8.9358442231563695E-2</v>
      </c>
      <c r="U107" s="140">
        <f t="shared" si="85"/>
        <v>9.0303319356417694E-2</v>
      </c>
      <c r="V107" s="140">
        <f t="shared" si="85"/>
        <v>3.80103124658729E-2</v>
      </c>
      <c r="W107" s="140">
        <f t="shared" si="85"/>
        <v>5.2090151048636117E-2</v>
      </c>
      <c r="X107" s="140">
        <f t="shared" si="85"/>
        <v>8.3748293323163414E-2</v>
      </c>
      <c r="Y107" s="140">
        <f t="shared" si="85"/>
        <v>8.8020893739023512E-2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6.7667453351462445E-2</v>
      </c>
      <c r="C108" s="140">
        <f t="shared" si="86"/>
        <v>6.3525064694619576E-2</v>
      </c>
      <c r="D108" s="140">
        <f t="shared" si="86"/>
        <v>4.1181605781505218E-2</v>
      </c>
      <c r="E108" s="140">
        <f t="shared" si="86"/>
        <v>4.4399075881540767E-2</v>
      </c>
      <c r="F108" s="140">
        <f t="shared" si="86"/>
        <v>5.2039736938472185E-2</v>
      </c>
      <c r="G108" s="140">
        <f t="shared" si="86"/>
        <v>5.4348606430714742E-2</v>
      </c>
      <c r="H108" s="140">
        <f t="shared" si="86"/>
        <v>5.6458991000759441E-2</v>
      </c>
      <c r="I108" s="140">
        <f t="shared" si="86"/>
        <v>6.5461809488027448E-2</v>
      </c>
      <c r="J108" s="140">
        <f t="shared" si="86"/>
        <v>7.917264781260358E-2</v>
      </c>
      <c r="K108" s="140">
        <f t="shared" si="86"/>
        <v>7.8362538766289416E-2</v>
      </c>
      <c r="L108" s="140">
        <f t="shared" si="86"/>
        <v>8.4323318995675023E-2</v>
      </c>
      <c r="M108" s="140">
        <f t="shared" si="86"/>
        <v>8.9322609620497331E-2</v>
      </c>
      <c r="N108" s="140">
        <f t="shared" si="86"/>
        <v>8.9133201879618998E-2</v>
      </c>
      <c r="O108" s="140">
        <f t="shared" si="86"/>
        <v>9.5834659767228256E-2</v>
      </c>
      <c r="P108" s="140">
        <f t="shared" si="86"/>
        <v>9.8061328855156005E-2</v>
      </c>
      <c r="Q108" s="140">
        <f t="shared" si="86"/>
        <v>0.10258979081243648</v>
      </c>
      <c r="R108" s="140">
        <f t="shared" si="86"/>
        <v>9.0006413236640465E-2</v>
      </c>
      <c r="S108" s="140">
        <f t="shared" si="86"/>
        <v>0.10114025684739046</v>
      </c>
      <c r="T108" s="140">
        <f t="shared" si="86"/>
        <v>0.11419984408255253</v>
      </c>
      <c r="U108" s="140">
        <f t="shared" si="86"/>
        <v>0.11997708829110426</v>
      </c>
      <c r="V108" s="140">
        <f t="shared" si="86"/>
        <v>5.1755364888376024E-2</v>
      </c>
      <c r="W108" s="140">
        <f t="shared" si="86"/>
        <v>6.7575223996748146E-2</v>
      </c>
      <c r="X108" s="140">
        <f t="shared" si="86"/>
        <v>0.10547299734508342</v>
      </c>
      <c r="Y108" s="140">
        <f t="shared" si="86"/>
        <v>0.1078754751848959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0.70879291883614071</v>
      </c>
      <c r="C110" s="139">
        <f t="shared" si="88"/>
        <v>0.72285450506676985</v>
      </c>
      <c r="D110" s="139">
        <f t="shared" si="88"/>
        <v>0.72358159079897921</v>
      </c>
      <c r="E110" s="139">
        <f t="shared" si="88"/>
        <v>0.71761148771496663</v>
      </c>
      <c r="F110" s="139">
        <f t="shared" si="88"/>
        <v>0.7264317812396297</v>
      </c>
      <c r="G110" s="139">
        <f t="shared" si="88"/>
        <v>0.72197712343849896</v>
      </c>
      <c r="H110" s="139">
        <f t="shared" si="88"/>
        <v>0.71088612025267184</v>
      </c>
      <c r="I110" s="139">
        <f t="shared" si="88"/>
        <v>0.70103392294362921</v>
      </c>
      <c r="J110" s="139">
        <f t="shared" si="88"/>
        <v>0.69814151540608516</v>
      </c>
      <c r="K110" s="139">
        <f t="shared" si="88"/>
        <v>0.74170106369691591</v>
      </c>
      <c r="L110" s="139">
        <f t="shared" si="88"/>
        <v>0.70481315269052214</v>
      </c>
      <c r="M110" s="139">
        <f t="shared" si="88"/>
        <v>0.70003285805394688</v>
      </c>
      <c r="N110" s="139">
        <f t="shared" si="88"/>
        <v>0.62857683714913848</v>
      </c>
      <c r="O110" s="139">
        <f t="shared" si="88"/>
        <v>0.64673052974439182</v>
      </c>
      <c r="P110" s="139">
        <f t="shared" si="88"/>
        <v>0.64435431500582541</v>
      </c>
      <c r="Q110" s="139">
        <f t="shared" si="88"/>
        <v>0.65113136691705364</v>
      </c>
      <c r="R110" s="139">
        <f t="shared" si="88"/>
        <v>0.62957559892767845</v>
      </c>
      <c r="S110" s="139">
        <f t="shared" si="88"/>
        <v>0.65546149323887859</v>
      </c>
      <c r="T110" s="139">
        <f t="shared" si="88"/>
        <v>0.68357039262373065</v>
      </c>
      <c r="U110" s="139">
        <f t="shared" si="88"/>
        <v>0.66767921076032666</v>
      </c>
      <c r="V110" s="139">
        <f t="shared" si="88"/>
        <v>0.67345864270720945</v>
      </c>
      <c r="W110" s="139">
        <f t="shared" si="88"/>
        <v>0.67928351621648608</v>
      </c>
      <c r="X110" s="139">
        <f t="shared" si="88"/>
        <v>0.69298595631008542</v>
      </c>
      <c r="Y110" s="139">
        <f t="shared" si="88"/>
        <v>0.68581303546425521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1.1921840552558764E-2</v>
      </c>
      <c r="C111" s="140">
        <f t="shared" si="89"/>
        <v>1.2318562038612008E-2</v>
      </c>
      <c r="D111" s="140">
        <f t="shared" si="89"/>
        <v>1.2572989381403993E-2</v>
      </c>
      <c r="E111" s="140">
        <f t="shared" si="89"/>
        <v>1.326884914679752E-2</v>
      </c>
      <c r="F111" s="140">
        <f t="shared" si="89"/>
        <v>1.3715719272018818E-2</v>
      </c>
      <c r="G111" s="140">
        <f t="shared" si="89"/>
        <v>1.4065960864102627E-2</v>
      </c>
      <c r="H111" s="140">
        <f t="shared" si="89"/>
        <v>1.4051912585896045E-2</v>
      </c>
      <c r="I111" s="140">
        <f t="shared" si="89"/>
        <v>1.433415772066053E-2</v>
      </c>
      <c r="J111" s="140">
        <f t="shared" si="89"/>
        <v>1.5265759536941715E-2</v>
      </c>
      <c r="K111" s="140">
        <f t="shared" si="89"/>
        <v>1.7299176915140969E-2</v>
      </c>
      <c r="L111" s="140">
        <f t="shared" si="89"/>
        <v>1.6205826875299298E-2</v>
      </c>
      <c r="M111" s="140">
        <f t="shared" si="89"/>
        <v>1.6053254224225141E-2</v>
      </c>
      <c r="N111" s="140">
        <f t="shared" si="89"/>
        <v>1.4240635811209571E-2</v>
      </c>
      <c r="O111" s="140">
        <f t="shared" si="89"/>
        <v>1.3680823707276336E-2</v>
      </c>
      <c r="P111" s="140">
        <f t="shared" si="89"/>
        <v>1.4044884785552155E-2</v>
      </c>
      <c r="Q111" s="140">
        <f t="shared" si="89"/>
        <v>1.4266499558503513E-2</v>
      </c>
      <c r="R111" s="140">
        <f t="shared" si="89"/>
        <v>1.2964178415430605E-2</v>
      </c>
      <c r="S111" s="140">
        <f t="shared" si="89"/>
        <v>1.2971641618060305E-2</v>
      </c>
      <c r="T111" s="140">
        <f t="shared" si="89"/>
        <v>1.4251031566189089E-2</v>
      </c>
      <c r="U111" s="140">
        <f t="shared" si="89"/>
        <v>1.3652769858065428E-2</v>
      </c>
      <c r="V111" s="140">
        <f t="shared" si="89"/>
        <v>1.2974496877372415E-2</v>
      </c>
      <c r="W111" s="140">
        <f t="shared" si="89"/>
        <v>1.4981133735301487E-2</v>
      </c>
      <c r="X111" s="140">
        <f t="shared" si="89"/>
        <v>1.5861153741050685E-2</v>
      </c>
      <c r="Y111" s="140">
        <f t="shared" si="89"/>
        <v>1.7045304067002429E-2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0.69687107828358186</v>
      </c>
      <c r="C112" s="140">
        <f t="shared" si="90"/>
        <v>0.71053594302815781</v>
      </c>
      <c r="D112" s="140">
        <f t="shared" si="90"/>
        <v>0.71100860141757527</v>
      </c>
      <c r="E112" s="140">
        <f t="shared" si="90"/>
        <v>0.70434263856816903</v>
      </c>
      <c r="F112" s="140">
        <f t="shared" si="90"/>
        <v>0.71271606196761095</v>
      </c>
      <c r="G112" s="140">
        <f t="shared" si="90"/>
        <v>0.70791116257439635</v>
      </c>
      <c r="H112" s="140">
        <f t="shared" si="90"/>
        <v>0.69683420766677584</v>
      </c>
      <c r="I112" s="140">
        <f t="shared" si="90"/>
        <v>0.68669976522296861</v>
      </c>
      <c r="J112" s="140">
        <f t="shared" si="90"/>
        <v>0.6828757558691434</v>
      </c>
      <c r="K112" s="140">
        <f t="shared" si="90"/>
        <v>0.72440188678177497</v>
      </c>
      <c r="L112" s="140">
        <f t="shared" si="90"/>
        <v>0.68860732581522277</v>
      </c>
      <c r="M112" s="140">
        <f t="shared" si="90"/>
        <v>0.68397960382972178</v>
      </c>
      <c r="N112" s="140">
        <f t="shared" si="90"/>
        <v>0.61433620133792888</v>
      </c>
      <c r="O112" s="140">
        <f t="shared" si="90"/>
        <v>0.63304970603711563</v>
      </c>
      <c r="P112" s="140">
        <f t="shared" si="90"/>
        <v>0.6303094302202733</v>
      </c>
      <c r="Q112" s="140">
        <f t="shared" si="90"/>
        <v>0.63686486735855008</v>
      </c>
      <c r="R112" s="140">
        <f t="shared" si="90"/>
        <v>0.61661142051224793</v>
      </c>
      <c r="S112" s="140">
        <f t="shared" si="90"/>
        <v>0.64248985162081829</v>
      </c>
      <c r="T112" s="140">
        <f t="shared" si="90"/>
        <v>0.66931936105754153</v>
      </c>
      <c r="U112" s="140">
        <f t="shared" si="90"/>
        <v>0.65402644090226125</v>
      </c>
      <c r="V112" s="140">
        <f t="shared" si="90"/>
        <v>0.66048414582983705</v>
      </c>
      <c r="W112" s="140">
        <f t="shared" si="90"/>
        <v>0.66430238248118467</v>
      </c>
      <c r="X112" s="140">
        <f t="shared" si="90"/>
        <v>0.67712480256903473</v>
      </c>
      <c r="Y112" s="140">
        <f t="shared" si="90"/>
        <v>0.66876773139725276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0.1350948985088572</v>
      </c>
      <c r="C113" s="124">
        <f t="shared" si="91"/>
        <v>0.12034159798969844</v>
      </c>
      <c r="D113" s="124">
        <f t="shared" si="91"/>
        <v>0.1209717800434881</v>
      </c>
      <c r="E113" s="124">
        <f t="shared" si="91"/>
        <v>0.12103057214731675</v>
      </c>
      <c r="F113" s="124">
        <f t="shared" si="91"/>
        <v>0.11929913230934373</v>
      </c>
      <c r="G113" s="124">
        <f t="shared" si="91"/>
        <v>0.12307414030477973</v>
      </c>
      <c r="H113" s="124">
        <f t="shared" si="91"/>
        <v>0.12453661103800501</v>
      </c>
      <c r="I113" s="124">
        <f t="shared" si="91"/>
        <v>0.12960720208613949</v>
      </c>
      <c r="J113" s="124">
        <f t="shared" si="91"/>
        <v>0.12954165181513103</v>
      </c>
      <c r="K113" s="124">
        <f t="shared" si="91"/>
        <v>0.10393342148680564</v>
      </c>
      <c r="L113" s="124">
        <f t="shared" si="91"/>
        <v>0.11281879313235775</v>
      </c>
      <c r="M113" s="124">
        <f t="shared" si="91"/>
        <v>0.11397203775954891</v>
      </c>
      <c r="N113" s="124">
        <f t="shared" si="91"/>
        <v>0.19498306101549201</v>
      </c>
      <c r="O113" s="124">
        <f t="shared" si="91"/>
        <v>0.18175876302615343</v>
      </c>
      <c r="P113" s="124">
        <f t="shared" si="91"/>
        <v>0.18223900994079656</v>
      </c>
      <c r="Q113" s="124">
        <f t="shared" si="91"/>
        <v>0.17492769269442265</v>
      </c>
      <c r="R113" s="124">
        <f t="shared" si="91"/>
        <v>0.21008528519235795</v>
      </c>
      <c r="S113" s="124">
        <f t="shared" si="91"/>
        <v>0.1629821663360437</v>
      </c>
      <c r="T113" s="124">
        <f t="shared" si="91"/>
        <v>0.15518734414747609</v>
      </c>
      <c r="U113" s="124">
        <f t="shared" si="91"/>
        <v>0.18334742035706161</v>
      </c>
      <c r="V113" s="124">
        <f t="shared" si="91"/>
        <v>0.17016681645000109</v>
      </c>
      <c r="W113" s="124">
        <f t="shared" si="91"/>
        <v>0.14701823810016676</v>
      </c>
      <c r="X113" s="124">
        <f t="shared" si="91"/>
        <v>0.13277087591828104</v>
      </c>
      <c r="Y113" s="124">
        <f t="shared" si="91"/>
        <v>0.15772873832950218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2.413675456779844E-2</v>
      </c>
      <c r="C114" s="124">
        <f t="shared" si="92"/>
        <v>2.2443921870568585E-2</v>
      </c>
      <c r="D114" s="124">
        <f t="shared" si="92"/>
        <v>1.8051931131185757E-2</v>
      </c>
      <c r="E114" s="124">
        <f t="shared" si="92"/>
        <v>2.1401840823299784E-2</v>
      </c>
      <c r="F114" s="124">
        <f t="shared" si="92"/>
        <v>2.1753080774297787E-2</v>
      </c>
      <c r="G114" s="124">
        <f t="shared" si="92"/>
        <v>2.1110104741653493E-2</v>
      </c>
      <c r="H114" s="124">
        <f t="shared" si="92"/>
        <v>3.0357965219718688E-2</v>
      </c>
      <c r="I114" s="124">
        <f t="shared" si="92"/>
        <v>3.7860524892278313E-2</v>
      </c>
      <c r="J114" s="124">
        <f t="shared" si="92"/>
        <v>3.9882166303355879E-2</v>
      </c>
      <c r="K114" s="124">
        <f t="shared" si="92"/>
        <v>3.4939425968748307E-2</v>
      </c>
      <c r="L114" s="124">
        <f t="shared" si="92"/>
        <v>4.1603309555018023E-2</v>
      </c>
      <c r="M114" s="124">
        <f t="shared" si="92"/>
        <v>4.4078932991908543E-2</v>
      </c>
      <c r="N114" s="124">
        <f t="shared" si="92"/>
        <v>3.4067468960128675E-2</v>
      </c>
      <c r="O114" s="124">
        <f t="shared" si="92"/>
        <v>3.1061018774284559E-2</v>
      </c>
      <c r="P114" s="124">
        <f t="shared" si="92"/>
        <v>3.3526470359917508E-2</v>
      </c>
      <c r="Q114" s="124">
        <f t="shared" si="92"/>
        <v>4.0032946264857636E-2</v>
      </c>
      <c r="R114" s="124">
        <f t="shared" si="92"/>
        <v>3.6055566607493851E-2</v>
      </c>
      <c r="S114" s="124">
        <f t="shared" si="92"/>
        <v>4.2772226398253926E-2</v>
      </c>
      <c r="T114" s="124">
        <f t="shared" si="92"/>
        <v>5.4107708796893861E-2</v>
      </c>
      <c r="U114" s="124">
        <f t="shared" si="92"/>
        <v>4.9694632214715574E-2</v>
      </c>
      <c r="V114" s="124">
        <f t="shared" si="92"/>
        <v>5.9804287636859139E-2</v>
      </c>
      <c r="W114" s="124">
        <f t="shared" si="92"/>
        <v>7.1174240605669015E-2</v>
      </c>
      <c r="X114" s="124">
        <f t="shared" si="92"/>
        <v>7.2428235629191817E-2</v>
      </c>
      <c r="Y114" s="124">
        <f t="shared" si="92"/>
        <v>6.1875378365844134E-2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4.4032243325421178E-3</v>
      </c>
      <c r="C116" s="140">
        <f t="shared" si="96"/>
        <v>3.4949878073697606E-3</v>
      </c>
      <c r="D116" s="140">
        <f t="shared" si="96"/>
        <v>2.6497593727923281E-3</v>
      </c>
      <c r="E116" s="140">
        <f t="shared" si="96"/>
        <v>2.7527580277032036E-3</v>
      </c>
      <c r="F116" s="140">
        <f t="shared" si="96"/>
        <v>2.6668452984181966E-3</v>
      </c>
      <c r="G116" s="140">
        <f t="shared" si="96"/>
        <v>2.8847158226981608E-3</v>
      </c>
      <c r="H116" s="140">
        <f t="shared" si="96"/>
        <v>5.005387945602127E-3</v>
      </c>
      <c r="I116" s="140">
        <f t="shared" si="96"/>
        <v>5.0446533240017964E-3</v>
      </c>
      <c r="J116" s="140">
        <f t="shared" si="96"/>
        <v>3.7237307859944646E-3</v>
      </c>
      <c r="K116" s="140">
        <f t="shared" si="96"/>
        <v>3.2115348017059055E-3</v>
      </c>
      <c r="L116" s="140">
        <f t="shared" si="96"/>
        <v>3.1416867248697921E-3</v>
      </c>
      <c r="M116" s="140">
        <f t="shared" si="96"/>
        <v>3.0567338889283375E-3</v>
      </c>
      <c r="N116" s="140">
        <f t="shared" si="96"/>
        <v>2.8560597555843531E-3</v>
      </c>
      <c r="O116" s="140">
        <f t="shared" si="96"/>
        <v>2.8675599608704513E-3</v>
      </c>
      <c r="P116" s="140">
        <f t="shared" si="96"/>
        <v>3.0821946063731183E-3</v>
      </c>
      <c r="Q116" s="140">
        <f t="shared" si="96"/>
        <v>3.1872421214510171E-3</v>
      </c>
      <c r="R116" s="140">
        <f t="shared" si="94"/>
        <v>3.0097967788331563E-3</v>
      </c>
      <c r="S116" s="140">
        <f t="shared" si="94"/>
        <v>3.0644915554659661E-3</v>
      </c>
      <c r="T116" s="140">
        <f t="shared" si="94"/>
        <v>3.7313587074131235E-3</v>
      </c>
      <c r="U116" s="140">
        <f t="shared" si="94"/>
        <v>3.486980374036578E-3</v>
      </c>
      <c r="V116" s="140">
        <f t="shared" si="94"/>
        <v>3.6099924932637686E-3</v>
      </c>
      <c r="W116" s="140">
        <f t="shared" si="95"/>
        <v>3.7891994124109054E-3</v>
      </c>
      <c r="X116" s="140">
        <f t="shared" si="95"/>
        <v>2.7321771542010926E-3</v>
      </c>
      <c r="Y116" s="140">
        <f t="shared" si="95"/>
        <v>2.6742696545179294E-3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1.973353023525632E-2</v>
      </c>
      <c r="C117" s="140">
        <f t="shared" si="97"/>
        <v>1.8948934063198822E-2</v>
      </c>
      <c r="D117" s="140">
        <f t="shared" si="97"/>
        <v>1.5402171758393429E-2</v>
      </c>
      <c r="E117" s="140">
        <f t="shared" si="97"/>
        <v>1.8649082795596583E-2</v>
      </c>
      <c r="F117" s="140">
        <f t="shared" si="97"/>
        <v>1.9086235475879589E-2</v>
      </c>
      <c r="G117" s="140">
        <f t="shared" si="97"/>
        <v>1.8225388918955334E-2</v>
      </c>
      <c r="H117" s="140">
        <f t="shared" si="97"/>
        <v>2.5352577274116564E-2</v>
      </c>
      <c r="I117" s="140">
        <f t="shared" si="97"/>
        <v>3.281587156827652E-2</v>
      </c>
      <c r="J117" s="140">
        <f t="shared" si="97"/>
        <v>3.6158435517361413E-2</v>
      </c>
      <c r="K117" s="140">
        <f t="shared" si="97"/>
        <v>3.1727891167042402E-2</v>
      </c>
      <c r="L117" s="140">
        <f t="shared" si="97"/>
        <v>3.8461622830148229E-2</v>
      </c>
      <c r="M117" s="140">
        <f t="shared" si="97"/>
        <v>4.102219910298021E-2</v>
      </c>
      <c r="N117" s="140">
        <f t="shared" si="97"/>
        <v>3.1211409204544321E-2</v>
      </c>
      <c r="O117" s="140">
        <f t="shared" si="97"/>
        <v>2.8193458813414111E-2</v>
      </c>
      <c r="P117" s="140">
        <f t="shared" si="97"/>
        <v>3.0444275753544393E-2</v>
      </c>
      <c r="Q117" s="140">
        <f t="shared" si="97"/>
        <v>3.6845704143406613E-2</v>
      </c>
      <c r="R117" s="140">
        <f t="shared" ref="R117:V120" si="98">IF(R25=0,0,R25/R$17)</f>
        <v>3.3045769828660698E-2</v>
      </c>
      <c r="S117" s="140">
        <f t="shared" si="98"/>
        <v>3.9707734842787959E-2</v>
      </c>
      <c r="T117" s="140">
        <f t="shared" si="98"/>
        <v>5.0376350089480736E-2</v>
      </c>
      <c r="U117" s="140">
        <f t="shared" si="98"/>
        <v>4.6207651840679001E-2</v>
      </c>
      <c r="V117" s="140">
        <f t="shared" si="98"/>
        <v>5.619429514359537E-2</v>
      </c>
      <c r="W117" s="140">
        <f t="shared" si="95"/>
        <v>6.7385041193258111E-2</v>
      </c>
      <c r="X117" s="140">
        <f t="shared" si="95"/>
        <v>6.9696058474990732E-2</v>
      </c>
      <c r="Y117" s="140">
        <f t="shared" si="95"/>
        <v>5.9201108711326209E-2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0.13197542808720361</v>
      </c>
      <c r="C118" s="124">
        <f t="shared" si="99"/>
        <v>0.13435997507296307</v>
      </c>
      <c r="D118" s="124">
        <f t="shared" si="99"/>
        <v>0.13739469802634688</v>
      </c>
      <c r="E118" s="124">
        <f t="shared" si="99"/>
        <v>0.13995609931441683</v>
      </c>
      <c r="F118" s="124">
        <f t="shared" si="99"/>
        <v>0.13251600567672869</v>
      </c>
      <c r="G118" s="124">
        <f t="shared" si="99"/>
        <v>0.13383863151506778</v>
      </c>
      <c r="H118" s="124">
        <f t="shared" si="99"/>
        <v>0.13421930348960442</v>
      </c>
      <c r="I118" s="124">
        <f t="shared" si="99"/>
        <v>0.13149835007795307</v>
      </c>
      <c r="J118" s="124">
        <f t="shared" si="99"/>
        <v>0.13243466647542806</v>
      </c>
      <c r="K118" s="124">
        <f t="shared" si="99"/>
        <v>0.11942608884753024</v>
      </c>
      <c r="L118" s="124">
        <f t="shared" si="99"/>
        <v>0.14076474462210214</v>
      </c>
      <c r="M118" s="124">
        <f t="shared" si="99"/>
        <v>0.14191617119459571</v>
      </c>
      <c r="N118" s="124">
        <f t="shared" si="99"/>
        <v>0.14237263287524074</v>
      </c>
      <c r="O118" s="124">
        <f t="shared" si="99"/>
        <v>0.14044968845517014</v>
      </c>
      <c r="P118" s="124">
        <f t="shared" si="99"/>
        <v>0.13988020469346044</v>
      </c>
      <c r="Q118" s="124">
        <f t="shared" si="99"/>
        <v>0.13390799412366614</v>
      </c>
      <c r="R118" s="124">
        <f t="shared" si="98"/>
        <v>0.12428354927246968</v>
      </c>
      <c r="S118" s="124">
        <f t="shared" si="98"/>
        <v>0.13878411402682397</v>
      </c>
      <c r="T118" s="124">
        <f t="shared" si="98"/>
        <v>0.10713455443189947</v>
      </c>
      <c r="U118" s="124">
        <f t="shared" si="98"/>
        <v>9.9278736667896397E-2</v>
      </c>
      <c r="V118" s="124">
        <f t="shared" si="98"/>
        <v>9.6570253205930379E-2</v>
      </c>
      <c r="W118" s="124">
        <f t="shared" si="95"/>
        <v>0.10252400507767806</v>
      </c>
      <c r="X118" s="124">
        <f t="shared" si="95"/>
        <v>0.10181493214244189</v>
      </c>
      <c r="Y118" s="124">
        <f t="shared" si="95"/>
        <v>9.4582847840398485E-2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4.9608733906432055E-3</v>
      </c>
      <c r="C119" s="140">
        <f t="shared" si="100"/>
        <v>4.2632468409136877E-3</v>
      </c>
      <c r="D119" s="140">
        <f t="shared" si="100"/>
        <v>3.5581651647490424E-3</v>
      </c>
      <c r="E119" s="140">
        <f t="shared" si="100"/>
        <v>3.3755962604723657E-3</v>
      </c>
      <c r="F119" s="140">
        <f t="shared" si="100"/>
        <v>2.3432949317004213E-3</v>
      </c>
      <c r="G119" s="140">
        <f t="shared" si="100"/>
        <v>4.1642052111633687E-3</v>
      </c>
      <c r="H119" s="140">
        <f t="shared" si="100"/>
        <v>4.8011827328908723E-3</v>
      </c>
      <c r="I119" s="140">
        <f t="shared" si="100"/>
        <v>5.4190173940286751E-3</v>
      </c>
      <c r="J119" s="140">
        <f t="shared" si="100"/>
        <v>5.519545295285146E-3</v>
      </c>
      <c r="K119" s="140">
        <f t="shared" si="100"/>
        <v>3.8666037397499559E-3</v>
      </c>
      <c r="L119" s="140">
        <f t="shared" si="100"/>
        <v>3.8912221889180008E-3</v>
      </c>
      <c r="M119" s="140">
        <f t="shared" si="100"/>
        <v>3.0573115457629657E-3</v>
      </c>
      <c r="N119" s="140">
        <f t="shared" si="100"/>
        <v>2.7544707132405666E-3</v>
      </c>
      <c r="O119" s="140">
        <f t="shared" si="100"/>
        <v>2.5944580464126133E-3</v>
      </c>
      <c r="P119" s="140">
        <f t="shared" si="100"/>
        <v>2.5042747388106502E-3</v>
      </c>
      <c r="Q119" s="140">
        <f t="shared" si="100"/>
        <v>2.3589372835009061E-3</v>
      </c>
      <c r="R119" s="140">
        <f t="shared" si="98"/>
        <v>2.5634504938117264E-3</v>
      </c>
      <c r="S119" s="140">
        <f t="shared" si="98"/>
        <v>2.0353363752466697E-3</v>
      </c>
      <c r="T119" s="140">
        <f t="shared" si="98"/>
        <v>2.1602930087464937E-3</v>
      </c>
      <c r="U119" s="140">
        <f t="shared" si="98"/>
        <v>2.4039466057673023E-3</v>
      </c>
      <c r="V119" s="140">
        <f t="shared" si="98"/>
        <v>2.6349562803940478E-3</v>
      </c>
      <c r="W119" s="140">
        <f t="shared" si="95"/>
        <v>3.1840754841406345E-3</v>
      </c>
      <c r="X119" s="140">
        <f t="shared" si="95"/>
        <v>3.0348954236806241E-3</v>
      </c>
      <c r="Y119" s="140">
        <f t="shared" si="95"/>
        <v>2.5203354440285464E-3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0.12701455469656042</v>
      </c>
      <c r="C120" s="127">
        <f t="shared" si="101"/>
        <v>0.13009672823204937</v>
      </c>
      <c r="D120" s="127">
        <f t="shared" si="101"/>
        <v>0.13383653286159783</v>
      </c>
      <c r="E120" s="127">
        <f t="shared" si="101"/>
        <v>0.13658050305394442</v>
      </c>
      <c r="F120" s="127">
        <f t="shared" si="101"/>
        <v>0.13017271074502829</v>
      </c>
      <c r="G120" s="127">
        <f t="shared" si="101"/>
        <v>0.12967442630390444</v>
      </c>
      <c r="H120" s="127">
        <f t="shared" si="101"/>
        <v>0.12941812075671355</v>
      </c>
      <c r="I120" s="127">
        <f t="shared" si="101"/>
        <v>0.12607933268392441</v>
      </c>
      <c r="J120" s="127">
        <f t="shared" si="101"/>
        <v>0.12691512118014295</v>
      </c>
      <c r="K120" s="127">
        <f t="shared" si="101"/>
        <v>0.11555948510778029</v>
      </c>
      <c r="L120" s="127">
        <f t="shared" si="101"/>
        <v>0.13687352243318415</v>
      </c>
      <c r="M120" s="127">
        <f t="shared" si="101"/>
        <v>0.13885885964883274</v>
      </c>
      <c r="N120" s="127">
        <f t="shared" si="101"/>
        <v>0.13961816216200018</v>
      </c>
      <c r="O120" s="127">
        <f t="shared" si="101"/>
        <v>0.13785523040875752</v>
      </c>
      <c r="P120" s="127">
        <f t="shared" si="101"/>
        <v>0.13737592995464981</v>
      </c>
      <c r="Q120" s="127">
        <f t="shared" si="101"/>
        <v>0.13154905684016521</v>
      </c>
      <c r="R120" s="127">
        <f t="shared" si="98"/>
        <v>0.12172009877865794</v>
      </c>
      <c r="S120" s="127">
        <f t="shared" si="98"/>
        <v>0.13674877765157731</v>
      </c>
      <c r="T120" s="127">
        <f t="shared" si="98"/>
        <v>0.10497426142315297</v>
      </c>
      <c r="U120" s="127">
        <f t="shared" si="98"/>
        <v>9.6874790062129082E-2</v>
      </c>
      <c r="V120" s="127">
        <f t="shared" si="98"/>
        <v>9.393529692553633E-2</v>
      </c>
      <c r="W120" s="127">
        <f t="shared" si="95"/>
        <v>9.9339929593537421E-2</v>
      </c>
      <c r="X120" s="127">
        <f t="shared" si="95"/>
        <v>9.878003671876126E-2</v>
      </c>
      <c r="Y120" s="127">
        <f t="shared" si="95"/>
        <v>9.2062512396369936E-2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9.1605773466885643E-2</v>
      </c>
      <c r="C122" s="140">
        <f t="shared" si="103"/>
        <v>9.520337942863133E-2</v>
      </c>
      <c r="D122" s="140">
        <f t="shared" si="103"/>
        <v>8.7117859138074655E-2</v>
      </c>
      <c r="E122" s="140">
        <f t="shared" si="103"/>
        <v>8.675714909617957E-2</v>
      </c>
      <c r="F122" s="140">
        <f t="shared" si="103"/>
        <v>7.3893930898111804E-2</v>
      </c>
      <c r="G122" s="140">
        <f t="shared" si="103"/>
        <v>6.3450899371221128E-2</v>
      </c>
      <c r="H122" s="140">
        <f t="shared" si="103"/>
        <v>6.1417126787908768E-2</v>
      </c>
      <c r="I122" s="140">
        <f t="shared" si="103"/>
        <v>5.8767315997912968E-2</v>
      </c>
      <c r="J122" s="140">
        <f t="shared" si="103"/>
        <v>5.7811002901806623E-2</v>
      </c>
      <c r="K122" s="140">
        <f t="shared" si="103"/>
        <v>5.6970776004197546E-2</v>
      </c>
      <c r="L122" s="140">
        <f t="shared" si="103"/>
        <v>6.3357790643476228E-2</v>
      </c>
      <c r="M122" s="140">
        <f t="shared" si="103"/>
        <v>5.7173598488949852E-2</v>
      </c>
      <c r="N122" s="140">
        <f t="shared" si="103"/>
        <v>6.3655286610514047E-2</v>
      </c>
      <c r="O122" s="140">
        <f t="shared" si="103"/>
        <v>6.7309241828344468E-2</v>
      </c>
      <c r="P122" s="140">
        <f t="shared" si="103"/>
        <v>7.0767212933042223E-2</v>
      </c>
      <c r="Q122" s="140">
        <f t="shared" si="103"/>
        <v>7.5236601240393747E-2</v>
      </c>
      <c r="R122" s="140">
        <f t="shared" si="103"/>
        <v>9.1969915880678987E-2</v>
      </c>
      <c r="S122" s="140">
        <f t="shared" si="103"/>
        <v>8.0114507350013492E-2</v>
      </c>
      <c r="T122" s="140">
        <f t="shared" si="103"/>
        <v>7.3804472206528679E-2</v>
      </c>
      <c r="U122" s="140">
        <f t="shared" si="103"/>
        <v>7.6972531775843053E-2</v>
      </c>
      <c r="V122" s="140">
        <f t="shared" si="103"/>
        <v>7.8582681981630098E-2</v>
      </c>
      <c r="W122" s="140">
        <f t="shared" si="103"/>
        <v>7.8852127408262335E-2</v>
      </c>
      <c r="X122" s="140">
        <f t="shared" si="103"/>
        <v>8.055154523637785E-2</v>
      </c>
      <c r="Y122" s="140">
        <f t="shared" si="103"/>
        <v>9.0960419959461913E-2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0.90839422653311441</v>
      </c>
      <c r="C123" s="127">
        <f t="shared" si="104"/>
        <v>0.90479662057136867</v>
      </c>
      <c r="D123" s="127">
        <f t="shared" si="104"/>
        <v>0.91288214086192532</v>
      </c>
      <c r="E123" s="127">
        <f t="shared" si="104"/>
        <v>0.91324285090382051</v>
      </c>
      <c r="F123" s="127">
        <f t="shared" si="104"/>
        <v>0.9261060691018882</v>
      </c>
      <c r="G123" s="127">
        <f t="shared" si="104"/>
        <v>0.93654910062877883</v>
      </c>
      <c r="H123" s="127">
        <f t="shared" si="104"/>
        <v>0.93858287321209122</v>
      </c>
      <c r="I123" s="127">
        <f t="shared" si="104"/>
        <v>0.94123268400208704</v>
      </c>
      <c r="J123" s="127">
        <f t="shared" si="104"/>
        <v>0.94218899709819337</v>
      </c>
      <c r="K123" s="127">
        <f t="shared" si="104"/>
        <v>0.94302922399580236</v>
      </c>
      <c r="L123" s="127">
        <f t="shared" si="104"/>
        <v>0.93664220935652387</v>
      </c>
      <c r="M123" s="127">
        <f t="shared" si="104"/>
        <v>0.94282640151105013</v>
      </c>
      <c r="N123" s="127">
        <f t="shared" si="104"/>
        <v>0.93634471338948588</v>
      </c>
      <c r="O123" s="127">
        <f t="shared" si="104"/>
        <v>0.93269075817165559</v>
      </c>
      <c r="P123" s="127">
        <f t="shared" si="104"/>
        <v>0.92923278706695778</v>
      </c>
      <c r="Q123" s="127">
        <f t="shared" si="104"/>
        <v>0.92476339875960623</v>
      </c>
      <c r="R123" s="127">
        <f t="shared" si="104"/>
        <v>0.90803008411932096</v>
      </c>
      <c r="S123" s="127">
        <f t="shared" si="104"/>
        <v>0.91988549264998654</v>
      </c>
      <c r="T123" s="127">
        <f t="shared" si="104"/>
        <v>0.92619552779347136</v>
      </c>
      <c r="U123" s="127">
        <f t="shared" si="104"/>
        <v>0.92302746822415693</v>
      </c>
      <c r="V123" s="127">
        <f t="shared" si="104"/>
        <v>0.92141731801836979</v>
      </c>
      <c r="W123" s="127">
        <f t="shared" si="104"/>
        <v>0.92114787259173769</v>
      </c>
      <c r="X123" s="127">
        <f t="shared" si="104"/>
        <v>0.91944845476362214</v>
      </c>
      <c r="Y123" s="127">
        <f t="shared" si="104"/>
        <v>0.9090395800405382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0.79715199880411025</v>
      </c>
      <c r="C127" s="139">
        <f t="shared" ref="C127:Y127" si="107">IF(C35=0,0,C35/C$34)</f>
        <v>0.81135273296003718</v>
      </c>
      <c r="D127" s="139">
        <f t="shared" si="107"/>
        <v>0.83815686840883119</v>
      </c>
      <c r="E127" s="139">
        <f t="shared" si="107"/>
        <v>0.83324514896058821</v>
      </c>
      <c r="F127" s="139">
        <f t="shared" si="107"/>
        <v>0.8366726673991447</v>
      </c>
      <c r="G127" s="139">
        <f t="shared" si="107"/>
        <v>0.8389467724875318</v>
      </c>
      <c r="H127" s="139">
        <f t="shared" si="107"/>
        <v>0.84640002693184435</v>
      </c>
      <c r="I127" s="139">
        <f t="shared" si="107"/>
        <v>0.84480017140629371</v>
      </c>
      <c r="J127" s="139">
        <f t="shared" si="107"/>
        <v>0.832457347681967</v>
      </c>
      <c r="K127" s="139">
        <f t="shared" si="107"/>
        <v>0.83540637335727963</v>
      </c>
      <c r="L127" s="139">
        <f t="shared" si="107"/>
        <v>0.82997590472148985</v>
      </c>
      <c r="M127" s="139">
        <f t="shared" si="107"/>
        <v>0.81877129633594048</v>
      </c>
      <c r="N127" s="139">
        <f t="shared" si="107"/>
        <v>0.8221136740940943</v>
      </c>
      <c r="O127" s="139">
        <f t="shared" si="107"/>
        <v>0.82448616894330207</v>
      </c>
      <c r="P127" s="139">
        <f t="shared" si="107"/>
        <v>0.82151906849330159</v>
      </c>
      <c r="Q127" s="139">
        <f t="shared" si="107"/>
        <v>0.8173759540147989</v>
      </c>
      <c r="R127" s="139">
        <f t="shared" si="107"/>
        <v>0.81298610919392245</v>
      </c>
      <c r="S127" s="139">
        <f t="shared" si="107"/>
        <v>0.79448741071176687</v>
      </c>
      <c r="T127" s="139">
        <f t="shared" si="107"/>
        <v>0.7858139528616499</v>
      </c>
      <c r="U127" s="139">
        <f t="shared" si="107"/>
        <v>0.78034363243195137</v>
      </c>
      <c r="V127" s="139">
        <f t="shared" si="107"/>
        <v>0.86508648450616865</v>
      </c>
      <c r="W127" s="139">
        <f t="shared" si="107"/>
        <v>0.83724705258898158</v>
      </c>
      <c r="X127" s="139">
        <f t="shared" si="107"/>
        <v>0.79037748189694101</v>
      </c>
      <c r="Y127" s="139">
        <f t="shared" si="107"/>
        <v>0.78616482577196878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8.4913466502528241E-3</v>
      </c>
      <c r="C128" s="140">
        <f t="shared" ref="C128:Y128" si="108">IF(C36=0,0,C36/C$34)</f>
        <v>8.8336455644851541E-3</v>
      </c>
      <c r="D128" s="140">
        <f t="shared" si="108"/>
        <v>9.6499371426250168E-3</v>
      </c>
      <c r="E128" s="140">
        <f t="shared" si="108"/>
        <v>9.6883588934066761E-3</v>
      </c>
      <c r="F128" s="140">
        <f t="shared" si="108"/>
        <v>9.6938636301918055E-3</v>
      </c>
      <c r="G128" s="140">
        <f t="shared" si="108"/>
        <v>9.6862077014110686E-3</v>
      </c>
      <c r="H128" s="140">
        <f t="shared" si="108"/>
        <v>9.8549421766005244E-3</v>
      </c>
      <c r="I128" s="140">
        <f t="shared" si="108"/>
        <v>9.8115732218930374E-3</v>
      </c>
      <c r="J128" s="140">
        <f t="shared" si="108"/>
        <v>9.3971950289100711E-3</v>
      </c>
      <c r="K128" s="140">
        <f t="shared" si="108"/>
        <v>9.1599500301239103E-3</v>
      </c>
      <c r="L128" s="140">
        <f t="shared" si="108"/>
        <v>8.696259780500145E-3</v>
      </c>
      <c r="M128" s="140">
        <f t="shared" si="108"/>
        <v>8.5677486275653591E-3</v>
      </c>
      <c r="N128" s="140">
        <f t="shared" si="108"/>
        <v>8.4385015397399742E-3</v>
      </c>
      <c r="O128" s="140">
        <f t="shared" si="108"/>
        <v>8.2544839344415814E-3</v>
      </c>
      <c r="P128" s="140">
        <f t="shared" si="108"/>
        <v>8.3939864824525302E-3</v>
      </c>
      <c r="Q128" s="140">
        <f t="shared" si="108"/>
        <v>8.0135779229072845E-3</v>
      </c>
      <c r="R128" s="140">
        <f t="shared" si="108"/>
        <v>7.8847153758632525E-3</v>
      </c>
      <c r="S128" s="140">
        <f t="shared" si="108"/>
        <v>7.6529032837850995E-3</v>
      </c>
      <c r="T128" s="140">
        <f t="shared" si="108"/>
        <v>7.2727783961168014E-3</v>
      </c>
      <c r="U128" s="140">
        <f t="shared" si="108"/>
        <v>7.767201407199561E-3</v>
      </c>
      <c r="V128" s="140">
        <f t="shared" si="108"/>
        <v>8.7600793406873226E-3</v>
      </c>
      <c r="W128" s="140">
        <f t="shared" si="108"/>
        <v>8.6517946272397141E-3</v>
      </c>
      <c r="X128" s="140">
        <f t="shared" si="108"/>
        <v>8.0603720870044797E-3</v>
      </c>
      <c r="Y128" s="140">
        <f t="shared" si="108"/>
        <v>8.5435741840820464E-3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0.73317448271789187</v>
      </c>
      <c r="C129" s="140">
        <f t="shared" ref="C129:Y129" si="109">IF(C37=0,0,C37/C$34)</f>
        <v>0.74725163164674235</v>
      </c>
      <c r="D129" s="140">
        <f t="shared" si="109"/>
        <v>0.77165015384059743</v>
      </c>
      <c r="E129" s="140">
        <f t="shared" si="109"/>
        <v>0.76811770147614733</v>
      </c>
      <c r="F129" s="140">
        <f t="shared" si="109"/>
        <v>0.77166825333367906</v>
      </c>
      <c r="G129" s="140">
        <f t="shared" si="109"/>
        <v>0.77255259470387283</v>
      </c>
      <c r="H129" s="140">
        <f t="shared" si="109"/>
        <v>0.78163661670273221</v>
      </c>
      <c r="I129" s="140">
        <f t="shared" si="109"/>
        <v>0.7825111680492407</v>
      </c>
      <c r="J129" s="140">
        <f t="shared" si="109"/>
        <v>0.77128289023876018</v>
      </c>
      <c r="K129" s="140">
        <f t="shared" si="109"/>
        <v>0.77522905861165203</v>
      </c>
      <c r="L129" s="140">
        <f t="shared" si="109"/>
        <v>0.77020776128863899</v>
      </c>
      <c r="M129" s="140">
        <f t="shared" si="109"/>
        <v>0.76087909126498787</v>
      </c>
      <c r="N129" s="140">
        <f t="shared" si="109"/>
        <v>0.76431154484039199</v>
      </c>
      <c r="O129" s="140">
        <f t="shared" si="109"/>
        <v>0.7651841209404151</v>
      </c>
      <c r="P129" s="140">
        <f t="shared" si="109"/>
        <v>0.76221988193453616</v>
      </c>
      <c r="Q129" s="140">
        <f t="shared" si="109"/>
        <v>0.7579697876678575</v>
      </c>
      <c r="R129" s="140">
        <f t="shared" si="109"/>
        <v>0.75451829074780119</v>
      </c>
      <c r="S129" s="140">
        <f t="shared" si="109"/>
        <v>0.7344046111734378</v>
      </c>
      <c r="T129" s="140">
        <f t="shared" si="109"/>
        <v>0.72454991232546184</v>
      </c>
      <c r="U129" s="140">
        <f t="shared" si="109"/>
        <v>0.71840172625061904</v>
      </c>
      <c r="V129" s="140">
        <f t="shared" si="109"/>
        <v>0.78672647163475751</v>
      </c>
      <c r="W129" s="140">
        <f t="shared" si="109"/>
        <v>0.76384956398896831</v>
      </c>
      <c r="X129" s="140">
        <f t="shared" si="109"/>
        <v>0.72355203367518484</v>
      </c>
      <c r="Y129" s="140">
        <f t="shared" si="109"/>
        <v>0.72023798912950965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5.548616943596546E-2</v>
      </c>
      <c r="C130" s="140">
        <f t="shared" ref="C130:Y130" si="110">IF(C38=0,0,C38/C$34)</f>
        <v>5.5267455748809646E-2</v>
      </c>
      <c r="D130" s="140">
        <f t="shared" si="110"/>
        <v>5.6856777425608761E-2</v>
      </c>
      <c r="E130" s="140">
        <f t="shared" si="110"/>
        <v>5.5439088591034323E-2</v>
      </c>
      <c r="F130" s="140">
        <f t="shared" si="110"/>
        <v>5.5310550435273914E-2</v>
      </c>
      <c r="G130" s="140">
        <f t="shared" si="110"/>
        <v>5.6707970082247844E-2</v>
      </c>
      <c r="H130" s="140">
        <f t="shared" si="110"/>
        <v>5.4908468052511483E-2</v>
      </c>
      <c r="I130" s="140">
        <f t="shared" si="110"/>
        <v>5.2477430135159896E-2</v>
      </c>
      <c r="J130" s="140">
        <f t="shared" si="110"/>
        <v>5.1777262414296817E-2</v>
      </c>
      <c r="K130" s="140">
        <f t="shared" si="110"/>
        <v>5.1017364715503631E-2</v>
      </c>
      <c r="L130" s="140">
        <f t="shared" si="110"/>
        <v>5.10718836523507E-2</v>
      </c>
      <c r="M130" s="140">
        <f t="shared" si="110"/>
        <v>4.9324456443387302E-2</v>
      </c>
      <c r="N130" s="140">
        <f t="shared" si="110"/>
        <v>4.9363627713962306E-2</v>
      </c>
      <c r="O130" s="140">
        <f t="shared" si="110"/>
        <v>5.1047564068445427E-2</v>
      </c>
      <c r="P130" s="140">
        <f t="shared" si="110"/>
        <v>5.0905200076312815E-2</v>
      </c>
      <c r="Q130" s="140">
        <f t="shared" si="110"/>
        <v>5.1392588424034095E-2</v>
      </c>
      <c r="R130" s="140">
        <f t="shared" si="110"/>
        <v>5.0583103070258144E-2</v>
      </c>
      <c r="S130" s="140">
        <f t="shared" si="110"/>
        <v>5.2429896254543931E-2</v>
      </c>
      <c r="T130" s="140">
        <f t="shared" si="110"/>
        <v>5.3991262140071279E-2</v>
      </c>
      <c r="U130" s="140">
        <f t="shared" si="110"/>
        <v>5.4174704774132866E-2</v>
      </c>
      <c r="V130" s="140">
        <f t="shared" si="110"/>
        <v>6.9599933530723773E-2</v>
      </c>
      <c r="W130" s="140">
        <f t="shared" si="110"/>
        <v>6.4745693972773466E-2</v>
      </c>
      <c r="X130" s="140">
        <f t="shared" si="110"/>
        <v>5.8765076134751681E-2</v>
      </c>
      <c r="Y130" s="140">
        <f t="shared" si="110"/>
        <v>5.7383262458377181E-2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1.7347258655621544E-2</v>
      </c>
      <c r="C131" s="124">
        <f t="shared" ref="C131:Y131" si="111">IF(C39=0,0,C39/C$34)</f>
        <v>1.771155308286906E-2</v>
      </c>
      <c r="D131" s="124">
        <f t="shared" si="111"/>
        <v>1.8459120550667424E-2</v>
      </c>
      <c r="E131" s="124">
        <f t="shared" si="111"/>
        <v>1.8554343213982985E-2</v>
      </c>
      <c r="F131" s="124">
        <f t="shared" si="111"/>
        <v>1.9632117107464431E-2</v>
      </c>
      <c r="G131" s="124">
        <f t="shared" si="111"/>
        <v>2.024610117087048E-2</v>
      </c>
      <c r="H131" s="124">
        <f t="shared" si="111"/>
        <v>2.1237476461894788E-2</v>
      </c>
      <c r="I131" s="124">
        <f t="shared" si="111"/>
        <v>2.0488852249550642E-2</v>
      </c>
      <c r="J131" s="124">
        <f t="shared" si="111"/>
        <v>2.0463321887739947E-2</v>
      </c>
      <c r="K131" s="124">
        <f t="shared" si="111"/>
        <v>2.0196907807320245E-2</v>
      </c>
      <c r="L131" s="124">
        <f t="shared" si="111"/>
        <v>2.0314276854843171E-2</v>
      </c>
      <c r="M131" s="124">
        <f t="shared" si="111"/>
        <v>1.9539667069213042E-2</v>
      </c>
      <c r="N131" s="124">
        <f t="shared" si="111"/>
        <v>1.9554880061195528E-2</v>
      </c>
      <c r="O131" s="124">
        <f t="shared" si="111"/>
        <v>1.967776144407021E-2</v>
      </c>
      <c r="P131" s="124">
        <f t="shared" si="111"/>
        <v>1.7666415178285804E-2</v>
      </c>
      <c r="Q131" s="124">
        <f t="shared" si="111"/>
        <v>1.7500919194341977E-2</v>
      </c>
      <c r="R131" s="124">
        <f t="shared" si="111"/>
        <v>1.7695835398654068E-2</v>
      </c>
      <c r="S131" s="124">
        <f t="shared" si="111"/>
        <v>1.8336372927000331E-2</v>
      </c>
      <c r="T131" s="124">
        <f t="shared" si="111"/>
        <v>1.7025219078101412E-2</v>
      </c>
      <c r="U131" s="124">
        <f t="shared" si="111"/>
        <v>1.6916963326791698E-2</v>
      </c>
      <c r="V131" s="124">
        <f t="shared" si="111"/>
        <v>1.871602986120114E-2</v>
      </c>
      <c r="W131" s="124">
        <f t="shared" si="111"/>
        <v>1.7501406822939183E-2</v>
      </c>
      <c r="X131" s="124">
        <f t="shared" si="111"/>
        <v>1.8651315854905821E-2</v>
      </c>
      <c r="Y131" s="124">
        <f t="shared" si="111"/>
        <v>1.8842135114978453E-2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7.4307003592935592E-4</v>
      </c>
      <c r="C132" s="140">
        <f t="shared" ref="C132:Y132" si="112">IF(C40=0,0,C40/C$34)</f>
        <v>7.3351575857864783E-4</v>
      </c>
      <c r="D132" s="140">
        <f t="shared" si="112"/>
        <v>7.665521605833707E-4</v>
      </c>
      <c r="E132" s="140">
        <f t="shared" si="112"/>
        <v>7.5258017049633003E-4</v>
      </c>
      <c r="F132" s="140">
        <f t="shared" si="112"/>
        <v>7.3119309201153564E-4</v>
      </c>
      <c r="G132" s="140">
        <f t="shared" si="112"/>
        <v>7.9079573063006129E-4</v>
      </c>
      <c r="H132" s="140">
        <f t="shared" si="112"/>
        <v>7.8832190615719499E-4</v>
      </c>
      <c r="I132" s="140">
        <f t="shared" si="112"/>
        <v>7.5723105514064522E-4</v>
      </c>
      <c r="J132" s="140">
        <f t="shared" si="112"/>
        <v>7.3341167643304857E-4</v>
      </c>
      <c r="K132" s="140">
        <f t="shared" si="112"/>
        <v>7.3278834983252846E-4</v>
      </c>
      <c r="L132" s="140">
        <f t="shared" si="112"/>
        <v>7.7514296246119943E-4</v>
      </c>
      <c r="M132" s="140">
        <f t="shared" si="112"/>
        <v>8.0765788936353012E-4</v>
      </c>
      <c r="N132" s="140">
        <f t="shared" si="112"/>
        <v>8.9317266671422768E-4</v>
      </c>
      <c r="O132" s="140">
        <f t="shared" si="112"/>
        <v>9.241526526640371E-4</v>
      </c>
      <c r="P132" s="140">
        <f t="shared" si="112"/>
        <v>8.808580256319796E-4</v>
      </c>
      <c r="Q132" s="140">
        <f t="shared" si="112"/>
        <v>8.5567223199542464E-4</v>
      </c>
      <c r="R132" s="140">
        <f t="shared" si="112"/>
        <v>8.7310692812920729E-4</v>
      </c>
      <c r="S132" s="140">
        <f t="shared" si="112"/>
        <v>9.7089169851933492E-4</v>
      </c>
      <c r="T132" s="140">
        <f t="shared" si="112"/>
        <v>9.8643449024598444E-4</v>
      </c>
      <c r="U132" s="140">
        <f t="shared" si="112"/>
        <v>1.0203081988919642E-3</v>
      </c>
      <c r="V132" s="140">
        <f t="shared" si="112"/>
        <v>8.6048097930846923E-4</v>
      </c>
      <c r="W132" s="140">
        <f t="shared" si="112"/>
        <v>7.3887123642051304E-4</v>
      </c>
      <c r="X132" s="140">
        <f t="shared" si="112"/>
        <v>8.778840911954312E-4</v>
      </c>
      <c r="Y132" s="140">
        <f t="shared" si="112"/>
        <v>9.4887953036773109E-4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1.551094260037009E-2</v>
      </c>
      <c r="C133" s="140">
        <f t="shared" ref="C133:Y133" si="113">IF(C41=0,0,C41/C$34)</f>
        <v>1.5855580864964108E-2</v>
      </c>
      <c r="D133" s="140">
        <f t="shared" si="113"/>
        <v>1.6497806614970818E-2</v>
      </c>
      <c r="E133" s="140">
        <f t="shared" si="113"/>
        <v>1.6676192421493024E-2</v>
      </c>
      <c r="F133" s="140">
        <f t="shared" si="113"/>
        <v>1.7704120326199318E-2</v>
      </c>
      <c r="G133" s="140">
        <f t="shared" si="113"/>
        <v>1.8168988952008538E-2</v>
      </c>
      <c r="H133" s="140">
        <f t="shared" si="113"/>
        <v>1.9181961810554701E-2</v>
      </c>
      <c r="I133" s="140">
        <f t="shared" si="113"/>
        <v>1.8505023580290682E-2</v>
      </c>
      <c r="J133" s="140">
        <f t="shared" si="113"/>
        <v>1.8472228063287389E-2</v>
      </c>
      <c r="K133" s="140">
        <f t="shared" si="113"/>
        <v>1.8240762820615181E-2</v>
      </c>
      <c r="L133" s="140">
        <f t="shared" si="113"/>
        <v>1.8333852833116795E-2</v>
      </c>
      <c r="M133" s="140">
        <f t="shared" si="113"/>
        <v>1.7714454715577369E-2</v>
      </c>
      <c r="N133" s="140">
        <f t="shared" si="113"/>
        <v>1.7617462709949506E-2</v>
      </c>
      <c r="O133" s="140">
        <f t="shared" si="113"/>
        <v>1.768485642328501E-2</v>
      </c>
      <c r="P133" s="140">
        <f t="shared" si="113"/>
        <v>1.5749637912186976E-2</v>
      </c>
      <c r="Q133" s="140">
        <f t="shared" si="113"/>
        <v>1.5356868542302313E-2</v>
      </c>
      <c r="R133" s="140">
        <f t="shared" si="113"/>
        <v>1.5225747292291343E-2</v>
      </c>
      <c r="S133" s="140">
        <f t="shared" si="113"/>
        <v>1.5706261487195596E-2</v>
      </c>
      <c r="T133" s="140">
        <f t="shared" si="113"/>
        <v>1.4418360048208272E-2</v>
      </c>
      <c r="U133" s="140">
        <f t="shared" si="113"/>
        <v>1.4293490682919106E-2</v>
      </c>
      <c r="V133" s="140">
        <f t="shared" si="113"/>
        <v>1.587883798747072E-2</v>
      </c>
      <c r="W133" s="140">
        <f t="shared" si="113"/>
        <v>1.4868108396001219E-2</v>
      </c>
      <c r="X133" s="140">
        <f t="shared" si="113"/>
        <v>1.6065424312176165E-2</v>
      </c>
      <c r="Y133" s="140">
        <f t="shared" si="113"/>
        <v>1.6226133196349721E-2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1.0932460193220968E-3</v>
      </c>
      <c r="C134" s="140">
        <f t="shared" ref="C134:Y134" si="114">IF(C42=0,0,C42/C$34)</f>
        <v>1.1224564593263061E-3</v>
      </c>
      <c r="D134" s="140">
        <f t="shared" si="114"/>
        <v>1.1947617751132341E-3</v>
      </c>
      <c r="E134" s="140">
        <f t="shared" si="114"/>
        <v>1.1255706219936285E-3</v>
      </c>
      <c r="F134" s="140">
        <f t="shared" si="114"/>
        <v>1.1968036892535769E-3</v>
      </c>
      <c r="G134" s="140">
        <f t="shared" si="114"/>
        <v>1.2863164882318783E-3</v>
      </c>
      <c r="H134" s="140">
        <f t="shared" si="114"/>
        <v>1.267192745182889E-3</v>
      </c>
      <c r="I134" s="140">
        <f t="shared" si="114"/>
        <v>1.2265976141193164E-3</v>
      </c>
      <c r="J134" s="140">
        <f t="shared" si="114"/>
        <v>1.2576821480195109E-3</v>
      </c>
      <c r="K134" s="140">
        <f t="shared" si="114"/>
        <v>1.2233566368725351E-3</v>
      </c>
      <c r="L134" s="140">
        <f t="shared" si="114"/>
        <v>1.2052810592651771E-3</v>
      </c>
      <c r="M134" s="140">
        <f t="shared" si="114"/>
        <v>1.0175544642721417E-3</v>
      </c>
      <c r="N134" s="140">
        <f t="shared" si="114"/>
        <v>1.0442446845317938E-3</v>
      </c>
      <c r="O134" s="140">
        <f t="shared" si="114"/>
        <v>1.068752368121163E-3</v>
      </c>
      <c r="P134" s="140">
        <f t="shared" si="114"/>
        <v>1.0359192404668521E-3</v>
      </c>
      <c r="Q134" s="140">
        <f t="shared" si="114"/>
        <v>1.2883784200442361E-3</v>
      </c>
      <c r="R134" s="140">
        <f t="shared" si="114"/>
        <v>1.596981178233519E-3</v>
      </c>
      <c r="S134" s="140">
        <f t="shared" si="114"/>
        <v>1.6592197412853987E-3</v>
      </c>
      <c r="T134" s="140">
        <f t="shared" si="114"/>
        <v>1.6204245396471539E-3</v>
      </c>
      <c r="U134" s="140">
        <f t="shared" si="114"/>
        <v>1.6031644449806272E-3</v>
      </c>
      <c r="V134" s="140">
        <f t="shared" si="114"/>
        <v>1.9767108944219532E-3</v>
      </c>
      <c r="W134" s="140">
        <f t="shared" si="114"/>
        <v>1.8944271905174499E-3</v>
      </c>
      <c r="X134" s="140">
        <f t="shared" si="114"/>
        <v>1.7080074515342268E-3</v>
      </c>
      <c r="Y134" s="140">
        <f t="shared" si="114"/>
        <v>1.6671223882610015E-3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0.1855007425402681</v>
      </c>
      <c r="C135" s="124">
        <f t="shared" ref="C135:Y135" si="115">IF(C43=0,0,C43/C$34)</f>
        <v>0.17093571395709381</v>
      </c>
      <c r="D135" s="124">
        <f t="shared" si="115"/>
        <v>0.14338401104050141</v>
      </c>
      <c r="E135" s="124">
        <f t="shared" si="115"/>
        <v>0.14820050782542885</v>
      </c>
      <c r="F135" s="124">
        <f t="shared" si="115"/>
        <v>0.14369521549339082</v>
      </c>
      <c r="G135" s="124">
        <f t="shared" si="115"/>
        <v>0.1408071263415977</v>
      </c>
      <c r="H135" s="124">
        <f t="shared" si="115"/>
        <v>0.13236249660626095</v>
      </c>
      <c r="I135" s="124">
        <f t="shared" si="115"/>
        <v>0.13471097634415563</v>
      </c>
      <c r="J135" s="124">
        <f t="shared" si="115"/>
        <v>0.14707933043029306</v>
      </c>
      <c r="K135" s="124">
        <f t="shared" si="115"/>
        <v>0.14439671883540015</v>
      </c>
      <c r="L135" s="124">
        <f t="shared" si="115"/>
        <v>0.14970981842366698</v>
      </c>
      <c r="M135" s="124">
        <f t="shared" si="115"/>
        <v>0.1616890365948464</v>
      </c>
      <c r="N135" s="124">
        <f t="shared" si="115"/>
        <v>0.15833144584471004</v>
      </c>
      <c r="O135" s="124">
        <f t="shared" si="115"/>
        <v>0.15583606961262778</v>
      </c>
      <c r="P135" s="124">
        <f t="shared" si="115"/>
        <v>0.16081451632841251</v>
      </c>
      <c r="Q135" s="124">
        <f t="shared" si="115"/>
        <v>0.16512312679085908</v>
      </c>
      <c r="R135" s="124">
        <f t="shared" si="115"/>
        <v>0.16931805540742353</v>
      </c>
      <c r="S135" s="124">
        <f t="shared" si="115"/>
        <v>0.18717621636123274</v>
      </c>
      <c r="T135" s="124">
        <f t="shared" si="115"/>
        <v>0.19716082806024882</v>
      </c>
      <c r="U135" s="124">
        <f t="shared" si="115"/>
        <v>0.2027394042412568</v>
      </c>
      <c r="V135" s="124">
        <f t="shared" si="115"/>
        <v>0.11619748563263024</v>
      </c>
      <c r="W135" s="124">
        <f t="shared" si="115"/>
        <v>0.14525154058807929</v>
      </c>
      <c r="X135" s="124">
        <f t="shared" si="115"/>
        <v>0.19097120224815325</v>
      </c>
      <c r="Y135" s="124">
        <f t="shared" si="115"/>
        <v>0.19499303911305271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9.9983830945332045E-2</v>
      </c>
      <c r="C137" s="140">
        <f t="shared" ref="C137:Y137" si="117">IF(C45=0,0,C45/C$34)</f>
        <v>9.4219737666991127E-2</v>
      </c>
      <c r="D137" s="140">
        <f t="shared" si="117"/>
        <v>8.4201864813165078E-2</v>
      </c>
      <c r="E137" s="140">
        <f t="shared" si="117"/>
        <v>8.6057721687198788E-2</v>
      </c>
      <c r="F137" s="140">
        <f t="shared" si="117"/>
        <v>7.9565457139718729E-2</v>
      </c>
      <c r="G137" s="140">
        <f t="shared" si="117"/>
        <v>7.7953638765569738E-2</v>
      </c>
      <c r="H137" s="140">
        <f t="shared" si="117"/>
        <v>7.3978416578989611E-2</v>
      </c>
      <c r="I137" s="140">
        <f t="shared" si="117"/>
        <v>7.6339278443722888E-2</v>
      </c>
      <c r="J137" s="140">
        <f t="shared" si="117"/>
        <v>8.2066286539172945E-2</v>
      </c>
      <c r="K137" s="140">
        <f t="shared" si="117"/>
        <v>7.8229241058104887E-2</v>
      </c>
      <c r="L137" s="140">
        <f t="shared" si="117"/>
        <v>8.094706559201767E-2</v>
      </c>
      <c r="M137" s="140">
        <f t="shared" si="117"/>
        <v>8.7301354387606458E-2</v>
      </c>
      <c r="N137" s="140">
        <f t="shared" si="117"/>
        <v>8.4456702770510622E-2</v>
      </c>
      <c r="O137" s="140">
        <f t="shared" si="117"/>
        <v>8.2659043967523771E-2</v>
      </c>
      <c r="P137" s="140">
        <f t="shared" si="117"/>
        <v>8.5692543874075155E-2</v>
      </c>
      <c r="Q137" s="140">
        <f t="shared" si="117"/>
        <v>8.8574940989498085E-2</v>
      </c>
      <c r="R137" s="140">
        <f t="shared" si="117"/>
        <v>9.3076806706346327E-2</v>
      </c>
      <c r="S137" s="140">
        <f t="shared" si="117"/>
        <v>0.10481993424874246</v>
      </c>
      <c r="T137" s="140">
        <f t="shared" si="117"/>
        <v>0.10965822361747017</v>
      </c>
      <c r="U137" s="140">
        <f t="shared" si="117"/>
        <v>0.1101664742679543</v>
      </c>
      <c r="V137" s="140">
        <f t="shared" si="117"/>
        <v>5.751804366196564E-2</v>
      </c>
      <c r="W137" s="140">
        <f t="shared" si="117"/>
        <v>7.8149628428187082E-2</v>
      </c>
      <c r="X137" s="140">
        <f t="shared" si="117"/>
        <v>0.11011882007690893</v>
      </c>
      <c r="Y137" s="140">
        <f t="shared" si="117"/>
        <v>0.10980792063777249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8.5516911594936074E-2</v>
      </c>
      <c r="C138" s="140">
        <f t="shared" ref="C138:Y138" si="118">IF(C46=0,0,C46/C$34)</f>
        <v>7.6715976290102669E-2</v>
      </c>
      <c r="D138" s="140">
        <f t="shared" si="118"/>
        <v>5.9182146227336349E-2</v>
      </c>
      <c r="E138" s="140">
        <f t="shared" si="118"/>
        <v>6.2142786138230051E-2</v>
      </c>
      <c r="F138" s="140">
        <f t="shared" si="118"/>
        <v>6.4129758353672101E-2</v>
      </c>
      <c r="G138" s="140">
        <f t="shared" si="118"/>
        <v>6.2853487576027933E-2</v>
      </c>
      <c r="H138" s="140">
        <f t="shared" si="118"/>
        <v>5.8384080027271357E-2</v>
      </c>
      <c r="I138" s="140">
        <f t="shared" si="118"/>
        <v>5.8371697900432729E-2</v>
      </c>
      <c r="J138" s="140">
        <f t="shared" si="118"/>
        <v>6.5013043891120101E-2</v>
      </c>
      <c r="K138" s="140">
        <f t="shared" si="118"/>
        <v>6.6167477777295244E-2</v>
      </c>
      <c r="L138" s="140">
        <f t="shared" si="118"/>
        <v>6.8762752831649315E-2</v>
      </c>
      <c r="M138" s="140">
        <f t="shared" si="118"/>
        <v>7.4387682207239944E-2</v>
      </c>
      <c r="N138" s="140">
        <f t="shared" si="118"/>
        <v>7.3874743074199417E-2</v>
      </c>
      <c r="O138" s="140">
        <f t="shared" si="118"/>
        <v>7.3177025645103991E-2</v>
      </c>
      <c r="P138" s="140">
        <f t="shared" si="118"/>
        <v>7.5121972454337341E-2</v>
      </c>
      <c r="Q138" s="140">
        <f t="shared" si="118"/>
        <v>7.6548185801360996E-2</v>
      </c>
      <c r="R138" s="140">
        <f t="shared" si="118"/>
        <v>7.6241248701077222E-2</v>
      </c>
      <c r="S138" s="140">
        <f t="shared" si="118"/>
        <v>8.2356282112490284E-2</v>
      </c>
      <c r="T138" s="140">
        <f t="shared" si="118"/>
        <v>8.7502604442778645E-2</v>
      </c>
      <c r="U138" s="140">
        <f t="shared" si="118"/>
        <v>9.2572929973302492E-2</v>
      </c>
      <c r="V138" s="140">
        <f t="shared" si="118"/>
        <v>5.8679441970664589E-2</v>
      </c>
      <c r="W138" s="140">
        <f t="shared" si="118"/>
        <v>6.710191215989221E-2</v>
      </c>
      <c r="X138" s="140">
        <f t="shared" si="118"/>
        <v>8.0852382171244325E-2</v>
      </c>
      <c r="Y138" s="140">
        <f t="shared" si="118"/>
        <v>8.518511847528025E-2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0.79228018293435032</v>
      </c>
      <c r="C140" s="139">
        <f t="shared" ref="C140:Y140" si="121">IF(C48=0,0,C48/C$47)</f>
        <v>0.82050066569496438</v>
      </c>
      <c r="D140" s="139">
        <f t="shared" si="121"/>
        <v>0.83370055871408211</v>
      </c>
      <c r="E140" s="139">
        <f t="shared" si="121"/>
        <v>0.81680525625321754</v>
      </c>
      <c r="F140" s="139">
        <f t="shared" si="121"/>
        <v>0.83928643584593721</v>
      </c>
      <c r="G140" s="139">
        <f t="shared" si="121"/>
        <v>0.84191099292922811</v>
      </c>
      <c r="H140" s="139">
        <f t="shared" si="121"/>
        <v>0.84105071554212785</v>
      </c>
      <c r="I140" s="139">
        <f t="shared" si="121"/>
        <v>0.82826465474766586</v>
      </c>
      <c r="J140" s="139">
        <f t="shared" si="121"/>
        <v>0.82806110310834646</v>
      </c>
      <c r="K140" s="139">
        <f t="shared" si="121"/>
        <v>0.86222069727507544</v>
      </c>
      <c r="L140" s="139">
        <f t="shared" si="121"/>
        <v>0.84248365034212436</v>
      </c>
      <c r="M140" s="139">
        <f t="shared" si="121"/>
        <v>0.84177780245409251</v>
      </c>
      <c r="N140" s="139">
        <f t="shared" si="121"/>
        <v>0.85389712966792208</v>
      </c>
      <c r="O140" s="139">
        <f t="shared" si="121"/>
        <v>0.85978219954033963</v>
      </c>
      <c r="P140" s="139">
        <f t="shared" si="121"/>
        <v>0.86522098936695069</v>
      </c>
      <c r="Q140" s="139">
        <f t="shared" si="121"/>
        <v>0.8621507755299278</v>
      </c>
      <c r="R140" s="139">
        <f t="shared" si="121"/>
        <v>0.87579487194068473</v>
      </c>
      <c r="S140" s="139">
        <f t="shared" si="121"/>
        <v>0.8674882266671935</v>
      </c>
      <c r="T140" s="139">
        <f t="shared" si="121"/>
        <v>0.86206428476813979</v>
      </c>
      <c r="U140" s="139">
        <f t="shared" si="121"/>
        <v>0.86243591215906446</v>
      </c>
      <c r="V140" s="139">
        <f t="shared" si="121"/>
        <v>0.78514912015989113</v>
      </c>
      <c r="W140" s="139">
        <f t="shared" si="121"/>
        <v>0.79541572698625129</v>
      </c>
      <c r="X140" s="139">
        <f t="shared" si="121"/>
        <v>0.82341662641032443</v>
      </c>
      <c r="Y140" s="139">
        <f t="shared" si="121"/>
        <v>0.84047202432994761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0.39941604531210478</v>
      </c>
      <c r="C141" s="140">
        <f t="shared" ref="C141:Y141" si="122">IF(C49=0,0,C49/C$47)</f>
        <v>0.37921893275411483</v>
      </c>
      <c r="D141" s="140">
        <f t="shared" si="122"/>
        <v>0.38870983789425323</v>
      </c>
      <c r="E141" s="140">
        <f t="shared" si="122"/>
        <v>0.37528213060329213</v>
      </c>
      <c r="F141" s="140">
        <f t="shared" si="122"/>
        <v>0.36885764262617599</v>
      </c>
      <c r="G141" s="140">
        <f t="shared" si="122"/>
        <v>0.37329476508269077</v>
      </c>
      <c r="H141" s="140">
        <f t="shared" si="122"/>
        <v>0.3646905829956974</v>
      </c>
      <c r="I141" s="140">
        <f t="shared" si="122"/>
        <v>0.36156374538298669</v>
      </c>
      <c r="J141" s="140">
        <f t="shared" si="122"/>
        <v>0.37164747842541451</v>
      </c>
      <c r="K141" s="140">
        <f t="shared" si="122"/>
        <v>0.39247368660853932</v>
      </c>
      <c r="L141" s="140">
        <f t="shared" si="122"/>
        <v>0.37957301256233711</v>
      </c>
      <c r="M141" s="140">
        <f t="shared" si="122"/>
        <v>0.38307201700691135</v>
      </c>
      <c r="N141" s="140">
        <f t="shared" si="122"/>
        <v>0.39447176345723661</v>
      </c>
      <c r="O141" s="140">
        <f t="shared" si="122"/>
        <v>0.37643448140594071</v>
      </c>
      <c r="P141" s="140">
        <f t="shared" si="122"/>
        <v>0.38263738939484832</v>
      </c>
      <c r="Q141" s="140">
        <f t="shared" si="122"/>
        <v>0.36660231432489437</v>
      </c>
      <c r="R141" s="140">
        <f t="shared" si="122"/>
        <v>0.32712952396221873</v>
      </c>
      <c r="S141" s="140">
        <f t="shared" si="122"/>
        <v>0.2951048300613599</v>
      </c>
      <c r="T141" s="140">
        <f t="shared" si="122"/>
        <v>0.29239412593044078</v>
      </c>
      <c r="U141" s="140">
        <f t="shared" si="122"/>
        <v>0.29287365797247544</v>
      </c>
      <c r="V141" s="140">
        <f t="shared" si="122"/>
        <v>0.26325436832071841</v>
      </c>
      <c r="W141" s="140">
        <f t="shared" si="122"/>
        <v>0.28649631947420384</v>
      </c>
      <c r="X141" s="140">
        <f t="shared" si="122"/>
        <v>0.29146556252763967</v>
      </c>
      <c r="Y141" s="140">
        <f t="shared" si="122"/>
        <v>0.30643363267644813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0.39286413762224559</v>
      </c>
      <c r="C142" s="140">
        <f t="shared" ref="C142:Y142" si="123">IF(C50=0,0,C50/C$47)</f>
        <v>0.4412817329408496</v>
      </c>
      <c r="D142" s="140">
        <f t="shared" si="123"/>
        <v>0.44499072081982888</v>
      </c>
      <c r="E142" s="140">
        <f t="shared" si="123"/>
        <v>0.44152312564992541</v>
      </c>
      <c r="F142" s="140">
        <f t="shared" si="123"/>
        <v>0.47042879321976122</v>
      </c>
      <c r="G142" s="140">
        <f t="shared" si="123"/>
        <v>0.46861622784653739</v>
      </c>
      <c r="H142" s="140">
        <f t="shared" si="123"/>
        <v>0.47636013254643045</v>
      </c>
      <c r="I142" s="140">
        <f t="shared" si="123"/>
        <v>0.46670090936467917</v>
      </c>
      <c r="J142" s="140">
        <f t="shared" si="123"/>
        <v>0.45641362468293195</v>
      </c>
      <c r="K142" s="140">
        <f t="shared" si="123"/>
        <v>0.46974701066653612</v>
      </c>
      <c r="L142" s="140">
        <f t="shared" si="123"/>
        <v>0.46291063777978719</v>
      </c>
      <c r="M142" s="140">
        <f t="shared" si="123"/>
        <v>0.45870578544718127</v>
      </c>
      <c r="N142" s="140">
        <f t="shared" si="123"/>
        <v>0.45942536621068558</v>
      </c>
      <c r="O142" s="140">
        <f t="shared" si="123"/>
        <v>0.48334771813439903</v>
      </c>
      <c r="P142" s="140">
        <f t="shared" si="123"/>
        <v>0.48258359997210232</v>
      </c>
      <c r="Q142" s="140">
        <f t="shared" si="123"/>
        <v>0.49554846120503343</v>
      </c>
      <c r="R142" s="140">
        <f t="shared" si="123"/>
        <v>0.548665347978466</v>
      </c>
      <c r="S142" s="140">
        <f t="shared" si="123"/>
        <v>0.57238339660583371</v>
      </c>
      <c r="T142" s="140">
        <f t="shared" si="123"/>
        <v>0.569670158837699</v>
      </c>
      <c r="U142" s="140">
        <f t="shared" si="123"/>
        <v>0.56956225418658901</v>
      </c>
      <c r="V142" s="140">
        <f t="shared" si="123"/>
        <v>0.52189475183917278</v>
      </c>
      <c r="W142" s="140">
        <f t="shared" si="123"/>
        <v>0.50891940751204756</v>
      </c>
      <c r="X142" s="140">
        <f t="shared" si="123"/>
        <v>0.53195106388268465</v>
      </c>
      <c r="Y142" s="140">
        <f t="shared" si="123"/>
        <v>0.53403839165349953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2.1149602528761653E-2</v>
      </c>
      <c r="C143" s="124">
        <f t="shared" ref="C143:Y143" si="124">IF(C51=0,0,C51/C$47)</f>
        <v>1.7588201564241471E-2</v>
      </c>
      <c r="D143" s="124">
        <f t="shared" si="124"/>
        <v>1.5591516126787181E-2</v>
      </c>
      <c r="E143" s="124">
        <f t="shared" si="124"/>
        <v>1.4094416485638979E-2</v>
      </c>
      <c r="F143" s="124">
        <f t="shared" si="124"/>
        <v>1.4595267444698117E-2</v>
      </c>
      <c r="G143" s="124">
        <f t="shared" si="124"/>
        <v>1.5977218551126587E-2</v>
      </c>
      <c r="H143" s="124">
        <f t="shared" si="124"/>
        <v>1.7486175528663557E-2</v>
      </c>
      <c r="I143" s="124">
        <f t="shared" si="124"/>
        <v>1.7490224150797581E-2</v>
      </c>
      <c r="J143" s="124">
        <f t="shared" si="124"/>
        <v>1.6569423261944275E-2</v>
      </c>
      <c r="K143" s="124">
        <f t="shared" si="124"/>
        <v>1.1741118112153929E-2</v>
      </c>
      <c r="L143" s="124">
        <f t="shared" si="124"/>
        <v>1.1588482447248954E-2</v>
      </c>
      <c r="M143" s="124">
        <f t="shared" si="124"/>
        <v>1.1060492432703774E-2</v>
      </c>
      <c r="N143" s="124">
        <f t="shared" si="124"/>
        <v>1.2200981194164729E-2</v>
      </c>
      <c r="O143" s="124">
        <f t="shared" si="124"/>
        <v>1.1687380210648865E-2</v>
      </c>
      <c r="P143" s="124">
        <f t="shared" si="124"/>
        <v>1.1209231063856934E-2</v>
      </c>
      <c r="Q143" s="124">
        <f t="shared" si="124"/>
        <v>1.021670341825914E-2</v>
      </c>
      <c r="R143" s="124">
        <f t="shared" si="124"/>
        <v>1.0186851888967202E-2</v>
      </c>
      <c r="S143" s="124">
        <f t="shared" si="124"/>
        <v>1.0606530761123358E-2</v>
      </c>
      <c r="T143" s="124">
        <f t="shared" si="124"/>
        <v>1.2693852380755967E-2</v>
      </c>
      <c r="U143" s="124">
        <f t="shared" si="124"/>
        <v>1.3142003073923684E-2</v>
      </c>
      <c r="V143" s="124">
        <f t="shared" si="124"/>
        <v>1.2804201133523171E-2</v>
      </c>
      <c r="W143" s="124">
        <f t="shared" si="124"/>
        <v>1.1707475380899307E-2</v>
      </c>
      <c r="X143" s="124">
        <f t="shared" si="124"/>
        <v>6.8419079731092246E-3</v>
      </c>
      <c r="Y143" s="124">
        <f t="shared" si="124"/>
        <v>6.3789028925993665E-3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7.5965875467772864E-2</v>
      </c>
      <c r="C144" s="124">
        <f t="shared" ref="C144:Y144" si="125">IF(C52=0,0,C52/C$47)</f>
        <v>6.217154466815826E-2</v>
      </c>
      <c r="D144" s="124">
        <f t="shared" si="125"/>
        <v>6.2004096741779639E-2</v>
      </c>
      <c r="E144" s="124">
        <f t="shared" si="125"/>
        <v>7.4002779636750005E-2</v>
      </c>
      <c r="F144" s="124">
        <f t="shared" si="125"/>
        <v>6.8127376968248068E-2</v>
      </c>
      <c r="G144" s="124">
        <f t="shared" si="125"/>
        <v>6.9424392398529017E-2</v>
      </c>
      <c r="H144" s="124">
        <f t="shared" si="125"/>
        <v>9.7051416786111191E-2</v>
      </c>
      <c r="I144" s="124">
        <f t="shared" si="125"/>
        <v>0.11008393736509051</v>
      </c>
      <c r="J144" s="124">
        <f t="shared" si="125"/>
        <v>0.1096101506493551</v>
      </c>
      <c r="K144" s="124">
        <f t="shared" si="125"/>
        <v>8.4682324082437838E-2</v>
      </c>
      <c r="L144" s="124">
        <f t="shared" si="125"/>
        <v>9.8560332565015146E-2</v>
      </c>
      <c r="M144" s="124">
        <f t="shared" si="125"/>
        <v>0.10061808987709916</v>
      </c>
      <c r="N144" s="124">
        <f t="shared" si="125"/>
        <v>8.6186621368326485E-2</v>
      </c>
      <c r="O144" s="124">
        <f t="shared" si="125"/>
        <v>7.89472893347377E-2</v>
      </c>
      <c r="P144" s="124">
        <f t="shared" si="125"/>
        <v>7.6442713164470572E-2</v>
      </c>
      <c r="Q144" s="124">
        <f t="shared" si="125"/>
        <v>8.6173500636371803E-2</v>
      </c>
      <c r="R144" s="124">
        <f t="shared" si="125"/>
        <v>7.6015484901257313E-2</v>
      </c>
      <c r="S144" s="124">
        <f t="shared" si="125"/>
        <v>8.393945777444671E-2</v>
      </c>
      <c r="T144" s="124">
        <f t="shared" si="125"/>
        <v>8.8945605337282477E-2</v>
      </c>
      <c r="U144" s="124">
        <f t="shared" si="125"/>
        <v>8.4808218452789241E-2</v>
      </c>
      <c r="V144" s="124">
        <f t="shared" si="125"/>
        <v>0.16021447947426562</v>
      </c>
      <c r="W144" s="124">
        <f t="shared" si="125"/>
        <v>0.15763157098662733</v>
      </c>
      <c r="X144" s="124">
        <f t="shared" si="125"/>
        <v>0.13258899777894381</v>
      </c>
      <c r="Y144" s="124">
        <f t="shared" si="125"/>
        <v>0.1188254930583578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2.2315852802385627E-2</v>
      </c>
      <c r="C146" s="140">
        <f t="shared" ref="C146:Y146" si="127">IF(C54=0,0,C54/C$47)</f>
        <v>1.600934931165595E-2</v>
      </c>
      <c r="D146" s="140">
        <f t="shared" si="127"/>
        <v>1.5167768673846713E-2</v>
      </c>
      <c r="E146" s="140">
        <f t="shared" si="127"/>
        <v>1.4706666704385283E-2</v>
      </c>
      <c r="F146" s="140">
        <f t="shared" si="127"/>
        <v>1.3711006905002699E-2</v>
      </c>
      <c r="G146" s="140">
        <f t="shared" si="127"/>
        <v>1.5063261182900661E-2</v>
      </c>
      <c r="H146" s="140">
        <f t="shared" si="127"/>
        <v>2.7622015695126002E-2</v>
      </c>
      <c r="I146" s="140">
        <f t="shared" si="127"/>
        <v>2.8848660787983812E-2</v>
      </c>
      <c r="J146" s="140">
        <f t="shared" si="127"/>
        <v>2.4127621463671391E-2</v>
      </c>
      <c r="K146" s="140">
        <f t="shared" si="127"/>
        <v>1.8511521189362789E-2</v>
      </c>
      <c r="L146" s="140">
        <f t="shared" si="127"/>
        <v>1.8372349093952026E-2</v>
      </c>
      <c r="M146" s="140">
        <f t="shared" si="127"/>
        <v>1.8054654546693128E-2</v>
      </c>
      <c r="N146" s="140">
        <f t="shared" si="127"/>
        <v>1.7843888168792465E-2</v>
      </c>
      <c r="O146" s="140">
        <f t="shared" si="127"/>
        <v>1.7745838736538427E-2</v>
      </c>
      <c r="P146" s="140">
        <f t="shared" si="127"/>
        <v>1.702509251041473E-2</v>
      </c>
      <c r="Q146" s="140">
        <f t="shared" si="127"/>
        <v>1.7182836630317545E-2</v>
      </c>
      <c r="R146" s="140">
        <f t="shared" si="127"/>
        <v>1.4855827477884682E-2</v>
      </c>
      <c r="S146" s="140">
        <f t="shared" si="127"/>
        <v>1.7627351217886521E-2</v>
      </c>
      <c r="T146" s="140">
        <f t="shared" si="127"/>
        <v>2.0862965525829967E-2</v>
      </c>
      <c r="U146" s="140">
        <f t="shared" si="127"/>
        <v>2.0397879364265334E-2</v>
      </c>
      <c r="V146" s="140">
        <f t="shared" si="127"/>
        <v>2.6893158700762677E-2</v>
      </c>
      <c r="W146" s="140">
        <f t="shared" si="127"/>
        <v>3.1421209766854995E-2</v>
      </c>
      <c r="X146" s="140">
        <f t="shared" si="127"/>
        <v>1.8463746902722414E-2</v>
      </c>
      <c r="Y146" s="140">
        <f t="shared" si="127"/>
        <v>1.7712029819624258E-2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5.365002266538723E-2</v>
      </c>
      <c r="C147" s="140">
        <f t="shared" ref="C147:Y147" si="128">IF(C55=0,0,C55/C$47)</f>
        <v>4.616219535650231E-2</v>
      </c>
      <c r="D147" s="140">
        <f t="shared" si="128"/>
        <v>4.6836328067932927E-2</v>
      </c>
      <c r="E147" s="140">
        <f t="shared" si="128"/>
        <v>5.9296112932364725E-2</v>
      </c>
      <c r="F147" s="140">
        <f t="shared" si="128"/>
        <v>5.4416370063245366E-2</v>
      </c>
      <c r="G147" s="140">
        <f t="shared" si="128"/>
        <v>5.4361131215628349E-2</v>
      </c>
      <c r="H147" s="140">
        <f t="shared" si="128"/>
        <v>6.9429401090985193E-2</v>
      </c>
      <c r="I147" s="140">
        <f t="shared" si="128"/>
        <v>8.1235276577106691E-2</v>
      </c>
      <c r="J147" s="140">
        <f t="shared" si="128"/>
        <v>8.5482529185683706E-2</v>
      </c>
      <c r="K147" s="140">
        <f t="shared" si="128"/>
        <v>6.6170802893075045E-2</v>
      </c>
      <c r="L147" s="140">
        <f t="shared" si="128"/>
        <v>8.0187983471063123E-2</v>
      </c>
      <c r="M147" s="140">
        <f t="shared" si="128"/>
        <v>8.256343533040604E-2</v>
      </c>
      <c r="N147" s="140">
        <f t="shared" si="128"/>
        <v>6.8342733199534031E-2</v>
      </c>
      <c r="O147" s="140">
        <f t="shared" si="128"/>
        <v>6.1201450598199265E-2</v>
      </c>
      <c r="P147" s="140">
        <f t="shared" si="128"/>
        <v>5.9417620654055835E-2</v>
      </c>
      <c r="Q147" s="140">
        <f t="shared" si="128"/>
        <v>6.8990664006054261E-2</v>
      </c>
      <c r="R147" s="140">
        <f t="shared" si="128"/>
        <v>6.1159657423372628E-2</v>
      </c>
      <c r="S147" s="140">
        <f t="shared" si="128"/>
        <v>6.6312106556560196E-2</v>
      </c>
      <c r="T147" s="140">
        <f t="shared" si="128"/>
        <v>6.8082639811452517E-2</v>
      </c>
      <c r="U147" s="140">
        <f t="shared" si="128"/>
        <v>6.4410339088523907E-2</v>
      </c>
      <c r="V147" s="140">
        <f t="shared" si="128"/>
        <v>0.13332132077350295</v>
      </c>
      <c r="W147" s="140">
        <f t="shared" si="128"/>
        <v>0.1262103612197723</v>
      </c>
      <c r="X147" s="140">
        <f t="shared" si="128"/>
        <v>0.11412525087622138</v>
      </c>
      <c r="Y147" s="140">
        <f t="shared" si="128"/>
        <v>0.10111346323873353</v>
      </c>
      <c r="DA147" s="175"/>
    </row>
    <row r="148" spans="1:105" ht="11.45" customHeight="1" x14ac:dyDescent="0.25">
      <c r="A148" s="109" t="s">
        <v>141</v>
      </c>
      <c r="B148" s="124">
        <f t="shared" si="119"/>
        <v>0.11060433906911531</v>
      </c>
      <c r="C148" s="124">
        <f t="shared" ref="C148:Y148" si="129">IF(C56=0,0,C56/C$47)</f>
        <v>9.9739588072635749E-2</v>
      </c>
      <c r="D148" s="124">
        <f t="shared" si="129"/>
        <v>8.870382841735118E-2</v>
      </c>
      <c r="E148" s="124">
        <f t="shared" si="129"/>
        <v>9.5097547624393486E-2</v>
      </c>
      <c r="F148" s="124">
        <f t="shared" si="129"/>
        <v>7.7990919741116674E-2</v>
      </c>
      <c r="G148" s="124">
        <f t="shared" si="129"/>
        <v>7.2687396121116368E-2</v>
      </c>
      <c r="H148" s="124">
        <f t="shared" si="129"/>
        <v>4.4411692143097446E-2</v>
      </c>
      <c r="I148" s="124">
        <f t="shared" si="129"/>
        <v>4.4161183736446084E-2</v>
      </c>
      <c r="J148" s="124">
        <f t="shared" si="129"/>
        <v>4.5759322980354164E-2</v>
      </c>
      <c r="K148" s="124">
        <f t="shared" si="129"/>
        <v>4.135586053033289E-2</v>
      </c>
      <c r="L148" s="124">
        <f t="shared" si="129"/>
        <v>4.7367534645611546E-2</v>
      </c>
      <c r="M148" s="124">
        <f t="shared" si="129"/>
        <v>4.6543615236104612E-2</v>
      </c>
      <c r="N148" s="124">
        <f t="shared" si="129"/>
        <v>4.7715267769586678E-2</v>
      </c>
      <c r="O148" s="124">
        <f t="shared" si="129"/>
        <v>4.9583130914273875E-2</v>
      </c>
      <c r="P148" s="124">
        <f t="shared" si="129"/>
        <v>4.7127066404721828E-2</v>
      </c>
      <c r="Q148" s="124">
        <f t="shared" si="129"/>
        <v>4.1459020415441306E-2</v>
      </c>
      <c r="R148" s="124">
        <f t="shared" si="129"/>
        <v>3.8002791269090799E-2</v>
      </c>
      <c r="S148" s="124">
        <f t="shared" si="129"/>
        <v>3.7965784797236349E-2</v>
      </c>
      <c r="T148" s="124">
        <f t="shared" si="129"/>
        <v>3.6296257513821678E-2</v>
      </c>
      <c r="U148" s="124">
        <f t="shared" si="129"/>
        <v>3.9613866314222729E-2</v>
      </c>
      <c r="V148" s="124">
        <f t="shared" si="129"/>
        <v>4.1832199232319976E-2</v>
      </c>
      <c r="W148" s="124">
        <f t="shared" si="129"/>
        <v>3.5245226646222205E-2</v>
      </c>
      <c r="X148" s="124">
        <f t="shared" si="129"/>
        <v>3.7152467837622556E-2</v>
      </c>
      <c r="Y148" s="124">
        <f t="shared" si="129"/>
        <v>3.4323579719095242E-2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6.4272527041126827E-3</v>
      </c>
      <c r="C149" s="140">
        <f t="shared" ref="C149:Y149" si="130">IF(C57=0,0,C57/C$47)</f>
        <v>4.9098542212962625E-3</v>
      </c>
      <c r="D149" s="140">
        <f t="shared" si="130"/>
        <v>3.7955891080909631E-3</v>
      </c>
      <c r="E149" s="140">
        <f t="shared" si="130"/>
        <v>3.5444734083028826E-3</v>
      </c>
      <c r="F149" s="140">
        <f t="shared" si="130"/>
        <v>2.1634354007164245E-3</v>
      </c>
      <c r="G149" s="140">
        <f t="shared" si="130"/>
        <v>3.8046971896754291E-3</v>
      </c>
      <c r="H149" s="140">
        <f t="shared" si="130"/>
        <v>3.1201394247844564E-3</v>
      </c>
      <c r="I149" s="140">
        <f t="shared" si="130"/>
        <v>3.4055450436215875E-3</v>
      </c>
      <c r="J149" s="140">
        <f t="shared" si="130"/>
        <v>3.8547141206834996E-3</v>
      </c>
      <c r="K149" s="140">
        <f t="shared" si="130"/>
        <v>2.3747527724653659E-3</v>
      </c>
      <c r="L149" s="140">
        <f t="shared" si="130"/>
        <v>2.3096795920539395E-3</v>
      </c>
      <c r="M149" s="140">
        <f t="shared" si="130"/>
        <v>2.0588903182416764E-3</v>
      </c>
      <c r="N149" s="140">
        <f t="shared" si="130"/>
        <v>1.9195016230454476E-3</v>
      </c>
      <c r="O149" s="140">
        <f t="shared" si="130"/>
        <v>1.9988977716560627E-3</v>
      </c>
      <c r="P149" s="140">
        <f t="shared" si="130"/>
        <v>1.9140350926941392E-3</v>
      </c>
      <c r="Q149" s="140">
        <f t="shared" si="130"/>
        <v>1.5176160887155688E-3</v>
      </c>
      <c r="R149" s="140">
        <f t="shared" si="130"/>
        <v>1.6550311295905759E-3</v>
      </c>
      <c r="S149" s="140">
        <f t="shared" si="130"/>
        <v>1.2776119460184837E-3</v>
      </c>
      <c r="T149" s="140">
        <f t="shared" si="130"/>
        <v>1.5800604853394742E-3</v>
      </c>
      <c r="U149" s="140">
        <f t="shared" si="130"/>
        <v>2.1157745899011882E-3</v>
      </c>
      <c r="V149" s="140">
        <f t="shared" si="130"/>
        <v>2.2726659376915577E-3</v>
      </c>
      <c r="W149" s="140">
        <f t="shared" si="130"/>
        <v>2.2764250695539662E-3</v>
      </c>
      <c r="X149" s="140">
        <f t="shared" si="130"/>
        <v>2.6807084731837222E-3</v>
      </c>
      <c r="Y149" s="140">
        <f t="shared" si="130"/>
        <v>2.1635203584695751E-3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0.10417708636500261</v>
      </c>
      <c r="C150" s="127">
        <f t="shared" ref="C150:Y150" si="131">IF(C58=0,0,C58/C$47)</f>
        <v>9.4829733851339484E-2</v>
      </c>
      <c r="D150" s="127">
        <f t="shared" si="131"/>
        <v>8.4908239309260211E-2</v>
      </c>
      <c r="E150" s="127">
        <f t="shared" si="131"/>
        <v>9.1553074216090602E-2</v>
      </c>
      <c r="F150" s="127">
        <f t="shared" si="131"/>
        <v>7.582748434040025E-2</v>
      </c>
      <c r="G150" s="127">
        <f t="shared" si="131"/>
        <v>6.888269893144093E-2</v>
      </c>
      <c r="H150" s="127">
        <f t="shared" si="131"/>
        <v>4.1291552718312988E-2</v>
      </c>
      <c r="I150" s="127">
        <f t="shared" si="131"/>
        <v>4.0755638692824503E-2</v>
      </c>
      <c r="J150" s="127">
        <f t="shared" si="131"/>
        <v>4.1904608859670671E-2</v>
      </c>
      <c r="K150" s="127">
        <f t="shared" si="131"/>
        <v>3.8981107757867527E-2</v>
      </c>
      <c r="L150" s="127">
        <f t="shared" si="131"/>
        <v>4.5057855053557604E-2</v>
      </c>
      <c r="M150" s="127">
        <f t="shared" si="131"/>
        <v>4.4484724917862928E-2</v>
      </c>
      <c r="N150" s="127">
        <f t="shared" si="131"/>
        <v>4.5795766146541225E-2</v>
      </c>
      <c r="O150" s="127">
        <f t="shared" si="131"/>
        <v>4.758423314261781E-2</v>
      </c>
      <c r="P150" s="127">
        <f t="shared" si="131"/>
        <v>4.5213031312027689E-2</v>
      </c>
      <c r="Q150" s="127">
        <f t="shared" si="131"/>
        <v>3.994140432672573E-2</v>
      </c>
      <c r="R150" s="127">
        <f t="shared" si="131"/>
        <v>3.6347760139500224E-2</v>
      </c>
      <c r="S150" s="127">
        <f t="shared" si="131"/>
        <v>3.6688172851217865E-2</v>
      </c>
      <c r="T150" s="127">
        <f t="shared" si="131"/>
        <v>3.4716197028482207E-2</v>
      </c>
      <c r="U150" s="127">
        <f t="shared" si="131"/>
        <v>3.7498091724321544E-2</v>
      </c>
      <c r="V150" s="127">
        <f t="shared" si="131"/>
        <v>3.9559533294628413E-2</v>
      </c>
      <c r="W150" s="127">
        <f t="shared" si="131"/>
        <v>3.296880157666824E-2</v>
      </c>
      <c r="X150" s="127">
        <f t="shared" si="131"/>
        <v>3.4471759364438838E-2</v>
      </c>
      <c r="Y150" s="127">
        <f t="shared" si="131"/>
        <v>3.2160059360625666E-2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0.30307765805232484</v>
      </c>
      <c r="C152" s="140">
        <f t="shared" si="133"/>
        <v>0.31145171950036438</v>
      </c>
      <c r="D152" s="140">
        <f t="shared" si="133"/>
        <v>0.29305325040518465</v>
      </c>
      <c r="E152" s="140">
        <f t="shared" si="133"/>
        <v>0.29183005983166566</v>
      </c>
      <c r="F152" s="140">
        <f t="shared" si="133"/>
        <v>0.26186280129844164</v>
      </c>
      <c r="G152" s="140">
        <f t="shared" si="133"/>
        <v>0.23531338799441495</v>
      </c>
      <c r="H152" s="140">
        <f t="shared" si="133"/>
        <v>0.22998750846805616</v>
      </c>
      <c r="I152" s="140">
        <f t="shared" si="133"/>
        <v>0.22268692888796934</v>
      </c>
      <c r="J152" s="140">
        <f t="shared" si="133"/>
        <v>0.2204258951671762</v>
      </c>
      <c r="K152" s="140">
        <f t="shared" si="133"/>
        <v>0.21744397301541152</v>
      </c>
      <c r="L152" s="140">
        <f t="shared" si="133"/>
        <v>0.23707841222526307</v>
      </c>
      <c r="M152" s="140">
        <f t="shared" si="133"/>
        <v>0.22360826993502186</v>
      </c>
      <c r="N152" s="140">
        <f t="shared" si="133"/>
        <v>0.24205924897291484</v>
      </c>
      <c r="O152" s="140">
        <f t="shared" si="133"/>
        <v>0.25225332962233932</v>
      </c>
      <c r="P152" s="140">
        <f t="shared" si="133"/>
        <v>0.26120224188434266</v>
      </c>
      <c r="Q152" s="140">
        <f t="shared" si="133"/>
        <v>0.27194740460635342</v>
      </c>
      <c r="R152" s="140">
        <f t="shared" si="133"/>
        <v>0.30869972912690452</v>
      </c>
      <c r="S152" s="140">
        <f t="shared" si="133"/>
        <v>0.28343041806963726</v>
      </c>
      <c r="T152" s="140">
        <f t="shared" si="133"/>
        <v>0.2686809887897707</v>
      </c>
      <c r="U152" s="140">
        <f t="shared" si="133"/>
        <v>0.27949442358912507</v>
      </c>
      <c r="V152" s="140">
        <f t="shared" si="133"/>
        <v>0.24502146578008552</v>
      </c>
      <c r="W152" s="140">
        <f t="shared" si="133"/>
        <v>0.25581352239934008</v>
      </c>
      <c r="X152" s="140">
        <f t="shared" si="133"/>
        <v>0.27744777224134604</v>
      </c>
      <c r="Y152" s="140">
        <f t="shared" si="133"/>
        <v>0.30029919979924219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0.69692234194767511</v>
      </c>
      <c r="C153" s="127">
        <f t="shared" si="134"/>
        <v>0.68854828049963557</v>
      </c>
      <c r="D153" s="127">
        <f t="shared" si="134"/>
        <v>0.7069467495948154</v>
      </c>
      <c r="E153" s="127">
        <f t="shared" si="134"/>
        <v>0.70816994016833434</v>
      </c>
      <c r="F153" s="127">
        <f t="shared" si="134"/>
        <v>0.73813719870155825</v>
      </c>
      <c r="G153" s="127">
        <f t="shared" si="134"/>
        <v>0.76468661200558508</v>
      </c>
      <c r="H153" s="127">
        <f t="shared" si="134"/>
        <v>0.77001249153194384</v>
      </c>
      <c r="I153" s="127">
        <f t="shared" si="134"/>
        <v>0.77731307111203063</v>
      </c>
      <c r="J153" s="127">
        <f t="shared" si="134"/>
        <v>0.77957410483282374</v>
      </c>
      <c r="K153" s="127">
        <f t="shared" si="134"/>
        <v>0.78255602698458848</v>
      </c>
      <c r="L153" s="127">
        <f t="shared" si="134"/>
        <v>0.76292158777473695</v>
      </c>
      <c r="M153" s="127">
        <f t="shared" si="134"/>
        <v>0.77639173006497819</v>
      </c>
      <c r="N153" s="127">
        <f t="shared" si="134"/>
        <v>0.75794075102708514</v>
      </c>
      <c r="O153" s="127">
        <f t="shared" si="134"/>
        <v>0.74774667037766063</v>
      </c>
      <c r="P153" s="127">
        <f t="shared" si="134"/>
        <v>0.73879775811565729</v>
      </c>
      <c r="Q153" s="127">
        <f t="shared" si="134"/>
        <v>0.72805259539364664</v>
      </c>
      <c r="R153" s="127">
        <f t="shared" si="134"/>
        <v>0.69130027087309553</v>
      </c>
      <c r="S153" s="127">
        <f t="shared" si="134"/>
        <v>0.71656958193036269</v>
      </c>
      <c r="T153" s="127">
        <f t="shared" si="134"/>
        <v>0.73131901121022924</v>
      </c>
      <c r="U153" s="127">
        <f t="shared" si="134"/>
        <v>0.72050557641087487</v>
      </c>
      <c r="V153" s="127">
        <f t="shared" si="134"/>
        <v>0.75497853421991445</v>
      </c>
      <c r="W153" s="127">
        <f t="shared" si="134"/>
        <v>0.74418647760065992</v>
      </c>
      <c r="X153" s="127">
        <f t="shared" si="134"/>
        <v>0.72255222775865391</v>
      </c>
      <c r="Y153" s="127">
        <f t="shared" si="134"/>
        <v>0.69970080020075787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0.80941456946024137</v>
      </c>
      <c r="C157" s="139">
        <f t="shared" ref="C157:W157" si="138">IF(C65=0,0,C65/C$64)</f>
        <v>0.82429386222749113</v>
      </c>
      <c r="D157" s="139">
        <f t="shared" si="138"/>
        <v>0.85202578511266747</v>
      </c>
      <c r="E157" s="139">
        <f t="shared" si="138"/>
        <v>0.84710111562973311</v>
      </c>
      <c r="F157" s="139">
        <f t="shared" si="138"/>
        <v>0.85193328071995045</v>
      </c>
      <c r="G157" s="139">
        <f t="shared" si="138"/>
        <v>0.85474772118471531</v>
      </c>
      <c r="H157" s="139">
        <f t="shared" si="138"/>
        <v>0.86265717731116176</v>
      </c>
      <c r="I157" s="139">
        <f t="shared" si="138"/>
        <v>0.86058246237896685</v>
      </c>
      <c r="J157" s="139">
        <f t="shared" si="138"/>
        <v>0.84837756628141803</v>
      </c>
      <c r="K157" s="139">
        <f t="shared" si="138"/>
        <v>0.84943764351611728</v>
      </c>
      <c r="L157" s="139">
        <f t="shared" si="138"/>
        <v>0.8408071753614228</v>
      </c>
      <c r="M157" s="139">
        <f t="shared" si="138"/>
        <v>0.82868470294900587</v>
      </c>
      <c r="N157" s="139">
        <f t="shared" si="138"/>
        <v>0.83159440048478395</v>
      </c>
      <c r="O157" s="139">
        <f t="shared" si="138"/>
        <v>0.83471451432314103</v>
      </c>
      <c r="P157" s="139">
        <f t="shared" si="138"/>
        <v>0.82948083304516584</v>
      </c>
      <c r="Q157" s="139">
        <f t="shared" si="138"/>
        <v>0.82769836394192997</v>
      </c>
      <c r="R157" s="139">
        <f t="shared" si="138"/>
        <v>0.82017665569549902</v>
      </c>
      <c r="S157" s="139">
        <f t="shared" si="138"/>
        <v>0.79969112000911768</v>
      </c>
      <c r="T157" s="139">
        <f t="shared" si="138"/>
        <v>0.7894804377270811</v>
      </c>
      <c r="U157" s="139">
        <f t="shared" si="138"/>
        <v>0.78278433819295401</v>
      </c>
      <c r="V157" s="139">
        <f t="shared" si="138"/>
        <v>0.86953564571934217</v>
      </c>
      <c r="W157" s="139">
        <f t="shared" si="138"/>
        <v>0.83731576939453323</v>
      </c>
      <c r="X157" s="139">
        <f t="shared" ref="X157:Y157" si="139">IF(X65=0,0,X65/X$64)</f>
        <v>0.7863727060704746</v>
      </c>
      <c r="Y157" s="139">
        <f t="shared" si="139"/>
        <v>0.78019659698495281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8.2899072750552E-3</v>
      </c>
      <c r="C158" s="140">
        <f t="shared" ref="C158:W158" si="140">IF(C66=0,0,C66/C$64)</f>
        <v>8.6226394138204637E-3</v>
      </c>
      <c r="D158" s="140">
        <f t="shared" si="140"/>
        <v>9.4133323627709747E-3</v>
      </c>
      <c r="E158" s="140">
        <f t="shared" si="140"/>
        <v>9.4466799447815303E-3</v>
      </c>
      <c r="F158" s="140">
        <f t="shared" si="140"/>
        <v>9.4448611756732109E-3</v>
      </c>
      <c r="G158" s="140">
        <f t="shared" si="140"/>
        <v>9.4362941958943507E-3</v>
      </c>
      <c r="H158" s="140">
        <f t="shared" si="140"/>
        <v>9.585725004441277E-3</v>
      </c>
      <c r="I158" s="140">
        <f t="shared" si="140"/>
        <v>9.5214884758732694E-3</v>
      </c>
      <c r="J158" s="140">
        <f t="shared" si="140"/>
        <v>9.1066443058916806E-3</v>
      </c>
      <c r="K158" s="140">
        <f t="shared" si="140"/>
        <v>8.862895012366619E-3</v>
      </c>
      <c r="L158" s="140">
        <f t="shared" si="140"/>
        <v>8.359805969211773E-3</v>
      </c>
      <c r="M158" s="140">
        <f t="shared" si="140"/>
        <v>8.2103260481029127E-3</v>
      </c>
      <c r="N158" s="140">
        <f t="shared" si="140"/>
        <v>8.092529743662636E-3</v>
      </c>
      <c r="O158" s="140">
        <f t="shared" si="140"/>
        <v>7.9307151635626509E-3</v>
      </c>
      <c r="P158" s="140">
        <f t="shared" si="140"/>
        <v>8.2204543789781218E-3</v>
      </c>
      <c r="Q158" s="140">
        <f t="shared" si="140"/>
        <v>7.7272438914506147E-3</v>
      </c>
      <c r="R158" s="140">
        <f t="shared" si="140"/>
        <v>7.7412215736543657E-3</v>
      </c>
      <c r="S158" s="140">
        <f t="shared" si="140"/>
        <v>7.3106146171858129E-3</v>
      </c>
      <c r="T158" s="140">
        <f t="shared" si="140"/>
        <v>6.9352949579854512E-3</v>
      </c>
      <c r="U158" s="140">
        <f t="shared" si="140"/>
        <v>7.4282706473098817E-3</v>
      </c>
      <c r="V158" s="140">
        <f t="shared" si="140"/>
        <v>8.6153283064216556E-3</v>
      </c>
      <c r="W158" s="140">
        <f t="shared" si="140"/>
        <v>8.5052998621817453E-3</v>
      </c>
      <c r="X158" s="140">
        <f t="shared" ref="X158:Y158" si="141">IF(X66=0,0,X66/X$64)</f>
        <v>7.9913669488501926E-3</v>
      </c>
      <c r="Y158" s="140">
        <f t="shared" si="141"/>
        <v>8.5287931978462479E-3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0.74322187369723436</v>
      </c>
      <c r="C159" s="140">
        <f t="shared" ref="C159:W159" si="142">IF(C67=0,0,C67/C$64)</f>
        <v>0.75800638199272585</v>
      </c>
      <c r="D159" s="140">
        <f t="shared" si="142"/>
        <v>0.78332685418907066</v>
      </c>
      <c r="E159" s="140">
        <f t="shared" si="142"/>
        <v>0.77987244619508322</v>
      </c>
      <c r="F159" s="140">
        <f t="shared" si="142"/>
        <v>0.78488387488481259</v>
      </c>
      <c r="G159" s="140">
        <f t="shared" si="142"/>
        <v>0.78629121512186262</v>
      </c>
      <c r="H159" s="140">
        <f t="shared" si="142"/>
        <v>0.79601296701058755</v>
      </c>
      <c r="I159" s="140">
        <f t="shared" si="142"/>
        <v>0.79665308403560919</v>
      </c>
      <c r="J159" s="140">
        <f t="shared" si="142"/>
        <v>0.78566064731505969</v>
      </c>
      <c r="K159" s="140">
        <f t="shared" si="142"/>
        <v>0.78793002844166016</v>
      </c>
      <c r="L159" s="140">
        <f t="shared" si="142"/>
        <v>0.77998004091654849</v>
      </c>
      <c r="M159" s="140">
        <f t="shared" si="142"/>
        <v>0.76984172126336525</v>
      </c>
      <c r="N159" s="140">
        <f t="shared" si="142"/>
        <v>0.77287030808623569</v>
      </c>
      <c r="O159" s="140">
        <f t="shared" si="142"/>
        <v>0.7743708890117863</v>
      </c>
      <c r="P159" s="140">
        <f t="shared" si="142"/>
        <v>0.76940082229851114</v>
      </c>
      <c r="Q159" s="140">
        <f t="shared" si="142"/>
        <v>0.76710714640872091</v>
      </c>
      <c r="R159" s="140">
        <f t="shared" si="142"/>
        <v>0.76084747060751468</v>
      </c>
      <c r="S159" s="140">
        <f t="shared" si="142"/>
        <v>0.73845315494278352</v>
      </c>
      <c r="T159" s="140">
        <f t="shared" si="142"/>
        <v>0.7268906510577009</v>
      </c>
      <c r="U159" s="140">
        <f t="shared" si="142"/>
        <v>0.71940386211196905</v>
      </c>
      <c r="V159" s="140">
        <f t="shared" si="142"/>
        <v>0.78964684039303412</v>
      </c>
      <c r="W159" s="140">
        <f t="shared" si="142"/>
        <v>0.7626447187364036</v>
      </c>
      <c r="X159" s="140">
        <f t="shared" ref="X159:Y159" si="143">IF(X67=0,0,X67/X$64)</f>
        <v>0.71871149716950955</v>
      </c>
      <c r="Y159" s="140">
        <f t="shared" si="143"/>
        <v>0.71328804825464198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5.7902788487951704E-2</v>
      </c>
      <c r="C160" s="140">
        <f t="shared" ref="C160:W160" si="144">IF(C68=0,0,C68/C$64)</f>
        <v>5.7664840820944925E-2</v>
      </c>
      <c r="D160" s="140">
        <f t="shared" si="144"/>
        <v>5.9285598560825964E-2</v>
      </c>
      <c r="E160" s="140">
        <f t="shared" si="144"/>
        <v>5.7781989489868325E-2</v>
      </c>
      <c r="F160" s="140">
        <f t="shared" si="144"/>
        <v>5.7604544659464588E-2</v>
      </c>
      <c r="G160" s="140">
        <f t="shared" si="144"/>
        <v>5.9020211866958473E-2</v>
      </c>
      <c r="H160" s="140">
        <f t="shared" si="144"/>
        <v>5.7058485296132763E-2</v>
      </c>
      <c r="I160" s="140">
        <f t="shared" si="144"/>
        <v>5.4407889867484398E-2</v>
      </c>
      <c r="J160" s="140">
        <f t="shared" si="144"/>
        <v>5.3610274660466722E-2</v>
      </c>
      <c r="K160" s="140">
        <f t="shared" si="144"/>
        <v>5.2644720062090637E-2</v>
      </c>
      <c r="L160" s="140">
        <f t="shared" si="144"/>
        <v>5.246732847566251E-2</v>
      </c>
      <c r="M160" s="140">
        <f t="shared" si="144"/>
        <v>5.0632655637537674E-2</v>
      </c>
      <c r="N160" s="140">
        <f t="shared" si="144"/>
        <v>5.0631562654885678E-2</v>
      </c>
      <c r="O160" s="140">
        <f t="shared" si="144"/>
        <v>5.2412910147792077E-2</v>
      </c>
      <c r="P160" s="140">
        <f t="shared" si="144"/>
        <v>5.1859556367676522E-2</v>
      </c>
      <c r="Q160" s="140">
        <f t="shared" si="144"/>
        <v>5.2863973641758544E-2</v>
      </c>
      <c r="R160" s="140">
        <f t="shared" si="144"/>
        <v>5.1587963514330003E-2</v>
      </c>
      <c r="S160" s="140">
        <f t="shared" si="144"/>
        <v>5.3927350449148349E-2</v>
      </c>
      <c r="T160" s="140">
        <f t="shared" si="144"/>
        <v>5.5654491711394756E-2</v>
      </c>
      <c r="U160" s="140">
        <f t="shared" si="144"/>
        <v>5.595220543367508E-2</v>
      </c>
      <c r="V160" s="140">
        <f t="shared" si="144"/>
        <v>7.1273477019886344E-2</v>
      </c>
      <c r="W160" s="140">
        <f t="shared" si="144"/>
        <v>6.6165750795947928E-2</v>
      </c>
      <c r="X160" s="140">
        <f t="shared" ref="X160:Y160" si="145">IF(X68=0,0,X68/X$64)</f>
        <v>5.9669841952114756E-2</v>
      </c>
      <c r="Y160" s="140">
        <f t="shared" si="145"/>
        <v>5.8379755532464613E-2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2.690782381947367E-3</v>
      </c>
      <c r="C161" s="124">
        <f t="shared" ref="C161:W161" si="146">IF(C69=0,0,C69/C$64)</f>
        <v>2.593521078467196E-3</v>
      </c>
      <c r="D161" s="124">
        <f t="shared" si="146"/>
        <v>2.8585713177766976E-3</v>
      </c>
      <c r="E161" s="124">
        <f t="shared" si="146"/>
        <v>2.9741244031998631E-3</v>
      </c>
      <c r="F161" s="124">
        <f t="shared" si="146"/>
        <v>2.8098643337786514E-3</v>
      </c>
      <c r="G161" s="124">
        <f t="shared" si="146"/>
        <v>2.9345746557942818E-3</v>
      </c>
      <c r="H161" s="124">
        <f t="shared" si="146"/>
        <v>3.7688819818914535E-3</v>
      </c>
      <c r="I161" s="124">
        <f t="shared" si="146"/>
        <v>3.7879299464347147E-3</v>
      </c>
      <c r="J161" s="124">
        <f t="shared" si="146"/>
        <v>3.7469598330264744E-3</v>
      </c>
      <c r="K161" s="124">
        <f t="shared" si="146"/>
        <v>3.5238467003831991E-3</v>
      </c>
      <c r="L161" s="124">
        <f t="shared" si="146"/>
        <v>3.1644992149596268E-3</v>
      </c>
      <c r="M161" s="124">
        <f t="shared" si="146"/>
        <v>3.1195116706429979E-3</v>
      </c>
      <c r="N161" s="124">
        <f t="shared" si="146"/>
        <v>3.6172584232411356E-3</v>
      </c>
      <c r="O161" s="124">
        <f t="shared" si="146"/>
        <v>2.818723803626617E-3</v>
      </c>
      <c r="P161" s="124">
        <f t="shared" si="146"/>
        <v>2.1055599894185192E-3</v>
      </c>
      <c r="Q161" s="124">
        <f t="shared" si="146"/>
        <v>2.1227198235309729E-3</v>
      </c>
      <c r="R161" s="124">
        <f t="shared" si="146"/>
        <v>2.2398739616061457E-3</v>
      </c>
      <c r="S161" s="124">
        <f t="shared" si="146"/>
        <v>2.4555172993249927E-3</v>
      </c>
      <c r="T161" s="124">
        <f t="shared" si="146"/>
        <v>1.8530950490633466E-3</v>
      </c>
      <c r="U161" s="124">
        <f t="shared" si="146"/>
        <v>1.7661757627356904E-3</v>
      </c>
      <c r="V161" s="124">
        <f t="shared" si="146"/>
        <v>1.7327895118534494E-3</v>
      </c>
      <c r="W161" s="124">
        <f t="shared" si="146"/>
        <v>1.5508031551619006E-3</v>
      </c>
      <c r="X161" s="124">
        <f t="shared" ref="X161:Y161" si="147">IF(X69=0,0,X69/X$64)</f>
        <v>1.3741643916481776E-3</v>
      </c>
      <c r="Y161" s="124">
        <f t="shared" si="147"/>
        <v>1.4521437269401298E-3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2.690782381947367E-3</v>
      </c>
      <c r="C163" s="140">
        <f t="shared" ref="C163:W163" si="150">IF(C71=0,0,C71/C$64)</f>
        <v>2.593521078467196E-3</v>
      </c>
      <c r="D163" s="140">
        <f t="shared" si="150"/>
        <v>2.8585713177766976E-3</v>
      </c>
      <c r="E163" s="140">
        <f t="shared" si="150"/>
        <v>2.9741244031998631E-3</v>
      </c>
      <c r="F163" s="140">
        <f t="shared" si="150"/>
        <v>2.8098643337786514E-3</v>
      </c>
      <c r="G163" s="140">
        <f t="shared" si="150"/>
        <v>2.9345746557942818E-3</v>
      </c>
      <c r="H163" s="140">
        <f t="shared" si="150"/>
        <v>3.7688819818914535E-3</v>
      </c>
      <c r="I163" s="140">
        <f t="shared" si="150"/>
        <v>3.7879299464347147E-3</v>
      </c>
      <c r="J163" s="140">
        <f t="shared" si="150"/>
        <v>3.7469598330264744E-3</v>
      </c>
      <c r="K163" s="140">
        <f t="shared" si="150"/>
        <v>3.5238467003831991E-3</v>
      </c>
      <c r="L163" s="140">
        <f t="shared" si="150"/>
        <v>3.1644992149596268E-3</v>
      </c>
      <c r="M163" s="140">
        <f t="shared" si="150"/>
        <v>3.1195116706429979E-3</v>
      </c>
      <c r="N163" s="140">
        <f t="shared" si="150"/>
        <v>3.6172584232411356E-3</v>
      </c>
      <c r="O163" s="140">
        <f t="shared" si="150"/>
        <v>2.818723803626617E-3</v>
      </c>
      <c r="P163" s="140">
        <f t="shared" si="150"/>
        <v>2.1055599894185192E-3</v>
      </c>
      <c r="Q163" s="140">
        <f t="shared" si="150"/>
        <v>2.1227198235309729E-3</v>
      </c>
      <c r="R163" s="140">
        <f t="shared" si="150"/>
        <v>2.2398739616061457E-3</v>
      </c>
      <c r="S163" s="140">
        <f t="shared" si="150"/>
        <v>2.4555172993249927E-3</v>
      </c>
      <c r="T163" s="140">
        <f t="shared" si="150"/>
        <v>1.8530950490633466E-3</v>
      </c>
      <c r="U163" s="140">
        <f t="shared" si="150"/>
        <v>1.7661757627356904E-3</v>
      </c>
      <c r="V163" s="140">
        <f t="shared" si="150"/>
        <v>1.7327895118534494E-3</v>
      </c>
      <c r="W163" s="140">
        <f t="shared" si="150"/>
        <v>1.5508031551619006E-3</v>
      </c>
      <c r="X163" s="140">
        <f t="shared" ref="X163:Y163" si="151">IF(X71=0,0,X71/X$64)</f>
        <v>1.3741643916481776E-3</v>
      </c>
      <c r="Y163" s="140">
        <f t="shared" si="151"/>
        <v>1.4521437269401298E-3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0.1878946481578114</v>
      </c>
      <c r="C165" s="124">
        <f t="shared" ref="C165:W165" si="154">IF(C73=0,0,C73/C$64)</f>
        <v>0.17311261669404171</v>
      </c>
      <c r="D165" s="124">
        <f t="shared" si="154"/>
        <v>0.14511564356955575</v>
      </c>
      <c r="E165" s="124">
        <f t="shared" si="154"/>
        <v>0.14992475996706706</v>
      </c>
      <c r="F165" s="124">
        <f t="shared" si="154"/>
        <v>0.14525685494627083</v>
      </c>
      <c r="G165" s="124">
        <f t="shared" si="154"/>
        <v>0.14231770415949035</v>
      </c>
      <c r="H165" s="124">
        <f t="shared" si="154"/>
        <v>0.13357394070694673</v>
      </c>
      <c r="I165" s="124">
        <f t="shared" si="154"/>
        <v>0.13562960767459828</v>
      </c>
      <c r="J165" s="124">
        <f t="shared" si="154"/>
        <v>0.14787547388555541</v>
      </c>
      <c r="K165" s="124">
        <f t="shared" si="154"/>
        <v>0.14703850978349953</v>
      </c>
      <c r="L165" s="124">
        <f t="shared" si="154"/>
        <v>0.15602832542361755</v>
      </c>
      <c r="M165" s="124">
        <f t="shared" si="154"/>
        <v>0.16819578538035113</v>
      </c>
      <c r="N165" s="124">
        <f t="shared" si="154"/>
        <v>0.1647883410919749</v>
      </c>
      <c r="O165" s="124">
        <f t="shared" si="154"/>
        <v>0.16246676187323233</v>
      </c>
      <c r="P165" s="124">
        <f t="shared" si="154"/>
        <v>0.16841360696541569</v>
      </c>
      <c r="Q165" s="124">
        <f t="shared" si="154"/>
        <v>0.17017891623453901</v>
      </c>
      <c r="R165" s="124">
        <f t="shared" si="154"/>
        <v>0.17758347034289468</v>
      </c>
      <c r="S165" s="124">
        <f t="shared" si="154"/>
        <v>0.19785336269155737</v>
      </c>
      <c r="T165" s="124">
        <f t="shared" si="154"/>
        <v>0.2086664672238556</v>
      </c>
      <c r="U165" s="124">
        <f t="shared" si="154"/>
        <v>0.21544948604431022</v>
      </c>
      <c r="V165" s="124">
        <f t="shared" si="154"/>
        <v>0.1287315647688044</v>
      </c>
      <c r="W165" s="124">
        <f t="shared" si="154"/>
        <v>0.16113342745030487</v>
      </c>
      <c r="X165" s="124">
        <f t="shared" ref="X165:Y165" si="155">IF(X73=0,0,X73/X$64)</f>
        <v>0.21225312953787714</v>
      </c>
      <c r="Y165" s="124">
        <f t="shared" si="155"/>
        <v>0.218351259288107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0.10127413227397265</v>
      </c>
      <c r="C167" s="140">
        <f t="shared" ref="C167:W167" si="158">IF(C75=0,0,C75/C$64)</f>
        <v>9.5419646100715336E-2</v>
      </c>
      <c r="D167" s="140">
        <f t="shared" si="158"/>
        <v>8.5218761237385809E-2</v>
      </c>
      <c r="E167" s="140">
        <f t="shared" si="158"/>
        <v>8.7058967992632824E-2</v>
      </c>
      <c r="F167" s="140">
        <f t="shared" si="158"/>
        <v>8.0430152296959587E-2</v>
      </c>
      <c r="G167" s="140">
        <f t="shared" si="158"/>
        <v>7.8789924830080516E-2</v>
      </c>
      <c r="H167" s="140">
        <f t="shared" si="158"/>
        <v>7.4655501996993515E-2</v>
      </c>
      <c r="I167" s="140">
        <f t="shared" si="158"/>
        <v>7.6859857054500907E-2</v>
      </c>
      <c r="J167" s="140">
        <f t="shared" si="158"/>
        <v>8.2510513044248154E-2</v>
      </c>
      <c r="K167" s="140">
        <f t="shared" si="158"/>
        <v>7.9660473724406475E-2</v>
      </c>
      <c r="L167" s="140">
        <f t="shared" si="158"/>
        <v>8.4363438719404799E-2</v>
      </c>
      <c r="M167" s="140">
        <f t="shared" si="158"/>
        <v>9.0814567117408707E-2</v>
      </c>
      <c r="N167" s="140">
        <f t="shared" si="158"/>
        <v>8.7900921193510589E-2</v>
      </c>
      <c r="O167" s="140">
        <f t="shared" si="158"/>
        <v>8.6176116006537906E-2</v>
      </c>
      <c r="P167" s="140">
        <f t="shared" si="158"/>
        <v>8.9741838817602698E-2</v>
      </c>
      <c r="Q167" s="140">
        <f t="shared" si="158"/>
        <v>9.1286955110914711E-2</v>
      </c>
      <c r="R167" s="140">
        <f t="shared" si="158"/>
        <v>9.7620435715346066E-2</v>
      </c>
      <c r="S167" s="140">
        <f t="shared" si="158"/>
        <v>0.11079920767389238</v>
      </c>
      <c r="T167" s="140">
        <f t="shared" si="158"/>
        <v>0.11605750670365787</v>
      </c>
      <c r="U167" s="140">
        <f t="shared" si="158"/>
        <v>0.11707299993887632</v>
      </c>
      <c r="V167" s="140">
        <f t="shared" si="158"/>
        <v>6.3722443930111769E-2</v>
      </c>
      <c r="W167" s="140">
        <f t="shared" si="158"/>
        <v>8.6694553679901032E-2</v>
      </c>
      <c r="X167" s="140">
        <f t="shared" ref="X167:Y167" si="159">IF(X75=0,0,X75/X$64)</f>
        <v>0.12239051703706999</v>
      </c>
      <c r="Y167" s="140">
        <f t="shared" si="159"/>
        <v>0.12296181371461658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8.6620515883838747E-2</v>
      </c>
      <c r="C168" s="140">
        <f t="shared" ref="C168:W168" si="160">IF(C76=0,0,C76/C$64)</f>
        <v>7.769297059332636E-2</v>
      </c>
      <c r="D168" s="140">
        <f t="shared" si="160"/>
        <v>5.9896882332169957E-2</v>
      </c>
      <c r="E168" s="140">
        <f t="shared" si="160"/>
        <v>6.2865791974434232E-2</v>
      </c>
      <c r="F168" s="140">
        <f t="shared" si="160"/>
        <v>6.4826702649311216E-2</v>
      </c>
      <c r="G168" s="140">
        <f t="shared" si="160"/>
        <v>6.3527779329409839E-2</v>
      </c>
      <c r="H168" s="140">
        <f t="shared" si="160"/>
        <v>5.8918438709953218E-2</v>
      </c>
      <c r="I168" s="140">
        <f t="shared" si="160"/>
        <v>5.8769750620097386E-2</v>
      </c>
      <c r="J168" s="140">
        <f t="shared" si="160"/>
        <v>6.536496084130726E-2</v>
      </c>
      <c r="K168" s="140">
        <f t="shared" si="160"/>
        <v>6.737803605909308E-2</v>
      </c>
      <c r="L168" s="140">
        <f t="shared" si="160"/>
        <v>7.1664886704212755E-2</v>
      </c>
      <c r="M168" s="140">
        <f t="shared" si="160"/>
        <v>7.7381218262942406E-2</v>
      </c>
      <c r="N168" s="140">
        <f t="shared" si="160"/>
        <v>7.6887419898464315E-2</v>
      </c>
      <c r="O168" s="140">
        <f t="shared" si="160"/>
        <v>7.6290645866694443E-2</v>
      </c>
      <c r="P168" s="140">
        <f t="shared" si="160"/>
        <v>7.8671768147812973E-2</v>
      </c>
      <c r="Q168" s="140">
        <f t="shared" si="160"/>
        <v>7.8891961123624288E-2</v>
      </c>
      <c r="R168" s="140">
        <f t="shared" si="160"/>
        <v>7.9963034627548626E-2</v>
      </c>
      <c r="S168" s="140">
        <f t="shared" si="160"/>
        <v>8.7054155017665003E-2</v>
      </c>
      <c r="T168" s="140">
        <f t="shared" si="160"/>
        <v>9.2608960520197695E-2</v>
      </c>
      <c r="U168" s="140">
        <f t="shared" si="160"/>
        <v>9.8376486105433883E-2</v>
      </c>
      <c r="V168" s="140">
        <f t="shared" si="160"/>
        <v>6.5009120838692619E-2</v>
      </c>
      <c r="W168" s="140">
        <f t="shared" si="160"/>
        <v>7.4438873770403841E-2</v>
      </c>
      <c r="X168" s="140">
        <f t="shared" ref="X168:Y168" si="161">IF(X76=0,0,X76/X$64)</f>
        <v>8.9862612500807182E-2</v>
      </c>
      <c r="Y168" s="140">
        <f t="shared" si="161"/>
        <v>9.5389445573490411E-2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0.79745754403972002</v>
      </c>
      <c r="C170" s="139">
        <f t="shared" ref="C170:W170" si="165">IF(C78=0,0,C78/C$77)</f>
        <v>0.82539439640886103</v>
      </c>
      <c r="D170" s="139">
        <f t="shared" si="165"/>
        <v>0.83899130715303782</v>
      </c>
      <c r="E170" s="139">
        <f t="shared" si="165"/>
        <v>0.8218781839195145</v>
      </c>
      <c r="F170" s="139">
        <f t="shared" si="165"/>
        <v>0.84600951530131374</v>
      </c>
      <c r="G170" s="139">
        <f t="shared" si="165"/>
        <v>0.84964725076854342</v>
      </c>
      <c r="H170" s="139">
        <f t="shared" si="165"/>
        <v>0.8509773421917185</v>
      </c>
      <c r="I170" s="139">
        <f t="shared" si="165"/>
        <v>0.83814473131623779</v>
      </c>
      <c r="J170" s="139">
        <f t="shared" si="165"/>
        <v>0.83811303595972297</v>
      </c>
      <c r="K170" s="139">
        <f t="shared" si="165"/>
        <v>0.86858062519231871</v>
      </c>
      <c r="L170" s="139">
        <f t="shared" si="165"/>
        <v>0.84554089657232445</v>
      </c>
      <c r="M170" s="139">
        <f t="shared" si="165"/>
        <v>0.84472331257436639</v>
      </c>
      <c r="N170" s="139">
        <f t="shared" si="165"/>
        <v>0.8570139672067868</v>
      </c>
      <c r="O170" s="139">
        <f t="shared" si="165"/>
        <v>0.86333512869081008</v>
      </c>
      <c r="P170" s="139">
        <f t="shared" si="165"/>
        <v>0.86769042516302264</v>
      </c>
      <c r="Q170" s="139">
        <f t="shared" si="165"/>
        <v>0.86713901499804413</v>
      </c>
      <c r="R170" s="139">
        <f t="shared" si="165"/>
        <v>0.87823941354469304</v>
      </c>
      <c r="S170" s="139">
        <f t="shared" si="165"/>
        <v>0.86984914442327832</v>
      </c>
      <c r="T170" s="139">
        <f t="shared" si="165"/>
        <v>0.86553144440464236</v>
      </c>
      <c r="U170" s="139">
        <f t="shared" si="165"/>
        <v>0.8658602169655284</v>
      </c>
      <c r="V170" s="139">
        <f t="shared" si="165"/>
        <v>0.77784883359934232</v>
      </c>
      <c r="W170" s="139">
        <f t="shared" si="165"/>
        <v>0.78819642597851403</v>
      </c>
      <c r="X170" s="139">
        <f t="shared" ref="X170:Y170" si="166">IF(X78=0,0,X78/X$77)</f>
        <v>0.81249105592775694</v>
      </c>
      <c r="Y170" s="139">
        <f t="shared" si="166"/>
        <v>0.83035999563276452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0.3998990358019216</v>
      </c>
      <c r="C171" s="140">
        <f t="shared" ref="C171:W171" si="167">IF(C79=0,0,C79/C$77)</f>
        <v>0.37930467611308355</v>
      </c>
      <c r="D171" s="140">
        <f t="shared" si="167"/>
        <v>0.38898966427395781</v>
      </c>
      <c r="E171" s="140">
        <f t="shared" si="167"/>
        <v>0.37565897492090805</v>
      </c>
      <c r="F171" s="140">
        <f t="shared" si="167"/>
        <v>0.36997751064737205</v>
      </c>
      <c r="G171" s="140">
        <f t="shared" si="167"/>
        <v>0.37498915319746673</v>
      </c>
      <c r="H171" s="140">
        <f t="shared" si="167"/>
        <v>0.36737797336838568</v>
      </c>
      <c r="I171" s="140">
        <f t="shared" si="167"/>
        <v>0.36450650446199562</v>
      </c>
      <c r="J171" s="140">
        <f t="shared" si="167"/>
        <v>0.37492296626227095</v>
      </c>
      <c r="K171" s="140">
        <f t="shared" si="167"/>
        <v>0.39429521068662265</v>
      </c>
      <c r="L171" s="140">
        <f t="shared" si="167"/>
        <v>0.38009222241167379</v>
      </c>
      <c r="M171" s="140">
        <f t="shared" si="167"/>
        <v>0.38355975510288337</v>
      </c>
      <c r="N171" s="140">
        <f t="shared" si="167"/>
        <v>0.39508041178229075</v>
      </c>
      <c r="O171" s="140">
        <f t="shared" si="167"/>
        <v>0.37724129903610248</v>
      </c>
      <c r="P171" s="140">
        <f t="shared" si="167"/>
        <v>0.38321719685432937</v>
      </c>
      <c r="Q171" s="140">
        <f t="shared" si="167"/>
        <v>0.36814222358389376</v>
      </c>
      <c r="R171" s="140">
        <f t="shared" si="167"/>
        <v>0.32761693343614678</v>
      </c>
      <c r="S171" s="140">
        <f t="shared" si="167"/>
        <v>0.29526171743562191</v>
      </c>
      <c r="T171" s="140">
        <f t="shared" si="167"/>
        <v>0.29282149450432499</v>
      </c>
      <c r="U171" s="140">
        <f t="shared" si="167"/>
        <v>0.29313297733695715</v>
      </c>
      <c r="V171" s="140">
        <f t="shared" si="167"/>
        <v>0.26016213998801796</v>
      </c>
      <c r="W171" s="140">
        <f t="shared" si="167"/>
        <v>0.28309722747859639</v>
      </c>
      <c r="X171" s="140">
        <f t="shared" ref="X171:Y171" si="168">IF(X79=0,0,X79/X$77)</f>
        <v>0.2867978299340091</v>
      </c>
      <c r="Y171" s="140">
        <f t="shared" si="168"/>
        <v>0.30181480978563902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0.39755850823779842</v>
      </c>
      <c r="C172" s="140">
        <f t="shared" ref="C172:W172" si="169">IF(C80=0,0,C80/C$77)</f>
        <v>0.44608972029577754</v>
      </c>
      <c r="D172" s="140">
        <f t="shared" si="169"/>
        <v>0.45000164287908007</v>
      </c>
      <c r="E172" s="140">
        <f t="shared" si="169"/>
        <v>0.44621920899860645</v>
      </c>
      <c r="F172" s="140">
        <f t="shared" si="169"/>
        <v>0.47603200465394169</v>
      </c>
      <c r="G172" s="140">
        <f t="shared" si="169"/>
        <v>0.47465809757107669</v>
      </c>
      <c r="H172" s="140">
        <f t="shared" si="169"/>
        <v>0.48359936882333288</v>
      </c>
      <c r="I172" s="140">
        <f t="shared" si="169"/>
        <v>0.47363822685424217</v>
      </c>
      <c r="J172" s="140">
        <f t="shared" si="169"/>
        <v>0.46319006969745208</v>
      </c>
      <c r="K172" s="140">
        <f t="shared" si="169"/>
        <v>0.47428541450569617</v>
      </c>
      <c r="L172" s="140">
        <f t="shared" si="169"/>
        <v>0.46544867416065067</v>
      </c>
      <c r="M172" s="140">
        <f t="shared" si="169"/>
        <v>0.46116355747148297</v>
      </c>
      <c r="N172" s="140">
        <f t="shared" si="169"/>
        <v>0.46193355542449599</v>
      </c>
      <c r="O172" s="140">
        <f t="shared" si="169"/>
        <v>0.48609382965470754</v>
      </c>
      <c r="P172" s="140">
        <f t="shared" si="169"/>
        <v>0.48447322830869333</v>
      </c>
      <c r="Q172" s="140">
        <f t="shared" si="169"/>
        <v>0.49899679141415032</v>
      </c>
      <c r="R172" s="140">
        <f t="shared" si="169"/>
        <v>0.55062248010854631</v>
      </c>
      <c r="S172" s="140">
        <f t="shared" si="169"/>
        <v>0.57458742698765641</v>
      </c>
      <c r="T172" s="140">
        <f t="shared" si="169"/>
        <v>0.57270994990031743</v>
      </c>
      <c r="U172" s="140">
        <f t="shared" si="169"/>
        <v>0.57272723962857119</v>
      </c>
      <c r="V172" s="140">
        <f t="shared" si="169"/>
        <v>0.51768669361132436</v>
      </c>
      <c r="W172" s="140">
        <f t="shared" si="169"/>
        <v>0.50509919849991758</v>
      </c>
      <c r="X172" s="140">
        <f t="shared" ref="X172:Y172" si="170">IF(X80=0,0,X80/X$77)</f>
        <v>0.52569322599374779</v>
      </c>
      <c r="Y172" s="140">
        <f t="shared" si="170"/>
        <v>0.52854518584712551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1.3887120753922805E-2</v>
      </c>
      <c r="C173" s="124">
        <f t="shared" ref="C173:W173" si="171">IF(C81=0,0,C81/C$77)</f>
        <v>1.1004279761672522E-2</v>
      </c>
      <c r="D173" s="124">
        <f t="shared" si="171"/>
        <v>8.9626869624575157E-3</v>
      </c>
      <c r="E173" s="124">
        <f t="shared" si="171"/>
        <v>7.6294696132905076E-3</v>
      </c>
      <c r="F173" s="124">
        <f t="shared" si="171"/>
        <v>7.0228218607882179E-3</v>
      </c>
      <c r="G173" s="124">
        <f t="shared" si="171"/>
        <v>7.5299784571342503E-3</v>
      </c>
      <c r="H173" s="124">
        <f t="shared" si="171"/>
        <v>8.2295517003071264E-3</v>
      </c>
      <c r="I173" s="124">
        <f t="shared" si="171"/>
        <v>8.5838272677677026E-3</v>
      </c>
      <c r="J173" s="124">
        <f t="shared" si="171"/>
        <v>7.4612181826382616E-3</v>
      </c>
      <c r="K173" s="124">
        <f t="shared" si="171"/>
        <v>4.6169694746875847E-3</v>
      </c>
      <c r="L173" s="124">
        <f t="shared" si="171"/>
        <v>4.2043285565674677E-3</v>
      </c>
      <c r="M173" s="124">
        <f t="shared" si="171"/>
        <v>3.9886746107862742E-3</v>
      </c>
      <c r="N173" s="124">
        <f t="shared" si="171"/>
        <v>4.9597986176540551E-3</v>
      </c>
      <c r="O173" s="124">
        <f t="shared" si="171"/>
        <v>3.9446318110284203E-3</v>
      </c>
      <c r="P173" s="124">
        <f t="shared" si="171"/>
        <v>3.3717322407081371E-3</v>
      </c>
      <c r="Q173" s="124">
        <f t="shared" si="171"/>
        <v>2.8865011211743987E-3</v>
      </c>
      <c r="R173" s="124">
        <f t="shared" si="171"/>
        <v>2.9483843225544116E-3</v>
      </c>
      <c r="S173" s="124">
        <f t="shared" si="171"/>
        <v>3.2577136352149095E-3</v>
      </c>
      <c r="T173" s="124">
        <f t="shared" si="171"/>
        <v>4.1689466540170798E-3</v>
      </c>
      <c r="U173" s="124">
        <f t="shared" si="171"/>
        <v>4.4124978314690668E-3</v>
      </c>
      <c r="V173" s="124">
        <f t="shared" si="171"/>
        <v>4.5471183673492666E-3</v>
      </c>
      <c r="W173" s="124">
        <f t="shared" si="171"/>
        <v>4.1454306325933183E-3</v>
      </c>
      <c r="X173" s="124">
        <f t="shared" ref="X173:Y173" si="172">IF(X81=0,0,X81/X$77)</f>
        <v>4.0494866984533678E-3</v>
      </c>
      <c r="Y173" s="124">
        <f t="shared" si="172"/>
        <v>3.8290841848259696E-3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7.4591251809887377E-2</v>
      </c>
      <c r="C174" s="124">
        <f t="shared" ref="C174:W174" si="173">IF(C82=0,0,C82/C$77)</f>
        <v>6.0982974762969197E-2</v>
      </c>
      <c r="D174" s="124">
        <f t="shared" si="173"/>
        <v>6.0840553271142857E-2</v>
      </c>
      <c r="E174" s="124">
        <f t="shared" si="173"/>
        <v>7.2569236329542416E-2</v>
      </c>
      <c r="F174" s="124">
        <f t="shared" si="173"/>
        <v>6.6892065648492705E-2</v>
      </c>
      <c r="G174" s="124">
        <f t="shared" si="173"/>
        <v>6.8231723317082341E-2</v>
      </c>
      <c r="H174" s="124">
        <f t="shared" si="173"/>
        <v>9.5601097955321859E-2</v>
      </c>
      <c r="I174" s="124">
        <f t="shared" si="173"/>
        <v>0.10840335823252435</v>
      </c>
      <c r="J174" s="124">
        <f t="shared" si="173"/>
        <v>0.10793495050994806</v>
      </c>
      <c r="K174" s="124">
        <f t="shared" si="173"/>
        <v>8.4311058278828135E-2</v>
      </c>
      <c r="L174" s="124">
        <f t="shared" si="173"/>
        <v>0.10046579627192524</v>
      </c>
      <c r="M174" s="124">
        <f t="shared" si="173"/>
        <v>0.10243815468513005</v>
      </c>
      <c r="N174" s="124">
        <f t="shared" si="173"/>
        <v>8.7873376681480486E-2</v>
      </c>
      <c r="O174" s="124">
        <f t="shared" si="173"/>
        <v>8.0560455018346147E-2</v>
      </c>
      <c r="P174" s="124">
        <f t="shared" si="173"/>
        <v>7.8834108161790692E-2</v>
      </c>
      <c r="Q174" s="124">
        <f t="shared" si="173"/>
        <v>8.6882061261947932E-2</v>
      </c>
      <c r="R174" s="124">
        <f t="shared" si="173"/>
        <v>7.8403267431421939E-2</v>
      </c>
      <c r="S174" s="124">
        <f t="shared" si="173"/>
        <v>8.6537880008328072E-2</v>
      </c>
      <c r="T174" s="124">
        <f t="shared" si="173"/>
        <v>9.1717205972982344E-2</v>
      </c>
      <c r="U174" s="124">
        <f t="shared" si="173"/>
        <v>8.7565314611902936E-2</v>
      </c>
      <c r="V174" s="124">
        <f t="shared" si="173"/>
        <v>0.17145845004253948</v>
      </c>
      <c r="W174" s="124">
        <f t="shared" si="173"/>
        <v>0.16876276155904732</v>
      </c>
      <c r="X174" s="124">
        <f t="shared" ref="X174:Y174" si="174">IF(X82=0,0,X82/X$77)</f>
        <v>0.14234653573055073</v>
      </c>
      <c r="Y174" s="124">
        <f t="shared" si="174"/>
        <v>0.12776893632831343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2.1912041235426685E-2</v>
      </c>
      <c r="C176" s="140">
        <f t="shared" ref="C176:W176" si="177">IF(C84=0,0,C84/C$77)</f>
        <v>1.5703289185676182E-2</v>
      </c>
      <c r="D176" s="140">
        <f t="shared" si="177"/>
        <v>1.4883136542552529E-2</v>
      </c>
      <c r="E176" s="140">
        <f t="shared" si="177"/>
        <v>1.4421776816074457E-2</v>
      </c>
      <c r="F176" s="140">
        <f t="shared" si="177"/>
        <v>1.3462393751396511E-2</v>
      </c>
      <c r="G176" s="140">
        <f t="shared" si="177"/>
        <v>1.4804483464321998E-2</v>
      </c>
      <c r="H176" s="140">
        <f t="shared" si="177"/>
        <v>2.7209237285148864E-2</v>
      </c>
      <c r="I176" s="140">
        <f t="shared" si="177"/>
        <v>2.8408247240983092E-2</v>
      </c>
      <c r="J176" s="140">
        <f t="shared" si="177"/>
        <v>2.3758872815849513E-2</v>
      </c>
      <c r="K176" s="140">
        <f t="shared" si="177"/>
        <v>1.8430362637505898E-2</v>
      </c>
      <c r="L176" s="140">
        <f t="shared" si="177"/>
        <v>1.8727541122003623E-2</v>
      </c>
      <c r="M176" s="140">
        <f t="shared" si="177"/>
        <v>1.8381242354131425E-2</v>
      </c>
      <c r="N176" s="140">
        <f t="shared" si="177"/>
        <v>1.819311027192386E-2</v>
      </c>
      <c r="O176" s="140">
        <f t="shared" si="177"/>
        <v>1.8108447488756053E-2</v>
      </c>
      <c r="P176" s="140">
        <f t="shared" si="177"/>
        <v>1.7557696853888523E-2</v>
      </c>
      <c r="Q176" s="140">
        <f t="shared" si="177"/>
        <v>1.7324122308420904E-2</v>
      </c>
      <c r="R176" s="140">
        <f t="shared" si="177"/>
        <v>1.5322475626862632E-2</v>
      </c>
      <c r="S176" s="140">
        <f t="shared" si="177"/>
        <v>1.8173021901774781E-2</v>
      </c>
      <c r="T176" s="140">
        <f t="shared" si="177"/>
        <v>2.1513068566836952E-2</v>
      </c>
      <c r="U176" s="140">
        <f t="shared" si="177"/>
        <v>2.1061009847080366E-2</v>
      </c>
      <c r="V176" s="140">
        <f t="shared" si="177"/>
        <v>2.8780540452471731E-2</v>
      </c>
      <c r="W176" s="140">
        <f t="shared" si="177"/>
        <v>3.3640025907185914E-2</v>
      </c>
      <c r="X176" s="140">
        <f t="shared" ref="X176:Y176" si="178">IF(X84=0,0,X84/X$77)</f>
        <v>1.9822537708521763E-2</v>
      </c>
      <c r="Y176" s="140">
        <f t="shared" si="178"/>
        <v>1.9045132084218059E-2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5.2679210574460691E-2</v>
      </c>
      <c r="C177" s="140">
        <f t="shared" ref="C177:W177" si="179">IF(C85=0,0,C85/C$77)</f>
        <v>4.5279685577293012E-2</v>
      </c>
      <c r="D177" s="140">
        <f t="shared" si="179"/>
        <v>4.5957416728590328E-2</v>
      </c>
      <c r="E177" s="140">
        <f t="shared" si="179"/>
        <v>5.8147459513467961E-2</v>
      </c>
      <c r="F177" s="140">
        <f t="shared" si="179"/>
        <v>5.3429671897096194E-2</v>
      </c>
      <c r="G177" s="140">
        <f t="shared" si="179"/>
        <v>5.342723985276035E-2</v>
      </c>
      <c r="H177" s="140">
        <f t="shared" si="179"/>
        <v>6.8391860670172999E-2</v>
      </c>
      <c r="I177" s="140">
        <f t="shared" si="179"/>
        <v>7.9995110991541274E-2</v>
      </c>
      <c r="J177" s="140">
        <f t="shared" si="179"/>
        <v>8.4176077694098558E-2</v>
      </c>
      <c r="K177" s="140">
        <f t="shared" si="179"/>
        <v>6.5880695641322234E-2</v>
      </c>
      <c r="L177" s="140">
        <f t="shared" si="179"/>
        <v>8.1738255149921613E-2</v>
      </c>
      <c r="M177" s="140">
        <f t="shared" si="179"/>
        <v>8.4056912330998629E-2</v>
      </c>
      <c r="N177" s="140">
        <f t="shared" si="179"/>
        <v>6.9680266409556629E-2</v>
      </c>
      <c r="O177" s="140">
        <f t="shared" si="179"/>
        <v>6.2452007529590084E-2</v>
      </c>
      <c r="P177" s="140">
        <f t="shared" si="179"/>
        <v>6.1276411307902179E-2</v>
      </c>
      <c r="Q177" s="140">
        <f t="shared" si="179"/>
        <v>6.9557938953527035E-2</v>
      </c>
      <c r="R177" s="140">
        <f t="shared" si="179"/>
        <v>6.3080791804559305E-2</v>
      </c>
      <c r="S177" s="140">
        <f t="shared" si="179"/>
        <v>6.8364858106553295E-2</v>
      </c>
      <c r="T177" s="140">
        <f t="shared" si="179"/>
        <v>7.0204137406145381E-2</v>
      </c>
      <c r="U177" s="140">
        <f t="shared" si="179"/>
        <v>6.6504304764822567E-2</v>
      </c>
      <c r="V177" s="140">
        <f t="shared" si="179"/>
        <v>0.14267790959006776</v>
      </c>
      <c r="W177" s="140">
        <f t="shared" si="179"/>
        <v>0.13512273565186139</v>
      </c>
      <c r="X177" s="140">
        <f t="shared" ref="X177:Y177" si="180">IF(X85=0,0,X85/X$77)</f>
        <v>0.12252399802202897</v>
      </c>
      <c r="Y177" s="140">
        <f t="shared" si="180"/>
        <v>0.10872380424409536</v>
      </c>
      <c r="DA177" s="175"/>
    </row>
    <row r="178" spans="1:105" ht="11.45" customHeight="1" x14ac:dyDescent="0.25">
      <c r="A178" s="109" t="s">
        <v>141</v>
      </c>
      <c r="B178" s="124">
        <f t="shared" si="162"/>
        <v>0.11406408339646983</v>
      </c>
      <c r="C178" s="124">
        <f t="shared" ref="C178:W178" si="181">IF(C86=0,0,C86/C$77)</f>
        <v>0.10261834906649733</v>
      </c>
      <c r="D178" s="124">
        <f t="shared" si="181"/>
        <v>9.1205452613361659E-2</v>
      </c>
      <c r="E178" s="124">
        <f t="shared" si="181"/>
        <v>9.792311013765255E-2</v>
      </c>
      <c r="F178" s="124">
        <f t="shared" si="181"/>
        <v>8.0075597189405448E-2</v>
      </c>
      <c r="G178" s="124">
        <f t="shared" si="181"/>
        <v>7.4591047457239906E-2</v>
      </c>
      <c r="H178" s="124">
        <f t="shared" si="181"/>
        <v>4.5192008152652466E-2</v>
      </c>
      <c r="I178" s="124">
        <f t="shared" si="181"/>
        <v>4.4868083183470152E-2</v>
      </c>
      <c r="J178" s="124">
        <f t="shared" si="181"/>
        <v>4.649079534769069E-2</v>
      </c>
      <c r="K178" s="124">
        <f t="shared" si="181"/>
        <v>4.2491347054165587E-2</v>
      </c>
      <c r="L178" s="124">
        <f t="shared" si="181"/>
        <v>4.978897859918293E-2</v>
      </c>
      <c r="M178" s="124">
        <f t="shared" si="181"/>
        <v>4.8849858129717282E-2</v>
      </c>
      <c r="N178" s="124">
        <f t="shared" si="181"/>
        <v>5.0152857494078724E-2</v>
      </c>
      <c r="O178" s="124">
        <f t="shared" si="181"/>
        <v>5.2159784479815521E-2</v>
      </c>
      <c r="P178" s="124">
        <f t="shared" si="181"/>
        <v>5.0103734434478388E-2</v>
      </c>
      <c r="Q178" s="124">
        <f t="shared" si="181"/>
        <v>4.3092422618833594E-2</v>
      </c>
      <c r="R178" s="124">
        <f t="shared" si="181"/>
        <v>4.0408934701330744E-2</v>
      </c>
      <c r="S178" s="124">
        <f t="shared" si="181"/>
        <v>4.035526193317876E-2</v>
      </c>
      <c r="T178" s="124">
        <f t="shared" si="181"/>
        <v>3.8582402968358277E-2</v>
      </c>
      <c r="U178" s="124">
        <f t="shared" si="181"/>
        <v>4.2161970591099621E-2</v>
      </c>
      <c r="V178" s="124">
        <f t="shared" si="181"/>
        <v>4.6145597990768887E-2</v>
      </c>
      <c r="W178" s="124">
        <f t="shared" si="181"/>
        <v>3.8895381829845317E-2</v>
      </c>
      <c r="X178" s="124">
        <f t="shared" ref="X178:Y178" si="182">IF(X86=0,0,X86/X$77)</f>
        <v>4.1112921643239111E-2</v>
      </c>
      <c r="Y178" s="124">
        <f t="shared" si="182"/>
        <v>3.8041983854096142E-2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6.6282995280499647E-3</v>
      </c>
      <c r="C179" s="140">
        <f t="shared" ref="C179:W179" si="183">IF(C87=0,0,C87/C$77)</f>
        <v>5.051566224433081E-3</v>
      </c>
      <c r="D179" s="140">
        <f t="shared" si="183"/>
        <v>3.9026322619246357E-3</v>
      </c>
      <c r="E179" s="140">
        <f t="shared" si="183"/>
        <v>3.6497877033812476E-3</v>
      </c>
      <c r="F179" s="140">
        <f t="shared" si="183"/>
        <v>2.2212634787244006E-3</v>
      </c>
      <c r="G179" s="140">
        <f t="shared" si="183"/>
        <v>3.904340556685064E-3</v>
      </c>
      <c r="H179" s="140">
        <f t="shared" si="183"/>
        <v>3.1749604556372858E-3</v>
      </c>
      <c r="I179" s="140">
        <f t="shared" si="183"/>
        <v>3.4600584806372004E-3</v>
      </c>
      <c r="J179" s="140">
        <f t="shared" si="183"/>
        <v>3.916332533710991E-3</v>
      </c>
      <c r="K179" s="140">
        <f t="shared" si="183"/>
        <v>2.4399551340167831E-3</v>
      </c>
      <c r="L179" s="140">
        <f t="shared" si="183"/>
        <v>2.4277511726145374E-3</v>
      </c>
      <c r="M179" s="140">
        <f t="shared" si="183"/>
        <v>2.1609086324849043E-3</v>
      </c>
      <c r="N179" s="140">
        <f t="shared" si="183"/>
        <v>2.0175615868934073E-3</v>
      </c>
      <c r="O179" s="140">
        <f t="shared" si="183"/>
        <v>2.1027731618446267E-3</v>
      </c>
      <c r="P179" s="140">
        <f t="shared" si="183"/>
        <v>2.0349305250413549E-3</v>
      </c>
      <c r="Q179" s="140">
        <f t="shared" si="183"/>
        <v>1.5774071170218805E-3</v>
      </c>
      <c r="R179" s="140">
        <f t="shared" si="183"/>
        <v>1.7598192819770536E-3</v>
      </c>
      <c r="S179" s="140">
        <f t="shared" si="183"/>
        <v>1.358021834814995E-3</v>
      </c>
      <c r="T179" s="140">
        <f t="shared" si="183"/>
        <v>1.6795817127022727E-3</v>
      </c>
      <c r="U179" s="140">
        <f t="shared" si="183"/>
        <v>2.2518687100426256E-3</v>
      </c>
      <c r="V179" s="140">
        <f t="shared" si="183"/>
        <v>2.5070049065697244E-3</v>
      </c>
      <c r="W179" s="140">
        <f t="shared" si="183"/>
        <v>2.5121819523559285E-3</v>
      </c>
      <c r="X179" s="140">
        <f t="shared" ref="X179:Y179" si="184">IF(X87=0,0,X87/X$77)</f>
        <v>2.9664720493954178E-3</v>
      </c>
      <c r="Y179" s="140">
        <f t="shared" si="184"/>
        <v>2.3979027600993298E-3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0.10743578386841986</v>
      </c>
      <c r="C180" s="127">
        <f t="shared" ref="C180:W180" si="185">IF(C88=0,0,C88/C$77)</f>
        <v>9.7566782842064256E-2</v>
      </c>
      <c r="D180" s="127">
        <f t="shared" si="185"/>
        <v>8.7302820351437022E-2</v>
      </c>
      <c r="E180" s="127">
        <f t="shared" si="185"/>
        <v>9.4273322434271306E-2</v>
      </c>
      <c r="F180" s="127">
        <f t="shared" si="185"/>
        <v>7.7854333710681053E-2</v>
      </c>
      <c r="G180" s="127">
        <f t="shared" si="185"/>
        <v>7.0686706900554841E-2</v>
      </c>
      <c r="H180" s="127">
        <f t="shared" si="185"/>
        <v>4.2017047697015177E-2</v>
      </c>
      <c r="I180" s="127">
        <f t="shared" si="185"/>
        <v>4.140802470283296E-2</v>
      </c>
      <c r="J180" s="127">
        <f t="shared" si="185"/>
        <v>4.2574462813979697E-2</v>
      </c>
      <c r="K180" s="127">
        <f t="shared" si="185"/>
        <v>4.0051391920148803E-2</v>
      </c>
      <c r="L180" s="127">
        <f t="shared" si="185"/>
        <v>4.7361227426568391E-2</v>
      </c>
      <c r="M180" s="127">
        <f t="shared" si="185"/>
        <v>4.6688949497232374E-2</v>
      </c>
      <c r="N180" s="127">
        <f t="shared" si="185"/>
        <v>4.8135295907185315E-2</v>
      </c>
      <c r="O180" s="127">
        <f t="shared" si="185"/>
        <v>5.0057011317970891E-2</v>
      </c>
      <c r="P180" s="127">
        <f t="shared" si="185"/>
        <v>4.8068803909437026E-2</v>
      </c>
      <c r="Q180" s="127">
        <f t="shared" si="185"/>
        <v>4.1515015501811713E-2</v>
      </c>
      <c r="R180" s="127">
        <f t="shared" si="185"/>
        <v>3.8649115419353688E-2</v>
      </c>
      <c r="S180" s="127">
        <f t="shared" si="185"/>
        <v>3.8997240098363764E-2</v>
      </c>
      <c r="T180" s="127">
        <f t="shared" si="185"/>
        <v>3.6902821255656006E-2</v>
      </c>
      <c r="U180" s="127">
        <f t="shared" si="185"/>
        <v>3.9910101881056995E-2</v>
      </c>
      <c r="V180" s="127">
        <f t="shared" si="185"/>
        <v>4.3638593084199158E-2</v>
      </c>
      <c r="W180" s="127">
        <f t="shared" si="185"/>
        <v>3.6383199877489392E-2</v>
      </c>
      <c r="X180" s="127">
        <f t="shared" ref="X180:Y180" si="186">IF(X88=0,0,X88/X$77)</f>
        <v>3.8146449593843695E-2</v>
      </c>
      <c r="Y180" s="127">
        <f t="shared" si="186"/>
        <v>3.5644081093996811E-2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0.30053710160292896</v>
      </c>
      <c r="C182" s="140">
        <f t="shared" ref="C182:W182" si="189">IF(C90=0,0,C90/C$89)</f>
        <v>0.30890479065364701</v>
      </c>
      <c r="D182" s="140">
        <f t="shared" si="189"/>
        <v>0.2911428146109592</v>
      </c>
      <c r="E182" s="140">
        <f t="shared" si="189"/>
        <v>0.29031144842911605</v>
      </c>
      <c r="F182" s="140">
        <f t="shared" si="189"/>
        <v>0.26078959748526293</v>
      </c>
      <c r="G182" s="140">
        <f t="shared" si="189"/>
        <v>0.23419699909708555</v>
      </c>
      <c r="H182" s="140">
        <f t="shared" si="189"/>
        <v>0.22871207682688391</v>
      </c>
      <c r="I182" s="140">
        <f t="shared" si="189"/>
        <v>0.22176205287431006</v>
      </c>
      <c r="J182" s="140">
        <f t="shared" si="189"/>
        <v>0.21980586272369268</v>
      </c>
      <c r="K182" s="140">
        <f t="shared" si="189"/>
        <v>0.21662866596116112</v>
      </c>
      <c r="L182" s="140">
        <f t="shared" si="189"/>
        <v>0.23601340258209438</v>
      </c>
      <c r="M182" s="140">
        <f t="shared" si="189"/>
        <v>0.22255938075043044</v>
      </c>
      <c r="N182" s="140">
        <f t="shared" si="189"/>
        <v>0.24068298432227891</v>
      </c>
      <c r="O182" s="140">
        <f t="shared" si="189"/>
        <v>0.25087380506371543</v>
      </c>
      <c r="P182" s="140">
        <f t="shared" si="189"/>
        <v>0.25930313793014509</v>
      </c>
      <c r="Q182" s="140">
        <f t="shared" si="189"/>
        <v>0.26751816578797794</v>
      </c>
      <c r="R182" s="140">
        <f t="shared" si="189"/>
        <v>0.30499859326020173</v>
      </c>
      <c r="S182" s="140">
        <f t="shared" si="189"/>
        <v>0.28103953476409022</v>
      </c>
      <c r="T182" s="140">
        <f t="shared" si="189"/>
        <v>0.26632273548902169</v>
      </c>
      <c r="U182" s="140">
        <f t="shared" si="189"/>
        <v>0.2770942628308708</v>
      </c>
      <c r="V182" s="140">
        <f t="shared" si="189"/>
        <v>0.24146842060383555</v>
      </c>
      <c r="W182" s="140">
        <f t="shared" si="189"/>
        <v>0.25246164762180306</v>
      </c>
      <c r="X182" s="140">
        <f t="shared" ref="X182:Y182" si="190">IF(X90=0,0,X90/X$89)</f>
        <v>0.27426338970948816</v>
      </c>
      <c r="Y182" s="140">
        <f t="shared" si="190"/>
        <v>0.29730195370722018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0.69946289839707099</v>
      </c>
      <c r="C183" s="127">
        <f t="shared" ref="C183:W183" si="191">IF(C91=0,0,C91/C$89)</f>
        <v>0.69109520934635305</v>
      </c>
      <c r="D183" s="127">
        <f t="shared" si="191"/>
        <v>0.70885718538904086</v>
      </c>
      <c r="E183" s="127">
        <f t="shared" si="191"/>
        <v>0.70968855157088384</v>
      </c>
      <c r="F183" s="127">
        <f t="shared" si="191"/>
        <v>0.73921040251473713</v>
      </c>
      <c r="G183" s="127">
        <f t="shared" si="191"/>
        <v>0.76580300090291442</v>
      </c>
      <c r="H183" s="127">
        <f t="shared" si="191"/>
        <v>0.77128792317311601</v>
      </c>
      <c r="I183" s="127">
        <f t="shared" si="191"/>
        <v>0.77823794712568994</v>
      </c>
      <c r="J183" s="127">
        <f t="shared" si="191"/>
        <v>0.78019413727630726</v>
      </c>
      <c r="K183" s="127">
        <f t="shared" si="191"/>
        <v>0.78337133403883896</v>
      </c>
      <c r="L183" s="127">
        <f t="shared" si="191"/>
        <v>0.76398659741790553</v>
      </c>
      <c r="M183" s="127">
        <f t="shared" si="191"/>
        <v>0.77744061924956964</v>
      </c>
      <c r="N183" s="127">
        <f t="shared" si="191"/>
        <v>0.75931701567772114</v>
      </c>
      <c r="O183" s="127">
        <f t="shared" si="191"/>
        <v>0.74912619493628452</v>
      </c>
      <c r="P183" s="127">
        <f t="shared" si="191"/>
        <v>0.74069686206985486</v>
      </c>
      <c r="Q183" s="127">
        <f t="shared" si="191"/>
        <v>0.73248183421202206</v>
      </c>
      <c r="R183" s="127">
        <f t="shared" si="191"/>
        <v>0.69500140673979827</v>
      </c>
      <c r="S183" s="127">
        <f t="shared" si="191"/>
        <v>0.71896046523590973</v>
      </c>
      <c r="T183" s="127">
        <f t="shared" si="191"/>
        <v>0.73367726451097837</v>
      </c>
      <c r="U183" s="127">
        <f t="shared" si="191"/>
        <v>0.7229057371691292</v>
      </c>
      <c r="V183" s="127">
        <f t="shared" si="191"/>
        <v>0.75853157939616445</v>
      </c>
      <c r="W183" s="127">
        <f t="shared" si="191"/>
        <v>0.74753835237819699</v>
      </c>
      <c r="X183" s="127">
        <f t="shared" ref="X183:Y183" si="192">IF(X91=0,0,X91/X$89)</f>
        <v>0.72573661029051184</v>
      </c>
      <c r="Y183" s="127">
        <f t="shared" si="192"/>
        <v>0.70269804629277977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48.220523555534058</v>
      </c>
      <c r="C186" s="32">
        <f t="shared" si="193"/>
        <v>47.646141612368922</v>
      </c>
      <c r="D186" s="32">
        <f t="shared" si="193"/>
        <v>46.733500127767428</v>
      </c>
      <c r="E186" s="32">
        <f t="shared" si="193"/>
        <v>47.942418616449437</v>
      </c>
      <c r="F186" s="32">
        <f t="shared" si="193"/>
        <v>46.699095927520275</v>
      </c>
      <c r="G186" s="32">
        <f t="shared" si="193"/>
        <v>44.77579050370062</v>
      </c>
      <c r="H186" s="32">
        <f t="shared" si="193"/>
        <v>44.664157328856177</v>
      </c>
      <c r="I186" s="32">
        <f t="shared" si="193"/>
        <v>44.723836327939537</v>
      </c>
      <c r="J186" s="32">
        <f t="shared" si="193"/>
        <v>44.662397362694968</v>
      </c>
      <c r="K186" s="32">
        <f t="shared" si="193"/>
        <v>44.563609099070078</v>
      </c>
      <c r="L186" s="32">
        <f t="shared" si="193"/>
        <v>43.320023514760848</v>
      </c>
      <c r="M186" s="32">
        <f t="shared" si="193"/>
        <v>42.471294379458115</v>
      </c>
      <c r="N186" s="32">
        <f t="shared" si="193"/>
        <v>40.965433906745105</v>
      </c>
      <c r="O186" s="32">
        <f t="shared" si="193"/>
        <v>41.316269466528915</v>
      </c>
      <c r="P186" s="32">
        <f t="shared" si="193"/>
        <v>41.253746084557754</v>
      </c>
      <c r="Q186" s="32">
        <f t="shared" si="193"/>
        <v>42.570715815149981</v>
      </c>
      <c r="R186" s="32">
        <f t="shared" si="193"/>
        <v>43.041273961432907</v>
      </c>
      <c r="S186" s="32">
        <f t="shared" si="193"/>
        <v>41.396522399121537</v>
      </c>
      <c r="T186" s="32">
        <f t="shared" si="193"/>
        <v>40.54047939425984</v>
      </c>
      <c r="U186" s="32">
        <f t="shared" si="193"/>
        <v>39.918575315631173</v>
      </c>
      <c r="V186" s="32">
        <f t="shared" si="193"/>
        <v>43.306044225535807</v>
      </c>
      <c r="W186" s="32">
        <f t="shared" si="193"/>
        <v>43.924611810855168</v>
      </c>
      <c r="X186" s="32">
        <f t="shared" si="193"/>
        <v>40.575821938587843</v>
      </c>
      <c r="Y186" s="32">
        <f t="shared" si="193"/>
        <v>38.787924415421465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48.002487960866979</v>
      </c>
      <c r="C187" s="141">
        <f t="shared" si="194"/>
        <v>48.068729386457825</v>
      </c>
      <c r="D187" s="141">
        <f t="shared" si="194"/>
        <v>46.483690008901199</v>
      </c>
      <c r="E187" s="141">
        <f t="shared" si="194"/>
        <v>47.892449386822229</v>
      </c>
      <c r="F187" s="141">
        <f t="shared" si="194"/>
        <v>47.847966155720897</v>
      </c>
      <c r="G187" s="141">
        <f t="shared" si="194"/>
        <v>45.818123602763428</v>
      </c>
      <c r="H187" s="141">
        <f t="shared" si="194"/>
        <v>46.474286484705964</v>
      </c>
      <c r="I187" s="141">
        <f t="shared" si="194"/>
        <v>46.897772412587123</v>
      </c>
      <c r="J187" s="141">
        <f t="shared" si="194"/>
        <v>46.908166485012181</v>
      </c>
      <c r="K187" s="141">
        <f t="shared" si="194"/>
        <v>46.883368904419868</v>
      </c>
      <c r="L187" s="141">
        <f t="shared" si="194"/>
        <v>45.873542881784658</v>
      </c>
      <c r="M187" s="141">
        <f t="shared" si="194"/>
        <v>44.959225817239542</v>
      </c>
      <c r="N187" s="141">
        <f t="shared" si="194"/>
        <v>43.650953312523555</v>
      </c>
      <c r="O187" s="141">
        <f t="shared" si="194"/>
        <v>44.953415460547525</v>
      </c>
      <c r="P187" s="141">
        <f t="shared" si="194"/>
        <v>45.009682441919708</v>
      </c>
      <c r="Q187" s="141">
        <f t="shared" si="194"/>
        <v>46.785759888067105</v>
      </c>
      <c r="R187" s="141">
        <f t="shared" si="194"/>
        <v>46.466011913794809</v>
      </c>
      <c r="S187" s="141">
        <f t="shared" si="194"/>
        <v>44.660580531158857</v>
      </c>
      <c r="T187" s="141">
        <f t="shared" si="194"/>
        <v>44.317548004091911</v>
      </c>
      <c r="U187" s="141">
        <f t="shared" si="194"/>
        <v>43.769271815049692</v>
      </c>
      <c r="V187" s="141">
        <f t="shared" si="194"/>
        <v>44.712437160448815</v>
      </c>
      <c r="W187" s="141">
        <f t="shared" si="194"/>
        <v>45.196564519383074</v>
      </c>
      <c r="X187" s="141">
        <f t="shared" si="194"/>
        <v>43.917429203457154</v>
      </c>
      <c r="Y187" s="141">
        <f t="shared" si="194"/>
        <v>42.206385769603379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37.75663407968095</v>
      </c>
      <c r="C188" s="97">
        <f t="shared" si="195"/>
        <v>37.361465901061933</v>
      </c>
      <c r="D188" s="97">
        <f t="shared" si="195"/>
        <v>37.004805963296747</v>
      </c>
      <c r="E188" s="97">
        <f t="shared" si="195"/>
        <v>36.627589874401593</v>
      </c>
      <c r="F188" s="97">
        <f t="shared" si="195"/>
        <v>36.149651281504752</v>
      </c>
      <c r="G188" s="97">
        <f t="shared" si="195"/>
        <v>35.583024301301634</v>
      </c>
      <c r="H188" s="97">
        <f t="shared" si="195"/>
        <v>35.361518967329488</v>
      </c>
      <c r="I188" s="97">
        <f t="shared" si="195"/>
        <v>34.906030897734325</v>
      </c>
      <c r="J188" s="97">
        <f t="shared" si="195"/>
        <v>34.527500890571048</v>
      </c>
      <c r="K188" s="97">
        <f t="shared" si="195"/>
        <v>34.089436223299487</v>
      </c>
      <c r="L188" s="97">
        <f t="shared" si="195"/>
        <v>33.69235899365821</v>
      </c>
      <c r="M188" s="97">
        <f t="shared" si="195"/>
        <v>33.230305772552526</v>
      </c>
      <c r="N188" s="97">
        <f t="shared" si="195"/>
        <v>32.998371812699922</v>
      </c>
      <c r="O188" s="97">
        <f t="shared" si="195"/>
        <v>32.818377900804364</v>
      </c>
      <c r="P188" s="97">
        <f t="shared" si="195"/>
        <v>32.420502591693818</v>
      </c>
      <c r="Q188" s="97">
        <f t="shared" si="195"/>
        <v>32.115109708138071</v>
      </c>
      <c r="R188" s="97">
        <f t="shared" si="195"/>
        <v>30.420707735099281</v>
      </c>
      <c r="S188" s="97">
        <f t="shared" si="195"/>
        <v>30.903350191928915</v>
      </c>
      <c r="T188" s="97">
        <f t="shared" si="195"/>
        <v>30.718267842769908</v>
      </c>
      <c r="U188" s="97">
        <f t="shared" si="195"/>
        <v>30.554092518299942</v>
      </c>
      <c r="V188" s="97">
        <f t="shared" si="195"/>
        <v>29.257183238060509</v>
      </c>
      <c r="W188" s="97">
        <f t="shared" si="195"/>
        <v>30.353789685845364</v>
      </c>
      <c r="X188" s="97">
        <f t="shared" si="195"/>
        <v>30.34996493566053</v>
      </c>
      <c r="Y188" s="97">
        <f t="shared" si="195"/>
        <v>30.238724009019283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50.560138136847932</v>
      </c>
      <c r="C189" s="97">
        <f t="shared" si="196"/>
        <v>50.883739866432798</v>
      </c>
      <c r="D189" s="97">
        <f t="shared" si="196"/>
        <v>49.619055614106017</v>
      </c>
      <c r="E189" s="97">
        <f t="shared" si="196"/>
        <v>52.04051196484096</v>
      </c>
      <c r="F189" s="97">
        <f t="shared" si="196"/>
        <v>52.27463996708893</v>
      </c>
      <c r="G189" s="97">
        <f t="shared" si="196"/>
        <v>50.125665062918742</v>
      </c>
      <c r="H189" s="97">
        <f t="shared" si="196"/>
        <v>51.260410670161477</v>
      </c>
      <c r="I189" s="97">
        <f t="shared" si="196"/>
        <v>52.032341799965373</v>
      </c>
      <c r="J189" s="97">
        <f t="shared" si="196"/>
        <v>51.33870432316224</v>
      </c>
      <c r="K189" s="97">
        <f t="shared" si="196"/>
        <v>51.378095736745252</v>
      </c>
      <c r="L189" s="97">
        <f t="shared" si="196"/>
        <v>50.04779829177599</v>
      </c>
      <c r="M189" s="97">
        <f t="shared" si="196"/>
        <v>49.190040841898544</v>
      </c>
      <c r="N189" s="97">
        <f t="shared" si="196"/>
        <v>47.83033719369211</v>
      </c>
      <c r="O189" s="97">
        <f t="shared" si="196"/>
        <v>48.634132925210899</v>
      </c>
      <c r="P189" s="97">
        <f t="shared" si="196"/>
        <v>48.397771626437667</v>
      </c>
      <c r="Q189" s="97">
        <f t="shared" si="196"/>
        <v>49.929428750933219</v>
      </c>
      <c r="R189" s="97">
        <f t="shared" si="196"/>
        <v>49.375947233992399</v>
      </c>
      <c r="S189" s="97">
        <f t="shared" si="196"/>
        <v>47.097281322404825</v>
      </c>
      <c r="T189" s="97">
        <f t="shared" si="196"/>
        <v>46.633782811859099</v>
      </c>
      <c r="U189" s="97">
        <f t="shared" si="196"/>
        <v>46.082979700281214</v>
      </c>
      <c r="V189" s="97">
        <f t="shared" si="196"/>
        <v>45.308679532652143</v>
      </c>
      <c r="W189" s="97">
        <f t="shared" si="196"/>
        <v>45.893645892655378</v>
      </c>
      <c r="X189" s="97">
        <f t="shared" si="196"/>
        <v>45.608987001299084</v>
      </c>
      <c r="Y189" s="97">
        <f t="shared" si="196"/>
        <v>44.282351997331325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29.505479867342107</v>
      </c>
      <c r="C190" s="97">
        <f t="shared" si="197"/>
        <v>28.239374231198902</v>
      </c>
      <c r="D190" s="97">
        <f t="shared" si="197"/>
        <v>25.623395344489506</v>
      </c>
      <c r="E190" s="97">
        <f t="shared" si="197"/>
        <v>23.355044981214284</v>
      </c>
      <c r="F190" s="97">
        <f t="shared" si="197"/>
        <v>22.519691779150076</v>
      </c>
      <c r="G190" s="97">
        <f t="shared" si="197"/>
        <v>21.596132873188402</v>
      </c>
      <c r="H190" s="97">
        <f t="shared" si="197"/>
        <v>20.448693289087572</v>
      </c>
      <c r="I190" s="97">
        <f t="shared" si="197"/>
        <v>19.482055833927443</v>
      </c>
      <c r="J190" s="97">
        <f t="shared" si="197"/>
        <v>21.125397884940796</v>
      </c>
      <c r="K190" s="97">
        <f t="shared" si="197"/>
        <v>20.726883235964785</v>
      </c>
      <c r="L190" s="97">
        <f t="shared" si="197"/>
        <v>20.887089126021053</v>
      </c>
      <c r="M190" s="97">
        <f t="shared" si="197"/>
        <v>19.845391536083177</v>
      </c>
      <c r="N190" s="97">
        <f t="shared" si="197"/>
        <v>18.997381775782952</v>
      </c>
      <c r="O190" s="97">
        <f t="shared" si="197"/>
        <v>21.667947265200681</v>
      </c>
      <c r="P190" s="97">
        <f t="shared" si="197"/>
        <v>22.684293849115534</v>
      </c>
      <c r="Q190" s="97">
        <f t="shared" si="197"/>
        <v>25.18917335298314</v>
      </c>
      <c r="R190" s="97">
        <f t="shared" si="197"/>
        <v>25.859401124524062</v>
      </c>
      <c r="S190" s="97">
        <f t="shared" si="197"/>
        <v>26.908364114551333</v>
      </c>
      <c r="T190" s="97">
        <f t="shared" si="197"/>
        <v>27.579418355591585</v>
      </c>
      <c r="U190" s="97">
        <f t="shared" si="197"/>
        <v>27.291303667820902</v>
      </c>
      <c r="V190" s="97">
        <f t="shared" si="197"/>
        <v>41.313880609152477</v>
      </c>
      <c r="W190" s="97">
        <f t="shared" si="197"/>
        <v>40.576774839714453</v>
      </c>
      <c r="X190" s="97">
        <f t="shared" si="197"/>
        <v>31.474419043574628</v>
      </c>
      <c r="Y190" s="97">
        <f t="shared" si="197"/>
        <v>27.595154612614731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14.257495684754099</v>
      </c>
      <c r="C191" s="130">
        <f t="shared" si="198"/>
        <v>13.995455563239013</v>
      </c>
      <c r="D191" s="130">
        <f t="shared" si="198"/>
        <v>13.600635931361378</v>
      </c>
      <c r="E191" s="130">
        <f t="shared" si="198"/>
        <v>14.058179121327623</v>
      </c>
      <c r="F191" s="130">
        <f t="shared" si="198"/>
        <v>13.520242064621314</v>
      </c>
      <c r="G191" s="130">
        <f t="shared" si="198"/>
        <v>14.305815869441794</v>
      </c>
      <c r="H191" s="130">
        <f t="shared" si="198"/>
        <v>14.422174310527453</v>
      </c>
      <c r="I191" s="130">
        <f t="shared" si="198"/>
        <v>13.734246495503745</v>
      </c>
      <c r="J191" s="130">
        <f t="shared" si="198"/>
        <v>13.19942767347392</v>
      </c>
      <c r="K191" s="130">
        <f t="shared" si="198"/>
        <v>12.873682492959846</v>
      </c>
      <c r="L191" s="130">
        <f t="shared" si="198"/>
        <v>12.482135796293429</v>
      </c>
      <c r="M191" s="130">
        <f t="shared" si="198"/>
        <v>11.770674324520401</v>
      </c>
      <c r="N191" s="130">
        <f t="shared" si="198"/>
        <v>11.161701133755313</v>
      </c>
      <c r="O191" s="130">
        <f t="shared" si="198"/>
        <v>10.860524570166415</v>
      </c>
      <c r="P191" s="130">
        <f t="shared" si="198"/>
        <v>9.9387987723030626</v>
      </c>
      <c r="Q191" s="130">
        <f t="shared" si="198"/>
        <v>10.478417196172941</v>
      </c>
      <c r="R191" s="130">
        <f t="shared" si="198"/>
        <v>10.884524380202073</v>
      </c>
      <c r="S191" s="130">
        <f t="shared" si="198"/>
        <v>10.692779373892069</v>
      </c>
      <c r="T191" s="130">
        <f t="shared" si="198"/>
        <v>8.8943938900834283</v>
      </c>
      <c r="U191" s="130">
        <f t="shared" si="198"/>
        <v>8.6545570098870126</v>
      </c>
      <c r="V191" s="130">
        <f t="shared" si="198"/>
        <v>11.201421959715161</v>
      </c>
      <c r="W191" s="130">
        <f t="shared" si="198"/>
        <v>11.534029152640098</v>
      </c>
      <c r="X191" s="130">
        <f t="shared" si="198"/>
        <v>9.39650396059751</v>
      </c>
      <c r="Y191" s="130">
        <f t="shared" si="198"/>
        <v>8.9549927393961131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6.0398102209048412</v>
      </c>
      <c r="C192" s="97">
        <f t="shared" si="199"/>
        <v>5.8980488694418733</v>
      </c>
      <c r="D192" s="97">
        <f t="shared" si="199"/>
        <v>5.806587953858414</v>
      </c>
      <c r="E192" s="97">
        <f t="shared" si="199"/>
        <v>5.8066575973492398</v>
      </c>
      <c r="F192" s="97">
        <f t="shared" si="199"/>
        <v>5.6083069053473</v>
      </c>
      <c r="G192" s="97">
        <f t="shared" si="199"/>
        <v>5.6718480818306407</v>
      </c>
      <c r="H192" s="97">
        <f t="shared" si="199"/>
        <v>5.5867177938053487</v>
      </c>
      <c r="I192" s="97">
        <f t="shared" si="199"/>
        <v>5.4281053418882417</v>
      </c>
      <c r="J192" s="97">
        <f t="shared" si="199"/>
        <v>5.2695434371627279</v>
      </c>
      <c r="K192" s="97">
        <f t="shared" si="199"/>
        <v>5.2486407475266823</v>
      </c>
      <c r="L192" s="97">
        <f t="shared" si="199"/>
        <v>5.1492484481125178</v>
      </c>
      <c r="M192" s="97">
        <f t="shared" si="199"/>
        <v>5.0686547295119482</v>
      </c>
      <c r="N192" s="97">
        <f t="shared" si="199"/>
        <v>5.0521147245778169</v>
      </c>
      <c r="O192" s="97">
        <f t="shared" si="199"/>
        <v>4.98961893473379</v>
      </c>
      <c r="P192" s="97">
        <f t="shared" si="199"/>
        <v>4.9243662557916865</v>
      </c>
      <c r="Q192" s="97">
        <f t="shared" si="199"/>
        <v>4.8548337821434338</v>
      </c>
      <c r="R192" s="97">
        <f t="shared" si="199"/>
        <v>4.7850352084644765</v>
      </c>
      <c r="S192" s="97">
        <f t="shared" si="199"/>
        <v>4.7681525848776785</v>
      </c>
      <c r="T192" s="97">
        <f t="shared" si="199"/>
        <v>4.7823427114349446</v>
      </c>
      <c r="U192" s="97">
        <f t="shared" si="199"/>
        <v>4.7769389583558919</v>
      </c>
      <c r="V192" s="97">
        <f t="shared" si="199"/>
        <v>4.7904932215556677</v>
      </c>
      <c r="W192" s="97">
        <f t="shared" si="199"/>
        <v>4.5405286660177575</v>
      </c>
      <c r="X192" s="97">
        <f t="shared" si="199"/>
        <v>4.7800869158042243</v>
      </c>
      <c r="Y192" s="97">
        <f t="shared" si="199"/>
        <v>4.7774013726083728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15.968255421330989</v>
      </c>
      <c r="C193" s="97">
        <f t="shared" si="200"/>
        <v>15.622116931745454</v>
      </c>
      <c r="D193" s="97">
        <f t="shared" si="200"/>
        <v>15.130353999483969</v>
      </c>
      <c r="E193" s="97">
        <f t="shared" si="200"/>
        <v>15.67634290498391</v>
      </c>
      <c r="F193" s="97">
        <f t="shared" si="200"/>
        <v>14.914988543776323</v>
      </c>
      <c r="G193" s="97">
        <f t="shared" si="200"/>
        <v>16.098832171431408</v>
      </c>
      <c r="H193" s="97">
        <f t="shared" si="200"/>
        <v>16.21580506594994</v>
      </c>
      <c r="I193" s="97">
        <f t="shared" si="200"/>
        <v>15.345398139526859</v>
      </c>
      <c r="J193" s="97">
        <f t="shared" si="200"/>
        <v>14.649279089566683</v>
      </c>
      <c r="K193" s="97">
        <f t="shared" si="200"/>
        <v>14.238291601786077</v>
      </c>
      <c r="L193" s="97">
        <f t="shared" si="200"/>
        <v>13.809107227525784</v>
      </c>
      <c r="M193" s="97">
        <f t="shared" si="200"/>
        <v>12.898343270845871</v>
      </c>
      <c r="N193" s="97">
        <f t="shared" si="200"/>
        <v>12.201557238929388</v>
      </c>
      <c r="O193" s="97">
        <f t="shared" si="200"/>
        <v>11.857763122009864</v>
      </c>
      <c r="P193" s="97">
        <f t="shared" si="200"/>
        <v>10.74270097204912</v>
      </c>
      <c r="Q193" s="97">
        <f t="shared" si="200"/>
        <v>11.601589447617629</v>
      </c>
      <c r="R193" s="97">
        <f t="shared" si="200"/>
        <v>12.405321216934141</v>
      </c>
      <c r="S193" s="97">
        <f t="shared" si="200"/>
        <v>12.240263707341333</v>
      </c>
      <c r="T193" s="97">
        <f t="shared" si="200"/>
        <v>9.7325279854627134</v>
      </c>
      <c r="U193" s="97">
        <f t="shared" si="200"/>
        <v>9.4397876273349333</v>
      </c>
      <c r="V193" s="97">
        <f t="shared" si="200"/>
        <v>12.192969403448247</v>
      </c>
      <c r="W193" s="97">
        <f t="shared" si="200"/>
        <v>13.246731993691213</v>
      </c>
      <c r="X193" s="97">
        <f t="shared" si="200"/>
        <v>10.217332105191401</v>
      </c>
      <c r="Y193" s="97">
        <f t="shared" si="200"/>
        <v>9.7551772647988741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8.9374699309994181</v>
      </c>
      <c r="C194" s="97">
        <f t="shared" si="201"/>
        <v>8.8934602205098336</v>
      </c>
      <c r="D194" s="97">
        <f t="shared" si="201"/>
        <v>8.8610816752650869</v>
      </c>
      <c r="E194" s="97">
        <f t="shared" si="201"/>
        <v>8.9021352736186738</v>
      </c>
      <c r="F194" s="97">
        <f t="shared" si="201"/>
        <v>8.886610591366086</v>
      </c>
      <c r="G194" s="97">
        <f t="shared" si="201"/>
        <v>8.7373467463262742</v>
      </c>
      <c r="H194" s="97">
        <f t="shared" si="201"/>
        <v>8.5313826652287492</v>
      </c>
      <c r="I194" s="97">
        <f t="shared" si="201"/>
        <v>8.3781073833949709</v>
      </c>
      <c r="J194" s="97">
        <f t="shared" si="201"/>
        <v>8.3748033977656391</v>
      </c>
      <c r="K194" s="97">
        <f t="shared" si="201"/>
        <v>8.2585916002582902</v>
      </c>
      <c r="L194" s="97">
        <f t="shared" si="201"/>
        <v>8.0745581016787522</v>
      </c>
      <c r="M194" s="97">
        <f t="shared" si="201"/>
        <v>7.9936107781759649</v>
      </c>
      <c r="N194" s="97">
        <f t="shared" si="201"/>
        <v>7.9530911897858054</v>
      </c>
      <c r="O194" s="97">
        <f t="shared" si="201"/>
        <v>7.9032150326368633</v>
      </c>
      <c r="P194" s="97">
        <f t="shared" si="201"/>
        <v>7.8144433765276293</v>
      </c>
      <c r="Q194" s="97">
        <f t="shared" si="201"/>
        <v>7.5676086636082562</v>
      </c>
      <c r="R194" s="97">
        <f t="shared" si="201"/>
        <v>7.394900298987281</v>
      </c>
      <c r="S194" s="97">
        <f t="shared" si="201"/>
        <v>7.2755826830530888</v>
      </c>
      <c r="T194" s="97">
        <f t="shared" si="201"/>
        <v>7.1565684874759752</v>
      </c>
      <c r="U194" s="97">
        <f t="shared" si="201"/>
        <v>7.0647909448803112</v>
      </c>
      <c r="V194" s="97">
        <f t="shared" si="201"/>
        <v>10.461845985820219</v>
      </c>
      <c r="W194" s="97">
        <f t="shared" si="201"/>
        <v>8.1570120459304913</v>
      </c>
      <c r="X194" s="97">
        <f t="shared" si="201"/>
        <v>7.4619184002580461</v>
      </c>
      <c r="Y194" s="97">
        <f t="shared" si="201"/>
        <v>6.884985620546658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63.639376320162462</v>
      </c>
      <c r="C195" s="130">
        <f t="shared" si="202"/>
        <v>60.114058442876114</v>
      </c>
      <c r="D195" s="130">
        <f t="shared" si="202"/>
        <v>71.353139120477906</v>
      </c>
      <c r="E195" s="130">
        <f t="shared" si="202"/>
        <v>69.243751761615414</v>
      </c>
      <c r="F195" s="130">
        <f t="shared" si="202"/>
        <v>58.04526571996292</v>
      </c>
      <c r="G195" s="130">
        <f t="shared" si="202"/>
        <v>53.992694222175622</v>
      </c>
      <c r="H195" s="130">
        <f t="shared" si="202"/>
        <v>48.940885662271043</v>
      </c>
      <c r="I195" s="130">
        <f t="shared" si="202"/>
        <v>47.201068299093777</v>
      </c>
      <c r="J195" s="130">
        <f t="shared" si="202"/>
        <v>47.546980851523962</v>
      </c>
      <c r="K195" s="130">
        <f t="shared" si="202"/>
        <v>47.309674488673153</v>
      </c>
      <c r="L195" s="130">
        <f t="shared" si="202"/>
        <v>44.505460476010981</v>
      </c>
      <c r="M195" s="130">
        <f t="shared" si="202"/>
        <v>44.010592168371147</v>
      </c>
      <c r="N195" s="130">
        <f t="shared" si="202"/>
        <v>41.39326073044775</v>
      </c>
      <c r="O195" s="130">
        <f t="shared" si="202"/>
        <v>38.470653314442032</v>
      </c>
      <c r="P195" s="130">
        <f t="shared" si="202"/>
        <v>38.192319950169065</v>
      </c>
      <c r="Q195" s="130">
        <f t="shared" si="202"/>
        <v>37.963486344087841</v>
      </c>
      <c r="R195" s="130">
        <f t="shared" si="202"/>
        <v>41.182850895440687</v>
      </c>
      <c r="S195" s="130">
        <f t="shared" si="202"/>
        <v>40.232823961706039</v>
      </c>
      <c r="T195" s="130">
        <f t="shared" si="202"/>
        <v>39.266367545448489</v>
      </c>
      <c r="U195" s="130">
        <f t="shared" si="202"/>
        <v>38.487029144515624</v>
      </c>
      <c r="V195" s="130">
        <f t="shared" si="202"/>
        <v>56.057655888278795</v>
      </c>
      <c r="W195" s="130">
        <f t="shared" si="202"/>
        <v>53.31632088931601</v>
      </c>
      <c r="X195" s="130">
        <f t="shared" si="202"/>
        <v>40.951065656796303</v>
      </c>
      <c r="Y195" s="130">
        <f t="shared" si="202"/>
        <v>38.609063068380863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66.145153239114592</v>
      </c>
      <c r="C197" s="97">
        <f t="shared" si="204"/>
        <v>62.386627797842856</v>
      </c>
      <c r="D197" s="97">
        <f t="shared" si="204"/>
        <v>74.627373076821726</v>
      </c>
      <c r="E197" s="97">
        <f t="shared" si="204"/>
        <v>70.8771800715285</v>
      </c>
      <c r="F197" s="97">
        <f t="shared" si="204"/>
        <v>58.452057468858371</v>
      </c>
      <c r="G197" s="97">
        <f t="shared" si="204"/>
        <v>55.916910462868927</v>
      </c>
      <c r="H197" s="97">
        <f t="shared" si="204"/>
        <v>51.357495945216641</v>
      </c>
      <c r="I197" s="97">
        <f t="shared" si="204"/>
        <v>54.908808741826356</v>
      </c>
      <c r="J197" s="97">
        <f t="shared" si="204"/>
        <v>62.140546510676785</v>
      </c>
      <c r="K197" s="97">
        <f t="shared" si="204"/>
        <v>60.468537079426895</v>
      </c>
      <c r="L197" s="97">
        <f t="shared" si="204"/>
        <v>57.112274692089194</v>
      </c>
      <c r="M197" s="97">
        <f t="shared" si="204"/>
        <v>55.579851701520319</v>
      </c>
      <c r="N197" s="97">
        <f t="shared" si="204"/>
        <v>51.209504872547349</v>
      </c>
      <c r="O197" s="97">
        <f t="shared" si="204"/>
        <v>47.745578402520934</v>
      </c>
      <c r="P197" s="97">
        <f t="shared" si="204"/>
        <v>46.734024774190864</v>
      </c>
      <c r="Q197" s="97">
        <f t="shared" si="204"/>
        <v>45.66525541961866</v>
      </c>
      <c r="R197" s="97">
        <f t="shared" si="204"/>
        <v>46.072890183518162</v>
      </c>
      <c r="S197" s="97">
        <f t="shared" si="204"/>
        <v>47.448739244226815</v>
      </c>
      <c r="T197" s="97">
        <f t="shared" si="204"/>
        <v>49.750161752538787</v>
      </c>
      <c r="U197" s="97">
        <f t="shared" si="204"/>
        <v>48.699081403261189</v>
      </c>
      <c r="V197" s="97">
        <f t="shared" si="204"/>
        <v>65.531661830662117</v>
      </c>
      <c r="W197" s="97">
        <f t="shared" si="204"/>
        <v>65.899061967887448</v>
      </c>
      <c r="X197" s="97">
        <f t="shared" si="204"/>
        <v>53.352270932692889</v>
      </c>
      <c r="Y197" s="97">
        <f t="shared" si="204"/>
        <v>48.38875345370662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60.940231170544216</v>
      </c>
      <c r="C198" s="97">
        <f t="shared" si="205"/>
        <v>57.539811849399932</v>
      </c>
      <c r="D198" s="97">
        <f t="shared" si="205"/>
        <v>67.160781756570017</v>
      </c>
      <c r="E198" s="97">
        <f t="shared" si="205"/>
        <v>67.102195437139088</v>
      </c>
      <c r="F198" s="97">
        <f t="shared" si="205"/>
        <v>57.548364256868808</v>
      </c>
      <c r="G198" s="97">
        <f t="shared" si="205"/>
        <v>51.782644983159784</v>
      </c>
      <c r="H198" s="97">
        <f t="shared" si="205"/>
        <v>46.187076488906804</v>
      </c>
      <c r="I198" s="97">
        <f t="shared" si="205"/>
        <v>39.879836556616247</v>
      </c>
      <c r="J198" s="97">
        <f t="shared" si="205"/>
        <v>36.674766857567462</v>
      </c>
      <c r="K198" s="97">
        <f t="shared" si="205"/>
        <v>37.628459480274884</v>
      </c>
      <c r="L198" s="97">
        <f t="shared" si="205"/>
        <v>35.325982244123011</v>
      </c>
      <c r="M198" s="97">
        <f t="shared" si="205"/>
        <v>35.370005003797786</v>
      </c>
      <c r="N198" s="97">
        <f t="shared" si="205"/>
        <v>33.952678025312601</v>
      </c>
      <c r="O198" s="97">
        <f t="shared" si="205"/>
        <v>31.548102927017428</v>
      </c>
      <c r="P198" s="97">
        <f t="shared" si="205"/>
        <v>31.603312061780485</v>
      </c>
      <c r="Q198" s="97">
        <f t="shared" si="205"/>
        <v>31.764477128848966</v>
      </c>
      <c r="R198" s="97">
        <f t="shared" si="205"/>
        <v>36.458740599708065</v>
      </c>
      <c r="S198" s="97">
        <f t="shared" si="205"/>
        <v>33.708275848283456</v>
      </c>
      <c r="T198" s="97">
        <f t="shared" si="205"/>
        <v>31.063068087835585</v>
      </c>
      <c r="U198" s="97">
        <f t="shared" si="205"/>
        <v>30.800709785202553</v>
      </c>
      <c r="V198" s="97">
        <f t="shared" si="205"/>
        <v>49.099731295336625</v>
      </c>
      <c r="W198" s="97">
        <f t="shared" si="205"/>
        <v>43.616954100384532</v>
      </c>
      <c r="X198" s="97">
        <f t="shared" si="205"/>
        <v>31.104187278925288</v>
      </c>
      <c r="Y198" s="97">
        <f t="shared" si="205"/>
        <v>30.629333785780819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45.925521569804395</v>
      </c>
      <c r="C199" s="32">
        <f t="shared" si="206"/>
        <v>47.016992404622279</v>
      </c>
      <c r="D199" s="32">
        <f t="shared" si="206"/>
        <v>46.517311418875877</v>
      </c>
      <c r="E199" s="32">
        <f t="shared" si="206"/>
        <v>48.384050393648515</v>
      </c>
      <c r="F199" s="32">
        <f t="shared" si="206"/>
        <v>49.116721081770493</v>
      </c>
      <c r="G199" s="32">
        <f t="shared" si="206"/>
        <v>47.92622329116621</v>
      </c>
      <c r="H199" s="32">
        <f t="shared" si="206"/>
        <v>47.634348044390229</v>
      </c>
      <c r="I199" s="32">
        <f t="shared" si="206"/>
        <v>47.916867816194546</v>
      </c>
      <c r="J199" s="32">
        <f t="shared" si="206"/>
        <v>48.127356422204656</v>
      </c>
      <c r="K199" s="32">
        <f t="shared" si="206"/>
        <v>50.008759888739874</v>
      </c>
      <c r="L199" s="32">
        <f t="shared" si="206"/>
        <v>47.644297304271106</v>
      </c>
      <c r="M199" s="32">
        <f t="shared" si="206"/>
        <v>46.476659495728512</v>
      </c>
      <c r="N199" s="32">
        <f t="shared" si="206"/>
        <v>39.440815653546032</v>
      </c>
      <c r="O199" s="32">
        <f t="shared" si="206"/>
        <v>38.76633725520329</v>
      </c>
      <c r="P199" s="32">
        <f t="shared" si="206"/>
        <v>38.948173583508222</v>
      </c>
      <c r="Q199" s="32">
        <f t="shared" si="206"/>
        <v>41.289091745159816</v>
      </c>
      <c r="R199" s="32">
        <f t="shared" si="206"/>
        <v>40.768559216157485</v>
      </c>
      <c r="S199" s="32">
        <f t="shared" si="206"/>
        <v>43.695957529406769</v>
      </c>
      <c r="T199" s="32">
        <f t="shared" si="206"/>
        <v>47.884988765338328</v>
      </c>
      <c r="U199" s="32">
        <f t="shared" si="206"/>
        <v>45.157019277091564</v>
      </c>
      <c r="V199" s="32">
        <f t="shared" si="206"/>
        <v>46.531745614943432</v>
      </c>
      <c r="W199" s="32">
        <f t="shared" si="206"/>
        <v>51.441371104352363</v>
      </c>
      <c r="X199" s="32">
        <f t="shared" si="206"/>
        <v>52.983914598964425</v>
      </c>
      <c r="Y199" s="32">
        <f t="shared" si="206"/>
        <v>54.87620184015119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51.334994557263343</v>
      </c>
      <c r="C200" s="141">
        <f t="shared" si="207"/>
        <v>53.368241183478929</v>
      </c>
      <c r="D200" s="141">
        <f t="shared" si="207"/>
        <v>53.596593684716623</v>
      </c>
      <c r="E200" s="141">
        <f t="shared" si="207"/>
        <v>55.072065256639313</v>
      </c>
      <c r="F200" s="141">
        <f t="shared" si="207"/>
        <v>56.74723882098413</v>
      </c>
      <c r="G200" s="141">
        <f t="shared" si="207"/>
        <v>55.887663096919141</v>
      </c>
      <c r="H200" s="141">
        <f t="shared" si="207"/>
        <v>56.356287407718</v>
      </c>
      <c r="I200" s="141">
        <f t="shared" si="207"/>
        <v>56.61330597486829</v>
      </c>
      <c r="J200" s="141">
        <f t="shared" si="207"/>
        <v>57.083543907969101</v>
      </c>
      <c r="K200" s="141">
        <f t="shared" si="207"/>
        <v>58.134725607931479</v>
      </c>
      <c r="L200" s="141">
        <f t="shared" si="207"/>
        <v>56.950613588382787</v>
      </c>
      <c r="M200" s="141">
        <f t="shared" si="207"/>
        <v>55.887405634760249</v>
      </c>
      <c r="N200" s="141">
        <f t="shared" si="207"/>
        <v>53.578810557306539</v>
      </c>
      <c r="O200" s="141">
        <f t="shared" si="207"/>
        <v>51.537085664681079</v>
      </c>
      <c r="P200" s="141">
        <f t="shared" si="207"/>
        <v>52.298520390375678</v>
      </c>
      <c r="Q200" s="141">
        <f t="shared" si="207"/>
        <v>54.670108487571234</v>
      </c>
      <c r="R200" s="141">
        <f t="shared" si="207"/>
        <v>56.712641275702318</v>
      </c>
      <c r="S200" s="141">
        <f t="shared" si="207"/>
        <v>57.830595848436189</v>
      </c>
      <c r="T200" s="141">
        <f t="shared" si="207"/>
        <v>60.388716416868313</v>
      </c>
      <c r="U200" s="141">
        <f t="shared" si="207"/>
        <v>58.328961697450275</v>
      </c>
      <c r="V200" s="141">
        <f t="shared" si="207"/>
        <v>54.248853325593529</v>
      </c>
      <c r="W200" s="141">
        <f t="shared" si="207"/>
        <v>60.23593185661484</v>
      </c>
      <c r="X200" s="141">
        <f t="shared" si="207"/>
        <v>62.956306424152395</v>
      </c>
      <c r="Y200" s="141">
        <f t="shared" si="207"/>
        <v>67.251437437185544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1538.6374380229424</v>
      </c>
      <c r="C201" s="97">
        <f t="shared" si="208"/>
        <v>1447.3875786071981</v>
      </c>
      <c r="D201" s="97">
        <f t="shared" si="208"/>
        <v>1438.1414023662046</v>
      </c>
      <c r="E201" s="97">
        <f t="shared" si="208"/>
        <v>1368.4434360554835</v>
      </c>
      <c r="F201" s="97">
        <f t="shared" si="208"/>
        <v>1320.8988600918346</v>
      </c>
      <c r="G201" s="97">
        <f t="shared" si="208"/>
        <v>1271.9080081073328</v>
      </c>
      <c r="H201" s="97">
        <f t="shared" si="208"/>
        <v>1236.258626912095</v>
      </c>
      <c r="I201" s="97">
        <f t="shared" si="208"/>
        <v>1208.6515672750979</v>
      </c>
      <c r="J201" s="97">
        <f t="shared" si="208"/>
        <v>1171.668570719334</v>
      </c>
      <c r="K201" s="97">
        <f t="shared" si="208"/>
        <v>1134.5697227407682</v>
      </c>
      <c r="L201" s="97">
        <f t="shared" si="208"/>
        <v>1115.9251297915539</v>
      </c>
      <c r="M201" s="97">
        <f t="shared" si="208"/>
        <v>1109.0528716542206</v>
      </c>
      <c r="N201" s="97">
        <f t="shared" si="208"/>
        <v>1092.5276307395854</v>
      </c>
      <c r="O201" s="97">
        <f t="shared" si="208"/>
        <v>1066.6745199639381</v>
      </c>
      <c r="P201" s="97">
        <f t="shared" si="208"/>
        <v>1061.1000153608657</v>
      </c>
      <c r="Q201" s="97">
        <f t="shared" si="208"/>
        <v>1060.9944316106821</v>
      </c>
      <c r="R201" s="97">
        <f t="shared" si="208"/>
        <v>1028.7269228826135</v>
      </c>
      <c r="S201" s="97">
        <f t="shared" si="208"/>
        <v>994.0829773720036</v>
      </c>
      <c r="T201" s="97">
        <f t="shared" si="208"/>
        <v>982.47550503280559</v>
      </c>
      <c r="U201" s="97">
        <f t="shared" si="208"/>
        <v>968.68998425271889</v>
      </c>
      <c r="V201" s="97">
        <f t="shared" si="208"/>
        <v>944.13566972957551</v>
      </c>
      <c r="W201" s="97">
        <f t="shared" si="208"/>
        <v>983.75488467709238</v>
      </c>
      <c r="X201" s="97">
        <f t="shared" si="208"/>
        <v>973.63575977043661</v>
      </c>
      <c r="Y201" s="97">
        <f t="shared" si="208"/>
        <v>986.54232340255021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25.890714923644609</v>
      </c>
      <c r="C202" s="97">
        <f t="shared" si="209"/>
        <v>29.200127156911851</v>
      </c>
      <c r="D202" s="97">
        <f t="shared" si="209"/>
        <v>29.113251088124407</v>
      </c>
      <c r="E202" s="97">
        <f t="shared" si="209"/>
        <v>30.329950214052857</v>
      </c>
      <c r="F202" s="97">
        <f t="shared" si="209"/>
        <v>32.419530102380286</v>
      </c>
      <c r="G202" s="97">
        <f t="shared" si="209"/>
        <v>31.725740687521494</v>
      </c>
      <c r="H202" s="97">
        <f t="shared" si="209"/>
        <v>32.563132088715356</v>
      </c>
      <c r="I202" s="97">
        <f t="shared" si="209"/>
        <v>32.565681417502738</v>
      </c>
      <c r="J202" s="97">
        <f t="shared" si="209"/>
        <v>32.166878092059626</v>
      </c>
      <c r="K202" s="97">
        <f t="shared" si="209"/>
        <v>32.428774542870428</v>
      </c>
      <c r="L202" s="97">
        <f t="shared" si="209"/>
        <v>32.028488842432196</v>
      </c>
      <c r="M202" s="97">
        <f t="shared" si="209"/>
        <v>31.169222707197541</v>
      </c>
      <c r="N202" s="97">
        <f t="shared" si="209"/>
        <v>29.495431224491966</v>
      </c>
      <c r="O202" s="97">
        <f t="shared" si="209"/>
        <v>29.598972203981198</v>
      </c>
      <c r="P202" s="97">
        <f t="shared" si="209"/>
        <v>29.819877220779023</v>
      </c>
      <c r="Q202" s="97">
        <f t="shared" si="209"/>
        <v>32.127295643940975</v>
      </c>
      <c r="R202" s="97">
        <f t="shared" si="209"/>
        <v>36.276161914632326</v>
      </c>
      <c r="S202" s="97">
        <f t="shared" si="209"/>
        <v>38.927993221263947</v>
      </c>
      <c r="T202" s="97">
        <f t="shared" si="209"/>
        <v>40.755804692084162</v>
      </c>
      <c r="U202" s="97">
        <f t="shared" si="209"/>
        <v>39.325220026771248</v>
      </c>
      <c r="V202" s="97">
        <f t="shared" si="209"/>
        <v>36.76798903301907</v>
      </c>
      <c r="W202" s="97">
        <f t="shared" si="209"/>
        <v>39.409029373420708</v>
      </c>
      <c r="X202" s="97">
        <f t="shared" si="209"/>
        <v>41.624305641521545</v>
      </c>
      <c r="Y202" s="97">
        <f t="shared" si="209"/>
        <v>43.820892059995622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7.1898090738322837</v>
      </c>
      <c r="C203" s="130">
        <f t="shared" si="210"/>
        <v>6.8716416698047791</v>
      </c>
      <c r="D203" s="130">
        <f t="shared" si="210"/>
        <v>5.9954099286747358</v>
      </c>
      <c r="E203" s="130">
        <f t="shared" si="210"/>
        <v>5.6344851173649966</v>
      </c>
      <c r="F203" s="130">
        <f t="shared" si="210"/>
        <v>6.0090267742788583</v>
      </c>
      <c r="G203" s="130">
        <f t="shared" si="210"/>
        <v>6.2216785911062571</v>
      </c>
      <c r="H203" s="130">
        <f t="shared" si="210"/>
        <v>6.6883349735883604</v>
      </c>
      <c r="I203" s="130">
        <f t="shared" si="210"/>
        <v>6.4662823147156514</v>
      </c>
      <c r="J203" s="130">
        <f t="shared" si="210"/>
        <v>6.1558774947226373</v>
      </c>
      <c r="K203" s="130">
        <f t="shared" si="210"/>
        <v>5.6493738789363395</v>
      </c>
      <c r="L203" s="130">
        <f t="shared" si="210"/>
        <v>4.893910736789298</v>
      </c>
      <c r="M203" s="130">
        <f t="shared" si="210"/>
        <v>4.5103584243564701</v>
      </c>
      <c r="N203" s="130">
        <f t="shared" si="210"/>
        <v>2.4679920787231815</v>
      </c>
      <c r="O203" s="130">
        <f t="shared" si="210"/>
        <v>2.4927377108668431</v>
      </c>
      <c r="P203" s="130">
        <f t="shared" si="210"/>
        <v>2.395640084713929</v>
      </c>
      <c r="Q203" s="130">
        <f t="shared" si="210"/>
        <v>2.4115015654296075</v>
      </c>
      <c r="R203" s="130">
        <f t="shared" si="210"/>
        <v>1.9768318094307546</v>
      </c>
      <c r="S203" s="130">
        <f t="shared" si="210"/>
        <v>2.8436394489738568</v>
      </c>
      <c r="T203" s="130">
        <f t="shared" si="210"/>
        <v>3.9168463251985388</v>
      </c>
      <c r="U203" s="130">
        <f t="shared" si="210"/>
        <v>3.2367713982178841</v>
      </c>
      <c r="V203" s="130">
        <f t="shared" si="210"/>
        <v>3.5012809334817092</v>
      </c>
      <c r="W203" s="130">
        <f t="shared" si="210"/>
        <v>4.0964209172033819</v>
      </c>
      <c r="X203" s="130">
        <f t="shared" si="210"/>
        <v>2.7303508034722492</v>
      </c>
      <c r="Y203" s="130">
        <f t="shared" si="210"/>
        <v>2.2193163171174142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144.5419036169325</v>
      </c>
      <c r="C204" s="130">
        <f t="shared" si="211"/>
        <v>130.24100958396264</v>
      </c>
      <c r="D204" s="130">
        <f t="shared" si="211"/>
        <v>159.77591851105268</v>
      </c>
      <c r="E204" s="130">
        <f t="shared" si="211"/>
        <v>167.30122650554878</v>
      </c>
      <c r="F204" s="130">
        <f t="shared" si="211"/>
        <v>153.82618247507031</v>
      </c>
      <c r="G204" s="130">
        <f t="shared" si="211"/>
        <v>157.61404183752188</v>
      </c>
      <c r="H204" s="130">
        <f t="shared" si="211"/>
        <v>152.28230653574863</v>
      </c>
      <c r="I204" s="130">
        <f t="shared" si="211"/>
        <v>139.32393939115983</v>
      </c>
      <c r="J204" s="130">
        <f t="shared" si="211"/>
        <v>132.27081868291529</v>
      </c>
      <c r="K204" s="130">
        <f t="shared" si="211"/>
        <v>121.20571229896481</v>
      </c>
      <c r="L204" s="130">
        <f t="shared" si="211"/>
        <v>112.87173634408663</v>
      </c>
      <c r="M204" s="130">
        <f t="shared" si="211"/>
        <v>106.09133172953571</v>
      </c>
      <c r="N204" s="130">
        <f t="shared" si="211"/>
        <v>99.780545750801721</v>
      </c>
      <c r="O204" s="130">
        <f t="shared" si="211"/>
        <v>98.531772765558571</v>
      </c>
      <c r="P204" s="130">
        <f t="shared" si="211"/>
        <v>88.804578279842943</v>
      </c>
      <c r="Q204" s="130">
        <f t="shared" si="211"/>
        <v>88.877434856702166</v>
      </c>
      <c r="R204" s="130">
        <f t="shared" si="211"/>
        <v>85.951826281873593</v>
      </c>
      <c r="S204" s="130">
        <f t="shared" si="211"/>
        <v>85.752257733850058</v>
      </c>
      <c r="T204" s="130">
        <f t="shared" si="211"/>
        <v>78.716312462790754</v>
      </c>
      <c r="U204" s="130">
        <f t="shared" si="211"/>
        <v>77.064386732584566</v>
      </c>
      <c r="V204" s="130">
        <f t="shared" si="211"/>
        <v>124.65760729390128</v>
      </c>
      <c r="W204" s="130">
        <f t="shared" si="211"/>
        <v>113.92863586435365</v>
      </c>
      <c r="X204" s="130">
        <f t="shared" si="211"/>
        <v>96.993721772374911</v>
      </c>
      <c r="Y204" s="130">
        <f t="shared" si="211"/>
        <v>105.38427259824915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232.75379626930192</v>
      </c>
      <c r="C206" s="97">
        <f t="shared" si="213"/>
        <v>215.36883573723944</v>
      </c>
      <c r="D206" s="97">
        <f t="shared" si="213"/>
        <v>266.27467617456574</v>
      </c>
      <c r="E206" s="97">
        <f t="shared" si="213"/>
        <v>258.49279006236361</v>
      </c>
      <c r="F206" s="97">
        <f t="shared" si="213"/>
        <v>252.52297248088911</v>
      </c>
      <c r="G206" s="97">
        <f t="shared" si="213"/>
        <v>250.25869559297365</v>
      </c>
      <c r="H206" s="97">
        <f t="shared" si="213"/>
        <v>262.86807808080124</v>
      </c>
      <c r="I206" s="97">
        <f t="shared" si="213"/>
        <v>274.02030959691029</v>
      </c>
      <c r="J206" s="97">
        <f t="shared" si="213"/>
        <v>311.83742986190043</v>
      </c>
      <c r="K206" s="97">
        <f t="shared" si="213"/>
        <v>288.25414497841649</v>
      </c>
      <c r="L206" s="97">
        <f t="shared" si="213"/>
        <v>278.62028873880951</v>
      </c>
      <c r="M206" s="97">
        <f t="shared" si="213"/>
        <v>274.51523821520846</v>
      </c>
      <c r="N206" s="97">
        <f t="shared" si="213"/>
        <v>246.41553890172062</v>
      </c>
      <c r="O206" s="97">
        <f t="shared" si="213"/>
        <v>239.90471994464377</v>
      </c>
      <c r="P206" s="97">
        <f t="shared" si="213"/>
        <v>215.13769993621449</v>
      </c>
      <c r="Q206" s="97">
        <f t="shared" si="213"/>
        <v>222.59486133682398</v>
      </c>
      <c r="R206" s="97">
        <f t="shared" si="213"/>
        <v>201.22643711246209</v>
      </c>
      <c r="S206" s="97">
        <f t="shared" si="213"/>
        <v>251.34479120977309</v>
      </c>
      <c r="T206" s="97">
        <f t="shared" si="213"/>
        <v>267.73702239649094</v>
      </c>
      <c r="U206" s="97">
        <f t="shared" si="213"/>
        <v>264.15618468125501</v>
      </c>
      <c r="V206" s="97">
        <f t="shared" si="213"/>
        <v>346.64493673637048</v>
      </c>
      <c r="W206" s="97">
        <f t="shared" si="213"/>
        <v>426.56770896522301</v>
      </c>
      <c r="X206" s="97">
        <f t="shared" si="213"/>
        <v>358.05935481397967</v>
      </c>
      <c r="Y206" s="97">
        <f t="shared" si="213"/>
        <v>363.45210055329557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124.8588186586946</v>
      </c>
      <c r="C207" s="97">
        <f t="shared" si="214"/>
        <v>114.53982483756484</v>
      </c>
      <c r="D207" s="97">
        <f t="shared" si="214"/>
        <v>141.45408145220745</v>
      </c>
      <c r="E207" s="97">
        <f t="shared" si="214"/>
        <v>153.8406015841397</v>
      </c>
      <c r="F207" s="97">
        <f t="shared" si="214"/>
        <v>140.03566465773443</v>
      </c>
      <c r="G207" s="97">
        <f t="shared" si="214"/>
        <v>142.95023961277008</v>
      </c>
      <c r="H207" s="97">
        <f t="shared" si="214"/>
        <v>130.44923284616235</v>
      </c>
      <c r="I207" s="97">
        <f t="shared" si="214"/>
        <v>118.61760251159043</v>
      </c>
      <c r="J207" s="97">
        <f t="shared" si="214"/>
        <v>113.77837816062473</v>
      </c>
      <c r="K207" s="97">
        <f t="shared" si="214"/>
        <v>104.29687167366163</v>
      </c>
      <c r="L207" s="97">
        <f t="shared" si="214"/>
        <v>99.332785348063922</v>
      </c>
      <c r="M207" s="97">
        <f t="shared" si="214"/>
        <v>93.541369174674728</v>
      </c>
      <c r="N207" s="97">
        <f t="shared" si="214"/>
        <v>86.362429960062272</v>
      </c>
      <c r="O207" s="97">
        <f t="shared" si="214"/>
        <v>84.152713936206439</v>
      </c>
      <c r="P207" s="97">
        <f t="shared" si="214"/>
        <v>76.01454611327992</v>
      </c>
      <c r="Q207" s="97">
        <f t="shared" si="214"/>
        <v>77.310555516014148</v>
      </c>
      <c r="R207" s="97">
        <f t="shared" si="214"/>
        <v>75.452656368203193</v>
      </c>
      <c r="S207" s="97">
        <f t="shared" si="214"/>
        <v>72.972457463340561</v>
      </c>
      <c r="T207" s="97">
        <f t="shared" si="214"/>
        <v>64.715614305029632</v>
      </c>
      <c r="U207" s="97">
        <f t="shared" si="214"/>
        <v>62.945828407231581</v>
      </c>
      <c r="V207" s="97">
        <f t="shared" si="214"/>
        <v>110.39686088113453</v>
      </c>
      <c r="W207" s="97">
        <f t="shared" si="214"/>
        <v>96.348297986500882</v>
      </c>
      <c r="X207" s="97">
        <f t="shared" si="214"/>
        <v>86.75960561214373</v>
      </c>
      <c r="Y207" s="97">
        <f t="shared" si="214"/>
        <v>93.72667063554303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38.488694700624578</v>
      </c>
      <c r="C208" s="130">
        <f t="shared" si="215"/>
        <v>34.902175683678863</v>
      </c>
      <c r="D208" s="130">
        <f t="shared" si="215"/>
        <v>30.03218952266413</v>
      </c>
      <c r="E208" s="130">
        <f t="shared" si="215"/>
        <v>32.876055842584314</v>
      </c>
      <c r="F208" s="130">
        <f t="shared" si="215"/>
        <v>28.907136404186701</v>
      </c>
      <c r="G208" s="130">
        <f t="shared" si="215"/>
        <v>26.028601290367181</v>
      </c>
      <c r="H208" s="130">
        <f t="shared" si="215"/>
        <v>15.761682155864165</v>
      </c>
      <c r="I208" s="130">
        <f t="shared" si="215"/>
        <v>16.091955545081362</v>
      </c>
      <c r="J208" s="130">
        <f t="shared" si="215"/>
        <v>16.629144810229089</v>
      </c>
      <c r="K208" s="130">
        <f t="shared" si="215"/>
        <v>17.317449806917978</v>
      </c>
      <c r="L208" s="130">
        <f t="shared" si="215"/>
        <v>16.032373086631015</v>
      </c>
      <c r="M208" s="130">
        <f t="shared" si="215"/>
        <v>15.24274322524149</v>
      </c>
      <c r="N208" s="130">
        <f t="shared" si="215"/>
        <v>13.218334464664739</v>
      </c>
      <c r="O208" s="130">
        <f t="shared" si="215"/>
        <v>13.685729006121409</v>
      </c>
      <c r="P208" s="130">
        <f t="shared" si="215"/>
        <v>13.122036580051105</v>
      </c>
      <c r="Q208" s="130">
        <f t="shared" si="215"/>
        <v>12.783443653235002</v>
      </c>
      <c r="R208" s="130">
        <f t="shared" si="215"/>
        <v>12.466002582824483</v>
      </c>
      <c r="S208" s="130">
        <f t="shared" si="215"/>
        <v>11.953466949034217</v>
      </c>
      <c r="T208" s="130">
        <f t="shared" si="215"/>
        <v>16.223018730879911</v>
      </c>
      <c r="U208" s="130">
        <f t="shared" si="215"/>
        <v>18.018401370028108</v>
      </c>
      <c r="V208" s="130">
        <f t="shared" si="215"/>
        <v>20.156571910825321</v>
      </c>
      <c r="W208" s="130">
        <f t="shared" si="215"/>
        <v>17.684275816104186</v>
      </c>
      <c r="X208" s="130">
        <f t="shared" si="215"/>
        <v>19.333934047074784</v>
      </c>
      <c r="Y208" s="130">
        <f t="shared" si="215"/>
        <v>19.914262802912607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59.500597869327919</v>
      </c>
      <c r="C209" s="97">
        <f t="shared" si="216"/>
        <v>54.148067715688398</v>
      </c>
      <c r="D209" s="97">
        <f t="shared" si="216"/>
        <v>49.621249263063227</v>
      </c>
      <c r="E209" s="97">
        <f t="shared" si="216"/>
        <v>50.80464806009573</v>
      </c>
      <c r="F209" s="97">
        <f t="shared" si="216"/>
        <v>45.346768653789724</v>
      </c>
      <c r="G209" s="97">
        <f t="shared" si="216"/>
        <v>43.788612189146853</v>
      </c>
      <c r="H209" s="97">
        <f t="shared" si="216"/>
        <v>30.956082193879812</v>
      </c>
      <c r="I209" s="97">
        <f t="shared" si="216"/>
        <v>30.113033384452095</v>
      </c>
      <c r="J209" s="97">
        <f t="shared" si="216"/>
        <v>33.610957147196672</v>
      </c>
      <c r="K209" s="97">
        <f t="shared" si="216"/>
        <v>30.713889807860063</v>
      </c>
      <c r="L209" s="97">
        <f t="shared" si="216"/>
        <v>28.279819506278116</v>
      </c>
      <c r="M209" s="97">
        <f t="shared" si="216"/>
        <v>31.298852873723263</v>
      </c>
      <c r="N209" s="97">
        <f t="shared" si="216"/>
        <v>27.485029808921382</v>
      </c>
      <c r="O209" s="97">
        <f t="shared" si="216"/>
        <v>29.867488226236496</v>
      </c>
      <c r="P209" s="97">
        <f t="shared" si="216"/>
        <v>29.768367615520724</v>
      </c>
      <c r="Q209" s="97">
        <f t="shared" si="216"/>
        <v>26.563228433064722</v>
      </c>
      <c r="R209" s="97">
        <f t="shared" si="216"/>
        <v>26.321255188731175</v>
      </c>
      <c r="S209" s="97">
        <f t="shared" si="216"/>
        <v>27.428624580799614</v>
      </c>
      <c r="T209" s="97">
        <f t="shared" si="216"/>
        <v>35.023572396291755</v>
      </c>
      <c r="U209" s="97">
        <f t="shared" si="216"/>
        <v>39.743841944298474</v>
      </c>
      <c r="V209" s="97">
        <f t="shared" si="216"/>
        <v>40.133915718933963</v>
      </c>
      <c r="W209" s="97">
        <f t="shared" si="216"/>
        <v>36.777528478029183</v>
      </c>
      <c r="X209" s="97">
        <f t="shared" si="216"/>
        <v>46.800435922642713</v>
      </c>
      <c r="Y209" s="97">
        <f t="shared" si="216"/>
        <v>47.107134154681965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37.668021892178203</v>
      </c>
      <c r="C210" s="98">
        <f t="shared" si="217"/>
        <v>34.271491195905426</v>
      </c>
      <c r="D210" s="98">
        <f t="shared" si="217"/>
        <v>29.511396668215674</v>
      </c>
      <c r="E210" s="98">
        <f t="shared" si="217"/>
        <v>32.432949487784448</v>
      </c>
      <c r="F210" s="98">
        <f t="shared" si="217"/>
        <v>28.611199516116752</v>
      </c>
      <c r="G210" s="98">
        <f t="shared" si="217"/>
        <v>25.458278119924206</v>
      </c>
      <c r="H210" s="98">
        <f t="shared" si="217"/>
        <v>15.197996864557128</v>
      </c>
      <c r="I210" s="98">
        <f t="shared" si="217"/>
        <v>15.489315420985374</v>
      </c>
      <c r="J210" s="98">
        <f t="shared" si="217"/>
        <v>15.890604898527931</v>
      </c>
      <c r="K210" s="98">
        <f t="shared" si="217"/>
        <v>16.869206852575747</v>
      </c>
      <c r="L210" s="98">
        <f t="shared" si="217"/>
        <v>15.684186421902051</v>
      </c>
      <c r="M210" s="98">
        <f t="shared" si="217"/>
        <v>14.889229380086189</v>
      </c>
      <c r="N210" s="98">
        <f t="shared" si="217"/>
        <v>12.936872555326012</v>
      </c>
      <c r="O210" s="98">
        <f t="shared" si="217"/>
        <v>13.381185643571763</v>
      </c>
      <c r="P210" s="98">
        <f t="shared" si="217"/>
        <v>12.818584684804479</v>
      </c>
      <c r="Q210" s="98">
        <f t="shared" si="217"/>
        <v>12.5363445948567</v>
      </c>
      <c r="R210" s="98">
        <f t="shared" si="217"/>
        <v>12.174208092917898</v>
      </c>
      <c r="S210" s="98">
        <f t="shared" si="217"/>
        <v>11.723138372929064</v>
      </c>
      <c r="T210" s="98">
        <f t="shared" si="217"/>
        <v>15.836117179077281</v>
      </c>
      <c r="U210" s="98">
        <f t="shared" si="217"/>
        <v>17.479284855878021</v>
      </c>
      <c r="V210" s="98">
        <f t="shared" si="217"/>
        <v>19.596192274462478</v>
      </c>
      <c r="W210" s="98">
        <f t="shared" si="217"/>
        <v>17.072292719658613</v>
      </c>
      <c r="X210" s="98">
        <f t="shared" si="217"/>
        <v>18.490059478734558</v>
      </c>
      <c r="Y210" s="98">
        <f t="shared" si="217"/>
        <v>19.169821273903509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9.9470618998330931</v>
      </c>
      <c r="C211" s="32">
        <f t="shared" si="218"/>
        <v>10.025988048165921</v>
      </c>
      <c r="D211" s="32">
        <f t="shared" si="218"/>
        <v>12.811746660303442</v>
      </c>
      <c r="E211" s="32">
        <f t="shared" si="218"/>
        <v>12.953481532783634</v>
      </c>
      <c r="F211" s="32">
        <f t="shared" si="218"/>
        <v>12.560413664733497</v>
      </c>
      <c r="G211" s="32">
        <f t="shared" si="218"/>
        <v>11.476357893869288</v>
      </c>
      <c r="H211" s="32">
        <f t="shared" si="218"/>
        <v>11.652231806053434</v>
      </c>
      <c r="I211" s="32">
        <f t="shared" si="218"/>
        <v>11.819682997762699</v>
      </c>
      <c r="J211" s="32">
        <f t="shared" si="218"/>
        <v>11.706210361905557</v>
      </c>
      <c r="K211" s="32">
        <f t="shared" si="218"/>
        <v>10.434953808347499</v>
      </c>
      <c r="L211" s="32">
        <f t="shared" si="218"/>
        <v>10.277024288426814</v>
      </c>
      <c r="M211" s="32">
        <f t="shared" si="218"/>
        <v>8.5373212865712649</v>
      </c>
      <c r="N211" s="32">
        <f t="shared" si="218"/>
        <v>8.1890770609888488</v>
      </c>
      <c r="O211" s="32">
        <f t="shared" si="218"/>
        <v>8.2052827145303588</v>
      </c>
      <c r="P211" s="32">
        <f t="shared" si="218"/>
        <v>6.9331585070639239</v>
      </c>
      <c r="Q211" s="32">
        <f t="shared" si="218"/>
        <v>7.3105341107295461</v>
      </c>
      <c r="R211" s="32">
        <f t="shared" si="218"/>
        <v>8.2451850346979612</v>
      </c>
      <c r="S211" s="32">
        <f t="shared" si="218"/>
        <v>8.4456415118054196</v>
      </c>
      <c r="T211" s="32">
        <f t="shared" si="218"/>
        <v>10.033825678669835</v>
      </c>
      <c r="U211" s="32">
        <f t="shared" si="218"/>
        <v>8.5606569080288484</v>
      </c>
      <c r="V211" s="32">
        <f t="shared" si="218"/>
        <v>6.8627318108297093</v>
      </c>
      <c r="W211" s="32">
        <f t="shared" si="218"/>
        <v>7.5819170006784455</v>
      </c>
      <c r="X211" s="32">
        <f t="shared" si="218"/>
        <v>7.6265941690227024</v>
      </c>
      <c r="Y211" s="32">
        <f t="shared" si="218"/>
        <v>7.2459441458135254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32.90984957615921</v>
      </c>
      <c r="C212" s="97">
        <f t="shared" si="219"/>
        <v>32.799373678034463</v>
      </c>
      <c r="D212" s="97">
        <f t="shared" si="219"/>
        <v>43.097064589467017</v>
      </c>
      <c r="E212" s="97">
        <f t="shared" si="219"/>
        <v>43.572377955272039</v>
      </c>
      <c r="F212" s="97">
        <f t="shared" si="219"/>
        <v>44.511167124800842</v>
      </c>
      <c r="G212" s="97">
        <f t="shared" si="219"/>
        <v>42.561109213649559</v>
      </c>
      <c r="H212" s="97">
        <f t="shared" si="219"/>
        <v>43.633883597662127</v>
      </c>
      <c r="I212" s="97">
        <f t="shared" si="219"/>
        <v>44.788312389400211</v>
      </c>
      <c r="J212" s="97">
        <f t="shared" si="219"/>
        <v>44.634269750017936</v>
      </c>
      <c r="K212" s="97">
        <f t="shared" si="219"/>
        <v>39.827749830056732</v>
      </c>
      <c r="L212" s="97">
        <f t="shared" si="219"/>
        <v>38.455580220765938</v>
      </c>
      <c r="M212" s="97">
        <f t="shared" si="219"/>
        <v>33.389810913136735</v>
      </c>
      <c r="N212" s="97">
        <f t="shared" si="219"/>
        <v>31.140254780297777</v>
      </c>
      <c r="O212" s="97">
        <f t="shared" si="219"/>
        <v>30.750753225113531</v>
      </c>
      <c r="P212" s="97">
        <f t="shared" si="219"/>
        <v>25.590333013369779</v>
      </c>
      <c r="Q212" s="97">
        <f t="shared" si="219"/>
        <v>26.424383144938446</v>
      </c>
      <c r="R212" s="97">
        <f t="shared" si="219"/>
        <v>27.675206206719828</v>
      </c>
      <c r="S212" s="97">
        <f t="shared" si="219"/>
        <v>29.879129058351381</v>
      </c>
      <c r="T212" s="97">
        <f t="shared" si="219"/>
        <v>36.527572436873641</v>
      </c>
      <c r="U212" s="97">
        <f t="shared" si="219"/>
        <v>31.084541626116714</v>
      </c>
      <c r="V212" s="97">
        <f t="shared" si="219"/>
        <v>21.398055718411293</v>
      </c>
      <c r="W212" s="97">
        <f t="shared" si="219"/>
        <v>24.597394619942254</v>
      </c>
      <c r="X212" s="97">
        <f t="shared" si="219"/>
        <v>26.268665061295323</v>
      </c>
      <c r="Y212" s="97">
        <f t="shared" si="219"/>
        <v>23.921956712024365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7.6314109802165948</v>
      </c>
      <c r="C213" s="98">
        <f t="shared" si="220"/>
        <v>7.6297553217154359</v>
      </c>
      <c r="D213" s="98">
        <f t="shared" si="220"/>
        <v>9.9215684618192839</v>
      </c>
      <c r="E213" s="98">
        <f t="shared" si="220"/>
        <v>10.044717276422572</v>
      </c>
      <c r="F213" s="98">
        <f t="shared" si="220"/>
        <v>10.011065542427785</v>
      </c>
      <c r="G213" s="98">
        <f t="shared" si="220"/>
        <v>9.3703760220735504</v>
      </c>
      <c r="H213" s="98">
        <f t="shared" si="220"/>
        <v>9.5594798296084882</v>
      </c>
      <c r="I213" s="98">
        <f t="shared" si="220"/>
        <v>9.761235714314827</v>
      </c>
      <c r="J213" s="98">
        <f t="shared" si="220"/>
        <v>9.6858045381272575</v>
      </c>
      <c r="K213" s="98">
        <f t="shared" si="220"/>
        <v>8.6592608015130494</v>
      </c>
      <c r="L213" s="98">
        <f t="shared" si="220"/>
        <v>8.3709271367479943</v>
      </c>
      <c r="M213" s="98">
        <f t="shared" si="220"/>
        <v>7.0302503548676292</v>
      </c>
      <c r="N213" s="98">
        <f t="shared" si="220"/>
        <v>6.6287929317786851</v>
      </c>
      <c r="O213" s="98">
        <f t="shared" si="220"/>
        <v>6.5782498384831811</v>
      </c>
      <c r="P213" s="98">
        <f t="shared" si="220"/>
        <v>5.512291465572484</v>
      </c>
      <c r="Q213" s="98">
        <f t="shared" si="220"/>
        <v>5.7554757683635467</v>
      </c>
      <c r="R213" s="98">
        <f t="shared" si="220"/>
        <v>6.277213439920005</v>
      </c>
      <c r="S213" s="98">
        <f t="shared" si="220"/>
        <v>6.5789599418662101</v>
      </c>
      <c r="T213" s="98">
        <f t="shared" si="220"/>
        <v>7.9226548323572645</v>
      </c>
      <c r="U213" s="98">
        <f t="shared" si="220"/>
        <v>6.6823591413177388</v>
      </c>
      <c r="V213" s="98">
        <f t="shared" si="220"/>
        <v>5.6230929264792682</v>
      </c>
      <c r="W213" s="98">
        <f t="shared" si="220"/>
        <v>6.1253575827300475</v>
      </c>
      <c r="X213" s="98">
        <f t="shared" si="220"/>
        <v>5.9933893830461846</v>
      </c>
      <c r="Y213" s="98">
        <f t="shared" si="220"/>
        <v>5.5773071144048822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143.30926530001608</v>
      </c>
      <c r="C216" s="32">
        <f t="shared" si="221"/>
        <v>141.62598139223834</v>
      </c>
      <c r="D216" s="32">
        <f t="shared" si="221"/>
        <v>139.00321675154322</v>
      </c>
      <c r="E216" s="32">
        <f t="shared" si="221"/>
        <v>142.66137532458757</v>
      </c>
      <c r="F216" s="32">
        <f t="shared" si="221"/>
        <v>139.06737275129743</v>
      </c>
      <c r="G216" s="32">
        <f t="shared" si="221"/>
        <v>133.35830715028129</v>
      </c>
      <c r="H216" s="32">
        <f t="shared" si="221"/>
        <v>133.23350771149236</v>
      </c>
      <c r="I216" s="32">
        <f t="shared" si="221"/>
        <v>133.72069761086576</v>
      </c>
      <c r="J216" s="32">
        <f t="shared" si="221"/>
        <v>133.7237761112581</v>
      </c>
      <c r="K216" s="32">
        <f t="shared" si="221"/>
        <v>131.74001062824269</v>
      </c>
      <c r="L216" s="32">
        <f t="shared" si="221"/>
        <v>125.12573043958325</v>
      </c>
      <c r="M216" s="32">
        <f t="shared" si="221"/>
        <v>122.90571201846825</v>
      </c>
      <c r="N216" s="32">
        <f t="shared" si="221"/>
        <v>118.48663371409646</v>
      </c>
      <c r="O216" s="32">
        <f t="shared" si="221"/>
        <v>119.29868833135545</v>
      </c>
      <c r="P216" s="32">
        <f t="shared" si="221"/>
        <v>118.58303694737974</v>
      </c>
      <c r="Q216" s="32">
        <f t="shared" si="221"/>
        <v>124.34382104500246</v>
      </c>
      <c r="R216" s="32">
        <f t="shared" si="221"/>
        <v>123.53697323245777</v>
      </c>
      <c r="S216" s="32">
        <f t="shared" si="221"/>
        <v>117.89141839987357</v>
      </c>
      <c r="T216" s="32">
        <f t="shared" si="221"/>
        <v>115.31026120718829</v>
      </c>
      <c r="U216" s="32">
        <f t="shared" si="221"/>
        <v>113.07818848265406</v>
      </c>
      <c r="V216" s="32">
        <f t="shared" si="221"/>
        <v>117.6715037042987</v>
      </c>
      <c r="W216" s="32">
        <f t="shared" si="221"/>
        <v>119.1939302563277</v>
      </c>
      <c r="X216" s="32">
        <f t="shared" si="221"/>
        <v>109.89861309633319</v>
      </c>
      <c r="Y216" s="32">
        <f t="shared" si="221"/>
        <v>104.27280433572967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144.85582819351336</v>
      </c>
      <c r="C217" s="141">
        <f t="shared" si="222"/>
        <v>145.16108319160742</v>
      </c>
      <c r="D217" s="141">
        <f t="shared" si="222"/>
        <v>140.54796695921439</v>
      </c>
      <c r="E217" s="141">
        <f t="shared" si="222"/>
        <v>144.88251476295491</v>
      </c>
      <c r="F217" s="141">
        <f t="shared" si="222"/>
        <v>145.08758839707804</v>
      </c>
      <c r="G217" s="141">
        <f t="shared" si="222"/>
        <v>139.03292367058813</v>
      </c>
      <c r="H217" s="141">
        <f t="shared" si="222"/>
        <v>141.29591937701386</v>
      </c>
      <c r="I217" s="141">
        <f t="shared" si="222"/>
        <v>142.84014981972149</v>
      </c>
      <c r="J217" s="141">
        <f t="shared" si="222"/>
        <v>143.13381386714383</v>
      </c>
      <c r="K217" s="141">
        <f t="shared" si="222"/>
        <v>140.92559216063682</v>
      </c>
      <c r="L217" s="141">
        <f t="shared" si="222"/>
        <v>134.2304819547075</v>
      </c>
      <c r="M217" s="141">
        <f t="shared" si="222"/>
        <v>131.68069414238795</v>
      </c>
      <c r="N217" s="141">
        <f t="shared" si="222"/>
        <v>127.71009242759676</v>
      </c>
      <c r="O217" s="141">
        <f t="shared" si="222"/>
        <v>131.41103993707969</v>
      </c>
      <c r="P217" s="141">
        <f t="shared" si="222"/>
        <v>130.63328046139875</v>
      </c>
      <c r="Q217" s="141">
        <f t="shared" si="222"/>
        <v>138.38122897725364</v>
      </c>
      <c r="R217" s="141">
        <f t="shared" si="222"/>
        <v>134.54622507000153</v>
      </c>
      <c r="S217" s="141">
        <f t="shared" si="222"/>
        <v>128.02003800202095</v>
      </c>
      <c r="T217" s="141">
        <f t="shared" si="222"/>
        <v>126.641614101383</v>
      </c>
      <c r="U217" s="141">
        <f t="shared" si="222"/>
        <v>124.37393291562881</v>
      </c>
      <c r="V217" s="141">
        <f t="shared" si="222"/>
        <v>122.11780631777452</v>
      </c>
      <c r="W217" s="141">
        <f t="shared" si="222"/>
        <v>122.65557022121614</v>
      </c>
      <c r="X217" s="141">
        <f t="shared" si="222"/>
        <v>118.34656806035032</v>
      </c>
      <c r="Y217" s="141">
        <f t="shared" si="222"/>
        <v>112.60122621407227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109.5490765664121</v>
      </c>
      <c r="C218" s="97">
        <f t="shared" si="223"/>
        <v>108.40251490615431</v>
      </c>
      <c r="D218" s="97">
        <f t="shared" si="223"/>
        <v>107.36768307374167</v>
      </c>
      <c r="E218" s="97">
        <f t="shared" si="223"/>
        <v>106.2732085472982</v>
      </c>
      <c r="F218" s="97">
        <f t="shared" si="223"/>
        <v>104.88649246988506</v>
      </c>
      <c r="G218" s="97">
        <f t="shared" si="223"/>
        <v>103.24460433795095</v>
      </c>
      <c r="H218" s="97">
        <f t="shared" si="223"/>
        <v>102.6020680928158</v>
      </c>
      <c r="I218" s="97">
        <f t="shared" si="223"/>
        <v>101.28059633396643</v>
      </c>
      <c r="J218" s="97">
        <f t="shared" si="223"/>
        <v>100.1825032973049</v>
      </c>
      <c r="K218" s="97">
        <f t="shared" si="223"/>
        <v>97.507867217576191</v>
      </c>
      <c r="L218" s="97">
        <f t="shared" si="223"/>
        <v>93.551995223250287</v>
      </c>
      <c r="M218" s="97">
        <f t="shared" si="223"/>
        <v>92.151964015179075</v>
      </c>
      <c r="N218" s="97">
        <f t="shared" si="223"/>
        <v>91.529962366112798</v>
      </c>
      <c r="O218" s="97">
        <f t="shared" si="223"/>
        <v>91.044581641086154</v>
      </c>
      <c r="P218" s="97">
        <f t="shared" si="223"/>
        <v>91.265466596559321</v>
      </c>
      <c r="Q218" s="97">
        <f t="shared" si="223"/>
        <v>90.45255143792869</v>
      </c>
      <c r="R218" s="97">
        <f t="shared" si="223"/>
        <v>85.724434798624827</v>
      </c>
      <c r="S218" s="97">
        <f t="shared" si="223"/>
        <v>84.072035608022532</v>
      </c>
      <c r="T218" s="97">
        <f t="shared" si="223"/>
        <v>83.318296221742287</v>
      </c>
      <c r="U218" s="97">
        <f t="shared" si="223"/>
        <v>82.774458967655889</v>
      </c>
      <c r="V218" s="97">
        <f t="shared" si="223"/>
        <v>78.184217178608804</v>
      </c>
      <c r="W218" s="97">
        <f t="shared" si="223"/>
        <v>80.973433839532959</v>
      </c>
      <c r="X218" s="97">
        <f t="shared" si="223"/>
        <v>81.498396146052841</v>
      </c>
      <c r="Y218" s="97">
        <f t="shared" si="223"/>
        <v>81.149521518713584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152.32168712185739</v>
      </c>
      <c r="C219" s="97">
        <f t="shared" si="224"/>
        <v>153.42644030968182</v>
      </c>
      <c r="D219" s="97">
        <f t="shared" si="224"/>
        <v>149.81924500510999</v>
      </c>
      <c r="E219" s="97">
        <f t="shared" si="224"/>
        <v>157.2258061060468</v>
      </c>
      <c r="F219" s="97">
        <f t="shared" si="224"/>
        <v>158.33706874741065</v>
      </c>
      <c r="G219" s="97">
        <f t="shared" si="224"/>
        <v>151.94706925817621</v>
      </c>
      <c r="H219" s="97">
        <f t="shared" si="224"/>
        <v>155.72259944696424</v>
      </c>
      <c r="I219" s="97">
        <f t="shared" si="224"/>
        <v>158.38412651391221</v>
      </c>
      <c r="J219" s="97">
        <f t="shared" si="224"/>
        <v>156.57874491948618</v>
      </c>
      <c r="K219" s="97">
        <f t="shared" si="224"/>
        <v>154.37357095901538</v>
      </c>
      <c r="L219" s="97">
        <f t="shared" si="224"/>
        <v>146.39239558432391</v>
      </c>
      <c r="M219" s="97">
        <f t="shared" si="224"/>
        <v>144.0255515639615</v>
      </c>
      <c r="N219" s="97">
        <f t="shared" si="224"/>
        <v>139.89153890726394</v>
      </c>
      <c r="O219" s="97">
        <f t="shared" si="224"/>
        <v>142.1146382946356</v>
      </c>
      <c r="P219" s="97">
        <f t="shared" si="224"/>
        <v>140.42903665729816</v>
      </c>
      <c r="Q219" s="97">
        <f t="shared" si="224"/>
        <v>147.59579578084563</v>
      </c>
      <c r="R219" s="97">
        <f t="shared" si="224"/>
        <v>142.90752847984442</v>
      </c>
      <c r="S219" s="97">
        <f t="shared" si="224"/>
        <v>134.86576731569349</v>
      </c>
      <c r="T219" s="97">
        <f t="shared" si="224"/>
        <v>133.07010411053446</v>
      </c>
      <c r="U219" s="97">
        <f t="shared" si="224"/>
        <v>130.7223238668706</v>
      </c>
      <c r="V219" s="97">
        <f t="shared" si="224"/>
        <v>123.57008119864371</v>
      </c>
      <c r="W219" s="97">
        <f t="shared" si="224"/>
        <v>124.34066927932589</v>
      </c>
      <c r="X219" s="97">
        <f t="shared" si="224"/>
        <v>122.70439992639132</v>
      </c>
      <c r="Y219" s="97">
        <f t="shared" si="224"/>
        <v>117.89465485173045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91.508147942543133</v>
      </c>
      <c r="C220" s="97">
        <f t="shared" si="225"/>
        <v>87.581401220011116</v>
      </c>
      <c r="D220" s="97">
        <f t="shared" si="225"/>
        <v>79.469446332544806</v>
      </c>
      <c r="E220" s="97">
        <f t="shared" si="225"/>
        <v>72.434185986180637</v>
      </c>
      <c r="F220" s="97">
        <f t="shared" si="225"/>
        <v>69.843820399866928</v>
      </c>
      <c r="G220" s="97">
        <f t="shared" si="225"/>
        <v>66.943661953779753</v>
      </c>
      <c r="H220" s="97">
        <f t="shared" si="225"/>
        <v>63.387086386150813</v>
      </c>
      <c r="I220" s="97">
        <f t="shared" si="225"/>
        <v>60.392595041941931</v>
      </c>
      <c r="J220" s="97">
        <f t="shared" si="225"/>
        <v>65.490822638368613</v>
      </c>
      <c r="K220" s="97">
        <f t="shared" si="225"/>
        <v>63.227809782765711</v>
      </c>
      <c r="L220" s="97">
        <f t="shared" si="225"/>
        <v>61.978767746128391</v>
      </c>
      <c r="M220" s="97">
        <f t="shared" si="225"/>
        <v>58.952827567665473</v>
      </c>
      <c r="N220" s="97">
        <f t="shared" si="225"/>
        <v>56.358550554904681</v>
      </c>
      <c r="O220" s="97">
        <f t="shared" si="225"/>
        <v>64.238529144018386</v>
      </c>
      <c r="P220" s="97">
        <f t="shared" si="225"/>
        <v>66.427986750527921</v>
      </c>
      <c r="Q220" s="97">
        <f t="shared" si="225"/>
        <v>75.680934214466475</v>
      </c>
      <c r="R220" s="97">
        <f t="shared" si="225"/>
        <v>75.696050075265276</v>
      </c>
      <c r="S220" s="97">
        <f t="shared" si="225"/>
        <v>78.819870065360263</v>
      </c>
      <c r="T220" s="97">
        <f t="shared" si="225"/>
        <v>80.861337294131545</v>
      </c>
      <c r="U220" s="97">
        <f t="shared" si="225"/>
        <v>79.845187937297325</v>
      </c>
      <c r="V220" s="97">
        <f t="shared" si="225"/>
        <v>114.95765589359533</v>
      </c>
      <c r="W220" s="97">
        <f t="shared" si="225"/>
        <v>112.52423990876939</v>
      </c>
      <c r="X220" s="97">
        <f t="shared" si="225"/>
        <v>86.56018833741247</v>
      </c>
      <c r="Y220" s="97">
        <f t="shared" si="225"/>
        <v>75.471743150367004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6.572541217032934</v>
      </c>
      <c r="C221" s="130">
        <f t="shared" si="226"/>
        <v>6.0916560175162502</v>
      </c>
      <c r="D221" s="130">
        <f t="shared" si="226"/>
        <v>6.2646062983250896</v>
      </c>
      <c r="E221" s="130">
        <f t="shared" si="226"/>
        <v>6.705467841101469</v>
      </c>
      <c r="F221" s="130">
        <f t="shared" si="226"/>
        <v>5.7626130731476382</v>
      </c>
      <c r="G221" s="130">
        <f t="shared" si="226"/>
        <v>6.1757997087800991</v>
      </c>
      <c r="H221" s="130">
        <f t="shared" si="226"/>
        <v>7.6347476203161708</v>
      </c>
      <c r="I221" s="130">
        <f t="shared" si="226"/>
        <v>7.5918694221216718</v>
      </c>
      <c r="J221" s="130">
        <f t="shared" si="226"/>
        <v>7.2364339588096804</v>
      </c>
      <c r="K221" s="130">
        <f t="shared" si="226"/>
        <v>6.6400638523820392</v>
      </c>
      <c r="L221" s="130">
        <f t="shared" si="226"/>
        <v>5.6163022298549334</v>
      </c>
      <c r="M221" s="130">
        <f t="shared" si="226"/>
        <v>5.4381022463481425</v>
      </c>
      <c r="N221" s="130">
        <f t="shared" si="226"/>
        <v>5.9718181097665894</v>
      </c>
      <c r="O221" s="130">
        <f t="shared" si="226"/>
        <v>4.4920253833270953</v>
      </c>
      <c r="P221" s="130">
        <f t="shared" si="226"/>
        <v>3.4049619404141036</v>
      </c>
      <c r="Q221" s="130">
        <f t="shared" si="226"/>
        <v>3.7122802778986856</v>
      </c>
      <c r="R221" s="130">
        <f t="shared" si="226"/>
        <v>3.9543381694040418</v>
      </c>
      <c r="S221" s="130">
        <f t="shared" si="226"/>
        <v>4.0779181550280539</v>
      </c>
      <c r="T221" s="130">
        <f t="shared" si="226"/>
        <v>2.7535972612040496</v>
      </c>
      <c r="U221" s="130">
        <f t="shared" si="226"/>
        <v>2.5595296527933664</v>
      </c>
      <c r="V221" s="130">
        <f t="shared" si="226"/>
        <v>2.8179158955349686</v>
      </c>
      <c r="W221" s="130">
        <f t="shared" si="226"/>
        <v>2.7733901498404765</v>
      </c>
      <c r="X221" s="130">
        <f t="shared" si="226"/>
        <v>1.8750825865043448</v>
      </c>
      <c r="Y221" s="130">
        <f t="shared" si="226"/>
        <v>1.8553217697128135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8.2326604500438734</v>
      </c>
      <c r="C223" s="97">
        <f t="shared" si="228"/>
        <v>7.5956108183158282</v>
      </c>
      <c r="D223" s="97">
        <f t="shared" si="228"/>
        <v>7.7977346795911542</v>
      </c>
      <c r="E223" s="97">
        <f t="shared" si="228"/>
        <v>8.3194277465405406</v>
      </c>
      <c r="F223" s="97">
        <f t="shared" si="228"/>
        <v>7.0493764026978045</v>
      </c>
      <c r="G223" s="97">
        <f t="shared" si="228"/>
        <v>7.7443609525616539</v>
      </c>
      <c r="H223" s="97">
        <f t="shared" si="228"/>
        <v>9.5041295715487841</v>
      </c>
      <c r="I223" s="97">
        <f t="shared" si="228"/>
        <v>9.3918260603062738</v>
      </c>
      <c r="J223" s="97">
        <f t="shared" si="228"/>
        <v>8.8969798970398504</v>
      </c>
      <c r="K223" s="97">
        <f t="shared" si="228"/>
        <v>8.1314731374473599</v>
      </c>
      <c r="L223" s="97">
        <f t="shared" si="228"/>
        <v>6.8845379034610446</v>
      </c>
      <c r="M223" s="97">
        <f t="shared" si="228"/>
        <v>6.5730861934006528</v>
      </c>
      <c r="N223" s="97">
        <f t="shared" si="228"/>
        <v>7.2460819109238948</v>
      </c>
      <c r="O223" s="97">
        <f t="shared" si="228"/>
        <v>5.4571805496664476</v>
      </c>
      <c r="P223" s="97">
        <f t="shared" si="228"/>
        <v>4.1282853669341373</v>
      </c>
      <c r="Q223" s="97">
        <f t="shared" si="228"/>
        <v>4.6840417565116486</v>
      </c>
      <c r="R223" s="97">
        <f t="shared" si="228"/>
        <v>5.2379918348060537</v>
      </c>
      <c r="S223" s="97">
        <f t="shared" si="228"/>
        <v>5.4497839189603026</v>
      </c>
      <c r="T223" s="97">
        <f t="shared" si="228"/>
        <v>3.5578412543575135</v>
      </c>
      <c r="U223" s="97">
        <f t="shared" si="228"/>
        <v>3.3041644250949069</v>
      </c>
      <c r="V223" s="97">
        <f t="shared" si="228"/>
        <v>3.615425070215331</v>
      </c>
      <c r="W223" s="97">
        <f t="shared" si="228"/>
        <v>3.7493494112122421</v>
      </c>
      <c r="X223" s="97">
        <f t="shared" si="228"/>
        <v>2.3670579251663386</v>
      </c>
      <c r="Y223" s="97">
        <f t="shared" si="228"/>
        <v>2.346952202815844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191.57420001884722</v>
      </c>
      <c r="C225" s="130">
        <f t="shared" si="230"/>
        <v>180.96190317992762</v>
      </c>
      <c r="D225" s="130">
        <f t="shared" si="230"/>
        <v>214.79448827103761</v>
      </c>
      <c r="E225" s="130">
        <f t="shared" si="230"/>
        <v>208.44463804607372</v>
      </c>
      <c r="F225" s="130">
        <f t="shared" si="230"/>
        <v>174.73419741324903</v>
      </c>
      <c r="G225" s="130">
        <f t="shared" si="230"/>
        <v>162.53470414980205</v>
      </c>
      <c r="H225" s="130">
        <f t="shared" si="230"/>
        <v>147.3271983652827</v>
      </c>
      <c r="I225" s="130">
        <f t="shared" si="230"/>
        <v>142.08981015059038</v>
      </c>
      <c r="J225" s="130">
        <f t="shared" si="230"/>
        <v>143.13111388956642</v>
      </c>
      <c r="K225" s="130">
        <f t="shared" si="230"/>
        <v>142.41674836225812</v>
      </c>
      <c r="L225" s="130">
        <f t="shared" si="230"/>
        <v>133.97519712117224</v>
      </c>
      <c r="M225" s="130">
        <f t="shared" si="230"/>
        <v>132.48549050189567</v>
      </c>
      <c r="N225" s="130">
        <f t="shared" si="230"/>
        <v>124.60651359486559</v>
      </c>
      <c r="O225" s="130">
        <f t="shared" si="230"/>
        <v>115.80856160247536</v>
      </c>
      <c r="P225" s="130">
        <f t="shared" si="230"/>
        <v>114.9706921153375</v>
      </c>
      <c r="Q225" s="130">
        <f t="shared" si="230"/>
        <v>114.28183220568204</v>
      </c>
      <c r="R225" s="130">
        <f t="shared" si="230"/>
        <v>123.97311493277343</v>
      </c>
      <c r="S225" s="130">
        <f t="shared" si="230"/>
        <v>121.11324011390418</v>
      </c>
      <c r="T225" s="130">
        <f t="shared" si="230"/>
        <v>118.20390747264504</v>
      </c>
      <c r="U225" s="130">
        <f t="shared" si="230"/>
        <v>115.85785791440352</v>
      </c>
      <c r="V225" s="130">
        <f t="shared" si="230"/>
        <v>168.75087725091987</v>
      </c>
      <c r="W225" s="130">
        <f t="shared" si="230"/>
        <v>160.49861128326023</v>
      </c>
      <c r="X225" s="130">
        <f t="shared" si="230"/>
        <v>123.27536969645793</v>
      </c>
      <c r="Y225" s="130">
        <f t="shared" si="230"/>
        <v>116.2252177581272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199.11736333111645</v>
      </c>
      <c r="C227" s="97">
        <f t="shared" si="232"/>
        <v>187.80303961682208</v>
      </c>
      <c r="D227" s="97">
        <f t="shared" si="232"/>
        <v>224.65092087935</v>
      </c>
      <c r="E227" s="97">
        <f t="shared" si="232"/>
        <v>213.36175134759168</v>
      </c>
      <c r="F227" s="97">
        <f t="shared" si="232"/>
        <v>175.95876635743309</v>
      </c>
      <c r="G227" s="97">
        <f t="shared" si="232"/>
        <v>168.3271900019505</v>
      </c>
      <c r="H227" s="97">
        <f t="shared" si="232"/>
        <v>154.60194253284843</v>
      </c>
      <c r="I227" s="97">
        <f t="shared" si="232"/>
        <v>165.29249211656034</v>
      </c>
      <c r="J227" s="97">
        <f t="shared" si="232"/>
        <v>187.06225885411826</v>
      </c>
      <c r="K227" s="97">
        <f t="shared" si="232"/>
        <v>182.02899348074001</v>
      </c>
      <c r="L227" s="97">
        <f t="shared" si="232"/>
        <v>171.92560593852329</v>
      </c>
      <c r="M227" s="97">
        <f t="shared" si="232"/>
        <v>167.31253891172236</v>
      </c>
      <c r="N227" s="97">
        <f t="shared" si="232"/>
        <v>154.15644364527415</v>
      </c>
      <c r="O227" s="97">
        <f t="shared" si="232"/>
        <v>143.72895392443007</v>
      </c>
      <c r="P227" s="97">
        <f t="shared" si="232"/>
        <v>140.68386473077467</v>
      </c>
      <c r="Q227" s="97">
        <f t="shared" si="232"/>
        <v>137.46653851002796</v>
      </c>
      <c r="R227" s="97">
        <f t="shared" si="232"/>
        <v>138.69364519003452</v>
      </c>
      <c r="S227" s="97">
        <f t="shared" si="232"/>
        <v>142.83537627529708</v>
      </c>
      <c r="T227" s="97">
        <f t="shared" si="232"/>
        <v>149.76336962515569</v>
      </c>
      <c r="U227" s="97">
        <f t="shared" si="232"/>
        <v>146.59929277978608</v>
      </c>
      <c r="V227" s="97">
        <f t="shared" si="232"/>
        <v>197.270564500131</v>
      </c>
      <c r="W227" s="97">
        <f t="shared" si="232"/>
        <v>198.37655251330173</v>
      </c>
      <c r="X227" s="97">
        <f t="shared" si="232"/>
        <v>160.60683202957796</v>
      </c>
      <c r="Y227" s="97">
        <f t="shared" si="232"/>
        <v>145.66510969822488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183.44893854281605</v>
      </c>
      <c r="C228" s="97">
        <f t="shared" si="233"/>
        <v>173.21262497651762</v>
      </c>
      <c r="D228" s="97">
        <f t="shared" si="233"/>
        <v>202.17422705016199</v>
      </c>
      <c r="E228" s="97">
        <f t="shared" si="233"/>
        <v>201.99790571927045</v>
      </c>
      <c r="F228" s="97">
        <f t="shared" si="233"/>
        <v>173.23837036740332</v>
      </c>
      <c r="G228" s="97">
        <f t="shared" si="233"/>
        <v>155.88177259313977</v>
      </c>
      <c r="H228" s="97">
        <f t="shared" si="233"/>
        <v>139.03738127565992</v>
      </c>
      <c r="I228" s="97">
        <f t="shared" si="233"/>
        <v>120.05063888087825</v>
      </c>
      <c r="J228" s="97">
        <f t="shared" si="233"/>
        <v>110.40238807919039</v>
      </c>
      <c r="K228" s="97">
        <f t="shared" si="233"/>
        <v>113.27329775529874</v>
      </c>
      <c r="L228" s="97">
        <f t="shared" si="233"/>
        <v>106.34212934852015</v>
      </c>
      <c r="M228" s="97">
        <f t="shared" si="233"/>
        <v>106.47465146697853</v>
      </c>
      <c r="N228" s="97">
        <f t="shared" si="233"/>
        <v>102.20805902423635</v>
      </c>
      <c r="O228" s="97">
        <f t="shared" si="233"/>
        <v>94.969544483747498</v>
      </c>
      <c r="P228" s="97">
        <f t="shared" si="233"/>
        <v>95.135741050048765</v>
      </c>
      <c r="Q228" s="97">
        <f t="shared" si="233"/>
        <v>95.620897734163648</v>
      </c>
      <c r="R228" s="97">
        <f t="shared" si="233"/>
        <v>109.75208224771477</v>
      </c>
      <c r="S228" s="97">
        <f t="shared" si="233"/>
        <v>101.47233290222553</v>
      </c>
      <c r="T228" s="97">
        <f t="shared" si="233"/>
        <v>93.509439645037901</v>
      </c>
      <c r="U228" s="97">
        <f t="shared" si="233"/>
        <v>92.71966003292529</v>
      </c>
      <c r="V228" s="97">
        <f t="shared" si="233"/>
        <v>147.80537283587981</v>
      </c>
      <c r="W228" s="97">
        <f t="shared" si="233"/>
        <v>131.30051820436537</v>
      </c>
      <c r="X228" s="97">
        <f t="shared" si="233"/>
        <v>93.633221124271742</v>
      </c>
      <c r="Y228" s="97">
        <f t="shared" si="233"/>
        <v>92.203765285206885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140.79779538793883</v>
      </c>
      <c r="C229" s="32">
        <f t="shared" si="234"/>
        <v>144.29424250594815</v>
      </c>
      <c r="D229" s="32">
        <f t="shared" si="234"/>
        <v>142.70917147777809</v>
      </c>
      <c r="E229" s="32">
        <f t="shared" si="234"/>
        <v>148.52783095693061</v>
      </c>
      <c r="F229" s="32">
        <f t="shared" si="234"/>
        <v>150.58701800891134</v>
      </c>
      <c r="G229" s="32">
        <f t="shared" si="234"/>
        <v>146.79459324190842</v>
      </c>
      <c r="H229" s="32">
        <f t="shared" si="234"/>
        <v>145.56948015434483</v>
      </c>
      <c r="I229" s="32">
        <f t="shared" si="234"/>
        <v>146.48081435850887</v>
      </c>
      <c r="J229" s="32">
        <f t="shared" si="234"/>
        <v>147.12680056401442</v>
      </c>
      <c r="K229" s="32">
        <f t="shared" si="234"/>
        <v>151.20474459747601</v>
      </c>
      <c r="L229" s="32">
        <f t="shared" si="234"/>
        <v>140.70384366496688</v>
      </c>
      <c r="M229" s="32">
        <f t="shared" si="234"/>
        <v>137.42328742550029</v>
      </c>
      <c r="N229" s="32">
        <f t="shared" si="234"/>
        <v>116.45001117457232</v>
      </c>
      <c r="O229" s="32">
        <f t="shared" si="234"/>
        <v>114.36185417883594</v>
      </c>
      <c r="P229" s="32">
        <f t="shared" si="234"/>
        <v>113.68944250893988</v>
      </c>
      <c r="Q229" s="32">
        <f t="shared" si="234"/>
        <v>123.27927034652946</v>
      </c>
      <c r="R229" s="32">
        <f t="shared" si="234"/>
        <v>118.98833224628954</v>
      </c>
      <c r="S229" s="32">
        <f t="shared" si="234"/>
        <v>127.58871817763922</v>
      </c>
      <c r="T229" s="32">
        <f t="shared" si="234"/>
        <v>139.79259754015212</v>
      </c>
      <c r="U229" s="32">
        <f t="shared" si="234"/>
        <v>131.6564683203286</v>
      </c>
      <c r="V229" s="32">
        <f t="shared" si="234"/>
        <v>130.88905155160305</v>
      </c>
      <c r="W229" s="32">
        <f t="shared" si="234"/>
        <v>144.64060243278291</v>
      </c>
      <c r="X229" s="32">
        <f t="shared" si="234"/>
        <v>148.56473530653088</v>
      </c>
      <c r="Y229" s="32">
        <f t="shared" si="234"/>
        <v>153.63122603864463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158.41053308015591</v>
      </c>
      <c r="C230" s="141">
        <f t="shared" si="235"/>
        <v>164.76297562463097</v>
      </c>
      <c r="D230" s="141">
        <f t="shared" si="235"/>
        <v>165.47097914508879</v>
      </c>
      <c r="E230" s="141">
        <f t="shared" si="235"/>
        <v>170.1084584878794</v>
      </c>
      <c r="F230" s="141">
        <f t="shared" si="235"/>
        <v>175.37510528378741</v>
      </c>
      <c r="G230" s="141">
        <f t="shared" si="235"/>
        <v>172.75287336205821</v>
      </c>
      <c r="H230" s="141">
        <f t="shared" si="235"/>
        <v>174.25622163215795</v>
      </c>
      <c r="I230" s="141">
        <f t="shared" si="235"/>
        <v>175.13007398840008</v>
      </c>
      <c r="J230" s="141">
        <f t="shared" si="235"/>
        <v>176.62449055192232</v>
      </c>
      <c r="K230" s="141">
        <f t="shared" si="235"/>
        <v>177.07067985032299</v>
      </c>
      <c r="L230" s="141">
        <f t="shared" si="235"/>
        <v>168.79772131024268</v>
      </c>
      <c r="M230" s="141">
        <f t="shared" si="235"/>
        <v>165.82743687437312</v>
      </c>
      <c r="N230" s="141">
        <f t="shared" si="235"/>
        <v>158.77022530869385</v>
      </c>
      <c r="O230" s="141">
        <f t="shared" si="235"/>
        <v>152.66421106457926</v>
      </c>
      <c r="P230" s="141">
        <f t="shared" si="235"/>
        <v>153.09471576400821</v>
      </c>
      <c r="Q230" s="141">
        <f t="shared" si="235"/>
        <v>164.17618700219208</v>
      </c>
      <c r="R230" s="141">
        <f t="shared" si="235"/>
        <v>165.98521815113534</v>
      </c>
      <c r="S230" s="141">
        <f t="shared" si="235"/>
        <v>169.32030102405307</v>
      </c>
      <c r="T230" s="141">
        <f t="shared" si="235"/>
        <v>177.00428539860121</v>
      </c>
      <c r="U230" s="141">
        <f t="shared" si="235"/>
        <v>170.73483251776059</v>
      </c>
      <c r="V230" s="141">
        <f t="shared" si="235"/>
        <v>151.17765163881342</v>
      </c>
      <c r="W230" s="141">
        <f t="shared" si="235"/>
        <v>167.83155069607994</v>
      </c>
      <c r="X230" s="141">
        <f t="shared" si="235"/>
        <v>174.18465347488063</v>
      </c>
      <c r="Y230" s="141">
        <f t="shared" si="235"/>
        <v>186.01166438335241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4722.8364085601152</v>
      </c>
      <c r="C231" s="97">
        <f t="shared" si="236"/>
        <v>4443.0089118476571</v>
      </c>
      <c r="D231" s="97">
        <f t="shared" si="236"/>
        <v>4415.2103384467064</v>
      </c>
      <c r="E231" s="97">
        <f t="shared" si="236"/>
        <v>4205.022764764266</v>
      </c>
      <c r="F231" s="97">
        <f t="shared" si="236"/>
        <v>4062.0407106471407</v>
      </c>
      <c r="G231" s="97">
        <f t="shared" si="236"/>
        <v>3913.4461374929774</v>
      </c>
      <c r="H231" s="97">
        <f t="shared" si="236"/>
        <v>3805.8179110130332</v>
      </c>
      <c r="I231" s="97">
        <f t="shared" si="236"/>
        <v>3724.8934086729278</v>
      </c>
      <c r="J231" s="97">
        <f t="shared" si="236"/>
        <v>3613.3948232744551</v>
      </c>
      <c r="K231" s="97">
        <f t="shared" si="236"/>
        <v>3446.3666635894942</v>
      </c>
      <c r="L231" s="97">
        <f t="shared" si="236"/>
        <v>3300.0745381277729</v>
      </c>
      <c r="M231" s="97">
        <f t="shared" si="236"/>
        <v>3283.4490586223965</v>
      </c>
      <c r="N231" s="97">
        <f t="shared" si="236"/>
        <v>3230.6927146249832</v>
      </c>
      <c r="O231" s="97">
        <f t="shared" si="236"/>
        <v>3153.4661474846521</v>
      </c>
      <c r="P231" s="97">
        <f t="shared" si="236"/>
        <v>3102.036800972915</v>
      </c>
      <c r="Q231" s="97">
        <f t="shared" si="236"/>
        <v>3181.1801150703523</v>
      </c>
      <c r="R231" s="97">
        <f t="shared" si="236"/>
        <v>3006.9466244626615</v>
      </c>
      <c r="S231" s="97">
        <f t="shared" si="236"/>
        <v>2904.1863137884425</v>
      </c>
      <c r="T231" s="97">
        <f t="shared" si="236"/>
        <v>2872.3729325999466</v>
      </c>
      <c r="U231" s="97">
        <f t="shared" si="236"/>
        <v>2826.7416022989519</v>
      </c>
      <c r="V231" s="97">
        <f t="shared" si="236"/>
        <v>2624.5623298160071</v>
      </c>
      <c r="W231" s="97">
        <f t="shared" si="236"/>
        <v>2733.2613307540651</v>
      </c>
      <c r="X231" s="97">
        <f t="shared" si="236"/>
        <v>2686.3142736179707</v>
      </c>
      <c r="Y231" s="97">
        <f t="shared" si="236"/>
        <v>2720.2905317336645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80.323840724555595</v>
      </c>
      <c r="C232" s="97">
        <f t="shared" si="237"/>
        <v>90.59102345399387</v>
      </c>
      <c r="D232" s="97">
        <f t="shared" si="237"/>
        <v>90.321497504917616</v>
      </c>
      <c r="E232" s="97">
        <f t="shared" si="237"/>
        <v>94.096207747141619</v>
      </c>
      <c r="F232" s="97">
        <f t="shared" si="237"/>
        <v>100.57895967679053</v>
      </c>
      <c r="G232" s="97">
        <f t="shared" si="237"/>
        <v>98.426534352891622</v>
      </c>
      <c r="H232" s="97">
        <f t="shared" si="237"/>
        <v>101.02447317891381</v>
      </c>
      <c r="I232" s="97">
        <f t="shared" si="237"/>
        <v>101.03238226447115</v>
      </c>
      <c r="J232" s="97">
        <f t="shared" si="237"/>
        <v>99.795127330113928</v>
      </c>
      <c r="K232" s="97">
        <f t="shared" si="237"/>
        <v>98.997816371295073</v>
      </c>
      <c r="L232" s="97">
        <f t="shared" si="237"/>
        <v>95.105606675958683</v>
      </c>
      <c r="M232" s="97">
        <f t="shared" si="237"/>
        <v>92.655704576166087</v>
      </c>
      <c r="N232" s="97">
        <f t="shared" si="237"/>
        <v>87.561448558527871</v>
      </c>
      <c r="O232" s="97">
        <f t="shared" si="237"/>
        <v>87.813944361810229</v>
      </c>
      <c r="P232" s="97">
        <f t="shared" si="237"/>
        <v>87.384844008558048</v>
      </c>
      <c r="Q232" s="97">
        <f t="shared" si="237"/>
        <v>96.591857242712038</v>
      </c>
      <c r="R232" s="97">
        <f t="shared" si="237"/>
        <v>106.25435797313499</v>
      </c>
      <c r="S232" s="97">
        <f t="shared" si="237"/>
        <v>114.10432881609034</v>
      </c>
      <c r="T232" s="97">
        <f t="shared" si="237"/>
        <v>119.61496438285897</v>
      </c>
      <c r="U232" s="97">
        <f t="shared" si="237"/>
        <v>115.29082153976191</v>
      </c>
      <c r="V232" s="97">
        <f t="shared" si="237"/>
        <v>102.59068405425238</v>
      </c>
      <c r="W232" s="97">
        <f t="shared" si="237"/>
        <v>109.97680316375069</v>
      </c>
      <c r="X232" s="97">
        <f t="shared" si="237"/>
        <v>115.33985267691479</v>
      </c>
      <c r="Y232" s="97">
        <f t="shared" si="237"/>
        <v>121.41890391281927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14.473351755101463</v>
      </c>
      <c r="C233" s="130">
        <f t="shared" si="238"/>
        <v>13.194558149959056</v>
      </c>
      <c r="D233" s="130">
        <f t="shared" si="238"/>
        <v>10.573190128864661</v>
      </c>
      <c r="E233" s="130">
        <f t="shared" si="238"/>
        <v>9.3628291836425426</v>
      </c>
      <c r="F233" s="130">
        <f t="shared" si="238"/>
        <v>8.8646562766413552</v>
      </c>
      <c r="G233" s="130">
        <f t="shared" si="238"/>
        <v>8.9812540798420457</v>
      </c>
      <c r="H233" s="130">
        <f t="shared" si="238"/>
        <v>9.6194328152339583</v>
      </c>
      <c r="I233" s="130">
        <f t="shared" si="238"/>
        <v>9.7013590931445091</v>
      </c>
      <c r="J233" s="130">
        <f t="shared" si="238"/>
        <v>8.4740710353779516</v>
      </c>
      <c r="K233" s="130">
        <f t="shared" si="238"/>
        <v>6.716873939564322</v>
      </c>
      <c r="L233" s="130">
        <f t="shared" si="238"/>
        <v>5.2434986363079341</v>
      </c>
      <c r="M233" s="130">
        <f t="shared" si="238"/>
        <v>4.8093970087759814</v>
      </c>
      <c r="N233" s="130">
        <f t="shared" si="238"/>
        <v>2.9621475908799764</v>
      </c>
      <c r="O233" s="130">
        <f t="shared" si="238"/>
        <v>2.4819458520254036</v>
      </c>
      <c r="P233" s="130">
        <f t="shared" si="238"/>
        <v>2.1034484266571587</v>
      </c>
      <c r="Q233" s="130">
        <f t="shared" si="238"/>
        <v>2.03424481619636</v>
      </c>
      <c r="R233" s="130">
        <f t="shared" si="238"/>
        <v>1.6699091182927701</v>
      </c>
      <c r="S233" s="130">
        <f t="shared" si="238"/>
        <v>2.5502637267066852</v>
      </c>
      <c r="T233" s="130">
        <f t="shared" si="238"/>
        <v>3.755382792153104</v>
      </c>
      <c r="U233" s="130">
        <f t="shared" si="238"/>
        <v>3.1684867986196963</v>
      </c>
      <c r="V233" s="130">
        <f t="shared" si="238"/>
        <v>3.4975562381170433</v>
      </c>
      <c r="W233" s="130">
        <f t="shared" si="238"/>
        <v>4.0783891290622787</v>
      </c>
      <c r="X233" s="130">
        <f t="shared" si="238"/>
        <v>4.5311964338724922</v>
      </c>
      <c r="Y233" s="130">
        <f t="shared" si="238"/>
        <v>3.7296113831271684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435.11582224356516</v>
      </c>
      <c r="C234" s="130">
        <f t="shared" si="239"/>
        <v>392.06570936789086</v>
      </c>
      <c r="D234" s="130">
        <f t="shared" si="239"/>
        <v>480.9737466023725</v>
      </c>
      <c r="E234" s="130">
        <f t="shared" si="239"/>
        <v>503.62729800762816</v>
      </c>
      <c r="F234" s="130">
        <f t="shared" si="239"/>
        <v>463.06437230558299</v>
      </c>
      <c r="G234" s="130">
        <f t="shared" si="239"/>
        <v>474.46700019267695</v>
      </c>
      <c r="H234" s="130">
        <f t="shared" si="239"/>
        <v>458.41682836178438</v>
      </c>
      <c r="I234" s="130">
        <f t="shared" si="239"/>
        <v>419.40813652945081</v>
      </c>
      <c r="J234" s="130">
        <f t="shared" si="239"/>
        <v>398.17606237271173</v>
      </c>
      <c r="K234" s="130">
        <f t="shared" si="239"/>
        <v>364.86667082612712</v>
      </c>
      <c r="L234" s="130">
        <f t="shared" si="239"/>
        <v>339.77882633657839</v>
      </c>
      <c r="M234" s="130">
        <f t="shared" si="239"/>
        <v>319.36771194567336</v>
      </c>
      <c r="N234" s="130">
        <f t="shared" si="239"/>
        <v>300.37029485465939</v>
      </c>
      <c r="O234" s="130">
        <f t="shared" si="239"/>
        <v>296.6111020484704</v>
      </c>
      <c r="P234" s="130">
        <f t="shared" si="239"/>
        <v>267.32923899793144</v>
      </c>
      <c r="Q234" s="130">
        <f t="shared" si="239"/>
        <v>267.54855982153134</v>
      </c>
      <c r="R234" s="130">
        <f t="shared" si="239"/>
        <v>258.74157341312605</v>
      </c>
      <c r="S234" s="130">
        <f t="shared" si="239"/>
        <v>258.14081037698008</v>
      </c>
      <c r="T234" s="130">
        <f t="shared" si="239"/>
        <v>236.96043959681376</v>
      </c>
      <c r="U234" s="130">
        <f t="shared" si="239"/>
        <v>231.98763237345733</v>
      </c>
      <c r="V234" s="130">
        <f t="shared" si="239"/>
        <v>375.25794208681822</v>
      </c>
      <c r="W234" s="130">
        <f t="shared" si="239"/>
        <v>342.96042068591385</v>
      </c>
      <c r="X234" s="130">
        <f t="shared" si="239"/>
        <v>291.98109299362045</v>
      </c>
      <c r="Y234" s="130">
        <f t="shared" si="239"/>
        <v>317.23924533781752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700.6608942444052</v>
      </c>
      <c r="C236" s="97">
        <f t="shared" si="241"/>
        <v>648.32678761310069</v>
      </c>
      <c r="D236" s="97">
        <f t="shared" si="241"/>
        <v>801.56715616787324</v>
      </c>
      <c r="E236" s="97">
        <f t="shared" si="241"/>
        <v>778.14148845611419</v>
      </c>
      <c r="F236" s="97">
        <f t="shared" si="241"/>
        <v>760.17222727056753</v>
      </c>
      <c r="G236" s="97">
        <f t="shared" si="241"/>
        <v>753.35605372352802</v>
      </c>
      <c r="H236" s="97">
        <f t="shared" si="241"/>
        <v>791.31419383295474</v>
      </c>
      <c r="I236" s="97">
        <f t="shared" si="241"/>
        <v>824.88585896642758</v>
      </c>
      <c r="J236" s="97">
        <f t="shared" si="241"/>
        <v>938.72708401763362</v>
      </c>
      <c r="K236" s="97">
        <f t="shared" si="241"/>
        <v>867.73410456666136</v>
      </c>
      <c r="L236" s="97">
        <f t="shared" si="241"/>
        <v>838.73321849709453</v>
      </c>
      <c r="M236" s="97">
        <f t="shared" si="241"/>
        <v>826.37574713943388</v>
      </c>
      <c r="N236" s="97">
        <f t="shared" si="241"/>
        <v>741.78696377880749</v>
      </c>
      <c r="O236" s="97">
        <f t="shared" si="241"/>
        <v>722.18738557278448</v>
      </c>
      <c r="P236" s="97">
        <f t="shared" si="241"/>
        <v>647.63099738482606</v>
      </c>
      <c r="Q236" s="97">
        <f t="shared" si="241"/>
        <v>670.07935895496564</v>
      </c>
      <c r="R236" s="97">
        <f t="shared" si="241"/>
        <v>605.75379492286663</v>
      </c>
      <c r="S236" s="97">
        <f t="shared" si="241"/>
        <v>756.6255373508593</v>
      </c>
      <c r="T236" s="97">
        <f t="shared" si="241"/>
        <v>805.97122170076295</v>
      </c>
      <c r="U236" s="97">
        <f t="shared" si="241"/>
        <v>795.19179298288134</v>
      </c>
      <c r="V236" s="97">
        <f t="shared" si="241"/>
        <v>1043.5084421909139</v>
      </c>
      <c r="W236" s="97">
        <f t="shared" si="241"/>
        <v>1284.1006987209337</v>
      </c>
      <c r="X236" s="97">
        <f t="shared" si="241"/>
        <v>1077.8693699425874</v>
      </c>
      <c r="Y236" s="97">
        <f t="shared" si="241"/>
        <v>1094.1032020549112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375.86365050940009</v>
      </c>
      <c r="C237" s="97">
        <f t="shared" si="242"/>
        <v>344.80028847490985</v>
      </c>
      <c r="D237" s="97">
        <f t="shared" si="242"/>
        <v>425.81948620473077</v>
      </c>
      <c r="E237" s="97">
        <f t="shared" si="242"/>
        <v>463.10674534785107</v>
      </c>
      <c r="F237" s="97">
        <f t="shared" si="242"/>
        <v>421.55064964729286</v>
      </c>
      <c r="G237" s="97">
        <f t="shared" si="242"/>
        <v>430.3244214485261</v>
      </c>
      <c r="H237" s="97">
        <f t="shared" si="242"/>
        <v>392.69252576974486</v>
      </c>
      <c r="I237" s="97">
        <f t="shared" si="242"/>
        <v>357.07566012258383</v>
      </c>
      <c r="J237" s="97">
        <f t="shared" si="242"/>
        <v>342.50809853800769</v>
      </c>
      <c r="K237" s="97">
        <f t="shared" si="242"/>
        <v>313.96583233044305</v>
      </c>
      <c r="L237" s="97">
        <f t="shared" si="242"/>
        <v>299.02239759490203</v>
      </c>
      <c r="M237" s="97">
        <f t="shared" si="242"/>
        <v>281.58844420711984</v>
      </c>
      <c r="N237" s="97">
        <f t="shared" si="242"/>
        <v>259.97761744313112</v>
      </c>
      <c r="O237" s="97">
        <f t="shared" si="242"/>
        <v>253.32568896713047</v>
      </c>
      <c r="P237" s="97">
        <f t="shared" si="242"/>
        <v>228.82728749863082</v>
      </c>
      <c r="Q237" s="97">
        <f t="shared" si="242"/>
        <v>232.7286765269682</v>
      </c>
      <c r="R237" s="97">
        <f t="shared" si="242"/>
        <v>227.13582562964081</v>
      </c>
      <c r="S237" s="97">
        <f t="shared" si="242"/>
        <v>219.66966004850283</v>
      </c>
      <c r="T237" s="97">
        <f t="shared" si="242"/>
        <v>194.81400912608234</v>
      </c>
      <c r="U237" s="97">
        <f t="shared" si="242"/>
        <v>189.48640635591059</v>
      </c>
      <c r="V237" s="97">
        <f t="shared" si="242"/>
        <v>332.32868596159943</v>
      </c>
      <c r="W237" s="97">
        <f t="shared" si="242"/>
        <v>290.03816783310521</v>
      </c>
      <c r="X237" s="97">
        <f t="shared" si="242"/>
        <v>261.17323896260791</v>
      </c>
      <c r="Y237" s="97">
        <f t="shared" si="242"/>
        <v>282.14625889954522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121.68910309998934</v>
      </c>
      <c r="C238" s="130">
        <f t="shared" si="243"/>
        <v>110.20571370097572</v>
      </c>
      <c r="D238" s="130">
        <f t="shared" si="243"/>
        <v>94.733310409202716</v>
      </c>
      <c r="E238" s="130">
        <f t="shared" si="243"/>
        <v>103.92049521634499</v>
      </c>
      <c r="F238" s="130">
        <f t="shared" si="243"/>
        <v>90.995388326535647</v>
      </c>
      <c r="G238" s="130">
        <f t="shared" si="243"/>
        <v>81.811673856966308</v>
      </c>
      <c r="H238" s="130">
        <f t="shared" si="243"/>
        <v>49.013643811838563</v>
      </c>
      <c r="I238" s="130">
        <f t="shared" si="243"/>
        <v>49.98019640188577</v>
      </c>
      <c r="J238" s="130">
        <f t="shared" si="243"/>
        <v>51.648425274293253</v>
      </c>
      <c r="K238" s="130">
        <f t="shared" si="243"/>
        <v>53.798071601678274</v>
      </c>
      <c r="L238" s="130">
        <f t="shared" si="243"/>
        <v>49.767437719329692</v>
      </c>
      <c r="M238" s="130">
        <f t="shared" si="243"/>
        <v>47.30333434129944</v>
      </c>
      <c r="N238" s="130">
        <f t="shared" si="243"/>
        <v>41.021232084258628</v>
      </c>
      <c r="O238" s="130">
        <f t="shared" si="243"/>
        <v>42.471362751254226</v>
      </c>
      <c r="P238" s="130">
        <f t="shared" si="243"/>
        <v>40.722457105026869</v>
      </c>
      <c r="Q238" s="130">
        <f t="shared" si="243"/>
        <v>39.672033418766624</v>
      </c>
      <c r="R238" s="130">
        <f t="shared" si="243"/>
        <v>38.687274189598917</v>
      </c>
      <c r="S238" s="130">
        <f t="shared" si="243"/>
        <v>37.099895603195556</v>
      </c>
      <c r="T238" s="130">
        <f t="shared" si="243"/>
        <v>50.343554970549697</v>
      </c>
      <c r="U238" s="130">
        <f t="shared" si="243"/>
        <v>55.912235910277424</v>
      </c>
      <c r="V238" s="130">
        <f t="shared" si="243"/>
        <v>62.544658979131526</v>
      </c>
      <c r="W238" s="130">
        <f t="shared" si="243"/>
        <v>54.873504555927916</v>
      </c>
      <c r="X238" s="130">
        <f t="shared" si="243"/>
        <v>59.990516057711474</v>
      </c>
      <c r="Y238" s="130">
        <f t="shared" si="243"/>
        <v>61.791717567112855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188.12210819178947</v>
      </c>
      <c r="C239" s="97">
        <f t="shared" si="244"/>
        <v>170.97577246242332</v>
      </c>
      <c r="D239" s="97">
        <f t="shared" si="244"/>
        <v>156.52489159282544</v>
      </c>
      <c r="E239" s="97">
        <f t="shared" si="244"/>
        <v>160.5923840431781</v>
      </c>
      <c r="F239" s="97">
        <f t="shared" si="244"/>
        <v>142.74491825511777</v>
      </c>
      <c r="G239" s="97">
        <f t="shared" si="244"/>
        <v>137.6339673078578</v>
      </c>
      <c r="H239" s="97">
        <f t="shared" si="244"/>
        <v>96.263226948547498</v>
      </c>
      <c r="I239" s="97">
        <f t="shared" si="244"/>
        <v>93.528429070977097</v>
      </c>
      <c r="J239" s="97">
        <f t="shared" si="244"/>
        <v>104.39219986505995</v>
      </c>
      <c r="K239" s="97">
        <f t="shared" si="244"/>
        <v>95.415206134406219</v>
      </c>
      <c r="L239" s="97">
        <f t="shared" si="244"/>
        <v>87.785766236078146</v>
      </c>
      <c r="M239" s="97">
        <f t="shared" si="244"/>
        <v>97.130816947250395</v>
      </c>
      <c r="N239" s="97">
        <f t="shared" si="244"/>
        <v>85.295903931655204</v>
      </c>
      <c r="O239" s="97">
        <f t="shared" si="244"/>
        <v>92.688736300267152</v>
      </c>
      <c r="P239" s="97">
        <f t="shared" si="244"/>
        <v>92.38208306419709</v>
      </c>
      <c r="Q239" s="97">
        <f t="shared" si="244"/>
        <v>82.436103658202811</v>
      </c>
      <c r="R239" s="97">
        <f t="shared" si="244"/>
        <v>81.685978302607182</v>
      </c>
      <c r="S239" s="97">
        <f t="shared" si="244"/>
        <v>85.130039077836429</v>
      </c>
      <c r="T239" s="97">
        <f t="shared" si="244"/>
        <v>108.68576135226513</v>
      </c>
      <c r="U239" s="97">
        <f t="shared" si="244"/>
        <v>123.32764828220326</v>
      </c>
      <c r="V239" s="97">
        <f t="shared" si="244"/>
        <v>124.53318368039655</v>
      </c>
      <c r="W239" s="97">
        <f t="shared" si="244"/>
        <v>114.1190002622052</v>
      </c>
      <c r="X239" s="97">
        <f t="shared" si="244"/>
        <v>145.21526223732931</v>
      </c>
      <c r="Y239" s="97">
        <f t="shared" si="244"/>
        <v>146.16813878023507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119.09439473756809</v>
      </c>
      <c r="C240" s="98">
        <f t="shared" si="245"/>
        <v>108.21428959248645</v>
      </c>
      <c r="D240" s="98">
        <f t="shared" si="245"/>
        <v>93.090525386747814</v>
      </c>
      <c r="E240" s="98">
        <f t="shared" si="245"/>
        <v>102.51984569668255</v>
      </c>
      <c r="F240" s="98">
        <f t="shared" si="245"/>
        <v>90.063822789446604</v>
      </c>
      <c r="G240" s="98">
        <f t="shared" si="245"/>
        <v>80.019065307131569</v>
      </c>
      <c r="H240" s="98">
        <f t="shared" si="245"/>
        <v>47.260768083417894</v>
      </c>
      <c r="I240" s="98">
        <f t="shared" si="245"/>
        <v>48.108449262292105</v>
      </c>
      <c r="J240" s="98">
        <f t="shared" si="245"/>
        <v>49.354595743257072</v>
      </c>
      <c r="K240" s="98">
        <f t="shared" si="245"/>
        <v>52.40556826997998</v>
      </c>
      <c r="L240" s="98">
        <f t="shared" si="245"/>
        <v>48.686602208705899</v>
      </c>
      <c r="M240" s="98">
        <f t="shared" si="245"/>
        <v>46.206262550181954</v>
      </c>
      <c r="N240" s="98">
        <f t="shared" si="245"/>
        <v>40.147754844238186</v>
      </c>
      <c r="O240" s="98">
        <f t="shared" si="245"/>
        <v>41.526263544734249</v>
      </c>
      <c r="P240" s="98">
        <f t="shared" si="245"/>
        <v>39.780735390395613</v>
      </c>
      <c r="Q240" s="98">
        <f t="shared" si="245"/>
        <v>38.905188242486673</v>
      </c>
      <c r="R240" s="98">
        <f t="shared" si="245"/>
        <v>37.78171257407481</v>
      </c>
      <c r="S240" s="98">
        <f t="shared" si="245"/>
        <v>36.385026338540555</v>
      </c>
      <c r="T240" s="98">
        <f t="shared" si="245"/>
        <v>49.142915319909889</v>
      </c>
      <c r="U240" s="98">
        <f t="shared" si="245"/>
        <v>54.239323363639059</v>
      </c>
      <c r="V240" s="98">
        <f t="shared" si="245"/>
        <v>60.805833874831919</v>
      </c>
      <c r="W240" s="98">
        <f t="shared" si="245"/>
        <v>52.97454880675464</v>
      </c>
      <c r="X240" s="98">
        <f t="shared" si="245"/>
        <v>57.37209030331266</v>
      </c>
      <c r="Y240" s="98">
        <f t="shared" si="245"/>
        <v>59.481799235662884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32.028222745974894</v>
      </c>
      <c r="C241" s="32">
        <f t="shared" si="246"/>
        <v>32.28134851009964</v>
      </c>
      <c r="D241" s="32">
        <f t="shared" si="246"/>
        <v>41.315227359515909</v>
      </c>
      <c r="E241" s="32">
        <f t="shared" si="246"/>
        <v>41.814086717651946</v>
      </c>
      <c r="F241" s="32">
        <f t="shared" si="246"/>
        <v>40.589460172151185</v>
      </c>
      <c r="G241" s="32">
        <f t="shared" si="246"/>
        <v>37.080567430008735</v>
      </c>
      <c r="H241" s="32">
        <f t="shared" si="246"/>
        <v>37.632329151026518</v>
      </c>
      <c r="I241" s="32">
        <f t="shared" si="246"/>
        <v>38.207845272204452</v>
      </c>
      <c r="J241" s="32">
        <f t="shared" si="246"/>
        <v>37.87187971794453</v>
      </c>
      <c r="K241" s="32">
        <f t="shared" si="246"/>
        <v>33.738432414647434</v>
      </c>
      <c r="L241" s="32">
        <f t="shared" si="246"/>
        <v>33.209048226037183</v>
      </c>
      <c r="M241" s="32">
        <f t="shared" si="246"/>
        <v>27.588909959363857</v>
      </c>
      <c r="N241" s="32">
        <f t="shared" si="246"/>
        <v>26.442152598103533</v>
      </c>
      <c r="O241" s="32">
        <f t="shared" si="246"/>
        <v>26.495280446952492</v>
      </c>
      <c r="P241" s="32">
        <f t="shared" si="246"/>
        <v>22.358793010635388</v>
      </c>
      <c r="Q241" s="32">
        <f t="shared" si="246"/>
        <v>23.423812560608972</v>
      </c>
      <c r="R241" s="32">
        <f t="shared" si="246"/>
        <v>26.468526347908799</v>
      </c>
      <c r="S241" s="32">
        <f t="shared" si="246"/>
        <v>27.195351511536831</v>
      </c>
      <c r="T241" s="32">
        <f t="shared" si="246"/>
        <v>32.31020447372989</v>
      </c>
      <c r="U241" s="32">
        <f t="shared" si="246"/>
        <v>27.562766509592379</v>
      </c>
      <c r="V241" s="32">
        <f t="shared" si="246"/>
        <v>22.031039327129889</v>
      </c>
      <c r="W241" s="32">
        <f t="shared" si="246"/>
        <v>24.351874465700767</v>
      </c>
      <c r="X241" s="32">
        <f t="shared" si="246"/>
        <v>24.509133362043141</v>
      </c>
      <c r="Y241" s="32">
        <f t="shared" si="246"/>
        <v>23.265504479534282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105.07710234058401</v>
      </c>
      <c r="C242" s="97">
        <f t="shared" si="247"/>
        <v>104.74274404308409</v>
      </c>
      <c r="D242" s="97">
        <f t="shared" si="247"/>
        <v>138.07308511423329</v>
      </c>
      <c r="E242" s="97">
        <f t="shared" si="247"/>
        <v>139.92055071201915</v>
      </c>
      <c r="F242" s="97">
        <f t="shared" si="247"/>
        <v>143.25004573156227</v>
      </c>
      <c r="G242" s="97">
        <f t="shared" si="247"/>
        <v>136.86421631501682</v>
      </c>
      <c r="H242" s="97">
        <f t="shared" si="247"/>
        <v>140.13954422984534</v>
      </c>
      <c r="I242" s="97">
        <f t="shared" si="247"/>
        <v>144.17963556084422</v>
      </c>
      <c r="J242" s="97">
        <f t="shared" si="247"/>
        <v>143.99440896242561</v>
      </c>
      <c r="K242" s="97">
        <f t="shared" si="247"/>
        <v>128.28878450009825</v>
      </c>
      <c r="L242" s="97">
        <f t="shared" si="247"/>
        <v>123.70665688840485</v>
      </c>
      <c r="M242" s="97">
        <f t="shared" si="247"/>
        <v>107.39521174834108</v>
      </c>
      <c r="N242" s="97">
        <f t="shared" si="247"/>
        <v>99.978753346237824</v>
      </c>
      <c r="O242" s="97">
        <f t="shared" si="247"/>
        <v>98.752736495066813</v>
      </c>
      <c r="P242" s="97">
        <f t="shared" si="247"/>
        <v>81.926431008014461</v>
      </c>
      <c r="Q242" s="97">
        <f t="shared" si="247"/>
        <v>83.287858152358979</v>
      </c>
      <c r="R242" s="97">
        <f t="shared" si="247"/>
        <v>87.777217413751202</v>
      </c>
      <c r="S242" s="97">
        <f t="shared" si="247"/>
        <v>95.400560889137395</v>
      </c>
      <c r="T242" s="97">
        <f t="shared" si="247"/>
        <v>116.59106531612302</v>
      </c>
      <c r="U242" s="97">
        <f t="shared" si="247"/>
        <v>99.223505987779546</v>
      </c>
      <c r="V242" s="97">
        <f t="shared" si="247"/>
        <v>67.696853001614613</v>
      </c>
      <c r="W242" s="97">
        <f t="shared" si="247"/>
        <v>77.967640853351739</v>
      </c>
      <c r="X242" s="97">
        <f t="shared" si="247"/>
        <v>83.449150168259635</v>
      </c>
      <c r="Y242" s="97">
        <f t="shared" si="247"/>
        <v>76.042744072996285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24.661708383931408</v>
      </c>
      <c r="C243" s="98">
        <f t="shared" si="248"/>
        <v>24.656906092865057</v>
      </c>
      <c r="D243" s="98">
        <f t="shared" si="248"/>
        <v>32.081464264513833</v>
      </c>
      <c r="E243" s="98">
        <f t="shared" si="248"/>
        <v>32.494071657435846</v>
      </c>
      <c r="F243" s="98">
        <f t="shared" si="248"/>
        <v>32.398180071111035</v>
      </c>
      <c r="G243" s="98">
        <f t="shared" si="248"/>
        <v>30.320257415247976</v>
      </c>
      <c r="H243" s="98">
        <f t="shared" si="248"/>
        <v>30.924665070575504</v>
      </c>
      <c r="I243" s="98">
        <f t="shared" si="248"/>
        <v>31.591332912819308</v>
      </c>
      <c r="J243" s="98">
        <f t="shared" si="248"/>
        <v>31.360394373714414</v>
      </c>
      <c r="K243" s="98">
        <f t="shared" si="248"/>
        <v>28.026406962292832</v>
      </c>
      <c r="L243" s="98">
        <f t="shared" si="248"/>
        <v>27.087470011764061</v>
      </c>
      <c r="M243" s="98">
        <f t="shared" si="248"/>
        <v>22.74940456573232</v>
      </c>
      <c r="N243" s="98">
        <f t="shared" si="248"/>
        <v>21.442932407025996</v>
      </c>
      <c r="O243" s="98">
        <f t="shared" si="248"/>
        <v>21.280696148317908</v>
      </c>
      <c r="P243" s="98">
        <f t="shared" si="248"/>
        <v>17.822324021648722</v>
      </c>
      <c r="Q243" s="98">
        <f t="shared" si="248"/>
        <v>18.553412917992858</v>
      </c>
      <c r="R243" s="98">
        <f t="shared" si="248"/>
        <v>20.258869576956357</v>
      </c>
      <c r="S243" s="98">
        <f t="shared" si="248"/>
        <v>21.255235277885003</v>
      </c>
      <c r="T243" s="98">
        <f t="shared" si="248"/>
        <v>25.594231156083133</v>
      </c>
      <c r="U243" s="98">
        <f t="shared" si="248"/>
        <v>21.586878752776851</v>
      </c>
      <c r="V243" s="98">
        <f t="shared" si="248"/>
        <v>18.136449933984945</v>
      </c>
      <c r="W243" s="98">
        <f t="shared" si="248"/>
        <v>19.762256047112235</v>
      </c>
      <c r="X243" s="98">
        <f t="shared" si="248"/>
        <v>19.345483996598947</v>
      </c>
      <c r="Y243" s="98">
        <f t="shared" si="248"/>
        <v>17.984502438337831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117433.00886125924</v>
      </c>
      <c r="C4" s="29">
        <f t="shared" si="0"/>
        <v>118891.30258396639</v>
      </c>
      <c r="D4" s="29">
        <f t="shared" si="0"/>
        <v>121560.93037711133</v>
      </c>
      <c r="E4" s="29">
        <f t="shared" si="0"/>
        <v>120815.23445392773</v>
      </c>
      <c r="F4" s="29">
        <f t="shared" si="0"/>
        <v>122048.70723302575</v>
      </c>
      <c r="G4" s="29">
        <f t="shared" si="0"/>
        <v>122135.0545299863</v>
      </c>
      <c r="H4" s="29">
        <f t="shared" si="0"/>
        <v>122613.8931304783</v>
      </c>
      <c r="I4" s="29">
        <f t="shared" si="0"/>
        <v>125254.50743766688</v>
      </c>
      <c r="J4" s="29">
        <f t="shared" si="0"/>
        <v>127508.3723264904</v>
      </c>
      <c r="K4" s="29">
        <f t="shared" si="0"/>
        <v>127628.38228942899</v>
      </c>
      <c r="L4" s="29">
        <f t="shared" ref="L4" si="1">L5+L6+L13</f>
        <v>128602.3835045498</v>
      </c>
      <c r="M4" s="29">
        <f t="shared" ref="M4:V4" si="2">M5+M6+M13</f>
        <v>129472.54895241375</v>
      </c>
      <c r="N4" s="29">
        <f t="shared" si="2"/>
        <v>129813.66365750924</v>
      </c>
      <c r="O4" s="29">
        <f t="shared" si="2"/>
        <v>122742.78362016167</v>
      </c>
      <c r="P4" s="29">
        <f t="shared" si="2"/>
        <v>125292.54792586355</v>
      </c>
      <c r="Q4" s="29">
        <f t="shared" si="2"/>
        <v>123141.55671870732</v>
      </c>
      <c r="R4" s="29">
        <f t="shared" si="2"/>
        <v>121526.6455029324</v>
      </c>
      <c r="S4" s="29">
        <f t="shared" si="2"/>
        <v>122000.96864754579</v>
      </c>
      <c r="T4" s="29">
        <f t="shared" si="2"/>
        <v>122477.63199963773</v>
      </c>
      <c r="U4" s="29">
        <f t="shared" si="2"/>
        <v>122878.12076963649</v>
      </c>
      <c r="V4" s="29">
        <f t="shared" si="2"/>
        <v>101887.1540052684</v>
      </c>
      <c r="W4" s="29">
        <f t="shared" ref="W4:Y4" si="3">W5+W6+W13</f>
        <v>107680.02718956837</v>
      </c>
      <c r="X4" s="29">
        <f t="shared" si="3"/>
        <v>114382.79772699421</v>
      </c>
      <c r="Y4" s="29">
        <f t="shared" si="3"/>
        <v>120598.4965159273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1590.3623888303241</v>
      </c>
      <c r="C5" s="152">
        <f t="shared" si="4"/>
        <v>1665.4020178848684</v>
      </c>
      <c r="D5" s="152">
        <f t="shared" si="4"/>
        <v>1758.0679492512361</v>
      </c>
      <c r="E5" s="152">
        <f t="shared" si="4"/>
        <v>1836.7829175178254</v>
      </c>
      <c r="F5" s="152">
        <f t="shared" si="4"/>
        <v>1871.6898187547949</v>
      </c>
      <c r="G5" s="152">
        <f t="shared" si="4"/>
        <v>1815.7420138147825</v>
      </c>
      <c r="H5" s="152">
        <f t="shared" si="4"/>
        <v>1876.2897786461263</v>
      </c>
      <c r="I5" s="152">
        <f t="shared" si="4"/>
        <v>1954.4734054710248</v>
      </c>
      <c r="J5" s="152">
        <f t="shared" si="4"/>
        <v>1955.5019977111742</v>
      </c>
      <c r="K5" s="152">
        <f t="shared" si="4"/>
        <v>1924.6048560295319</v>
      </c>
      <c r="L5" s="152">
        <f t="shared" ref="L5:L7" si="5">IF(L32=0,0,L32*L142)</f>
        <v>1834.6232854949799</v>
      </c>
      <c r="M5" s="152">
        <f t="shared" ref="M5:V5" si="6">IF(M32=0,0,M32*M142)</f>
        <v>1833.0161514524061</v>
      </c>
      <c r="N5" s="152">
        <f t="shared" si="6"/>
        <v>1762.6053755749622</v>
      </c>
      <c r="O5" s="152">
        <f t="shared" si="6"/>
        <v>1683.2479828536912</v>
      </c>
      <c r="P5" s="152">
        <f t="shared" si="6"/>
        <v>1777.3054142125457</v>
      </c>
      <c r="Q5" s="152">
        <f t="shared" si="6"/>
        <v>1758.7881231583178</v>
      </c>
      <c r="R5" s="152">
        <f t="shared" si="6"/>
        <v>1800.2818020423713</v>
      </c>
      <c r="S5" s="152">
        <f t="shared" si="6"/>
        <v>1698.326884679253</v>
      </c>
      <c r="T5" s="152">
        <f t="shared" si="6"/>
        <v>1635.3714093245501</v>
      </c>
      <c r="U5" s="152">
        <f t="shared" si="6"/>
        <v>1752.0769201085423</v>
      </c>
      <c r="V5" s="152">
        <f t="shared" si="6"/>
        <v>1576.7533961627651</v>
      </c>
      <c r="W5" s="152">
        <f t="shared" ref="W5:Y5" si="7">IF(W32=0,0,W32*W142)</f>
        <v>1656.8387177181955</v>
      </c>
      <c r="X5" s="152">
        <f t="shared" si="7"/>
        <v>1687.9514963740341</v>
      </c>
      <c r="Y5" s="152">
        <f t="shared" si="7"/>
        <v>1829.290092944151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102544.38530389039</v>
      </c>
      <c r="C6" s="116">
        <f t="shared" si="8"/>
        <v>103440.56228671243</v>
      </c>
      <c r="D6" s="116">
        <f t="shared" si="8"/>
        <v>104843.43859901592</v>
      </c>
      <c r="E6" s="116">
        <f t="shared" si="8"/>
        <v>102494.87951863394</v>
      </c>
      <c r="F6" s="116">
        <f t="shared" si="8"/>
        <v>103034.02541013167</v>
      </c>
      <c r="G6" s="116">
        <f t="shared" si="8"/>
        <v>102804.26446068901</v>
      </c>
      <c r="H6" s="116">
        <f t="shared" si="8"/>
        <v>102659.59801049536</v>
      </c>
      <c r="I6" s="116">
        <f t="shared" si="8"/>
        <v>104570.39703409254</v>
      </c>
      <c r="J6" s="116">
        <f t="shared" si="8"/>
        <v>107942.87032877922</v>
      </c>
      <c r="K6" s="116">
        <f t="shared" si="8"/>
        <v>108073.77743339946</v>
      </c>
      <c r="L6" s="116">
        <f t="shared" ref="L6" si="9">SUM(L7:L12)</f>
        <v>109387.76021905482</v>
      </c>
      <c r="M6" s="116">
        <f t="shared" ref="M6:V6" si="10">SUM(M7:M12)</f>
        <v>109969.53280096134</v>
      </c>
      <c r="N6" s="116">
        <f t="shared" si="10"/>
        <v>110141.05828193428</v>
      </c>
      <c r="O6" s="116">
        <f t="shared" si="10"/>
        <v>105293.13563730798</v>
      </c>
      <c r="P6" s="116">
        <f t="shared" si="10"/>
        <v>108110.64251165099</v>
      </c>
      <c r="Q6" s="116">
        <f t="shared" si="10"/>
        <v>107001.968595549</v>
      </c>
      <c r="R6" s="116">
        <f t="shared" si="10"/>
        <v>106139.76370089002</v>
      </c>
      <c r="S6" s="116">
        <f t="shared" si="10"/>
        <v>106940.00000000001</v>
      </c>
      <c r="T6" s="116">
        <f t="shared" si="10"/>
        <v>107319.94254833911</v>
      </c>
      <c r="U6" s="116">
        <f t="shared" si="10"/>
        <v>107444.65259541536</v>
      </c>
      <c r="V6" s="116">
        <f t="shared" si="10"/>
        <v>91438.818388364307</v>
      </c>
      <c r="W6" s="116">
        <f t="shared" ref="W6:Y6" si="11">SUM(W7:W12)</f>
        <v>96748.051778661131</v>
      </c>
      <c r="X6" s="116">
        <f t="shared" si="11"/>
        <v>100828.29149708756</v>
      </c>
      <c r="Y6" s="116">
        <f t="shared" si="11"/>
        <v>105305.67919584153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43864.831741316957</v>
      </c>
      <c r="C7" s="87">
        <f t="shared" si="12"/>
        <v>41719.255925989841</v>
      </c>
      <c r="D7" s="87">
        <f t="shared" si="12"/>
        <v>40209.171375847327</v>
      </c>
      <c r="E7" s="87">
        <f t="shared" si="12"/>
        <v>38417.978198981233</v>
      </c>
      <c r="F7" s="87">
        <f t="shared" si="12"/>
        <v>34316.401680080315</v>
      </c>
      <c r="G7" s="87">
        <f t="shared" si="12"/>
        <v>32824.229193294384</v>
      </c>
      <c r="H7" s="87">
        <f t="shared" si="12"/>
        <v>29478.995625910204</v>
      </c>
      <c r="I7" s="87">
        <f t="shared" si="12"/>
        <v>27128.383886911124</v>
      </c>
      <c r="J7" s="87">
        <f t="shared" si="12"/>
        <v>25011.328596534182</v>
      </c>
      <c r="K7" s="87">
        <f t="shared" si="12"/>
        <v>23851.327890557815</v>
      </c>
      <c r="L7" s="87">
        <f t="shared" si="5"/>
        <v>22325.326661812443</v>
      </c>
      <c r="M7" s="87">
        <f t="shared" ref="M7:V7" si="13">IF(M34=0,0,M34*M144)</f>
        <v>21727.301475724227</v>
      </c>
      <c r="N7" s="87">
        <f t="shared" si="13"/>
        <v>21665.0299480717</v>
      </c>
      <c r="O7" s="87">
        <f t="shared" si="13"/>
        <v>21471.760821398093</v>
      </c>
      <c r="P7" s="87">
        <f t="shared" si="13"/>
        <v>23069.736091426599</v>
      </c>
      <c r="Q7" s="87">
        <f t="shared" si="13"/>
        <v>24071.982991103221</v>
      </c>
      <c r="R7" s="87">
        <f t="shared" si="13"/>
        <v>25907.130420691756</v>
      </c>
      <c r="S7" s="87">
        <f t="shared" si="13"/>
        <v>28558.229861306925</v>
      </c>
      <c r="T7" s="87">
        <f t="shared" si="13"/>
        <v>32875.592192580196</v>
      </c>
      <c r="U7" s="87">
        <f t="shared" si="13"/>
        <v>37609.90738793536</v>
      </c>
      <c r="V7" s="87">
        <f t="shared" si="13"/>
        <v>32338.528820012492</v>
      </c>
      <c r="W7" s="87">
        <f t="shared" ref="W7:Y7" si="14">IF(W34=0,0,W34*W144)</f>
        <v>38312.336641284761</v>
      </c>
      <c r="X7" s="87">
        <f t="shared" si="14"/>
        <v>44223.127765614292</v>
      </c>
      <c r="Y7" s="87">
        <f t="shared" si="14"/>
        <v>49964.490912582994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57682.408524453473</v>
      </c>
      <c r="C8" s="87">
        <f t="shared" si="15"/>
        <v>60557.173752577204</v>
      </c>
      <c r="D8" s="87">
        <f t="shared" si="15"/>
        <v>63441.947565944618</v>
      </c>
      <c r="E8" s="87">
        <f t="shared" si="15"/>
        <v>63025.798682090433</v>
      </c>
      <c r="F8" s="87">
        <f t="shared" si="15"/>
        <v>67733.337532574486</v>
      </c>
      <c r="G8" s="87">
        <f t="shared" si="15"/>
        <v>69076.742796276623</v>
      </c>
      <c r="H8" s="87">
        <f t="shared" si="15"/>
        <v>72372.59027473208</v>
      </c>
      <c r="I8" s="87">
        <f t="shared" si="15"/>
        <v>76734.564340099809</v>
      </c>
      <c r="J8" s="87">
        <f t="shared" si="15"/>
        <v>82273.114251501858</v>
      </c>
      <c r="K8" s="87">
        <f t="shared" si="15"/>
        <v>83627.173822649143</v>
      </c>
      <c r="L8" s="87">
        <f t="shared" ref="L8" si="16">IF(L35=0,0,L35*L145)</f>
        <v>86521.026435810418</v>
      </c>
      <c r="M8" s="87">
        <f t="shared" ref="M8:V8" si="17">IF(M35=0,0,M35*M145)</f>
        <v>87636.726030652877</v>
      </c>
      <c r="N8" s="87">
        <f t="shared" si="17"/>
        <v>87827.886556011043</v>
      </c>
      <c r="O8" s="87">
        <f t="shared" si="17"/>
        <v>83244.367312228511</v>
      </c>
      <c r="P8" s="87">
        <f t="shared" si="17"/>
        <v>84360.546016447013</v>
      </c>
      <c r="Q8" s="87">
        <f t="shared" si="17"/>
        <v>81967.526638636773</v>
      </c>
      <c r="R8" s="87">
        <f t="shared" si="17"/>
        <v>79183.118994675155</v>
      </c>
      <c r="S8" s="87">
        <f t="shared" si="17"/>
        <v>77066.594450168093</v>
      </c>
      <c r="T8" s="87">
        <f t="shared" si="17"/>
        <v>72882.791881619298</v>
      </c>
      <c r="U8" s="87">
        <f t="shared" si="17"/>
        <v>67959.057885083981</v>
      </c>
      <c r="V8" s="87">
        <f t="shared" si="17"/>
        <v>56916.032131289117</v>
      </c>
      <c r="W8" s="87">
        <f t="shared" ref="W8:Y8" si="18">IF(W35=0,0,W35*W145)</f>
        <v>55185.1517170562</v>
      </c>
      <c r="X8" s="87">
        <f t="shared" si="18"/>
        <v>51901.905668044616</v>
      </c>
      <c r="Y8" s="87">
        <f t="shared" si="18"/>
        <v>47934.223098774564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997.14503811995769</v>
      </c>
      <c r="C9" s="87">
        <f t="shared" si="19"/>
        <v>1164.1326081453856</v>
      </c>
      <c r="D9" s="87">
        <f t="shared" si="19"/>
        <v>1192.3196572239892</v>
      </c>
      <c r="E9" s="87">
        <f t="shared" si="19"/>
        <v>1051.1026375622764</v>
      </c>
      <c r="F9" s="87">
        <f t="shared" si="19"/>
        <v>979.04333894411559</v>
      </c>
      <c r="G9" s="87">
        <f t="shared" si="19"/>
        <v>897.30981763708769</v>
      </c>
      <c r="H9" s="87">
        <f t="shared" si="19"/>
        <v>802.1374855714148</v>
      </c>
      <c r="I9" s="87">
        <f t="shared" si="19"/>
        <v>701.67133971129942</v>
      </c>
      <c r="J9" s="87">
        <f t="shared" si="19"/>
        <v>653.24611975727669</v>
      </c>
      <c r="K9" s="87">
        <f t="shared" si="19"/>
        <v>590.48308573546933</v>
      </c>
      <c r="L9" s="87">
        <f t="shared" ref="L9" si="20">IF(L36=0,0,L36*L146)</f>
        <v>535.51533533068368</v>
      </c>
      <c r="M9" s="87">
        <f t="shared" ref="M9:V9" si="21">IF(M36=0,0,M36*M146)</f>
        <v>594.62360779285916</v>
      </c>
      <c r="N9" s="87">
        <f t="shared" si="21"/>
        <v>624.63982963502485</v>
      </c>
      <c r="O9" s="87">
        <f t="shared" si="21"/>
        <v>549.6131905973856</v>
      </c>
      <c r="P9" s="87">
        <f t="shared" si="21"/>
        <v>616.20574477344655</v>
      </c>
      <c r="Q9" s="87">
        <f t="shared" si="21"/>
        <v>829.13810554695442</v>
      </c>
      <c r="R9" s="87">
        <f t="shared" si="21"/>
        <v>760.1995696244071</v>
      </c>
      <c r="S9" s="87">
        <f t="shared" si="21"/>
        <v>770.83527001261018</v>
      </c>
      <c r="T9" s="87">
        <f t="shared" si="21"/>
        <v>757.23404536048645</v>
      </c>
      <c r="U9" s="87">
        <f t="shared" si="21"/>
        <v>739.97973884796409</v>
      </c>
      <c r="V9" s="87">
        <f t="shared" si="21"/>
        <v>667.94722855447708</v>
      </c>
      <c r="W9" s="87">
        <f t="shared" ref="W9:Y9" si="22">IF(W36=0,0,W36*W146)</f>
        <v>664.37663042800432</v>
      </c>
      <c r="X9" s="87">
        <f t="shared" si="22"/>
        <v>653.28000199517055</v>
      </c>
      <c r="Y9" s="87">
        <f t="shared" si="22"/>
        <v>666.00396466437144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5.2428585327549522</v>
      </c>
      <c r="G10" s="87">
        <f t="shared" si="23"/>
        <v>5.9826534809234158</v>
      </c>
      <c r="H10" s="87">
        <f t="shared" si="23"/>
        <v>5.8746242816725269</v>
      </c>
      <c r="I10" s="87">
        <f t="shared" si="23"/>
        <v>5.7774673703112098</v>
      </c>
      <c r="J10" s="87">
        <f t="shared" si="23"/>
        <v>5.0301403609829896</v>
      </c>
      <c r="K10" s="87">
        <f t="shared" si="23"/>
        <v>4.5748623158497628</v>
      </c>
      <c r="L10" s="87">
        <f t="shared" ref="L10" si="24">IF(L37=0,0,L37*L147)</f>
        <v>4.8480665820349538</v>
      </c>
      <c r="M10" s="87">
        <f t="shared" ref="M10:V10" si="25">IF(M37=0,0,M37*M147)</f>
        <v>5.1952781182610064</v>
      </c>
      <c r="N10" s="87">
        <f t="shared" si="25"/>
        <v>5.3173526756712057</v>
      </c>
      <c r="O10" s="87">
        <f t="shared" si="25"/>
        <v>7.8876864935896309</v>
      </c>
      <c r="P10" s="87">
        <f t="shared" si="25"/>
        <v>20.679910484997542</v>
      </c>
      <c r="Q10" s="87">
        <f t="shared" si="25"/>
        <v>38.784546357461885</v>
      </c>
      <c r="R10" s="87">
        <f t="shared" si="25"/>
        <v>81.978586419687417</v>
      </c>
      <c r="S10" s="87">
        <f t="shared" si="25"/>
        <v>126.53747000284257</v>
      </c>
      <c r="T10" s="87">
        <f t="shared" si="25"/>
        <v>222.59898396352182</v>
      </c>
      <c r="U10" s="87">
        <f t="shared" si="25"/>
        <v>309.638800432908</v>
      </c>
      <c r="V10" s="87">
        <f t="shared" si="25"/>
        <v>340.36946198939927</v>
      </c>
      <c r="W10" s="87">
        <f t="shared" ref="W10:Y10" si="26">IF(W37=0,0,W37*W147)</f>
        <v>372.84914094235347</v>
      </c>
      <c r="X10" s="87">
        <f t="shared" si="26"/>
        <v>373.31123108704548</v>
      </c>
      <c r="Y10" s="87">
        <f t="shared" si="26"/>
        <v>372.0180628990114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0.17222820288850632</v>
      </c>
      <c r="N11" s="87">
        <f t="shared" si="29"/>
        <v>3.9184007164240886</v>
      </c>
      <c r="O11" s="87">
        <f t="shared" si="29"/>
        <v>4.0549992304607994</v>
      </c>
      <c r="P11" s="87">
        <f t="shared" si="29"/>
        <v>13.615998499484125</v>
      </c>
      <c r="Q11" s="87">
        <f t="shared" si="29"/>
        <v>48.541492409062791</v>
      </c>
      <c r="R11" s="87">
        <f t="shared" si="29"/>
        <v>136.23926009972246</v>
      </c>
      <c r="S11" s="87">
        <f t="shared" si="29"/>
        <v>273.32972341632779</v>
      </c>
      <c r="T11" s="87">
        <f t="shared" si="29"/>
        <v>426.35649824677535</v>
      </c>
      <c r="U11" s="87">
        <f t="shared" si="29"/>
        <v>570.39344695914588</v>
      </c>
      <c r="V11" s="87">
        <f t="shared" si="29"/>
        <v>832.92488116345942</v>
      </c>
      <c r="W11" s="87">
        <f t="shared" ref="W11:Y11" si="30">IF(W38=0,0,W38*W148)</f>
        <v>1538.984823349105</v>
      </c>
      <c r="X11" s="87">
        <f t="shared" si="30"/>
        <v>2510.1081843516495</v>
      </c>
      <c r="Y11" s="87">
        <f t="shared" si="30"/>
        <v>3867.3875001568931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0.15122062492859328</v>
      </c>
      <c r="K12" s="87">
        <f t="shared" si="31"/>
        <v>0.21777214118189667</v>
      </c>
      <c r="L12" s="87">
        <f t="shared" ref="L12" si="32">IF(L39=0,0,L39*L149)</f>
        <v>1.0437195192288415</v>
      </c>
      <c r="M12" s="87">
        <f t="shared" ref="M12:V12" si="33">IF(M39=0,0,M39*M149)</f>
        <v>5.5141804702089523</v>
      </c>
      <c r="N12" s="87">
        <f t="shared" si="33"/>
        <v>14.266194824423886</v>
      </c>
      <c r="O12" s="87">
        <f t="shared" si="33"/>
        <v>15.451627359942886</v>
      </c>
      <c r="P12" s="87">
        <f t="shared" si="33"/>
        <v>29.858750019453545</v>
      </c>
      <c r="Q12" s="87">
        <f t="shared" si="33"/>
        <v>45.994821495518906</v>
      </c>
      <c r="R12" s="87">
        <f t="shared" si="33"/>
        <v>71.09686937927647</v>
      </c>
      <c r="S12" s="87">
        <f t="shared" si="33"/>
        <v>144.47322509320176</v>
      </c>
      <c r="T12" s="87">
        <f t="shared" si="33"/>
        <v>155.36894656883669</v>
      </c>
      <c r="U12" s="87">
        <f t="shared" si="33"/>
        <v>255.67533615601494</v>
      </c>
      <c r="V12" s="87">
        <f t="shared" si="33"/>
        <v>343.0158653553695</v>
      </c>
      <c r="W12" s="87">
        <f t="shared" ref="W12:Y12" si="34">IF(W39=0,0,W39*W149)</f>
        <v>674.35282560071835</v>
      </c>
      <c r="X12" s="87">
        <f t="shared" si="34"/>
        <v>1166.558645994787</v>
      </c>
      <c r="Y12" s="87">
        <f t="shared" si="34"/>
        <v>2501.5556567637004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13298.261168538518</v>
      </c>
      <c r="C13" s="116">
        <f t="shared" si="35"/>
        <v>13785.338279369089</v>
      </c>
      <c r="D13" s="116">
        <f t="shared" si="35"/>
        <v>14959.423828844177</v>
      </c>
      <c r="E13" s="116">
        <f t="shared" si="35"/>
        <v>16483.572017775958</v>
      </c>
      <c r="F13" s="116">
        <f t="shared" si="35"/>
        <v>17142.992004139294</v>
      </c>
      <c r="G13" s="116">
        <f t="shared" si="35"/>
        <v>17515.048055482508</v>
      </c>
      <c r="H13" s="116">
        <f t="shared" si="35"/>
        <v>18078.005341336815</v>
      </c>
      <c r="I13" s="116">
        <f t="shared" si="35"/>
        <v>18729.636998103306</v>
      </c>
      <c r="J13" s="116">
        <f t="shared" si="35"/>
        <v>17610</v>
      </c>
      <c r="K13" s="116">
        <f t="shared" si="35"/>
        <v>17630</v>
      </c>
      <c r="L13" s="116">
        <f t="shared" ref="L13" si="36">SUM(L14:L18)</f>
        <v>17380</v>
      </c>
      <c r="M13" s="116">
        <f t="shared" ref="M13:V13" si="37">SUM(M14:M18)</f>
        <v>17670</v>
      </c>
      <c r="N13" s="116">
        <f t="shared" si="37"/>
        <v>17910</v>
      </c>
      <c r="O13" s="116">
        <f t="shared" si="37"/>
        <v>15766.400000000003</v>
      </c>
      <c r="P13" s="116">
        <f t="shared" si="37"/>
        <v>15404.6</v>
      </c>
      <c r="Q13" s="116">
        <f t="shared" si="37"/>
        <v>14380.800000000003</v>
      </c>
      <c r="R13" s="116">
        <f t="shared" si="37"/>
        <v>13586.6</v>
      </c>
      <c r="S13" s="116">
        <f t="shared" si="37"/>
        <v>13362.641762866519</v>
      </c>
      <c r="T13" s="116">
        <f t="shared" si="37"/>
        <v>13522.318041974066</v>
      </c>
      <c r="U13" s="116">
        <f t="shared" si="37"/>
        <v>13681.391254112579</v>
      </c>
      <c r="V13" s="116">
        <f t="shared" si="37"/>
        <v>8871.5822207413312</v>
      </c>
      <c r="W13" s="116">
        <f t="shared" ref="W13:Y13" si="38">SUM(W14:W18)</f>
        <v>9275.1366931890425</v>
      </c>
      <c r="X13" s="116">
        <f t="shared" si="38"/>
        <v>11866.554733532614</v>
      </c>
      <c r="Y13" s="116">
        <f t="shared" si="38"/>
        <v>13463.527227141614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68.481779258130061</v>
      </c>
      <c r="C14" s="101">
        <f t="shared" si="39"/>
        <v>69.631040317219004</v>
      </c>
      <c r="D14" s="101">
        <f t="shared" si="39"/>
        <v>69.563716376194179</v>
      </c>
      <c r="E14" s="101">
        <f t="shared" si="39"/>
        <v>77.061602076889457</v>
      </c>
      <c r="F14" s="101">
        <f t="shared" si="39"/>
        <v>78.207729435788437</v>
      </c>
      <c r="G14" s="101">
        <f t="shared" si="39"/>
        <v>79.886292289411429</v>
      </c>
      <c r="H14" s="101">
        <f t="shared" si="39"/>
        <v>76.25475995620674</v>
      </c>
      <c r="I14" s="101">
        <f t="shared" si="39"/>
        <v>75.240817192049221</v>
      </c>
      <c r="J14" s="101">
        <f t="shared" si="39"/>
        <v>64.363247350060945</v>
      </c>
      <c r="K14" s="101">
        <f t="shared" si="39"/>
        <v>59.719140850631895</v>
      </c>
      <c r="L14" s="101">
        <f t="shared" ref="L14" si="40">IF(L41=0,0,L41*L151)</f>
        <v>53.62337520581638</v>
      </c>
      <c r="M14" s="101">
        <f t="shared" ref="M14:V14" si="41">IF(M41=0,0,M41*M151)</f>
        <v>53.541808206334636</v>
      </c>
      <c r="N14" s="101">
        <f t="shared" si="41"/>
        <v>53.099008030551218</v>
      </c>
      <c r="O14" s="101">
        <f t="shared" si="41"/>
        <v>43.388498458191897</v>
      </c>
      <c r="P14" s="101">
        <f t="shared" si="41"/>
        <v>39.223689753996254</v>
      </c>
      <c r="Q14" s="101">
        <f t="shared" si="41"/>
        <v>36.321557813623514</v>
      </c>
      <c r="R14" s="101">
        <f t="shared" si="41"/>
        <v>36.604603453119189</v>
      </c>
      <c r="S14" s="101">
        <f t="shared" si="41"/>
        <v>34.689491812558572</v>
      </c>
      <c r="T14" s="101">
        <f t="shared" si="41"/>
        <v>34.365538064163218</v>
      </c>
      <c r="U14" s="101">
        <f t="shared" si="41"/>
        <v>33.868631723659668</v>
      </c>
      <c r="V14" s="101">
        <f t="shared" si="41"/>
        <v>26.048174577231855</v>
      </c>
      <c r="W14" s="101">
        <f t="shared" ref="W14:Y14" si="42">IF(W41=0,0,W41*W151)</f>
        <v>25.445838711142915</v>
      </c>
      <c r="X14" s="101">
        <f t="shared" si="42"/>
        <v>28.097254593021241</v>
      </c>
      <c r="Y14" s="101">
        <f t="shared" si="42"/>
        <v>31.06943265010738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13228.1312683915</v>
      </c>
      <c r="C15" s="101">
        <f t="shared" si="43"/>
        <v>13714.017848970212</v>
      </c>
      <c r="D15" s="101">
        <f t="shared" si="43"/>
        <v>14888.037126738087</v>
      </c>
      <c r="E15" s="101">
        <f t="shared" si="43"/>
        <v>16404.512236436869</v>
      </c>
      <c r="F15" s="101">
        <f t="shared" si="43"/>
        <v>17062.712623852603</v>
      </c>
      <c r="G15" s="101">
        <f t="shared" si="43"/>
        <v>17412.684455438146</v>
      </c>
      <c r="H15" s="101">
        <f t="shared" si="43"/>
        <v>17978.098151340066</v>
      </c>
      <c r="I15" s="101">
        <f t="shared" si="43"/>
        <v>18630.939753153325</v>
      </c>
      <c r="J15" s="101">
        <f t="shared" si="43"/>
        <v>17525.085121814991</v>
      </c>
      <c r="K15" s="101">
        <f t="shared" si="43"/>
        <v>17549.485217748948</v>
      </c>
      <c r="L15" s="101">
        <f t="shared" ref="L15" si="44">IF(L42=0,0,L42*L152)</f>
        <v>17306.869477142594</v>
      </c>
      <c r="M15" s="101">
        <f t="shared" ref="M15:V15" si="45">IF(M42=0,0,M42*M152)</f>
        <v>17597.277210199132</v>
      </c>
      <c r="N15" s="101">
        <f t="shared" si="45"/>
        <v>17838.23257166359</v>
      </c>
      <c r="O15" s="101">
        <f t="shared" si="45"/>
        <v>15700.520495149818</v>
      </c>
      <c r="P15" s="101">
        <f t="shared" si="45"/>
        <v>15341.824925270121</v>
      </c>
      <c r="Q15" s="101">
        <f t="shared" si="45"/>
        <v>14324.807367539355</v>
      </c>
      <c r="R15" s="101">
        <f t="shared" si="45"/>
        <v>13529.061892627695</v>
      </c>
      <c r="S15" s="101">
        <f t="shared" si="45"/>
        <v>13306.318980123504</v>
      </c>
      <c r="T15" s="101">
        <f t="shared" si="45"/>
        <v>13446.910187423535</v>
      </c>
      <c r="U15" s="101">
        <f t="shared" si="45"/>
        <v>13581.374754808721</v>
      </c>
      <c r="V15" s="101">
        <f t="shared" si="45"/>
        <v>8785.795976698606</v>
      </c>
      <c r="W15" s="101">
        <f t="shared" ref="W15:Y15" si="46">IF(W42=0,0,W42*W152)</f>
        <v>9093.3456607356657</v>
      </c>
      <c r="X15" s="101">
        <f t="shared" si="46"/>
        <v>11574.227523464107</v>
      </c>
      <c r="Y15" s="101">
        <f t="shared" si="46"/>
        <v>12965.330698061483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6.05945948378643</v>
      </c>
      <c r="P17" s="101">
        <f t="shared" si="53"/>
        <v>5.850017029799953</v>
      </c>
      <c r="Q17" s="101">
        <f t="shared" si="53"/>
        <v>5.263446906807026</v>
      </c>
      <c r="R17" s="101">
        <f t="shared" si="53"/>
        <v>7.2271526592247337</v>
      </c>
      <c r="S17" s="101">
        <f t="shared" si="53"/>
        <v>9.0493992856581098</v>
      </c>
      <c r="T17" s="101">
        <f t="shared" si="53"/>
        <v>22.165772871292084</v>
      </c>
      <c r="U17" s="101">
        <f t="shared" si="53"/>
        <v>13.127830691529841</v>
      </c>
      <c r="V17" s="101">
        <f t="shared" si="53"/>
        <v>16.078218048221835</v>
      </c>
      <c r="W17" s="101">
        <f t="shared" ref="W17:Y17" si="54">IF(W44=0,0,W44*W154)</f>
        <v>92.170157527252385</v>
      </c>
      <c r="X17" s="101">
        <f t="shared" si="54"/>
        <v>147.16986162785895</v>
      </c>
      <c r="Y17" s="101">
        <f t="shared" si="54"/>
        <v>169.14984491278523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1.6481208888868832</v>
      </c>
      <c r="C18" s="101">
        <f t="shared" si="55"/>
        <v>1.6893900816572553</v>
      </c>
      <c r="D18" s="101">
        <f t="shared" si="55"/>
        <v>1.8229857298949133</v>
      </c>
      <c r="E18" s="101">
        <f t="shared" si="55"/>
        <v>1.9981792621968881</v>
      </c>
      <c r="F18" s="101">
        <f t="shared" si="55"/>
        <v>2.0716508509047276</v>
      </c>
      <c r="G18" s="101">
        <f t="shared" si="55"/>
        <v>22.477307754951294</v>
      </c>
      <c r="H18" s="101">
        <f t="shared" si="55"/>
        <v>23.652430040543784</v>
      </c>
      <c r="I18" s="101">
        <f t="shared" si="55"/>
        <v>23.456427757928424</v>
      </c>
      <c r="J18" s="101">
        <f t="shared" si="55"/>
        <v>20.551630834947204</v>
      </c>
      <c r="K18" s="101">
        <f t="shared" si="55"/>
        <v>20.79564140041888</v>
      </c>
      <c r="L18" s="101">
        <f t="shared" ref="L18" si="56">IF(L45=0,0,L45*L155)</f>
        <v>19.507147651588259</v>
      </c>
      <c r="M18" s="101">
        <f t="shared" ref="M18:V18" si="57">IF(M45=0,0,M45*M155)</f>
        <v>19.180981594534497</v>
      </c>
      <c r="N18" s="101">
        <f t="shared" si="57"/>
        <v>18.668420305858454</v>
      </c>
      <c r="O18" s="101">
        <f t="shared" si="57"/>
        <v>16.431546908205799</v>
      </c>
      <c r="P18" s="101">
        <f t="shared" si="57"/>
        <v>17.701367946084204</v>
      </c>
      <c r="Q18" s="101">
        <f t="shared" si="57"/>
        <v>14.407627740216581</v>
      </c>
      <c r="R18" s="101">
        <f t="shared" si="57"/>
        <v>13.706351259961547</v>
      </c>
      <c r="S18" s="101">
        <f t="shared" si="57"/>
        <v>12.58389164479887</v>
      </c>
      <c r="T18" s="101">
        <f t="shared" si="57"/>
        <v>18.876543615075406</v>
      </c>
      <c r="U18" s="101">
        <f t="shared" si="57"/>
        <v>53.020036888668592</v>
      </c>
      <c r="V18" s="101">
        <f t="shared" si="57"/>
        <v>43.65985141727117</v>
      </c>
      <c r="W18" s="101">
        <f t="shared" ref="W18:Y18" si="58">IF(W45=0,0,W45*W155)</f>
        <v>64.175036214980736</v>
      </c>
      <c r="X18" s="101">
        <f t="shared" si="58"/>
        <v>117.060093847625</v>
      </c>
      <c r="Y18" s="101">
        <f t="shared" si="58"/>
        <v>297.97725151723949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40262.636999515787</v>
      </c>
      <c r="C19" s="29">
        <f t="shared" si="59"/>
        <v>42533.361995209314</v>
      </c>
      <c r="D19" s="29">
        <f t="shared" si="59"/>
        <v>43646.335254073761</v>
      </c>
      <c r="E19" s="29">
        <f t="shared" si="59"/>
        <v>43241.475992818232</v>
      </c>
      <c r="F19" s="29">
        <f t="shared" si="59"/>
        <v>46831.747401371576</v>
      </c>
      <c r="G19" s="29">
        <f t="shared" si="59"/>
        <v>47692.179681445574</v>
      </c>
      <c r="H19" s="29">
        <f t="shared" si="59"/>
        <v>48931.11970861545</v>
      </c>
      <c r="I19" s="29">
        <f t="shared" si="59"/>
        <v>50075.7053168899</v>
      </c>
      <c r="J19" s="29">
        <f t="shared" si="59"/>
        <v>48110.466561938352</v>
      </c>
      <c r="K19" s="29">
        <f t="shared" si="59"/>
        <v>45486.83678814819</v>
      </c>
      <c r="L19" s="29">
        <f t="shared" ref="L19" si="60">L20+L26</f>
        <v>46704.835100767268</v>
      </c>
      <c r="M19" s="29">
        <f t="shared" ref="M19:V19" si="61">M20+M26</f>
        <v>46637.312060854885</v>
      </c>
      <c r="N19" s="29">
        <f t="shared" si="61"/>
        <v>46912.024493591787</v>
      </c>
      <c r="O19" s="29">
        <f t="shared" si="61"/>
        <v>48626.097979194106</v>
      </c>
      <c r="P19" s="29">
        <f t="shared" si="61"/>
        <v>49019.846113863918</v>
      </c>
      <c r="Q19" s="29">
        <f t="shared" si="61"/>
        <v>51605.809988631125</v>
      </c>
      <c r="R19" s="29">
        <f t="shared" si="61"/>
        <v>53435.263179906855</v>
      </c>
      <c r="S19" s="29">
        <f t="shared" si="61"/>
        <v>53194.710599163962</v>
      </c>
      <c r="T19" s="29">
        <f t="shared" si="61"/>
        <v>52003.158502709739</v>
      </c>
      <c r="U19" s="29">
        <f t="shared" si="61"/>
        <v>53531.619801700588</v>
      </c>
      <c r="V19" s="29">
        <f t="shared" si="61"/>
        <v>52967.442645814102</v>
      </c>
      <c r="W19" s="29">
        <f t="shared" ref="W19:Y19" si="62">W20+W26</f>
        <v>55934.59936388296</v>
      </c>
      <c r="X19" s="29">
        <f t="shared" si="62"/>
        <v>53029.751939270442</v>
      </c>
      <c r="Y19" s="29">
        <f t="shared" si="62"/>
        <v>51780.972356996048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677.21435383689004</v>
      </c>
      <c r="C20" s="152">
        <f t="shared" si="63"/>
        <v>724.83446499421211</v>
      </c>
      <c r="D20" s="152">
        <f t="shared" si="63"/>
        <v>758.40087236150055</v>
      </c>
      <c r="E20" s="152">
        <f t="shared" si="63"/>
        <v>799.54771022488057</v>
      </c>
      <c r="F20" s="152">
        <f t="shared" si="63"/>
        <v>884.22769620458291</v>
      </c>
      <c r="G20" s="152">
        <f t="shared" si="63"/>
        <v>929.16563578639284</v>
      </c>
      <c r="H20" s="152">
        <f t="shared" si="63"/>
        <v>967.20951118175276</v>
      </c>
      <c r="I20" s="152">
        <f t="shared" si="63"/>
        <v>1023.9063110835185</v>
      </c>
      <c r="J20" s="152">
        <f t="shared" si="63"/>
        <v>1051.9970486462555</v>
      </c>
      <c r="K20" s="152">
        <f t="shared" si="63"/>
        <v>1060.91911610075</v>
      </c>
      <c r="L20" s="152">
        <f t="shared" ref="L20" si="64">SUM(L21:L25)</f>
        <v>1073.8881205509806</v>
      </c>
      <c r="M20" s="152">
        <f t="shared" ref="M20:V20" si="65">SUM(M21:M25)</f>
        <v>1069.4935505294939</v>
      </c>
      <c r="N20" s="152">
        <f t="shared" si="65"/>
        <v>1062.8088986061032</v>
      </c>
      <c r="O20" s="152">
        <f t="shared" si="65"/>
        <v>1028.6279113636808</v>
      </c>
      <c r="P20" s="152">
        <f t="shared" si="65"/>
        <v>1068.4775050641058</v>
      </c>
      <c r="Q20" s="152">
        <f t="shared" si="65"/>
        <v>1130.7000443012132</v>
      </c>
      <c r="R20" s="152">
        <f t="shared" si="65"/>
        <v>1100.33534768456</v>
      </c>
      <c r="S20" s="152">
        <f t="shared" si="65"/>
        <v>1052.7280839323305</v>
      </c>
      <c r="T20" s="152">
        <f t="shared" si="65"/>
        <v>1084.1585027097374</v>
      </c>
      <c r="U20" s="152">
        <f t="shared" si="65"/>
        <v>1094.6198017005916</v>
      </c>
      <c r="V20" s="152">
        <f t="shared" si="65"/>
        <v>1020.4426458141</v>
      </c>
      <c r="W20" s="152">
        <f t="shared" ref="W20:Y20" si="66">SUM(W21:W25)</f>
        <v>1233.5993638829636</v>
      </c>
      <c r="X20" s="152">
        <f t="shared" si="66"/>
        <v>1213.7519392704437</v>
      </c>
      <c r="Y20" s="152">
        <f t="shared" si="66"/>
        <v>1286.9723569960456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37.828681558461213</v>
      </c>
      <c r="C21" s="87">
        <f t="shared" si="67"/>
        <v>38.22322655050651</v>
      </c>
      <c r="D21" s="87">
        <f t="shared" si="67"/>
        <v>40.404743082949167</v>
      </c>
      <c r="E21" s="87">
        <f t="shared" si="67"/>
        <v>39.130580903618771</v>
      </c>
      <c r="F21" s="87">
        <f t="shared" si="67"/>
        <v>39.019456047580796</v>
      </c>
      <c r="G21" s="87">
        <f t="shared" si="67"/>
        <v>39.419186928239689</v>
      </c>
      <c r="H21" s="87">
        <f t="shared" si="67"/>
        <v>38.163054939038595</v>
      </c>
      <c r="I21" s="87">
        <f t="shared" si="67"/>
        <v>34.586721853469506</v>
      </c>
      <c r="J21" s="87">
        <f t="shared" si="67"/>
        <v>33.036345497422388</v>
      </c>
      <c r="K21" s="87">
        <f t="shared" si="67"/>
        <v>31.081575100331758</v>
      </c>
      <c r="L21" s="87">
        <f t="shared" ref="L21" si="68">IF(L48=0,0,L48*L158)</f>
        <v>29.884709346829709</v>
      </c>
      <c r="M21" s="87">
        <f t="shared" ref="M21:V21" si="69">IF(M48=0,0,M48*M158)</f>
        <v>27.959780928937377</v>
      </c>
      <c r="N21" s="87">
        <f t="shared" si="69"/>
        <v>26.481409735221366</v>
      </c>
      <c r="O21" s="87">
        <f t="shared" si="69"/>
        <v>24.125672416260738</v>
      </c>
      <c r="P21" s="87">
        <f t="shared" si="69"/>
        <v>22.319006901422455</v>
      </c>
      <c r="Q21" s="87">
        <f t="shared" si="69"/>
        <v>20.727655802571007</v>
      </c>
      <c r="R21" s="87">
        <f t="shared" si="69"/>
        <v>21.495572883635354</v>
      </c>
      <c r="S21" s="87">
        <f t="shared" si="69"/>
        <v>23.556180650014376</v>
      </c>
      <c r="T21" s="87">
        <f t="shared" si="69"/>
        <v>27.662429017010414</v>
      </c>
      <c r="U21" s="87">
        <f t="shared" si="69"/>
        <v>30.609951644034126</v>
      </c>
      <c r="V21" s="87">
        <f t="shared" si="69"/>
        <v>27.335938959486239</v>
      </c>
      <c r="W21" s="87">
        <f t="shared" ref="W21:Y21" si="70">IF(W48=0,0,W48*W158)</f>
        <v>33.673175837921612</v>
      </c>
      <c r="X21" s="87">
        <f t="shared" si="70"/>
        <v>34.150691349321178</v>
      </c>
      <c r="Y21" s="87">
        <f t="shared" si="70"/>
        <v>36.008566217725324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623.48490114539527</v>
      </c>
      <c r="C22" s="87">
        <f t="shared" si="71"/>
        <v>669.06835665217329</v>
      </c>
      <c r="D22" s="87">
        <f t="shared" si="71"/>
        <v>699.97566555679248</v>
      </c>
      <c r="E22" s="87">
        <f t="shared" si="71"/>
        <v>743.70312294244786</v>
      </c>
      <c r="F22" s="87">
        <f t="shared" si="71"/>
        <v>828.0893839309</v>
      </c>
      <c r="G22" s="87">
        <f t="shared" si="71"/>
        <v>873.22766713548651</v>
      </c>
      <c r="H22" s="87">
        <f t="shared" si="71"/>
        <v>912.87678658461039</v>
      </c>
      <c r="I22" s="87">
        <f t="shared" si="71"/>
        <v>974.47176376198138</v>
      </c>
      <c r="J22" s="87">
        <f t="shared" si="71"/>
        <v>1004.9060714272358</v>
      </c>
      <c r="K22" s="87">
        <f t="shared" si="71"/>
        <v>1016.9374782454094</v>
      </c>
      <c r="L22" s="87">
        <f t="shared" ref="L22" si="72">IF(L49=0,0,L49*L159)</f>
        <v>1032.3032049732744</v>
      </c>
      <c r="M22" s="87">
        <f t="shared" ref="M22:V22" si="73">IF(M49=0,0,M49*M159)</f>
        <v>1029.7209940515443</v>
      </c>
      <c r="N22" s="87">
        <f t="shared" si="73"/>
        <v>1024.8454905798426</v>
      </c>
      <c r="O22" s="87">
        <f t="shared" si="73"/>
        <v>994.89455203031935</v>
      </c>
      <c r="P22" s="87">
        <f t="shared" si="73"/>
        <v>1037.2616417782506</v>
      </c>
      <c r="Q22" s="87">
        <f t="shared" si="73"/>
        <v>1102.5841233084641</v>
      </c>
      <c r="R22" s="87">
        <f t="shared" si="73"/>
        <v>1071.7578063529584</v>
      </c>
      <c r="S22" s="87">
        <f t="shared" si="73"/>
        <v>1021.8759344766486</v>
      </c>
      <c r="T22" s="87">
        <f t="shared" si="73"/>
        <v>1048.5020964479479</v>
      </c>
      <c r="U22" s="87">
        <f t="shared" si="73"/>
        <v>1055.0124952416313</v>
      </c>
      <c r="V22" s="87">
        <f t="shared" si="73"/>
        <v>983.70525681153083</v>
      </c>
      <c r="W22" s="87">
        <f t="shared" ref="W22:Y22" si="74">IF(W49=0,0,W49*W159)</f>
        <v>1188.2448680219991</v>
      </c>
      <c r="X22" s="87">
        <f t="shared" si="74"/>
        <v>1166.1618700465747</v>
      </c>
      <c r="Y22" s="87">
        <f t="shared" si="74"/>
        <v>1235.8308252283546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15.900771133033595</v>
      </c>
      <c r="C23" s="87">
        <f t="shared" si="75"/>
        <v>17.542881791532345</v>
      </c>
      <c r="D23" s="87">
        <f t="shared" si="75"/>
        <v>18.020463721758887</v>
      </c>
      <c r="E23" s="87">
        <f t="shared" si="75"/>
        <v>16.714006378813931</v>
      </c>
      <c r="F23" s="87">
        <f t="shared" si="75"/>
        <v>17.1188562261021</v>
      </c>
      <c r="G23" s="87">
        <f t="shared" si="75"/>
        <v>16.518781722666631</v>
      </c>
      <c r="H23" s="87">
        <f t="shared" si="75"/>
        <v>16.169669658103796</v>
      </c>
      <c r="I23" s="87">
        <f t="shared" si="75"/>
        <v>14.84782546806764</v>
      </c>
      <c r="J23" s="87">
        <f t="shared" si="75"/>
        <v>13.935307566105612</v>
      </c>
      <c r="K23" s="87">
        <f t="shared" si="75"/>
        <v>12.757167135143796</v>
      </c>
      <c r="L23" s="87">
        <f t="shared" ref="L23" si="76">IF(L50=0,0,L50*L160)</f>
        <v>11.538969698059436</v>
      </c>
      <c r="M23" s="87">
        <f t="shared" ref="M23:V23" si="77">IF(M50=0,0,M50*M160)</f>
        <v>11.646870056644085</v>
      </c>
      <c r="N23" s="87">
        <f t="shared" si="77"/>
        <v>10.933832091417411</v>
      </c>
      <c r="O23" s="87">
        <f t="shared" si="77"/>
        <v>8.9149079855219906</v>
      </c>
      <c r="P23" s="87">
        <f t="shared" si="77"/>
        <v>7.9492151002800213</v>
      </c>
      <c r="Q23" s="87">
        <f t="shared" si="77"/>
        <v>6.0893802920212883</v>
      </c>
      <c r="R23" s="87">
        <f t="shared" si="77"/>
        <v>5.6939915670584087</v>
      </c>
      <c r="S23" s="87">
        <f t="shared" si="77"/>
        <v>5.280691704669783</v>
      </c>
      <c r="T23" s="87">
        <f t="shared" si="77"/>
        <v>4.9518927689741199</v>
      </c>
      <c r="U23" s="87">
        <f t="shared" si="77"/>
        <v>4.5555105098218718</v>
      </c>
      <c r="V23" s="87">
        <f t="shared" si="77"/>
        <v>4.2459180251717683</v>
      </c>
      <c r="W23" s="87">
        <f t="shared" ref="W23:Y23" si="78">IF(W50=0,0,W50*W160)</f>
        <v>4.9027185274108689</v>
      </c>
      <c r="X23" s="87">
        <f t="shared" si="78"/>
        <v>4.7009164008951121</v>
      </c>
      <c r="Y23" s="87">
        <f t="shared" si="78"/>
        <v>4.8833128960516916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5.9193651561917991E-2</v>
      </c>
      <c r="K24" s="87">
        <f t="shared" si="79"/>
        <v>7.9652105502689197E-2</v>
      </c>
      <c r="L24" s="87">
        <f t="shared" ref="L24" si="80">IF(L51=0,0,L51*L161)</f>
        <v>9.6916142020939053E-2</v>
      </c>
      <c r="M24" s="87">
        <f t="shared" ref="M24:V24" si="81">IF(M51=0,0,M51*M161)</f>
        <v>8.4916471504472207E-2</v>
      </c>
      <c r="N24" s="87">
        <f t="shared" si="81"/>
        <v>0.20544211840907728</v>
      </c>
      <c r="O24" s="87">
        <f t="shared" si="81"/>
        <v>0.24471704772994393</v>
      </c>
      <c r="P24" s="87">
        <f t="shared" si="81"/>
        <v>0.40336346447432847</v>
      </c>
      <c r="Q24" s="87">
        <f t="shared" si="81"/>
        <v>0.6992641728933866</v>
      </c>
      <c r="R24" s="87">
        <f t="shared" si="81"/>
        <v>0.66759824162800985</v>
      </c>
      <c r="S24" s="87">
        <f t="shared" si="81"/>
        <v>1.2059074457935337</v>
      </c>
      <c r="T24" s="87">
        <f t="shared" si="81"/>
        <v>1.9797424221428965</v>
      </c>
      <c r="U24" s="87">
        <f t="shared" si="81"/>
        <v>3.0124162769356166</v>
      </c>
      <c r="V24" s="87">
        <f t="shared" si="81"/>
        <v>3.4126483762711453</v>
      </c>
      <c r="W24" s="87">
        <f t="shared" ref="W24:Y24" si="82">IF(W51=0,0,W51*W161)</f>
        <v>4.1752717057702116</v>
      </c>
      <c r="X24" s="87">
        <f t="shared" si="82"/>
        <v>4.2656016283845615</v>
      </c>
      <c r="Y24" s="87">
        <f t="shared" si="82"/>
        <v>4.6757427188170073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6.0130503929870807E-2</v>
      </c>
      <c r="K25" s="87">
        <f t="shared" si="83"/>
        <v>6.3243514362173403E-2</v>
      </c>
      <c r="L25" s="87">
        <f t="shared" ref="L25" si="84">IF(L52=0,0,L52*L162)</f>
        <v>6.4320390796231058E-2</v>
      </c>
      <c r="M25" s="87">
        <f t="shared" ref="M25:V25" si="85">IF(M52=0,0,M52*M162)</f>
        <v>8.0989020863644026E-2</v>
      </c>
      <c r="N25" s="87">
        <f t="shared" si="85"/>
        <v>0.34272408121283421</v>
      </c>
      <c r="O25" s="87">
        <f t="shared" si="85"/>
        <v>0.4480618838488048</v>
      </c>
      <c r="P25" s="87">
        <f t="shared" si="85"/>
        <v>0.54427781967832445</v>
      </c>
      <c r="Q25" s="87">
        <f t="shared" si="85"/>
        <v>0.59962072526336851</v>
      </c>
      <c r="R25" s="87">
        <f t="shared" si="85"/>
        <v>0.72037863927995138</v>
      </c>
      <c r="S25" s="87">
        <f t="shared" si="85"/>
        <v>0.80936965520410464</v>
      </c>
      <c r="T25" s="87">
        <f t="shared" si="85"/>
        <v>1.0623420536620221</v>
      </c>
      <c r="U25" s="87">
        <f t="shared" si="85"/>
        <v>1.4294280281684857</v>
      </c>
      <c r="V25" s="87">
        <f t="shared" si="85"/>
        <v>1.7428836416400428</v>
      </c>
      <c r="W25" s="87">
        <f t="shared" ref="W25:Y25" si="86">IF(W52=0,0,W52*W162)</f>
        <v>2.6033297898618066</v>
      </c>
      <c r="X25" s="87">
        <f t="shared" si="86"/>
        <v>4.4728598452682187</v>
      </c>
      <c r="Y25" s="87">
        <f t="shared" si="86"/>
        <v>5.5739099350971948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39585.422645678897</v>
      </c>
      <c r="C26" s="116">
        <f t="shared" si="87"/>
        <v>41808.527530215099</v>
      </c>
      <c r="D26" s="116">
        <f t="shared" si="87"/>
        <v>42887.934381712264</v>
      </c>
      <c r="E26" s="116">
        <f t="shared" si="87"/>
        <v>42441.928282593348</v>
      </c>
      <c r="F26" s="116">
        <f t="shared" si="87"/>
        <v>45947.519705166997</v>
      </c>
      <c r="G26" s="116">
        <f t="shared" si="87"/>
        <v>46763.014045659183</v>
      </c>
      <c r="H26" s="116">
        <f t="shared" si="87"/>
        <v>47963.910197433695</v>
      </c>
      <c r="I26" s="116">
        <f t="shared" si="87"/>
        <v>49051.799005806381</v>
      </c>
      <c r="J26" s="116">
        <f t="shared" si="87"/>
        <v>47058.469513292097</v>
      </c>
      <c r="K26" s="116">
        <f t="shared" si="87"/>
        <v>44425.917672047442</v>
      </c>
      <c r="L26" s="116">
        <f t="shared" ref="L26" si="88">SUM(L27:L28)</f>
        <v>45630.946980216286</v>
      </c>
      <c r="M26" s="116">
        <f t="shared" ref="M26:V26" si="89">SUM(M27:M28)</f>
        <v>45567.818510325393</v>
      </c>
      <c r="N26" s="116">
        <f t="shared" si="89"/>
        <v>45849.215594985682</v>
      </c>
      <c r="O26" s="116">
        <f t="shared" si="89"/>
        <v>47597.470067830429</v>
      </c>
      <c r="P26" s="116">
        <f t="shared" si="89"/>
        <v>47951.368608799814</v>
      </c>
      <c r="Q26" s="116">
        <f t="shared" si="89"/>
        <v>50475.10994432991</v>
      </c>
      <c r="R26" s="116">
        <f t="shared" si="89"/>
        <v>52334.927832222296</v>
      </c>
      <c r="S26" s="116">
        <f t="shared" si="89"/>
        <v>52141.982515231633</v>
      </c>
      <c r="T26" s="116">
        <f t="shared" si="89"/>
        <v>50919</v>
      </c>
      <c r="U26" s="116">
        <f t="shared" si="89"/>
        <v>52437</v>
      </c>
      <c r="V26" s="116">
        <f t="shared" si="89"/>
        <v>51947</v>
      </c>
      <c r="W26" s="116">
        <f t="shared" ref="W26:Y26" si="90">SUM(W27:W28)</f>
        <v>54701</v>
      </c>
      <c r="X26" s="116">
        <f t="shared" si="90"/>
        <v>51816</v>
      </c>
      <c r="Y26" s="116">
        <f t="shared" si="90"/>
        <v>50494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19754</v>
      </c>
      <c r="C27" s="101">
        <f t="shared" si="91"/>
        <v>20565</v>
      </c>
      <c r="D27" s="101">
        <f t="shared" si="91"/>
        <v>20392</v>
      </c>
      <c r="E27" s="101">
        <f t="shared" si="91"/>
        <v>19584</v>
      </c>
      <c r="F27" s="101">
        <f t="shared" si="91"/>
        <v>19416</v>
      </c>
      <c r="G27" s="101">
        <f t="shared" si="91"/>
        <v>19283</v>
      </c>
      <c r="H27" s="101">
        <f t="shared" si="91"/>
        <v>19615</v>
      </c>
      <c r="I27" s="101">
        <f t="shared" si="91"/>
        <v>19650</v>
      </c>
      <c r="J27" s="101">
        <f t="shared" si="91"/>
        <v>18207</v>
      </c>
      <c r="K27" s="101">
        <f t="shared" si="91"/>
        <v>17603</v>
      </c>
      <c r="L27" s="101">
        <f t="shared" ref="L27:V27" si="92">IF(L54=0,0,L54*L164)</f>
        <v>17755</v>
      </c>
      <c r="M27" s="101">
        <f t="shared" si="92"/>
        <v>17750</v>
      </c>
      <c r="N27" s="101">
        <f t="shared" si="92"/>
        <v>18186</v>
      </c>
      <c r="O27" s="101">
        <f t="shared" si="92"/>
        <v>18980</v>
      </c>
      <c r="P27" s="101">
        <f t="shared" si="92"/>
        <v>19167</v>
      </c>
      <c r="Q27" s="101">
        <f t="shared" si="92"/>
        <v>21277</v>
      </c>
      <c r="R27" s="101">
        <f t="shared" si="92"/>
        <v>21428</v>
      </c>
      <c r="S27" s="101">
        <f t="shared" si="92"/>
        <v>20632</v>
      </c>
      <c r="T27" s="101">
        <f t="shared" si="92"/>
        <v>20593</v>
      </c>
      <c r="U27" s="101">
        <f t="shared" si="92"/>
        <v>21728</v>
      </c>
      <c r="V27" s="101">
        <f t="shared" si="92"/>
        <v>21537</v>
      </c>
      <c r="W27" s="101">
        <f t="shared" ref="W27:Y27" si="93">IF(W54=0,0,W54*W164)</f>
        <v>23257</v>
      </c>
      <c r="X27" s="101">
        <f t="shared" si="93"/>
        <v>22052</v>
      </c>
      <c r="Y27" s="101">
        <f t="shared" si="93"/>
        <v>21525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19831.422645678897</v>
      </c>
      <c r="C28" s="88">
        <f t="shared" si="94"/>
        <v>21243.527530215099</v>
      </c>
      <c r="D28" s="88">
        <f t="shared" si="94"/>
        <v>22495.934381712264</v>
      </c>
      <c r="E28" s="88">
        <f t="shared" si="94"/>
        <v>22857.928282593348</v>
      </c>
      <c r="F28" s="88">
        <f t="shared" si="94"/>
        <v>26531.519705166997</v>
      </c>
      <c r="G28" s="88">
        <f t="shared" si="94"/>
        <v>27480.014045659183</v>
      </c>
      <c r="H28" s="88">
        <f t="shared" si="94"/>
        <v>28348.910197433695</v>
      </c>
      <c r="I28" s="88">
        <f t="shared" si="94"/>
        <v>29401.799005806381</v>
      </c>
      <c r="J28" s="88">
        <f t="shared" si="94"/>
        <v>28851.469513292097</v>
      </c>
      <c r="K28" s="88">
        <f t="shared" si="94"/>
        <v>26822.917672047442</v>
      </c>
      <c r="L28" s="88">
        <f t="shared" ref="L28:V28" si="95">IF(L55=0,0,L55*L165)</f>
        <v>27875.946980216286</v>
      </c>
      <c r="M28" s="88">
        <f t="shared" si="95"/>
        <v>27817.818510325393</v>
      </c>
      <c r="N28" s="88">
        <f t="shared" si="95"/>
        <v>27663.215594985682</v>
      </c>
      <c r="O28" s="88">
        <f t="shared" si="95"/>
        <v>28617.470067830429</v>
      </c>
      <c r="P28" s="88">
        <f t="shared" si="95"/>
        <v>28784.368608799814</v>
      </c>
      <c r="Q28" s="88">
        <f t="shared" si="95"/>
        <v>29198.10994432991</v>
      </c>
      <c r="R28" s="88">
        <f t="shared" si="95"/>
        <v>30906.927832222296</v>
      </c>
      <c r="S28" s="88">
        <f t="shared" si="95"/>
        <v>31509.982515231633</v>
      </c>
      <c r="T28" s="88">
        <f t="shared" si="95"/>
        <v>30326</v>
      </c>
      <c r="U28" s="88">
        <f t="shared" si="95"/>
        <v>30709</v>
      </c>
      <c r="V28" s="88">
        <f t="shared" si="95"/>
        <v>30410</v>
      </c>
      <c r="W28" s="88">
        <f t="shared" ref="W28:Y28" si="96">IF(W55=0,0,W55*W165)</f>
        <v>31444</v>
      </c>
      <c r="X28" s="88">
        <f t="shared" si="96"/>
        <v>29764</v>
      </c>
      <c r="Y28" s="88">
        <f t="shared" si="96"/>
        <v>28969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89262.03773369985</v>
      </c>
      <c r="C30" s="62">
        <f t="shared" ref="C30:V30" si="98">C31+C46</f>
        <v>92986.043296577525</v>
      </c>
      <c r="D30" s="62">
        <f t="shared" si="98"/>
        <v>93796.914346817648</v>
      </c>
      <c r="E30" s="62">
        <f t="shared" si="98"/>
        <v>96875.303370836569</v>
      </c>
      <c r="F30" s="62">
        <f t="shared" si="98"/>
        <v>99080.453232857501</v>
      </c>
      <c r="G30" s="62">
        <f t="shared" si="98"/>
        <v>96622.326753732996</v>
      </c>
      <c r="H30" s="62">
        <f t="shared" si="98"/>
        <v>99577.733120266377</v>
      </c>
      <c r="I30" s="62">
        <f t="shared" si="98"/>
        <v>104018.00153849102</v>
      </c>
      <c r="J30" s="62">
        <f t="shared" si="98"/>
        <v>106135.81203552704</v>
      </c>
      <c r="K30" s="62">
        <f t="shared" si="98"/>
        <v>106482.24812205363</v>
      </c>
      <c r="L30" s="62">
        <f t="shared" si="98"/>
        <v>106361.82864843667</v>
      </c>
      <c r="M30" s="62">
        <f t="shared" si="98"/>
        <v>106968.00732430354</v>
      </c>
      <c r="N30" s="62">
        <f t="shared" si="98"/>
        <v>105735.27759246067</v>
      </c>
      <c r="O30" s="62">
        <f t="shared" si="98"/>
        <v>103763.59066229514</v>
      </c>
      <c r="P30" s="62">
        <f t="shared" si="98"/>
        <v>107764.55532482376</v>
      </c>
      <c r="Q30" s="62">
        <f t="shared" si="98"/>
        <v>111750.67134720282</v>
      </c>
      <c r="R30" s="62">
        <f t="shared" si="98"/>
        <v>108942.57321947491</v>
      </c>
      <c r="S30" s="62">
        <f t="shared" si="98"/>
        <v>105370.60150976296</v>
      </c>
      <c r="T30" s="62">
        <f t="shared" si="98"/>
        <v>105499.58463664417</v>
      </c>
      <c r="U30" s="62">
        <f t="shared" si="98"/>
        <v>105961.21029177847</v>
      </c>
      <c r="V30" s="62">
        <f t="shared" si="98"/>
        <v>92158.212229872806</v>
      </c>
      <c r="W30" s="62">
        <f t="shared" ref="W30:Y30" si="99">W31+W46</f>
        <v>98604.71956968309</v>
      </c>
      <c r="X30" s="62">
        <f t="shared" si="99"/>
        <v>103577.64293301686</v>
      </c>
      <c r="Y30" s="62">
        <f t="shared" si="99"/>
        <v>108670.99085521724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78298.983658590558</v>
      </c>
      <c r="C31" s="29">
        <f t="shared" ref="C31:V31" si="101">C32+C33+C40</f>
        <v>81189.36562669916</v>
      </c>
      <c r="D31" s="29">
        <f t="shared" si="101"/>
        <v>81310.630354473833</v>
      </c>
      <c r="E31" s="29">
        <f t="shared" si="101"/>
        <v>84049.525880565066</v>
      </c>
      <c r="F31" s="29">
        <f t="shared" si="101"/>
        <v>84825.221858287929</v>
      </c>
      <c r="G31" s="29">
        <f t="shared" si="101"/>
        <v>81946.722697077174</v>
      </c>
      <c r="H31" s="29">
        <f t="shared" si="101"/>
        <v>84395.31119794937</v>
      </c>
      <c r="I31" s="29">
        <f t="shared" si="101"/>
        <v>88100.827137856686</v>
      </c>
      <c r="J31" s="29">
        <f t="shared" si="101"/>
        <v>90272.357932362458</v>
      </c>
      <c r="K31" s="29">
        <f t="shared" si="101"/>
        <v>90749.364424049039</v>
      </c>
      <c r="L31" s="29">
        <f t="shared" si="101"/>
        <v>90562.188228914732</v>
      </c>
      <c r="M31" s="29">
        <f t="shared" si="101"/>
        <v>91259.00307235829</v>
      </c>
      <c r="N31" s="29">
        <f t="shared" si="101"/>
        <v>90216.847686042354</v>
      </c>
      <c r="O31" s="29">
        <f t="shared" si="101"/>
        <v>88710.582758446588</v>
      </c>
      <c r="P31" s="29">
        <f t="shared" si="101"/>
        <v>92179.249169964663</v>
      </c>
      <c r="Q31" s="29">
        <f t="shared" si="101"/>
        <v>95051.734450424396</v>
      </c>
      <c r="R31" s="29">
        <f t="shared" si="101"/>
        <v>92786.871814286569</v>
      </c>
      <c r="S31" s="29">
        <f t="shared" si="101"/>
        <v>89925.85682039657</v>
      </c>
      <c r="T31" s="29">
        <f t="shared" si="101"/>
        <v>89946.285770400777</v>
      </c>
      <c r="U31" s="29">
        <f t="shared" si="101"/>
        <v>90148.712228219767</v>
      </c>
      <c r="V31" s="29">
        <f t="shared" si="101"/>
        <v>77527.11633335994</v>
      </c>
      <c r="W31" s="29">
        <f t="shared" ref="W31:Y31" si="102">W32+W33+W40</f>
        <v>81013.654494990566</v>
      </c>
      <c r="X31" s="29">
        <f t="shared" si="102"/>
        <v>86277.864856882748</v>
      </c>
      <c r="Y31" s="29">
        <f t="shared" si="102"/>
        <v>90429.855883676559</v>
      </c>
      <c r="DA31" s="173" t="s">
        <v>475</v>
      </c>
    </row>
    <row r="32" spans="1:105" ht="11.45" customHeight="1" x14ac:dyDescent="0.25">
      <c r="A32" s="136" t="s">
        <v>173</v>
      </c>
      <c r="B32" s="152">
        <v>1377</v>
      </c>
      <c r="C32" s="152">
        <v>1442</v>
      </c>
      <c r="D32" s="152">
        <v>1522.5</v>
      </c>
      <c r="E32" s="152">
        <v>1590</v>
      </c>
      <c r="F32" s="152">
        <v>1620</v>
      </c>
      <c r="G32" s="152">
        <v>1573</v>
      </c>
      <c r="H32" s="152">
        <v>1625</v>
      </c>
      <c r="I32" s="152">
        <v>1690</v>
      </c>
      <c r="J32" s="152">
        <v>1690</v>
      </c>
      <c r="K32" s="152">
        <v>1662.5</v>
      </c>
      <c r="L32" s="152">
        <v>1587.5</v>
      </c>
      <c r="M32" s="152">
        <v>1587.5</v>
      </c>
      <c r="N32" s="152">
        <v>1536</v>
      </c>
      <c r="O32" s="152">
        <v>1467.6</v>
      </c>
      <c r="P32" s="152">
        <v>1546.25</v>
      </c>
      <c r="Q32" s="152">
        <v>1527.5</v>
      </c>
      <c r="R32" s="152">
        <v>1563.1725372641849</v>
      </c>
      <c r="S32" s="152">
        <v>1475.5057343456269</v>
      </c>
      <c r="T32" s="152">
        <v>1421.3468349941368</v>
      </c>
      <c r="U32" s="152">
        <v>1521.7295249905385</v>
      </c>
      <c r="V32" s="152">
        <v>1370.900602403874</v>
      </c>
      <c r="W32" s="152">
        <v>1439.8168851762175</v>
      </c>
      <c r="X32" s="152">
        <v>1466.7822360918969</v>
      </c>
      <c r="Y32" s="152">
        <v>1587.7040225701164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76259.861535377771</v>
      </c>
      <c r="C33" s="116">
        <f t="shared" ref="C33:V33" si="104">SUM(C34:C39)</f>
        <v>79077.36562669916</v>
      </c>
      <c r="D33" s="116">
        <f t="shared" si="104"/>
        <v>79114.502684970284</v>
      </c>
      <c r="E33" s="116">
        <f t="shared" si="104"/>
        <v>81782.11611859512</v>
      </c>
      <c r="F33" s="116">
        <f t="shared" si="104"/>
        <v>82525.347042002802</v>
      </c>
      <c r="G33" s="116">
        <f t="shared" si="104"/>
        <v>79701.004266959048</v>
      </c>
      <c r="H33" s="116">
        <f t="shared" si="104"/>
        <v>82110.337513360704</v>
      </c>
      <c r="I33" s="116">
        <f t="shared" si="104"/>
        <v>85753.92434748658</v>
      </c>
      <c r="J33" s="116">
        <f t="shared" si="104"/>
        <v>87912.623019052815</v>
      </c>
      <c r="K33" s="116">
        <f t="shared" si="104"/>
        <v>88424.037428352429</v>
      </c>
      <c r="L33" s="116">
        <f t="shared" si="104"/>
        <v>88314.610651966621</v>
      </c>
      <c r="M33" s="116">
        <f t="shared" si="104"/>
        <v>89026.481763417076</v>
      </c>
      <c r="N33" s="116">
        <f t="shared" si="104"/>
        <v>88048.218105287335</v>
      </c>
      <c r="O33" s="116">
        <f t="shared" si="104"/>
        <v>86609.982758446582</v>
      </c>
      <c r="P33" s="116">
        <f t="shared" si="104"/>
        <v>89986.999169964663</v>
      </c>
      <c r="Q33" s="116">
        <f t="shared" si="104"/>
        <v>92865.234450424396</v>
      </c>
      <c r="R33" s="116">
        <f t="shared" si="104"/>
        <v>90609.699277022388</v>
      </c>
      <c r="S33" s="116">
        <f t="shared" si="104"/>
        <v>87836.351086050941</v>
      </c>
      <c r="T33" s="116">
        <f t="shared" si="104"/>
        <v>87903.528159710899</v>
      </c>
      <c r="U33" s="116">
        <f t="shared" si="104"/>
        <v>87998.188270706261</v>
      </c>
      <c r="V33" s="116">
        <f t="shared" si="104"/>
        <v>75530.139240745877</v>
      </c>
      <c r="W33" s="116">
        <f t="shared" ref="W33:Y33" si="105">SUM(W34:W39)</f>
        <v>78947.482552613626</v>
      </c>
      <c r="X33" s="116">
        <f t="shared" si="105"/>
        <v>84183.182406097665</v>
      </c>
      <c r="Y33" s="116">
        <f t="shared" si="105"/>
        <v>88213.4583562279</v>
      </c>
      <c r="DA33" s="176" t="s">
        <v>477</v>
      </c>
    </row>
    <row r="34" spans="1:105" ht="11.45" customHeight="1" x14ac:dyDescent="0.25">
      <c r="A34" s="111" t="s">
        <v>110</v>
      </c>
      <c r="B34" s="87">
        <v>33436.301295287049</v>
      </c>
      <c r="C34" s="87">
        <v>32723.523536162986</v>
      </c>
      <c r="D34" s="87">
        <v>31159.287772195225</v>
      </c>
      <c r="E34" s="87">
        <v>31494.317737976253</v>
      </c>
      <c r="F34" s="87">
        <v>28293.270237792247</v>
      </c>
      <c r="G34" s="87">
        <v>26212.435785577884</v>
      </c>
      <c r="H34" s="87">
        <v>24323.128452048757</v>
      </c>
      <c r="I34" s="87">
        <v>22979.61093914806</v>
      </c>
      <c r="J34" s="87">
        <v>21068.024345619593</v>
      </c>
      <c r="K34" s="87">
        <v>20193.8554209555</v>
      </c>
      <c r="L34" s="87">
        <v>18666.114461319317</v>
      </c>
      <c r="M34" s="87">
        <v>18220.560870288587</v>
      </c>
      <c r="N34" s="87">
        <v>17941.035282583132</v>
      </c>
      <c r="O34" s="87">
        <v>18290.139486156921</v>
      </c>
      <c r="P34" s="87">
        <v>19876.066964393147</v>
      </c>
      <c r="Q34" s="87">
        <v>21610.656091317949</v>
      </c>
      <c r="R34" s="87">
        <v>22856.471168629923</v>
      </c>
      <c r="S34" s="87">
        <v>24212.330215937116</v>
      </c>
      <c r="T34" s="87">
        <v>27742.66199494731</v>
      </c>
      <c r="U34" s="87">
        <v>31665.351119958013</v>
      </c>
      <c r="V34" s="87">
        <v>27443.89945753018</v>
      </c>
      <c r="W34" s="87">
        <v>32032.808563088904</v>
      </c>
      <c r="X34" s="87">
        <v>37715.318085252329</v>
      </c>
      <c r="Y34" s="87">
        <v>42576.510009524005</v>
      </c>
      <c r="DA34" s="171" t="s">
        <v>478</v>
      </c>
    </row>
    <row r="35" spans="1:105" ht="11.45" customHeight="1" x14ac:dyDescent="0.25">
      <c r="A35" s="111" t="s">
        <v>111</v>
      </c>
      <c r="B35" s="87">
        <v>42059.072148941035</v>
      </c>
      <c r="C35" s="87">
        <v>45436.3717358176</v>
      </c>
      <c r="D35" s="87">
        <v>47027.668145927273</v>
      </c>
      <c r="E35" s="87">
        <v>49423.169841996089</v>
      </c>
      <c r="F35" s="87">
        <v>53419.327974798638</v>
      </c>
      <c r="G35" s="87">
        <v>52766.614825857519</v>
      </c>
      <c r="H35" s="87">
        <v>57120.948028998668</v>
      </c>
      <c r="I35" s="87">
        <v>62176.220667789021</v>
      </c>
      <c r="J35" s="87">
        <v>66291.756395081713</v>
      </c>
      <c r="K35" s="87">
        <v>67728.0605259445</v>
      </c>
      <c r="L35" s="87">
        <v>69197.802818648648</v>
      </c>
      <c r="M35" s="87">
        <v>70300.212054216056</v>
      </c>
      <c r="N35" s="87">
        <v>69572.110524559088</v>
      </c>
      <c r="O35" s="87">
        <v>67829.521442549172</v>
      </c>
      <c r="P35" s="87">
        <v>69525.119864302367</v>
      </c>
      <c r="Q35" s="87">
        <v>70390.241324775547</v>
      </c>
      <c r="R35" s="87">
        <v>66824.699203749653</v>
      </c>
      <c r="S35" s="87">
        <v>62500.862556184868</v>
      </c>
      <c r="T35" s="87">
        <v>58832.064145852943</v>
      </c>
      <c r="U35" s="87">
        <v>54732.329529898845</v>
      </c>
      <c r="V35" s="87">
        <v>46203.48306845397</v>
      </c>
      <c r="W35" s="87">
        <v>44136.019055785851</v>
      </c>
      <c r="X35" s="87">
        <v>42341.492516791957</v>
      </c>
      <c r="Y35" s="87">
        <v>39072.286343759013</v>
      </c>
      <c r="DA35" s="171" t="s">
        <v>479</v>
      </c>
    </row>
    <row r="36" spans="1:105" ht="11.45" customHeight="1" x14ac:dyDescent="0.25">
      <c r="A36" s="111" t="s">
        <v>112</v>
      </c>
      <c r="B36" s="87">
        <v>764.48809114969151</v>
      </c>
      <c r="C36" s="87">
        <v>917.4703547185851</v>
      </c>
      <c r="D36" s="87">
        <v>927.54676684778781</v>
      </c>
      <c r="E36" s="87">
        <v>864.62853862278746</v>
      </c>
      <c r="F36" s="87">
        <v>808.41967479592313</v>
      </c>
      <c r="G36" s="87">
        <v>717.17203861838414</v>
      </c>
      <c r="H36" s="87">
        <v>661.41700437035172</v>
      </c>
      <c r="I36" s="87">
        <v>593.20834289647928</v>
      </c>
      <c r="J36" s="87">
        <v>548.48200098678672</v>
      </c>
      <c r="K36" s="87">
        <v>498.06467085521217</v>
      </c>
      <c r="L36" s="87">
        <v>445.72193417288605</v>
      </c>
      <c r="M36" s="87">
        <v>496.26911065741564</v>
      </c>
      <c r="N36" s="87">
        <v>514.78900807411173</v>
      </c>
      <c r="O36" s="87">
        <v>466.07231446901244</v>
      </c>
      <c r="P36" s="87">
        <v>528.76820092477146</v>
      </c>
      <c r="Q36" s="87">
        <v>741.85073679026823</v>
      </c>
      <c r="R36" s="87">
        <v>669.04057610228142</v>
      </c>
      <c r="S36" s="87">
        <v>652.71553570205572</v>
      </c>
      <c r="T36" s="87">
        <v>639.41713829482512</v>
      </c>
      <c r="U36" s="87">
        <v>624.79424304205656</v>
      </c>
      <c r="V36" s="87">
        <v>568.80066830633541</v>
      </c>
      <c r="W36" s="87">
        <v>558.90587011109926</v>
      </c>
      <c r="X36" s="87">
        <v>562.30320756262256</v>
      </c>
      <c r="Y36" s="87">
        <v>575.15928523363709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4.3291546159967504</v>
      </c>
      <c r="G37" s="87">
        <v>4.7816169052510311</v>
      </c>
      <c r="H37" s="87">
        <v>4.844027942937017</v>
      </c>
      <c r="I37" s="87">
        <v>4.8843976530250206</v>
      </c>
      <c r="J37" s="87">
        <v>4.2234333538199555</v>
      </c>
      <c r="K37" s="87">
        <v>3.8588358389869382</v>
      </c>
      <c r="L37" s="87">
        <v>4.0351591660940782</v>
      </c>
      <c r="M37" s="87">
        <v>4.3359463323990202</v>
      </c>
      <c r="N37" s="87">
        <v>4.3822288935503977</v>
      </c>
      <c r="O37" s="87">
        <v>6.6887628658939535</v>
      </c>
      <c r="P37" s="87">
        <v>17.745500030120251</v>
      </c>
      <c r="Q37" s="87">
        <v>34.701510036593078</v>
      </c>
      <c r="R37" s="87">
        <v>72.148160664411677</v>
      </c>
      <c r="S37" s="87">
        <v>107.14737082274019</v>
      </c>
      <c r="T37" s="87">
        <v>187.96514259409969</v>
      </c>
      <c r="U37" s="87">
        <v>261.44032029054989</v>
      </c>
      <c r="V37" s="87">
        <v>289.84681599715344</v>
      </c>
      <c r="W37" s="87">
        <v>313.65879531962861</v>
      </c>
      <c r="X37" s="87">
        <v>321.32332540151583</v>
      </c>
      <c r="Y37" s="87">
        <v>321.27382794008787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0.14374057127475925</v>
      </c>
      <c r="N38" s="87">
        <v>3.2293003461265988</v>
      </c>
      <c r="O38" s="87">
        <v>3.4386417736021473</v>
      </c>
      <c r="P38" s="87">
        <v>11.683933639751514</v>
      </c>
      <c r="Q38" s="87">
        <v>43.431295302496686</v>
      </c>
      <c r="R38" s="87">
        <v>119.90218977616799</v>
      </c>
      <c r="S38" s="87">
        <v>231.4457625168923</v>
      </c>
      <c r="T38" s="87">
        <v>360.02033145851658</v>
      </c>
      <c r="U38" s="87">
        <v>481.60581056424087</v>
      </c>
      <c r="V38" s="87">
        <v>709.28990914453755</v>
      </c>
      <c r="W38" s="87">
        <v>1294.6687351534085</v>
      </c>
      <c r="X38" s="87">
        <v>2160.5465942313622</v>
      </c>
      <c r="Y38" s="87">
        <v>3339.8657490465475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0.13684401090606416</v>
      </c>
      <c r="K39" s="87">
        <v>0.19797475823183416</v>
      </c>
      <c r="L39" s="87">
        <v>0.93627865967581969</v>
      </c>
      <c r="M39" s="87">
        <v>4.9600413513295933</v>
      </c>
      <c r="N39" s="87">
        <v>12.671760831339792</v>
      </c>
      <c r="O39" s="87">
        <v>14.122110632003951</v>
      </c>
      <c r="P39" s="87">
        <v>27.61470667450898</v>
      </c>
      <c r="Q39" s="87">
        <v>44.353492201538785</v>
      </c>
      <c r="R39" s="87">
        <v>67.437978099938931</v>
      </c>
      <c r="S39" s="87">
        <v>131.8496448872736</v>
      </c>
      <c r="T39" s="87">
        <v>141.39940656319661</v>
      </c>
      <c r="U39" s="87">
        <v>232.66724695254496</v>
      </c>
      <c r="V39" s="87">
        <v>314.81932131369535</v>
      </c>
      <c r="W39" s="87">
        <v>611.4215331547349</v>
      </c>
      <c r="X39" s="87">
        <v>1082.1986768578749</v>
      </c>
      <c r="Y39" s="87">
        <v>2328.3631407246098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662.12212321278344</v>
      </c>
      <c r="C40" s="116">
        <f t="shared" ref="C40:V40" si="107">SUM(C41:C45)</f>
        <v>670</v>
      </c>
      <c r="D40" s="116">
        <f t="shared" si="107"/>
        <v>673.62766950354126</v>
      </c>
      <c r="E40" s="116">
        <f t="shared" si="107"/>
        <v>677.40976196994086</v>
      </c>
      <c r="F40" s="116">
        <f t="shared" si="107"/>
        <v>679.87481628512091</v>
      </c>
      <c r="G40" s="116">
        <f t="shared" si="107"/>
        <v>672.71843011812803</v>
      </c>
      <c r="H40" s="116">
        <f t="shared" si="107"/>
        <v>659.97368458866595</v>
      </c>
      <c r="I40" s="116">
        <f t="shared" si="107"/>
        <v>656.90279037010862</v>
      </c>
      <c r="J40" s="116">
        <f t="shared" si="107"/>
        <v>669.73491330964544</v>
      </c>
      <c r="K40" s="116">
        <f t="shared" si="107"/>
        <v>662.82699569660554</v>
      </c>
      <c r="L40" s="116">
        <f t="shared" si="107"/>
        <v>660.07757694811062</v>
      </c>
      <c r="M40" s="116">
        <f t="shared" si="107"/>
        <v>645.02130894122035</v>
      </c>
      <c r="N40" s="116">
        <f t="shared" si="107"/>
        <v>632.62958075502183</v>
      </c>
      <c r="O40" s="116">
        <f t="shared" si="107"/>
        <v>633</v>
      </c>
      <c r="P40" s="116">
        <f t="shared" si="107"/>
        <v>646</v>
      </c>
      <c r="Q40" s="116">
        <f t="shared" si="107"/>
        <v>659</v>
      </c>
      <c r="R40" s="116">
        <f t="shared" si="107"/>
        <v>614.00000000000011</v>
      </c>
      <c r="S40" s="116">
        <f t="shared" si="107"/>
        <v>614</v>
      </c>
      <c r="T40" s="116">
        <f t="shared" si="107"/>
        <v>621.41077569573372</v>
      </c>
      <c r="U40" s="116">
        <f t="shared" si="107"/>
        <v>628.79443252296301</v>
      </c>
      <c r="V40" s="116">
        <f t="shared" si="107"/>
        <v>626.07649021019074</v>
      </c>
      <c r="W40" s="116">
        <f t="shared" ref="W40:Y40" si="108">SUM(W41:W45)</f>
        <v>626.35505720072331</v>
      </c>
      <c r="X40" s="116">
        <f t="shared" si="108"/>
        <v>627.90021469318253</v>
      </c>
      <c r="Y40" s="116">
        <f t="shared" si="108"/>
        <v>628.6935048785349</v>
      </c>
      <c r="DA40" s="176" t="s">
        <v>484</v>
      </c>
    </row>
    <row r="41" spans="1:105" ht="11.45" customHeight="1" x14ac:dyDescent="0.25">
      <c r="A41" s="111" t="s">
        <v>110</v>
      </c>
      <c r="B41" s="101">
        <v>8.8652630087268935</v>
      </c>
      <c r="C41" s="101">
        <v>8.7990058549471364</v>
      </c>
      <c r="D41" s="101">
        <v>8.1444389950890343</v>
      </c>
      <c r="E41" s="101">
        <v>8.2340121307108269</v>
      </c>
      <c r="F41" s="101">
        <v>8.06427552089073</v>
      </c>
      <c r="G41" s="101">
        <v>7.9775145642366221</v>
      </c>
      <c r="H41" s="101">
        <v>7.2379639378512008</v>
      </c>
      <c r="I41" s="101">
        <v>6.8611766046129432</v>
      </c>
      <c r="J41" s="101">
        <v>6.3643620726424111</v>
      </c>
      <c r="K41" s="101">
        <v>5.8376059365046853</v>
      </c>
      <c r="L41" s="101">
        <v>5.2950821456530575</v>
      </c>
      <c r="M41" s="101">
        <v>5.0816399972867767</v>
      </c>
      <c r="N41" s="101">
        <v>4.876561043611134</v>
      </c>
      <c r="O41" s="101">
        <v>4.529175383251232</v>
      </c>
      <c r="P41" s="101">
        <v>4.2766517345995423</v>
      </c>
      <c r="Q41" s="101">
        <v>4.3275309550138052</v>
      </c>
      <c r="R41" s="101">
        <v>4.3009722044190211</v>
      </c>
      <c r="S41" s="101">
        <v>4.1442632162346387</v>
      </c>
      <c r="T41" s="101">
        <v>4.1060490189884638</v>
      </c>
      <c r="U41" s="101">
        <v>4.0471511515596816</v>
      </c>
      <c r="V41" s="101">
        <v>3.9798556791608131</v>
      </c>
      <c r="W41" s="101">
        <v>3.8733043381818075</v>
      </c>
      <c r="X41" s="101">
        <v>3.8654781212631777</v>
      </c>
      <c r="Y41" s="101">
        <v>3.7721312151258264</v>
      </c>
      <c r="DA41" s="175" t="s">
        <v>485</v>
      </c>
    </row>
    <row r="42" spans="1:105" ht="11.45" customHeight="1" x14ac:dyDescent="0.25">
      <c r="A42" s="111" t="s">
        <v>111</v>
      </c>
      <c r="B42" s="101">
        <v>653.17547968776591</v>
      </c>
      <c r="C42" s="101">
        <v>661.11955274491049</v>
      </c>
      <c r="D42" s="101">
        <v>665.40175449567994</v>
      </c>
      <c r="E42" s="101">
        <v>669.09424968641167</v>
      </c>
      <c r="F42" s="101">
        <v>671.72898351416382</v>
      </c>
      <c r="G42" s="101">
        <v>663.88393548458373</v>
      </c>
      <c r="H42" s="101">
        <v>651.87809372737399</v>
      </c>
      <c r="I42" s="101">
        <v>649.22423785018509</v>
      </c>
      <c r="J42" s="101">
        <v>662.59352918485445</v>
      </c>
      <c r="K42" s="101">
        <v>656.21179742319657</v>
      </c>
      <c r="L42" s="101">
        <v>654.04529861410344</v>
      </c>
      <c r="M42" s="101">
        <v>639.24289602408851</v>
      </c>
      <c r="N42" s="101">
        <v>627.09673801810266</v>
      </c>
      <c r="O42" s="101">
        <v>627.57182754279449</v>
      </c>
      <c r="P42" s="101">
        <v>640.73974244164117</v>
      </c>
      <c r="Q42" s="101">
        <v>653.77469426287485</v>
      </c>
      <c r="R42" s="101">
        <v>608.75709854657657</v>
      </c>
      <c r="S42" s="101">
        <v>608.86584829143453</v>
      </c>
      <c r="T42" s="101">
        <v>615.42633809601341</v>
      </c>
      <c r="U42" s="101">
        <v>621.71920795597998</v>
      </c>
      <c r="V42" s="101">
        <v>617.8953221202795</v>
      </c>
      <c r="W42" s="101">
        <v>611.9601006491398</v>
      </c>
      <c r="X42" s="101">
        <v>610.10651400129404</v>
      </c>
      <c r="Y42" s="101">
        <v>603.18911057033893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0.24220509526012896</v>
      </c>
      <c r="P44" s="101">
        <v>0.24432154735250572</v>
      </c>
      <c r="Q44" s="101">
        <v>0.24022022104564847</v>
      </c>
      <c r="R44" s="101">
        <v>0.32519479314232858</v>
      </c>
      <c r="S44" s="101">
        <v>0.41407921911541196</v>
      </c>
      <c r="T44" s="101">
        <v>1.014463563682132</v>
      </c>
      <c r="U44" s="101">
        <v>0.60095716722847237</v>
      </c>
      <c r="V44" s="101">
        <v>1.1307633077725094</v>
      </c>
      <c r="W44" s="101">
        <v>6.2028279779107418</v>
      </c>
      <c r="X44" s="101">
        <v>7.7576919117754093</v>
      </c>
      <c r="Y44" s="101">
        <v>7.8693977718060557</v>
      </c>
      <c r="DA44" s="175" t="s">
        <v>488</v>
      </c>
    </row>
    <row r="45" spans="1:105" ht="11.45" customHeight="1" x14ac:dyDescent="0.25">
      <c r="A45" s="111" t="s">
        <v>115</v>
      </c>
      <c r="B45" s="101">
        <v>8.1380516290644397E-2</v>
      </c>
      <c r="C45" s="101">
        <v>8.1441400142322248E-2</v>
      </c>
      <c r="D45" s="101">
        <v>8.147601277230497E-2</v>
      </c>
      <c r="E45" s="101">
        <v>8.1500152818257177E-2</v>
      </c>
      <c r="F45" s="101">
        <v>8.1557250066389336E-2</v>
      </c>
      <c r="G45" s="101">
        <v>0.85698006930774173</v>
      </c>
      <c r="H45" s="101">
        <v>0.85762692344075786</v>
      </c>
      <c r="I45" s="101">
        <v>0.81737591531052833</v>
      </c>
      <c r="J45" s="101">
        <v>0.77702205214862063</v>
      </c>
      <c r="K45" s="101">
        <v>0.77759233690431373</v>
      </c>
      <c r="L45" s="101">
        <v>0.73719618835415857</v>
      </c>
      <c r="M45" s="101">
        <v>0.69677291984515044</v>
      </c>
      <c r="N45" s="101">
        <v>0.65628169330808117</v>
      </c>
      <c r="O45" s="101">
        <v>0.65679197869417327</v>
      </c>
      <c r="P45" s="101">
        <v>0.73928427640683825</v>
      </c>
      <c r="Q45" s="101">
        <v>0.65755456106572541</v>
      </c>
      <c r="R45" s="101">
        <v>0.6167344558620993</v>
      </c>
      <c r="S45" s="101">
        <v>0.57580927321545716</v>
      </c>
      <c r="T45" s="101">
        <v>0.86392501704969094</v>
      </c>
      <c r="U45" s="101">
        <v>2.4271162481948712</v>
      </c>
      <c r="V45" s="101">
        <v>3.0705491029778504</v>
      </c>
      <c r="W45" s="101">
        <v>4.3188242354909656</v>
      </c>
      <c r="X45" s="101">
        <v>6.1705306588498301</v>
      </c>
      <c r="Y45" s="101">
        <v>13.862865321264135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10963.054075109292</v>
      </c>
      <c r="C46" s="29">
        <f t="shared" ref="C46:V46" si="110">C47+C53</f>
        <v>11796.677669878358</v>
      </c>
      <c r="D46" s="29">
        <f t="shared" si="110"/>
        <v>12486.283992343819</v>
      </c>
      <c r="E46" s="29">
        <f t="shared" si="110"/>
        <v>12825.777490271508</v>
      </c>
      <c r="F46" s="29">
        <f t="shared" si="110"/>
        <v>14255.231374569574</v>
      </c>
      <c r="G46" s="29">
        <f t="shared" si="110"/>
        <v>14675.604056655817</v>
      </c>
      <c r="H46" s="29">
        <f t="shared" si="110"/>
        <v>15182.421922317006</v>
      </c>
      <c r="I46" s="29">
        <f t="shared" si="110"/>
        <v>15917.174400634338</v>
      </c>
      <c r="J46" s="29">
        <f t="shared" si="110"/>
        <v>15863.454103164584</v>
      </c>
      <c r="K46" s="29">
        <f t="shared" si="110"/>
        <v>15732.883698004589</v>
      </c>
      <c r="L46" s="29">
        <f t="shared" si="110"/>
        <v>15799.640419521942</v>
      </c>
      <c r="M46" s="29">
        <f t="shared" si="110"/>
        <v>15709.004251945251</v>
      </c>
      <c r="N46" s="29">
        <f t="shared" si="110"/>
        <v>15518.429906418318</v>
      </c>
      <c r="O46" s="29">
        <f t="shared" si="110"/>
        <v>15053.007903848553</v>
      </c>
      <c r="P46" s="29">
        <f t="shared" si="110"/>
        <v>15585.306154859096</v>
      </c>
      <c r="Q46" s="29">
        <f t="shared" si="110"/>
        <v>16698.936896778418</v>
      </c>
      <c r="R46" s="29">
        <f t="shared" si="110"/>
        <v>16155.701405188342</v>
      </c>
      <c r="S46" s="29">
        <f t="shared" si="110"/>
        <v>15444.744689366382</v>
      </c>
      <c r="T46" s="29">
        <f t="shared" si="110"/>
        <v>15553.298866243395</v>
      </c>
      <c r="U46" s="29">
        <f t="shared" si="110"/>
        <v>15812.498063558704</v>
      </c>
      <c r="V46" s="29">
        <f t="shared" si="110"/>
        <v>14631.095896512861</v>
      </c>
      <c r="W46" s="29">
        <f t="shared" ref="W46:Y46" si="111">W47+W53</f>
        <v>17591.065074692524</v>
      </c>
      <c r="X46" s="29">
        <f t="shared" si="111"/>
        <v>17299.778076134113</v>
      </c>
      <c r="Y46" s="29">
        <f t="shared" si="111"/>
        <v>18241.134971540683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7591.0997578039332</v>
      </c>
      <c r="C47" s="152">
        <f t="shared" ref="C47:V47" si="113">SUM(C48:C52)</f>
        <v>8149.3866585053711</v>
      </c>
      <c r="D47" s="152">
        <f t="shared" si="113"/>
        <v>8725.3770842078338</v>
      </c>
      <c r="E47" s="152">
        <f t="shared" si="113"/>
        <v>9200.1796410210154</v>
      </c>
      <c r="F47" s="152">
        <f t="shared" si="113"/>
        <v>10271.193481896658</v>
      </c>
      <c r="G47" s="152">
        <f t="shared" si="113"/>
        <v>10779.662305249811</v>
      </c>
      <c r="H47" s="152">
        <f t="shared" si="113"/>
        <v>11221.269611014357</v>
      </c>
      <c r="I47" s="152">
        <f t="shared" si="113"/>
        <v>11926.195081136106</v>
      </c>
      <c r="J47" s="152">
        <f t="shared" si="113"/>
        <v>12235.113059005878</v>
      </c>
      <c r="K47" s="152">
        <f t="shared" si="113"/>
        <v>12263.540754399262</v>
      </c>
      <c r="L47" s="152">
        <f t="shared" si="113"/>
        <v>12324.596521211746</v>
      </c>
      <c r="M47" s="152">
        <f t="shared" si="113"/>
        <v>12186.744318886049</v>
      </c>
      <c r="N47" s="152">
        <f t="shared" si="113"/>
        <v>12003.609187092357</v>
      </c>
      <c r="O47" s="152">
        <f t="shared" si="113"/>
        <v>11412.143477773017</v>
      </c>
      <c r="P47" s="152">
        <f t="shared" si="113"/>
        <v>11876.379017755786</v>
      </c>
      <c r="Q47" s="152">
        <f t="shared" si="113"/>
        <v>12671.185011032305</v>
      </c>
      <c r="R47" s="152">
        <f t="shared" si="113"/>
        <v>12051.492614531766</v>
      </c>
      <c r="S47" s="152">
        <f t="shared" si="113"/>
        <v>11294.965299879153</v>
      </c>
      <c r="T47" s="152">
        <f t="shared" si="113"/>
        <v>11622.581474034676</v>
      </c>
      <c r="U47" s="152">
        <f t="shared" si="113"/>
        <v>11668.675153212584</v>
      </c>
      <c r="V47" s="152">
        <f t="shared" si="113"/>
        <v>10589.314675414575</v>
      </c>
      <c r="W47" s="152">
        <f t="shared" ref="W47:Y47" si="114">SUM(W48:W52)</f>
        <v>13300.468931878089</v>
      </c>
      <c r="X47" s="152">
        <f t="shared" si="114"/>
        <v>13016.780414378571</v>
      </c>
      <c r="Y47" s="152">
        <f t="shared" si="114"/>
        <v>13946.591274376044</v>
      </c>
      <c r="DA47" s="174" t="s">
        <v>491</v>
      </c>
    </row>
    <row r="48" spans="1:105" ht="11.45" customHeight="1" x14ac:dyDescent="0.25">
      <c r="A48" s="111" t="s">
        <v>110</v>
      </c>
      <c r="B48" s="87">
        <v>522.129375829634</v>
      </c>
      <c r="C48" s="87">
        <v>529.05613970857723</v>
      </c>
      <c r="D48" s="87">
        <v>567.35520215102349</v>
      </c>
      <c r="E48" s="87">
        <v>545.78286580232964</v>
      </c>
      <c r="F48" s="87">
        <v>545.60332876694133</v>
      </c>
      <c r="G48" s="87">
        <v>557.06613963034886</v>
      </c>
      <c r="H48" s="87">
        <v>545.84655359871874</v>
      </c>
      <c r="I48" s="87">
        <v>493.39267943531752</v>
      </c>
      <c r="J48" s="87">
        <v>466.56771625247683</v>
      </c>
      <c r="K48" s="87">
        <v>437.1952844025455</v>
      </c>
      <c r="L48" s="87">
        <v>419.81762852553567</v>
      </c>
      <c r="M48" s="87">
        <v>394.11899807765127</v>
      </c>
      <c r="N48" s="87">
        <v>373.89001551194951</v>
      </c>
      <c r="O48" s="87">
        <v>338.20765747429323</v>
      </c>
      <c r="P48" s="87">
        <v>312.20112097939761</v>
      </c>
      <c r="Q48" s="87">
        <v>289.96703009318009</v>
      </c>
      <c r="R48" s="87">
        <v>302.7310929216992</v>
      </c>
      <c r="S48" s="87">
        <v>333.28165520050203</v>
      </c>
      <c r="T48" s="87">
        <v>389.13418805383452</v>
      </c>
      <c r="U48" s="87">
        <v>430.36747482611747</v>
      </c>
      <c r="V48" s="87">
        <v>370.5477117697742</v>
      </c>
      <c r="W48" s="87">
        <v>476.76793726314753</v>
      </c>
      <c r="X48" s="87">
        <v>482.90872299900423</v>
      </c>
      <c r="Y48" s="87">
        <v>509.19030997350495</v>
      </c>
      <c r="DA48" s="171" t="s">
        <v>492</v>
      </c>
    </row>
    <row r="49" spans="1:105" ht="11.45" customHeight="1" x14ac:dyDescent="0.25">
      <c r="A49" s="111" t="s">
        <v>111</v>
      </c>
      <c r="B49" s="87">
        <v>6854.4589346244293</v>
      </c>
      <c r="C49" s="87">
        <v>7382.5057238773152</v>
      </c>
      <c r="D49" s="87">
        <v>7907.5011468424864</v>
      </c>
      <c r="E49" s="87">
        <v>8421.0980139646599</v>
      </c>
      <c r="F49" s="87">
        <v>9483.4470767710427</v>
      </c>
      <c r="G49" s="87">
        <v>9988.6269444973332</v>
      </c>
      <c r="H49" s="87">
        <v>10445.760441092734</v>
      </c>
      <c r="I49" s="87">
        <v>11220.193659479999</v>
      </c>
      <c r="J49" s="87">
        <v>11567.178682640031</v>
      </c>
      <c r="K49" s="87">
        <v>11642.269990910361</v>
      </c>
      <c r="L49" s="87">
        <v>11738.705524781552</v>
      </c>
      <c r="M49" s="87">
        <v>11625.927953068662</v>
      </c>
      <c r="N49" s="87">
        <v>11468.921309529338</v>
      </c>
      <c r="O49" s="87">
        <v>10941.472763114536</v>
      </c>
      <c r="P49" s="87">
        <v>11440.980909954886</v>
      </c>
      <c r="Q49" s="87">
        <v>12277.860740007374</v>
      </c>
      <c r="R49" s="87">
        <v>11650.051324325654</v>
      </c>
      <c r="S49" s="87">
        <v>10860.544655339034</v>
      </c>
      <c r="T49" s="87">
        <v>11122.931895325104</v>
      </c>
      <c r="U49" s="87">
        <v>11114.741917899724</v>
      </c>
      <c r="V49" s="87">
        <v>10093.115250552011</v>
      </c>
      <c r="W49" s="87">
        <v>12661.904007202236</v>
      </c>
      <c r="X49" s="87">
        <v>12348.449314731377</v>
      </c>
      <c r="Y49" s="87">
        <v>13227.286134043814</v>
      </c>
      <c r="DA49" s="171" t="s">
        <v>493</v>
      </c>
    </row>
    <row r="50" spans="1:105" ht="11.45" customHeight="1" x14ac:dyDescent="0.25">
      <c r="A50" s="111" t="s">
        <v>112</v>
      </c>
      <c r="B50" s="87">
        <v>214.51144734986983</v>
      </c>
      <c r="C50" s="87">
        <v>237.82479491947879</v>
      </c>
      <c r="D50" s="87">
        <v>250.52073521432354</v>
      </c>
      <c r="E50" s="87">
        <v>233.29876125402637</v>
      </c>
      <c r="F50" s="87">
        <v>242.14307635867357</v>
      </c>
      <c r="G50" s="87">
        <v>233.96922112212863</v>
      </c>
      <c r="H50" s="87">
        <v>229.66261632290542</v>
      </c>
      <c r="I50" s="87">
        <v>212.60874222078863</v>
      </c>
      <c r="J50" s="87">
        <v>199.68592380508187</v>
      </c>
      <c r="K50" s="87">
        <v>182.05915154078193</v>
      </c>
      <c r="L50" s="87">
        <v>163.79936652052328</v>
      </c>
      <c r="M50" s="87">
        <v>164.36770488426745</v>
      </c>
      <c r="N50" s="87">
        <v>153.13304804205191</v>
      </c>
      <c r="O50" s="87">
        <v>122.82725319423139</v>
      </c>
      <c r="P50" s="87">
        <v>110.00453683160444</v>
      </c>
      <c r="Q50" s="87">
        <v>85.186647983914284</v>
      </c>
      <c r="R50" s="87">
        <v>79.332580419625984</v>
      </c>
      <c r="S50" s="87">
        <v>73.122471070066254</v>
      </c>
      <c r="T50" s="87">
        <v>68.339548881614775</v>
      </c>
      <c r="U50" s="87">
        <v>62.353490411431046</v>
      </c>
      <c r="V50" s="87">
        <v>56.427552737673075</v>
      </c>
      <c r="W50" s="87">
        <v>67.739812819785541</v>
      </c>
      <c r="X50" s="87">
        <v>64.441914210571966</v>
      </c>
      <c r="Y50" s="87">
        <v>67.566139089452122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0.84114332109527457</v>
      </c>
      <c r="K51" s="87">
        <v>1.133258256044902</v>
      </c>
      <c r="L51" s="87">
        <v>1.3757556423181028</v>
      </c>
      <c r="M51" s="87">
        <v>1.1983928265859007</v>
      </c>
      <c r="N51" s="87">
        <v>2.8773057355520284</v>
      </c>
      <c r="O51" s="87">
        <v>3.3716470019977063</v>
      </c>
      <c r="P51" s="87">
        <v>5.5819109842337493</v>
      </c>
      <c r="Q51" s="87">
        <v>9.7822714442850316</v>
      </c>
      <c r="R51" s="87">
        <v>9.3014347787866516</v>
      </c>
      <c r="S51" s="87">
        <v>16.698367799096737</v>
      </c>
      <c r="T51" s="87">
        <v>27.321816190916795</v>
      </c>
      <c r="U51" s="87">
        <v>41.232408318269563</v>
      </c>
      <c r="V51" s="87">
        <v>45.353536051696175</v>
      </c>
      <c r="W51" s="87">
        <v>57.688835742725125</v>
      </c>
      <c r="X51" s="87">
        <v>58.474457052776522</v>
      </c>
      <c r="Y51" s="87">
        <v>64.694171684455341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0.83959298719372299</v>
      </c>
      <c r="K52" s="87">
        <v>0.88306928952962416</v>
      </c>
      <c r="L52" s="87">
        <v>0.8982457418160863</v>
      </c>
      <c r="M52" s="87">
        <v>1.1312700288835906</v>
      </c>
      <c r="N52" s="87">
        <v>4.787508273466063</v>
      </c>
      <c r="O52" s="87">
        <v>6.2641569879592938</v>
      </c>
      <c r="P52" s="87">
        <v>7.6105390056630782</v>
      </c>
      <c r="Q52" s="87">
        <v>8.3883215035523317</v>
      </c>
      <c r="R52" s="87">
        <v>10.076182086000768</v>
      </c>
      <c r="S52" s="87">
        <v>11.31815047045372</v>
      </c>
      <c r="T52" s="87">
        <v>14.854025583205587</v>
      </c>
      <c r="U52" s="87">
        <v>19.979861757040212</v>
      </c>
      <c r="V52" s="87">
        <v>23.870624303418861</v>
      </c>
      <c r="W52" s="87">
        <v>36.368338850194789</v>
      </c>
      <c r="X52" s="87">
        <v>62.506005384841167</v>
      </c>
      <c r="Y52" s="87">
        <v>77.85451958481562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3371.954317305358</v>
      </c>
      <c r="C53" s="116">
        <f t="shared" ref="C53:V53" si="116">SUM(C54:C55)</f>
        <v>3647.2910113729868</v>
      </c>
      <c r="D53" s="116">
        <f t="shared" si="116"/>
        <v>3760.9069081359858</v>
      </c>
      <c r="E53" s="116">
        <f t="shared" si="116"/>
        <v>3625.5978492504928</v>
      </c>
      <c r="F53" s="116">
        <f t="shared" si="116"/>
        <v>3984.0378926729149</v>
      </c>
      <c r="G53" s="116">
        <f t="shared" si="116"/>
        <v>3895.9417514060065</v>
      </c>
      <c r="H53" s="116">
        <f t="shared" si="116"/>
        <v>3961.1523113026487</v>
      </c>
      <c r="I53" s="116">
        <f t="shared" si="116"/>
        <v>3990.9793194982326</v>
      </c>
      <c r="J53" s="116">
        <f t="shared" si="116"/>
        <v>3628.3410441587057</v>
      </c>
      <c r="K53" s="116">
        <f t="shared" si="116"/>
        <v>3469.3429436053275</v>
      </c>
      <c r="L53" s="116">
        <f t="shared" si="116"/>
        <v>3475.0438983101958</v>
      </c>
      <c r="M53" s="116">
        <f t="shared" si="116"/>
        <v>3522.259933059202</v>
      </c>
      <c r="N53" s="116">
        <f t="shared" si="116"/>
        <v>3514.8207193259614</v>
      </c>
      <c r="O53" s="116">
        <f t="shared" si="116"/>
        <v>3640.8644260755345</v>
      </c>
      <c r="P53" s="116">
        <f t="shared" si="116"/>
        <v>3708.9271371033096</v>
      </c>
      <c r="Q53" s="116">
        <f t="shared" si="116"/>
        <v>4027.7518857461146</v>
      </c>
      <c r="R53" s="116">
        <f t="shared" si="116"/>
        <v>4104.2087906565757</v>
      </c>
      <c r="S53" s="116">
        <f t="shared" si="116"/>
        <v>4149.7793894872284</v>
      </c>
      <c r="T53" s="116">
        <f t="shared" si="116"/>
        <v>3930.7173922087181</v>
      </c>
      <c r="U53" s="116">
        <f t="shared" si="116"/>
        <v>4143.8229103461199</v>
      </c>
      <c r="V53" s="116">
        <f t="shared" si="116"/>
        <v>4041.781221098287</v>
      </c>
      <c r="W53" s="116">
        <f t="shared" ref="W53:Y53" si="117">SUM(W54:W55)</f>
        <v>4290.5961428144365</v>
      </c>
      <c r="X53" s="116">
        <f t="shared" si="117"/>
        <v>4282.997661755544</v>
      </c>
      <c r="Y53" s="116">
        <f t="shared" si="117"/>
        <v>4294.5436971646386</v>
      </c>
      <c r="DA53" s="176" t="s">
        <v>497</v>
      </c>
    </row>
    <row r="54" spans="1:105" ht="11.45" customHeight="1" x14ac:dyDescent="0.25">
      <c r="A54" s="128" t="s">
        <v>27</v>
      </c>
      <c r="B54" s="101">
        <v>1981</v>
      </c>
      <c r="C54" s="101">
        <v>2156</v>
      </c>
      <c r="D54" s="101">
        <v>2192</v>
      </c>
      <c r="E54" s="101">
        <v>2022</v>
      </c>
      <c r="F54" s="101">
        <v>2088</v>
      </c>
      <c r="G54" s="101">
        <v>1933</v>
      </c>
      <c r="H54" s="101">
        <v>1949</v>
      </c>
      <c r="I54" s="101">
        <v>1908</v>
      </c>
      <c r="J54" s="101">
        <v>1555</v>
      </c>
      <c r="K54" s="101">
        <v>1516</v>
      </c>
      <c r="L54" s="101">
        <v>1509</v>
      </c>
      <c r="M54" s="101">
        <v>1554</v>
      </c>
      <c r="N54" s="101">
        <v>1551</v>
      </c>
      <c r="O54" s="101">
        <v>1612</v>
      </c>
      <c r="P54" s="101">
        <v>1673</v>
      </c>
      <c r="Q54" s="101">
        <v>1943</v>
      </c>
      <c r="R54" s="101">
        <v>1886</v>
      </c>
      <c r="S54" s="101">
        <v>1901</v>
      </c>
      <c r="T54" s="101">
        <v>1787</v>
      </c>
      <c r="U54" s="101">
        <v>1960</v>
      </c>
      <c r="V54" s="101">
        <v>1848</v>
      </c>
      <c r="W54" s="101">
        <v>2052</v>
      </c>
      <c r="X54" s="101">
        <v>2156</v>
      </c>
      <c r="Y54" s="101">
        <v>2201</v>
      </c>
      <c r="DA54" s="175" t="s">
        <v>498</v>
      </c>
    </row>
    <row r="55" spans="1:105" ht="11.45" customHeight="1" x14ac:dyDescent="0.25">
      <c r="A55" s="138" t="s">
        <v>116</v>
      </c>
      <c r="B55" s="88">
        <v>1390.9543173053578</v>
      </c>
      <c r="C55" s="88">
        <v>1491.2910113729865</v>
      </c>
      <c r="D55" s="88">
        <v>1568.9069081359858</v>
      </c>
      <c r="E55" s="88">
        <v>1603.5978492504926</v>
      </c>
      <c r="F55" s="88">
        <v>1896.0378926729149</v>
      </c>
      <c r="G55" s="88">
        <v>1962.9417514060065</v>
      </c>
      <c r="H55" s="88">
        <v>2012.152311302649</v>
      </c>
      <c r="I55" s="88">
        <v>2082.9793194982326</v>
      </c>
      <c r="J55" s="88">
        <v>2073.3410441587057</v>
      </c>
      <c r="K55" s="88">
        <v>1953.3429436053277</v>
      </c>
      <c r="L55" s="88">
        <v>1966.0438983101956</v>
      </c>
      <c r="M55" s="88">
        <v>1968.259933059202</v>
      </c>
      <c r="N55" s="88">
        <v>1963.8207193259614</v>
      </c>
      <c r="O55" s="88">
        <v>2028.8644260755343</v>
      </c>
      <c r="P55" s="88">
        <v>2035.9271371033096</v>
      </c>
      <c r="Q55" s="88">
        <v>2084.7518857461146</v>
      </c>
      <c r="R55" s="88">
        <v>2218.2087906565757</v>
      </c>
      <c r="S55" s="88">
        <v>2248.7793894872289</v>
      </c>
      <c r="T55" s="88">
        <v>2143.7173922087181</v>
      </c>
      <c r="U55" s="88">
        <v>2183.8229103461199</v>
      </c>
      <c r="V55" s="88">
        <v>2193.781221098287</v>
      </c>
      <c r="W55" s="88">
        <v>2238.5961428144365</v>
      </c>
      <c r="X55" s="88">
        <v>2126.9976617555444</v>
      </c>
      <c r="Y55" s="88">
        <v>2093.5436971646386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5511463</v>
      </c>
      <c r="C57" s="54">
        <f t="shared" si="118"/>
        <v>5655727</v>
      </c>
      <c r="D57" s="54">
        <f t="shared" si="118"/>
        <v>5693649</v>
      </c>
      <c r="E57" s="54">
        <f t="shared" si="118"/>
        <v>5763246</v>
      </c>
      <c r="F57" s="54">
        <f t="shared" si="118"/>
        <v>5853288</v>
      </c>
      <c r="G57" s="54">
        <f t="shared" si="118"/>
        <v>5949635</v>
      </c>
      <c r="H57" s="54">
        <f t="shared" si="118"/>
        <v>6036495</v>
      </c>
      <c r="I57" s="54">
        <f t="shared" si="118"/>
        <v>6140127</v>
      </c>
      <c r="J57" s="54">
        <f t="shared" si="118"/>
        <v>6258305</v>
      </c>
      <c r="K57" s="54">
        <f t="shared" si="118"/>
        <v>6347783</v>
      </c>
      <c r="L57" s="54">
        <f t="shared" ref="L57" si="119">L58+L73</f>
        <v>6460711</v>
      </c>
      <c r="M57" s="54">
        <f t="shared" ref="M57:V57" si="120">M58+M73</f>
        <v>6631859</v>
      </c>
      <c r="N57" s="54">
        <f t="shared" si="120"/>
        <v>6688267</v>
      </c>
      <c r="O57" s="54">
        <f t="shared" si="120"/>
        <v>6775873</v>
      </c>
      <c r="P57" s="54">
        <f t="shared" si="120"/>
        <v>6890802</v>
      </c>
      <c r="Q57" s="54">
        <f t="shared" si="120"/>
        <v>7013553</v>
      </c>
      <c r="R57" s="54">
        <f t="shared" si="120"/>
        <v>7197921</v>
      </c>
      <c r="S57" s="54">
        <f t="shared" si="120"/>
        <v>7351556</v>
      </c>
      <c r="T57" s="54">
        <f t="shared" si="120"/>
        <v>7466663</v>
      </c>
      <c r="U57" s="54">
        <f t="shared" si="120"/>
        <v>7560339</v>
      </c>
      <c r="V57" s="54">
        <f t="shared" si="120"/>
        <v>7643733</v>
      </c>
      <c r="W57" s="54">
        <f t="shared" ref="W57:Y57" si="121">W58+W73</f>
        <v>7741088</v>
      </c>
      <c r="X57" s="54">
        <f t="shared" si="121"/>
        <v>7812902</v>
      </c>
      <c r="Y57" s="54">
        <f t="shared" si="121"/>
        <v>7946463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4970560</v>
      </c>
      <c r="C58" s="28">
        <f t="shared" si="122"/>
        <v>5048306</v>
      </c>
      <c r="D58" s="28">
        <f t="shared" si="122"/>
        <v>5107279</v>
      </c>
      <c r="E58" s="28">
        <f t="shared" si="122"/>
        <v>5155540</v>
      </c>
      <c r="F58" s="28">
        <f t="shared" si="122"/>
        <v>5213090</v>
      </c>
      <c r="G58" s="28">
        <f t="shared" si="122"/>
        <v>5280684</v>
      </c>
      <c r="H58" s="28">
        <f t="shared" si="122"/>
        <v>5351329</v>
      </c>
      <c r="I58" s="28">
        <f t="shared" si="122"/>
        <v>5438479</v>
      </c>
      <c r="J58" s="28">
        <f t="shared" si="122"/>
        <v>5534992</v>
      </c>
      <c r="K58" s="28">
        <f t="shared" si="122"/>
        <v>5613061</v>
      </c>
      <c r="L58" s="28">
        <f t="shared" ref="L58" si="123">L59+L60+L67</f>
        <v>5711226</v>
      </c>
      <c r="M58" s="28">
        <f t="shared" ref="M58:V58" si="124">M59+M60+M67</f>
        <v>5857100</v>
      </c>
      <c r="N58" s="28">
        <f t="shared" si="124"/>
        <v>5901031</v>
      </c>
      <c r="O58" s="28">
        <f t="shared" si="124"/>
        <v>5966115</v>
      </c>
      <c r="P58" s="28">
        <f t="shared" si="124"/>
        <v>6062930</v>
      </c>
      <c r="Q58" s="28">
        <f t="shared" si="124"/>
        <v>6164550</v>
      </c>
      <c r="R58" s="28">
        <f t="shared" si="124"/>
        <v>6324756</v>
      </c>
      <c r="S58" s="28">
        <f t="shared" si="124"/>
        <v>6445597</v>
      </c>
      <c r="T58" s="28">
        <f t="shared" si="124"/>
        <v>6529913</v>
      </c>
      <c r="U58" s="28">
        <f t="shared" si="124"/>
        <v>6592919</v>
      </c>
      <c r="V58" s="28">
        <f t="shared" si="124"/>
        <v>6645867</v>
      </c>
      <c r="W58" s="28">
        <f t="shared" ref="W58:Y58" si="125">W59+W60+W67</f>
        <v>6711070</v>
      </c>
      <c r="X58" s="28">
        <f t="shared" si="125"/>
        <v>6775162</v>
      </c>
      <c r="Y58" s="28">
        <f t="shared" si="125"/>
        <v>6892069</v>
      </c>
      <c r="DA58" s="173" t="s">
        <v>501</v>
      </c>
    </row>
    <row r="59" spans="1:105" ht="11.45" customHeight="1" x14ac:dyDescent="0.25">
      <c r="A59" s="136" t="s">
        <v>173</v>
      </c>
      <c r="B59" s="137">
        <v>277838</v>
      </c>
      <c r="C59" s="137">
        <v>293630</v>
      </c>
      <c r="D59" s="137">
        <v>305510</v>
      </c>
      <c r="E59" s="137">
        <v>319480</v>
      </c>
      <c r="F59" s="137">
        <v>322762</v>
      </c>
      <c r="G59" s="137">
        <v>346293</v>
      </c>
      <c r="H59" s="137">
        <v>360000</v>
      </c>
      <c r="I59" s="137">
        <v>374000</v>
      </c>
      <c r="J59" s="137">
        <v>388000</v>
      </c>
      <c r="K59" s="137">
        <v>404000</v>
      </c>
      <c r="L59" s="137">
        <v>419000</v>
      </c>
      <c r="M59" s="137">
        <v>434000</v>
      </c>
      <c r="N59" s="137">
        <v>441000</v>
      </c>
      <c r="O59" s="137">
        <v>444746</v>
      </c>
      <c r="P59" s="137">
        <v>461454</v>
      </c>
      <c r="Q59" s="137">
        <v>485414</v>
      </c>
      <c r="R59" s="137">
        <v>577483</v>
      </c>
      <c r="S59" s="137">
        <v>630657</v>
      </c>
      <c r="T59" s="137">
        <v>665306</v>
      </c>
      <c r="U59" s="137">
        <v>694602</v>
      </c>
      <c r="V59" s="137">
        <v>731902</v>
      </c>
      <c r="W59" s="137">
        <v>768445</v>
      </c>
      <c r="X59" s="137">
        <v>803643</v>
      </c>
      <c r="Y59" s="137">
        <v>828019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4678000</v>
      </c>
      <c r="C60" s="110">
        <f t="shared" si="126"/>
        <v>4740000</v>
      </c>
      <c r="D60" s="110">
        <f t="shared" si="126"/>
        <v>4787000</v>
      </c>
      <c r="E60" s="110">
        <f t="shared" si="126"/>
        <v>4821000</v>
      </c>
      <c r="F60" s="110">
        <f t="shared" si="126"/>
        <v>4875000</v>
      </c>
      <c r="G60" s="110">
        <f t="shared" si="126"/>
        <v>4919000</v>
      </c>
      <c r="H60" s="110">
        <f t="shared" si="126"/>
        <v>4976000</v>
      </c>
      <c r="I60" s="110">
        <f t="shared" si="126"/>
        <v>5049000</v>
      </c>
      <c r="J60" s="110">
        <f t="shared" si="126"/>
        <v>5131000</v>
      </c>
      <c r="K60" s="110">
        <f t="shared" si="126"/>
        <v>5193000</v>
      </c>
      <c r="L60" s="110">
        <f t="shared" ref="L60" si="127">SUM(L61:L66)</f>
        <v>5276000</v>
      </c>
      <c r="M60" s="110">
        <f t="shared" ref="M60:V60" si="128">SUM(M61:M66)</f>
        <v>5407000</v>
      </c>
      <c r="N60" s="110">
        <f t="shared" si="128"/>
        <v>5444000</v>
      </c>
      <c r="O60" s="110">
        <f t="shared" si="128"/>
        <v>5505100</v>
      </c>
      <c r="P60" s="110">
        <f t="shared" si="128"/>
        <v>5584690</v>
      </c>
      <c r="Q60" s="110">
        <f t="shared" si="128"/>
        <v>5662059</v>
      </c>
      <c r="R60" s="110">
        <f t="shared" si="128"/>
        <v>5731292</v>
      </c>
      <c r="S60" s="110">
        <f t="shared" si="128"/>
        <v>5798939</v>
      </c>
      <c r="T60" s="110">
        <f t="shared" si="128"/>
        <v>5848425</v>
      </c>
      <c r="U60" s="110">
        <f t="shared" si="128"/>
        <v>5881874</v>
      </c>
      <c r="V60" s="110">
        <f t="shared" si="128"/>
        <v>5897488</v>
      </c>
      <c r="W60" s="110">
        <f t="shared" ref="W60:Y60" si="129">SUM(W61:W66)</f>
        <v>5926009</v>
      </c>
      <c r="X60" s="110">
        <f t="shared" si="129"/>
        <v>5955127</v>
      </c>
      <c r="Y60" s="110">
        <f t="shared" si="129"/>
        <v>6047551</v>
      </c>
      <c r="DA60" s="176" t="s">
        <v>503</v>
      </c>
    </row>
    <row r="61" spans="1:105" ht="11.45" customHeight="1" x14ac:dyDescent="0.25">
      <c r="A61" s="111" t="s">
        <v>110</v>
      </c>
      <c r="B61" s="84">
        <v>2743881</v>
      </c>
      <c r="C61" s="84">
        <v>2688945</v>
      </c>
      <c r="D61" s="84">
        <v>2630605</v>
      </c>
      <c r="E61" s="84">
        <v>2567269</v>
      </c>
      <c r="F61" s="84">
        <v>2499760</v>
      </c>
      <c r="G61" s="84">
        <v>2432622</v>
      </c>
      <c r="H61" s="84">
        <v>2339711</v>
      </c>
      <c r="I61" s="84">
        <v>2257871</v>
      </c>
      <c r="J61" s="84">
        <v>2172126</v>
      </c>
      <c r="K61" s="84">
        <v>2103948</v>
      </c>
      <c r="L61" s="84">
        <v>2049251</v>
      </c>
      <c r="M61" s="84">
        <v>2019541</v>
      </c>
      <c r="N61" s="84">
        <v>1997760</v>
      </c>
      <c r="O61" s="84">
        <v>2017861</v>
      </c>
      <c r="P61" s="84">
        <v>2073185</v>
      </c>
      <c r="Q61" s="84">
        <v>2143540</v>
      </c>
      <c r="R61" s="84">
        <v>2276622</v>
      </c>
      <c r="S61" s="84">
        <v>2434385</v>
      </c>
      <c r="T61" s="84">
        <v>2646529</v>
      </c>
      <c r="U61" s="84">
        <v>2857406</v>
      </c>
      <c r="V61" s="84">
        <v>3003159</v>
      </c>
      <c r="W61" s="84">
        <v>3161107</v>
      </c>
      <c r="X61" s="84">
        <v>3306437</v>
      </c>
      <c r="Y61" s="84">
        <v>3483563</v>
      </c>
      <c r="DA61" s="171" t="s">
        <v>504</v>
      </c>
    </row>
    <row r="62" spans="1:105" ht="11.45" customHeight="1" x14ac:dyDescent="0.25">
      <c r="A62" s="111" t="s">
        <v>111</v>
      </c>
      <c r="B62" s="84">
        <v>1875119</v>
      </c>
      <c r="C62" s="84">
        <v>1979055</v>
      </c>
      <c r="D62" s="84">
        <v>2082395</v>
      </c>
      <c r="E62" s="84">
        <v>2182731</v>
      </c>
      <c r="F62" s="84">
        <v>2310020</v>
      </c>
      <c r="G62" s="84">
        <v>2426120</v>
      </c>
      <c r="H62" s="84">
        <v>2580027</v>
      </c>
      <c r="I62" s="84">
        <v>2739866</v>
      </c>
      <c r="J62" s="84">
        <v>2911636</v>
      </c>
      <c r="K62" s="84">
        <v>3046831</v>
      </c>
      <c r="L62" s="84">
        <v>3189483</v>
      </c>
      <c r="M62" s="84">
        <v>3345897</v>
      </c>
      <c r="N62" s="84">
        <v>3401740</v>
      </c>
      <c r="O62" s="84">
        <v>3445970</v>
      </c>
      <c r="P62" s="84">
        <v>3463511</v>
      </c>
      <c r="Q62" s="84">
        <v>3448823</v>
      </c>
      <c r="R62" s="84">
        <v>3380439</v>
      </c>
      <c r="S62" s="84">
        <v>3274836</v>
      </c>
      <c r="T62" s="84">
        <v>3097964</v>
      </c>
      <c r="U62" s="84">
        <v>2903277</v>
      </c>
      <c r="V62" s="84">
        <v>2729484</v>
      </c>
      <c r="W62" s="84">
        <v>2535731</v>
      </c>
      <c r="X62" s="84">
        <v>2330596</v>
      </c>
      <c r="Y62" s="84">
        <v>2080243</v>
      </c>
      <c r="DA62" s="171" t="s">
        <v>505</v>
      </c>
    </row>
    <row r="63" spans="1:105" ht="11.45" customHeight="1" x14ac:dyDescent="0.25">
      <c r="A63" s="111" t="s">
        <v>112</v>
      </c>
      <c r="B63" s="84">
        <v>59000</v>
      </c>
      <c r="C63" s="84">
        <v>72000</v>
      </c>
      <c r="D63" s="84">
        <v>74000</v>
      </c>
      <c r="E63" s="84">
        <v>71000</v>
      </c>
      <c r="F63" s="84">
        <v>65000</v>
      </c>
      <c r="G63" s="84">
        <v>60000</v>
      </c>
      <c r="H63" s="84">
        <v>56000</v>
      </c>
      <c r="I63" s="84">
        <v>51000</v>
      </c>
      <c r="J63" s="84">
        <v>47000</v>
      </c>
      <c r="K63" s="84">
        <v>42000</v>
      </c>
      <c r="L63" s="84">
        <v>37000</v>
      </c>
      <c r="M63" s="84">
        <v>41000</v>
      </c>
      <c r="N63" s="84">
        <v>43110</v>
      </c>
      <c r="O63" s="84">
        <v>39632</v>
      </c>
      <c r="P63" s="84">
        <v>44090</v>
      </c>
      <c r="Q63" s="84">
        <v>60838</v>
      </c>
      <c r="R63" s="84">
        <v>54427</v>
      </c>
      <c r="S63" s="84">
        <v>52842</v>
      </c>
      <c r="T63" s="84">
        <v>51013</v>
      </c>
      <c r="U63" s="84">
        <v>49102</v>
      </c>
      <c r="V63" s="84">
        <v>47831</v>
      </c>
      <c r="W63" s="84">
        <v>45708</v>
      </c>
      <c r="X63" s="84">
        <v>44057</v>
      </c>
      <c r="Y63" s="84">
        <v>43589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220</v>
      </c>
      <c r="G64" s="84">
        <v>258</v>
      </c>
      <c r="H64" s="84">
        <v>262</v>
      </c>
      <c r="I64" s="84">
        <v>263</v>
      </c>
      <c r="J64" s="84">
        <v>229</v>
      </c>
      <c r="K64" s="84">
        <v>208</v>
      </c>
      <c r="L64" s="84">
        <v>205</v>
      </c>
      <c r="M64" s="84">
        <v>223</v>
      </c>
      <c r="N64" s="84">
        <v>227</v>
      </c>
      <c r="O64" s="84">
        <v>359</v>
      </c>
      <c r="P64" s="84">
        <v>953</v>
      </c>
      <c r="Q64" s="84">
        <v>1889</v>
      </c>
      <c r="R64" s="84">
        <v>4014</v>
      </c>
      <c r="S64" s="84">
        <v>6051</v>
      </c>
      <c r="T64" s="84">
        <v>10670</v>
      </c>
      <c r="U64" s="84">
        <v>14764</v>
      </c>
      <c r="V64" s="84">
        <v>18043</v>
      </c>
      <c r="W64" s="84">
        <v>19177</v>
      </c>
      <c r="X64" s="84">
        <v>19390</v>
      </c>
      <c r="Y64" s="84">
        <v>18938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16</v>
      </c>
      <c r="N65" s="84">
        <v>338</v>
      </c>
      <c r="O65" s="84">
        <v>359</v>
      </c>
      <c r="P65" s="84">
        <v>1159</v>
      </c>
      <c r="Q65" s="84">
        <v>4098</v>
      </c>
      <c r="R65" s="84">
        <v>11422</v>
      </c>
      <c r="S65" s="84">
        <v>22273</v>
      </c>
      <c r="T65" s="84">
        <v>33005</v>
      </c>
      <c r="U65" s="84">
        <v>41987</v>
      </c>
      <c r="V65" s="84">
        <v>74988</v>
      </c>
      <c r="W65" s="84">
        <v>123435</v>
      </c>
      <c r="X65" s="84">
        <v>182996</v>
      </c>
      <c r="Y65" s="84">
        <v>265455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9</v>
      </c>
      <c r="K66" s="84">
        <v>13</v>
      </c>
      <c r="L66" s="84">
        <v>61</v>
      </c>
      <c r="M66" s="84">
        <v>323</v>
      </c>
      <c r="N66" s="84">
        <v>825</v>
      </c>
      <c r="O66" s="84">
        <v>919</v>
      </c>
      <c r="P66" s="84">
        <v>1792</v>
      </c>
      <c r="Q66" s="84">
        <v>2871</v>
      </c>
      <c r="R66" s="84">
        <v>4368</v>
      </c>
      <c r="S66" s="84">
        <v>8552</v>
      </c>
      <c r="T66" s="84">
        <v>9244</v>
      </c>
      <c r="U66" s="84">
        <v>15338</v>
      </c>
      <c r="V66" s="84">
        <v>23983</v>
      </c>
      <c r="W66" s="84">
        <v>40851</v>
      </c>
      <c r="X66" s="84">
        <v>71651</v>
      </c>
      <c r="Y66" s="84">
        <v>155763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14722</v>
      </c>
      <c r="C67" s="110">
        <f t="shared" si="130"/>
        <v>14676</v>
      </c>
      <c r="D67" s="110">
        <f t="shared" si="130"/>
        <v>14769</v>
      </c>
      <c r="E67" s="110">
        <f t="shared" si="130"/>
        <v>15060</v>
      </c>
      <c r="F67" s="110">
        <f t="shared" si="130"/>
        <v>15328</v>
      </c>
      <c r="G67" s="110">
        <f t="shared" si="130"/>
        <v>15391</v>
      </c>
      <c r="H67" s="110">
        <f t="shared" si="130"/>
        <v>15329</v>
      </c>
      <c r="I67" s="110">
        <f t="shared" si="130"/>
        <v>15479</v>
      </c>
      <c r="J67" s="110">
        <f t="shared" si="130"/>
        <v>15992</v>
      </c>
      <c r="K67" s="110">
        <f t="shared" si="130"/>
        <v>16061</v>
      </c>
      <c r="L67" s="110">
        <f t="shared" ref="L67" si="131">SUM(L68:L72)</f>
        <v>16226</v>
      </c>
      <c r="M67" s="110">
        <f t="shared" ref="M67:V67" si="132">SUM(M68:M72)</f>
        <v>16100</v>
      </c>
      <c r="N67" s="110">
        <f t="shared" si="132"/>
        <v>16031</v>
      </c>
      <c r="O67" s="110">
        <f t="shared" si="132"/>
        <v>16269</v>
      </c>
      <c r="P67" s="110">
        <f t="shared" si="132"/>
        <v>16786</v>
      </c>
      <c r="Q67" s="110">
        <f t="shared" si="132"/>
        <v>17077</v>
      </c>
      <c r="R67" s="110">
        <f t="shared" si="132"/>
        <v>15981</v>
      </c>
      <c r="S67" s="110">
        <f t="shared" si="132"/>
        <v>16001</v>
      </c>
      <c r="T67" s="110">
        <f t="shared" si="132"/>
        <v>16182</v>
      </c>
      <c r="U67" s="110">
        <f t="shared" si="132"/>
        <v>16443</v>
      </c>
      <c r="V67" s="110">
        <f t="shared" si="132"/>
        <v>16477</v>
      </c>
      <c r="W67" s="110">
        <f t="shared" ref="W67:Y67" si="133">SUM(W68:W72)</f>
        <v>16616</v>
      </c>
      <c r="X67" s="110">
        <f t="shared" si="133"/>
        <v>16392</v>
      </c>
      <c r="Y67" s="110">
        <f t="shared" si="133"/>
        <v>16499</v>
      </c>
      <c r="DA67" s="176" t="s">
        <v>510</v>
      </c>
    </row>
    <row r="68" spans="1:105" ht="11.45" customHeight="1" x14ac:dyDescent="0.25">
      <c r="A68" s="111" t="s">
        <v>110</v>
      </c>
      <c r="B68" s="102">
        <v>214</v>
      </c>
      <c r="C68" s="102">
        <v>207</v>
      </c>
      <c r="D68" s="102">
        <v>188</v>
      </c>
      <c r="E68" s="102">
        <v>187</v>
      </c>
      <c r="F68" s="102">
        <v>184</v>
      </c>
      <c r="G68" s="102">
        <v>183</v>
      </c>
      <c r="H68" s="102">
        <v>167</v>
      </c>
      <c r="I68" s="102">
        <v>160</v>
      </c>
      <c r="J68" s="102">
        <v>152</v>
      </c>
      <c r="K68" s="102">
        <v>143</v>
      </c>
      <c r="L68" s="102">
        <v>133</v>
      </c>
      <c r="M68" s="102">
        <v>131</v>
      </c>
      <c r="N68" s="102">
        <v>129</v>
      </c>
      <c r="O68" s="102">
        <v>123</v>
      </c>
      <c r="P68" s="102">
        <v>116</v>
      </c>
      <c r="Q68" s="102">
        <v>117</v>
      </c>
      <c r="R68" s="102">
        <v>118</v>
      </c>
      <c r="S68" s="102">
        <v>115</v>
      </c>
      <c r="T68" s="102">
        <v>115</v>
      </c>
      <c r="U68" s="102">
        <v>115</v>
      </c>
      <c r="V68" s="102">
        <v>115</v>
      </c>
      <c r="W68" s="102">
        <v>114</v>
      </c>
      <c r="X68" s="102">
        <v>113</v>
      </c>
      <c r="Y68" s="102">
        <v>112</v>
      </c>
      <c r="DA68" s="175" t="s">
        <v>511</v>
      </c>
    </row>
    <row r="69" spans="1:105" ht="11.45" customHeight="1" x14ac:dyDescent="0.25">
      <c r="A69" s="111" t="s">
        <v>111</v>
      </c>
      <c r="B69" s="102">
        <v>14506</v>
      </c>
      <c r="C69" s="102">
        <v>14467</v>
      </c>
      <c r="D69" s="102">
        <v>14579</v>
      </c>
      <c r="E69" s="102">
        <v>14871</v>
      </c>
      <c r="F69" s="102">
        <v>15142</v>
      </c>
      <c r="G69" s="102">
        <v>15187</v>
      </c>
      <c r="H69" s="102">
        <v>15141</v>
      </c>
      <c r="I69" s="102">
        <v>15299</v>
      </c>
      <c r="J69" s="102">
        <v>15821</v>
      </c>
      <c r="K69" s="102">
        <v>15899</v>
      </c>
      <c r="L69" s="102">
        <v>16075</v>
      </c>
      <c r="M69" s="102">
        <v>15952</v>
      </c>
      <c r="N69" s="102">
        <v>15886</v>
      </c>
      <c r="O69" s="102">
        <v>16124</v>
      </c>
      <c r="P69" s="102">
        <v>16646</v>
      </c>
      <c r="Q69" s="102">
        <v>16938</v>
      </c>
      <c r="R69" s="102">
        <v>15840</v>
      </c>
      <c r="S69" s="102">
        <v>15862</v>
      </c>
      <c r="T69" s="102">
        <v>16022</v>
      </c>
      <c r="U69" s="102">
        <v>16255</v>
      </c>
      <c r="V69" s="102">
        <v>16261</v>
      </c>
      <c r="W69" s="102">
        <v>16256</v>
      </c>
      <c r="X69" s="102">
        <v>15959</v>
      </c>
      <c r="Y69" s="102">
        <v>15880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6</v>
      </c>
      <c r="P71" s="102">
        <v>6</v>
      </c>
      <c r="Q71" s="102">
        <v>6</v>
      </c>
      <c r="R71" s="102">
        <v>8</v>
      </c>
      <c r="S71" s="102">
        <v>10</v>
      </c>
      <c r="T71" s="102">
        <v>24</v>
      </c>
      <c r="U71" s="102">
        <v>14</v>
      </c>
      <c r="V71" s="102">
        <v>26</v>
      </c>
      <c r="W71" s="102">
        <v>141</v>
      </c>
      <c r="X71" s="102">
        <v>170</v>
      </c>
      <c r="Y71" s="102">
        <v>170</v>
      </c>
      <c r="DA71" s="175" t="s">
        <v>514</v>
      </c>
    </row>
    <row r="72" spans="1:105" ht="11.45" customHeight="1" x14ac:dyDescent="0.25">
      <c r="A72" s="111" t="s">
        <v>115</v>
      </c>
      <c r="B72" s="102">
        <v>2</v>
      </c>
      <c r="C72" s="102">
        <v>2</v>
      </c>
      <c r="D72" s="102">
        <v>2</v>
      </c>
      <c r="E72" s="102">
        <v>2</v>
      </c>
      <c r="F72" s="102">
        <v>2</v>
      </c>
      <c r="G72" s="102">
        <v>21</v>
      </c>
      <c r="H72" s="102">
        <v>21</v>
      </c>
      <c r="I72" s="102">
        <v>20</v>
      </c>
      <c r="J72" s="102">
        <v>19</v>
      </c>
      <c r="K72" s="102">
        <v>19</v>
      </c>
      <c r="L72" s="102">
        <v>18</v>
      </c>
      <c r="M72" s="102">
        <v>17</v>
      </c>
      <c r="N72" s="102">
        <v>16</v>
      </c>
      <c r="O72" s="102">
        <v>16</v>
      </c>
      <c r="P72" s="102">
        <v>18</v>
      </c>
      <c r="Q72" s="102">
        <v>16</v>
      </c>
      <c r="R72" s="102">
        <v>15</v>
      </c>
      <c r="S72" s="102">
        <v>14</v>
      </c>
      <c r="T72" s="102">
        <v>21</v>
      </c>
      <c r="U72" s="102">
        <v>59</v>
      </c>
      <c r="V72" s="102">
        <v>75</v>
      </c>
      <c r="W72" s="102">
        <v>105</v>
      </c>
      <c r="X72" s="102">
        <v>150</v>
      </c>
      <c r="Y72" s="102">
        <v>337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540903</v>
      </c>
      <c r="C73" s="28">
        <f t="shared" si="134"/>
        <v>607421</v>
      </c>
      <c r="D73" s="28">
        <f t="shared" si="134"/>
        <v>586370</v>
      </c>
      <c r="E73" s="28">
        <f t="shared" si="134"/>
        <v>607706</v>
      </c>
      <c r="F73" s="28">
        <f t="shared" si="134"/>
        <v>640198</v>
      </c>
      <c r="G73" s="28">
        <f t="shared" si="134"/>
        <v>668951</v>
      </c>
      <c r="H73" s="28">
        <f t="shared" si="134"/>
        <v>685166</v>
      </c>
      <c r="I73" s="28">
        <f t="shared" si="134"/>
        <v>701648</v>
      </c>
      <c r="J73" s="28">
        <f t="shared" si="134"/>
        <v>723313</v>
      </c>
      <c r="K73" s="28">
        <f t="shared" si="134"/>
        <v>734722</v>
      </c>
      <c r="L73" s="28">
        <f t="shared" ref="L73" si="135">L74+L80</f>
        <v>749485</v>
      </c>
      <c r="M73" s="28">
        <f t="shared" ref="M73:V73" si="136">M74+M80</f>
        <v>774759</v>
      </c>
      <c r="N73" s="28">
        <f t="shared" si="136"/>
        <v>787236</v>
      </c>
      <c r="O73" s="28">
        <f t="shared" si="136"/>
        <v>809758</v>
      </c>
      <c r="P73" s="28">
        <f t="shared" si="136"/>
        <v>827872</v>
      </c>
      <c r="Q73" s="28">
        <f t="shared" si="136"/>
        <v>849003</v>
      </c>
      <c r="R73" s="28">
        <f t="shared" si="136"/>
        <v>873165</v>
      </c>
      <c r="S73" s="28">
        <f t="shared" si="136"/>
        <v>905959</v>
      </c>
      <c r="T73" s="28">
        <f t="shared" si="136"/>
        <v>936750</v>
      </c>
      <c r="U73" s="28">
        <f t="shared" si="136"/>
        <v>967420</v>
      </c>
      <c r="V73" s="28">
        <f t="shared" si="136"/>
        <v>997866</v>
      </c>
      <c r="W73" s="28">
        <f t="shared" ref="W73:Y73" si="137">W74+W80</f>
        <v>1030018</v>
      </c>
      <c r="X73" s="28">
        <f t="shared" si="137"/>
        <v>1037740</v>
      </c>
      <c r="Y73" s="28">
        <f t="shared" si="137"/>
        <v>1054394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445600</v>
      </c>
      <c r="C74" s="137">
        <f t="shared" si="138"/>
        <v>469743</v>
      </c>
      <c r="D74" s="137">
        <f t="shared" si="138"/>
        <v>448274</v>
      </c>
      <c r="E74" s="137">
        <f t="shared" si="138"/>
        <v>465435</v>
      </c>
      <c r="F74" s="137">
        <f t="shared" si="138"/>
        <v>489814</v>
      </c>
      <c r="G74" s="137">
        <f t="shared" si="138"/>
        <v>512872</v>
      </c>
      <c r="H74" s="137">
        <f t="shared" si="138"/>
        <v>529076</v>
      </c>
      <c r="I74" s="137">
        <f t="shared" si="138"/>
        <v>542914</v>
      </c>
      <c r="J74" s="137">
        <f t="shared" si="138"/>
        <v>557353</v>
      </c>
      <c r="K74" s="137">
        <f t="shared" si="138"/>
        <v>571913</v>
      </c>
      <c r="L74" s="137">
        <f t="shared" ref="L74" si="139">SUM(L75:L79)</f>
        <v>591941</v>
      </c>
      <c r="M74" s="137">
        <f t="shared" ref="M74:V74" si="140">SUM(M75:M79)</f>
        <v>604799</v>
      </c>
      <c r="N74" s="137">
        <f t="shared" si="140"/>
        <v>620502</v>
      </c>
      <c r="O74" s="137">
        <f t="shared" si="140"/>
        <v>640425</v>
      </c>
      <c r="P74" s="137">
        <f t="shared" si="140"/>
        <v>655525</v>
      </c>
      <c r="Q74" s="137">
        <f t="shared" si="140"/>
        <v>665134</v>
      </c>
      <c r="R74" s="137">
        <f t="shared" si="140"/>
        <v>709653</v>
      </c>
      <c r="S74" s="137">
        <f t="shared" si="140"/>
        <v>740801</v>
      </c>
      <c r="T74" s="137">
        <f t="shared" si="140"/>
        <v>769679</v>
      </c>
      <c r="U74" s="137">
        <f t="shared" si="140"/>
        <v>798942</v>
      </c>
      <c r="V74" s="137">
        <f t="shared" si="140"/>
        <v>829277</v>
      </c>
      <c r="W74" s="137">
        <f t="shared" ref="W74:Y74" si="141">SUM(W75:W79)</f>
        <v>861148</v>
      </c>
      <c r="X74" s="137">
        <f t="shared" si="141"/>
        <v>868994</v>
      </c>
      <c r="Y74" s="137">
        <f t="shared" si="141"/>
        <v>884545</v>
      </c>
      <c r="DA74" s="174" t="s">
        <v>517</v>
      </c>
    </row>
    <row r="75" spans="1:105" ht="11.45" customHeight="1" x14ac:dyDescent="0.25">
      <c r="A75" s="111" t="s">
        <v>110</v>
      </c>
      <c r="B75" s="84">
        <v>38214</v>
      </c>
      <c r="C75" s="84">
        <v>38182</v>
      </c>
      <c r="D75" s="84">
        <v>38104</v>
      </c>
      <c r="E75" s="84">
        <v>37908</v>
      </c>
      <c r="F75" s="84">
        <v>37422</v>
      </c>
      <c r="G75" s="84">
        <v>36236</v>
      </c>
      <c r="H75" s="84">
        <v>33432</v>
      </c>
      <c r="I75" s="84">
        <v>30620</v>
      </c>
      <c r="J75" s="84">
        <v>30446</v>
      </c>
      <c r="K75" s="84">
        <v>29110</v>
      </c>
      <c r="L75" s="84">
        <v>28134</v>
      </c>
      <c r="M75" s="84">
        <v>25965</v>
      </c>
      <c r="N75" s="84">
        <v>24432</v>
      </c>
      <c r="O75" s="84">
        <v>22903</v>
      </c>
      <c r="P75" s="84">
        <v>21373</v>
      </c>
      <c r="Q75" s="84">
        <v>19842</v>
      </c>
      <c r="R75" s="84">
        <v>20033</v>
      </c>
      <c r="S75" s="84">
        <v>21553</v>
      </c>
      <c r="T75" s="84">
        <v>25899</v>
      </c>
      <c r="U75" s="84">
        <v>28720</v>
      </c>
      <c r="V75" s="84">
        <v>29684</v>
      </c>
      <c r="W75" s="84">
        <v>30720</v>
      </c>
      <c r="X75" s="84">
        <v>31316</v>
      </c>
      <c r="Y75" s="84">
        <v>33017</v>
      </c>
      <c r="DA75" s="171" t="s">
        <v>518</v>
      </c>
    </row>
    <row r="76" spans="1:105" ht="11.45" customHeight="1" x14ac:dyDescent="0.25">
      <c r="A76" s="111" t="s">
        <v>111</v>
      </c>
      <c r="B76" s="84">
        <v>377386</v>
      </c>
      <c r="C76" s="84">
        <v>399104</v>
      </c>
      <c r="D76" s="84">
        <v>380020</v>
      </c>
      <c r="E76" s="84">
        <v>400011</v>
      </c>
      <c r="F76" s="84">
        <v>425667</v>
      </c>
      <c r="G76" s="84">
        <v>450986</v>
      </c>
      <c r="H76" s="84">
        <v>470814</v>
      </c>
      <c r="I76" s="84">
        <v>490223</v>
      </c>
      <c r="J76" s="84">
        <v>506135</v>
      </c>
      <c r="K76" s="84">
        <v>523443</v>
      </c>
      <c r="L76" s="84">
        <v>545889</v>
      </c>
      <c r="M76" s="84">
        <v>560320</v>
      </c>
      <c r="N76" s="84">
        <v>577764</v>
      </c>
      <c r="O76" s="84">
        <v>601355</v>
      </c>
      <c r="P76" s="84">
        <v>619637</v>
      </c>
      <c r="Q76" s="84">
        <v>634040</v>
      </c>
      <c r="R76" s="84">
        <v>678767</v>
      </c>
      <c r="S76" s="84">
        <v>708163</v>
      </c>
      <c r="T76" s="84">
        <v>732012</v>
      </c>
      <c r="U76" s="84">
        <v>757250</v>
      </c>
      <c r="V76" s="84">
        <v>784825</v>
      </c>
      <c r="W76" s="84">
        <v>814859</v>
      </c>
      <c r="X76" s="84">
        <v>820150</v>
      </c>
      <c r="Y76" s="84">
        <v>832647</v>
      </c>
      <c r="DA76" s="171" t="s">
        <v>519</v>
      </c>
    </row>
    <row r="77" spans="1:105" ht="11.45" customHeight="1" x14ac:dyDescent="0.25">
      <c r="A77" s="111" t="s">
        <v>112</v>
      </c>
      <c r="B77" s="84">
        <v>30000</v>
      </c>
      <c r="C77" s="84">
        <v>32457</v>
      </c>
      <c r="D77" s="84">
        <v>30150</v>
      </c>
      <c r="E77" s="84">
        <v>27516</v>
      </c>
      <c r="F77" s="84">
        <v>26725</v>
      </c>
      <c r="G77" s="84">
        <v>25650</v>
      </c>
      <c r="H77" s="84">
        <v>24830</v>
      </c>
      <c r="I77" s="84">
        <v>22071</v>
      </c>
      <c r="J77" s="84">
        <v>20655</v>
      </c>
      <c r="K77" s="84">
        <v>19220</v>
      </c>
      <c r="L77" s="84">
        <v>17759</v>
      </c>
      <c r="M77" s="84">
        <v>18349</v>
      </c>
      <c r="N77" s="84">
        <v>17759</v>
      </c>
      <c r="O77" s="84">
        <v>15461</v>
      </c>
      <c r="P77" s="84">
        <v>13546</v>
      </c>
      <c r="Q77" s="84">
        <v>9936</v>
      </c>
      <c r="R77" s="84">
        <v>9443</v>
      </c>
      <c r="S77" s="84">
        <v>8976</v>
      </c>
      <c r="T77" s="84">
        <v>8531</v>
      </c>
      <c r="U77" s="84">
        <v>8111</v>
      </c>
      <c r="V77" s="84">
        <v>8506</v>
      </c>
      <c r="W77" s="84">
        <v>8407</v>
      </c>
      <c r="X77" s="84">
        <v>8319</v>
      </c>
      <c r="Y77" s="84">
        <v>8327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59</v>
      </c>
      <c r="K78" s="84">
        <v>79</v>
      </c>
      <c r="L78" s="84">
        <v>97</v>
      </c>
      <c r="M78" s="84">
        <v>87</v>
      </c>
      <c r="N78" s="84">
        <v>217</v>
      </c>
      <c r="O78" s="84">
        <v>276</v>
      </c>
      <c r="P78" s="84">
        <v>447</v>
      </c>
      <c r="Q78" s="84">
        <v>742</v>
      </c>
      <c r="R78" s="84">
        <v>720</v>
      </c>
      <c r="S78" s="84">
        <v>1333</v>
      </c>
      <c r="T78" s="84">
        <v>2218</v>
      </c>
      <c r="U78" s="84">
        <v>3488</v>
      </c>
      <c r="V78" s="84">
        <v>4446</v>
      </c>
      <c r="W78" s="84">
        <v>4656</v>
      </c>
      <c r="X78" s="84">
        <v>4909</v>
      </c>
      <c r="Y78" s="84">
        <v>5185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58</v>
      </c>
      <c r="K79" s="84">
        <v>61</v>
      </c>
      <c r="L79" s="84">
        <v>62</v>
      </c>
      <c r="M79" s="84">
        <v>78</v>
      </c>
      <c r="N79" s="84">
        <v>330</v>
      </c>
      <c r="O79" s="84">
        <v>430</v>
      </c>
      <c r="P79" s="84">
        <v>522</v>
      </c>
      <c r="Q79" s="84">
        <v>574</v>
      </c>
      <c r="R79" s="84">
        <v>690</v>
      </c>
      <c r="S79" s="84">
        <v>776</v>
      </c>
      <c r="T79" s="84">
        <v>1019</v>
      </c>
      <c r="U79" s="84">
        <v>1373</v>
      </c>
      <c r="V79" s="84">
        <v>1816</v>
      </c>
      <c r="W79" s="84">
        <v>2506</v>
      </c>
      <c r="X79" s="84">
        <v>4300</v>
      </c>
      <c r="Y79" s="84">
        <v>5369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95303</v>
      </c>
      <c r="C80" s="110">
        <f t="shared" si="142"/>
        <v>137678</v>
      </c>
      <c r="D80" s="110">
        <f t="shared" si="142"/>
        <v>138096</v>
      </c>
      <c r="E80" s="110">
        <f t="shared" si="142"/>
        <v>142271</v>
      </c>
      <c r="F80" s="110">
        <f t="shared" si="142"/>
        <v>150384</v>
      </c>
      <c r="G80" s="110">
        <f t="shared" si="142"/>
        <v>156079</v>
      </c>
      <c r="H80" s="110">
        <f t="shared" si="142"/>
        <v>156090</v>
      </c>
      <c r="I80" s="110">
        <f t="shared" si="142"/>
        <v>158734</v>
      </c>
      <c r="J80" s="110">
        <f t="shared" si="142"/>
        <v>165960</v>
      </c>
      <c r="K80" s="110">
        <f t="shared" si="142"/>
        <v>162809</v>
      </c>
      <c r="L80" s="110">
        <f t="shared" ref="L80" si="143">SUM(L81:L82)</f>
        <v>157544</v>
      </c>
      <c r="M80" s="110">
        <f t="shared" ref="M80:V80" si="144">SUM(M81:M82)</f>
        <v>169960</v>
      </c>
      <c r="N80" s="110">
        <f t="shared" si="144"/>
        <v>166734</v>
      </c>
      <c r="O80" s="110">
        <f t="shared" si="144"/>
        <v>169333</v>
      </c>
      <c r="P80" s="110">
        <f t="shared" si="144"/>
        <v>172347</v>
      </c>
      <c r="Q80" s="110">
        <f t="shared" si="144"/>
        <v>183869</v>
      </c>
      <c r="R80" s="110">
        <f t="shared" si="144"/>
        <v>163512</v>
      </c>
      <c r="S80" s="110">
        <f t="shared" si="144"/>
        <v>165158</v>
      </c>
      <c r="T80" s="110">
        <f t="shared" si="144"/>
        <v>167071</v>
      </c>
      <c r="U80" s="110">
        <f t="shared" si="144"/>
        <v>168478</v>
      </c>
      <c r="V80" s="110">
        <f t="shared" si="144"/>
        <v>168589</v>
      </c>
      <c r="W80" s="110">
        <f t="shared" ref="W80:Y80" si="145">SUM(W81:W82)</f>
        <v>168870</v>
      </c>
      <c r="X80" s="110">
        <f t="shared" si="145"/>
        <v>168746</v>
      </c>
      <c r="Y80" s="110">
        <f t="shared" si="145"/>
        <v>169849.00000000012</v>
      </c>
      <c r="DA80" s="176" t="s">
        <v>523</v>
      </c>
    </row>
    <row r="81" spans="1:105" ht="11.45" customHeight="1" x14ac:dyDescent="0.25">
      <c r="A81" s="128" t="s">
        <v>27</v>
      </c>
      <c r="B81" s="102">
        <v>78939</v>
      </c>
      <c r="C81" s="102">
        <v>120133</v>
      </c>
      <c r="D81" s="102">
        <v>119638</v>
      </c>
      <c r="E81" s="102">
        <v>123405</v>
      </c>
      <c r="F81" s="102">
        <v>128078</v>
      </c>
      <c r="G81" s="102">
        <v>132986</v>
      </c>
      <c r="H81" s="102">
        <v>132418</v>
      </c>
      <c r="I81" s="102">
        <v>134228</v>
      </c>
      <c r="J81" s="102">
        <v>141568</v>
      </c>
      <c r="K81" s="102">
        <v>139828</v>
      </c>
      <c r="L81" s="102">
        <v>134414</v>
      </c>
      <c r="M81" s="102">
        <v>146804</v>
      </c>
      <c r="N81" s="102">
        <v>143630</v>
      </c>
      <c r="O81" s="102">
        <v>145464</v>
      </c>
      <c r="P81" s="102">
        <v>148395</v>
      </c>
      <c r="Q81" s="102">
        <v>159343</v>
      </c>
      <c r="R81" s="102">
        <v>137415</v>
      </c>
      <c r="S81" s="102">
        <v>138702</v>
      </c>
      <c r="T81" s="102">
        <v>141851</v>
      </c>
      <c r="U81" s="102">
        <v>142786</v>
      </c>
      <c r="V81" s="102">
        <v>142780</v>
      </c>
      <c r="W81" s="102">
        <v>142534</v>
      </c>
      <c r="X81" s="102">
        <v>143722</v>
      </c>
      <c r="Y81" s="102">
        <v>145219.00000000012</v>
      </c>
      <c r="DA81" s="175" t="s">
        <v>524</v>
      </c>
    </row>
    <row r="82" spans="1:105" ht="11.45" customHeight="1" x14ac:dyDescent="0.25">
      <c r="A82" s="138" t="s">
        <v>116</v>
      </c>
      <c r="B82" s="86">
        <v>16364</v>
      </c>
      <c r="C82" s="86">
        <v>17545</v>
      </c>
      <c r="D82" s="86">
        <v>18458</v>
      </c>
      <c r="E82" s="86">
        <v>18866</v>
      </c>
      <c r="F82" s="86">
        <v>22306</v>
      </c>
      <c r="G82" s="86">
        <v>23093</v>
      </c>
      <c r="H82" s="86">
        <v>23672</v>
      </c>
      <c r="I82" s="86">
        <v>24506</v>
      </c>
      <c r="J82" s="86">
        <v>24392</v>
      </c>
      <c r="K82" s="86">
        <v>22981</v>
      </c>
      <c r="L82" s="86">
        <v>23130</v>
      </c>
      <c r="M82" s="86">
        <v>23156</v>
      </c>
      <c r="N82" s="86">
        <v>23104</v>
      </c>
      <c r="O82" s="86">
        <v>23869</v>
      </c>
      <c r="P82" s="86">
        <v>23952</v>
      </c>
      <c r="Q82" s="86">
        <v>24526</v>
      </c>
      <c r="R82" s="86">
        <v>26097</v>
      </c>
      <c r="S82" s="86">
        <v>26456</v>
      </c>
      <c r="T82" s="86">
        <v>25220</v>
      </c>
      <c r="U82" s="86">
        <v>25692</v>
      </c>
      <c r="V82" s="86">
        <v>25809</v>
      </c>
      <c r="W82" s="86">
        <v>26336</v>
      </c>
      <c r="X82" s="86">
        <v>25024</v>
      </c>
      <c r="Y82" s="86">
        <v>24630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5511463</v>
      </c>
      <c r="C84" s="54">
        <f t="shared" si="146"/>
        <v>5655727</v>
      </c>
      <c r="D84" s="54">
        <f t="shared" ref="D84:V84" si="147">D85+D100</f>
        <v>5693649</v>
      </c>
      <c r="E84" s="54">
        <f t="shared" si="147"/>
        <v>5763246</v>
      </c>
      <c r="F84" s="54">
        <f t="shared" si="147"/>
        <v>5853288</v>
      </c>
      <c r="G84" s="54">
        <f t="shared" si="147"/>
        <v>5949635</v>
      </c>
      <c r="H84" s="54">
        <f t="shared" si="147"/>
        <v>6036495</v>
      </c>
      <c r="I84" s="54">
        <f t="shared" si="147"/>
        <v>6140127</v>
      </c>
      <c r="J84" s="54">
        <f t="shared" si="147"/>
        <v>6258305</v>
      </c>
      <c r="K84" s="54">
        <f t="shared" si="147"/>
        <v>6347783</v>
      </c>
      <c r="L84" s="54">
        <f t="shared" si="147"/>
        <v>6460711</v>
      </c>
      <c r="M84" s="54">
        <f t="shared" si="147"/>
        <v>6631859</v>
      </c>
      <c r="N84" s="54">
        <f t="shared" si="147"/>
        <v>6688267</v>
      </c>
      <c r="O84" s="54">
        <f t="shared" si="147"/>
        <v>6775873</v>
      </c>
      <c r="P84" s="54">
        <f t="shared" si="147"/>
        <v>6890802</v>
      </c>
      <c r="Q84" s="54">
        <f t="shared" si="147"/>
        <v>7013553</v>
      </c>
      <c r="R84" s="54">
        <f t="shared" si="147"/>
        <v>7197921</v>
      </c>
      <c r="S84" s="54">
        <f t="shared" si="147"/>
        <v>7351556</v>
      </c>
      <c r="T84" s="54">
        <f t="shared" si="147"/>
        <v>7466663</v>
      </c>
      <c r="U84" s="54">
        <f t="shared" si="147"/>
        <v>7560339</v>
      </c>
      <c r="V84" s="54">
        <f t="shared" si="147"/>
        <v>7643733</v>
      </c>
      <c r="W84" s="54">
        <f t="shared" ref="W84:Y84" si="148">W85+W100</f>
        <v>7741088</v>
      </c>
      <c r="X84" s="54">
        <f t="shared" si="148"/>
        <v>7812902</v>
      </c>
      <c r="Y84" s="54">
        <f t="shared" si="148"/>
        <v>7946463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4970560</v>
      </c>
      <c r="C85" s="28">
        <f t="shared" si="149"/>
        <v>5048306</v>
      </c>
      <c r="D85" s="28">
        <f t="shared" ref="D85:V85" si="150">D86+D87+D94</f>
        <v>5107279</v>
      </c>
      <c r="E85" s="28">
        <f t="shared" si="150"/>
        <v>5155540</v>
      </c>
      <c r="F85" s="28">
        <f t="shared" si="150"/>
        <v>5213090</v>
      </c>
      <c r="G85" s="28">
        <f t="shared" si="150"/>
        <v>5280684</v>
      </c>
      <c r="H85" s="28">
        <f t="shared" si="150"/>
        <v>5351329</v>
      </c>
      <c r="I85" s="28">
        <f t="shared" si="150"/>
        <v>5438479</v>
      </c>
      <c r="J85" s="28">
        <f t="shared" si="150"/>
        <v>5534992</v>
      </c>
      <c r="K85" s="28">
        <f t="shared" si="150"/>
        <v>5613061</v>
      </c>
      <c r="L85" s="28">
        <f t="shared" si="150"/>
        <v>5711226</v>
      </c>
      <c r="M85" s="28">
        <f t="shared" si="150"/>
        <v>5857100</v>
      </c>
      <c r="N85" s="28">
        <f t="shared" si="150"/>
        <v>5901031</v>
      </c>
      <c r="O85" s="28">
        <f t="shared" si="150"/>
        <v>5966115</v>
      </c>
      <c r="P85" s="28">
        <f t="shared" si="150"/>
        <v>6062930</v>
      </c>
      <c r="Q85" s="28">
        <f t="shared" si="150"/>
        <v>6164550</v>
      </c>
      <c r="R85" s="28">
        <f t="shared" si="150"/>
        <v>6324756</v>
      </c>
      <c r="S85" s="28">
        <f t="shared" si="150"/>
        <v>6445597</v>
      </c>
      <c r="T85" s="28">
        <f t="shared" si="150"/>
        <v>6529913</v>
      </c>
      <c r="U85" s="28">
        <f t="shared" si="150"/>
        <v>6592919</v>
      </c>
      <c r="V85" s="28">
        <f t="shared" si="150"/>
        <v>6645867</v>
      </c>
      <c r="W85" s="28">
        <f t="shared" ref="W85:Y85" si="151">W86+W87+W94</f>
        <v>6711070</v>
      </c>
      <c r="X85" s="28">
        <f t="shared" si="151"/>
        <v>6775162</v>
      </c>
      <c r="Y85" s="28">
        <f t="shared" si="151"/>
        <v>6892069</v>
      </c>
      <c r="DA85" s="173"/>
    </row>
    <row r="86" spans="1:105" ht="11.45" hidden="1" customHeight="1" x14ac:dyDescent="0.25">
      <c r="A86" s="136" t="s">
        <v>173</v>
      </c>
      <c r="B86" s="137">
        <v>277838</v>
      </c>
      <c r="C86" s="137">
        <v>293630</v>
      </c>
      <c r="D86" s="137">
        <v>305510</v>
      </c>
      <c r="E86" s="137">
        <v>319480</v>
      </c>
      <c r="F86" s="137">
        <v>322762</v>
      </c>
      <c r="G86" s="137">
        <v>346293</v>
      </c>
      <c r="H86" s="137">
        <v>360000</v>
      </c>
      <c r="I86" s="137">
        <v>374000</v>
      </c>
      <c r="J86" s="137">
        <v>388000</v>
      </c>
      <c r="K86" s="137">
        <v>404000</v>
      </c>
      <c r="L86" s="137">
        <v>419000</v>
      </c>
      <c r="M86" s="137">
        <v>434000</v>
      </c>
      <c r="N86" s="137">
        <v>441000</v>
      </c>
      <c r="O86" s="137">
        <v>444746</v>
      </c>
      <c r="P86" s="137">
        <v>461454</v>
      </c>
      <c r="Q86" s="137">
        <v>485414</v>
      </c>
      <c r="R86" s="137">
        <v>577483</v>
      </c>
      <c r="S86" s="137">
        <v>630657</v>
      </c>
      <c r="T86" s="137">
        <v>665306</v>
      </c>
      <c r="U86" s="137">
        <v>694602</v>
      </c>
      <c r="V86" s="137">
        <v>731902</v>
      </c>
      <c r="W86" s="137">
        <v>768445</v>
      </c>
      <c r="X86" s="137">
        <v>803643</v>
      </c>
      <c r="Y86" s="137">
        <v>828019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4678000</v>
      </c>
      <c r="C87" s="110">
        <f t="shared" si="152"/>
        <v>4740000</v>
      </c>
      <c r="D87" s="110">
        <f t="shared" ref="D87:V87" si="153">SUM(D88:D93)</f>
        <v>4787000</v>
      </c>
      <c r="E87" s="110">
        <f t="shared" si="153"/>
        <v>4821000</v>
      </c>
      <c r="F87" s="110">
        <f t="shared" si="153"/>
        <v>4875000</v>
      </c>
      <c r="G87" s="110">
        <f t="shared" si="153"/>
        <v>4919000</v>
      </c>
      <c r="H87" s="110">
        <f t="shared" si="153"/>
        <v>4976000</v>
      </c>
      <c r="I87" s="110">
        <f t="shared" si="153"/>
        <v>5049000</v>
      </c>
      <c r="J87" s="110">
        <f t="shared" si="153"/>
        <v>5131000</v>
      </c>
      <c r="K87" s="110">
        <f t="shared" si="153"/>
        <v>5193000</v>
      </c>
      <c r="L87" s="110">
        <f t="shared" si="153"/>
        <v>5276000</v>
      </c>
      <c r="M87" s="110">
        <f t="shared" si="153"/>
        <v>5407000</v>
      </c>
      <c r="N87" s="110">
        <f t="shared" si="153"/>
        <v>5444000</v>
      </c>
      <c r="O87" s="110">
        <f t="shared" si="153"/>
        <v>5505100</v>
      </c>
      <c r="P87" s="110">
        <f t="shared" si="153"/>
        <v>5584690</v>
      </c>
      <c r="Q87" s="110">
        <f t="shared" si="153"/>
        <v>5662059</v>
      </c>
      <c r="R87" s="110">
        <f t="shared" si="153"/>
        <v>5731292</v>
      </c>
      <c r="S87" s="110">
        <f t="shared" si="153"/>
        <v>5798939</v>
      </c>
      <c r="T87" s="110">
        <f t="shared" si="153"/>
        <v>5848425</v>
      </c>
      <c r="U87" s="110">
        <f t="shared" si="153"/>
        <v>5881874</v>
      </c>
      <c r="V87" s="110">
        <f t="shared" si="153"/>
        <v>5897488</v>
      </c>
      <c r="W87" s="110">
        <f t="shared" ref="W87:Y87" si="154">SUM(W88:W93)</f>
        <v>5926009</v>
      </c>
      <c r="X87" s="110">
        <f t="shared" si="154"/>
        <v>5955127</v>
      </c>
      <c r="Y87" s="110">
        <f t="shared" si="154"/>
        <v>6047551</v>
      </c>
      <c r="DA87" s="176"/>
    </row>
    <row r="88" spans="1:105" ht="11.45" hidden="1" customHeight="1" x14ac:dyDescent="0.25">
      <c r="A88" s="111" t="s">
        <v>110</v>
      </c>
      <c r="B88" s="84">
        <v>2743881</v>
      </c>
      <c r="C88" s="84">
        <v>2688945</v>
      </c>
      <c r="D88" s="84">
        <v>2630605</v>
      </c>
      <c r="E88" s="84">
        <v>2567269</v>
      </c>
      <c r="F88" s="84">
        <v>2499760</v>
      </c>
      <c r="G88" s="84">
        <v>2432622</v>
      </c>
      <c r="H88" s="84">
        <v>2339711</v>
      </c>
      <c r="I88" s="84">
        <v>2257871</v>
      </c>
      <c r="J88" s="84">
        <v>2172126</v>
      </c>
      <c r="K88" s="84">
        <v>2103948</v>
      </c>
      <c r="L88" s="84">
        <v>2049251</v>
      </c>
      <c r="M88" s="84">
        <v>2019541</v>
      </c>
      <c r="N88" s="84">
        <v>1997760</v>
      </c>
      <c r="O88" s="84">
        <v>2017861</v>
      </c>
      <c r="P88" s="84">
        <v>2073185</v>
      </c>
      <c r="Q88" s="84">
        <v>2143540</v>
      </c>
      <c r="R88" s="84">
        <v>2276622</v>
      </c>
      <c r="S88" s="84">
        <v>2434385</v>
      </c>
      <c r="T88" s="84">
        <v>2646529</v>
      </c>
      <c r="U88" s="84">
        <v>2857406</v>
      </c>
      <c r="V88" s="84">
        <v>3003159</v>
      </c>
      <c r="W88" s="84">
        <v>3161107</v>
      </c>
      <c r="X88" s="84">
        <v>3306437</v>
      </c>
      <c r="Y88" s="84">
        <v>3483563</v>
      </c>
      <c r="DA88" s="171"/>
    </row>
    <row r="89" spans="1:105" ht="11.45" hidden="1" customHeight="1" x14ac:dyDescent="0.25">
      <c r="A89" s="111" t="s">
        <v>111</v>
      </c>
      <c r="B89" s="84">
        <v>1875119</v>
      </c>
      <c r="C89" s="84">
        <v>1979055</v>
      </c>
      <c r="D89" s="84">
        <v>2082395</v>
      </c>
      <c r="E89" s="84">
        <v>2182731</v>
      </c>
      <c r="F89" s="84">
        <v>2310020</v>
      </c>
      <c r="G89" s="84">
        <v>2426120</v>
      </c>
      <c r="H89" s="84">
        <v>2580027</v>
      </c>
      <c r="I89" s="84">
        <v>2739866</v>
      </c>
      <c r="J89" s="84">
        <v>2911636</v>
      </c>
      <c r="K89" s="84">
        <v>3046831</v>
      </c>
      <c r="L89" s="84">
        <v>3189483</v>
      </c>
      <c r="M89" s="84">
        <v>3345897</v>
      </c>
      <c r="N89" s="84">
        <v>3401740</v>
      </c>
      <c r="O89" s="84">
        <v>3445970</v>
      </c>
      <c r="P89" s="84">
        <v>3463511</v>
      </c>
      <c r="Q89" s="84">
        <v>3448823</v>
      </c>
      <c r="R89" s="84">
        <v>3380439</v>
      </c>
      <c r="S89" s="84">
        <v>3274836</v>
      </c>
      <c r="T89" s="84">
        <v>3097964</v>
      </c>
      <c r="U89" s="84">
        <v>2903277</v>
      </c>
      <c r="V89" s="84">
        <v>2729484</v>
      </c>
      <c r="W89" s="84">
        <v>2535731</v>
      </c>
      <c r="X89" s="84">
        <v>2330596</v>
      </c>
      <c r="Y89" s="84">
        <v>2080243</v>
      </c>
      <c r="DA89" s="171"/>
    </row>
    <row r="90" spans="1:105" ht="11.45" hidden="1" customHeight="1" x14ac:dyDescent="0.25">
      <c r="A90" s="111" t="s">
        <v>112</v>
      </c>
      <c r="B90" s="84">
        <v>59000</v>
      </c>
      <c r="C90" s="84">
        <v>72000</v>
      </c>
      <c r="D90" s="84">
        <v>74000</v>
      </c>
      <c r="E90" s="84">
        <v>71000</v>
      </c>
      <c r="F90" s="84">
        <v>65000</v>
      </c>
      <c r="G90" s="84">
        <v>60000</v>
      </c>
      <c r="H90" s="84">
        <v>56000</v>
      </c>
      <c r="I90" s="84">
        <v>51000</v>
      </c>
      <c r="J90" s="84">
        <v>47000</v>
      </c>
      <c r="K90" s="84">
        <v>42000</v>
      </c>
      <c r="L90" s="84">
        <v>37000</v>
      </c>
      <c r="M90" s="84">
        <v>41000</v>
      </c>
      <c r="N90" s="84">
        <v>43110</v>
      </c>
      <c r="O90" s="84">
        <v>39632</v>
      </c>
      <c r="P90" s="84">
        <v>44090</v>
      </c>
      <c r="Q90" s="84">
        <v>60838</v>
      </c>
      <c r="R90" s="84">
        <v>54427</v>
      </c>
      <c r="S90" s="84">
        <v>52842</v>
      </c>
      <c r="T90" s="84">
        <v>51013</v>
      </c>
      <c r="U90" s="84">
        <v>49102</v>
      </c>
      <c r="V90" s="84">
        <v>47831</v>
      </c>
      <c r="W90" s="84">
        <v>45708</v>
      </c>
      <c r="X90" s="84">
        <v>44057</v>
      </c>
      <c r="Y90" s="84">
        <v>43589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220</v>
      </c>
      <c r="G91" s="84">
        <v>258</v>
      </c>
      <c r="H91" s="84">
        <v>262</v>
      </c>
      <c r="I91" s="84">
        <v>263</v>
      </c>
      <c r="J91" s="84">
        <v>229</v>
      </c>
      <c r="K91" s="84">
        <v>208</v>
      </c>
      <c r="L91" s="84">
        <v>205</v>
      </c>
      <c r="M91" s="84">
        <v>223</v>
      </c>
      <c r="N91" s="84">
        <v>227</v>
      </c>
      <c r="O91" s="84">
        <v>359</v>
      </c>
      <c r="P91" s="84">
        <v>953</v>
      </c>
      <c r="Q91" s="84">
        <v>1889</v>
      </c>
      <c r="R91" s="84">
        <v>4014</v>
      </c>
      <c r="S91" s="84">
        <v>6051</v>
      </c>
      <c r="T91" s="84">
        <v>10670</v>
      </c>
      <c r="U91" s="84">
        <v>14764</v>
      </c>
      <c r="V91" s="84">
        <v>18043</v>
      </c>
      <c r="W91" s="84">
        <v>19177</v>
      </c>
      <c r="X91" s="84">
        <v>19390</v>
      </c>
      <c r="Y91" s="84">
        <v>18938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16</v>
      </c>
      <c r="N92" s="84">
        <v>338</v>
      </c>
      <c r="O92" s="84">
        <v>359</v>
      </c>
      <c r="P92" s="84">
        <v>1159</v>
      </c>
      <c r="Q92" s="84">
        <v>4098</v>
      </c>
      <c r="R92" s="84">
        <v>11422</v>
      </c>
      <c r="S92" s="84">
        <v>22273</v>
      </c>
      <c r="T92" s="84">
        <v>33005</v>
      </c>
      <c r="U92" s="84">
        <v>41987</v>
      </c>
      <c r="V92" s="84">
        <v>74988</v>
      </c>
      <c r="W92" s="84">
        <v>123435</v>
      </c>
      <c r="X92" s="84">
        <v>182996</v>
      </c>
      <c r="Y92" s="84">
        <v>265455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9</v>
      </c>
      <c r="K93" s="84">
        <v>13</v>
      </c>
      <c r="L93" s="84">
        <v>61</v>
      </c>
      <c r="M93" s="84">
        <v>323</v>
      </c>
      <c r="N93" s="84">
        <v>825</v>
      </c>
      <c r="O93" s="84">
        <v>919</v>
      </c>
      <c r="P93" s="84">
        <v>1792</v>
      </c>
      <c r="Q93" s="84">
        <v>2871</v>
      </c>
      <c r="R93" s="84">
        <v>4368</v>
      </c>
      <c r="S93" s="84">
        <v>8552</v>
      </c>
      <c r="T93" s="84">
        <v>9244</v>
      </c>
      <c r="U93" s="84">
        <v>15338</v>
      </c>
      <c r="V93" s="84">
        <v>23983</v>
      </c>
      <c r="W93" s="84">
        <v>40851</v>
      </c>
      <c r="X93" s="84">
        <v>71651</v>
      </c>
      <c r="Y93" s="84">
        <v>155763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14722</v>
      </c>
      <c r="C94" s="110">
        <f t="shared" si="155"/>
        <v>14676</v>
      </c>
      <c r="D94" s="110">
        <f t="shared" ref="D94:V94" si="156">SUM(D95:D99)</f>
        <v>14769</v>
      </c>
      <c r="E94" s="110">
        <f t="shared" si="156"/>
        <v>15060</v>
      </c>
      <c r="F94" s="110">
        <f t="shared" si="156"/>
        <v>15328</v>
      </c>
      <c r="G94" s="110">
        <f t="shared" si="156"/>
        <v>15391</v>
      </c>
      <c r="H94" s="110">
        <f t="shared" si="156"/>
        <v>15329</v>
      </c>
      <c r="I94" s="110">
        <f t="shared" si="156"/>
        <v>15479</v>
      </c>
      <c r="J94" s="110">
        <f t="shared" si="156"/>
        <v>15992</v>
      </c>
      <c r="K94" s="110">
        <f t="shared" si="156"/>
        <v>16061</v>
      </c>
      <c r="L94" s="110">
        <f t="shared" si="156"/>
        <v>16226</v>
      </c>
      <c r="M94" s="110">
        <f t="shared" si="156"/>
        <v>16100</v>
      </c>
      <c r="N94" s="110">
        <f t="shared" si="156"/>
        <v>16031</v>
      </c>
      <c r="O94" s="110">
        <f t="shared" si="156"/>
        <v>16269</v>
      </c>
      <c r="P94" s="110">
        <f t="shared" si="156"/>
        <v>16786</v>
      </c>
      <c r="Q94" s="110">
        <f t="shared" si="156"/>
        <v>17077</v>
      </c>
      <c r="R94" s="110">
        <f t="shared" si="156"/>
        <v>15981</v>
      </c>
      <c r="S94" s="110">
        <f t="shared" si="156"/>
        <v>16001</v>
      </c>
      <c r="T94" s="110">
        <f t="shared" si="156"/>
        <v>16182</v>
      </c>
      <c r="U94" s="110">
        <f t="shared" si="156"/>
        <v>16443</v>
      </c>
      <c r="V94" s="110">
        <f t="shared" si="156"/>
        <v>16477</v>
      </c>
      <c r="W94" s="110">
        <f t="shared" ref="W94:Y94" si="157">SUM(W95:W99)</f>
        <v>16616</v>
      </c>
      <c r="X94" s="110">
        <f t="shared" si="157"/>
        <v>16392</v>
      </c>
      <c r="Y94" s="110">
        <f t="shared" si="157"/>
        <v>16499</v>
      </c>
      <c r="DA94" s="176"/>
    </row>
    <row r="95" spans="1:105" ht="11.45" hidden="1" customHeight="1" x14ac:dyDescent="0.25">
      <c r="A95" s="111" t="s">
        <v>110</v>
      </c>
      <c r="B95" s="102">
        <v>214</v>
      </c>
      <c r="C95" s="102">
        <v>207</v>
      </c>
      <c r="D95" s="102">
        <v>188</v>
      </c>
      <c r="E95" s="102">
        <v>187</v>
      </c>
      <c r="F95" s="102">
        <v>184</v>
      </c>
      <c r="G95" s="102">
        <v>183</v>
      </c>
      <c r="H95" s="102">
        <v>167</v>
      </c>
      <c r="I95" s="102">
        <v>160</v>
      </c>
      <c r="J95" s="102">
        <v>152</v>
      </c>
      <c r="K95" s="102">
        <v>143</v>
      </c>
      <c r="L95" s="102">
        <v>133</v>
      </c>
      <c r="M95" s="102">
        <v>131</v>
      </c>
      <c r="N95" s="102">
        <v>129</v>
      </c>
      <c r="O95" s="102">
        <v>123</v>
      </c>
      <c r="P95" s="102">
        <v>116</v>
      </c>
      <c r="Q95" s="102">
        <v>117</v>
      </c>
      <c r="R95" s="102">
        <v>118</v>
      </c>
      <c r="S95" s="102">
        <v>115</v>
      </c>
      <c r="T95" s="102">
        <v>115</v>
      </c>
      <c r="U95" s="102">
        <v>115</v>
      </c>
      <c r="V95" s="102">
        <v>115</v>
      </c>
      <c r="W95" s="102">
        <v>114</v>
      </c>
      <c r="X95" s="102">
        <v>113</v>
      </c>
      <c r="Y95" s="102">
        <v>112</v>
      </c>
      <c r="DA95" s="175"/>
    </row>
    <row r="96" spans="1:105" ht="11.45" hidden="1" customHeight="1" x14ac:dyDescent="0.25">
      <c r="A96" s="111" t="s">
        <v>111</v>
      </c>
      <c r="B96" s="102">
        <v>14506</v>
      </c>
      <c r="C96" s="102">
        <v>14467</v>
      </c>
      <c r="D96" s="102">
        <v>14579</v>
      </c>
      <c r="E96" s="102">
        <v>14871</v>
      </c>
      <c r="F96" s="102">
        <v>15142</v>
      </c>
      <c r="G96" s="102">
        <v>15187</v>
      </c>
      <c r="H96" s="102">
        <v>15141</v>
      </c>
      <c r="I96" s="102">
        <v>15299</v>
      </c>
      <c r="J96" s="102">
        <v>15821</v>
      </c>
      <c r="K96" s="102">
        <v>15899</v>
      </c>
      <c r="L96" s="102">
        <v>16075</v>
      </c>
      <c r="M96" s="102">
        <v>15952</v>
      </c>
      <c r="N96" s="102">
        <v>15886</v>
      </c>
      <c r="O96" s="102">
        <v>16124</v>
      </c>
      <c r="P96" s="102">
        <v>16646</v>
      </c>
      <c r="Q96" s="102">
        <v>16938</v>
      </c>
      <c r="R96" s="102">
        <v>15840</v>
      </c>
      <c r="S96" s="102">
        <v>15862</v>
      </c>
      <c r="T96" s="102">
        <v>16022</v>
      </c>
      <c r="U96" s="102">
        <v>16255</v>
      </c>
      <c r="V96" s="102">
        <v>16261</v>
      </c>
      <c r="W96" s="102">
        <v>16256</v>
      </c>
      <c r="X96" s="102">
        <v>15959</v>
      </c>
      <c r="Y96" s="102">
        <v>15880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6</v>
      </c>
      <c r="P98" s="102">
        <v>6</v>
      </c>
      <c r="Q98" s="102">
        <v>6</v>
      </c>
      <c r="R98" s="102">
        <v>8</v>
      </c>
      <c r="S98" s="102">
        <v>10</v>
      </c>
      <c r="T98" s="102">
        <v>24</v>
      </c>
      <c r="U98" s="102">
        <v>14</v>
      </c>
      <c r="V98" s="102">
        <v>26</v>
      </c>
      <c r="W98" s="102">
        <v>141</v>
      </c>
      <c r="X98" s="102">
        <v>170</v>
      </c>
      <c r="Y98" s="102">
        <v>170</v>
      </c>
      <c r="DA98" s="175"/>
    </row>
    <row r="99" spans="1:105" ht="11.45" hidden="1" customHeight="1" x14ac:dyDescent="0.25">
      <c r="A99" s="111" t="s">
        <v>115</v>
      </c>
      <c r="B99" s="102">
        <v>2</v>
      </c>
      <c r="C99" s="102">
        <v>2</v>
      </c>
      <c r="D99" s="102">
        <v>2</v>
      </c>
      <c r="E99" s="102">
        <v>2</v>
      </c>
      <c r="F99" s="102">
        <v>2</v>
      </c>
      <c r="G99" s="102">
        <v>21</v>
      </c>
      <c r="H99" s="102">
        <v>21</v>
      </c>
      <c r="I99" s="102">
        <v>20</v>
      </c>
      <c r="J99" s="102">
        <v>19</v>
      </c>
      <c r="K99" s="102">
        <v>19</v>
      </c>
      <c r="L99" s="102">
        <v>18</v>
      </c>
      <c r="M99" s="102">
        <v>17</v>
      </c>
      <c r="N99" s="102">
        <v>16</v>
      </c>
      <c r="O99" s="102">
        <v>16</v>
      </c>
      <c r="P99" s="102">
        <v>18</v>
      </c>
      <c r="Q99" s="102">
        <v>16</v>
      </c>
      <c r="R99" s="102">
        <v>15</v>
      </c>
      <c r="S99" s="102">
        <v>14</v>
      </c>
      <c r="T99" s="102">
        <v>21</v>
      </c>
      <c r="U99" s="102">
        <v>59</v>
      </c>
      <c r="V99" s="102">
        <v>75</v>
      </c>
      <c r="W99" s="102">
        <v>105</v>
      </c>
      <c r="X99" s="102">
        <v>150</v>
      </c>
      <c r="Y99" s="102">
        <v>337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540903</v>
      </c>
      <c r="C100" s="28">
        <f t="shared" si="158"/>
        <v>607421</v>
      </c>
      <c r="D100" s="28">
        <f t="shared" ref="D100:V100" si="159">D101+D107</f>
        <v>586370</v>
      </c>
      <c r="E100" s="28">
        <f t="shared" si="159"/>
        <v>607706</v>
      </c>
      <c r="F100" s="28">
        <f t="shared" si="159"/>
        <v>640198</v>
      </c>
      <c r="G100" s="28">
        <f t="shared" si="159"/>
        <v>668951</v>
      </c>
      <c r="H100" s="28">
        <f t="shared" si="159"/>
        <v>685166</v>
      </c>
      <c r="I100" s="28">
        <f t="shared" si="159"/>
        <v>701648</v>
      </c>
      <c r="J100" s="28">
        <f t="shared" si="159"/>
        <v>723313</v>
      </c>
      <c r="K100" s="28">
        <f t="shared" si="159"/>
        <v>734722</v>
      </c>
      <c r="L100" s="28">
        <f t="shared" si="159"/>
        <v>749485</v>
      </c>
      <c r="M100" s="28">
        <f t="shared" si="159"/>
        <v>774759</v>
      </c>
      <c r="N100" s="28">
        <f t="shared" si="159"/>
        <v>787236</v>
      </c>
      <c r="O100" s="28">
        <f t="shared" si="159"/>
        <v>809758</v>
      </c>
      <c r="P100" s="28">
        <f t="shared" si="159"/>
        <v>827872</v>
      </c>
      <c r="Q100" s="28">
        <f t="shared" si="159"/>
        <v>849003</v>
      </c>
      <c r="R100" s="28">
        <f t="shared" si="159"/>
        <v>873165</v>
      </c>
      <c r="S100" s="28">
        <f t="shared" si="159"/>
        <v>905959</v>
      </c>
      <c r="T100" s="28">
        <f t="shared" si="159"/>
        <v>936750</v>
      </c>
      <c r="U100" s="28">
        <f t="shared" si="159"/>
        <v>967420</v>
      </c>
      <c r="V100" s="28">
        <f t="shared" si="159"/>
        <v>997866</v>
      </c>
      <c r="W100" s="28">
        <f t="shared" ref="W100:Y100" si="160">W101+W107</f>
        <v>1030018</v>
      </c>
      <c r="X100" s="28">
        <f t="shared" si="160"/>
        <v>1037740</v>
      </c>
      <c r="Y100" s="28">
        <f t="shared" si="160"/>
        <v>1054394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445600</v>
      </c>
      <c r="C101" s="137">
        <f t="shared" si="161"/>
        <v>469743</v>
      </c>
      <c r="D101" s="137">
        <f t="shared" ref="D101:V101" si="162">SUM(D102:D106)</f>
        <v>448274</v>
      </c>
      <c r="E101" s="137">
        <f t="shared" si="162"/>
        <v>465435</v>
      </c>
      <c r="F101" s="137">
        <f t="shared" si="162"/>
        <v>489814</v>
      </c>
      <c r="G101" s="137">
        <f t="shared" si="162"/>
        <v>512872</v>
      </c>
      <c r="H101" s="137">
        <f t="shared" si="162"/>
        <v>529076</v>
      </c>
      <c r="I101" s="137">
        <f t="shared" si="162"/>
        <v>542914</v>
      </c>
      <c r="J101" s="137">
        <f t="shared" si="162"/>
        <v>557353</v>
      </c>
      <c r="K101" s="137">
        <f t="shared" si="162"/>
        <v>571913</v>
      </c>
      <c r="L101" s="137">
        <f t="shared" si="162"/>
        <v>591941</v>
      </c>
      <c r="M101" s="137">
        <f t="shared" si="162"/>
        <v>604799</v>
      </c>
      <c r="N101" s="137">
        <f t="shared" si="162"/>
        <v>620502</v>
      </c>
      <c r="O101" s="137">
        <f t="shared" si="162"/>
        <v>640425</v>
      </c>
      <c r="P101" s="137">
        <f t="shared" si="162"/>
        <v>655525</v>
      </c>
      <c r="Q101" s="137">
        <f t="shared" si="162"/>
        <v>665134</v>
      </c>
      <c r="R101" s="137">
        <f t="shared" si="162"/>
        <v>709653</v>
      </c>
      <c r="S101" s="137">
        <f t="shared" si="162"/>
        <v>740801</v>
      </c>
      <c r="T101" s="137">
        <f t="shared" si="162"/>
        <v>769679</v>
      </c>
      <c r="U101" s="137">
        <f t="shared" si="162"/>
        <v>798942</v>
      </c>
      <c r="V101" s="137">
        <f t="shared" si="162"/>
        <v>829277</v>
      </c>
      <c r="W101" s="137">
        <f t="shared" ref="W101:Y101" si="163">SUM(W102:W106)</f>
        <v>861148</v>
      </c>
      <c r="X101" s="137">
        <f t="shared" si="163"/>
        <v>868994</v>
      </c>
      <c r="Y101" s="137">
        <f t="shared" si="163"/>
        <v>884545</v>
      </c>
      <c r="DA101" s="174"/>
    </row>
    <row r="102" spans="1:105" ht="11.45" hidden="1" customHeight="1" x14ac:dyDescent="0.25">
      <c r="A102" s="111" t="s">
        <v>110</v>
      </c>
      <c r="B102" s="84">
        <v>38214</v>
      </c>
      <c r="C102" s="84">
        <v>38182</v>
      </c>
      <c r="D102" s="84">
        <v>38104</v>
      </c>
      <c r="E102" s="84">
        <v>37908</v>
      </c>
      <c r="F102" s="84">
        <v>37422</v>
      </c>
      <c r="G102" s="84">
        <v>36236</v>
      </c>
      <c r="H102" s="84">
        <v>33432</v>
      </c>
      <c r="I102" s="84">
        <v>30620</v>
      </c>
      <c r="J102" s="84">
        <v>30446</v>
      </c>
      <c r="K102" s="84">
        <v>29110</v>
      </c>
      <c r="L102" s="84">
        <v>28134</v>
      </c>
      <c r="M102" s="84">
        <v>25965</v>
      </c>
      <c r="N102" s="84">
        <v>24432</v>
      </c>
      <c r="O102" s="84">
        <v>22903</v>
      </c>
      <c r="P102" s="84">
        <v>21373</v>
      </c>
      <c r="Q102" s="84">
        <v>19842</v>
      </c>
      <c r="R102" s="84">
        <v>20033</v>
      </c>
      <c r="S102" s="84">
        <v>21553</v>
      </c>
      <c r="T102" s="84">
        <v>25899</v>
      </c>
      <c r="U102" s="84">
        <v>28720</v>
      </c>
      <c r="V102" s="84">
        <v>29684</v>
      </c>
      <c r="W102" s="84">
        <v>30720</v>
      </c>
      <c r="X102" s="84">
        <v>31316</v>
      </c>
      <c r="Y102" s="84">
        <v>33017</v>
      </c>
      <c r="DA102" s="171"/>
    </row>
    <row r="103" spans="1:105" ht="11.45" hidden="1" customHeight="1" x14ac:dyDescent="0.25">
      <c r="A103" s="111" t="s">
        <v>111</v>
      </c>
      <c r="B103" s="84">
        <v>377386</v>
      </c>
      <c r="C103" s="84">
        <v>399104</v>
      </c>
      <c r="D103" s="84">
        <v>380020</v>
      </c>
      <c r="E103" s="84">
        <v>400011</v>
      </c>
      <c r="F103" s="84">
        <v>425667</v>
      </c>
      <c r="G103" s="84">
        <v>450986</v>
      </c>
      <c r="H103" s="84">
        <v>470814</v>
      </c>
      <c r="I103" s="84">
        <v>490223</v>
      </c>
      <c r="J103" s="84">
        <v>506135</v>
      </c>
      <c r="K103" s="84">
        <v>523443</v>
      </c>
      <c r="L103" s="84">
        <v>545889</v>
      </c>
      <c r="M103" s="84">
        <v>560320</v>
      </c>
      <c r="N103" s="84">
        <v>577764</v>
      </c>
      <c r="O103" s="84">
        <v>601355</v>
      </c>
      <c r="P103" s="84">
        <v>619637</v>
      </c>
      <c r="Q103" s="84">
        <v>634040</v>
      </c>
      <c r="R103" s="84">
        <v>678767</v>
      </c>
      <c r="S103" s="84">
        <v>708163</v>
      </c>
      <c r="T103" s="84">
        <v>732012</v>
      </c>
      <c r="U103" s="84">
        <v>757250</v>
      </c>
      <c r="V103" s="84">
        <v>784825</v>
      </c>
      <c r="W103" s="84">
        <v>814859</v>
      </c>
      <c r="X103" s="84">
        <v>820150</v>
      </c>
      <c r="Y103" s="84">
        <v>832647</v>
      </c>
      <c r="DA103" s="171"/>
    </row>
    <row r="104" spans="1:105" ht="11.45" hidden="1" customHeight="1" x14ac:dyDescent="0.25">
      <c r="A104" s="111" t="s">
        <v>112</v>
      </c>
      <c r="B104" s="84">
        <v>30000</v>
      </c>
      <c r="C104" s="84">
        <v>32457</v>
      </c>
      <c r="D104" s="84">
        <v>30150</v>
      </c>
      <c r="E104" s="84">
        <v>27516</v>
      </c>
      <c r="F104" s="84">
        <v>26725</v>
      </c>
      <c r="G104" s="84">
        <v>25650</v>
      </c>
      <c r="H104" s="84">
        <v>24830</v>
      </c>
      <c r="I104" s="84">
        <v>22071</v>
      </c>
      <c r="J104" s="84">
        <v>20655</v>
      </c>
      <c r="K104" s="84">
        <v>19220</v>
      </c>
      <c r="L104" s="84">
        <v>17759</v>
      </c>
      <c r="M104" s="84">
        <v>18349</v>
      </c>
      <c r="N104" s="84">
        <v>17759</v>
      </c>
      <c r="O104" s="84">
        <v>15461</v>
      </c>
      <c r="P104" s="84">
        <v>13546</v>
      </c>
      <c r="Q104" s="84">
        <v>9936</v>
      </c>
      <c r="R104" s="84">
        <v>9443</v>
      </c>
      <c r="S104" s="84">
        <v>8976</v>
      </c>
      <c r="T104" s="84">
        <v>8531</v>
      </c>
      <c r="U104" s="84">
        <v>8111</v>
      </c>
      <c r="V104" s="84">
        <v>8506</v>
      </c>
      <c r="W104" s="84">
        <v>8407</v>
      </c>
      <c r="X104" s="84">
        <v>8319</v>
      </c>
      <c r="Y104" s="84">
        <v>8327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59</v>
      </c>
      <c r="K105" s="84">
        <v>79</v>
      </c>
      <c r="L105" s="84">
        <v>97</v>
      </c>
      <c r="M105" s="84">
        <v>87</v>
      </c>
      <c r="N105" s="84">
        <v>217</v>
      </c>
      <c r="O105" s="84">
        <v>276</v>
      </c>
      <c r="P105" s="84">
        <v>447</v>
      </c>
      <c r="Q105" s="84">
        <v>742</v>
      </c>
      <c r="R105" s="84">
        <v>720</v>
      </c>
      <c r="S105" s="84">
        <v>1333</v>
      </c>
      <c r="T105" s="84">
        <v>2218</v>
      </c>
      <c r="U105" s="84">
        <v>3488</v>
      </c>
      <c r="V105" s="84">
        <v>4446</v>
      </c>
      <c r="W105" s="84">
        <v>4656</v>
      </c>
      <c r="X105" s="84">
        <v>4909</v>
      </c>
      <c r="Y105" s="84">
        <v>5185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58</v>
      </c>
      <c r="K106" s="84">
        <v>61</v>
      </c>
      <c r="L106" s="84">
        <v>62</v>
      </c>
      <c r="M106" s="84">
        <v>78</v>
      </c>
      <c r="N106" s="84">
        <v>330</v>
      </c>
      <c r="O106" s="84">
        <v>430</v>
      </c>
      <c r="P106" s="84">
        <v>522</v>
      </c>
      <c r="Q106" s="84">
        <v>574</v>
      </c>
      <c r="R106" s="84">
        <v>690</v>
      </c>
      <c r="S106" s="84">
        <v>776</v>
      </c>
      <c r="T106" s="84">
        <v>1019</v>
      </c>
      <c r="U106" s="84">
        <v>1373</v>
      </c>
      <c r="V106" s="84">
        <v>1816</v>
      </c>
      <c r="W106" s="84">
        <v>2506</v>
      </c>
      <c r="X106" s="84">
        <v>4300</v>
      </c>
      <c r="Y106" s="84">
        <v>5369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95303</v>
      </c>
      <c r="C107" s="110">
        <f t="shared" si="164"/>
        <v>137678</v>
      </c>
      <c r="D107" s="110">
        <f t="shared" ref="D107:V107" si="165">SUM(D108:D109)</f>
        <v>138096</v>
      </c>
      <c r="E107" s="110">
        <f t="shared" si="165"/>
        <v>142271</v>
      </c>
      <c r="F107" s="110">
        <f t="shared" si="165"/>
        <v>150384</v>
      </c>
      <c r="G107" s="110">
        <f t="shared" si="165"/>
        <v>156079</v>
      </c>
      <c r="H107" s="110">
        <f t="shared" si="165"/>
        <v>156090</v>
      </c>
      <c r="I107" s="110">
        <f t="shared" si="165"/>
        <v>158734</v>
      </c>
      <c r="J107" s="110">
        <f t="shared" si="165"/>
        <v>165960</v>
      </c>
      <c r="K107" s="110">
        <f t="shared" si="165"/>
        <v>162809</v>
      </c>
      <c r="L107" s="110">
        <f t="shared" si="165"/>
        <v>157544</v>
      </c>
      <c r="M107" s="110">
        <f t="shared" si="165"/>
        <v>169960</v>
      </c>
      <c r="N107" s="110">
        <f t="shared" si="165"/>
        <v>166734</v>
      </c>
      <c r="O107" s="110">
        <f t="shared" si="165"/>
        <v>169333</v>
      </c>
      <c r="P107" s="110">
        <f t="shared" si="165"/>
        <v>172347</v>
      </c>
      <c r="Q107" s="110">
        <f t="shared" si="165"/>
        <v>183869</v>
      </c>
      <c r="R107" s="110">
        <f t="shared" si="165"/>
        <v>163512</v>
      </c>
      <c r="S107" s="110">
        <f t="shared" si="165"/>
        <v>165158</v>
      </c>
      <c r="T107" s="110">
        <f t="shared" si="165"/>
        <v>167071</v>
      </c>
      <c r="U107" s="110">
        <f t="shared" si="165"/>
        <v>168478</v>
      </c>
      <c r="V107" s="110">
        <f t="shared" si="165"/>
        <v>168589</v>
      </c>
      <c r="W107" s="110">
        <f t="shared" ref="W107:Y107" si="166">SUM(W108:W109)</f>
        <v>168870</v>
      </c>
      <c r="X107" s="110">
        <f t="shared" si="166"/>
        <v>168746</v>
      </c>
      <c r="Y107" s="110">
        <f t="shared" si="166"/>
        <v>169849.00000000012</v>
      </c>
      <c r="DA107" s="176"/>
    </row>
    <row r="108" spans="1:105" ht="11.45" hidden="1" customHeight="1" x14ac:dyDescent="0.25">
      <c r="A108" s="128" t="s">
        <v>27</v>
      </c>
      <c r="B108" s="102">
        <v>78939</v>
      </c>
      <c r="C108" s="102">
        <v>120133</v>
      </c>
      <c r="D108" s="102">
        <v>119638</v>
      </c>
      <c r="E108" s="102">
        <v>123405</v>
      </c>
      <c r="F108" s="102">
        <v>128078</v>
      </c>
      <c r="G108" s="102">
        <v>132986</v>
      </c>
      <c r="H108" s="102">
        <v>132418</v>
      </c>
      <c r="I108" s="102">
        <v>134228</v>
      </c>
      <c r="J108" s="102">
        <v>141568</v>
      </c>
      <c r="K108" s="102">
        <v>139828</v>
      </c>
      <c r="L108" s="102">
        <v>134414</v>
      </c>
      <c r="M108" s="102">
        <v>146804</v>
      </c>
      <c r="N108" s="102">
        <v>143630</v>
      </c>
      <c r="O108" s="102">
        <v>145464</v>
      </c>
      <c r="P108" s="102">
        <v>148395</v>
      </c>
      <c r="Q108" s="102">
        <v>159343</v>
      </c>
      <c r="R108" s="102">
        <v>137415</v>
      </c>
      <c r="S108" s="102">
        <v>138702</v>
      </c>
      <c r="T108" s="102">
        <v>141851</v>
      </c>
      <c r="U108" s="102">
        <v>142786</v>
      </c>
      <c r="V108" s="102">
        <v>142780</v>
      </c>
      <c r="W108" s="102">
        <v>142534</v>
      </c>
      <c r="X108" s="102">
        <v>143722</v>
      </c>
      <c r="Y108" s="102">
        <v>145219.00000000012</v>
      </c>
      <c r="DA108" s="175"/>
    </row>
    <row r="109" spans="1:105" ht="11.45" hidden="1" customHeight="1" x14ac:dyDescent="0.25">
      <c r="A109" s="138" t="s">
        <v>116</v>
      </c>
      <c r="B109" s="86">
        <v>16364</v>
      </c>
      <c r="C109" s="86">
        <v>17545</v>
      </c>
      <c r="D109" s="86">
        <v>18458</v>
      </c>
      <c r="E109" s="86">
        <v>18866</v>
      </c>
      <c r="F109" s="86">
        <v>22306</v>
      </c>
      <c r="G109" s="86">
        <v>23093</v>
      </c>
      <c r="H109" s="86">
        <v>23672</v>
      </c>
      <c r="I109" s="86">
        <v>24506</v>
      </c>
      <c r="J109" s="86">
        <v>24392</v>
      </c>
      <c r="K109" s="86">
        <v>22981</v>
      </c>
      <c r="L109" s="86">
        <v>23130</v>
      </c>
      <c r="M109" s="86">
        <v>23156</v>
      </c>
      <c r="N109" s="86">
        <v>23104</v>
      </c>
      <c r="O109" s="86">
        <v>23869</v>
      </c>
      <c r="P109" s="86">
        <v>23952</v>
      </c>
      <c r="Q109" s="86">
        <v>24526</v>
      </c>
      <c r="R109" s="86">
        <v>26097</v>
      </c>
      <c r="S109" s="86">
        <v>26456</v>
      </c>
      <c r="T109" s="86">
        <v>25220</v>
      </c>
      <c r="U109" s="86">
        <v>25692</v>
      </c>
      <c r="V109" s="86">
        <v>25809</v>
      </c>
      <c r="W109" s="86">
        <v>26336</v>
      </c>
      <c r="X109" s="86">
        <v>25024</v>
      </c>
      <c r="Y109" s="86">
        <v>24630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566075</v>
      </c>
      <c r="C111" s="54">
        <f t="shared" si="167"/>
        <v>663654</v>
      </c>
      <c r="D111" s="54">
        <f t="shared" si="167"/>
        <v>541328</v>
      </c>
      <c r="E111" s="54">
        <f t="shared" si="167"/>
        <v>568631</v>
      </c>
      <c r="F111" s="54">
        <f t="shared" si="167"/>
        <v>606078</v>
      </c>
      <c r="G111" s="54">
        <f t="shared" si="167"/>
        <v>598973</v>
      </c>
      <c r="H111" s="54">
        <f t="shared" si="167"/>
        <v>634593</v>
      </c>
      <c r="I111" s="54">
        <f t="shared" si="167"/>
        <v>639058</v>
      </c>
      <c r="J111" s="54">
        <f t="shared" si="167"/>
        <v>660300</v>
      </c>
      <c r="K111" s="54">
        <f t="shared" si="167"/>
        <v>597165</v>
      </c>
      <c r="L111" s="54">
        <f t="shared" ref="L111" si="168">L112+L127</f>
        <v>682442</v>
      </c>
      <c r="M111" s="54">
        <f t="shared" ref="M111:V111" si="169">M112+M127</f>
        <v>733038</v>
      </c>
      <c r="N111" s="54">
        <f t="shared" si="169"/>
        <v>631852</v>
      </c>
      <c r="O111" s="54">
        <f t="shared" si="169"/>
        <v>627650</v>
      </c>
      <c r="P111" s="54">
        <f t="shared" si="169"/>
        <v>630186</v>
      </c>
      <c r="Q111" s="54">
        <f t="shared" si="169"/>
        <v>677708</v>
      </c>
      <c r="R111" s="54">
        <f t="shared" si="169"/>
        <v>763677</v>
      </c>
      <c r="S111" s="54">
        <f t="shared" si="169"/>
        <v>741785</v>
      </c>
      <c r="T111" s="54">
        <f t="shared" si="169"/>
        <v>735277</v>
      </c>
      <c r="U111" s="54">
        <f t="shared" si="169"/>
        <v>736663</v>
      </c>
      <c r="V111" s="54">
        <f t="shared" si="169"/>
        <v>655524</v>
      </c>
      <c r="W111" s="54">
        <f t="shared" ref="W111:Y111" si="170">W112+W127</f>
        <v>654724</v>
      </c>
      <c r="X111" s="54">
        <f t="shared" si="170"/>
        <v>635573</v>
      </c>
      <c r="Y111" s="54">
        <f t="shared" si="170"/>
        <v>795148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564439</v>
      </c>
      <c r="C112" s="28">
        <f t="shared" si="171"/>
        <v>540721</v>
      </c>
      <c r="D112" s="28">
        <f t="shared" si="171"/>
        <v>503032</v>
      </c>
      <c r="E112" s="28">
        <f t="shared" si="171"/>
        <v>492097</v>
      </c>
      <c r="F112" s="28">
        <f t="shared" si="171"/>
        <v>521808</v>
      </c>
      <c r="G112" s="28">
        <f t="shared" si="171"/>
        <v>522025</v>
      </c>
      <c r="H112" s="28">
        <f t="shared" si="171"/>
        <v>567247</v>
      </c>
      <c r="I112" s="28">
        <f t="shared" si="171"/>
        <v>569664</v>
      </c>
      <c r="J112" s="28">
        <f t="shared" si="171"/>
        <v>577715</v>
      </c>
      <c r="K112" s="28">
        <f t="shared" si="171"/>
        <v>515309</v>
      </c>
      <c r="L112" s="28">
        <f t="shared" ref="L112" si="172">L113+L114+L121</f>
        <v>590659</v>
      </c>
      <c r="M112" s="28">
        <f t="shared" ref="M112:V112" si="173">M113+M114+M121</f>
        <v>627973</v>
      </c>
      <c r="N112" s="28">
        <f t="shared" si="173"/>
        <v>537159</v>
      </c>
      <c r="O112" s="28">
        <f t="shared" si="173"/>
        <v>524511</v>
      </c>
      <c r="P112" s="28">
        <f t="shared" si="173"/>
        <v>534459</v>
      </c>
      <c r="Q112" s="28">
        <f t="shared" si="173"/>
        <v>575566</v>
      </c>
      <c r="R112" s="28">
        <f t="shared" si="173"/>
        <v>689201</v>
      </c>
      <c r="S112" s="28">
        <f t="shared" si="173"/>
        <v>659804</v>
      </c>
      <c r="T112" s="28">
        <f t="shared" si="173"/>
        <v>642236</v>
      </c>
      <c r="U112" s="28">
        <f t="shared" si="173"/>
        <v>638531</v>
      </c>
      <c r="V112" s="28">
        <f t="shared" si="173"/>
        <v>570239</v>
      </c>
      <c r="W112" s="28">
        <f t="shared" ref="W112:Y112" si="174">W113+W114+W121</f>
        <v>570636</v>
      </c>
      <c r="X112" s="28">
        <f t="shared" si="174"/>
        <v>567412</v>
      </c>
      <c r="Y112" s="28">
        <f t="shared" si="174"/>
        <v>712342</v>
      </c>
      <c r="DA112" s="173" t="s">
        <v>527</v>
      </c>
    </row>
    <row r="113" spans="1:105" ht="11.45" customHeight="1" x14ac:dyDescent="0.25">
      <c r="A113" s="136" t="s">
        <v>173</v>
      </c>
      <c r="B113" s="137">
        <v>31649</v>
      </c>
      <c r="C113" s="137">
        <v>26536</v>
      </c>
      <c r="D113" s="137">
        <v>26879</v>
      </c>
      <c r="E113" s="137">
        <v>27780</v>
      </c>
      <c r="F113" s="137">
        <v>31319</v>
      </c>
      <c r="G113" s="137">
        <v>35465</v>
      </c>
      <c r="H113" s="137">
        <v>34086</v>
      </c>
      <c r="I113" s="137">
        <v>37664</v>
      </c>
      <c r="J113" s="137">
        <v>32991</v>
      </c>
      <c r="K113" s="137">
        <v>33029</v>
      </c>
      <c r="L113" s="137">
        <v>33036</v>
      </c>
      <c r="M113" s="137">
        <v>31309</v>
      </c>
      <c r="N113" s="137">
        <v>29285</v>
      </c>
      <c r="O113" s="137">
        <v>25805</v>
      </c>
      <c r="P113" s="137">
        <v>29224</v>
      </c>
      <c r="Q113" s="137">
        <v>38603</v>
      </c>
      <c r="R113" s="137">
        <v>124188</v>
      </c>
      <c r="S113" s="137">
        <v>77295</v>
      </c>
      <c r="T113" s="137">
        <v>55136</v>
      </c>
      <c r="U113" s="137">
        <v>49095</v>
      </c>
      <c r="V113" s="137">
        <v>59649</v>
      </c>
      <c r="W113" s="137">
        <v>59403</v>
      </c>
      <c r="X113" s="137">
        <v>58406</v>
      </c>
      <c r="Y113" s="137">
        <v>45539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531640</v>
      </c>
      <c r="C114" s="110">
        <f t="shared" si="175"/>
        <v>512976</v>
      </c>
      <c r="D114" s="110">
        <f t="shared" si="175"/>
        <v>474830</v>
      </c>
      <c r="E114" s="110">
        <f t="shared" si="175"/>
        <v>463173</v>
      </c>
      <c r="F114" s="110">
        <f t="shared" si="175"/>
        <v>489326</v>
      </c>
      <c r="G114" s="110">
        <f t="shared" si="175"/>
        <v>485432</v>
      </c>
      <c r="H114" s="110">
        <f t="shared" si="175"/>
        <v>531996</v>
      </c>
      <c r="I114" s="110">
        <f t="shared" si="175"/>
        <v>530652</v>
      </c>
      <c r="J114" s="110">
        <f t="shared" si="175"/>
        <v>543253</v>
      </c>
      <c r="K114" s="110">
        <f t="shared" si="175"/>
        <v>481031</v>
      </c>
      <c r="L114" s="110">
        <f t="shared" ref="L114" si="176">SUM(L115:L120)</f>
        <v>556335</v>
      </c>
      <c r="M114" s="110">
        <f t="shared" ref="M114:V114" si="177">SUM(M115:M120)</f>
        <v>595681</v>
      </c>
      <c r="N114" s="110">
        <f t="shared" si="177"/>
        <v>506684</v>
      </c>
      <c r="O114" s="110">
        <f t="shared" si="177"/>
        <v>497612</v>
      </c>
      <c r="P114" s="110">
        <f t="shared" si="177"/>
        <v>503817</v>
      </c>
      <c r="Q114" s="110">
        <f t="shared" si="177"/>
        <v>535699</v>
      </c>
      <c r="R114" s="110">
        <f t="shared" si="177"/>
        <v>563941</v>
      </c>
      <c r="S114" s="110">
        <f t="shared" si="177"/>
        <v>581380</v>
      </c>
      <c r="T114" s="110">
        <f t="shared" si="177"/>
        <v>585782</v>
      </c>
      <c r="U114" s="110">
        <f t="shared" si="177"/>
        <v>587870</v>
      </c>
      <c r="V114" s="110">
        <f t="shared" si="177"/>
        <v>509261</v>
      </c>
      <c r="W114" s="110">
        <f t="shared" ref="W114:Y114" si="178">SUM(W115:W120)</f>
        <v>509608</v>
      </c>
      <c r="X114" s="110">
        <f t="shared" si="178"/>
        <v>507504</v>
      </c>
      <c r="Y114" s="110">
        <f t="shared" si="178"/>
        <v>665313</v>
      </c>
      <c r="DA114" s="176" t="s">
        <v>529</v>
      </c>
    </row>
    <row r="115" spans="1:105" ht="11.45" customHeight="1" x14ac:dyDescent="0.25">
      <c r="A115" s="111" t="s">
        <v>110</v>
      </c>
      <c r="B115" s="84">
        <v>232786</v>
      </c>
      <c r="C115" s="84">
        <v>186329</v>
      </c>
      <c r="D115" s="84">
        <v>168334</v>
      </c>
      <c r="E115" s="84">
        <v>146753</v>
      </c>
      <c r="F115" s="84">
        <v>146346</v>
      </c>
      <c r="G115" s="84">
        <v>132688</v>
      </c>
      <c r="H115" s="84">
        <v>135282</v>
      </c>
      <c r="I115" s="84">
        <v>122028</v>
      </c>
      <c r="J115" s="84">
        <v>115850</v>
      </c>
      <c r="K115" s="84">
        <v>119093</v>
      </c>
      <c r="L115" s="84">
        <v>134553</v>
      </c>
      <c r="M115" s="84">
        <v>147172</v>
      </c>
      <c r="N115" s="84">
        <v>157126</v>
      </c>
      <c r="O115" s="84">
        <v>175212</v>
      </c>
      <c r="P115" s="84">
        <v>189188</v>
      </c>
      <c r="Q115" s="84">
        <v>205116</v>
      </c>
      <c r="R115" s="84">
        <v>266080</v>
      </c>
      <c r="S115" s="84">
        <v>302397</v>
      </c>
      <c r="T115" s="84">
        <v>363455</v>
      </c>
      <c r="U115" s="84">
        <v>385352</v>
      </c>
      <c r="V115" s="84">
        <v>295600</v>
      </c>
      <c r="W115" s="84">
        <v>315972</v>
      </c>
      <c r="X115" s="84">
        <v>325990</v>
      </c>
      <c r="Y115" s="84">
        <v>409547</v>
      </c>
      <c r="DA115" s="171" t="s">
        <v>530</v>
      </c>
    </row>
    <row r="116" spans="1:105" ht="11.45" customHeight="1" x14ac:dyDescent="0.25">
      <c r="A116" s="111" t="s">
        <v>111</v>
      </c>
      <c r="B116" s="84">
        <v>298854</v>
      </c>
      <c r="C116" s="84">
        <v>313647</v>
      </c>
      <c r="D116" s="84">
        <v>304496</v>
      </c>
      <c r="E116" s="84">
        <v>316420</v>
      </c>
      <c r="F116" s="84">
        <v>342760</v>
      </c>
      <c r="G116" s="84">
        <v>352380</v>
      </c>
      <c r="H116" s="84">
        <v>396234</v>
      </c>
      <c r="I116" s="84">
        <v>408255</v>
      </c>
      <c r="J116" s="84">
        <v>426992</v>
      </c>
      <c r="K116" s="84">
        <v>361638</v>
      </c>
      <c r="L116" s="84">
        <v>421479</v>
      </c>
      <c r="M116" s="84">
        <v>439209</v>
      </c>
      <c r="N116" s="84">
        <v>342081</v>
      </c>
      <c r="O116" s="84">
        <v>320520</v>
      </c>
      <c r="P116" s="84">
        <v>304090</v>
      </c>
      <c r="Q116" s="84">
        <v>306105</v>
      </c>
      <c r="R116" s="84">
        <v>286099</v>
      </c>
      <c r="S116" s="84">
        <v>260543</v>
      </c>
      <c r="T116" s="84">
        <v>202864</v>
      </c>
      <c r="U116" s="84">
        <v>180351</v>
      </c>
      <c r="V116" s="84">
        <v>161292</v>
      </c>
      <c r="W116" s="84">
        <v>118890</v>
      </c>
      <c r="X116" s="84">
        <v>80271</v>
      </c>
      <c r="Y116" s="84">
        <v>58296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13000</v>
      </c>
      <c r="D117" s="84">
        <v>2000</v>
      </c>
      <c r="E117" s="84">
        <v>0</v>
      </c>
      <c r="F117" s="84">
        <v>0</v>
      </c>
      <c r="G117" s="84">
        <v>326</v>
      </c>
      <c r="H117" s="84">
        <v>476</v>
      </c>
      <c r="I117" s="84">
        <v>368</v>
      </c>
      <c r="J117" s="84">
        <v>402</v>
      </c>
      <c r="K117" s="84">
        <v>296</v>
      </c>
      <c r="L117" s="84">
        <v>249</v>
      </c>
      <c r="M117" s="84">
        <v>8978</v>
      </c>
      <c r="N117" s="84">
        <v>6509</v>
      </c>
      <c r="O117" s="84">
        <v>1066</v>
      </c>
      <c r="P117" s="84">
        <v>7475</v>
      </c>
      <c r="Q117" s="84">
        <v>18985</v>
      </c>
      <c r="R117" s="84">
        <v>76</v>
      </c>
      <c r="S117" s="84">
        <v>84</v>
      </c>
      <c r="T117" s="84">
        <v>51</v>
      </c>
      <c r="U117" s="84">
        <v>165</v>
      </c>
      <c r="V117" s="84">
        <v>987</v>
      </c>
      <c r="W117" s="84">
        <v>2084</v>
      </c>
      <c r="X117" s="84">
        <v>2462</v>
      </c>
      <c r="Y117" s="84">
        <v>3461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220</v>
      </c>
      <c r="G118" s="84">
        <v>38</v>
      </c>
      <c r="H118" s="84">
        <v>4</v>
      </c>
      <c r="I118" s="84">
        <v>1</v>
      </c>
      <c r="J118" s="84">
        <v>0</v>
      </c>
      <c r="K118" s="84">
        <v>0</v>
      </c>
      <c r="L118" s="84">
        <v>0</v>
      </c>
      <c r="M118" s="84">
        <v>18</v>
      </c>
      <c r="N118" s="84">
        <v>57</v>
      </c>
      <c r="O118" s="84">
        <v>146</v>
      </c>
      <c r="P118" s="84">
        <v>925</v>
      </c>
      <c r="Q118" s="84">
        <v>941</v>
      </c>
      <c r="R118" s="84">
        <v>2146</v>
      </c>
      <c r="S118" s="84">
        <v>2502</v>
      </c>
      <c r="T118" s="84">
        <v>4639</v>
      </c>
      <c r="U118" s="84">
        <v>4128</v>
      </c>
      <c r="V118" s="84">
        <v>3332</v>
      </c>
      <c r="W118" s="84">
        <v>1212</v>
      </c>
      <c r="X118" s="84">
        <v>425</v>
      </c>
      <c r="Y118" s="84">
        <v>98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16</v>
      </c>
      <c r="N119" s="84">
        <v>326</v>
      </c>
      <c r="O119" s="84">
        <v>167</v>
      </c>
      <c r="P119" s="84">
        <v>800</v>
      </c>
      <c r="Q119" s="84">
        <v>2939</v>
      </c>
      <c r="R119" s="84">
        <v>7324</v>
      </c>
      <c r="S119" s="84">
        <v>11651</v>
      </c>
      <c r="T119" s="84">
        <v>10732</v>
      </c>
      <c r="U119" s="84">
        <v>8982</v>
      </c>
      <c r="V119" s="84">
        <v>33006</v>
      </c>
      <c r="W119" s="84">
        <v>48676</v>
      </c>
      <c r="X119" s="84">
        <v>60541</v>
      </c>
      <c r="Y119" s="84">
        <v>100429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9</v>
      </c>
      <c r="K120" s="84">
        <v>4</v>
      </c>
      <c r="L120" s="84">
        <v>54</v>
      </c>
      <c r="M120" s="84">
        <v>288</v>
      </c>
      <c r="N120" s="84">
        <v>585</v>
      </c>
      <c r="O120" s="84">
        <v>501</v>
      </c>
      <c r="P120" s="84">
        <v>1339</v>
      </c>
      <c r="Q120" s="84">
        <v>1613</v>
      </c>
      <c r="R120" s="84">
        <v>2216</v>
      </c>
      <c r="S120" s="84">
        <v>4203</v>
      </c>
      <c r="T120" s="84">
        <v>4041</v>
      </c>
      <c r="U120" s="84">
        <v>8892</v>
      </c>
      <c r="V120" s="84">
        <v>15044</v>
      </c>
      <c r="W120" s="84">
        <v>22774</v>
      </c>
      <c r="X120" s="84">
        <v>37815</v>
      </c>
      <c r="Y120" s="84">
        <v>93482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1150</v>
      </c>
      <c r="C121" s="110">
        <f t="shared" si="179"/>
        <v>1209</v>
      </c>
      <c r="D121" s="110">
        <f t="shared" si="179"/>
        <v>1323</v>
      </c>
      <c r="E121" s="110">
        <f t="shared" si="179"/>
        <v>1144</v>
      </c>
      <c r="F121" s="110">
        <f t="shared" si="179"/>
        <v>1163</v>
      </c>
      <c r="G121" s="110">
        <f t="shared" si="179"/>
        <v>1128</v>
      </c>
      <c r="H121" s="110">
        <f t="shared" si="179"/>
        <v>1165</v>
      </c>
      <c r="I121" s="110">
        <f t="shared" si="179"/>
        <v>1348</v>
      </c>
      <c r="J121" s="110">
        <f t="shared" si="179"/>
        <v>1471</v>
      </c>
      <c r="K121" s="110">
        <f t="shared" si="179"/>
        <v>1249</v>
      </c>
      <c r="L121" s="110">
        <f t="shared" ref="L121" si="180">SUM(L122:L126)</f>
        <v>1288</v>
      </c>
      <c r="M121" s="110">
        <f t="shared" ref="M121:V121" si="181">SUM(M122:M126)</f>
        <v>983</v>
      </c>
      <c r="N121" s="110">
        <f t="shared" si="181"/>
        <v>1190</v>
      </c>
      <c r="O121" s="110">
        <f t="shared" si="181"/>
        <v>1094</v>
      </c>
      <c r="P121" s="110">
        <f t="shared" si="181"/>
        <v>1418</v>
      </c>
      <c r="Q121" s="110">
        <f t="shared" si="181"/>
        <v>1264</v>
      </c>
      <c r="R121" s="110">
        <f t="shared" si="181"/>
        <v>1072</v>
      </c>
      <c r="S121" s="110">
        <f t="shared" si="181"/>
        <v>1129</v>
      </c>
      <c r="T121" s="110">
        <f t="shared" si="181"/>
        <v>1318</v>
      </c>
      <c r="U121" s="110">
        <f t="shared" si="181"/>
        <v>1566</v>
      </c>
      <c r="V121" s="110">
        <f t="shared" si="181"/>
        <v>1329</v>
      </c>
      <c r="W121" s="110">
        <f t="shared" ref="W121:Y121" si="182">SUM(W122:W126)</f>
        <v>1625</v>
      </c>
      <c r="X121" s="110">
        <f t="shared" si="182"/>
        <v>1502</v>
      </c>
      <c r="Y121" s="110">
        <f t="shared" si="182"/>
        <v>1490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1</v>
      </c>
      <c r="L122" s="102">
        <v>2</v>
      </c>
      <c r="M122" s="102">
        <v>2</v>
      </c>
      <c r="N122" s="102">
        <v>0</v>
      </c>
      <c r="O122" s="102">
        <v>0</v>
      </c>
      <c r="P122" s="102">
        <v>0</v>
      </c>
      <c r="Q122" s="102">
        <v>1</v>
      </c>
      <c r="R122" s="102">
        <v>1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1150</v>
      </c>
      <c r="C123" s="102">
        <v>1209</v>
      </c>
      <c r="D123" s="102">
        <v>1323</v>
      </c>
      <c r="E123" s="102">
        <v>1144</v>
      </c>
      <c r="F123" s="102">
        <v>1163</v>
      </c>
      <c r="G123" s="102">
        <v>1109</v>
      </c>
      <c r="H123" s="102">
        <v>1165</v>
      </c>
      <c r="I123" s="102">
        <v>1348</v>
      </c>
      <c r="J123" s="102">
        <v>1471</v>
      </c>
      <c r="K123" s="102">
        <v>1248</v>
      </c>
      <c r="L123" s="102">
        <v>1286</v>
      </c>
      <c r="M123" s="102">
        <v>981</v>
      </c>
      <c r="N123" s="102">
        <v>1190</v>
      </c>
      <c r="O123" s="102">
        <v>1088</v>
      </c>
      <c r="P123" s="102">
        <v>1415</v>
      </c>
      <c r="Q123" s="102">
        <v>1263</v>
      </c>
      <c r="R123" s="102">
        <v>1069</v>
      </c>
      <c r="S123" s="102">
        <v>1127</v>
      </c>
      <c r="T123" s="102">
        <v>1279</v>
      </c>
      <c r="U123" s="102">
        <v>1526</v>
      </c>
      <c r="V123" s="102">
        <v>1299</v>
      </c>
      <c r="W123" s="102">
        <v>1479</v>
      </c>
      <c r="X123" s="102">
        <v>1427</v>
      </c>
      <c r="Y123" s="102">
        <v>1267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6</v>
      </c>
      <c r="P125" s="102">
        <v>0</v>
      </c>
      <c r="Q125" s="102">
        <v>0</v>
      </c>
      <c r="R125" s="102">
        <v>2</v>
      </c>
      <c r="S125" s="102">
        <v>2</v>
      </c>
      <c r="T125" s="102">
        <v>18</v>
      </c>
      <c r="U125" s="102">
        <v>2</v>
      </c>
      <c r="V125" s="102">
        <v>13</v>
      </c>
      <c r="W125" s="102">
        <v>115</v>
      </c>
      <c r="X125" s="102">
        <v>29</v>
      </c>
      <c r="Y125" s="102">
        <v>1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19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3</v>
      </c>
      <c r="Q126" s="102">
        <v>0</v>
      </c>
      <c r="R126" s="102">
        <v>0</v>
      </c>
      <c r="S126" s="102">
        <v>0</v>
      </c>
      <c r="T126" s="102">
        <v>21</v>
      </c>
      <c r="U126" s="102">
        <v>38</v>
      </c>
      <c r="V126" s="102">
        <v>17</v>
      </c>
      <c r="W126" s="102">
        <v>31</v>
      </c>
      <c r="X126" s="102">
        <v>46</v>
      </c>
      <c r="Y126" s="102">
        <v>222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1636</v>
      </c>
      <c r="C127" s="28">
        <f t="shared" si="183"/>
        <v>122933</v>
      </c>
      <c r="D127" s="28">
        <f t="shared" si="183"/>
        <v>38296</v>
      </c>
      <c r="E127" s="28">
        <f t="shared" si="183"/>
        <v>76534</v>
      </c>
      <c r="F127" s="28">
        <f t="shared" si="183"/>
        <v>84270</v>
      </c>
      <c r="G127" s="28">
        <f t="shared" si="183"/>
        <v>76948</v>
      </c>
      <c r="H127" s="28">
        <f t="shared" si="183"/>
        <v>67346</v>
      </c>
      <c r="I127" s="28">
        <f t="shared" si="183"/>
        <v>69394</v>
      </c>
      <c r="J127" s="28">
        <f t="shared" si="183"/>
        <v>82585</v>
      </c>
      <c r="K127" s="28">
        <f t="shared" si="183"/>
        <v>81856</v>
      </c>
      <c r="L127" s="28">
        <f t="shared" ref="L127" si="184">L128+L134</f>
        <v>91783</v>
      </c>
      <c r="M127" s="28">
        <f t="shared" ref="M127:V127" si="185">M128+M134</f>
        <v>105065</v>
      </c>
      <c r="N127" s="28">
        <f t="shared" si="185"/>
        <v>94693</v>
      </c>
      <c r="O127" s="28">
        <f t="shared" si="185"/>
        <v>103139</v>
      </c>
      <c r="P127" s="28">
        <f t="shared" si="185"/>
        <v>95727</v>
      </c>
      <c r="Q127" s="28">
        <f t="shared" si="185"/>
        <v>102142</v>
      </c>
      <c r="R127" s="28">
        <f t="shared" si="185"/>
        <v>74476</v>
      </c>
      <c r="S127" s="28">
        <f t="shared" si="185"/>
        <v>81981</v>
      </c>
      <c r="T127" s="28">
        <f t="shared" si="185"/>
        <v>93041</v>
      </c>
      <c r="U127" s="28">
        <f t="shared" si="185"/>
        <v>98132</v>
      </c>
      <c r="V127" s="28">
        <f t="shared" si="185"/>
        <v>85285</v>
      </c>
      <c r="W127" s="28">
        <f t="shared" ref="W127:Y127" si="186">W128+W134</f>
        <v>84088</v>
      </c>
      <c r="X127" s="28">
        <f t="shared" si="186"/>
        <v>68161</v>
      </c>
      <c r="Y127" s="28">
        <f t="shared" si="186"/>
        <v>82806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79843</v>
      </c>
      <c r="D128" s="137">
        <f t="shared" si="187"/>
        <v>34229</v>
      </c>
      <c r="E128" s="137">
        <f t="shared" si="187"/>
        <v>68577</v>
      </c>
      <c r="F128" s="137">
        <f t="shared" si="187"/>
        <v>71515</v>
      </c>
      <c r="G128" s="137">
        <f t="shared" si="187"/>
        <v>66152</v>
      </c>
      <c r="H128" s="137">
        <f t="shared" si="187"/>
        <v>57676</v>
      </c>
      <c r="I128" s="137">
        <f t="shared" si="187"/>
        <v>59041</v>
      </c>
      <c r="J128" s="137">
        <f t="shared" si="187"/>
        <v>66577</v>
      </c>
      <c r="K128" s="137">
        <f t="shared" si="187"/>
        <v>73867</v>
      </c>
      <c r="L128" s="137">
        <f t="shared" ref="L128" si="188">SUM(L129:L133)</f>
        <v>85572</v>
      </c>
      <c r="M128" s="137">
        <f t="shared" ref="M128:V128" si="189">SUM(M129:M133)</f>
        <v>82246</v>
      </c>
      <c r="N128" s="137">
        <f t="shared" si="189"/>
        <v>85552</v>
      </c>
      <c r="O128" s="137">
        <f t="shared" si="189"/>
        <v>87746</v>
      </c>
      <c r="P128" s="137">
        <f t="shared" si="189"/>
        <v>80530</v>
      </c>
      <c r="Q128" s="137">
        <f t="shared" si="189"/>
        <v>76103</v>
      </c>
      <c r="R128" s="137">
        <f t="shared" si="189"/>
        <v>69334</v>
      </c>
      <c r="S128" s="137">
        <f t="shared" si="189"/>
        <v>77526</v>
      </c>
      <c r="T128" s="137">
        <f t="shared" si="189"/>
        <v>79520</v>
      </c>
      <c r="U128" s="137">
        <f t="shared" si="189"/>
        <v>83062</v>
      </c>
      <c r="V128" s="137">
        <f t="shared" si="189"/>
        <v>73919</v>
      </c>
      <c r="W128" s="137">
        <f t="shared" ref="W128:Y128" si="190">SUM(W129:W133)</f>
        <v>71241</v>
      </c>
      <c r="X128" s="137">
        <f t="shared" si="190"/>
        <v>55936</v>
      </c>
      <c r="Y128" s="137">
        <f t="shared" si="190"/>
        <v>68854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4745</v>
      </c>
      <c r="D129" s="84">
        <v>4698</v>
      </c>
      <c r="E129" s="84">
        <v>4213</v>
      </c>
      <c r="F129" s="84">
        <v>3557</v>
      </c>
      <c r="G129" s="84">
        <v>2503</v>
      </c>
      <c r="H129" s="84">
        <v>684</v>
      </c>
      <c r="I129" s="84">
        <v>871</v>
      </c>
      <c r="J129" s="84">
        <v>4034</v>
      </c>
      <c r="K129" s="84">
        <v>3368</v>
      </c>
      <c r="L129" s="84">
        <v>3906</v>
      </c>
      <c r="M129" s="84">
        <v>2456</v>
      </c>
      <c r="N129" s="84">
        <v>2442</v>
      </c>
      <c r="O129" s="84">
        <v>1686</v>
      </c>
      <c r="P129" s="84">
        <v>1357</v>
      </c>
      <c r="Q129" s="84">
        <v>1821</v>
      </c>
      <c r="R129" s="84">
        <v>3022</v>
      </c>
      <c r="S129" s="84">
        <v>4273</v>
      </c>
      <c r="T129" s="84">
        <v>7073</v>
      </c>
      <c r="U129" s="84">
        <v>5495</v>
      </c>
      <c r="V129" s="84">
        <v>3635</v>
      </c>
      <c r="W129" s="84">
        <v>3814</v>
      </c>
      <c r="X129" s="84">
        <v>3694</v>
      </c>
      <c r="Y129" s="84">
        <v>4676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68891</v>
      </c>
      <c r="D130" s="84">
        <v>28089</v>
      </c>
      <c r="E130" s="84">
        <v>63536</v>
      </c>
      <c r="F130" s="84">
        <v>65575</v>
      </c>
      <c r="G130" s="84">
        <v>61821</v>
      </c>
      <c r="H130" s="84">
        <v>54993</v>
      </c>
      <c r="I130" s="84">
        <v>57829</v>
      </c>
      <c r="J130" s="84">
        <v>60414</v>
      </c>
      <c r="K130" s="84">
        <v>68462</v>
      </c>
      <c r="L130" s="84">
        <v>79855</v>
      </c>
      <c r="M130" s="84">
        <v>76184</v>
      </c>
      <c r="N130" s="84">
        <v>80622</v>
      </c>
      <c r="O130" s="84">
        <v>85881</v>
      </c>
      <c r="P130" s="84">
        <v>78869</v>
      </c>
      <c r="Q130" s="84">
        <v>73899</v>
      </c>
      <c r="R130" s="84">
        <v>65717</v>
      </c>
      <c r="S130" s="84">
        <v>72447</v>
      </c>
      <c r="T130" s="84">
        <v>71285</v>
      </c>
      <c r="U130" s="84">
        <v>75867</v>
      </c>
      <c r="V130" s="84">
        <v>68082</v>
      </c>
      <c r="W130" s="84">
        <v>65810</v>
      </c>
      <c r="X130" s="84">
        <v>49886</v>
      </c>
      <c r="Y130" s="84">
        <v>60490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6207</v>
      </c>
      <c r="D131" s="84">
        <v>1442</v>
      </c>
      <c r="E131" s="84">
        <v>828</v>
      </c>
      <c r="F131" s="84">
        <v>2383</v>
      </c>
      <c r="G131" s="84">
        <v>1828</v>
      </c>
      <c r="H131" s="84">
        <v>1999</v>
      </c>
      <c r="I131" s="84">
        <v>341</v>
      </c>
      <c r="J131" s="84">
        <v>2012</v>
      </c>
      <c r="K131" s="84">
        <v>2014</v>
      </c>
      <c r="L131" s="84">
        <v>1792</v>
      </c>
      <c r="M131" s="84">
        <v>3590</v>
      </c>
      <c r="N131" s="84">
        <v>2104</v>
      </c>
      <c r="O131" s="84">
        <v>11</v>
      </c>
      <c r="P131" s="84">
        <v>30</v>
      </c>
      <c r="Q131" s="84">
        <v>12</v>
      </c>
      <c r="R131" s="84">
        <v>4</v>
      </c>
      <c r="S131" s="84">
        <v>5</v>
      </c>
      <c r="T131" s="84">
        <v>9</v>
      </c>
      <c r="U131" s="84">
        <v>6</v>
      </c>
      <c r="V131" s="84">
        <v>767</v>
      </c>
      <c r="W131" s="84">
        <v>251</v>
      </c>
      <c r="X131" s="84">
        <v>246</v>
      </c>
      <c r="Y131" s="84">
        <v>308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59</v>
      </c>
      <c r="K132" s="84">
        <v>20</v>
      </c>
      <c r="L132" s="84">
        <v>18</v>
      </c>
      <c r="M132" s="84">
        <v>0</v>
      </c>
      <c r="N132" s="84">
        <v>131</v>
      </c>
      <c r="O132" s="84">
        <v>62</v>
      </c>
      <c r="P132" s="84">
        <v>180</v>
      </c>
      <c r="Q132" s="84">
        <v>302</v>
      </c>
      <c r="R132" s="84">
        <v>418</v>
      </c>
      <c r="S132" s="84">
        <v>619</v>
      </c>
      <c r="T132" s="84">
        <v>894</v>
      </c>
      <c r="U132" s="84">
        <v>1284</v>
      </c>
      <c r="V132" s="84">
        <v>979</v>
      </c>
      <c r="W132" s="84">
        <v>660</v>
      </c>
      <c r="X132" s="84">
        <v>295</v>
      </c>
      <c r="Y132" s="84">
        <v>330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58</v>
      </c>
      <c r="K133" s="84">
        <v>3</v>
      </c>
      <c r="L133" s="84">
        <v>1</v>
      </c>
      <c r="M133" s="84">
        <v>16</v>
      </c>
      <c r="N133" s="84">
        <v>253</v>
      </c>
      <c r="O133" s="84">
        <v>106</v>
      </c>
      <c r="P133" s="84">
        <v>94</v>
      </c>
      <c r="Q133" s="84">
        <v>69</v>
      </c>
      <c r="R133" s="84">
        <v>173</v>
      </c>
      <c r="S133" s="84">
        <v>182</v>
      </c>
      <c r="T133" s="84">
        <v>259</v>
      </c>
      <c r="U133" s="84">
        <v>410</v>
      </c>
      <c r="V133" s="84">
        <v>456</v>
      </c>
      <c r="W133" s="84">
        <v>706</v>
      </c>
      <c r="X133" s="84">
        <v>1815</v>
      </c>
      <c r="Y133" s="84">
        <v>3050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1636</v>
      </c>
      <c r="C134" s="110">
        <f t="shared" si="191"/>
        <v>43090</v>
      </c>
      <c r="D134" s="110">
        <f t="shared" si="191"/>
        <v>4067</v>
      </c>
      <c r="E134" s="110">
        <f t="shared" si="191"/>
        <v>7957</v>
      </c>
      <c r="F134" s="110">
        <f t="shared" si="191"/>
        <v>12755</v>
      </c>
      <c r="G134" s="110">
        <f t="shared" si="191"/>
        <v>10796</v>
      </c>
      <c r="H134" s="110">
        <f t="shared" si="191"/>
        <v>9670</v>
      </c>
      <c r="I134" s="110">
        <f t="shared" si="191"/>
        <v>10353</v>
      </c>
      <c r="J134" s="110">
        <f t="shared" si="191"/>
        <v>16008</v>
      </c>
      <c r="K134" s="110">
        <f t="shared" si="191"/>
        <v>7989</v>
      </c>
      <c r="L134" s="110">
        <f t="shared" ref="L134" si="192">SUM(L135:L136)</f>
        <v>6211</v>
      </c>
      <c r="M134" s="110">
        <f t="shared" ref="M134:V134" si="193">SUM(M135:M136)</f>
        <v>22819</v>
      </c>
      <c r="N134" s="110">
        <f t="shared" si="193"/>
        <v>9141</v>
      </c>
      <c r="O134" s="110">
        <f t="shared" si="193"/>
        <v>15393</v>
      </c>
      <c r="P134" s="110">
        <f t="shared" si="193"/>
        <v>15197</v>
      </c>
      <c r="Q134" s="110">
        <f t="shared" si="193"/>
        <v>26039</v>
      </c>
      <c r="R134" s="110">
        <f t="shared" si="193"/>
        <v>5142</v>
      </c>
      <c r="S134" s="110">
        <f t="shared" si="193"/>
        <v>4455</v>
      </c>
      <c r="T134" s="110">
        <f t="shared" si="193"/>
        <v>13521</v>
      </c>
      <c r="U134" s="110">
        <f t="shared" si="193"/>
        <v>15070</v>
      </c>
      <c r="V134" s="110">
        <f t="shared" si="193"/>
        <v>11366</v>
      </c>
      <c r="W134" s="110">
        <f t="shared" ref="W134:Y134" si="194">SUM(W135:W136)</f>
        <v>12847</v>
      </c>
      <c r="X134" s="110">
        <f t="shared" si="194"/>
        <v>12225</v>
      </c>
      <c r="Y134" s="110">
        <f t="shared" si="194"/>
        <v>13952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41194</v>
      </c>
      <c r="D135" s="102">
        <v>2285</v>
      </c>
      <c r="E135" s="102">
        <v>6524</v>
      </c>
      <c r="F135" s="102">
        <v>8140</v>
      </c>
      <c r="G135" s="102">
        <v>8661</v>
      </c>
      <c r="H135" s="102">
        <v>7580</v>
      </c>
      <c r="I135" s="102">
        <v>7862</v>
      </c>
      <c r="J135" s="102">
        <v>14331</v>
      </c>
      <c r="K135" s="102">
        <v>7504</v>
      </c>
      <c r="L135" s="102">
        <v>4099</v>
      </c>
      <c r="M135" s="102">
        <v>20794</v>
      </c>
      <c r="N135" s="102">
        <v>7184</v>
      </c>
      <c r="O135" s="102">
        <v>12633</v>
      </c>
      <c r="P135" s="102">
        <v>13155</v>
      </c>
      <c r="Q135" s="102">
        <v>23527</v>
      </c>
      <c r="R135" s="102">
        <v>1593</v>
      </c>
      <c r="S135" s="102">
        <v>2073</v>
      </c>
      <c r="T135" s="102">
        <v>12682</v>
      </c>
      <c r="U135" s="102">
        <v>12483</v>
      </c>
      <c r="V135" s="102">
        <v>9112</v>
      </c>
      <c r="W135" s="102">
        <v>10179</v>
      </c>
      <c r="X135" s="102">
        <v>11393</v>
      </c>
      <c r="Y135" s="102">
        <v>12202</v>
      </c>
      <c r="DA135" s="175" t="s">
        <v>550</v>
      </c>
    </row>
    <row r="136" spans="1:105" ht="11.45" customHeight="1" x14ac:dyDescent="0.25">
      <c r="A136" s="138" t="s">
        <v>116</v>
      </c>
      <c r="B136" s="86">
        <v>1636</v>
      </c>
      <c r="C136" s="86">
        <v>1896</v>
      </c>
      <c r="D136" s="86">
        <v>1782</v>
      </c>
      <c r="E136" s="86">
        <v>1433</v>
      </c>
      <c r="F136" s="86">
        <v>4615</v>
      </c>
      <c r="G136" s="86">
        <v>2135</v>
      </c>
      <c r="H136" s="86">
        <v>2090</v>
      </c>
      <c r="I136" s="86">
        <v>2491</v>
      </c>
      <c r="J136" s="86">
        <v>1677</v>
      </c>
      <c r="K136" s="86">
        <v>485</v>
      </c>
      <c r="L136" s="86">
        <v>2112</v>
      </c>
      <c r="M136" s="86">
        <v>2025</v>
      </c>
      <c r="N136" s="86">
        <v>1957</v>
      </c>
      <c r="O136" s="86">
        <v>2760</v>
      </c>
      <c r="P136" s="86">
        <v>2042</v>
      </c>
      <c r="Q136" s="86">
        <v>2512</v>
      </c>
      <c r="R136" s="86">
        <v>3549</v>
      </c>
      <c r="S136" s="86">
        <v>2382</v>
      </c>
      <c r="T136" s="86">
        <v>839</v>
      </c>
      <c r="U136" s="86">
        <v>2587</v>
      </c>
      <c r="V136" s="86">
        <v>2254</v>
      </c>
      <c r="W136" s="86">
        <v>2668</v>
      </c>
      <c r="X136" s="86">
        <v>832</v>
      </c>
      <c r="Y136" s="86">
        <v>1750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1.499802467083174</v>
      </c>
      <c r="C141" s="32">
        <f t="shared" si="195"/>
        <v>1.4643703847941993</v>
      </c>
      <c r="D141" s="32">
        <f t="shared" si="195"/>
        <v>1.4950189150811677</v>
      </c>
      <c r="E141" s="32">
        <f t="shared" si="195"/>
        <v>1.4374291013325522</v>
      </c>
      <c r="F141" s="32">
        <f t="shared" si="195"/>
        <v>1.438825676600348</v>
      </c>
      <c r="G141" s="32">
        <f t="shared" si="195"/>
        <v>1.4904202451325432</v>
      </c>
      <c r="H141" s="32">
        <f t="shared" si="195"/>
        <v>1.4528519581246306</v>
      </c>
      <c r="I141" s="32">
        <f t="shared" si="195"/>
        <v>1.4217177239627226</v>
      </c>
      <c r="J141" s="32">
        <f t="shared" si="195"/>
        <v>1.412485230772718</v>
      </c>
      <c r="K141" s="32">
        <f t="shared" si="195"/>
        <v>1.4063832082950305</v>
      </c>
      <c r="L141" s="32">
        <f t="shared" ref="L141" si="196">IF(L4=0,0,L4/L31)</f>
        <v>1.4200450101700344</v>
      </c>
      <c r="M141" s="32">
        <f t="shared" ref="M141:V141" si="197">IF(M4=0,0,M4/M31)</f>
        <v>1.4187372707737815</v>
      </c>
      <c r="N141" s="32">
        <f t="shared" si="197"/>
        <v>1.4389071108898099</v>
      </c>
      <c r="O141" s="32">
        <f t="shared" si="197"/>
        <v>1.383631803596451</v>
      </c>
      <c r="P141" s="32">
        <f t="shared" si="197"/>
        <v>1.3592272561782635</v>
      </c>
      <c r="Q141" s="32">
        <f t="shared" si="197"/>
        <v>1.2955214066391769</v>
      </c>
      <c r="R141" s="32">
        <f t="shared" si="197"/>
        <v>1.3097396552625316</v>
      </c>
      <c r="S141" s="32">
        <f t="shared" si="197"/>
        <v>1.3566839723441377</v>
      </c>
      <c r="T141" s="32">
        <f t="shared" si="197"/>
        <v>1.3616752593017272</v>
      </c>
      <c r="U141" s="32">
        <f t="shared" si="197"/>
        <v>1.3630601894629311</v>
      </c>
      <c r="V141" s="32">
        <f t="shared" si="197"/>
        <v>1.3142131272774598</v>
      </c>
      <c r="W141" s="32">
        <f t="shared" ref="W141:Y141" si="198">IF(W4=0,0,W4/W31)</f>
        <v>1.3291589900592216</v>
      </c>
      <c r="X141" s="32">
        <f t="shared" si="198"/>
        <v>1.325749054137255</v>
      </c>
      <c r="Y141" s="32">
        <f t="shared" si="198"/>
        <v>1.3336137201308584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1.1549472685768511</v>
      </c>
      <c r="C142" s="141">
        <v>1.1549251164250127</v>
      </c>
      <c r="D142" s="141">
        <v>1.154724433005738</v>
      </c>
      <c r="E142" s="141">
        <v>1.1552093820866827</v>
      </c>
      <c r="F142" s="141">
        <v>1.155364085651108</v>
      </c>
      <c r="G142" s="141">
        <v>1.1543178727366703</v>
      </c>
      <c r="H142" s="141">
        <v>1.1546398637822315</v>
      </c>
      <c r="I142" s="141">
        <v>1.1564931393319673</v>
      </c>
      <c r="J142" s="141">
        <v>1.1571017737935942</v>
      </c>
      <c r="K142" s="141">
        <v>1.157657056258365</v>
      </c>
      <c r="L142" s="141">
        <v>1.1556682113354204</v>
      </c>
      <c r="M142" s="141">
        <v>1.1546558434345866</v>
      </c>
      <c r="N142" s="141">
        <v>1.1475295413899493</v>
      </c>
      <c r="O142" s="141">
        <v>1.1469392088128176</v>
      </c>
      <c r="P142" s="141">
        <v>1.149429532231234</v>
      </c>
      <c r="Q142" s="141">
        <v>1.1514161199072457</v>
      </c>
      <c r="R142" s="141">
        <v>1.1516846407711125</v>
      </c>
      <c r="S142" s="141">
        <v>1.1510134085872903</v>
      </c>
      <c r="T142" s="141">
        <v>1.1505787110232641</v>
      </c>
      <c r="U142" s="141">
        <v>1.1513721008465259</v>
      </c>
      <c r="V142" s="141">
        <v>1.1501588031969117</v>
      </c>
      <c r="W142" s="141">
        <v>1.1507287730657618</v>
      </c>
      <c r="X142" s="141">
        <v>1.1507853414365188</v>
      </c>
      <c r="Y142" s="141">
        <v>1.1521606464049665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1.3446704890267727</v>
      </c>
      <c r="C143" s="130">
        <f t="shared" si="199"/>
        <v>1.3080931751700571</v>
      </c>
      <c r="D143" s="130">
        <f t="shared" si="199"/>
        <v>1.3252113713777218</v>
      </c>
      <c r="E143" s="130">
        <f t="shared" si="199"/>
        <v>1.2532676382450476</v>
      </c>
      <c r="F143" s="130">
        <f t="shared" si="199"/>
        <v>1.248513688257386</v>
      </c>
      <c r="G143" s="130">
        <f t="shared" si="199"/>
        <v>1.289874141564709</v>
      </c>
      <c r="H143" s="130">
        <f t="shared" si="199"/>
        <v>1.2502639876957145</v>
      </c>
      <c r="I143" s="130">
        <f t="shared" si="199"/>
        <v>1.2194240418707727</v>
      </c>
      <c r="J143" s="130">
        <f t="shared" si="199"/>
        <v>1.2278426763058288</v>
      </c>
      <c r="K143" s="130">
        <f t="shared" si="199"/>
        <v>1.2222217009822547</v>
      </c>
      <c r="L143" s="130">
        <f t="shared" ref="L143" si="200">IF(L6=0,0,L6/L33)</f>
        <v>1.2386145328787557</v>
      </c>
      <c r="M143" s="130">
        <f t="shared" ref="M143:V143" si="201">IF(M6=0,0,M6/M33)</f>
        <v>1.2352451834859572</v>
      </c>
      <c r="N143" s="130">
        <f t="shared" si="201"/>
        <v>1.2509175160163777</v>
      </c>
      <c r="O143" s="130">
        <f t="shared" si="201"/>
        <v>1.2157159288550872</v>
      </c>
      <c r="P143" s="130">
        <f t="shared" si="201"/>
        <v>1.2014029082962856</v>
      </c>
      <c r="Q143" s="130">
        <f t="shared" si="201"/>
        <v>1.1522284871059194</v>
      </c>
      <c r="R143" s="130">
        <f t="shared" si="201"/>
        <v>1.1713951657248893</v>
      </c>
      <c r="S143" s="130">
        <f t="shared" si="201"/>
        <v>1.2174913766082307</v>
      </c>
      <c r="T143" s="130">
        <f t="shared" si="201"/>
        <v>1.2208832204476565</v>
      </c>
      <c r="U143" s="130">
        <f t="shared" si="201"/>
        <v>1.2209870987898808</v>
      </c>
      <c r="V143" s="130">
        <f t="shared" si="201"/>
        <v>1.2106269008310824</v>
      </c>
      <c r="W143" s="130">
        <f t="shared" ref="W143:Y143" si="202">IF(W6=0,0,W6/W33)</f>
        <v>1.2254735509037229</v>
      </c>
      <c r="X143" s="130">
        <f t="shared" si="202"/>
        <v>1.1977248734871329</v>
      </c>
      <c r="Y143" s="130">
        <f t="shared" si="202"/>
        <v>1.1937597862969047</v>
      </c>
      <c r="DA143" s="176" t="s">
        <v>554</v>
      </c>
    </row>
    <row r="144" spans="1:105" ht="11.45" customHeight="1" x14ac:dyDescent="0.25">
      <c r="A144" s="111" t="s">
        <v>110</v>
      </c>
      <c r="B144" s="96">
        <v>1.3118924654354589</v>
      </c>
      <c r="C144" s="96">
        <v>1.2749010930893676</v>
      </c>
      <c r="D144" s="96">
        <v>1.2904393601617461</v>
      </c>
      <c r="E144" s="96">
        <v>1.2198384012826651</v>
      </c>
      <c r="F144" s="96">
        <v>1.2128821232634599</v>
      </c>
      <c r="G144" s="96">
        <v>1.2522388022922433</v>
      </c>
      <c r="H144" s="96">
        <v>1.2119738496643577</v>
      </c>
      <c r="I144" s="96">
        <v>1.1805414790854973</v>
      </c>
      <c r="J144" s="96">
        <v>1.1871701012978215</v>
      </c>
      <c r="K144" s="96">
        <v>1.1811180873270437</v>
      </c>
      <c r="L144" s="96">
        <v>1.1960350242186661</v>
      </c>
      <c r="M144" s="96">
        <v>1.192460628978437</v>
      </c>
      <c r="N144" s="96">
        <v>1.2075685492410664</v>
      </c>
      <c r="O144" s="96">
        <v>1.1739528196408351</v>
      </c>
      <c r="P144" s="96">
        <v>1.1606791289622203</v>
      </c>
      <c r="Q144" s="96">
        <v>1.1138941311816122</v>
      </c>
      <c r="R144" s="96">
        <v>1.1334702644846071</v>
      </c>
      <c r="S144" s="96">
        <v>1.1794911768760381</v>
      </c>
      <c r="T144" s="96">
        <v>1.1850193827314672</v>
      </c>
      <c r="U144" s="96">
        <v>1.1877306285175098</v>
      </c>
      <c r="V144" s="96">
        <v>1.1783503605257271</v>
      </c>
      <c r="W144" s="96">
        <v>1.1960342648640463</v>
      </c>
      <c r="X144" s="96">
        <v>1.1725508363909751</v>
      </c>
      <c r="Y144" s="96">
        <v>1.1735224634759016</v>
      </c>
      <c r="DA144" s="171" t="s">
        <v>555</v>
      </c>
    </row>
    <row r="145" spans="1:105" ht="11.45" customHeight="1" x14ac:dyDescent="0.25">
      <c r="A145" s="111" t="s">
        <v>111</v>
      </c>
      <c r="B145" s="96">
        <v>1.3714617459982603</v>
      </c>
      <c r="C145" s="96">
        <v>1.332790701349946</v>
      </c>
      <c r="D145" s="96">
        <v>1.3490345166399424</v>
      </c>
      <c r="E145" s="96">
        <v>1.275227770367247</v>
      </c>
      <c r="F145" s="96">
        <v>1.2679556276808404</v>
      </c>
      <c r="G145" s="96">
        <v>1.3090993808158138</v>
      </c>
      <c r="H145" s="96">
        <v>1.267006111978229</v>
      </c>
      <c r="I145" s="96">
        <v>1.234146487450513</v>
      </c>
      <c r="J145" s="96">
        <v>1.241076096418013</v>
      </c>
      <c r="K145" s="96">
        <v>1.2347492778213276</v>
      </c>
      <c r="L145" s="96">
        <v>1.2503435501060909</v>
      </c>
      <c r="M145" s="96">
        <v>1.2466068518124351</v>
      </c>
      <c r="N145" s="96">
        <v>1.2624007794762475</v>
      </c>
      <c r="O145" s="96">
        <v>1.227258655845531</v>
      </c>
      <c r="P145" s="96">
        <v>1.2133822448792626</v>
      </c>
      <c r="Q145" s="96">
        <v>1.1644728743071708</v>
      </c>
      <c r="R145" s="96">
        <v>1.1849379037718444</v>
      </c>
      <c r="S145" s="96">
        <v>1.2330484940250133</v>
      </c>
      <c r="T145" s="96">
        <v>1.2388277198796327</v>
      </c>
      <c r="U145" s="96">
        <v>1.2416620755738108</v>
      </c>
      <c r="V145" s="96">
        <v>1.2318558764706915</v>
      </c>
      <c r="W145" s="96">
        <v>1.2503427562713521</v>
      </c>
      <c r="X145" s="96">
        <v>1.2257930125505414</v>
      </c>
      <c r="Y145" s="96">
        <v>1.2268087584393705</v>
      </c>
      <c r="DA145" s="171" t="s">
        <v>556</v>
      </c>
    </row>
    <row r="146" spans="1:105" ht="11.45" customHeight="1" x14ac:dyDescent="0.25">
      <c r="A146" s="111" t="s">
        <v>112</v>
      </c>
      <c r="B146" s="96">
        <v>1.3043303743559695</v>
      </c>
      <c r="C146" s="96">
        <v>1.2688503799149553</v>
      </c>
      <c r="D146" s="96">
        <v>1.2854550302363903</v>
      </c>
      <c r="E146" s="96">
        <v>1.2156696090976962</v>
      </c>
      <c r="F146" s="96">
        <v>1.2110582776096643</v>
      </c>
      <c r="G146" s="96">
        <v>1.251177917317768</v>
      </c>
      <c r="H146" s="96">
        <v>1.212756068064843</v>
      </c>
      <c r="I146" s="96">
        <v>1.1828413206146495</v>
      </c>
      <c r="J146" s="96">
        <v>1.1910073960166541</v>
      </c>
      <c r="K146" s="96">
        <v>1.1855550499527867</v>
      </c>
      <c r="L146" s="96">
        <v>1.2014560968923926</v>
      </c>
      <c r="M146" s="96">
        <v>1.1981878279813785</v>
      </c>
      <c r="N146" s="96">
        <v>1.2133899905358865</v>
      </c>
      <c r="O146" s="96">
        <v>1.1792444509894344</v>
      </c>
      <c r="P146" s="96">
        <v>1.1653608210473969</v>
      </c>
      <c r="Q146" s="96">
        <v>1.1176616324927418</v>
      </c>
      <c r="R146" s="96">
        <v>1.1362533107531425</v>
      </c>
      <c r="S146" s="96">
        <v>1.1809666353099835</v>
      </c>
      <c r="T146" s="96">
        <v>1.184256723834227</v>
      </c>
      <c r="U146" s="96">
        <v>1.1843574858261843</v>
      </c>
      <c r="V146" s="96">
        <v>1.1743080938061503</v>
      </c>
      <c r="W146" s="96">
        <v>1.1887093443766115</v>
      </c>
      <c r="X146" s="96">
        <v>1.1617931272825188</v>
      </c>
      <c r="Y146" s="96">
        <v>1.1579469927079975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1.2110582776096643</v>
      </c>
      <c r="G147" s="96">
        <v>1.251177917317768</v>
      </c>
      <c r="H147" s="96">
        <v>1.212756068064843</v>
      </c>
      <c r="I147" s="96">
        <v>1.1828413206146495</v>
      </c>
      <c r="J147" s="96">
        <v>1.1910073960166541</v>
      </c>
      <c r="K147" s="96">
        <v>1.1855550499527867</v>
      </c>
      <c r="L147" s="96">
        <v>1.2014560968923929</v>
      </c>
      <c r="M147" s="96">
        <v>1.1981878279813785</v>
      </c>
      <c r="N147" s="96">
        <v>1.2133899905358865</v>
      </c>
      <c r="O147" s="96">
        <v>1.1792444509894344</v>
      </c>
      <c r="P147" s="96">
        <v>1.1653608210473969</v>
      </c>
      <c r="Q147" s="96">
        <v>1.1176616324927418</v>
      </c>
      <c r="R147" s="96">
        <v>1.1362533107531425</v>
      </c>
      <c r="S147" s="96">
        <v>1.1809666353099835</v>
      </c>
      <c r="T147" s="96">
        <v>1.184256723834227</v>
      </c>
      <c r="U147" s="96">
        <v>1.1843574858261843</v>
      </c>
      <c r="V147" s="96">
        <v>1.1743080938061503</v>
      </c>
      <c r="W147" s="96">
        <v>1.1887093443766115</v>
      </c>
      <c r="X147" s="96">
        <v>1.1617931272825188</v>
      </c>
      <c r="Y147" s="96">
        <v>1.1579469927079975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1.1981878279813785</v>
      </c>
      <c r="N148" s="96">
        <v>1.2133899905358865</v>
      </c>
      <c r="O148" s="96">
        <v>1.1792444509894344</v>
      </c>
      <c r="P148" s="96">
        <v>1.1653608210473969</v>
      </c>
      <c r="Q148" s="96">
        <v>1.1176616324927418</v>
      </c>
      <c r="R148" s="96">
        <v>1.1362533107531425</v>
      </c>
      <c r="S148" s="96">
        <v>1.1809666353099835</v>
      </c>
      <c r="T148" s="96">
        <v>1.184256723834227</v>
      </c>
      <c r="U148" s="96">
        <v>1.1843574858261843</v>
      </c>
      <c r="V148" s="96">
        <v>1.1743080938061503</v>
      </c>
      <c r="W148" s="96">
        <v>1.1887093443766115</v>
      </c>
      <c r="X148" s="96">
        <v>1.1617931272825188</v>
      </c>
      <c r="Y148" s="96">
        <v>1.1579469927079975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1.1050584086752462</v>
      </c>
      <c r="K149" s="96">
        <v>1.0999995308840291</v>
      </c>
      <c r="L149" s="96">
        <v>1.11475307959088</v>
      </c>
      <c r="M149" s="96">
        <v>1.1117206651373615</v>
      </c>
      <c r="N149" s="96">
        <v>1.1258257644147402</v>
      </c>
      <c r="O149" s="96">
        <v>1.0941443359695784</v>
      </c>
      <c r="P149" s="96">
        <v>1.0812626174666571</v>
      </c>
      <c r="Q149" s="96">
        <v>1.0370056383953274</v>
      </c>
      <c r="R149" s="96">
        <v>1.0542556491524002</v>
      </c>
      <c r="S149" s="96">
        <v>1.0957422389474074</v>
      </c>
      <c r="T149" s="96">
        <v>1.098794898402891</v>
      </c>
      <c r="U149" s="96">
        <v>1.0988883889108927</v>
      </c>
      <c r="V149" s="96">
        <v>1.0895642107479746</v>
      </c>
      <c r="W149" s="96">
        <v>1.1029261958133509</v>
      </c>
      <c r="X149" s="96">
        <v>1.0779523861384197</v>
      </c>
      <c r="Y149" s="96">
        <v>1.0743838076672143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20.084302732571452</v>
      </c>
      <c r="C150" s="130">
        <f t="shared" si="203"/>
        <v>20.575131760252372</v>
      </c>
      <c r="D150" s="130">
        <f t="shared" si="203"/>
        <v>22.207258558528579</v>
      </c>
      <c r="E150" s="130">
        <f t="shared" si="203"/>
        <v>24.333236606807851</v>
      </c>
      <c r="F150" s="130">
        <f t="shared" si="203"/>
        <v>25.214924267690467</v>
      </c>
      <c r="G150" s="130">
        <f t="shared" si="203"/>
        <v>26.036224475679816</v>
      </c>
      <c r="H150" s="130">
        <f t="shared" si="203"/>
        <v>27.392009353530636</v>
      </c>
      <c r="I150" s="130">
        <f t="shared" si="203"/>
        <v>28.512037507940491</v>
      </c>
      <c r="J150" s="130">
        <f t="shared" si="203"/>
        <v>26.293985351571759</v>
      </c>
      <c r="K150" s="130">
        <f t="shared" si="203"/>
        <v>26.598192461173902</v>
      </c>
      <c r="L150" s="130">
        <f t="shared" ref="L150" si="204">IF(L13=0,0,L13/L40)</f>
        <v>26.330238455238813</v>
      </c>
      <c r="M150" s="130">
        <f t="shared" ref="M150:V150" si="205">IF(M13=0,0,M13/M40)</f>
        <v>27.394443803732127</v>
      </c>
      <c r="N150" s="130">
        <f t="shared" si="205"/>
        <v>28.310405559324344</v>
      </c>
      <c r="O150" s="130">
        <f t="shared" si="205"/>
        <v>24.907424960505534</v>
      </c>
      <c r="P150" s="130">
        <f t="shared" si="205"/>
        <v>23.846130030959753</v>
      </c>
      <c r="Q150" s="130">
        <f t="shared" si="205"/>
        <v>21.822154779969654</v>
      </c>
      <c r="R150" s="130">
        <f t="shared" si="205"/>
        <v>22.128013029315959</v>
      </c>
      <c r="S150" s="130">
        <f t="shared" si="205"/>
        <v>21.763260200108338</v>
      </c>
      <c r="T150" s="130">
        <f t="shared" si="205"/>
        <v>21.76067517791984</v>
      </c>
      <c r="U150" s="130">
        <f t="shared" si="205"/>
        <v>21.758130394408266</v>
      </c>
      <c r="V150" s="130">
        <f t="shared" si="205"/>
        <v>14.170125151581562</v>
      </c>
      <c r="W150" s="130">
        <f t="shared" ref="W150:Y150" si="206">IF(W13=0,0,W13/W40)</f>
        <v>14.808113364073485</v>
      </c>
      <c r="X150" s="130">
        <f t="shared" si="206"/>
        <v>18.898790692930554</v>
      </c>
      <c r="Y150" s="130">
        <f t="shared" si="206"/>
        <v>21.415088787568752</v>
      </c>
      <c r="DA150" s="176" t="s">
        <v>561</v>
      </c>
    </row>
    <row r="151" spans="1:105" ht="11.45" customHeight="1" x14ac:dyDescent="0.25">
      <c r="A151" s="111" t="s">
        <v>110</v>
      </c>
      <c r="B151" s="97">
        <v>7.7247318202197892</v>
      </c>
      <c r="C151" s="97">
        <v>7.9135122154816822</v>
      </c>
      <c r="D151" s="97">
        <v>8.5412532917417607</v>
      </c>
      <c r="E151" s="97">
        <v>9.3589371564645578</v>
      </c>
      <c r="F151" s="97">
        <v>9.6980477952655679</v>
      </c>
      <c r="G151" s="97">
        <v>10.013932490646082</v>
      </c>
      <c r="H151" s="97">
        <v>10.535388212896398</v>
      </c>
      <c r="I151" s="97">
        <v>10.966168272284802</v>
      </c>
      <c r="J151" s="97">
        <v>10.113071289066063</v>
      </c>
      <c r="K151" s="97">
        <v>10.230074023528424</v>
      </c>
      <c r="L151" s="97">
        <v>10.127014790476467</v>
      </c>
      <c r="M151" s="97">
        <v>10.53632453989697</v>
      </c>
      <c r="N151" s="97">
        <v>10.888617522817055</v>
      </c>
      <c r="O151" s="97">
        <v>9.5797788309636651</v>
      </c>
      <c r="P151" s="97">
        <v>9.1715884734460591</v>
      </c>
      <c r="Q151" s="97">
        <v>8.3931364538344813</v>
      </c>
      <c r="R151" s="97">
        <v>8.5107742420446009</v>
      </c>
      <c r="S151" s="97">
        <v>8.3704846923493612</v>
      </c>
      <c r="T151" s="97">
        <v>8.3694904530460921</v>
      </c>
      <c r="U151" s="97">
        <v>8.3685116901570265</v>
      </c>
      <c r="V151" s="97">
        <v>6.5450048135223682</v>
      </c>
      <c r="W151" s="97">
        <v>6.5695428216951344</v>
      </c>
      <c r="X151" s="97">
        <v>7.2687656511271364</v>
      </c>
      <c r="Y151" s="97">
        <v>8.2365726106033677</v>
      </c>
      <c r="DA151" s="175" t="s">
        <v>562</v>
      </c>
    </row>
    <row r="152" spans="1:105" ht="11.45" customHeight="1" x14ac:dyDescent="0.25">
      <c r="A152" s="111" t="s">
        <v>111</v>
      </c>
      <c r="B152" s="97">
        <v>20.252032845315743</v>
      </c>
      <c r="C152" s="97">
        <v>20.743627672227831</v>
      </c>
      <c r="D152" s="97">
        <v>22.374508372046598</v>
      </c>
      <c r="E152" s="97">
        <v>24.517490987443502</v>
      </c>
      <c r="F152" s="97">
        <v>25.401185660604781</v>
      </c>
      <c r="G152" s="97">
        <v>26.228507009629986</v>
      </c>
      <c r="H152" s="97">
        <v>27.578926680206557</v>
      </c>
      <c r="I152" s="97">
        <v>28.697233816850503</v>
      </c>
      <c r="J152" s="97">
        <v>26.449224675307288</v>
      </c>
      <c r="K152" s="97">
        <v>26.743629551711848</v>
      </c>
      <c r="L152" s="97">
        <v>26.46127036432366</v>
      </c>
      <c r="M152" s="97">
        <v>27.528310943538457</v>
      </c>
      <c r="N152" s="97">
        <v>28.445742881776315</v>
      </c>
      <c r="O152" s="97">
        <v>25.017886090623133</v>
      </c>
      <c r="P152" s="97">
        <v>23.943925917265013</v>
      </c>
      <c r="Q152" s="97">
        <v>21.910923584600422</v>
      </c>
      <c r="R152" s="97">
        <v>22.224072499406876</v>
      </c>
      <c r="S152" s="97">
        <v>21.854270554774843</v>
      </c>
      <c r="T152" s="97">
        <v>21.849747654650532</v>
      </c>
      <c r="U152" s="97">
        <v>21.844869164425642</v>
      </c>
      <c r="V152" s="97">
        <v>14.218906766522442</v>
      </c>
      <c r="W152" s="97">
        <v>14.859376699706162</v>
      </c>
      <c r="X152" s="97">
        <v>18.970830925171139</v>
      </c>
      <c r="Y152" s="97">
        <v>21.494636542430708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25.017886090623129</v>
      </c>
      <c r="P154" s="97">
        <v>23.943925917265013</v>
      </c>
      <c r="Q154" s="97">
        <v>21.910923584600422</v>
      </c>
      <c r="R154" s="97">
        <v>22.22407249940688</v>
      </c>
      <c r="S154" s="97">
        <v>21.854270554774846</v>
      </c>
      <c r="T154" s="97">
        <v>21.849747654650532</v>
      </c>
      <c r="U154" s="97">
        <v>21.844869164425642</v>
      </c>
      <c r="V154" s="97">
        <v>14.218906766522444</v>
      </c>
      <c r="W154" s="97">
        <v>14.859376699706166</v>
      </c>
      <c r="X154" s="97">
        <v>18.970830925171139</v>
      </c>
      <c r="Y154" s="97">
        <v>21.494636542430708</v>
      </c>
      <c r="DA154" s="175" t="s">
        <v>565</v>
      </c>
    </row>
    <row r="155" spans="1:105" ht="11.45" customHeight="1" x14ac:dyDescent="0.25">
      <c r="A155" s="111" t="s">
        <v>115</v>
      </c>
      <c r="B155" s="97">
        <v>20.252032845315743</v>
      </c>
      <c r="C155" s="97">
        <v>20.743627672227831</v>
      </c>
      <c r="D155" s="97">
        <v>22.374508372046598</v>
      </c>
      <c r="E155" s="97">
        <v>24.517490987443498</v>
      </c>
      <c r="F155" s="97">
        <v>25.401185660604785</v>
      </c>
      <c r="G155" s="97">
        <v>26.228507009629986</v>
      </c>
      <c r="H155" s="97">
        <v>27.578926680206557</v>
      </c>
      <c r="I155" s="97">
        <v>28.697233816850499</v>
      </c>
      <c r="J155" s="97">
        <v>26.449224675307288</v>
      </c>
      <c r="K155" s="97">
        <v>26.743629551711848</v>
      </c>
      <c r="L155" s="97">
        <v>26.46127036432366</v>
      </c>
      <c r="M155" s="97">
        <v>27.528310943538454</v>
      </c>
      <c r="N155" s="97">
        <v>28.445742881776312</v>
      </c>
      <c r="O155" s="97">
        <v>25.017886090623129</v>
      </c>
      <c r="P155" s="97">
        <v>23.943925917265009</v>
      </c>
      <c r="Q155" s="97">
        <v>21.910923584600422</v>
      </c>
      <c r="R155" s="97">
        <v>22.22407249940688</v>
      </c>
      <c r="S155" s="97">
        <v>21.854270554774846</v>
      </c>
      <c r="T155" s="97">
        <v>21.849747654650532</v>
      </c>
      <c r="U155" s="97">
        <v>21.844869164425642</v>
      </c>
      <c r="V155" s="97">
        <v>14.218906766522441</v>
      </c>
      <c r="W155" s="97">
        <v>14.859376699706162</v>
      </c>
      <c r="X155" s="97">
        <v>18.970830925171139</v>
      </c>
      <c r="Y155" s="97">
        <v>21.494636542430708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3.6725748795610502</v>
      </c>
      <c r="C156" s="32">
        <f t="shared" si="207"/>
        <v>3.6055373542852678</v>
      </c>
      <c r="D156" s="32">
        <f t="shared" si="207"/>
        <v>3.4955424112439113</v>
      </c>
      <c r="E156" s="32">
        <f t="shared" si="207"/>
        <v>3.371450660641615</v>
      </c>
      <c r="F156" s="32">
        <f t="shared" si="207"/>
        <v>3.2852323593229387</v>
      </c>
      <c r="G156" s="32">
        <f t="shared" si="207"/>
        <v>3.24975922608213</v>
      </c>
      <c r="H156" s="32">
        <f t="shared" si="207"/>
        <v>3.2228797196506851</v>
      </c>
      <c r="I156" s="32">
        <f t="shared" si="207"/>
        <v>3.1460172551036609</v>
      </c>
      <c r="J156" s="32">
        <f t="shared" si="207"/>
        <v>3.0327863181033723</v>
      </c>
      <c r="K156" s="32">
        <f t="shared" si="207"/>
        <v>2.8911951337895743</v>
      </c>
      <c r="L156" s="32">
        <f t="shared" ref="L156" si="208">IF(L19=0,0,L19/L46)</f>
        <v>2.9560694965601275</v>
      </c>
      <c r="M156" s="32">
        <f t="shared" ref="M156:V156" si="209">IF(M19=0,0,M19/M46)</f>
        <v>2.9688267513887632</v>
      </c>
      <c r="N156" s="32">
        <f t="shared" si="209"/>
        <v>3.0229878136182635</v>
      </c>
      <c r="O156" s="32">
        <f t="shared" si="209"/>
        <v>3.2303243504417503</v>
      </c>
      <c r="P156" s="32">
        <f t="shared" si="209"/>
        <v>3.1452603899334242</v>
      </c>
      <c r="Q156" s="32">
        <f t="shared" si="209"/>
        <v>3.0903649919526908</v>
      </c>
      <c r="R156" s="32">
        <f t="shared" si="209"/>
        <v>3.3075173797620652</v>
      </c>
      <c r="S156" s="32">
        <f t="shared" si="209"/>
        <v>3.4441948811098326</v>
      </c>
      <c r="T156" s="32">
        <f t="shared" si="209"/>
        <v>3.3435452472128904</v>
      </c>
      <c r="U156" s="32">
        <f t="shared" si="209"/>
        <v>3.3853992953250649</v>
      </c>
      <c r="V156" s="32">
        <f t="shared" si="209"/>
        <v>3.6201965334967308</v>
      </c>
      <c r="W156" s="32">
        <f t="shared" ref="W156:Y156" si="210">IF(W19=0,0,W19/W46)</f>
        <v>3.179716471196139</v>
      </c>
      <c r="X156" s="32">
        <f t="shared" si="210"/>
        <v>3.0653429024287639</v>
      </c>
      <c r="Y156" s="32">
        <f t="shared" si="210"/>
        <v>2.8386924628200654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8.9211626173228517E-2</v>
      </c>
      <c r="C157" s="141">
        <f t="shared" si="211"/>
        <v>8.8943437754019833E-2</v>
      </c>
      <c r="D157" s="141">
        <f t="shared" si="211"/>
        <v>8.6918979551512968E-2</v>
      </c>
      <c r="E157" s="141">
        <f t="shared" si="211"/>
        <v>8.6905662869877234E-2</v>
      </c>
      <c r="F157" s="141">
        <f t="shared" si="211"/>
        <v>8.6088116026931588E-2</v>
      </c>
      <c r="G157" s="141">
        <f t="shared" si="211"/>
        <v>8.6196172892529233E-2</v>
      </c>
      <c r="H157" s="141">
        <f t="shared" si="211"/>
        <v>8.6194302847191012E-2</v>
      </c>
      <c r="I157" s="141">
        <f t="shared" si="211"/>
        <v>8.5853560512610685E-2</v>
      </c>
      <c r="J157" s="141">
        <f t="shared" si="211"/>
        <v>8.598180037837197E-2</v>
      </c>
      <c r="K157" s="141">
        <f t="shared" si="211"/>
        <v>8.6510016751905006E-2</v>
      </c>
      <c r="L157" s="141">
        <f t="shared" ref="L157" si="212">IF(L20=0,0,L20/L47)</f>
        <v>8.7133734455543593E-2</v>
      </c>
      <c r="M157" s="141">
        <f t="shared" ref="M157:V157" si="213">IF(M20=0,0,M20/M47)</f>
        <v>8.775875841360499E-2</v>
      </c>
      <c r="N157" s="141">
        <f t="shared" si="213"/>
        <v>8.8540778197690406E-2</v>
      </c>
      <c r="O157" s="141">
        <f t="shared" si="213"/>
        <v>9.0134505701501111E-2</v>
      </c>
      <c r="P157" s="141">
        <f t="shared" si="213"/>
        <v>8.9966605433076705E-2</v>
      </c>
      <c r="Q157" s="141">
        <f t="shared" si="213"/>
        <v>8.9233962199806643E-2</v>
      </c>
      <c r="R157" s="141">
        <f t="shared" si="213"/>
        <v>9.1302827199824924E-2</v>
      </c>
      <c r="S157" s="141">
        <f t="shared" si="213"/>
        <v>9.320330394849409E-2</v>
      </c>
      <c r="T157" s="141">
        <f t="shared" si="213"/>
        <v>9.3280353003486527E-2</v>
      </c>
      <c r="U157" s="141">
        <f t="shared" si="213"/>
        <v>9.3808404752721578E-2</v>
      </c>
      <c r="V157" s="141">
        <f t="shared" si="213"/>
        <v>9.636531514010839E-2</v>
      </c>
      <c r="W157" s="141">
        <f t="shared" ref="W157:Y157" si="214">IF(W20=0,0,W20/W47)</f>
        <v>9.2748561738775742E-2</v>
      </c>
      <c r="X157" s="141">
        <f t="shared" si="214"/>
        <v>9.3245172817827626E-2</v>
      </c>
      <c r="Y157" s="141">
        <f t="shared" si="214"/>
        <v>9.2278631507656583E-2</v>
      </c>
      <c r="DA157" s="174" t="s">
        <v>568</v>
      </c>
    </row>
    <row r="158" spans="1:105" ht="11.45" customHeight="1" x14ac:dyDescent="0.25">
      <c r="A158" s="111" t="s">
        <v>110</v>
      </c>
      <c r="B158" s="96">
        <v>7.2450781951031926E-2</v>
      </c>
      <c r="C158" s="96">
        <v>7.2247959491711422E-2</v>
      </c>
      <c r="D158" s="96">
        <v>7.1215955947459317E-2</v>
      </c>
      <c r="E158" s="96">
        <v>7.169624287507588E-2</v>
      </c>
      <c r="F158" s="96">
        <v>7.1516161999532549E-2</v>
      </c>
      <c r="G158" s="96">
        <v>7.0762130605168339E-2</v>
      </c>
      <c r="H158" s="96">
        <v>6.9915353843370262E-2</v>
      </c>
      <c r="I158" s="96">
        <v>7.009978723854117E-2</v>
      </c>
      <c r="J158" s="96">
        <v>7.0807182637439958E-2</v>
      </c>
      <c r="K158" s="96">
        <v>7.1093116072390078E-2</v>
      </c>
      <c r="L158" s="96">
        <v>7.1184979658404104E-2</v>
      </c>
      <c r="M158" s="96">
        <v>7.0942484542266607E-2</v>
      </c>
      <c r="N158" s="96">
        <v>7.0826736838537005E-2</v>
      </c>
      <c r="O158" s="96">
        <v>7.133390354443557E-2</v>
      </c>
      <c r="P158" s="96">
        <v>7.148919527068355E-2</v>
      </c>
      <c r="Q158" s="96">
        <v>7.1482802013422816E-2</v>
      </c>
      <c r="R158" s="96">
        <v>7.1005500875970948E-2</v>
      </c>
      <c r="S158" s="96">
        <v>7.0679499703765553E-2</v>
      </c>
      <c r="T158" s="96">
        <v>7.1087120757386324E-2</v>
      </c>
      <c r="U158" s="96">
        <v>7.1125151026809233E-2</v>
      </c>
      <c r="V158" s="96">
        <v>7.3771711688427291E-2</v>
      </c>
      <c r="W158" s="96">
        <v>7.0628020900944152E-2</v>
      </c>
      <c r="X158" s="96">
        <v>7.0718729488329413E-2</v>
      </c>
      <c r="Y158" s="96">
        <v>7.0717304537077669E-2</v>
      </c>
      <c r="DA158" s="171" t="s">
        <v>569</v>
      </c>
    </row>
    <row r="159" spans="1:105" ht="11.45" customHeight="1" x14ac:dyDescent="0.25">
      <c r="A159" s="111" t="s">
        <v>111</v>
      </c>
      <c r="B159" s="96">
        <v>9.0960483838620793E-2</v>
      </c>
      <c r="C159" s="96">
        <v>9.0628897785774626E-2</v>
      </c>
      <c r="D159" s="96">
        <v>8.8520463362347673E-2</v>
      </c>
      <c r="E159" s="96">
        <v>8.8314269909834694E-2</v>
      </c>
      <c r="F159" s="96">
        <v>8.7319450114214242E-2</v>
      </c>
      <c r="G159" s="96">
        <v>8.7422192458247894E-2</v>
      </c>
      <c r="H159" s="96">
        <v>8.7392085213196219E-2</v>
      </c>
      <c r="I159" s="96">
        <v>8.6849816797827301E-2</v>
      </c>
      <c r="J159" s="96">
        <v>8.6875641761754246E-2</v>
      </c>
      <c r="K159" s="96">
        <v>8.7348728301214262E-2</v>
      </c>
      <c r="L159" s="96">
        <v>8.7940122766857198E-2</v>
      </c>
      <c r="M159" s="96">
        <v>8.8571079935150426E-2</v>
      </c>
      <c r="N159" s="96">
        <v>8.935849003762153E-2</v>
      </c>
      <c r="O159" s="96">
        <v>9.0928760101132711E-2</v>
      </c>
      <c r="P159" s="96">
        <v>9.0661950224540738E-2</v>
      </c>
      <c r="Q159" s="96">
        <v>8.9802624956943591E-2</v>
      </c>
      <c r="R159" s="96">
        <v>9.1995972937483642E-2</v>
      </c>
      <c r="S159" s="96">
        <v>9.4090671039623722E-2</v>
      </c>
      <c r="T159" s="96">
        <v>9.4264903023332056E-2</v>
      </c>
      <c r="U159" s="96">
        <v>9.4920107280456745E-2</v>
      </c>
      <c r="V159" s="96">
        <v>9.7462996546852088E-2</v>
      </c>
      <c r="W159" s="96">
        <v>9.3844090694899573E-2</v>
      </c>
      <c r="X159" s="96">
        <v>9.4437920124543412E-2</v>
      </c>
      <c r="Y159" s="96">
        <v>9.3430414425497835E-2</v>
      </c>
      <c r="DA159" s="171" t="s">
        <v>570</v>
      </c>
    </row>
    <row r="160" spans="1:105" ht="11.45" customHeight="1" x14ac:dyDescent="0.25">
      <c r="A160" s="111" t="s">
        <v>112</v>
      </c>
      <c r="B160" s="96">
        <v>7.4125513251044897E-2</v>
      </c>
      <c r="C160" s="96">
        <v>7.3763889074189695E-2</v>
      </c>
      <c r="D160" s="96">
        <v>7.1932024733769681E-2</v>
      </c>
      <c r="E160" s="96">
        <v>7.1642070832150517E-2</v>
      </c>
      <c r="F160" s="96">
        <v>7.0697277343354042E-2</v>
      </c>
      <c r="G160" s="96">
        <v>7.060237087357768E-2</v>
      </c>
      <c r="H160" s="96">
        <v>7.0406189378985629E-2</v>
      </c>
      <c r="I160" s="96">
        <v>6.9836382610497558E-2</v>
      </c>
      <c r="J160" s="96">
        <v>6.9786128639233447E-2</v>
      </c>
      <c r="K160" s="96">
        <v>7.0071551071060237E-2</v>
      </c>
      <c r="L160" s="96">
        <v>7.0445752893761399E-2</v>
      </c>
      <c r="M160" s="96">
        <v>7.0858628006302909E-2</v>
      </c>
      <c r="N160" s="96">
        <v>7.1400865007368419E-2</v>
      </c>
      <c r="O160" s="96">
        <v>7.2580862582870831E-2</v>
      </c>
      <c r="P160" s="96">
        <v>7.2262611427097084E-2</v>
      </c>
      <c r="Q160" s="96">
        <v>7.1482802013422816E-2</v>
      </c>
      <c r="R160" s="96">
        <v>7.1773684114903438E-2</v>
      </c>
      <c r="S160" s="96">
        <v>7.2217084945198337E-2</v>
      </c>
      <c r="T160" s="96">
        <v>7.2460132529588814E-2</v>
      </c>
      <c r="U160" s="96">
        <v>7.3059430671209485E-2</v>
      </c>
      <c r="V160" s="96">
        <v>7.5245475289539537E-2</v>
      </c>
      <c r="W160" s="96">
        <v>7.2375731838144025E-2</v>
      </c>
      <c r="X160" s="96">
        <v>7.2948118603899367E-2</v>
      </c>
      <c r="Y160" s="96">
        <v>7.2274558852424273E-2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7.0372848570966956E-2</v>
      </c>
      <c r="K161" s="96">
        <v>7.0285925628882612E-2</v>
      </c>
      <c r="L161" s="96">
        <v>7.0445752893761399E-2</v>
      </c>
      <c r="M161" s="96">
        <v>7.0858628006302909E-2</v>
      </c>
      <c r="N161" s="96">
        <v>7.1400865007368419E-2</v>
      </c>
      <c r="O161" s="96">
        <v>7.2580862582870831E-2</v>
      </c>
      <c r="P161" s="96">
        <v>7.2262611427097084E-2</v>
      </c>
      <c r="Q161" s="96">
        <v>7.1482802013422816E-2</v>
      </c>
      <c r="R161" s="96">
        <v>7.1773684114903438E-2</v>
      </c>
      <c r="S161" s="96">
        <v>7.2217084945198337E-2</v>
      </c>
      <c r="T161" s="96">
        <v>7.2460132529588814E-2</v>
      </c>
      <c r="U161" s="96">
        <v>7.3059430671209485E-2</v>
      </c>
      <c r="V161" s="96">
        <v>7.5245475289539537E-2</v>
      </c>
      <c r="W161" s="96">
        <v>7.2375731838144025E-2</v>
      </c>
      <c r="X161" s="96">
        <v>7.2948118603899367E-2</v>
      </c>
      <c r="Y161" s="96">
        <v>7.2274558852424273E-2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7.1618635275709649E-2</v>
      </c>
      <c r="K162" s="96">
        <v>7.1617839179823256E-2</v>
      </c>
      <c r="L162" s="96">
        <v>7.1606674879623869E-2</v>
      </c>
      <c r="M162" s="96">
        <v>7.1591237101516034E-2</v>
      </c>
      <c r="N162" s="96">
        <v>7.1587151736598173E-2</v>
      </c>
      <c r="O162" s="96">
        <v>7.15278823168147E-2</v>
      </c>
      <c r="P162" s="96">
        <v>7.1516330088226582E-2</v>
      </c>
      <c r="Q162" s="96">
        <v>7.1482802013422816E-2</v>
      </c>
      <c r="R162" s="96">
        <v>7.1493213712443868E-2</v>
      </c>
      <c r="S162" s="96">
        <v>7.1510770007606972E-2</v>
      </c>
      <c r="T162" s="96">
        <v>7.1518797898337969E-2</v>
      </c>
      <c r="U162" s="96">
        <v>7.1543439366631489E-2</v>
      </c>
      <c r="V162" s="96">
        <v>7.3013743565576494E-2</v>
      </c>
      <c r="W162" s="96">
        <v>7.1582312312509236E-2</v>
      </c>
      <c r="X162" s="96">
        <v>7.1558881706316302E-2</v>
      </c>
      <c r="Y162" s="96">
        <v>7.1593915996423466E-2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11.739608227347794</v>
      </c>
      <c r="C163" s="130">
        <f t="shared" si="215"/>
        <v>11.462898737678925</v>
      </c>
      <c r="D163" s="130">
        <f t="shared" si="215"/>
        <v>11.403614986835386</v>
      </c>
      <c r="E163" s="130">
        <f t="shared" si="215"/>
        <v>11.706187516458071</v>
      </c>
      <c r="F163" s="130">
        <f t="shared" si="215"/>
        <v>11.532902282297453</v>
      </c>
      <c r="G163" s="130">
        <f t="shared" si="215"/>
        <v>12.003006469176004</v>
      </c>
      <c r="H163" s="130">
        <f t="shared" si="215"/>
        <v>12.108575088257709</v>
      </c>
      <c r="I163" s="130">
        <f t="shared" si="215"/>
        <v>12.2906672971619</v>
      </c>
      <c r="J163" s="130">
        <f t="shared" si="215"/>
        <v>12.969693019638243</v>
      </c>
      <c r="K163" s="130">
        <f t="shared" si="215"/>
        <v>12.805282842946683</v>
      </c>
      <c r="L163" s="130">
        <f t="shared" ref="L163" si="216">IF(L26=0,0,L26/L53)</f>
        <v>13.131041884796096</v>
      </c>
      <c r="M163" s="130">
        <f t="shared" ref="M163:V163" si="217">IF(M26=0,0,M26/M53)</f>
        <v>12.937097027574623</v>
      </c>
      <c r="N163" s="130">
        <f t="shared" si="217"/>
        <v>13.044538898637825</v>
      </c>
      <c r="O163" s="130">
        <f t="shared" si="217"/>
        <v>13.073123439296928</v>
      </c>
      <c r="P163" s="130">
        <f t="shared" si="217"/>
        <v>12.928635919833699</v>
      </c>
      <c r="Q163" s="130">
        <f t="shared" si="217"/>
        <v>12.531831993663067</v>
      </c>
      <c r="R163" s="130">
        <f t="shared" si="217"/>
        <v>12.751526664862961</v>
      </c>
      <c r="S163" s="130">
        <f t="shared" si="217"/>
        <v>12.565001081099545</v>
      </c>
      <c r="T163" s="130">
        <f t="shared" si="217"/>
        <v>12.954123870856051</v>
      </c>
      <c r="U163" s="130">
        <f t="shared" si="217"/>
        <v>12.654256983105514</v>
      </c>
      <c r="V163" s="130">
        <f t="shared" si="217"/>
        <v>12.852501696240813</v>
      </c>
      <c r="W163" s="130">
        <f t="shared" ref="W163:Y163" si="218">IF(W26=0,0,W26/W53)</f>
        <v>12.749044230510734</v>
      </c>
      <c r="X163" s="130">
        <f t="shared" si="218"/>
        <v>12.098068710773312</v>
      </c>
      <c r="Y163" s="130">
        <f t="shared" si="218"/>
        <v>11.757710145861912</v>
      </c>
      <c r="DA163" s="176" t="s">
        <v>574</v>
      </c>
    </row>
    <row r="164" spans="1:105" ht="11.45" customHeight="1" x14ac:dyDescent="0.25">
      <c r="A164" s="128" t="s">
        <v>27</v>
      </c>
      <c r="B164" s="97">
        <v>9.9717314487632507</v>
      </c>
      <c r="C164" s="97">
        <v>9.5384972170686453</v>
      </c>
      <c r="D164" s="97">
        <v>9.3029197080291972</v>
      </c>
      <c r="E164" s="97">
        <v>9.6854599406528195</v>
      </c>
      <c r="F164" s="97">
        <v>9.2988505747126435</v>
      </c>
      <c r="G164" s="97">
        <v>9.9756854630108638</v>
      </c>
      <c r="H164" s="97">
        <v>10.064135454079015</v>
      </c>
      <c r="I164" s="97">
        <v>10.29874213836478</v>
      </c>
      <c r="J164" s="97">
        <v>11.708681672025724</v>
      </c>
      <c r="K164" s="97">
        <v>11.611477572559366</v>
      </c>
      <c r="L164" s="97">
        <v>11.766070245195493</v>
      </c>
      <c r="M164" s="97">
        <v>11.422136422136422</v>
      </c>
      <c r="N164" s="97">
        <v>11.725338491295938</v>
      </c>
      <c r="O164" s="97">
        <v>11.774193548387096</v>
      </c>
      <c r="P164" s="97">
        <v>11.456664674237896</v>
      </c>
      <c r="Q164" s="97">
        <v>10.950591868244983</v>
      </c>
      <c r="R164" s="97">
        <v>11.361611876988334</v>
      </c>
      <c r="S164" s="97">
        <v>10.853235139400315</v>
      </c>
      <c r="T164" s="97">
        <v>11.523782876329044</v>
      </c>
      <c r="U164" s="97">
        <v>11.085714285714285</v>
      </c>
      <c r="V164" s="97">
        <v>11.654220779220779</v>
      </c>
      <c r="W164" s="97">
        <v>11.333820662768032</v>
      </c>
      <c r="X164" s="97">
        <v>10.228200371057515</v>
      </c>
      <c r="Y164" s="97">
        <v>9.7796456156292599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14.24505838780375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13.933281647068959</v>
      </c>
      <c r="S165" s="98">
        <v>14.0120381138928</v>
      </c>
      <c r="T165" s="98">
        <v>14.146454243557949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16195.706608880409</v>
      </c>
      <c r="C167" s="54">
        <f t="shared" si="219"/>
        <v>16441.041672728818</v>
      </c>
      <c r="D167" s="54">
        <f t="shared" si="219"/>
        <v>16473.954461684876</v>
      </c>
      <c r="E167" s="54">
        <f t="shared" si="219"/>
        <v>16809.156397425439</v>
      </c>
      <c r="F167" s="54">
        <f t="shared" si="219"/>
        <v>16927.315593023526</v>
      </c>
      <c r="G167" s="54">
        <f t="shared" si="219"/>
        <v>16240.042751149105</v>
      </c>
      <c r="H167" s="54">
        <f t="shared" si="219"/>
        <v>16495.952223975397</v>
      </c>
      <c r="I167" s="54">
        <f t="shared" si="219"/>
        <v>16940.692193905928</v>
      </c>
      <c r="J167" s="54">
        <f t="shared" si="219"/>
        <v>16959.194547968986</v>
      </c>
      <c r="K167" s="54">
        <f t="shared" si="219"/>
        <v>16774.714592804077</v>
      </c>
      <c r="L167" s="54">
        <f t="shared" si="219"/>
        <v>16462.867422554064</v>
      </c>
      <c r="M167" s="54">
        <f>IF(M30=0,0,M30*1000000/M57)</f>
        <v>16129.415194789808</v>
      </c>
      <c r="N167" s="54">
        <f t="shared" ref="N167:V167" si="220">IF(N30=0,0,N30*1000000/N57)</f>
        <v>15809.069463354359</v>
      </c>
      <c r="O167" s="54">
        <f t="shared" si="220"/>
        <v>15313.685876682628</v>
      </c>
      <c r="P167" s="54">
        <f t="shared" si="220"/>
        <v>15638.898828441705</v>
      </c>
      <c r="Q167" s="54">
        <f t="shared" si="220"/>
        <v>15933.532026806217</v>
      </c>
      <c r="R167" s="54">
        <f t="shared" si="220"/>
        <v>15135.283260190674</v>
      </c>
      <c r="S167" s="54">
        <f t="shared" si="220"/>
        <v>14333.101932402196</v>
      </c>
      <c r="T167" s="54">
        <f t="shared" si="220"/>
        <v>14129.415595245717</v>
      </c>
      <c r="U167" s="54">
        <f t="shared" si="220"/>
        <v>14015.404638836759</v>
      </c>
      <c r="V167" s="54">
        <f t="shared" si="220"/>
        <v>12056.702167628409</v>
      </c>
      <c r="W167" s="54">
        <f t="shared" ref="W167:Y191" si="221">IF(W30=0,0,W30*1000000/W57)</f>
        <v>12737.837313008597</v>
      </c>
      <c r="X167" s="54">
        <f t="shared" si="221"/>
        <v>13257.25613005473</v>
      </c>
      <c r="Y167" s="54">
        <f t="shared" si="221"/>
        <v>13675.391284803974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15752.547732768655</v>
      </c>
      <c r="C168" s="28">
        <f t="shared" si="219"/>
        <v>16082.496906229368</v>
      </c>
      <c r="D168" s="28">
        <f t="shared" si="219"/>
        <v>15920.538187648224</v>
      </c>
      <c r="E168" s="28">
        <f t="shared" si="219"/>
        <v>16302.758950675403</v>
      </c>
      <c r="F168" s="28">
        <f t="shared" si="219"/>
        <v>16271.582086303504</v>
      </c>
      <c r="G168" s="28">
        <f t="shared" si="219"/>
        <v>15518.202319448992</v>
      </c>
      <c r="H168" s="28">
        <f t="shared" si="219"/>
        <v>15770.906852848961</v>
      </c>
      <c r="I168" s="28">
        <f t="shared" si="219"/>
        <v>16199.534306900274</v>
      </c>
      <c r="J168" s="28">
        <f t="shared" si="219"/>
        <v>16309.392666215679</v>
      </c>
      <c r="K168" s="28">
        <f t="shared" si="219"/>
        <v>16167.535757058233</v>
      </c>
      <c r="L168" s="28">
        <f t="shared" si="219"/>
        <v>15856.873502977247</v>
      </c>
      <c r="M168" s="28">
        <f t="shared" ref="M168:M192" si="222">IF(M31=0,0,M31*1000000/M58)</f>
        <v>15580.919409325143</v>
      </c>
      <c r="N168" s="28">
        <f t="shared" si="219"/>
        <v>15288.319564164696</v>
      </c>
      <c r="O168" s="28">
        <f t="shared" si="219"/>
        <v>14869.070200364324</v>
      </c>
      <c r="P168" s="28">
        <f t="shared" si="219"/>
        <v>15203.746236549763</v>
      </c>
      <c r="Q168" s="28">
        <f t="shared" si="219"/>
        <v>15419.087273268024</v>
      </c>
      <c r="R168" s="28">
        <f t="shared" si="219"/>
        <v>14670.427098576858</v>
      </c>
      <c r="S168" s="28">
        <f t="shared" si="219"/>
        <v>13951.517108562104</v>
      </c>
      <c r="T168" s="28">
        <f t="shared" si="219"/>
        <v>13774.499870120899</v>
      </c>
      <c r="U168" s="28">
        <f t="shared" si="219"/>
        <v>13673.565870932098</v>
      </c>
      <c r="V168" s="28">
        <f t="shared" si="219"/>
        <v>11665.46311163915</v>
      </c>
      <c r="W168" s="28">
        <f t="shared" si="221"/>
        <v>12071.644982840377</v>
      </c>
      <c r="X168" s="28">
        <f t="shared" si="221"/>
        <v>12734.435701593962</v>
      </c>
      <c r="Y168" s="28">
        <f t="shared" si="221"/>
        <v>13120.857594965541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4956.1255119890011</v>
      </c>
      <c r="C169" s="137">
        <f t="shared" si="219"/>
        <v>4910.942342403705</v>
      </c>
      <c r="D169" s="137">
        <f t="shared" si="219"/>
        <v>4983.4702628391869</v>
      </c>
      <c r="E169" s="137">
        <f t="shared" si="219"/>
        <v>4976.8373607111553</v>
      </c>
      <c r="F169" s="137">
        <f t="shared" si="219"/>
        <v>5019.1782180058372</v>
      </c>
      <c r="G169" s="137">
        <f t="shared" si="219"/>
        <v>4542.3961789582809</v>
      </c>
      <c r="H169" s="137">
        <f t="shared" si="219"/>
        <v>4513.8888888888887</v>
      </c>
      <c r="I169" s="137">
        <f t="shared" si="219"/>
        <v>4518.7165775401072</v>
      </c>
      <c r="J169" s="137">
        <f t="shared" si="219"/>
        <v>4355.6701030927834</v>
      </c>
      <c r="K169" s="137">
        <f t="shared" si="219"/>
        <v>4115.0990099009905</v>
      </c>
      <c r="L169" s="137">
        <f t="shared" si="219"/>
        <v>3788.7828162291171</v>
      </c>
      <c r="M169" s="137">
        <f t="shared" si="222"/>
        <v>3657.8341013824884</v>
      </c>
      <c r="N169" s="137">
        <f t="shared" si="219"/>
        <v>3482.9931972789113</v>
      </c>
      <c r="O169" s="137">
        <f t="shared" si="219"/>
        <v>3299.8610442814552</v>
      </c>
      <c r="P169" s="137">
        <f t="shared" si="219"/>
        <v>3350.8215336739959</v>
      </c>
      <c r="Q169" s="137">
        <f t="shared" si="219"/>
        <v>3146.7984030126859</v>
      </c>
      <c r="R169" s="137">
        <f t="shared" si="219"/>
        <v>2706.8719551297354</v>
      </c>
      <c r="S169" s="137">
        <f t="shared" si="219"/>
        <v>2339.6326915353779</v>
      </c>
      <c r="T169" s="137">
        <f t="shared" si="219"/>
        <v>2136.380605306636</v>
      </c>
      <c r="U169" s="137">
        <f t="shared" si="219"/>
        <v>2190.7934687641823</v>
      </c>
      <c r="V169" s="137">
        <f t="shared" si="219"/>
        <v>1873.0657962457733</v>
      </c>
      <c r="W169" s="137">
        <f t="shared" si="221"/>
        <v>1873.6759106718341</v>
      </c>
      <c r="X169" s="137">
        <f t="shared" si="221"/>
        <v>1825.1664434231332</v>
      </c>
      <c r="Y169" s="137">
        <f t="shared" si="221"/>
        <v>1917.4729354883361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16301.808793368486</v>
      </c>
      <c r="C170" s="110">
        <f t="shared" si="219"/>
        <v>16682.988528839483</v>
      </c>
      <c r="D170" s="110">
        <f t="shared" si="219"/>
        <v>16526.94854501155</v>
      </c>
      <c r="E170" s="110">
        <f t="shared" si="219"/>
        <v>16963.724563077187</v>
      </c>
      <c r="F170" s="110">
        <f t="shared" si="219"/>
        <v>16928.276316308267</v>
      </c>
      <c r="G170" s="110">
        <f t="shared" si="219"/>
        <v>16202.684339694866</v>
      </c>
      <c r="H170" s="110">
        <f t="shared" si="219"/>
        <v>16501.273616029081</v>
      </c>
      <c r="I170" s="110">
        <f t="shared" si="219"/>
        <v>16984.338353631723</v>
      </c>
      <c r="J170" s="110">
        <f t="shared" si="219"/>
        <v>17133.623663818518</v>
      </c>
      <c r="K170" s="110">
        <f t="shared" si="219"/>
        <v>17027.544276593959</v>
      </c>
      <c r="L170" s="110">
        <f t="shared" si="219"/>
        <v>16738.933027287076</v>
      </c>
      <c r="M170" s="110">
        <f t="shared" si="222"/>
        <v>16465.041938860195</v>
      </c>
      <c r="N170" s="110">
        <f t="shared" si="219"/>
        <v>16173.44197378533</v>
      </c>
      <c r="O170" s="110">
        <f t="shared" si="219"/>
        <v>15732.681106328055</v>
      </c>
      <c r="P170" s="110">
        <f t="shared" si="219"/>
        <v>16113.159221006836</v>
      </c>
      <c r="Q170" s="110">
        <f t="shared" si="219"/>
        <v>16401.318751787006</v>
      </c>
      <c r="R170" s="110">
        <f t="shared" si="219"/>
        <v>15809.646285169623</v>
      </c>
      <c r="S170" s="110">
        <f t="shared" si="219"/>
        <v>15146.969313878097</v>
      </c>
      <c r="T170" s="110">
        <f t="shared" si="219"/>
        <v>15030.29074660458</v>
      </c>
      <c r="U170" s="110">
        <f t="shared" si="219"/>
        <v>14960.910123322306</v>
      </c>
      <c r="V170" s="110">
        <f t="shared" si="219"/>
        <v>12807.171331378016</v>
      </c>
      <c r="W170" s="110">
        <f t="shared" si="221"/>
        <v>13322.2009201494</v>
      </c>
      <c r="X170" s="110">
        <f t="shared" si="221"/>
        <v>14136.253081772677</v>
      </c>
      <c r="Y170" s="110">
        <f t="shared" si="221"/>
        <v>14586.641494421114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12185.769461316671</v>
      </c>
      <c r="C171" s="84">
        <f t="shared" si="219"/>
        <v>12169.651493862086</v>
      </c>
      <c r="D171" s="84">
        <f t="shared" si="219"/>
        <v>11844.913155793145</v>
      </c>
      <c r="E171" s="84">
        <f t="shared" si="219"/>
        <v>12267.634493298619</v>
      </c>
      <c r="F171" s="84">
        <f t="shared" si="219"/>
        <v>11318.394661004355</v>
      </c>
      <c r="G171" s="84">
        <f t="shared" si="219"/>
        <v>10775.383839157043</v>
      </c>
      <c r="H171" s="84">
        <f t="shared" si="219"/>
        <v>10395.783262141673</v>
      </c>
      <c r="I171" s="84">
        <f t="shared" si="219"/>
        <v>10177.557061119993</v>
      </c>
      <c r="J171" s="84">
        <f t="shared" si="219"/>
        <v>9699.2643822778209</v>
      </c>
      <c r="K171" s="84">
        <f t="shared" si="219"/>
        <v>9598.0772438080694</v>
      </c>
      <c r="L171" s="84">
        <f t="shared" si="219"/>
        <v>9108.7497145636717</v>
      </c>
      <c r="M171" s="84">
        <f t="shared" si="222"/>
        <v>9022.1297167468183</v>
      </c>
      <c r="N171" s="84">
        <f t="shared" si="219"/>
        <v>8980.5758862842049</v>
      </c>
      <c r="O171" s="84">
        <f t="shared" si="219"/>
        <v>9064.1225962328044</v>
      </c>
      <c r="P171" s="84">
        <f t="shared" si="219"/>
        <v>9587.2133767093364</v>
      </c>
      <c r="Q171" s="84">
        <f t="shared" si="219"/>
        <v>10081.76012172292</v>
      </c>
      <c r="R171" s="84">
        <f t="shared" si="219"/>
        <v>10039.642579501528</v>
      </c>
      <c r="S171" s="84">
        <f t="shared" si="219"/>
        <v>9945.9741232126853</v>
      </c>
      <c r="T171" s="84">
        <f t="shared" si="219"/>
        <v>10482.659360599228</v>
      </c>
      <c r="U171" s="84">
        <f t="shared" si="219"/>
        <v>11081.852253392766</v>
      </c>
      <c r="V171" s="84">
        <f t="shared" si="219"/>
        <v>9138.3438098116621</v>
      </c>
      <c r="W171" s="84">
        <f t="shared" si="221"/>
        <v>10133.414833186256</v>
      </c>
      <c r="X171" s="84">
        <f t="shared" si="221"/>
        <v>11406.634418031352</v>
      </c>
      <c r="Y171" s="84">
        <f t="shared" si="221"/>
        <v>12222.115692905225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22430.081583590712</v>
      </c>
      <c r="C172" s="84">
        <f t="shared" si="219"/>
        <v>22958.620016026638</v>
      </c>
      <c r="D172" s="84">
        <f t="shared" si="219"/>
        <v>22583.452296959644</v>
      </c>
      <c r="E172" s="84">
        <f t="shared" si="219"/>
        <v>22642.812990696555</v>
      </c>
      <c r="F172" s="84">
        <f t="shared" si="219"/>
        <v>23125.049988657516</v>
      </c>
      <c r="G172" s="84">
        <f t="shared" si="219"/>
        <v>21749.383717976656</v>
      </c>
      <c r="H172" s="84">
        <f t="shared" si="219"/>
        <v>22139.670642593534</v>
      </c>
      <c r="I172" s="84">
        <f t="shared" si="219"/>
        <v>22693.161150139833</v>
      </c>
      <c r="J172" s="84">
        <f t="shared" si="219"/>
        <v>22767.87221860209</v>
      </c>
      <c r="K172" s="84">
        <f t="shared" si="219"/>
        <v>22229.017797818291</v>
      </c>
      <c r="L172" s="84">
        <f t="shared" si="219"/>
        <v>21695.617383334116</v>
      </c>
      <c r="M172" s="84">
        <f t="shared" si="222"/>
        <v>21010.871540342112</v>
      </c>
      <c r="N172" s="84">
        <f t="shared" si="219"/>
        <v>20451.918878150325</v>
      </c>
      <c r="O172" s="84">
        <f t="shared" si="219"/>
        <v>19683.723724393763</v>
      </c>
      <c r="P172" s="84">
        <f t="shared" si="219"/>
        <v>20073.595800418236</v>
      </c>
      <c r="Q172" s="84">
        <f t="shared" si="219"/>
        <v>20409.931540347399</v>
      </c>
      <c r="R172" s="84">
        <f t="shared" si="219"/>
        <v>19768.053558650121</v>
      </c>
      <c r="S172" s="84">
        <f t="shared" si="219"/>
        <v>19085.188557895683</v>
      </c>
      <c r="T172" s="84">
        <f t="shared" si="219"/>
        <v>18990.557716568994</v>
      </c>
      <c r="U172" s="84">
        <f t="shared" si="219"/>
        <v>18851.9144159854</v>
      </c>
      <c r="V172" s="84">
        <f t="shared" si="219"/>
        <v>16927.552265722741</v>
      </c>
      <c r="W172" s="84">
        <f t="shared" si="221"/>
        <v>17405.639263701807</v>
      </c>
      <c r="X172" s="84">
        <f t="shared" si="221"/>
        <v>18167.667204780217</v>
      </c>
      <c r="Y172" s="84">
        <f t="shared" si="221"/>
        <v>18782.558741338878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12957.425273723584</v>
      </c>
      <c r="C173" s="84">
        <f t="shared" si="219"/>
        <v>12742.643815535905</v>
      </c>
      <c r="D173" s="84">
        <f t="shared" si="219"/>
        <v>12534.41576821335</v>
      </c>
      <c r="E173" s="84">
        <f t="shared" si="219"/>
        <v>12177.866741166021</v>
      </c>
      <c r="F173" s="84">
        <f t="shared" si="219"/>
        <v>12437.225766091125</v>
      </c>
      <c r="G173" s="84">
        <f t="shared" si="219"/>
        <v>11952.867310306403</v>
      </c>
      <c r="H173" s="84">
        <f t="shared" si="219"/>
        <v>11811.017935184851</v>
      </c>
      <c r="I173" s="84">
        <f t="shared" si="219"/>
        <v>11631.536135225084</v>
      </c>
      <c r="J173" s="84">
        <f t="shared" si="219"/>
        <v>11669.829808229504</v>
      </c>
      <c r="K173" s="84">
        <f t="shared" si="219"/>
        <v>11858.682639409813</v>
      </c>
      <c r="L173" s="84">
        <f t="shared" si="219"/>
        <v>12046.538761429354</v>
      </c>
      <c r="M173" s="84">
        <f t="shared" si="222"/>
        <v>12104.124650180869</v>
      </c>
      <c r="N173" s="84">
        <f t="shared" si="219"/>
        <v>11941.289911252883</v>
      </c>
      <c r="O173" s="84">
        <f t="shared" si="219"/>
        <v>11759.999860441372</v>
      </c>
      <c r="P173" s="84">
        <f t="shared" si="219"/>
        <v>11992.928122584974</v>
      </c>
      <c r="Q173" s="84">
        <f t="shared" si="219"/>
        <v>12193.871211911441</v>
      </c>
      <c r="R173" s="84">
        <f t="shared" si="219"/>
        <v>12292.438975182933</v>
      </c>
      <c r="S173" s="84">
        <f t="shared" si="219"/>
        <v>12352.211038606709</v>
      </c>
      <c r="T173" s="84">
        <f t="shared" si="219"/>
        <v>12534.395904863957</v>
      </c>
      <c r="U173" s="84">
        <f t="shared" si="219"/>
        <v>12724.415360719657</v>
      </c>
      <c r="V173" s="84">
        <f t="shared" si="219"/>
        <v>11891.883262033733</v>
      </c>
      <c r="W173" s="84">
        <f t="shared" si="221"/>
        <v>12227.747223923585</v>
      </c>
      <c r="X173" s="84">
        <f t="shared" si="221"/>
        <v>12763.084358050311</v>
      </c>
      <c r="Y173" s="84">
        <f t="shared" si="221"/>
        <v>13195.055753369821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19677.975527257953</v>
      </c>
      <c r="G174" s="84">
        <f t="shared" si="219"/>
        <v>18533.398857562133</v>
      </c>
      <c r="H174" s="84">
        <f t="shared" si="219"/>
        <v>18488.656270751973</v>
      </c>
      <c r="I174" s="84">
        <f t="shared" si="219"/>
        <v>18571.854194011485</v>
      </c>
      <c r="J174" s="84">
        <f t="shared" si="219"/>
        <v>18442.940409694129</v>
      </c>
      <c r="K174" s="84">
        <f t="shared" si="219"/>
        <v>18552.095379744896</v>
      </c>
      <c r="L174" s="84">
        <f t="shared" si="219"/>
        <v>19683.703249239406</v>
      </c>
      <c r="M174" s="84">
        <f t="shared" si="222"/>
        <v>19443.705526453003</v>
      </c>
      <c r="N174" s="84">
        <f t="shared" si="219"/>
        <v>19304.973099340961</v>
      </c>
      <c r="O174" s="84">
        <f t="shared" si="219"/>
        <v>18631.651437030512</v>
      </c>
      <c r="P174" s="84">
        <f t="shared" si="219"/>
        <v>18620.671595089454</v>
      </c>
      <c r="Q174" s="84">
        <f t="shared" si="219"/>
        <v>18370.307060133975</v>
      </c>
      <c r="R174" s="84">
        <f t="shared" si="219"/>
        <v>17974.130708622739</v>
      </c>
      <c r="S174" s="84">
        <f t="shared" si="219"/>
        <v>17707.382386835263</v>
      </c>
      <c r="T174" s="84">
        <f t="shared" si="219"/>
        <v>17616.227047244582</v>
      </c>
      <c r="U174" s="84">
        <f t="shared" si="219"/>
        <v>17707.959922145077</v>
      </c>
      <c r="V174" s="84">
        <f t="shared" si="219"/>
        <v>16064.225239547384</v>
      </c>
      <c r="W174" s="84">
        <f t="shared" si="221"/>
        <v>16355.988701028764</v>
      </c>
      <c r="X174" s="84">
        <f t="shared" si="221"/>
        <v>16571.600072280344</v>
      </c>
      <c r="Y174" s="84">
        <f t="shared" si="221"/>
        <v>16964.506702929975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8983.785704672453</v>
      </c>
      <c r="N175" s="84">
        <f t="shared" si="219"/>
        <v>9554.1430358775106</v>
      </c>
      <c r="O175" s="84">
        <f t="shared" si="219"/>
        <v>9578.3893415101593</v>
      </c>
      <c r="P175" s="84">
        <f t="shared" si="219"/>
        <v>10081.047143875336</v>
      </c>
      <c r="Q175" s="84">
        <f t="shared" si="219"/>
        <v>10598.168692654144</v>
      </c>
      <c r="R175" s="84">
        <f t="shared" si="219"/>
        <v>10497.477655066363</v>
      </c>
      <c r="S175" s="84">
        <f t="shared" si="219"/>
        <v>10391.315158123842</v>
      </c>
      <c r="T175" s="84">
        <f t="shared" si="219"/>
        <v>10908.054278397716</v>
      </c>
      <c r="U175" s="84">
        <f t="shared" si="219"/>
        <v>11470.355361522397</v>
      </c>
      <c r="V175" s="84">
        <f t="shared" si="219"/>
        <v>9458.7121825430404</v>
      </c>
      <c r="W175" s="84">
        <f t="shared" si="221"/>
        <v>10488.668004645429</v>
      </c>
      <c r="X175" s="84">
        <f t="shared" si="221"/>
        <v>11806.523608337682</v>
      </c>
      <c r="Y175" s="84">
        <f t="shared" si="221"/>
        <v>12581.664496982718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15204.890100673794</v>
      </c>
      <c r="K176" s="84">
        <f t="shared" si="219"/>
        <v>15228.827556294935</v>
      </c>
      <c r="L176" s="84">
        <f t="shared" si="219"/>
        <v>15348.830486488847</v>
      </c>
      <c r="M176" s="84">
        <f t="shared" si="222"/>
        <v>15356.165174395024</v>
      </c>
      <c r="N176" s="84">
        <f t="shared" si="219"/>
        <v>15359.710098593689</v>
      </c>
      <c r="O176" s="84">
        <f t="shared" si="219"/>
        <v>15366.823321005386</v>
      </c>
      <c r="P176" s="84">
        <f t="shared" si="219"/>
        <v>15409.992563900101</v>
      </c>
      <c r="Q176" s="84">
        <f t="shared" si="219"/>
        <v>15448.795611821242</v>
      </c>
      <c r="R176" s="84">
        <f t="shared" si="219"/>
        <v>15439.097550352319</v>
      </c>
      <c r="S176" s="84">
        <f t="shared" si="219"/>
        <v>15417.404687473527</v>
      </c>
      <c r="T176" s="84">
        <f t="shared" si="219"/>
        <v>15296.344284205603</v>
      </c>
      <c r="U176" s="84">
        <f t="shared" si="219"/>
        <v>15169.33413434248</v>
      </c>
      <c r="V176" s="84">
        <f t="shared" si="219"/>
        <v>13126.769850047758</v>
      </c>
      <c r="W176" s="84">
        <f t="shared" si="221"/>
        <v>14967.112999797675</v>
      </c>
      <c r="X176" s="84">
        <f t="shared" si="221"/>
        <v>15103.748403481806</v>
      </c>
      <c r="Y176" s="84">
        <f t="shared" si="221"/>
        <v>14948.114383548145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44975.011765574207</v>
      </c>
      <c r="C177" s="110">
        <f t="shared" si="219"/>
        <v>45652.766421368222</v>
      </c>
      <c r="D177" s="110">
        <f t="shared" si="219"/>
        <v>45610.919459918834</v>
      </c>
      <c r="E177" s="110">
        <f t="shared" si="219"/>
        <v>44980.727886450259</v>
      </c>
      <c r="F177" s="110">
        <f t="shared" si="219"/>
        <v>44355.089788956218</v>
      </c>
      <c r="G177" s="110">
        <f t="shared" si="219"/>
        <v>43708.558905732447</v>
      </c>
      <c r="H177" s="110">
        <f t="shared" si="219"/>
        <v>43053.929453236735</v>
      </c>
      <c r="I177" s="110">
        <f t="shared" si="219"/>
        <v>42438.322266949326</v>
      </c>
      <c r="J177" s="110">
        <f t="shared" si="219"/>
        <v>41879.371767736709</v>
      </c>
      <c r="K177" s="110">
        <f t="shared" si="219"/>
        <v>41269.347842388743</v>
      </c>
      <c r="L177" s="110">
        <f t="shared" si="219"/>
        <v>40680.240166899457</v>
      </c>
      <c r="M177" s="110">
        <f t="shared" si="222"/>
        <v>40063.435337964002</v>
      </c>
      <c r="N177" s="110">
        <f t="shared" si="219"/>
        <v>39462.889448881651</v>
      </c>
      <c r="O177" s="110">
        <f t="shared" si="219"/>
        <v>38908.353309976032</v>
      </c>
      <c r="P177" s="110">
        <f t="shared" si="219"/>
        <v>38484.451328488023</v>
      </c>
      <c r="Q177" s="110">
        <f t="shared" si="219"/>
        <v>38589.916261638464</v>
      </c>
      <c r="R177" s="110">
        <f t="shared" si="219"/>
        <v>38420.62449158376</v>
      </c>
      <c r="S177" s="110">
        <f t="shared" si="219"/>
        <v>38372.601712392978</v>
      </c>
      <c r="T177" s="110">
        <f t="shared" si="219"/>
        <v>38401.35803335395</v>
      </c>
      <c r="U177" s="110">
        <f t="shared" si="219"/>
        <v>38240.858269352495</v>
      </c>
      <c r="V177" s="110">
        <f t="shared" si="219"/>
        <v>37996.995218194497</v>
      </c>
      <c r="W177" s="110">
        <f t="shared" si="221"/>
        <v>37695.898964896682</v>
      </c>
      <c r="X177" s="110">
        <f t="shared" si="221"/>
        <v>38305.283961272733</v>
      </c>
      <c r="Y177" s="110">
        <f t="shared" si="221"/>
        <v>38104.946049974838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41426.4626576023</v>
      </c>
      <c r="C178" s="102">
        <f t="shared" si="219"/>
        <v>42507.27466158037</v>
      </c>
      <c r="D178" s="102">
        <f t="shared" si="219"/>
        <v>43321.484016431037</v>
      </c>
      <c r="E178" s="102">
        <f t="shared" si="219"/>
        <v>44032.150431608701</v>
      </c>
      <c r="F178" s="102">
        <f t="shared" si="219"/>
        <v>43827.584352667007</v>
      </c>
      <c r="G178" s="102">
        <f t="shared" si="219"/>
        <v>43592.975760855858</v>
      </c>
      <c r="H178" s="102">
        <f t="shared" si="219"/>
        <v>43341.10142425869</v>
      </c>
      <c r="I178" s="102">
        <f t="shared" si="219"/>
        <v>42882.353778830889</v>
      </c>
      <c r="J178" s="102">
        <f t="shared" si="219"/>
        <v>41870.803109489549</v>
      </c>
      <c r="K178" s="102">
        <f t="shared" si="219"/>
        <v>40822.419136396398</v>
      </c>
      <c r="L178" s="102">
        <f t="shared" si="219"/>
        <v>39812.647711677128</v>
      </c>
      <c r="M178" s="102">
        <f t="shared" si="222"/>
        <v>38791.145017456314</v>
      </c>
      <c r="N178" s="102">
        <f t="shared" si="219"/>
        <v>37802.798787683212</v>
      </c>
      <c r="O178" s="102">
        <f t="shared" si="219"/>
        <v>36822.564091473432</v>
      </c>
      <c r="P178" s="102">
        <f t="shared" si="219"/>
        <v>36867.687367237428</v>
      </c>
      <c r="Q178" s="102">
        <f t="shared" si="219"/>
        <v>36987.444059947054</v>
      </c>
      <c r="R178" s="102">
        <f t="shared" si="219"/>
        <v>36448.916986601878</v>
      </c>
      <c r="S178" s="102">
        <f t="shared" si="219"/>
        <v>36037.071445518595</v>
      </c>
      <c r="T178" s="102">
        <f t="shared" si="219"/>
        <v>35704.774078160553</v>
      </c>
      <c r="U178" s="102">
        <f t="shared" si="219"/>
        <v>35192.618709214621</v>
      </c>
      <c r="V178" s="102">
        <f t="shared" si="219"/>
        <v>34607.440688354895</v>
      </c>
      <c r="W178" s="102">
        <f t="shared" si="221"/>
        <v>33976.353843700068</v>
      </c>
      <c r="X178" s="102">
        <f t="shared" si="221"/>
        <v>34207.770984629889</v>
      </c>
      <c r="Y178" s="102">
        <f t="shared" si="221"/>
        <v>33679.742992194879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45027.952549825313</v>
      </c>
      <c r="C179" s="102">
        <f t="shared" si="219"/>
        <v>45698.455294457075</v>
      </c>
      <c r="D179" s="102">
        <f t="shared" si="219"/>
        <v>45641.110809772959</v>
      </c>
      <c r="E179" s="102">
        <f t="shared" si="219"/>
        <v>44993.225047838852</v>
      </c>
      <c r="F179" s="102">
        <f t="shared" si="219"/>
        <v>44361.972230495565</v>
      </c>
      <c r="G179" s="102">
        <f t="shared" si="219"/>
        <v>43713.96164381272</v>
      </c>
      <c r="H179" s="102">
        <f t="shared" si="219"/>
        <v>43053.833546487942</v>
      </c>
      <c r="I179" s="102">
        <f t="shared" si="219"/>
        <v>42435.730299378069</v>
      </c>
      <c r="J179" s="102">
        <f t="shared" si="219"/>
        <v>41880.635180131118</v>
      </c>
      <c r="K179" s="102">
        <f t="shared" si="219"/>
        <v>41273.778062972298</v>
      </c>
      <c r="L179" s="102">
        <f t="shared" si="219"/>
        <v>40687.110333692282</v>
      </c>
      <c r="M179" s="102">
        <f t="shared" si="222"/>
        <v>40072.899700607355</v>
      </c>
      <c r="N179" s="102">
        <f t="shared" si="219"/>
        <v>39474.804105382267</v>
      </c>
      <c r="O179" s="102">
        <f t="shared" si="219"/>
        <v>38921.596845869171</v>
      </c>
      <c r="P179" s="102">
        <f t="shared" si="219"/>
        <v>38492.1147688118</v>
      </c>
      <c r="Q179" s="102">
        <f t="shared" si="219"/>
        <v>38598.104514280014</v>
      </c>
      <c r="R179" s="102">
        <f t="shared" si="219"/>
        <v>38431.635009253572</v>
      </c>
      <c r="S179" s="102">
        <f t="shared" si="219"/>
        <v>38385.187762667665</v>
      </c>
      <c r="T179" s="102">
        <f t="shared" si="219"/>
        <v>38411.330551492538</v>
      </c>
      <c r="U179" s="102">
        <f t="shared" si="219"/>
        <v>38247.874989601965</v>
      </c>
      <c r="V179" s="102">
        <f t="shared" si="219"/>
        <v>37998.605382220005</v>
      </c>
      <c r="W179" s="102">
        <f t="shared" si="221"/>
        <v>37645.183356861453</v>
      </c>
      <c r="X179" s="102">
        <f t="shared" si="221"/>
        <v>38229.620527683066</v>
      </c>
      <c r="Y179" s="102">
        <f t="shared" si="221"/>
        <v>37984.20091752764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40367.515876688158</v>
      </c>
      <c r="P181" s="102">
        <f t="shared" si="223"/>
        <v>40720.257892084286</v>
      </c>
      <c r="Q181" s="102">
        <f t="shared" si="223"/>
        <v>40036.703507608079</v>
      </c>
      <c r="R181" s="102">
        <f t="shared" si="223"/>
        <v>40649.34914279107</v>
      </c>
      <c r="S181" s="102">
        <f t="shared" si="223"/>
        <v>41407.921911541198</v>
      </c>
      <c r="T181" s="102">
        <f t="shared" si="223"/>
        <v>42269.315153422162</v>
      </c>
      <c r="U181" s="102">
        <f t="shared" si="223"/>
        <v>42925.511944890888</v>
      </c>
      <c r="V181" s="102">
        <f t="shared" si="223"/>
        <v>43490.896452788831</v>
      </c>
      <c r="W181" s="102">
        <f t="shared" si="221"/>
        <v>43991.687786601011</v>
      </c>
      <c r="X181" s="102">
        <f t="shared" si="221"/>
        <v>45633.481833972997</v>
      </c>
      <c r="Y181" s="102">
        <f t="shared" si="221"/>
        <v>46290.575128270917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40690.258145322201</v>
      </c>
      <c r="C182" s="102">
        <f t="shared" si="223"/>
        <v>40720.700071161125</v>
      </c>
      <c r="D182" s="102">
        <f t="shared" si="223"/>
        <v>40738.006386152483</v>
      </c>
      <c r="E182" s="102">
        <f t="shared" si="223"/>
        <v>40750.076409128589</v>
      </c>
      <c r="F182" s="102">
        <f t="shared" si="223"/>
        <v>40778.625033194665</v>
      </c>
      <c r="G182" s="102">
        <f t="shared" si="223"/>
        <v>40808.574728940082</v>
      </c>
      <c r="H182" s="102">
        <f t="shared" si="223"/>
        <v>40839.377306702758</v>
      </c>
      <c r="I182" s="102">
        <f t="shared" si="223"/>
        <v>40868.795765526418</v>
      </c>
      <c r="J182" s="102">
        <f t="shared" si="223"/>
        <v>40895.897481506348</v>
      </c>
      <c r="K182" s="102">
        <f t="shared" si="223"/>
        <v>40925.912468648094</v>
      </c>
      <c r="L182" s="102">
        <f t="shared" si="223"/>
        <v>40955.34379745325</v>
      </c>
      <c r="M182" s="102">
        <f t="shared" si="222"/>
        <v>40986.642343832376</v>
      </c>
      <c r="N182" s="102">
        <f t="shared" si="223"/>
        <v>41017.605831755071</v>
      </c>
      <c r="O182" s="102">
        <f t="shared" si="223"/>
        <v>41049.49866838583</v>
      </c>
      <c r="P182" s="102">
        <f t="shared" si="223"/>
        <v>41071.348689268787</v>
      </c>
      <c r="Q182" s="102">
        <f t="shared" si="223"/>
        <v>41097.160066607838</v>
      </c>
      <c r="R182" s="102">
        <f t="shared" si="223"/>
        <v>41115.630390806618</v>
      </c>
      <c r="S182" s="102">
        <f t="shared" si="223"/>
        <v>41129.233801104085</v>
      </c>
      <c r="T182" s="102">
        <f t="shared" si="223"/>
        <v>41139.286526175762</v>
      </c>
      <c r="U182" s="102">
        <f t="shared" si="223"/>
        <v>41137.563528726627</v>
      </c>
      <c r="V182" s="102">
        <f t="shared" si="223"/>
        <v>40940.654706371337</v>
      </c>
      <c r="W182" s="102">
        <f t="shared" si="221"/>
        <v>41131.659385628242</v>
      </c>
      <c r="X182" s="102">
        <f t="shared" si="221"/>
        <v>41136.871058998862</v>
      </c>
      <c r="Y182" s="102">
        <f t="shared" si="221"/>
        <v>41136.098876154705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20268.059291794081</v>
      </c>
      <c r="C183" s="28">
        <f t="shared" si="223"/>
        <v>19420.924976051796</v>
      </c>
      <c r="D183" s="28">
        <f t="shared" si="223"/>
        <v>21294.206716482458</v>
      </c>
      <c r="E183" s="28">
        <f t="shared" si="223"/>
        <v>21105.234258459695</v>
      </c>
      <c r="F183" s="28">
        <f t="shared" si="223"/>
        <v>22266.910197422632</v>
      </c>
      <c r="G183" s="28">
        <f t="shared" si="223"/>
        <v>21938.234723702957</v>
      </c>
      <c r="H183" s="28">
        <f t="shared" si="223"/>
        <v>22158.749737022859</v>
      </c>
      <c r="I183" s="28">
        <f t="shared" si="223"/>
        <v>22685.412629458559</v>
      </c>
      <c r="J183" s="28">
        <f t="shared" si="223"/>
        <v>21931.659051011917</v>
      </c>
      <c r="K183" s="28">
        <f t="shared" si="223"/>
        <v>21413.383154451058</v>
      </c>
      <c r="L183" s="28">
        <f t="shared" si="223"/>
        <v>21080.662614357781</v>
      </c>
      <c r="M183" s="28">
        <f t="shared" si="222"/>
        <v>20275.988083965789</v>
      </c>
      <c r="N183" s="28">
        <f t="shared" si="223"/>
        <v>19712.551136404225</v>
      </c>
      <c r="O183" s="28">
        <f t="shared" si="223"/>
        <v>18589.514279387859</v>
      </c>
      <c r="P183" s="28">
        <f t="shared" si="223"/>
        <v>18825.743780269288</v>
      </c>
      <c r="Q183" s="28">
        <f t="shared" si="223"/>
        <v>19668.878551404905</v>
      </c>
      <c r="R183" s="28">
        <f t="shared" si="223"/>
        <v>18502.461052823168</v>
      </c>
      <c r="S183" s="28">
        <f t="shared" si="223"/>
        <v>17047.951054480814</v>
      </c>
      <c r="T183" s="28">
        <f t="shared" si="223"/>
        <v>16603.468231911818</v>
      </c>
      <c r="U183" s="28">
        <f t="shared" si="223"/>
        <v>16345.018775256563</v>
      </c>
      <c r="V183" s="28">
        <f t="shared" si="223"/>
        <v>14662.385427014109</v>
      </c>
      <c r="W183" s="28">
        <f t="shared" si="221"/>
        <v>17078.405498440341</v>
      </c>
      <c r="X183" s="28">
        <f t="shared" si="221"/>
        <v>16670.628554487746</v>
      </c>
      <c r="Y183" s="28">
        <f t="shared" si="221"/>
        <v>17300.112644363191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17035.681682683873</v>
      </c>
      <c r="C184" s="137">
        <f t="shared" si="223"/>
        <v>17348.606915920773</v>
      </c>
      <c r="D184" s="137">
        <f t="shared" si="223"/>
        <v>19464.383578364646</v>
      </c>
      <c r="E184" s="137">
        <f t="shared" si="223"/>
        <v>19766.841000399658</v>
      </c>
      <c r="F184" s="137">
        <f t="shared" si="223"/>
        <v>20969.5792319057</v>
      </c>
      <c r="G184" s="137">
        <f t="shared" si="223"/>
        <v>21018.231264818143</v>
      </c>
      <c r="H184" s="137">
        <f t="shared" si="223"/>
        <v>21209.182822532788</v>
      </c>
      <c r="I184" s="137">
        <f t="shared" si="223"/>
        <v>21967.005973572439</v>
      </c>
      <c r="J184" s="137">
        <f t="shared" si="223"/>
        <v>21952.179424899263</v>
      </c>
      <c r="K184" s="137">
        <f t="shared" si="223"/>
        <v>21443.018001687778</v>
      </c>
      <c r="L184" s="137">
        <f t="shared" si="223"/>
        <v>20820.650235769692</v>
      </c>
      <c r="M184" s="137">
        <f t="shared" si="222"/>
        <v>20150.073526718876</v>
      </c>
      <c r="N184" s="137">
        <f t="shared" si="223"/>
        <v>19344.996772117345</v>
      </c>
      <c r="O184" s="137">
        <f t="shared" si="223"/>
        <v>17819.640828782478</v>
      </c>
      <c r="P184" s="137">
        <f t="shared" si="223"/>
        <v>18117.354819046999</v>
      </c>
      <c r="Q184" s="137">
        <f t="shared" si="223"/>
        <v>19050.574787986036</v>
      </c>
      <c r="R184" s="137">
        <f t="shared" si="223"/>
        <v>16982.233027313017</v>
      </c>
      <c r="S184" s="137">
        <f t="shared" si="223"/>
        <v>15246.962814411905</v>
      </c>
      <c r="T184" s="137">
        <f t="shared" si="223"/>
        <v>15100.556821785025</v>
      </c>
      <c r="U184" s="137">
        <f t="shared" si="223"/>
        <v>14605.15926464322</v>
      </c>
      <c r="V184" s="137">
        <f t="shared" si="223"/>
        <v>12769.333618820459</v>
      </c>
      <c r="W184" s="137">
        <f t="shared" si="221"/>
        <v>15445.044210609663</v>
      </c>
      <c r="X184" s="137">
        <f t="shared" si="221"/>
        <v>14979.137271809208</v>
      </c>
      <c r="Y184" s="137">
        <f t="shared" si="221"/>
        <v>15766.96637748904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13663.300775360705</v>
      </c>
      <c r="C185" s="84">
        <f t="shared" si="223"/>
        <v>13856.166248718695</v>
      </c>
      <c r="D185" s="84">
        <f t="shared" si="223"/>
        <v>14889.649437093836</v>
      </c>
      <c r="E185" s="84">
        <f t="shared" si="223"/>
        <v>14397.564255627563</v>
      </c>
      <c r="F185" s="84">
        <f t="shared" si="223"/>
        <v>14579.747976242352</v>
      </c>
      <c r="G185" s="84">
        <f t="shared" si="223"/>
        <v>15373.279049297627</v>
      </c>
      <c r="H185" s="84">
        <f t="shared" si="223"/>
        <v>16327.068485245238</v>
      </c>
      <c r="I185" s="84">
        <f t="shared" si="223"/>
        <v>16113.41213048065</v>
      </c>
      <c r="J185" s="84">
        <f t="shared" si="223"/>
        <v>15324.433956922972</v>
      </c>
      <c r="K185" s="84">
        <f t="shared" si="223"/>
        <v>15018.731858555326</v>
      </c>
      <c r="L185" s="84">
        <f t="shared" si="223"/>
        <v>14922.073950577083</v>
      </c>
      <c r="M185" s="84">
        <f t="shared" si="222"/>
        <v>15178.856078476845</v>
      </c>
      <c r="N185" s="84">
        <f t="shared" si="223"/>
        <v>15303.291401111228</v>
      </c>
      <c r="O185" s="84">
        <f t="shared" si="223"/>
        <v>14766.958803401005</v>
      </c>
      <c r="P185" s="84">
        <f t="shared" si="223"/>
        <v>14607.267158536359</v>
      </c>
      <c r="Q185" s="84">
        <f t="shared" si="223"/>
        <v>14613.800528836813</v>
      </c>
      <c r="R185" s="84">
        <f t="shared" si="223"/>
        <v>15111.620472305656</v>
      </c>
      <c r="S185" s="84">
        <f t="shared" si="223"/>
        <v>15463.353370783745</v>
      </c>
      <c r="T185" s="84">
        <f t="shared" si="223"/>
        <v>15025.066143628499</v>
      </c>
      <c r="U185" s="84">
        <f t="shared" si="223"/>
        <v>14984.9399312715</v>
      </c>
      <c r="V185" s="84">
        <f t="shared" si="223"/>
        <v>12483.078822590425</v>
      </c>
      <c r="W185" s="84">
        <f t="shared" si="221"/>
        <v>15519.789624451418</v>
      </c>
      <c r="X185" s="84">
        <f t="shared" si="221"/>
        <v>15420.511016700864</v>
      </c>
      <c r="Y185" s="84">
        <f t="shared" si="221"/>
        <v>15422.064693143077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18162.992094631041</v>
      </c>
      <c r="C186" s="84">
        <f t="shared" si="223"/>
        <v>18497.699155802286</v>
      </c>
      <c r="D186" s="84">
        <f t="shared" si="223"/>
        <v>20808.118380197058</v>
      </c>
      <c r="E186" s="84">
        <f t="shared" si="223"/>
        <v>21052.166100343889</v>
      </c>
      <c r="F186" s="84">
        <f t="shared" si="223"/>
        <v>22279.028152924802</v>
      </c>
      <c r="G186" s="84">
        <f t="shared" si="223"/>
        <v>22148.419118325921</v>
      </c>
      <c r="H186" s="84">
        <f t="shared" si="223"/>
        <v>22186.596917450912</v>
      </c>
      <c r="I186" s="84">
        <f t="shared" si="223"/>
        <v>22887.938059780958</v>
      </c>
      <c r="J186" s="84">
        <f t="shared" si="223"/>
        <v>22853.939527280334</v>
      </c>
      <c r="K186" s="84">
        <f t="shared" si="223"/>
        <v>22241.714935361368</v>
      </c>
      <c r="L186" s="84">
        <f t="shared" si="223"/>
        <v>21503.832326318265</v>
      </c>
      <c r="M186" s="84">
        <f t="shared" si="222"/>
        <v>20748.729213786162</v>
      </c>
      <c r="N186" s="84">
        <f t="shared" si="223"/>
        <v>19850.529471426635</v>
      </c>
      <c r="O186" s="84">
        <f t="shared" si="223"/>
        <v>18194.69824498763</v>
      </c>
      <c r="P186" s="84">
        <f t="shared" si="223"/>
        <v>18464.005393407569</v>
      </c>
      <c r="Q186" s="84">
        <f t="shared" si="223"/>
        <v>19364.489212048724</v>
      </c>
      <c r="R186" s="84">
        <f t="shared" si="223"/>
        <v>17163.549972708828</v>
      </c>
      <c r="S186" s="84">
        <f t="shared" si="223"/>
        <v>15336.22154128221</v>
      </c>
      <c r="T186" s="84">
        <f t="shared" si="223"/>
        <v>15195.013053508826</v>
      </c>
      <c r="U186" s="84">
        <f t="shared" si="223"/>
        <v>14677.770773060052</v>
      </c>
      <c r="V186" s="84">
        <f t="shared" si="223"/>
        <v>12860.338611221625</v>
      </c>
      <c r="W186" s="84">
        <f t="shared" si="221"/>
        <v>15538.766838437368</v>
      </c>
      <c r="X186" s="84">
        <f t="shared" si="221"/>
        <v>15056.33032339374</v>
      </c>
      <c r="Y186" s="84">
        <f t="shared" si="221"/>
        <v>15885.826927910404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7150.3815783289938</v>
      </c>
      <c r="C187" s="84">
        <f t="shared" si="223"/>
        <v>7327.3806858144253</v>
      </c>
      <c r="D187" s="84">
        <f t="shared" si="223"/>
        <v>8309.1454465778952</v>
      </c>
      <c r="E187" s="84">
        <f t="shared" si="223"/>
        <v>8478.6582807830491</v>
      </c>
      <c r="F187" s="84">
        <f t="shared" si="223"/>
        <v>9060.5454203432582</v>
      </c>
      <c r="G187" s="84">
        <f t="shared" si="223"/>
        <v>9121.6070612915646</v>
      </c>
      <c r="H187" s="84">
        <f t="shared" si="223"/>
        <v>9249.4005768387196</v>
      </c>
      <c r="I187" s="84">
        <f t="shared" si="223"/>
        <v>9632.945594707473</v>
      </c>
      <c r="J187" s="84">
        <f t="shared" si="223"/>
        <v>9667.6796807108149</v>
      </c>
      <c r="K187" s="84">
        <f t="shared" si="223"/>
        <v>9472.3804131520246</v>
      </c>
      <c r="L187" s="84">
        <f t="shared" si="223"/>
        <v>9223.4566428584531</v>
      </c>
      <c r="M187" s="84">
        <f t="shared" si="222"/>
        <v>8957.8562801388325</v>
      </c>
      <c r="N187" s="84">
        <f t="shared" si="223"/>
        <v>8622.841829047351</v>
      </c>
      <c r="O187" s="84">
        <f t="shared" si="223"/>
        <v>7944.3278697517235</v>
      </c>
      <c r="P187" s="84">
        <f t="shared" si="223"/>
        <v>8120.8132903886344</v>
      </c>
      <c r="Q187" s="84">
        <f t="shared" si="223"/>
        <v>8573.5354251121462</v>
      </c>
      <c r="R187" s="84">
        <f t="shared" si="223"/>
        <v>8401.2051699275635</v>
      </c>
      <c r="S187" s="84">
        <f t="shared" si="223"/>
        <v>8146.4428553995385</v>
      </c>
      <c r="T187" s="84">
        <f t="shared" si="223"/>
        <v>8010.7313189092456</v>
      </c>
      <c r="U187" s="84">
        <f t="shared" si="223"/>
        <v>7687.5219345864925</v>
      </c>
      <c r="V187" s="84">
        <f t="shared" si="223"/>
        <v>6633.8528965051819</v>
      </c>
      <c r="W187" s="84">
        <f t="shared" si="221"/>
        <v>8057.5488069210815</v>
      </c>
      <c r="X187" s="84">
        <f t="shared" si="221"/>
        <v>7746.3534331736946</v>
      </c>
      <c r="Y187" s="84">
        <f t="shared" si="221"/>
        <v>8114.1034093253411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14256.666459241942</v>
      </c>
      <c r="K188" s="84">
        <f t="shared" si="223"/>
        <v>14345.041215758254</v>
      </c>
      <c r="L188" s="84">
        <f t="shared" si="223"/>
        <v>14183.047858949512</v>
      </c>
      <c r="M188" s="84">
        <f t="shared" si="222"/>
        <v>13774.630190642538</v>
      </c>
      <c r="N188" s="84">
        <f t="shared" si="223"/>
        <v>13259.473435723632</v>
      </c>
      <c r="O188" s="84">
        <f t="shared" si="223"/>
        <v>12216.112326078646</v>
      </c>
      <c r="P188" s="84">
        <f t="shared" si="223"/>
        <v>12487.496609024047</v>
      </c>
      <c r="Q188" s="84">
        <f t="shared" si="223"/>
        <v>13183.654237580904</v>
      </c>
      <c r="R188" s="84">
        <f t="shared" si="223"/>
        <v>12918.659414981461</v>
      </c>
      <c r="S188" s="84">
        <f t="shared" si="223"/>
        <v>12526.907576216607</v>
      </c>
      <c r="T188" s="84">
        <f t="shared" si="223"/>
        <v>12318.221907536878</v>
      </c>
      <c r="U188" s="84">
        <f t="shared" si="223"/>
        <v>11821.217981155265</v>
      </c>
      <c r="V188" s="84">
        <f t="shared" si="223"/>
        <v>10200.975270287039</v>
      </c>
      <c r="W188" s="84">
        <f t="shared" si="221"/>
        <v>12390.213862269142</v>
      </c>
      <c r="X188" s="84">
        <f t="shared" si="221"/>
        <v>11911.684060455596</v>
      </c>
      <c r="Y188" s="84">
        <f t="shared" si="221"/>
        <v>12477.178724099391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14475.741158512465</v>
      </c>
      <c r="K189" s="84">
        <f t="shared" si="223"/>
        <v>14476.545729993839</v>
      </c>
      <c r="L189" s="84">
        <f t="shared" si="223"/>
        <v>14487.834545420748</v>
      </c>
      <c r="M189" s="84">
        <f t="shared" si="222"/>
        <v>14503.461908763982</v>
      </c>
      <c r="N189" s="84">
        <f t="shared" si="223"/>
        <v>14507.600828685039</v>
      </c>
      <c r="O189" s="84">
        <f t="shared" si="223"/>
        <v>14567.806948742544</v>
      </c>
      <c r="P189" s="84">
        <f t="shared" si="223"/>
        <v>14579.576639201299</v>
      </c>
      <c r="Q189" s="84">
        <f t="shared" si="223"/>
        <v>14613.800528836815</v>
      </c>
      <c r="R189" s="84">
        <f t="shared" si="223"/>
        <v>14603.162443479374</v>
      </c>
      <c r="S189" s="84">
        <f t="shared" si="223"/>
        <v>14585.245451615619</v>
      </c>
      <c r="T189" s="84">
        <f t="shared" si="223"/>
        <v>14577.061416295963</v>
      </c>
      <c r="U189" s="84">
        <f t="shared" si="223"/>
        <v>14551.97505975252</v>
      </c>
      <c r="V189" s="84">
        <f t="shared" si="223"/>
        <v>13144.616907168976</v>
      </c>
      <c r="W189" s="84">
        <f t="shared" si="221"/>
        <v>14512.505526813564</v>
      </c>
      <c r="X189" s="84">
        <f t="shared" si="221"/>
        <v>14536.280322056085</v>
      </c>
      <c r="Y189" s="84">
        <f t="shared" si="221"/>
        <v>14500.748665452715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35381.407902220897</v>
      </c>
      <c r="C190" s="110">
        <f t="shared" si="223"/>
        <v>26491.458412912642</v>
      </c>
      <c r="D190" s="110">
        <f t="shared" si="223"/>
        <v>27234.003216139394</v>
      </c>
      <c r="E190" s="110">
        <f t="shared" si="223"/>
        <v>25483.744749460486</v>
      </c>
      <c r="F190" s="110">
        <f t="shared" si="223"/>
        <v>26492.431991920119</v>
      </c>
      <c r="G190" s="110">
        <f t="shared" si="223"/>
        <v>24961.344904862322</v>
      </c>
      <c r="H190" s="110">
        <f t="shared" si="223"/>
        <v>25377.361210216211</v>
      </c>
      <c r="I190" s="110">
        <f t="shared" si="223"/>
        <v>25142.561262856303</v>
      </c>
      <c r="J190" s="110">
        <f t="shared" si="223"/>
        <v>21862.744300787574</v>
      </c>
      <c r="K190" s="110">
        <f t="shared" si="223"/>
        <v>21309.282309978735</v>
      </c>
      <c r="L190" s="110">
        <f t="shared" si="223"/>
        <v>22057.608657328721</v>
      </c>
      <c r="M190" s="110">
        <f t="shared" si="222"/>
        <v>20724.052324424585</v>
      </c>
      <c r="N190" s="110">
        <f t="shared" si="223"/>
        <v>21080.407831191969</v>
      </c>
      <c r="O190" s="110">
        <f t="shared" si="223"/>
        <v>21501.210195741729</v>
      </c>
      <c r="P190" s="110">
        <f t="shared" si="223"/>
        <v>21520.114287474164</v>
      </c>
      <c r="Q190" s="110">
        <f t="shared" si="223"/>
        <v>21905.551701190059</v>
      </c>
      <c r="R190" s="110">
        <f t="shared" si="223"/>
        <v>25100.352210581339</v>
      </c>
      <c r="S190" s="110">
        <f t="shared" si="223"/>
        <v>25126.11795666712</v>
      </c>
      <c r="T190" s="110">
        <f t="shared" si="223"/>
        <v>23527.227299822938</v>
      </c>
      <c r="U190" s="110">
        <f t="shared" si="223"/>
        <v>24595.632132065432</v>
      </c>
      <c r="V190" s="110">
        <f t="shared" si="223"/>
        <v>23974.169258363756</v>
      </c>
      <c r="W190" s="110">
        <f t="shared" si="221"/>
        <v>25407.687231683758</v>
      </c>
      <c r="X190" s="110">
        <f t="shared" si="221"/>
        <v>25381.328515968049</v>
      </c>
      <c r="Y190" s="110">
        <f t="shared" si="221"/>
        <v>25284.480315837216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25095.326771304426</v>
      </c>
      <c r="C191" s="102">
        <f t="shared" si="223"/>
        <v>17946.775656980179</v>
      </c>
      <c r="D191" s="102">
        <f t="shared" si="223"/>
        <v>18321.937845834935</v>
      </c>
      <c r="E191" s="102">
        <f t="shared" si="223"/>
        <v>16385.073538349337</v>
      </c>
      <c r="F191" s="102">
        <f t="shared" si="223"/>
        <v>16302.565624072831</v>
      </c>
      <c r="G191" s="102">
        <f t="shared" si="223"/>
        <v>14535.364624847729</v>
      </c>
      <c r="H191" s="102">
        <f t="shared" si="223"/>
        <v>14718.542796296577</v>
      </c>
      <c r="I191" s="102">
        <f t="shared" si="223"/>
        <v>14214.61990046786</v>
      </c>
      <c r="J191" s="102">
        <f t="shared" si="223"/>
        <v>10984.120705244122</v>
      </c>
      <c r="K191" s="102">
        <f t="shared" si="223"/>
        <v>10841.891466659039</v>
      </c>
      <c r="L191" s="102">
        <f t="shared" si="223"/>
        <v>11226.509143392801</v>
      </c>
      <c r="M191" s="102">
        <f t="shared" si="222"/>
        <v>10585.542628266259</v>
      </c>
      <c r="N191" s="102">
        <f t="shared" si="223"/>
        <v>10798.579683910046</v>
      </c>
      <c r="O191" s="102">
        <f t="shared" si="223"/>
        <v>11081.77968432052</v>
      </c>
      <c r="P191" s="102">
        <f t="shared" si="223"/>
        <v>11273.964756224941</v>
      </c>
      <c r="Q191" s="102">
        <f t="shared" si="223"/>
        <v>12193.820876976082</v>
      </c>
      <c r="R191" s="102">
        <f t="shared" si="223"/>
        <v>13724.848087908889</v>
      </c>
      <c r="S191" s="102">
        <f t="shared" si="223"/>
        <v>13705.642312295424</v>
      </c>
      <c r="T191" s="102">
        <f t="shared" si="223"/>
        <v>12597.725782687468</v>
      </c>
      <c r="U191" s="102">
        <f t="shared" si="223"/>
        <v>13726.835964310227</v>
      </c>
      <c r="V191" s="102">
        <f t="shared" si="223"/>
        <v>12942.989214175655</v>
      </c>
      <c r="W191" s="102">
        <f t="shared" si="221"/>
        <v>14396.565030098081</v>
      </c>
      <c r="X191" s="102">
        <f t="shared" si="221"/>
        <v>15001.182839092136</v>
      </c>
      <c r="Y191" s="102">
        <f t="shared" si="221"/>
        <v>15156.418925898113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85000.874926995704</v>
      </c>
      <c r="C192" s="86">
        <f t="shared" si="223"/>
        <v>84998.062774179911</v>
      </c>
      <c r="D192" s="86">
        <f t="shared" si="223"/>
        <v>84998.748950914829</v>
      </c>
      <c r="E192" s="86">
        <f t="shared" si="223"/>
        <v>84999.35594458245</v>
      </c>
      <c r="F192" s="86">
        <f t="shared" si="223"/>
        <v>85001.250456061825</v>
      </c>
      <c r="G192" s="86">
        <f t="shared" si="223"/>
        <v>85001.591452215245</v>
      </c>
      <c r="H192" s="86">
        <f t="shared" si="223"/>
        <v>85001.364958712787</v>
      </c>
      <c r="I192" s="86">
        <f t="shared" si="223"/>
        <v>84998.748041223895</v>
      </c>
      <c r="J192" s="86">
        <f t="shared" si="223"/>
        <v>85000.862748389045</v>
      </c>
      <c r="K192" s="86">
        <f t="shared" si="223"/>
        <v>84998.169949320203</v>
      </c>
      <c r="L192" s="86">
        <f t="shared" si="223"/>
        <v>84999.736200181389</v>
      </c>
      <c r="M192" s="86">
        <f t="shared" si="222"/>
        <v>84999.997109138101</v>
      </c>
      <c r="N192" s="86">
        <f t="shared" si="223"/>
        <v>84999.165483291261</v>
      </c>
      <c r="O192" s="86">
        <f t="shared" si="223"/>
        <v>84999.975955236267</v>
      </c>
      <c r="P192" s="86">
        <f t="shared" si="223"/>
        <v>85000.297975255075</v>
      </c>
      <c r="Q192" s="86">
        <f t="shared" si="223"/>
        <v>85001.70780992067</v>
      </c>
      <c r="R192" s="86">
        <f t="shared" si="223"/>
        <v>84998.612509352635</v>
      </c>
      <c r="S192" s="86">
        <f t="shared" si="223"/>
        <v>85000.732895646695</v>
      </c>
      <c r="T192" s="86">
        <f t="shared" si="223"/>
        <v>85000.689619695404</v>
      </c>
      <c r="U192" s="86">
        <f t="shared" si="223"/>
        <v>85000.113278301418</v>
      </c>
      <c r="V192" s="86">
        <f t="shared" ref="V192:W192" si="224">IF(V55=0,0,V55*1000000/V82)</f>
        <v>85000.628505493703</v>
      </c>
      <c r="W192" s="86">
        <f t="shared" si="224"/>
        <v>85001.372372966143</v>
      </c>
      <c r="X192" s="86">
        <f t="shared" ref="X192:Y192" si="225">IF(X55=0,0,X55*1000000/X82)</f>
        <v>84998.308094451102</v>
      </c>
      <c r="Y192" s="86">
        <f t="shared" si="225"/>
        <v>84999.744099254502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23625.709952451882</v>
      </c>
      <c r="C195" s="28">
        <f t="shared" si="226"/>
        <v>23550.732183026619</v>
      </c>
      <c r="D195" s="28">
        <f t="shared" si="226"/>
        <v>23801.505728806147</v>
      </c>
      <c r="E195" s="28">
        <f t="shared" si="226"/>
        <v>23434.060147710563</v>
      </c>
      <c r="F195" s="28">
        <f t="shared" si="226"/>
        <v>23411.97010468374</v>
      </c>
      <c r="G195" s="28">
        <f t="shared" si="226"/>
        <v>23128.642904969565</v>
      </c>
      <c r="H195" s="28">
        <f t="shared" si="226"/>
        <v>22912.792902562767</v>
      </c>
      <c r="I195" s="28">
        <f t="shared" si="226"/>
        <v>23031.165044062298</v>
      </c>
      <c r="J195" s="28">
        <f t="shared" si="226"/>
        <v>23036.776263902531</v>
      </c>
      <c r="K195" s="28">
        <f t="shared" si="226"/>
        <v>22737.750808236182</v>
      </c>
      <c r="L195" s="28">
        <f t="shared" si="226"/>
        <v>22517.474094800276</v>
      </c>
      <c r="M195" s="28">
        <f>IF(M4=0,0,M4*1000000/M58)</f>
        <v>22105.231078932196</v>
      </c>
      <c r="N195" s="28">
        <f t="shared" ref="N195:V195" si="227">IF(N4=0,0,N4*1000000/N58)</f>
        <v>21998.47173443238</v>
      </c>
      <c r="O195" s="28">
        <f t="shared" si="227"/>
        <v>20573.318419132327</v>
      </c>
      <c r="P195" s="28">
        <f t="shared" si="227"/>
        <v>20665.346280736136</v>
      </c>
      <c r="Q195" s="28">
        <f t="shared" si="227"/>
        <v>19975.757633356421</v>
      </c>
      <c r="R195" s="28">
        <f t="shared" si="227"/>
        <v>19214.440130644154</v>
      </c>
      <c r="S195" s="28">
        <f t="shared" si="227"/>
        <v>18927.799651071233</v>
      </c>
      <c r="T195" s="28">
        <f t="shared" si="227"/>
        <v>18756.395682398484</v>
      </c>
      <c r="U195" s="28">
        <f t="shared" si="227"/>
        <v>18637.893286666571</v>
      </c>
      <c r="V195" s="28">
        <f t="shared" si="227"/>
        <v>15330.904757087133</v>
      </c>
      <c r="W195" s="28">
        <f t="shared" ref="W195:Y195" si="228">IF(W4=0,0,W4*1000000/W58)</f>
        <v>16045.135453745585</v>
      </c>
      <c r="X195" s="28">
        <f t="shared" si="228"/>
        <v>16882.666086359885</v>
      </c>
      <c r="Y195" s="28">
        <f t="shared" si="228"/>
        <v>17498.155708529222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5724.0636227957448</v>
      </c>
      <c r="C196" s="137">
        <f t="shared" si="229"/>
        <v>5671.7706565571243</v>
      </c>
      <c r="D196" s="137">
        <f t="shared" si="229"/>
        <v>5754.5348736579363</v>
      </c>
      <c r="E196" s="137">
        <f t="shared" si="229"/>
        <v>5749.2892122130506</v>
      </c>
      <c r="F196" s="137">
        <f t="shared" si="229"/>
        <v>5798.9782525662713</v>
      </c>
      <c r="G196" s="137">
        <f t="shared" si="229"/>
        <v>5243.3690944223026</v>
      </c>
      <c r="H196" s="137">
        <f t="shared" si="229"/>
        <v>5211.9160517947948</v>
      </c>
      <c r="I196" s="137">
        <f t="shared" si="229"/>
        <v>5225.8647205107618</v>
      </c>
      <c r="J196" s="137">
        <f t="shared" si="229"/>
        <v>5039.953602348387</v>
      </c>
      <c r="K196" s="137">
        <f t="shared" si="229"/>
        <v>4763.8734060136931</v>
      </c>
      <c r="L196" s="137">
        <f t="shared" si="229"/>
        <v>4378.5758603698805</v>
      </c>
      <c r="M196" s="137">
        <f>IF(M5=0,0,M5*1000000/M59)</f>
        <v>4223.5395194755902</v>
      </c>
      <c r="N196" s="137">
        <f t="shared" ref="N196:V196" si="230">IF(N5=0,0,N5*1000000/N59)</f>
        <v>3996.8375863377828</v>
      </c>
      <c r="O196" s="137">
        <f t="shared" si="230"/>
        <v>3784.7400153204103</v>
      </c>
      <c r="P196" s="137">
        <f t="shared" si="230"/>
        <v>3851.5332280412472</v>
      </c>
      <c r="Q196" s="137">
        <f t="shared" si="230"/>
        <v>3623.2744073271842</v>
      </c>
      <c r="R196" s="137">
        <f t="shared" si="230"/>
        <v>3117.462855256988</v>
      </c>
      <c r="S196" s="137">
        <f t="shared" si="230"/>
        <v>2692.9485991263923</v>
      </c>
      <c r="T196" s="137">
        <f t="shared" si="230"/>
        <v>2458.0740431088102</v>
      </c>
      <c r="U196" s="137">
        <f t="shared" si="230"/>
        <v>2522.4184786518645</v>
      </c>
      <c r="V196" s="137">
        <f t="shared" si="230"/>
        <v>2154.3231145191094</v>
      </c>
      <c r="W196" s="137">
        <f t="shared" ref="W196:Y196" si="231">IF(W5=0,0,W5*1000000/W59)</f>
        <v>2156.0927818102732</v>
      </c>
      <c r="X196" s="137">
        <f t="shared" si="231"/>
        <v>2100.374788773167</v>
      </c>
      <c r="Y196" s="137">
        <f t="shared" si="231"/>
        <v>2209.2368568162697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21920.561202199744</v>
      </c>
      <c r="C197" s="110">
        <f t="shared" si="232"/>
        <v>21822.90343601528</v>
      </c>
      <c r="D197" s="110">
        <f t="shared" si="232"/>
        <v>21901.700146023795</v>
      </c>
      <c r="E197" s="110">
        <f t="shared" si="232"/>
        <v>21260.087019007249</v>
      </c>
      <c r="F197" s="110">
        <f t="shared" si="232"/>
        <v>21135.18469951419</v>
      </c>
      <c r="G197" s="110">
        <f t="shared" si="232"/>
        <v>20899.423553707871</v>
      </c>
      <c r="H197" s="110">
        <f t="shared" si="232"/>
        <v>20630.9481532346</v>
      </c>
      <c r="I197" s="110">
        <f t="shared" si="232"/>
        <v>20711.110523686384</v>
      </c>
      <c r="J197" s="110">
        <f t="shared" si="232"/>
        <v>21037.394334199809</v>
      </c>
      <c r="K197" s="110">
        <f t="shared" si="232"/>
        <v>20811.434129289322</v>
      </c>
      <c r="L197" s="110">
        <f t="shared" si="232"/>
        <v>20733.085712481959</v>
      </c>
      <c r="M197" s="110">
        <f>IF(M6=0,0,M6*1000000/M60)</f>
        <v>20338.363750871344</v>
      </c>
      <c r="N197" s="110">
        <f t="shared" ref="N197:V197" si="233">IF(N6=0,0,N6*1000000/N60)</f>
        <v>20231.641859282565</v>
      </c>
      <c r="O197" s="110">
        <f t="shared" si="233"/>
        <v>19126.471024560495</v>
      </c>
      <c r="P197" s="110">
        <f t="shared" si="233"/>
        <v>19358.396349958723</v>
      </c>
      <c r="Q197" s="110">
        <f t="shared" si="233"/>
        <v>18898.066691913489</v>
      </c>
      <c r="R197" s="110">
        <f t="shared" si="233"/>
        <v>18519.34323026815</v>
      </c>
      <c r="S197" s="110">
        <f t="shared" si="233"/>
        <v>18441.304521396072</v>
      </c>
      <c r="T197" s="110">
        <f t="shared" si="233"/>
        <v>18350.229770979215</v>
      </c>
      <c r="U197" s="110">
        <f t="shared" si="233"/>
        <v>18267.07824673146</v>
      </c>
      <c r="V197" s="110">
        <f t="shared" si="233"/>
        <v>15504.706137318855</v>
      </c>
      <c r="W197" s="110">
        <f t="shared" ref="W197:Y209" si="234">IF(W6=0,0,W6*1000000/W60)</f>
        <v>16326.004867468331</v>
      </c>
      <c r="X197" s="110">
        <f t="shared" si="234"/>
        <v>16931.341933948268</v>
      </c>
      <c r="Y197" s="110">
        <f t="shared" si="234"/>
        <v>17412.946033169712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15986.419141834853</v>
      </c>
      <c r="C198" s="84">
        <f t="shared" si="232"/>
        <v>15515.101992041427</v>
      </c>
      <c r="D198" s="84">
        <f t="shared" si="232"/>
        <v>15285.142153933155</v>
      </c>
      <c r="E198" s="84">
        <f t="shared" si="232"/>
        <v>14964.531647825464</v>
      </c>
      <c r="F198" s="84">
        <f t="shared" si="232"/>
        <v>13727.87854837277</v>
      </c>
      <c r="G198" s="84">
        <f t="shared" si="232"/>
        <v>13493.353752985209</v>
      </c>
      <c r="H198" s="84">
        <f t="shared" si="232"/>
        <v>12599.417460494138</v>
      </c>
      <c r="I198" s="84">
        <f t="shared" si="232"/>
        <v>12015.028266411644</v>
      </c>
      <c r="J198" s="84">
        <f t="shared" si="232"/>
        <v>11514.676679223114</v>
      </c>
      <c r="K198" s="84">
        <f t="shared" si="232"/>
        <v>11336.462636223812</v>
      </c>
      <c r="L198" s="84">
        <f t="shared" si="232"/>
        <v>10894.383685459929</v>
      </c>
      <c r="M198" s="84">
        <f t="shared" ref="M198:M219" si="235">IF(M7=0,0,M7*1000000/M61)</f>
        <v>10758.53447675696</v>
      </c>
      <c r="N198" s="84">
        <f t="shared" si="232"/>
        <v>10844.660994349522</v>
      </c>
      <c r="O198" s="84">
        <f t="shared" si="232"/>
        <v>10640.852279417708</v>
      </c>
      <c r="P198" s="84">
        <f t="shared" si="232"/>
        <v>11127.678471253939</v>
      </c>
      <c r="Q198" s="84">
        <f t="shared" si="232"/>
        <v>11230.013431567977</v>
      </c>
      <c r="R198" s="84">
        <f t="shared" si="232"/>
        <v>11379.636329918518</v>
      </c>
      <c r="S198" s="84">
        <f t="shared" si="232"/>
        <v>11731.188723766752</v>
      </c>
      <c r="T198" s="84">
        <f t="shared" si="232"/>
        <v>12422.154524881533</v>
      </c>
      <c r="U198" s="84">
        <f t="shared" si="232"/>
        <v>13162.255342060374</v>
      </c>
      <c r="V198" s="84">
        <f t="shared" si="232"/>
        <v>10768.170722899618</v>
      </c>
      <c r="W198" s="84">
        <f t="shared" si="234"/>
        <v>12119.911360572343</v>
      </c>
      <c r="X198" s="84">
        <f t="shared" si="234"/>
        <v>13374.858727268745</v>
      </c>
      <c r="Y198" s="84">
        <f t="shared" si="234"/>
        <v>14342.927316825615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30761.998851514745</v>
      </c>
      <c r="C199" s="84">
        <f t="shared" si="232"/>
        <v>30599.035273187052</v>
      </c>
      <c r="D199" s="84">
        <f t="shared" si="232"/>
        <v>30465.856653490147</v>
      </c>
      <c r="E199" s="84">
        <f t="shared" si="232"/>
        <v>28874.743924968505</v>
      </c>
      <c r="F199" s="84">
        <f t="shared" si="232"/>
        <v>29321.537273519054</v>
      </c>
      <c r="G199" s="84">
        <f t="shared" si="232"/>
        <v>28472.104758328784</v>
      </c>
      <c r="H199" s="84">
        <f t="shared" si="232"/>
        <v>28051.098021350972</v>
      </c>
      <c r="I199" s="84">
        <f t="shared" si="232"/>
        <v>28006.685122593517</v>
      </c>
      <c r="J199" s="84">
        <f t="shared" si="232"/>
        <v>28256.661976806805</v>
      </c>
      <c r="K199" s="84">
        <f t="shared" si="232"/>
        <v>27447.263672533572</v>
      </c>
      <c r="L199" s="84">
        <f t="shared" si="232"/>
        <v>27126.9752608214</v>
      </c>
      <c r="M199" s="84">
        <f t="shared" si="235"/>
        <v>26192.296424741369</v>
      </c>
      <c r="N199" s="84">
        <f t="shared" si="232"/>
        <v>25818.518333561955</v>
      </c>
      <c r="O199" s="84">
        <f t="shared" si="232"/>
        <v>24157.020320034277</v>
      </c>
      <c r="P199" s="84">
        <f t="shared" si="232"/>
        <v>24356.944735110414</v>
      </c>
      <c r="Q199" s="84">
        <f t="shared" si="232"/>
        <v>23766.811645200924</v>
      </c>
      <c r="R199" s="84">
        <f t="shared" si="232"/>
        <v>23423.915945436423</v>
      </c>
      <c r="S199" s="84">
        <f t="shared" si="232"/>
        <v>23532.963009496685</v>
      </c>
      <c r="T199" s="84">
        <f t="shared" si="232"/>
        <v>23526.02931525973</v>
      </c>
      <c r="U199" s="84">
        <f t="shared" si="232"/>
        <v>23407.707182292281</v>
      </c>
      <c r="V199" s="84">
        <f t="shared" si="232"/>
        <v>20852.304732795325</v>
      </c>
      <c r="W199" s="84">
        <f t="shared" si="234"/>
        <v>21763.014971641787</v>
      </c>
      <c r="X199" s="84">
        <f t="shared" si="234"/>
        <v>22269.799513963215</v>
      </c>
      <c r="Y199" s="84">
        <f t="shared" si="234"/>
        <v>23042.607569776497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16900.763357965385</v>
      </c>
      <c r="C200" s="84">
        <f t="shared" si="232"/>
        <v>16168.508446463688</v>
      </c>
      <c r="D200" s="84">
        <f t="shared" si="232"/>
        <v>16112.42780032418</v>
      </c>
      <c r="E200" s="84">
        <f t="shared" si="232"/>
        <v>14804.262500877132</v>
      </c>
      <c r="F200" s="84">
        <f t="shared" si="232"/>
        <v>15062.205214524856</v>
      </c>
      <c r="G200" s="84">
        <f t="shared" si="232"/>
        <v>14955.163627284795</v>
      </c>
      <c r="H200" s="84">
        <f t="shared" si="232"/>
        <v>14323.883670918121</v>
      </c>
      <c r="I200" s="84">
        <f t="shared" si="232"/>
        <v>13758.261562966656</v>
      </c>
      <c r="J200" s="84">
        <f t="shared" si="232"/>
        <v>13898.85361185695</v>
      </c>
      <c r="K200" s="84">
        <f t="shared" si="232"/>
        <v>14059.121088939746</v>
      </c>
      <c r="L200" s="84">
        <f t="shared" si="232"/>
        <v>14473.38744136983</v>
      </c>
      <c r="M200" s="84">
        <f t="shared" si="235"/>
        <v>14503.014824216078</v>
      </c>
      <c r="N200" s="84">
        <f t="shared" si="232"/>
        <v>14489.441652401412</v>
      </c>
      <c r="O200" s="84">
        <f t="shared" si="232"/>
        <v>13867.914579062011</v>
      </c>
      <c r="P200" s="84">
        <f t="shared" si="232"/>
        <v>13976.08856369804</v>
      </c>
      <c r="Q200" s="84">
        <f t="shared" si="232"/>
        <v>13628.622005111187</v>
      </c>
      <c r="R200" s="84">
        <f t="shared" si="232"/>
        <v>13967.324482782573</v>
      </c>
      <c r="S200" s="84">
        <f t="shared" si="232"/>
        <v>14587.549108902203</v>
      </c>
      <c r="T200" s="84">
        <f t="shared" si="232"/>
        <v>14843.942629535344</v>
      </c>
      <c r="U200" s="84">
        <f t="shared" si="232"/>
        <v>15070.256585230012</v>
      </c>
      <c r="V200" s="84">
        <f t="shared" si="232"/>
        <v>13964.734765204095</v>
      </c>
      <c r="W200" s="84">
        <f t="shared" si="234"/>
        <v>14535.237385753135</v>
      </c>
      <c r="X200" s="84">
        <f t="shared" si="234"/>
        <v>14828.063690109871</v>
      </c>
      <c r="Y200" s="84">
        <f t="shared" si="234"/>
        <v>15279.175128228946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23831.175148886145</v>
      </c>
      <c r="G201" s="84">
        <f t="shared" si="232"/>
        <v>23188.579383424094</v>
      </c>
      <c r="H201" s="84">
        <f t="shared" si="232"/>
        <v>22422.230082719569</v>
      </c>
      <c r="I201" s="84">
        <f t="shared" si="232"/>
        <v>21967.556541107264</v>
      </c>
      <c r="J201" s="84">
        <f t="shared" si="232"/>
        <v>21965.678432240129</v>
      </c>
      <c r="K201" s="84">
        <f t="shared" si="232"/>
        <v>21994.530364662318</v>
      </c>
      <c r="L201" s="84">
        <f t="shared" si="232"/>
        <v>23649.105278219286</v>
      </c>
      <c r="M201" s="84">
        <f t="shared" si="235"/>
        <v>23297.211292650252</v>
      </c>
      <c r="N201" s="84">
        <f t="shared" si="232"/>
        <v>23424.461126304872</v>
      </c>
      <c r="O201" s="84">
        <f t="shared" si="232"/>
        <v>21971.271569887551</v>
      </c>
      <c r="P201" s="84">
        <f t="shared" si="232"/>
        <v>21699.801138507388</v>
      </c>
      <c r="Q201" s="84">
        <f t="shared" si="232"/>
        <v>20531.787378222278</v>
      </c>
      <c r="R201" s="84">
        <f t="shared" si="232"/>
        <v>20423.165525582317</v>
      </c>
      <c r="S201" s="84">
        <f t="shared" si="232"/>
        <v>20911.827797528105</v>
      </c>
      <c r="T201" s="84">
        <f t="shared" si="232"/>
        <v>20862.135329289766</v>
      </c>
      <c r="U201" s="84">
        <f t="shared" si="232"/>
        <v>20972.554892502572</v>
      </c>
      <c r="V201" s="84">
        <f t="shared" si="232"/>
        <v>18864.349719525537</v>
      </c>
      <c r="W201" s="84">
        <f t="shared" si="234"/>
        <v>19442.516605431167</v>
      </c>
      <c r="X201" s="84">
        <f t="shared" si="234"/>
        <v>19252.771072049793</v>
      </c>
      <c r="Y201" s="84">
        <f t="shared" si="234"/>
        <v>19643.999519432429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10764.262680531645</v>
      </c>
      <c r="N202" s="84">
        <f t="shared" si="232"/>
        <v>11592.901527881919</v>
      </c>
      <c r="O202" s="84">
        <f t="shared" si="232"/>
        <v>11295.262480392199</v>
      </c>
      <c r="P202" s="84">
        <f t="shared" si="232"/>
        <v>11748.057376604076</v>
      </c>
      <c r="Q202" s="84">
        <f t="shared" si="232"/>
        <v>11845.166522465297</v>
      </c>
      <c r="R202" s="84">
        <f t="shared" si="232"/>
        <v>11927.793740126286</v>
      </c>
      <c r="S202" s="84">
        <f t="shared" si="232"/>
        <v>12271.796498735141</v>
      </c>
      <c r="T202" s="84">
        <f t="shared" si="232"/>
        <v>12917.9366231412</v>
      </c>
      <c r="U202" s="84">
        <f t="shared" si="232"/>
        <v>13585.001237505559</v>
      </c>
      <c r="V202" s="84">
        <f t="shared" si="232"/>
        <v>11107.44227294313</v>
      </c>
      <c r="W202" s="84">
        <f t="shared" si="234"/>
        <v>12467.977667186007</v>
      </c>
      <c r="X202" s="84">
        <f t="shared" si="234"/>
        <v>13716.737985265521</v>
      </c>
      <c r="Y202" s="84">
        <f t="shared" si="234"/>
        <v>14568.900567542119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16802.291658732589</v>
      </c>
      <c r="K203" s="84">
        <f t="shared" si="232"/>
        <v>16751.703167838205</v>
      </c>
      <c r="L203" s="84">
        <f t="shared" si="232"/>
        <v>17110.156052931827</v>
      </c>
      <c r="M203" s="84">
        <f t="shared" si="235"/>
        <v>17071.766161637624</v>
      </c>
      <c r="N203" s="84">
        <f t="shared" si="232"/>
        <v>17292.357362938044</v>
      </c>
      <c r="O203" s="84">
        <f t="shared" si="232"/>
        <v>16813.522698523273</v>
      </c>
      <c r="P203" s="84">
        <f t="shared" si="232"/>
        <v>16662.248894784345</v>
      </c>
      <c r="Q203" s="84">
        <f t="shared" si="232"/>
        <v>16020.488155875621</v>
      </c>
      <c r="R203" s="84">
        <f t="shared" si="232"/>
        <v>16276.755810273917</v>
      </c>
      <c r="S203" s="84">
        <f t="shared" si="232"/>
        <v>16893.501531010494</v>
      </c>
      <c r="T203" s="84">
        <f t="shared" si="232"/>
        <v>16807.545063699337</v>
      </c>
      <c r="U203" s="84">
        <f t="shared" si="232"/>
        <v>16669.40514773862</v>
      </c>
      <c r="V203" s="84">
        <f t="shared" si="232"/>
        <v>14302.458631337593</v>
      </c>
      <c r="W203" s="84">
        <f t="shared" si="234"/>
        <v>16507.621003175402</v>
      </c>
      <c r="X203" s="84">
        <f t="shared" si="234"/>
        <v>16281.121631167562</v>
      </c>
      <c r="Y203" s="84">
        <f t="shared" si="234"/>
        <v>16060.012048841512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903291.75170075521</v>
      </c>
      <c r="C204" s="110">
        <f t="shared" si="232"/>
        <v>939311.68433967629</v>
      </c>
      <c r="D204" s="110">
        <f t="shared" si="232"/>
        <v>1012893.4815386402</v>
      </c>
      <c r="E204" s="110">
        <f t="shared" si="232"/>
        <v>1094526.694407434</v>
      </c>
      <c r="F204" s="110">
        <f t="shared" si="232"/>
        <v>1118410.2299151418</v>
      </c>
      <c r="G204" s="110">
        <f t="shared" si="232"/>
        <v>1138005.8511781243</v>
      </c>
      <c r="H204" s="110">
        <f t="shared" si="232"/>
        <v>1179333.6382893089</v>
      </c>
      <c r="I204" s="110">
        <f t="shared" si="232"/>
        <v>1210003.0362493254</v>
      </c>
      <c r="J204" s="110">
        <f t="shared" si="232"/>
        <v>1101175.5877938969</v>
      </c>
      <c r="K204" s="110">
        <f t="shared" si="232"/>
        <v>1097690.0566589877</v>
      </c>
      <c r="L204" s="110">
        <f t="shared" si="232"/>
        <v>1071120.4240108468</v>
      </c>
      <c r="M204" s="110">
        <f t="shared" si="235"/>
        <v>1097515.5279503106</v>
      </c>
      <c r="N204" s="110">
        <f t="shared" si="232"/>
        <v>1117210.4048406214</v>
      </c>
      <c r="O204" s="110">
        <f t="shared" si="232"/>
        <v>969106.89040506503</v>
      </c>
      <c r="P204" s="110">
        <f t="shared" si="232"/>
        <v>917705.23054926726</v>
      </c>
      <c r="Q204" s="110">
        <f t="shared" si="232"/>
        <v>842115.12560754258</v>
      </c>
      <c r="R204" s="110">
        <f t="shared" si="232"/>
        <v>850172.07934422127</v>
      </c>
      <c r="S204" s="110">
        <f t="shared" si="232"/>
        <v>835112.91562193097</v>
      </c>
      <c r="T204" s="110">
        <f t="shared" si="232"/>
        <v>835639.47855481808</v>
      </c>
      <c r="U204" s="110">
        <f t="shared" si="232"/>
        <v>832049.58061865717</v>
      </c>
      <c r="V204" s="110">
        <f t="shared" si="232"/>
        <v>538422.17762586218</v>
      </c>
      <c r="W204" s="110">
        <f t="shared" si="234"/>
        <v>558205.14523285045</v>
      </c>
      <c r="X204" s="110">
        <f t="shared" si="234"/>
        <v>723923.54401736299</v>
      </c>
      <c r="Y204" s="110">
        <f t="shared" si="234"/>
        <v>816020.80290572857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320008.31429032737</v>
      </c>
      <c r="C205" s="102">
        <f t="shared" si="232"/>
        <v>336381.83728125121</v>
      </c>
      <c r="D205" s="102">
        <f t="shared" si="232"/>
        <v>370019.7679584797</v>
      </c>
      <c r="E205" s="102">
        <f t="shared" si="232"/>
        <v>412094.12875341956</v>
      </c>
      <c r="F205" s="102">
        <f t="shared" si="232"/>
        <v>425042.00780319801</v>
      </c>
      <c r="G205" s="102">
        <f t="shared" si="232"/>
        <v>436537.11633558158</v>
      </c>
      <c r="H205" s="102">
        <f t="shared" si="232"/>
        <v>456615.32907908229</v>
      </c>
      <c r="I205" s="102">
        <f t="shared" si="232"/>
        <v>470255.10745030764</v>
      </c>
      <c r="J205" s="102">
        <f t="shared" si="232"/>
        <v>423442.41677671677</v>
      </c>
      <c r="K205" s="102">
        <f t="shared" si="232"/>
        <v>417616.36958483839</v>
      </c>
      <c r="L205" s="102">
        <f t="shared" si="232"/>
        <v>403183.27222418331</v>
      </c>
      <c r="M205" s="102">
        <f t="shared" si="235"/>
        <v>408716.09317812696</v>
      </c>
      <c r="N205" s="102">
        <f t="shared" si="232"/>
        <v>411620.21729109471</v>
      </c>
      <c r="O205" s="102">
        <f t="shared" si="232"/>
        <v>352752.01998529996</v>
      </c>
      <c r="P205" s="102">
        <f t="shared" si="232"/>
        <v>338135.25649996771</v>
      </c>
      <c r="Q205" s="102">
        <f t="shared" si="232"/>
        <v>310440.6650737052</v>
      </c>
      <c r="R205" s="102">
        <f t="shared" si="232"/>
        <v>310208.50383999315</v>
      </c>
      <c r="S205" s="102">
        <f t="shared" si="232"/>
        <v>301647.75489181362</v>
      </c>
      <c r="T205" s="102">
        <f t="shared" si="232"/>
        <v>298830.76577533229</v>
      </c>
      <c r="U205" s="102">
        <f t="shared" si="232"/>
        <v>294509.8410753014</v>
      </c>
      <c r="V205" s="102">
        <f t="shared" si="232"/>
        <v>226505.86588897265</v>
      </c>
      <c r="W205" s="102">
        <f t="shared" si="234"/>
        <v>223209.11150125365</v>
      </c>
      <c r="X205" s="102">
        <f t="shared" si="234"/>
        <v>248648.27073470125</v>
      </c>
      <c r="Y205" s="102">
        <f t="shared" si="234"/>
        <v>277405.64866167301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911907.57399638079</v>
      </c>
      <c r="C206" s="102">
        <f t="shared" si="232"/>
        <v>947951.74182416627</v>
      </c>
      <c r="D206" s="102">
        <f t="shared" si="232"/>
        <v>1021197.4159227716</v>
      </c>
      <c r="E206" s="102">
        <f t="shared" si="232"/>
        <v>1103120.9896064063</v>
      </c>
      <c r="F206" s="102">
        <f t="shared" si="232"/>
        <v>1126846.6928974115</v>
      </c>
      <c r="G206" s="102">
        <f t="shared" si="232"/>
        <v>1146551.9493934382</v>
      </c>
      <c r="H206" s="102">
        <f t="shared" si="232"/>
        <v>1187378.5186804086</v>
      </c>
      <c r="I206" s="102">
        <f t="shared" si="232"/>
        <v>1217788.0745900597</v>
      </c>
      <c r="J206" s="102">
        <f t="shared" si="232"/>
        <v>1107710.3294238665</v>
      </c>
      <c r="K206" s="102">
        <f t="shared" si="232"/>
        <v>1103810.630715702</v>
      </c>
      <c r="L206" s="102">
        <f t="shared" si="232"/>
        <v>1076632.6268828984</v>
      </c>
      <c r="M206" s="102">
        <f t="shared" si="235"/>
        <v>1103139.2433675483</v>
      </c>
      <c r="N206" s="102">
        <f t="shared" si="232"/>
        <v>1122890.127890192</v>
      </c>
      <c r="O206" s="102">
        <f t="shared" si="232"/>
        <v>973736.07635511155</v>
      </c>
      <c r="P206" s="102">
        <f t="shared" si="232"/>
        <v>921652.34442329209</v>
      </c>
      <c r="Q206" s="102">
        <f t="shared" si="232"/>
        <v>845720.11852280993</v>
      </c>
      <c r="R206" s="102">
        <f t="shared" si="232"/>
        <v>854107.4427163949</v>
      </c>
      <c r="S206" s="102">
        <f t="shared" si="232"/>
        <v>838880.27866117167</v>
      </c>
      <c r="T206" s="102">
        <f t="shared" si="232"/>
        <v>839277.87962948042</v>
      </c>
      <c r="U206" s="102">
        <f t="shared" si="232"/>
        <v>835519.82496516278</v>
      </c>
      <c r="V206" s="102">
        <f t="shared" si="232"/>
        <v>540298.62718766415</v>
      </c>
      <c r="W206" s="102">
        <f t="shared" si="234"/>
        <v>559383.96042911336</v>
      </c>
      <c r="X206" s="102">
        <f t="shared" si="234"/>
        <v>725247.66736412735</v>
      </c>
      <c r="Y206" s="102">
        <f t="shared" si="234"/>
        <v>816456.59307691955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1009909.9139644051</v>
      </c>
      <c r="P208" s="102">
        <f t="shared" si="232"/>
        <v>975002.83829999215</v>
      </c>
      <c r="Q208" s="102">
        <f t="shared" si="232"/>
        <v>877241.15113450435</v>
      </c>
      <c r="R208" s="102">
        <f t="shared" si="232"/>
        <v>903394.08240309171</v>
      </c>
      <c r="S208" s="102">
        <f t="shared" si="232"/>
        <v>904939.92856581102</v>
      </c>
      <c r="T208" s="102">
        <f t="shared" si="232"/>
        <v>923573.86963717022</v>
      </c>
      <c r="U208" s="102">
        <f t="shared" si="232"/>
        <v>937702.19225213141</v>
      </c>
      <c r="V208" s="102">
        <f t="shared" si="232"/>
        <v>618393.00185468595</v>
      </c>
      <c r="W208" s="102">
        <f t="shared" si="234"/>
        <v>653689.06047696737</v>
      </c>
      <c r="X208" s="102">
        <f t="shared" si="234"/>
        <v>865705.06839917018</v>
      </c>
      <c r="Y208" s="102">
        <f t="shared" si="234"/>
        <v>994999.08772226609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824060.44444344158</v>
      </c>
      <c r="C209" s="102">
        <f t="shared" si="232"/>
        <v>844695.04082862765</v>
      </c>
      <c r="D209" s="102">
        <f t="shared" si="232"/>
        <v>911492.86494745663</v>
      </c>
      <c r="E209" s="102">
        <f t="shared" si="232"/>
        <v>999089.63109844411</v>
      </c>
      <c r="F209" s="102">
        <f t="shared" si="232"/>
        <v>1035825.4254523638</v>
      </c>
      <c r="G209" s="102">
        <f t="shared" si="232"/>
        <v>1070347.9883310141</v>
      </c>
      <c r="H209" s="102">
        <f t="shared" si="232"/>
        <v>1126306.1924068469</v>
      </c>
      <c r="I209" s="102">
        <f t="shared" si="232"/>
        <v>1172821.3878964211</v>
      </c>
      <c r="J209" s="102">
        <f t="shared" si="232"/>
        <v>1081664.780786695</v>
      </c>
      <c r="K209" s="102">
        <f t="shared" si="232"/>
        <v>1094507.4421273095</v>
      </c>
      <c r="L209" s="102">
        <f t="shared" si="232"/>
        <v>1083730.4250882366</v>
      </c>
      <c r="M209" s="102">
        <f t="shared" si="235"/>
        <v>1128293.0349726174</v>
      </c>
      <c r="N209" s="102">
        <f t="shared" si="232"/>
        <v>1166776.2691161535</v>
      </c>
      <c r="O209" s="102">
        <f t="shared" si="232"/>
        <v>1026971.6817628625</v>
      </c>
      <c r="P209" s="102">
        <f t="shared" si="232"/>
        <v>983409.33033801138</v>
      </c>
      <c r="Q209" s="102">
        <f t="shared" si="232"/>
        <v>900476.73376353632</v>
      </c>
      <c r="R209" s="102">
        <f t="shared" si="232"/>
        <v>913756.75066410319</v>
      </c>
      <c r="S209" s="102">
        <f t="shared" si="232"/>
        <v>898849.40319991927</v>
      </c>
      <c r="T209" s="102">
        <f t="shared" si="232"/>
        <v>898883.02928930498</v>
      </c>
      <c r="U209" s="102">
        <f t="shared" si="232"/>
        <v>898644.69302828121</v>
      </c>
      <c r="V209" s="102">
        <f t="shared" si="232"/>
        <v>582131.35223028227</v>
      </c>
      <c r="W209" s="102">
        <f t="shared" si="234"/>
        <v>611190.82109505462</v>
      </c>
      <c r="X209" s="102">
        <f t="shared" si="234"/>
        <v>780400.62565083336</v>
      </c>
      <c r="Y209" s="102">
        <f t="shared" si="234"/>
        <v>884205.49411643774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74435.965412496851</v>
      </c>
      <c r="C210" s="28">
        <f t="shared" si="232"/>
        <v>70022.870455926473</v>
      </c>
      <c r="D210" s="28">
        <f t="shared" si="232"/>
        <v>74434.802691259378</v>
      </c>
      <c r="E210" s="28">
        <f t="shared" si="232"/>
        <v>71155.255983679992</v>
      </c>
      <c r="F210" s="28">
        <f t="shared" ref="B210:V219" si="236">IF(F19=0,0,F19*1000000/F73)</f>
        <v>73151.973922710749</v>
      </c>
      <c r="G210" s="28">
        <f t="shared" si="236"/>
        <v>71293.980697309031</v>
      </c>
      <c r="H210" s="28">
        <f t="shared" si="236"/>
        <v>71414.985140265926</v>
      </c>
      <c r="I210" s="28">
        <f t="shared" si="236"/>
        <v>71368.699571423131</v>
      </c>
      <c r="J210" s="28">
        <f t="shared" si="236"/>
        <v>66514.035503216946</v>
      </c>
      <c r="K210" s="28">
        <f t="shared" si="236"/>
        <v>61910.269174120542</v>
      </c>
      <c r="L210" s="28">
        <f t="shared" si="236"/>
        <v>62315.903721578507</v>
      </c>
      <c r="M210" s="28">
        <f t="shared" si="235"/>
        <v>60195.895834517432</v>
      </c>
      <c r="N210" s="28">
        <f t="shared" si="236"/>
        <v>59590.801860676838</v>
      </c>
      <c r="O210" s="28">
        <f t="shared" si="236"/>
        <v>60050.160639591217</v>
      </c>
      <c r="P210" s="28">
        <f t="shared" si="236"/>
        <v>59211.866223116514</v>
      </c>
      <c r="Q210" s="28">
        <f t="shared" si="236"/>
        <v>60784.013706230871</v>
      </c>
      <c r="R210" s="28">
        <f t="shared" si="236"/>
        <v>61197.21150058334</v>
      </c>
      <c r="S210" s="28">
        <f t="shared" si="236"/>
        <v>58716.465755253783</v>
      </c>
      <c r="T210" s="28">
        <f t="shared" si="236"/>
        <v>55514.447294058969</v>
      </c>
      <c r="U210" s="28">
        <f t="shared" si="236"/>
        <v>55334.415043828514</v>
      </c>
      <c r="V210" s="28">
        <f t="shared" si="236"/>
        <v>53080.716895669459</v>
      </c>
      <c r="W210" s="28">
        <f t="shared" ref="W210:Y210" si="237">IF(W19=0,0,W19*1000000/W73)</f>
        <v>54304.487265157462</v>
      </c>
      <c r="X210" s="28">
        <f t="shared" si="237"/>
        <v>51101.192918525296</v>
      </c>
      <c r="Y210" s="28">
        <f t="shared" si="237"/>
        <v>49109.699369491907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1519.78086588171</v>
      </c>
      <c r="C211" s="137">
        <f t="shared" si="236"/>
        <v>1543.044739345157</v>
      </c>
      <c r="D211" s="137">
        <f t="shared" si="236"/>
        <v>1691.8243582306814</v>
      </c>
      <c r="E211" s="137">
        <f t="shared" si="236"/>
        <v>1717.8504199831998</v>
      </c>
      <c r="F211" s="137">
        <f t="shared" si="236"/>
        <v>1805.2315699522328</v>
      </c>
      <c r="G211" s="137">
        <f t="shared" si="236"/>
        <v>1811.6910959974277</v>
      </c>
      <c r="H211" s="137">
        <f t="shared" si="236"/>
        <v>1828.1107273468326</v>
      </c>
      <c r="I211" s="137">
        <f t="shared" si="236"/>
        <v>1885.9456766329815</v>
      </c>
      <c r="J211" s="137">
        <f t="shared" si="236"/>
        <v>1887.4879091818927</v>
      </c>
      <c r="K211" s="137">
        <f t="shared" si="236"/>
        <v>1855.0358465374104</v>
      </c>
      <c r="L211" s="137">
        <f t="shared" si="236"/>
        <v>1814.1810088353072</v>
      </c>
      <c r="M211" s="137">
        <f t="shared" si="235"/>
        <v>1768.3454346476992</v>
      </c>
      <c r="N211" s="137">
        <f t="shared" si="236"/>
        <v>1712.8210684350786</v>
      </c>
      <c r="O211" s="137">
        <f t="shared" si="236"/>
        <v>1606.1645178805961</v>
      </c>
      <c r="P211" s="137">
        <f t="shared" si="236"/>
        <v>1629.9569124962522</v>
      </c>
      <c r="Q211" s="137">
        <f t="shared" si="236"/>
        <v>1699.9582705157356</v>
      </c>
      <c r="R211" s="137">
        <f t="shared" si="236"/>
        <v>1550.5258875599202</v>
      </c>
      <c r="S211" s="137">
        <f t="shared" si="236"/>
        <v>1421.0673094830197</v>
      </c>
      <c r="T211" s="137">
        <f t="shared" si="236"/>
        <v>1408.5852708853135</v>
      </c>
      <c r="U211" s="137">
        <f t="shared" si="236"/>
        <v>1370.0866917756127</v>
      </c>
      <c r="V211" s="137">
        <f t="shared" si="236"/>
        <v>1230.5208583068143</v>
      </c>
      <c r="W211" s="137">
        <f t="shared" ref="W211:Y211" si="238">IF(W20=0,0,W20*1000000/W74)</f>
        <v>1432.5056365258511</v>
      </c>
      <c r="X211" s="137">
        <f t="shared" si="238"/>
        <v>1396.7322435718127</v>
      </c>
      <c r="Y211" s="137">
        <f t="shared" si="238"/>
        <v>1454.9540803419222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989.91682520702386</v>
      </c>
      <c r="C212" s="84">
        <f t="shared" si="236"/>
        <v>1001.0797378478474</v>
      </c>
      <c r="D212" s="84">
        <f t="shared" si="236"/>
        <v>1060.3806183851871</v>
      </c>
      <c r="E212" s="84">
        <f t="shared" si="236"/>
        <v>1032.2512636809847</v>
      </c>
      <c r="F212" s="84">
        <f t="shared" si="236"/>
        <v>1042.687618181305</v>
      </c>
      <c r="G212" s="84">
        <f t="shared" si="236"/>
        <v>1087.8459799160969</v>
      </c>
      <c r="H212" s="84">
        <f t="shared" si="236"/>
        <v>1141.5127703708602</v>
      </c>
      <c r="I212" s="84">
        <f t="shared" si="236"/>
        <v>1129.5467620336219</v>
      </c>
      <c r="J212" s="84">
        <f t="shared" si="236"/>
        <v>1085.0799940032316</v>
      </c>
      <c r="K212" s="84">
        <f t="shared" si="236"/>
        <v>1067.7284472803765</v>
      </c>
      <c r="L212" s="84">
        <f t="shared" si="236"/>
        <v>1062.2275306330316</v>
      </c>
      <c r="M212" s="84">
        <f t="shared" si="235"/>
        <v>1076.8257627166329</v>
      </c>
      <c r="N212" s="84">
        <f t="shared" si="236"/>
        <v>1083.8821928299512</v>
      </c>
      <c r="O212" s="84">
        <f t="shared" si="236"/>
        <v>1053.3848149264611</v>
      </c>
      <c r="P212" s="84">
        <f t="shared" si="236"/>
        <v>1044.2617742676487</v>
      </c>
      <c r="Q212" s="84">
        <f t="shared" si="236"/>
        <v>1044.6354098664956</v>
      </c>
      <c r="R212" s="84">
        <f t="shared" si="236"/>
        <v>1073.0081806836397</v>
      </c>
      <c r="S212" s="84">
        <f t="shared" si="236"/>
        <v>1092.9420799895315</v>
      </c>
      <c r="T212" s="84">
        <f t="shared" si="236"/>
        <v>1068.088691339836</v>
      </c>
      <c r="U212" s="84">
        <f t="shared" si="236"/>
        <v>1065.8061157393497</v>
      </c>
      <c r="V212" s="84">
        <f t="shared" si="236"/>
        <v>920.89809188405331</v>
      </c>
      <c r="W212" s="84">
        <f t="shared" ref="W212:Y212" si="239">IF(W21=0,0,W21*1000000/W75)</f>
        <v>1096.1320259740107</v>
      </c>
      <c r="X212" s="84">
        <f t="shared" si="239"/>
        <v>1090.5189471618719</v>
      </c>
      <c r="Y212" s="84">
        <f t="shared" si="239"/>
        <v>1090.6068454955121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1652.1145488846837</v>
      </c>
      <c r="C213" s="84">
        <f t="shared" si="236"/>
        <v>1676.4260860632148</v>
      </c>
      <c r="D213" s="84">
        <f t="shared" si="236"/>
        <v>1841.944280713627</v>
      </c>
      <c r="E213" s="84">
        <f t="shared" si="236"/>
        <v>1859.2066791724426</v>
      </c>
      <c r="F213" s="84">
        <f t="shared" si="236"/>
        <v>1945.3924873924923</v>
      </c>
      <c r="G213" s="84">
        <f t="shared" si="236"/>
        <v>1936.2633588082258</v>
      </c>
      <c r="H213" s="84">
        <f t="shared" si="236"/>
        <v>1938.9329684007068</v>
      </c>
      <c r="I213" s="84">
        <f t="shared" si="236"/>
        <v>1987.8132273719948</v>
      </c>
      <c r="J213" s="84">
        <f t="shared" si="236"/>
        <v>1985.4506632168016</v>
      </c>
      <c r="K213" s="84">
        <f t="shared" si="236"/>
        <v>1942.7855148419396</v>
      </c>
      <c r="L213" s="84">
        <f t="shared" si="236"/>
        <v>1891.0496547343407</v>
      </c>
      <c r="M213" s="84">
        <f t="shared" si="235"/>
        <v>1837.7373537470451</v>
      </c>
      <c r="N213" s="84">
        <f t="shared" si="236"/>
        <v>1773.8133400139893</v>
      </c>
      <c r="O213" s="84">
        <f t="shared" si="236"/>
        <v>1654.4213518309805</v>
      </c>
      <c r="P213" s="84">
        <f t="shared" si="236"/>
        <v>1673.9827379227686</v>
      </c>
      <c r="Q213" s="84">
        <f t="shared" si="236"/>
        <v>1738.9819621923916</v>
      </c>
      <c r="R213" s="84">
        <f t="shared" si="236"/>
        <v>1578.9774788004695</v>
      </c>
      <c r="S213" s="84">
        <f t="shared" si="236"/>
        <v>1442.9953760315755</v>
      </c>
      <c r="T213" s="84">
        <f t="shared" si="236"/>
        <v>1432.3564319272741</v>
      </c>
      <c r="U213" s="84">
        <f t="shared" si="236"/>
        <v>1393.2155764168126</v>
      </c>
      <c r="V213" s="84">
        <f t="shared" si="236"/>
        <v>1253.4071376568418</v>
      </c>
      <c r="W213" s="84">
        <f t="shared" ref="W213:Y213" si="240">IF(W22=0,0,W22*1000000/W76)</f>
        <v>1458.2214444732144</v>
      </c>
      <c r="X213" s="84">
        <f t="shared" si="240"/>
        <v>1421.888520449399</v>
      </c>
      <c r="Y213" s="84">
        <f t="shared" si="240"/>
        <v>1484.2193933664018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530.02570443445325</v>
      </c>
      <c r="C214" s="84">
        <f t="shared" si="236"/>
        <v>540.49609611277526</v>
      </c>
      <c r="D214" s="84">
        <f t="shared" si="236"/>
        <v>597.69365577973088</v>
      </c>
      <c r="E214" s="84">
        <f t="shared" si="236"/>
        <v>607.42863711345876</v>
      </c>
      <c r="F214" s="84">
        <f t="shared" si="236"/>
        <v>640.55589246406362</v>
      </c>
      <c r="G214" s="84">
        <f t="shared" si="236"/>
        <v>644.00708470435211</v>
      </c>
      <c r="H214" s="84">
        <f t="shared" si="236"/>
        <v>651.21504865500583</v>
      </c>
      <c r="I214" s="84">
        <f t="shared" si="236"/>
        <v>672.73007421809803</v>
      </c>
      <c r="J214" s="84">
        <f t="shared" si="236"/>
        <v>674.66993784098827</v>
      </c>
      <c r="K214" s="84">
        <f t="shared" si="236"/>
        <v>663.74438788469286</v>
      </c>
      <c r="L214" s="84">
        <f t="shared" si="236"/>
        <v>649.75334748912871</v>
      </c>
      <c r="M214" s="84">
        <f t="shared" si="235"/>
        <v>634.74140588828186</v>
      </c>
      <c r="N214" s="84">
        <f t="shared" si="236"/>
        <v>615.67836541569977</v>
      </c>
      <c r="O214" s="84">
        <f t="shared" si="236"/>
        <v>576.60616942772072</v>
      </c>
      <c r="P214" s="84">
        <f t="shared" si="236"/>
        <v>586.83117527535967</v>
      </c>
      <c r="Q214" s="84">
        <f t="shared" si="236"/>
        <v>612.86033534835838</v>
      </c>
      <c r="R214" s="84">
        <f t="shared" si="236"/>
        <v>602.98544605087454</v>
      </c>
      <c r="S214" s="84">
        <f t="shared" si="236"/>
        <v>588.31235568959255</v>
      </c>
      <c r="T214" s="84">
        <f t="shared" si="236"/>
        <v>580.45865302709171</v>
      </c>
      <c r="U214" s="84">
        <f t="shared" si="236"/>
        <v>561.64597581332418</v>
      </c>
      <c r="V214" s="84">
        <f t="shared" si="236"/>
        <v>499.16741419842089</v>
      </c>
      <c r="W214" s="84">
        <f t="shared" ref="W214:Y214" si="241">IF(W23=0,0,W23*1000000/W77)</f>
        <v>583.17099172247754</v>
      </c>
      <c r="X214" s="84">
        <f t="shared" si="241"/>
        <v>565.08190899087776</v>
      </c>
      <c r="Y214" s="84">
        <f t="shared" si="241"/>
        <v>586.44324439194088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1003.2822298630168</v>
      </c>
      <c r="K215" s="84">
        <f t="shared" si="236"/>
        <v>1008.2545000340405</v>
      </c>
      <c r="L215" s="84">
        <f t="shared" si="236"/>
        <v>999.13548475194898</v>
      </c>
      <c r="M215" s="84">
        <f t="shared" si="235"/>
        <v>976.05139660312886</v>
      </c>
      <c r="N215" s="84">
        <f t="shared" si="236"/>
        <v>946.73787285289075</v>
      </c>
      <c r="O215" s="84">
        <f t="shared" si="236"/>
        <v>886.65597003602875</v>
      </c>
      <c r="P215" s="84">
        <f t="shared" si="236"/>
        <v>902.37911515509722</v>
      </c>
      <c r="Q215" s="84">
        <f t="shared" si="236"/>
        <v>942.40454567841857</v>
      </c>
      <c r="R215" s="84">
        <f t="shared" si="236"/>
        <v>927.21978003890251</v>
      </c>
      <c r="S215" s="84">
        <f t="shared" si="236"/>
        <v>904.65674853228336</v>
      </c>
      <c r="T215" s="84">
        <f t="shared" si="236"/>
        <v>892.57999194900651</v>
      </c>
      <c r="U215" s="84">
        <f t="shared" si="236"/>
        <v>863.65145554346805</v>
      </c>
      <c r="V215" s="84">
        <f t="shared" si="236"/>
        <v>767.57723262958734</v>
      </c>
      <c r="W215" s="84">
        <f t="shared" ref="W215:Y215" si="242">IF(W24=0,0,W24*1000000/W78)</f>
        <v>896.75079591284612</v>
      </c>
      <c r="X215" s="84">
        <f t="shared" si="242"/>
        <v>868.93494161429237</v>
      </c>
      <c r="Y215" s="84">
        <f t="shared" si="242"/>
        <v>901.78258800713741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1036.7328263770828</v>
      </c>
      <c r="K216" s="84">
        <f t="shared" si="236"/>
        <v>1036.7789239700558</v>
      </c>
      <c r="L216" s="84">
        <f t="shared" si="236"/>
        <v>1037.4256580037268</v>
      </c>
      <c r="M216" s="84">
        <f t="shared" si="235"/>
        <v>1038.3207803031285</v>
      </c>
      <c r="N216" s="84">
        <f t="shared" si="236"/>
        <v>1038.5578218570733</v>
      </c>
      <c r="O216" s="84">
        <f t="shared" si="236"/>
        <v>1042.0043810437321</v>
      </c>
      <c r="P216" s="84">
        <f t="shared" si="236"/>
        <v>1042.6778154757171</v>
      </c>
      <c r="Q216" s="84">
        <f t="shared" si="236"/>
        <v>1044.6354098664958</v>
      </c>
      <c r="R216" s="84">
        <f t="shared" si="236"/>
        <v>1044.0270134492048</v>
      </c>
      <c r="S216" s="84">
        <f t="shared" si="236"/>
        <v>1043.0021329949802</v>
      </c>
      <c r="T216" s="84">
        <f t="shared" si="236"/>
        <v>1042.5339093837313</v>
      </c>
      <c r="U216" s="84">
        <f t="shared" si="236"/>
        <v>1041.0983453521383</v>
      </c>
      <c r="V216" s="84">
        <f t="shared" si="236"/>
        <v>959.73768812777689</v>
      </c>
      <c r="W216" s="84">
        <f t="shared" ref="W216:Y216" si="243">IF(W25=0,0,W25*1000000/W79)</f>
        <v>1038.8387030573849</v>
      </c>
      <c r="X216" s="84">
        <f t="shared" si="243"/>
        <v>1040.1999640158649</v>
      </c>
      <c r="Y216" s="84">
        <f t="shared" si="243"/>
        <v>1038.1653818396712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415363.86730406067</v>
      </c>
      <c r="C217" s="110">
        <f t="shared" si="236"/>
        <v>303668.90520065004</v>
      </c>
      <c r="D217" s="110">
        <f t="shared" si="236"/>
        <v>310566.08722709032</v>
      </c>
      <c r="E217" s="110">
        <f t="shared" si="236"/>
        <v>298317.4946587382</v>
      </c>
      <c r="F217" s="110">
        <f t="shared" si="236"/>
        <v>305534.62938322563</v>
      </c>
      <c r="G217" s="110">
        <f t="shared" si="236"/>
        <v>299611.18437239592</v>
      </c>
      <c r="H217" s="110">
        <f t="shared" si="236"/>
        <v>307283.68375574151</v>
      </c>
      <c r="I217" s="110">
        <f t="shared" si="236"/>
        <v>309018.85548027756</v>
      </c>
      <c r="J217" s="110">
        <f t="shared" si="236"/>
        <v>283553.08214806038</v>
      </c>
      <c r="K217" s="110">
        <f t="shared" si="236"/>
        <v>272871.38715947792</v>
      </c>
      <c r="L217" s="110">
        <f t="shared" si="236"/>
        <v>289639.3831578244</v>
      </c>
      <c r="M217" s="110">
        <f t="shared" si="235"/>
        <v>268109.07572561421</v>
      </c>
      <c r="N217" s="110">
        <f t="shared" si="236"/>
        <v>274984.19995313301</v>
      </c>
      <c r="O217" s="110">
        <f t="shared" si="236"/>
        <v>281087.9749832013</v>
      </c>
      <c r="P217" s="110">
        <f t="shared" si="236"/>
        <v>278225.72257596481</v>
      </c>
      <c r="Q217" s="110">
        <f t="shared" si="236"/>
        <v>274516.69364781398</v>
      </c>
      <c r="R217" s="110">
        <f t="shared" si="236"/>
        <v>320067.81051067996</v>
      </c>
      <c r="S217" s="110">
        <f t="shared" si="236"/>
        <v>315709.69928935706</v>
      </c>
      <c r="T217" s="110">
        <f t="shared" si="236"/>
        <v>304774.61677969247</v>
      </c>
      <c r="U217" s="110">
        <f t="shared" si="236"/>
        <v>311239.44966108334</v>
      </c>
      <c r="V217" s="110">
        <f t="shared" si="236"/>
        <v>308128.05105908454</v>
      </c>
      <c r="W217" s="110">
        <f t="shared" ref="W217:Y217" si="244">IF(W26=0,0,W26*1000000/W80)</f>
        <v>323923.72831171908</v>
      </c>
      <c r="X217" s="110">
        <f t="shared" si="244"/>
        <v>307065.05635689141</v>
      </c>
      <c r="Y217" s="110">
        <f t="shared" si="244"/>
        <v>297287.59074236505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250243.85918240668</v>
      </c>
      <c r="C218" s="163">
        <f t="shared" si="236"/>
        <v>171185.26965946076</v>
      </c>
      <c r="D218" s="163">
        <f t="shared" si="236"/>
        <v>170447.51667530384</v>
      </c>
      <c r="E218" s="163">
        <f t="shared" si="236"/>
        <v>158696.97338033305</v>
      </c>
      <c r="F218" s="163">
        <f t="shared" si="236"/>
        <v>151595.12172270022</v>
      </c>
      <c r="G218" s="163">
        <f t="shared" si="236"/>
        <v>145000.22558765585</v>
      </c>
      <c r="H218" s="163">
        <f t="shared" si="236"/>
        <v>148129.40838858765</v>
      </c>
      <c r="I218" s="163">
        <f t="shared" si="236"/>
        <v>146392.70494978692</v>
      </c>
      <c r="J218" s="163">
        <f t="shared" si="236"/>
        <v>128609.57278481012</v>
      </c>
      <c r="K218" s="163">
        <f t="shared" si="236"/>
        <v>125890.37960923421</v>
      </c>
      <c r="L218" s="163">
        <f t="shared" si="236"/>
        <v>132091.89518948918</v>
      </c>
      <c r="M218" s="163">
        <f t="shared" si="235"/>
        <v>120909.51200239775</v>
      </c>
      <c r="N218" s="163">
        <f t="shared" si="236"/>
        <v>126617.0020190768</v>
      </c>
      <c r="O218" s="163">
        <f t="shared" si="236"/>
        <v>130479.01886377386</v>
      </c>
      <c r="P218" s="163">
        <f t="shared" si="236"/>
        <v>129162.03376124533</v>
      </c>
      <c r="Q218" s="163">
        <f t="shared" si="236"/>
        <v>133529.5557382502</v>
      </c>
      <c r="R218" s="163">
        <f t="shared" si="236"/>
        <v>155936.39704544627</v>
      </c>
      <c r="S218" s="163">
        <f t="shared" si="236"/>
        <v>148750.5587518565</v>
      </c>
      <c r="T218" s="163">
        <f t="shared" si="236"/>
        <v>145173.45665522275</v>
      </c>
      <c r="U218" s="163">
        <f t="shared" si="236"/>
        <v>152171.7815472105</v>
      </c>
      <c r="V218" s="163">
        <f t="shared" si="236"/>
        <v>150840.45384507635</v>
      </c>
      <c r="W218" s="163">
        <f t="shared" ref="W218:Y218" si="245">IF(W27=0,0,W27*1000000/W81)</f>
        <v>163168.0862110093</v>
      </c>
      <c r="X218" s="163">
        <f t="shared" si="245"/>
        <v>153435.1038811038</v>
      </c>
      <c r="Y218" s="163">
        <f t="shared" si="245"/>
        <v>148224.40589729982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1211893.3418283365</v>
      </c>
      <c r="C219" s="86">
        <f t="shared" si="236"/>
        <v>1210802.3670684013</v>
      </c>
      <c r="D219" s="86">
        <f t="shared" si="236"/>
        <v>1218763.3753230178</v>
      </c>
      <c r="E219" s="86">
        <f t="shared" si="236"/>
        <v>1211593.781543165</v>
      </c>
      <c r="F219" s="86">
        <f t="shared" si="236"/>
        <v>1189434.2197241548</v>
      </c>
      <c r="G219" s="86">
        <f t="shared" si="236"/>
        <v>1189971.5951006445</v>
      </c>
      <c r="H219" s="86">
        <f t="shared" si="236"/>
        <v>1197571.4007026739</v>
      </c>
      <c r="I219" s="86">
        <f t="shared" si="236"/>
        <v>1199779.6052316322</v>
      </c>
      <c r="J219" s="86">
        <f t="shared" si="236"/>
        <v>1182825.0866387379</v>
      </c>
      <c r="K219" s="86">
        <f t="shared" si="236"/>
        <v>1167178.0023518316</v>
      </c>
      <c r="L219" s="86">
        <f t="shared" si="236"/>
        <v>1205185.775193095</v>
      </c>
      <c r="M219" s="86">
        <f t="shared" si="235"/>
        <v>1201322.2711316892</v>
      </c>
      <c r="N219" s="86">
        <f t="shared" si="236"/>
        <v>1197334.4700045742</v>
      </c>
      <c r="O219" s="86">
        <f t="shared" si="236"/>
        <v>1198938.7937421103</v>
      </c>
      <c r="P219" s="86">
        <f t="shared" si="236"/>
        <v>1201752.1964261779</v>
      </c>
      <c r="Q219" s="86">
        <f t="shared" si="236"/>
        <v>1190496.2058358439</v>
      </c>
      <c r="R219" s="86">
        <f t="shared" si="236"/>
        <v>1184309.6077028892</v>
      </c>
      <c r="S219" s="86">
        <f t="shared" si="236"/>
        <v>1191033.509042623</v>
      </c>
      <c r="T219" s="86">
        <f t="shared" si="236"/>
        <v>1202458.3663758922</v>
      </c>
      <c r="U219" s="86">
        <f t="shared" si="236"/>
        <v>1195274.7937101044</v>
      </c>
      <c r="V219" s="86">
        <f t="shared" si="236"/>
        <v>1178271.1457243597</v>
      </c>
      <c r="W219" s="86">
        <f t="shared" ref="W219:Y219" si="246">IF(W28=0,0,W28*1000000/W82)</f>
        <v>1193955.042527339</v>
      </c>
      <c r="X219" s="86">
        <f t="shared" si="246"/>
        <v>1189418.158567775</v>
      </c>
      <c r="Y219" s="86">
        <f t="shared" si="246"/>
        <v>1176167.2756800649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1.3542720264531852E-2</v>
      </c>
      <c r="C223" s="154">
        <f t="shared" si="251"/>
        <v>1.4007769968780405E-2</v>
      </c>
      <c r="D223" s="154">
        <f t="shared" si="251"/>
        <v>1.4462442363654878E-2</v>
      </c>
      <c r="E223" s="154">
        <f t="shared" si="251"/>
        <v>1.5203239275410032E-2</v>
      </c>
      <c r="F223" s="154">
        <f t="shared" si="251"/>
        <v>1.5335597247918454E-2</v>
      </c>
      <c r="G223" s="154">
        <f t="shared" si="251"/>
        <v>1.4866673788310185E-2</v>
      </c>
      <c r="H223" s="154">
        <f t="shared" si="251"/>
        <v>1.5302423981020583E-2</v>
      </c>
      <c r="I223" s="154">
        <f t="shared" si="251"/>
        <v>1.5604016537637752E-2</v>
      </c>
      <c r="J223" s="154">
        <f t="shared" si="251"/>
        <v>1.5336263509850408E-2</v>
      </c>
      <c r="K223" s="154">
        <f t="shared" si="251"/>
        <v>1.5079755940688909E-2</v>
      </c>
      <c r="L223" s="154">
        <f t="shared" ref="L223" si="252">IF(L5=0,0,L5/L$4)</f>
        <v>1.4265857564219041E-2</v>
      </c>
      <c r="M223" s="154">
        <f t="shared" ref="M223:V223" si="253">IF(M5=0,0,M5/M$4)</f>
        <v>1.415756595729116E-2</v>
      </c>
      <c r="N223" s="154">
        <f t="shared" si="253"/>
        <v>1.3577964953098386E-2</v>
      </c>
      <c r="O223" s="154">
        <f t="shared" si="253"/>
        <v>1.3713620737677335E-2</v>
      </c>
      <c r="P223" s="154">
        <f t="shared" si="253"/>
        <v>1.4185244403076466E-2</v>
      </c>
      <c r="Q223" s="154">
        <f t="shared" si="253"/>
        <v>1.4282652989160463E-2</v>
      </c>
      <c r="R223" s="154">
        <f t="shared" si="253"/>
        <v>1.4813885420699209E-2</v>
      </c>
      <c r="S223" s="154">
        <f t="shared" si="253"/>
        <v>1.3920601643628155E-2</v>
      </c>
      <c r="T223" s="154">
        <f t="shared" si="253"/>
        <v>1.3352408783747447E-2</v>
      </c>
      <c r="U223" s="154">
        <f t="shared" si="253"/>
        <v>1.4258656538157973E-2</v>
      </c>
      <c r="V223" s="154">
        <f t="shared" si="253"/>
        <v>1.5475487676113066E-2</v>
      </c>
      <c r="W223" s="154">
        <f t="shared" ref="W223:Y223" si="254">IF(W5=0,0,W5/W$4)</f>
        <v>1.538668554384154E-2</v>
      </c>
      <c r="X223" s="154">
        <f t="shared" si="254"/>
        <v>1.4757039781478257E-2</v>
      </c>
      <c r="Y223" s="154">
        <f t="shared" si="254"/>
        <v>1.5168431993698684E-2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0.87321602587089497</v>
      </c>
      <c r="C224" s="156">
        <f t="shared" si="255"/>
        <v>0.87004314057084242</v>
      </c>
      <c r="D224" s="156">
        <f t="shared" si="255"/>
        <v>0.86247644102234389</v>
      </c>
      <c r="E224" s="156">
        <f t="shared" si="255"/>
        <v>0.8483605563644363</v>
      </c>
      <c r="F224" s="156">
        <f t="shared" si="255"/>
        <v>0.84420415214567046</v>
      </c>
      <c r="G224" s="156">
        <f t="shared" si="255"/>
        <v>0.84172611095407301</v>
      </c>
      <c r="H224" s="156">
        <f t="shared" si="255"/>
        <v>0.8372591016358254</v>
      </c>
      <c r="I224" s="156">
        <f t="shared" si="255"/>
        <v>0.8348633448271886</v>
      </c>
      <c r="J224" s="156">
        <f t="shared" si="255"/>
        <v>0.84655515837334261</v>
      </c>
      <c r="K224" s="156">
        <f t="shared" si="255"/>
        <v>0.84678482555953249</v>
      </c>
      <c r="L224" s="156">
        <f t="shared" ref="L224" si="256">IF(L6=0,0,L6/L$4)</f>
        <v>0.85058890230588002</v>
      </c>
      <c r="M224" s="156">
        <f t="shared" ref="M224:V224" si="257">IF(M6=0,0,M6/M$4)</f>
        <v>0.84936562762334633</v>
      </c>
      <c r="N224" s="156">
        <f t="shared" si="257"/>
        <v>0.84845504840324282</v>
      </c>
      <c r="O224" s="156">
        <f t="shared" si="257"/>
        <v>0.85783565055153743</v>
      </c>
      <c r="P224" s="156">
        <f t="shared" si="257"/>
        <v>0.86286570351830338</v>
      </c>
      <c r="Q224" s="156">
        <f t="shared" si="257"/>
        <v>0.86893467523700363</v>
      </c>
      <c r="R224" s="156">
        <f t="shared" si="257"/>
        <v>0.87338676437282969</v>
      </c>
      <c r="S224" s="156">
        <f t="shared" si="257"/>
        <v>0.87655041747204399</v>
      </c>
      <c r="T224" s="156">
        <f t="shared" si="257"/>
        <v>0.8762411617221384</v>
      </c>
      <c r="U224" s="156">
        <f t="shared" si="257"/>
        <v>0.87440019364265231</v>
      </c>
      <c r="V224" s="156">
        <f t="shared" si="257"/>
        <v>0.89745188469624126</v>
      </c>
      <c r="W224" s="156">
        <f t="shared" ref="W224:Y224" si="258">IF(W6=0,0,W6/W$4)</f>
        <v>0.8984772227846699</v>
      </c>
      <c r="X224" s="156">
        <f t="shared" si="258"/>
        <v>0.88149873495612352</v>
      </c>
      <c r="Y224" s="156">
        <f t="shared" si="258"/>
        <v>0.87319230536123582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0.37353068074020729</v>
      </c>
      <c r="C225" s="103">
        <f t="shared" si="259"/>
        <v>0.35090250522342309</v>
      </c>
      <c r="D225" s="103">
        <f t="shared" si="259"/>
        <v>0.33077380414174828</v>
      </c>
      <c r="E225" s="103">
        <f t="shared" si="259"/>
        <v>0.31798951823109473</v>
      </c>
      <c r="F225" s="103">
        <f t="shared" si="259"/>
        <v>0.28116972689076114</v>
      </c>
      <c r="G225" s="103">
        <f t="shared" si="259"/>
        <v>0.26875354761671194</v>
      </c>
      <c r="H225" s="103">
        <f t="shared" si="259"/>
        <v>0.24042133296053519</v>
      </c>
      <c r="I225" s="103">
        <f t="shared" si="259"/>
        <v>0.2165860889310639</v>
      </c>
      <c r="J225" s="103">
        <f t="shared" si="259"/>
        <v>0.19615440257124178</v>
      </c>
      <c r="K225" s="103">
        <f t="shared" si="259"/>
        <v>0.1868810640917552</v>
      </c>
      <c r="L225" s="103">
        <f t="shared" ref="L225" si="260">IF(L7=0,0,L7/L$4)</f>
        <v>0.17359963364149156</v>
      </c>
      <c r="M225" s="103">
        <f t="shared" ref="M225:V225" si="261">IF(M7=0,0,M7/M$4)</f>
        <v>0.16781396250806696</v>
      </c>
      <c r="N225" s="103">
        <f t="shared" si="261"/>
        <v>0.16689329410832368</v>
      </c>
      <c r="O225" s="103">
        <f t="shared" si="261"/>
        <v>0.17493297926046994</v>
      </c>
      <c r="P225" s="103">
        <f t="shared" si="261"/>
        <v>0.1841269610470139</v>
      </c>
      <c r="Q225" s="103">
        <f t="shared" si="261"/>
        <v>0.19548220464754182</v>
      </c>
      <c r="R225" s="103">
        <f t="shared" si="261"/>
        <v>0.21318065938112826</v>
      </c>
      <c r="S225" s="103">
        <f t="shared" si="261"/>
        <v>0.23408199277343536</v>
      </c>
      <c r="T225" s="103">
        <f t="shared" si="261"/>
        <v>0.26842119377910112</v>
      </c>
      <c r="U225" s="103">
        <f t="shared" si="261"/>
        <v>0.30607489073212513</v>
      </c>
      <c r="V225" s="103">
        <f t="shared" si="261"/>
        <v>0.31739554545159171</v>
      </c>
      <c r="W225" s="103">
        <f t="shared" ref="W225:Y225" si="262">IF(W7=0,0,W7/W$4)</f>
        <v>0.35579798446592809</v>
      </c>
      <c r="X225" s="103">
        <f t="shared" si="262"/>
        <v>0.38662393860276845</v>
      </c>
      <c r="Y225" s="103">
        <f t="shared" si="262"/>
        <v>0.41430442630753894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0.49119416324078119</v>
      </c>
      <c r="C226" s="103">
        <f t="shared" si="263"/>
        <v>0.50934906453572582</v>
      </c>
      <c r="D226" s="103">
        <f t="shared" si="263"/>
        <v>0.52189422513576023</v>
      </c>
      <c r="E226" s="103">
        <f t="shared" si="263"/>
        <v>0.52167095455271417</v>
      </c>
      <c r="F226" s="103">
        <f t="shared" si="263"/>
        <v>0.55496972535114397</v>
      </c>
      <c r="G226" s="103">
        <f t="shared" si="263"/>
        <v>0.56557671392627962</v>
      </c>
      <c r="H226" s="103">
        <f t="shared" si="263"/>
        <v>0.590247878335594</v>
      </c>
      <c r="I226" s="103">
        <f t="shared" si="263"/>
        <v>0.61262916528801881</v>
      </c>
      <c r="J226" s="103">
        <f t="shared" si="263"/>
        <v>0.64523695778060897</v>
      </c>
      <c r="K226" s="103">
        <f t="shared" si="263"/>
        <v>0.6552396286979788</v>
      </c>
      <c r="L226" s="103">
        <f t="shared" ref="L226" si="264">IF(L8=0,0,L8/L$4)</f>
        <v>0.67277933797198564</v>
      </c>
      <c r="M226" s="103">
        <f t="shared" ref="M226:V226" si="265">IF(M8=0,0,M8/M$4)</f>
        <v>0.67687495719932733</v>
      </c>
      <c r="N226" s="103">
        <f t="shared" si="265"/>
        <v>0.67656889175957347</v>
      </c>
      <c r="O226" s="103">
        <f t="shared" si="265"/>
        <v>0.67820172279810365</v>
      </c>
      <c r="P226" s="103">
        <f t="shared" si="265"/>
        <v>0.6733085679314601</v>
      </c>
      <c r="Q226" s="103">
        <f t="shared" si="265"/>
        <v>0.66563659598583347</v>
      </c>
      <c r="R226" s="103">
        <f t="shared" si="265"/>
        <v>0.65157002126553798</v>
      </c>
      <c r="S226" s="103">
        <f t="shared" si="265"/>
        <v>0.63168838169481523</v>
      </c>
      <c r="T226" s="103">
        <f t="shared" si="265"/>
        <v>0.59507022377632901</v>
      </c>
      <c r="U226" s="103">
        <f t="shared" si="265"/>
        <v>0.55306068695898258</v>
      </c>
      <c r="V226" s="103">
        <f t="shared" si="265"/>
        <v>0.55861833306626751</v>
      </c>
      <c r="W226" s="103">
        <f t="shared" ref="W226:Y226" si="266">IF(W8=0,0,W8/W$4)</f>
        <v>0.5124919927806475</v>
      </c>
      <c r="X226" s="103">
        <f t="shared" si="266"/>
        <v>0.45375621771311009</v>
      </c>
      <c r="Y226" s="103">
        <f t="shared" si="266"/>
        <v>0.39746949160716899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8.4911818899065308E-3</v>
      </c>
      <c r="C227" s="103">
        <f t="shared" si="267"/>
        <v>9.7915708116935018E-3</v>
      </c>
      <c r="D227" s="103">
        <f t="shared" si="267"/>
        <v>9.8084117448355001E-3</v>
      </c>
      <c r="E227" s="103">
        <f t="shared" si="267"/>
        <v>8.7000835806274827E-3</v>
      </c>
      <c r="F227" s="103">
        <f t="shared" si="267"/>
        <v>8.0217428036729876E-3</v>
      </c>
      <c r="G227" s="103">
        <f t="shared" si="267"/>
        <v>7.3468654932051661E-3</v>
      </c>
      <c r="H227" s="103">
        <f t="shared" si="267"/>
        <v>6.5419787684078221E-3</v>
      </c>
      <c r="I227" s="103">
        <f t="shared" si="267"/>
        <v>5.6019647840656545E-3</v>
      </c>
      <c r="J227" s="103">
        <f t="shared" si="267"/>
        <v>5.123162564451951E-3</v>
      </c>
      <c r="K227" s="103">
        <f t="shared" si="267"/>
        <v>4.6265812912711108E-3</v>
      </c>
      <c r="L227" s="103">
        <f t="shared" ref="L227" si="268">IF(L9=0,0,L9/L$4)</f>
        <v>4.164116719592042E-3</v>
      </c>
      <c r="M227" s="103">
        <f t="shared" ref="M227:V227" si="269">IF(M9=0,0,M9/M$4)</f>
        <v>4.5926616306241619E-3</v>
      </c>
      <c r="N227" s="103">
        <f t="shared" si="269"/>
        <v>4.8118188181101515E-3</v>
      </c>
      <c r="O227" s="103">
        <f t="shared" si="269"/>
        <v>4.4777637787506265E-3</v>
      </c>
      <c r="P227" s="103">
        <f t="shared" si="269"/>
        <v>4.918135635154133E-3</v>
      </c>
      <c r="Q227" s="103">
        <f t="shared" si="269"/>
        <v>6.7332111729020731E-3</v>
      </c>
      <c r="R227" s="103">
        <f t="shared" si="269"/>
        <v>6.255414740350615E-3</v>
      </c>
      <c r="S227" s="103">
        <f t="shared" si="269"/>
        <v>6.3182717199525822E-3</v>
      </c>
      <c r="T227" s="103">
        <f t="shared" si="269"/>
        <v>6.1826313343707221E-3</v>
      </c>
      <c r="U227" s="103">
        <f t="shared" si="269"/>
        <v>6.0220626276929123E-3</v>
      </c>
      <c r="V227" s="103">
        <f t="shared" si="269"/>
        <v>6.5557550907736489E-3</v>
      </c>
      <c r="W227" s="103">
        <f t="shared" ref="W227:Y227" si="270">IF(W9=0,0,W9/W$4)</f>
        <v>6.1699151436726846E-3</v>
      </c>
      <c r="X227" s="103">
        <f t="shared" si="270"/>
        <v>5.7113483406342428E-3</v>
      </c>
      <c r="Y227" s="103">
        <f t="shared" si="270"/>
        <v>5.5224897814245399E-3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4.2957100092382315E-5</v>
      </c>
      <c r="G228" s="103">
        <f t="shared" si="271"/>
        <v>4.898391787637487E-5</v>
      </c>
      <c r="H228" s="103">
        <f t="shared" si="271"/>
        <v>4.7911571288427374E-5</v>
      </c>
      <c r="I228" s="103">
        <f t="shared" si="271"/>
        <v>4.6125824040195729E-5</v>
      </c>
      <c r="J228" s="103">
        <f t="shared" si="271"/>
        <v>3.9449490799734385E-5</v>
      </c>
      <c r="K228" s="103">
        <f t="shared" si="271"/>
        <v>3.5845179839975783E-5</v>
      </c>
      <c r="L228" s="103">
        <f t="shared" ref="L228" si="272">IF(L10=0,0,L10/L$4)</f>
        <v>3.7698108308104839E-5</v>
      </c>
      <c r="M228" s="103">
        <f t="shared" ref="M228:V228" si="273">IF(M10=0,0,M10/M$4)</f>
        <v>4.0126483646896263E-5</v>
      </c>
      <c r="N228" s="103">
        <f t="shared" si="273"/>
        <v>4.0961425214067722E-5</v>
      </c>
      <c r="O228" s="103">
        <f t="shared" si="273"/>
        <v>6.4261916350200838E-5</v>
      </c>
      <c r="P228" s="103">
        <f t="shared" si="273"/>
        <v>1.6505299658551111E-4</v>
      </c>
      <c r="Q228" s="103">
        <f t="shared" si="273"/>
        <v>3.1495903893806991E-4</v>
      </c>
      <c r="R228" s="103">
        <f t="shared" si="273"/>
        <v>6.7457293896678238E-4</v>
      </c>
      <c r="S228" s="103">
        <f t="shared" si="273"/>
        <v>1.0371841421063016E-3</v>
      </c>
      <c r="T228" s="103">
        <f t="shared" si="273"/>
        <v>1.8174664249238606E-3</v>
      </c>
      <c r="U228" s="103">
        <f t="shared" si="273"/>
        <v>2.5198855458849153E-3</v>
      </c>
      <c r="V228" s="103">
        <f t="shared" si="273"/>
        <v>3.3406513835080661E-3</v>
      </c>
      <c r="W228" s="103">
        <f t="shared" ref="W228:Y228" si="274">IF(W10=0,0,W10/W$4)</f>
        <v>3.4625654420198148E-3</v>
      </c>
      <c r="X228" s="103">
        <f t="shared" si="274"/>
        <v>3.2637008230735421E-3</v>
      </c>
      <c r="Y228" s="103">
        <f t="shared" si="274"/>
        <v>3.0847653465553727E-3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1.3302294909773263E-6</v>
      </c>
      <c r="N229" s="103">
        <f t="shared" si="277"/>
        <v>3.0184809564901479E-5</v>
      </c>
      <c r="O229" s="103">
        <f t="shared" si="277"/>
        <v>3.3036559143137498E-5</v>
      </c>
      <c r="P229" s="103">
        <f t="shared" si="277"/>
        <v>1.0867364998867135E-4</v>
      </c>
      <c r="Q229" s="103">
        <f t="shared" si="277"/>
        <v>3.9419261622578223E-4</v>
      </c>
      <c r="R229" s="103">
        <f t="shared" si="277"/>
        <v>1.1210649280732022E-3</v>
      </c>
      <c r="S229" s="103">
        <f t="shared" si="277"/>
        <v>2.2403897808874174E-3</v>
      </c>
      <c r="T229" s="103">
        <f t="shared" si="277"/>
        <v>3.4810968442632565E-3</v>
      </c>
      <c r="U229" s="103">
        <f t="shared" si="277"/>
        <v>4.6419447448132816E-3</v>
      </c>
      <c r="V229" s="103">
        <f t="shared" si="277"/>
        <v>8.174974453800039E-3</v>
      </c>
      <c r="W229" s="103">
        <f t="shared" ref="W229:Y229" si="278">IF(W11=0,0,W11/W$4)</f>
        <v>1.4292203145897757E-2</v>
      </c>
      <c r="X229" s="103">
        <f t="shared" si="278"/>
        <v>2.1944804937738177E-2</v>
      </c>
      <c r="Y229" s="103">
        <f t="shared" si="278"/>
        <v>3.2068289505136009E-2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1.1859662402511632E-6</v>
      </c>
      <c r="K230" s="103">
        <f t="shared" si="279"/>
        <v>1.7062986874506045E-6</v>
      </c>
      <c r="L230" s="103">
        <f t="shared" ref="L230" si="280">IF(L12=0,0,L12/L$4)</f>
        <v>8.1158645025573425E-6</v>
      </c>
      <c r="M230" s="103">
        <f t="shared" ref="M230:V230" si="281">IF(M12=0,0,M12/M$4)</f>
        <v>4.2589572189820951E-5</v>
      </c>
      <c r="N230" s="103">
        <f t="shared" si="281"/>
        <v>1.0989748245656758E-4</v>
      </c>
      <c r="O230" s="103">
        <f t="shared" si="281"/>
        <v>1.2588623871982003E-4</v>
      </c>
      <c r="P230" s="103">
        <f t="shared" si="281"/>
        <v>2.3831225810110566E-4</v>
      </c>
      <c r="Q230" s="103">
        <f t="shared" si="281"/>
        <v>3.7351177556237196E-4</v>
      </c>
      <c r="R230" s="103">
        <f t="shared" si="281"/>
        <v>5.8503111877272155E-4</v>
      </c>
      <c r="S230" s="103">
        <f t="shared" si="281"/>
        <v>1.1841973608470037E-3</v>
      </c>
      <c r="T230" s="103">
        <f t="shared" si="281"/>
        <v>1.2685495631504066E-3</v>
      </c>
      <c r="U230" s="103">
        <f t="shared" si="281"/>
        <v>2.0807230331536205E-3</v>
      </c>
      <c r="V230" s="103">
        <f t="shared" si="281"/>
        <v>3.366625250300276E-3</v>
      </c>
      <c r="W230" s="103">
        <f t="shared" ref="W230:Y230" si="282">IF(W12=0,0,W12/W$4)</f>
        <v>6.2625618065041411E-3</v>
      </c>
      <c r="X230" s="103">
        <f t="shared" si="282"/>
        <v>1.0198724538799076E-2</v>
      </c>
      <c r="Y230" s="103">
        <f t="shared" si="282"/>
        <v>2.0742842813412047E-2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0.11324125386457309</v>
      </c>
      <c r="C231" s="156">
        <f t="shared" si="283"/>
        <v>0.11594908946037716</v>
      </c>
      <c r="D231" s="156">
        <f t="shared" si="283"/>
        <v>0.1230611166140012</v>
      </c>
      <c r="E231" s="156">
        <f t="shared" si="283"/>
        <v>0.13643620436015363</v>
      </c>
      <c r="F231" s="156">
        <f t="shared" si="283"/>
        <v>0.1404602506064111</v>
      </c>
      <c r="G231" s="156">
        <f t="shared" si="283"/>
        <v>0.14340721525761677</v>
      </c>
      <c r="H231" s="156">
        <f t="shared" si="283"/>
        <v>0.14743847438315405</v>
      </c>
      <c r="I231" s="156">
        <f t="shared" si="283"/>
        <v>0.1495326386351736</v>
      </c>
      <c r="J231" s="156">
        <f t="shared" si="283"/>
        <v>0.13810857811680691</v>
      </c>
      <c r="K231" s="156">
        <f t="shared" si="283"/>
        <v>0.13813541849977856</v>
      </c>
      <c r="L231" s="156">
        <f t="shared" ref="L231" si="284">IF(L13=0,0,L13/L$4)</f>
        <v>0.13514524012990098</v>
      </c>
      <c r="M231" s="156">
        <f t="shared" ref="M231:V231" si="285">IF(M13=0,0,M13/M$4)</f>
        <v>0.13647680641936244</v>
      </c>
      <c r="N231" s="156">
        <f t="shared" si="285"/>
        <v>0.13796698664365886</v>
      </c>
      <c r="O231" s="156">
        <f t="shared" si="285"/>
        <v>0.12845072871078525</v>
      </c>
      <c r="P231" s="156">
        <f t="shared" si="285"/>
        <v>0.12294905207862009</v>
      </c>
      <c r="Q231" s="156">
        <f t="shared" si="285"/>
        <v>0.11678267177383597</v>
      </c>
      <c r="R231" s="156">
        <f t="shared" si="285"/>
        <v>0.11179935020647105</v>
      </c>
      <c r="S231" s="156">
        <f t="shared" si="285"/>
        <v>0.1095289808843278</v>
      </c>
      <c r="T231" s="156">
        <f t="shared" si="285"/>
        <v>0.11040642949411418</v>
      </c>
      <c r="U231" s="156">
        <f t="shared" si="285"/>
        <v>0.11134114981918967</v>
      </c>
      <c r="V231" s="156">
        <f t="shared" si="285"/>
        <v>8.7072627627645754E-2</v>
      </c>
      <c r="W231" s="156">
        <f t="shared" ref="W231:Y231" si="286">IF(W13=0,0,W13/W$4)</f>
        <v>8.6136091671488571E-2</v>
      </c>
      <c r="X231" s="156">
        <f t="shared" si="286"/>
        <v>0.10374422526239818</v>
      </c>
      <c r="Y231" s="156">
        <f t="shared" si="286"/>
        <v>0.11163926264506542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5.8315613235319203E-4</v>
      </c>
      <c r="C232" s="103">
        <f t="shared" si="287"/>
        <v>5.8566975719727204E-4</v>
      </c>
      <c r="D232" s="103">
        <f t="shared" si="287"/>
        <v>5.7225389901501044E-4</v>
      </c>
      <c r="E232" s="103">
        <f t="shared" si="287"/>
        <v>6.3784672872754724E-4</v>
      </c>
      <c r="F232" s="103">
        <f t="shared" si="287"/>
        <v>6.4079113338306483E-4</v>
      </c>
      <c r="G232" s="103">
        <f t="shared" si="287"/>
        <v>6.5408160332706066E-4</v>
      </c>
      <c r="H232" s="103">
        <f t="shared" si="287"/>
        <v>6.2190962222413921E-4</v>
      </c>
      <c r="I232" s="103">
        <f t="shared" si="287"/>
        <v>6.0070346952977277E-4</v>
      </c>
      <c r="J232" s="103">
        <f t="shared" si="287"/>
        <v>5.0477663682551156E-4</v>
      </c>
      <c r="K232" s="103">
        <f t="shared" si="287"/>
        <v>4.6791426624215874E-4</v>
      </c>
      <c r="L232" s="103">
        <f t="shared" ref="L232" si="288">IF(L14=0,0,L14/L$4)</f>
        <v>4.1697030602795359E-4</v>
      </c>
      <c r="M232" s="103">
        <f t="shared" ref="M232:V232" si="289">IF(M14=0,0,M14/M$4)</f>
        <v>4.1353791702991306E-4</v>
      </c>
      <c r="N232" s="103">
        <f t="shared" si="289"/>
        <v>4.0904020836083721E-4</v>
      </c>
      <c r="O232" s="103">
        <f t="shared" si="289"/>
        <v>3.5349123735421722E-4</v>
      </c>
      <c r="P232" s="103">
        <f t="shared" si="289"/>
        <v>3.1305684498654442E-4</v>
      </c>
      <c r="Q232" s="103">
        <f t="shared" si="289"/>
        <v>2.9495776065746002E-4</v>
      </c>
      <c r="R232" s="103">
        <f t="shared" si="289"/>
        <v>3.0120640046989476E-4</v>
      </c>
      <c r="S232" s="103">
        <f t="shared" si="289"/>
        <v>2.8433783925744589E-4</v>
      </c>
      <c r="T232" s="103">
        <f t="shared" si="289"/>
        <v>2.8058623850814546E-4</v>
      </c>
      <c r="U232" s="103">
        <f t="shared" si="289"/>
        <v>2.7562784579977638E-4</v>
      </c>
      <c r="V232" s="103">
        <f t="shared" si="289"/>
        <v>2.5565710252231552E-4</v>
      </c>
      <c r="W232" s="103">
        <f t="shared" ref="W232:Y232" si="290">IF(W14=0,0,W14/W$4)</f>
        <v>2.3630973519672376E-4</v>
      </c>
      <c r="X232" s="103">
        <f t="shared" si="290"/>
        <v>2.456423094326038E-4</v>
      </c>
      <c r="Y232" s="103">
        <f t="shared" si="290"/>
        <v>2.5762703141165677E-4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0.11264406316983518</v>
      </c>
      <c r="C233" s="103">
        <f t="shared" si="291"/>
        <v>0.11534921016854664</v>
      </c>
      <c r="D233" s="103">
        <f t="shared" si="291"/>
        <v>0.12247386623771145</v>
      </c>
      <c r="E233" s="103">
        <f t="shared" si="291"/>
        <v>0.13578181849816834</v>
      </c>
      <c r="F233" s="103">
        <f t="shared" si="291"/>
        <v>0.13980248550502894</v>
      </c>
      <c r="G233" s="103">
        <f t="shared" si="291"/>
        <v>0.14256909715599322</v>
      </c>
      <c r="H233" s="103">
        <f t="shared" si="291"/>
        <v>0.14662366304778252</v>
      </c>
      <c r="I233" s="103">
        <f t="shared" si="291"/>
        <v>0.14874466503670572</v>
      </c>
      <c r="J233" s="103">
        <f t="shared" si="291"/>
        <v>0.13744262280237798</v>
      </c>
      <c r="K233" s="103">
        <f t="shared" si="291"/>
        <v>0.13750456523025686</v>
      </c>
      <c r="L233" s="103">
        <f t="shared" ref="L233" si="292">IF(L15=0,0,L15/L$4)</f>
        <v>0.13457658408430898</v>
      </c>
      <c r="M233" s="103">
        <f t="shared" ref="M233:V233" si="293">IF(M15=0,0,M15/M$4)</f>
        <v>0.13591512141053794</v>
      </c>
      <c r="N233" s="103">
        <f t="shared" si="293"/>
        <v>0.1374141370720933</v>
      </c>
      <c r="O233" s="103">
        <f t="shared" si="293"/>
        <v>0.12791400057975269</v>
      </c>
      <c r="P233" s="103">
        <f t="shared" si="293"/>
        <v>0.12244802407839916</v>
      </c>
      <c r="Q233" s="103">
        <f t="shared" si="293"/>
        <v>0.11632797042075375</v>
      </c>
      <c r="R233" s="103">
        <f t="shared" si="293"/>
        <v>0.1113258893688565</v>
      </c>
      <c r="S233" s="103">
        <f t="shared" si="293"/>
        <v>0.10906732239614213</v>
      </c>
      <c r="T233" s="103">
        <f t="shared" si="293"/>
        <v>0.1097907427493643</v>
      </c>
      <c r="U233" s="103">
        <f t="shared" si="293"/>
        <v>0.11052720101628308</v>
      </c>
      <c r="V233" s="103">
        <f t="shared" si="293"/>
        <v>8.6230654516508617E-2</v>
      </c>
      <c r="W233" s="103">
        <f t="shared" ref="W233:Y233" si="294">IF(W15=0,0,W15/W$4)</f>
        <v>8.4447839567564617E-2</v>
      </c>
      <c r="X233" s="103">
        <f t="shared" si="294"/>
        <v>0.10118853318388979</v>
      </c>
      <c r="Y233" s="103">
        <f t="shared" si="294"/>
        <v>0.10750822831650449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4.936713430369935E-5</v>
      </c>
      <c r="P235" s="103">
        <f t="shared" si="301"/>
        <v>4.6690861720375003E-5</v>
      </c>
      <c r="Q235" s="103">
        <f t="shared" si="301"/>
        <v>4.274305967099584E-5</v>
      </c>
      <c r="R235" s="103">
        <f t="shared" si="301"/>
        <v>5.9469695961042095E-5</v>
      </c>
      <c r="S235" s="103">
        <f t="shared" si="301"/>
        <v>7.4174815052504504E-5</v>
      </c>
      <c r="T235" s="103">
        <f t="shared" si="301"/>
        <v>1.8097813053209299E-4</v>
      </c>
      <c r="U235" s="103">
        <f t="shared" si="301"/>
        <v>1.0683619353311077E-4</v>
      </c>
      <c r="V235" s="103">
        <f t="shared" si="301"/>
        <v>1.5780417271632163E-4</v>
      </c>
      <c r="W235" s="103">
        <f t="shared" ref="W235:Y235" si="302">IF(W17=0,0,W17/W$4)</f>
        <v>8.5596335674199646E-4</v>
      </c>
      <c r="X235" s="103">
        <f t="shared" si="302"/>
        <v>1.2866433113405745E-3</v>
      </c>
      <c r="Y235" s="103">
        <f t="shared" si="302"/>
        <v>1.4025866805930354E-3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1.4034562384704364E-5</v>
      </c>
      <c r="C236" s="103">
        <f t="shared" si="303"/>
        <v>1.4209534633234689E-5</v>
      </c>
      <c r="D236" s="103">
        <f t="shared" si="303"/>
        <v>1.4996477274726112E-5</v>
      </c>
      <c r="E236" s="103">
        <f t="shared" si="303"/>
        <v>1.6539133257725735E-5</v>
      </c>
      <c r="F236" s="103">
        <f t="shared" si="303"/>
        <v>1.6973967999098557E-5</v>
      </c>
      <c r="G236" s="103">
        <f t="shared" si="303"/>
        <v>1.840364982965044E-4</v>
      </c>
      <c r="H236" s="103">
        <f t="shared" si="303"/>
        <v>1.9290171314741874E-4</v>
      </c>
      <c r="I236" s="103">
        <f t="shared" si="303"/>
        <v>1.8727012893808676E-4</v>
      </c>
      <c r="J236" s="103">
        <f t="shared" si="303"/>
        <v>1.6117867760341191E-4</v>
      </c>
      <c r="K236" s="103">
        <f t="shared" si="303"/>
        <v>1.6293900327953392E-4</v>
      </c>
      <c r="L236" s="103">
        <f t="shared" ref="L236" si="304">IF(L18=0,0,L18/L$4)</f>
        <v>1.5168573956405806E-4</v>
      </c>
      <c r="M236" s="103">
        <f t="shared" ref="M236:V236" si="305">IF(M18=0,0,M18/M$4)</f>
        <v>1.481470917946032E-4</v>
      </c>
      <c r="N236" s="103">
        <f t="shared" si="305"/>
        <v>1.4380936320472268E-4</v>
      </c>
      <c r="O236" s="103">
        <f t="shared" si="305"/>
        <v>1.3386975937465021E-4</v>
      </c>
      <c r="P236" s="103">
        <f t="shared" si="305"/>
        <v>1.412802935140103E-4</v>
      </c>
      <c r="Q236" s="103">
        <f t="shared" si="305"/>
        <v>1.1700053275376382E-4</v>
      </c>
      <c r="R236" s="103">
        <f t="shared" si="305"/>
        <v>1.1278474118361818E-4</v>
      </c>
      <c r="S236" s="103">
        <f t="shared" si="305"/>
        <v>1.0314583387573794E-4</v>
      </c>
      <c r="T236" s="103">
        <f t="shared" si="305"/>
        <v>1.5412237570964173E-4</v>
      </c>
      <c r="U236" s="103">
        <f t="shared" si="305"/>
        <v>4.3148476357371168E-4</v>
      </c>
      <c r="V236" s="103">
        <f t="shared" si="305"/>
        <v>4.2851183589850392E-4</v>
      </c>
      <c r="W236" s="103">
        <f t="shared" ref="W236:Y236" si="306">IF(W18=0,0,W18/W$4)</f>
        <v>5.9597901198522147E-4</v>
      </c>
      <c r="X236" s="103">
        <f t="shared" si="306"/>
        <v>1.0234064577351997E-3</v>
      </c>
      <c r="Y236" s="103">
        <f t="shared" si="306"/>
        <v>2.4708206165562439E-3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1.6819920509554168E-2</v>
      </c>
      <c r="C238" s="154">
        <f t="shared" si="311"/>
        <v>1.7041551172838225E-2</v>
      </c>
      <c r="D238" s="154">
        <f t="shared" si="311"/>
        <v>1.737604928218377E-2</v>
      </c>
      <c r="E238" s="154">
        <f t="shared" si="311"/>
        <v>1.8490296454211543E-2</v>
      </c>
      <c r="F238" s="154">
        <f t="shared" si="311"/>
        <v>1.8880946051965729E-2</v>
      </c>
      <c r="G238" s="154">
        <f t="shared" si="311"/>
        <v>1.9482557559596728E-2</v>
      </c>
      <c r="H238" s="154">
        <f t="shared" si="311"/>
        <v>1.9766756144994842E-2</v>
      </c>
      <c r="I238" s="154">
        <f t="shared" si="311"/>
        <v>2.0447167036470437E-2</v>
      </c>
      <c r="J238" s="154">
        <f t="shared" si="311"/>
        <v>2.1866282408462907E-2</v>
      </c>
      <c r="K238" s="154">
        <f t="shared" si="311"/>
        <v>2.3323651214568024E-2</v>
      </c>
      <c r="L238" s="154">
        <f t="shared" ref="L238" si="312">IF(L20=0,0,L20/L$19)</f>
        <v>2.2993082370037932E-2</v>
      </c>
      <c r="M238" s="154">
        <f t="shared" ref="M238:V238" si="313">IF(M20=0,0,M20/M$19)</f>
        <v>2.2932143883720418E-2</v>
      </c>
      <c r="N238" s="154">
        <f t="shared" si="313"/>
        <v>2.2655362033060063E-2</v>
      </c>
      <c r="O238" s="154">
        <f t="shared" si="313"/>
        <v>2.1153823854091789E-2</v>
      </c>
      <c r="P238" s="154">
        <f t="shared" si="313"/>
        <v>2.1796835154933632E-2</v>
      </c>
      <c r="Q238" s="154">
        <f t="shared" si="313"/>
        <v>2.1910324526449813E-2</v>
      </c>
      <c r="R238" s="154">
        <f t="shared" si="313"/>
        <v>2.0591932783786057E-2</v>
      </c>
      <c r="S238" s="154">
        <f t="shared" si="313"/>
        <v>1.9790089504667326E-2</v>
      </c>
      <c r="T238" s="154">
        <f t="shared" si="313"/>
        <v>2.0847935662470288E-2</v>
      </c>
      <c r="U238" s="154">
        <f t="shared" si="313"/>
        <v>2.0448097885986588E-2</v>
      </c>
      <c r="V238" s="154">
        <f t="shared" si="313"/>
        <v>1.926546940613421E-2</v>
      </c>
      <c r="W238" s="154">
        <f t="shared" ref="W238:Y238" si="314">IF(W20=0,0,W20/W$19)</f>
        <v>2.2054316611043796E-2</v>
      </c>
      <c r="X238" s="154">
        <f t="shared" si="314"/>
        <v>2.2888131565473469E-2</v>
      </c>
      <c r="Y238" s="154">
        <f t="shared" si="314"/>
        <v>2.4854155849434619E-2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9.3954803702788153E-4</v>
      </c>
      <c r="C239" s="103">
        <f t="shared" si="315"/>
        <v>8.9866459544890272E-4</v>
      </c>
      <c r="D239" s="103">
        <f t="shared" si="315"/>
        <v>9.2573048453542181E-4</v>
      </c>
      <c r="E239" s="103">
        <f t="shared" si="315"/>
        <v>9.0493166584132748E-4</v>
      </c>
      <c r="F239" s="103">
        <f t="shared" si="315"/>
        <v>8.3318385951231921E-4</v>
      </c>
      <c r="G239" s="103">
        <f t="shared" si="315"/>
        <v>8.2653355731559369E-4</v>
      </c>
      <c r="H239" s="103">
        <f t="shared" si="315"/>
        <v>7.7993422521902987E-4</v>
      </c>
      <c r="I239" s="103">
        <f t="shared" si="315"/>
        <v>6.9068866099033946E-4</v>
      </c>
      <c r="J239" s="103">
        <f t="shared" si="315"/>
        <v>6.8667688879904651E-4</v>
      </c>
      <c r="K239" s="103">
        <f t="shared" si="315"/>
        <v>6.8330922295370975E-4</v>
      </c>
      <c r="L239" s="103">
        <f t="shared" ref="L239" si="316">IF(L21=0,0,L21/L$19)</f>
        <v>6.3986328786628697E-4</v>
      </c>
      <c r="M239" s="103">
        <f t="shared" ref="M239:V239" si="317">IF(M21=0,0,M21/M$19)</f>
        <v>5.9951527421764665E-4</v>
      </c>
      <c r="N239" s="103">
        <f t="shared" si="317"/>
        <v>5.6449087459098564E-4</v>
      </c>
      <c r="O239" s="103">
        <f t="shared" si="317"/>
        <v>4.9614658421869484E-4</v>
      </c>
      <c r="P239" s="103">
        <f t="shared" si="317"/>
        <v>4.5530552767504784E-4</v>
      </c>
      <c r="Q239" s="103">
        <f t="shared" si="317"/>
        <v>4.0165353101011991E-4</v>
      </c>
      <c r="R239" s="103">
        <f t="shared" si="317"/>
        <v>4.0227317326507127E-4</v>
      </c>
      <c r="S239" s="103">
        <f t="shared" si="317"/>
        <v>4.4282937879888755E-4</v>
      </c>
      <c r="T239" s="103">
        <f t="shared" si="317"/>
        <v>5.3193747867389632E-4</v>
      </c>
      <c r="U239" s="103">
        <f t="shared" si="317"/>
        <v>5.7181067483898012E-4</v>
      </c>
      <c r="V239" s="103">
        <f t="shared" si="317"/>
        <v>5.1608946163925347E-4</v>
      </c>
      <c r="W239" s="103">
        <f t="shared" ref="W239:Y239" si="318">IF(W21=0,0,W21/W$19)</f>
        <v>6.0200977965106195E-4</v>
      </c>
      <c r="X239" s="103">
        <f t="shared" si="318"/>
        <v>6.439911578019538E-4</v>
      </c>
      <c r="Y239" s="103">
        <f t="shared" si="318"/>
        <v>6.9540150713025891E-4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1.5485446250152307E-2</v>
      </c>
      <c r="C240" s="103">
        <f t="shared" si="319"/>
        <v>1.5730436656465879E-2</v>
      </c>
      <c r="D240" s="103">
        <f t="shared" si="319"/>
        <v>1.6037444185911572E-2</v>
      </c>
      <c r="E240" s="103">
        <f t="shared" si="319"/>
        <v>1.719883759439585E-2</v>
      </c>
      <c r="F240" s="103">
        <f t="shared" si="319"/>
        <v>1.7682222634866865E-2</v>
      </c>
      <c r="G240" s="103">
        <f t="shared" si="319"/>
        <v>1.8309661520360575E-2</v>
      </c>
      <c r="H240" s="103">
        <f t="shared" si="319"/>
        <v>1.8656364130246489E-2</v>
      </c>
      <c r="I240" s="103">
        <f t="shared" si="319"/>
        <v>1.9459970810102686E-2</v>
      </c>
      <c r="J240" s="103">
        <f t="shared" si="319"/>
        <v>2.0887473002023378E-2</v>
      </c>
      <c r="K240" s="103">
        <f t="shared" si="319"/>
        <v>2.2356742083027792E-2</v>
      </c>
      <c r="L240" s="103">
        <f t="shared" ref="L240" si="320">IF(L22=0,0,L22/L$19)</f>
        <v>2.2102705271221816E-2</v>
      </c>
      <c r="M240" s="103">
        <f t="shared" ref="M240:V240" si="321">IF(M22=0,0,M22/M$19)</f>
        <v>2.2079338378419164E-2</v>
      </c>
      <c r="N240" s="103">
        <f t="shared" si="321"/>
        <v>2.1846115183535453E-2</v>
      </c>
      <c r="O240" s="103">
        <f t="shared" si="321"/>
        <v>2.04600943397928E-2</v>
      </c>
      <c r="P240" s="103">
        <f t="shared" si="321"/>
        <v>2.1160034639212986E-2</v>
      </c>
      <c r="Q240" s="103">
        <f t="shared" si="321"/>
        <v>2.1365503681685567E-2</v>
      </c>
      <c r="R240" s="103">
        <f t="shared" si="321"/>
        <v>2.0057125998323315E-2</v>
      </c>
      <c r="S240" s="103">
        <f t="shared" si="321"/>
        <v>1.9210104218382738E-2</v>
      </c>
      <c r="T240" s="103">
        <f t="shared" si="321"/>
        <v>2.0162277189246368E-2</v>
      </c>
      <c r="U240" s="103">
        <f t="shared" si="321"/>
        <v>1.9708211691515373E-2</v>
      </c>
      <c r="V240" s="103">
        <f t="shared" si="321"/>
        <v>1.8571885061346657E-2</v>
      </c>
      <c r="W240" s="103">
        <f t="shared" ref="W240:Y240" si="322">IF(W22=0,0,W22/W$19)</f>
        <v>2.1243467934611689E-2</v>
      </c>
      <c r="X240" s="103">
        <f t="shared" si="322"/>
        <v>2.1990709505525514E-2</v>
      </c>
      <c r="Y240" s="103">
        <f t="shared" si="322"/>
        <v>2.386650479848286E-2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3.9492622237397972E-4</v>
      </c>
      <c r="C241" s="103">
        <f t="shared" si="323"/>
        <v>4.1244992092344504E-4</v>
      </c>
      <c r="D241" s="103">
        <f t="shared" si="323"/>
        <v>4.1287461173677655E-4</v>
      </c>
      <c r="E241" s="103">
        <f t="shared" si="323"/>
        <v>3.8652719397436571E-4</v>
      </c>
      <c r="F241" s="103">
        <f t="shared" si="323"/>
        <v>3.6553955758654298E-4</v>
      </c>
      <c r="G241" s="103">
        <f t="shared" si="323"/>
        <v>3.4636248192055664E-4</v>
      </c>
      <c r="H241" s="103">
        <f t="shared" si="323"/>
        <v>3.304577895293239E-4</v>
      </c>
      <c r="I241" s="103">
        <f t="shared" si="323"/>
        <v>2.9650756537740982E-4</v>
      </c>
      <c r="J241" s="103">
        <f t="shared" si="323"/>
        <v>2.8965230566128529E-4</v>
      </c>
      <c r="K241" s="103">
        <f t="shared" si="323"/>
        <v>2.8045843668047138E-4</v>
      </c>
      <c r="L241" s="103">
        <f t="shared" ref="L241" si="324">IF(L23=0,0,L23/L$19)</f>
        <v>2.4706156596343218E-4</v>
      </c>
      <c r="M241" s="103">
        <f t="shared" ref="M241:V241" si="325">IF(M23=0,0,M23/M$19)</f>
        <v>2.4973287571647824E-4</v>
      </c>
      <c r="N241" s="103">
        <f t="shared" si="325"/>
        <v>2.3307099212720994E-4</v>
      </c>
      <c r="O241" s="103">
        <f t="shared" si="325"/>
        <v>1.8333587016043231E-4</v>
      </c>
      <c r="P241" s="103">
        <f t="shared" si="325"/>
        <v>1.6216319981534588E-4</v>
      </c>
      <c r="Q241" s="103">
        <f t="shared" si="325"/>
        <v>1.1799795979101563E-4</v>
      </c>
      <c r="R241" s="103">
        <f t="shared" si="325"/>
        <v>1.0655868855530421E-4</v>
      </c>
      <c r="S241" s="103">
        <f t="shared" si="325"/>
        <v>9.9270992269535489E-5</v>
      </c>
      <c r="T241" s="103">
        <f t="shared" si="325"/>
        <v>9.5222923213713842E-5</v>
      </c>
      <c r="U241" s="103">
        <f t="shared" si="325"/>
        <v>8.5099433319915207E-5</v>
      </c>
      <c r="V241" s="103">
        <f t="shared" si="325"/>
        <v>8.0160902869402809E-5</v>
      </c>
      <c r="W241" s="103">
        <f t="shared" ref="W241:Y241" si="326">IF(W23=0,0,W23/W$19)</f>
        <v>8.7650909869152653E-5</v>
      </c>
      <c r="X241" s="103">
        <f t="shared" si="326"/>
        <v>8.8646773348640055E-5</v>
      </c>
      <c r="Y241" s="103">
        <f t="shared" si="326"/>
        <v>9.4307091461790876E-5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1.2303695181527898E-6</v>
      </c>
      <c r="K242" s="103">
        <f t="shared" si="327"/>
        <v>1.7511023216158862E-6</v>
      </c>
      <c r="L242" s="103">
        <f t="shared" ref="L242" si="328">IF(L24=0,0,L24/L$19)</f>
        <v>2.0750772765140736E-6</v>
      </c>
      <c r="M242" s="103">
        <f t="shared" ref="M242:V242" si="329">IF(M24=0,0,M24/M$19)</f>
        <v>1.8207839978785357E-6</v>
      </c>
      <c r="N242" s="103">
        <f t="shared" si="329"/>
        <v>4.379306172069824E-6</v>
      </c>
      <c r="O242" s="103">
        <f t="shared" si="329"/>
        <v>5.032627701993531E-6</v>
      </c>
      <c r="P242" s="103">
        <f t="shared" si="329"/>
        <v>8.2285746784555522E-6</v>
      </c>
      <c r="Q242" s="103">
        <f t="shared" si="329"/>
        <v>1.3550105560738918E-5</v>
      </c>
      <c r="R242" s="103">
        <f t="shared" si="329"/>
        <v>1.2493589474432407E-5</v>
      </c>
      <c r="S242" s="103">
        <f t="shared" si="329"/>
        <v>2.2669687121344851E-5</v>
      </c>
      <c r="T242" s="103">
        <f t="shared" si="329"/>
        <v>3.8069657288984434E-5</v>
      </c>
      <c r="U242" s="103">
        <f t="shared" si="329"/>
        <v>5.6273587238619638E-5</v>
      </c>
      <c r="V242" s="103">
        <f t="shared" si="329"/>
        <v>6.442917018084201E-5</v>
      </c>
      <c r="W242" s="103">
        <f t="shared" ref="W242:Y242" si="330">IF(W24=0,0,W24/W$19)</f>
        <v>7.4645599561873146E-5</v>
      </c>
      <c r="X242" s="103">
        <f t="shared" si="330"/>
        <v>8.0437895188903002E-5</v>
      </c>
      <c r="Y242" s="103">
        <f t="shared" si="330"/>
        <v>9.0298472701146084E-5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1.2498424610465504E-6</v>
      </c>
      <c r="K243" s="103">
        <f t="shared" si="331"/>
        <v>1.3903695844300124E-6</v>
      </c>
      <c r="L243" s="103">
        <f t="shared" ref="L243" si="332">IF(L25=0,0,L25/L$19)</f>
        <v>1.3771677098839473E-6</v>
      </c>
      <c r="M243" s="103">
        <f t="shared" ref="M243:V243" si="333">IF(M25=0,0,M25/M$19)</f>
        <v>1.7365713692496937E-6</v>
      </c>
      <c r="N243" s="103">
        <f t="shared" si="333"/>
        <v>7.3056766343488445E-6</v>
      </c>
      <c r="O243" s="103">
        <f t="shared" si="333"/>
        <v>9.214432217870315E-6</v>
      </c>
      <c r="P243" s="103">
        <f t="shared" si="333"/>
        <v>1.1103213551794289E-5</v>
      </c>
      <c r="Q243" s="103">
        <f t="shared" si="333"/>
        <v>1.1619248402369158E-5</v>
      </c>
      <c r="R243" s="103">
        <f t="shared" si="333"/>
        <v>1.3481334167936386E-5</v>
      </c>
      <c r="S243" s="103">
        <f t="shared" si="333"/>
        <v>1.5215228094817855E-5</v>
      </c>
      <c r="T243" s="103">
        <f t="shared" si="333"/>
        <v>2.0428414047324961E-5</v>
      </c>
      <c r="U243" s="103">
        <f t="shared" si="333"/>
        <v>2.6702499073698413E-5</v>
      </c>
      <c r="V243" s="103">
        <f t="shared" si="333"/>
        <v>3.2904810098053297E-5</v>
      </c>
      <c r="W243" s="103">
        <f t="shared" ref="W243:Y243" si="334">IF(W25=0,0,W25/W$19)</f>
        <v>4.6542387350016133E-5</v>
      </c>
      <c r="X243" s="103">
        <f t="shared" si="334"/>
        <v>8.4346233608456779E-5</v>
      </c>
      <c r="Y243" s="103">
        <f t="shared" si="334"/>
        <v>1.0764397965856492E-4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0.98318007949044584</v>
      </c>
      <c r="C244" s="156">
        <f t="shared" si="335"/>
        <v>0.98295844882716166</v>
      </c>
      <c r="D244" s="156">
        <f t="shared" si="335"/>
        <v>0.98262395071781627</v>
      </c>
      <c r="E244" s="156">
        <f t="shared" si="335"/>
        <v>0.98150970354578837</v>
      </c>
      <c r="F244" s="156">
        <f t="shared" si="335"/>
        <v>0.98111905394803434</v>
      </c>
      <c r="G244" s="156">
        <f t="shared" si="335"/>
        <v>0.98051744244040329</v>
      </c>
      <c r="H244" s="156">
        <f t="shared" si="335"/>
        <v>0.9802332438550051</v>
      </c>
      <c r="I244" s="156">
        <f t="shared" si="335"/>
        <v>0.97955283296352957</v>
      </c>
      <c r="J244" s="156">
        <f t="shared" si="335"/>
        <v>0.97813371759153711</v>
      </c>
      <c r="K244" s="156">
        <f t="shared" si="335"/>
        <v>0.97667634878543208</v>
      </c>
      <c r="L244" s="156">
        <f t="shared" ref="L244" si="336">IF(L26=0,0,L26/L$19)</f>
        <v>0.97700691762996206</v>
      </c>
      <c r="M244" s="156">
        <f t="shared" ref="M244:V244" si="337">IF(M26=0,0,M26/M$19)</f>
        <v>0.97706785611627966</v>
      </c>
      <c r="N244" s="156">
        <f t="shared" si="337"/>
        <v>0.97734463796693993</v>
      </c>
      <c r="O244" s="156">
        <f t="shared" si="337"/>
        <v>0.9788461761459083</v>
      </c>
      <c r="P244" s="156">
        <f t="shared" si="337"/>
        <v>0.97820316484506642</v>
      </c>
      <c r="Q244" s="156">
        <f t="shared" si="337"/>
        <v>0.97808967547355019</v>
      </c>
      <c r="R244" s="156">
        <f t="shared" si="337"/>
        <v>0.97940806721621398</v>
      </c>
      <c r="S244" s="156">
        <f t="shared" si="337"/>
        <v>0.98020991049533268</v>
      </c>
      <c r="T244" s="156">
        <f t="shared" si="337"/>
        <v>0.97915206433752966</v>
      </c>
      <c r="U244" s="156">
        <f t="shared" si="337"/>
        <v>0.97955190211401344</v>
      </c>
      <c r="V244" s="156">
        <f t="shared" si="337"/>
        <v>0.98073453059386573</v>
      </c>
      <c r="W244" s="156">
        <f t="shared" ref="W244:Y244" si="338">IF(W26=0,0,W26/W$19)</f>
        <v>0.97794568338895627</v>
      </c>
      <c r="X244" s="156">
        <f t="shared" si="338"/>
        <v>0.97711186843452658</v>
      </c>
      <c r="Y244" s="156">
        <f t="shared" si="338"/>
        <v>0.97514584415056538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0.49062856961498991</v>
      </c>
      <c r="C245" s="103">
        <f t="shared" si="339"/>
        <v>0.4835028089788978</v>
      </c>
      <c r="D245" s="103">
        <f t="shared" si="339"/>
        <v>0.46720990161703663</v>
      </c>
      <c r="E245" s="103">
        <f t="shared" si="339"/>
        <v>0.45289850890502931</v>
      </c>
      <c r="F245" s="103">
        <f t="shared" si="339"/>
        <v>0.41459055186634691</v>
      </c>
      <c r="G245" s="103">
        <f t="shared" si="339"/>
        <v>0.40432205298224111</v>
      </c>
      <c r="H245" s="103">
        <f t="shared" si="339"/>
        <v>0.40086963300262118</v>
      </c>
      <c r="I245" s="103">
        <f t="shared" si="339"/>
        <v>0.39240585580673398</v>
      </c>
      <c r="J245" s="103">
        <f t="shared" si="339"/>
        <v>0.37844155962528347</v>
      </c>
      <c r="K245" s="103">
        <f t="shared" si="339"/>
        <v>0.38699107792403242</v>
      </c>
      <c r="L245" s="103">
        <f t="shared" ref="L245" si="340">IF(L27=0,0,L27/L$19)</f>
        <v>0.38015336017551471</v>
      </c>
      <c r="M245" s="103">
        <f t="shared" ref="M245:V245" si="341">IF(M27=0,0,M27/M$19)</f>
        <v>0.38059654846400326</v>
      </c>
      <c r="N245" s="103">
        <f t="shared" si="341"/>
        <v>0.38766180305188536</v>
      </c>
      <c r="O245" s="103">
        <f t="shared" si="341"/>
        <v>0.39032537647008131</v>
      </c>
      <c r="P245" s="103">
        <f t="shared" si="341"/>
        <v>0.39100489943356104</v>
      </c>
      <c r="Q245" s="103">
        <f t="shared" si="341"/>
        <v>0.41229853779424003</v>
      </c>
      <c r="R245" s="103">
        <f t="shared" si="341"/>
        <v>0.40100859853269188</v>
      </c>
      <c r="S245" s="103">
        <f t="shared" si="341"/>
        <v>0.38785811159811562</v>
      </c>
      <c r="T245" s="103">
        <f t="shared" si="341"/>
        <v>0.39599517784918692</v>
      </c>
      <c r="U245" s="103">
        <f t="shared" si="341"/>
        <v>0.40589094969455319</v>
      </c>
      <c r="V245" s="103">
        <f t="shared" si="341"/>
        <v>0.40660826583633486</v>
      </c>
      <c r="W245" s="103">
        <f t="shared" ref="W245:Y245" si="342">IF(W27=0,0,W27/W$19)</f>
        <v>0.41578915849028275</v>
      </c>
      <c r="X245" s="103">
        <f t="shared" si="342"/>
        <v>0.41584203571711786</v>
      </c>
      <c r="Y245" s="103">
        <f t="shared" si="342"/>
        <v>0.41569323672794628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0.49255150987545587</v>
      </c>
      <c r="C246" s="105">
        <f t="shared" si="343"/>
        <v>0.49945563984826391</v>
      </c>
      <c r="D246" s="105">
        <f t="shared" si="343"/>
        <v>0.5154140491007797</v>
      </c>
      <c r="E246" s="105">
        <f t="shared" si="343"/>
        <v>0.52861119464075901</v>
      </c>
      <c r="F246" s="105">
        <f t="shared" si="343"/>
        <v>0.56652850208168737</v>
      </c>
      <c r="G246" s="105">
        <f t="shared" si="343"/>
        <v>0.57619538945816218</v>
      </c>
      <c r="H246" s="105">
        <f t="shared" si="343"/>
        <v>0.57936361085238397</v>
      </c>
      <c r="I246" s="105">
        <f t="shared" si="343"/>
        <v>0.58714697715679554</v>
      </c>
      <c r="J246" s="105">
        <f t="shared" si="343"/>
        <v>0.59969215796625364</v>
      </c>
      <c r="K246" s="105">
        <f t="shared" si="343"/>
        <v>0.58968527086139966</v>
      </c>
      <c r="L246" s="105">
        <f t="shared" ref="L246" si="344">IF(L28=0,0,L28/L$19)</f>
        <v>0.59685355745444735</v>
      </c>
      <c r="M246" s="105">
        <f t="shared" ref="M246:V246" si="345">IF(M28=0,0,M28/M$19)</f>
        <v>0.59647130765227641</v>
      </c>
      <c r="N246" s="105">
        <f t="shared" si="345"/>
        <v>0.58968283491505458</v>
      </c>
      <c r="O246" s="105">
        <f t="shared" si="345"/>
        <v>0.58852079967582693</v>
      </c>
      <c r="P246" s="105">
        <f t="shared" si="345"/>
        <v>0.58719826541150533</v>
      </c>
      <c r="Q246" s="105">
        <f t="shared" si="345"/>
        <v>0.56579113767931011</v>
      </c>
      <c r="R246" s="105">
        <f t="shared" si="345"/>
        <v>0.5783994686835221</v>
      </c>
      <c r="S246" s="105">
        <f t="shared" si="345"/>
        <v>0.59235179889721712</v>
      </c>
      <c r="T246" s="105">
        <f t="shared" si="345"/>
        <v>0.58315688648834274</v>
      </c>
      <c r="U246" s="105">
        <f t="shared" si="345"/>
        <v>0.57366095241946036</v>
      </c>
      <c r="V246" s="105">
        <f t="shared" si="345"/>
        <v>0.57412626475753092</v>
      </c>
      <c r="W246" s="105">
        <f t="shared" ref="W246:Y246" si="346">IF(W28=0,0,W28/W$19)</f>
        <v>0.56215652489867352</v>
      </c>
      <c r="X246" s="105">
        <f t="shared" si="346"/>
        <v>0.56126983271740871</v>
      </c>
      <c r="Y246" s="105">
        <f t="shared" si="346"/>
        <v>0.55945260742261904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1.7586435170144417E-2</v>
      </c>
      <c r="C250" s="154">
        <f t="shared" si="351"/>
        <v>1.7760946755393758E-2</v>
      </c>
      <c r="D250" s="154">
        <f t="shared" si="351"/>
        <v>1.8724488955043868E-2</v>
      </c>
      <c r="E250" s="154">
        <f t="shared" si="351"/>
        <v>1.8917417835995893E-2</v>
      </c>
      <c r="F250" s="154">
        <f t="shared" si="351"/>
        <v>1.9098093285348908E-2</v>
      </c>
      <c r="G250" s="154">
        <f t="shared" si="351"/>
        <v>1.9195398525145714E-2</v>
      </c>
      <c r="H250" s="154">
        <f t="shared" si="351"/>
        <v>1.9254624183902343E-2</v>
      </c>
      <c r="I250" s="154">
        <f t="shared" si="351"/>
        <v>1.9182566780622332E-2</v>
      </c>
      <c r="J250" s="154">
        <f t="shared" si="351"/>
        <v>1.8721123926620491E-2</v>
      </c>
      <c r="K250" s="154">
        <f t="shared" si="351"/>
        <v>1.831968753226253E-2</v>
      </c>
      <c r="L250" s="154">
        <f t="shared" ref="L250" si="352">IF(L32=0,0,L32/L$31)</f>
        <v>1.7529390919610557E-2</v>
      </c>
      <c r="M250" s="154">
        <f t="shared" ref="M250:V250" si="353">IF(M32=0,0,M32/M$31)</f>
        <v>1.7395543963386145E-2</v>
      </c>
      <c r="N250" s="154">
        <f t="shared" si="353"/>
        <v>1.702564475922869E-2</v>
      </c>
      <c r="O250" s="154">
        <f t="shared" si="353"/>
        <v>1.6543685706542854E-2</v>
      </c>
      <c r="P250" s="154">
        <f t="shared" si="353"/>
        <v>1.6774382672058302E-2</v>
      </c>
      <c r="Q250" s="154">
        <f t="shared" si="353"/>
        <v>1.6070195970981357E-2</v>
      </c>
      <c r="R250" s="154">
        <f t="shared" si="353"/>
        <v>1.6846914942804443E-2</v>
      </c>
      <c r="S250" s="154">
        <f t="shared" si="353"/>
        <v>1.6408025305697831E-2</v>
      </c>
      <c r="T250" s="154">
        <f t="shared" si="353"/>
        <v>1.5802173739806261E-2</v>
      </c>
      <c r="U250" s="154">
        <f t="shared" si="353"/>
        <v>1.6880213675577974E-2</v>
      </c>
      <c r="V250" s="154">
        <f t="shared" si="353"/>
        <v>1.768285300989552E-2</v>
      </c>
      <c r="W250" s="154">
        <f t="shared" ref="W250:Y250" si="354">IF(W32=0,0,W32/W$31)</f>
        <v>1.7772521115749045E-2</v>
      </c>
      <c r="X250" s="154">
        <f t="shared" si="354"/>
        <v>1.7000678430382894E-2</v>
      </c>
      <c r="Y250" s="154">
        <f t="shared" si="354"/>
        <v>1.7557299047478766E-2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0.9739572338243363</v>
      </c>
      <c r="C251" s="156">
        <f t="shared" si="355"/>
        <v>0.9739867409518782</v>
      </c>
      <c r="D251" s="156">
        <f t="shared" si="355"/>
        <v>0.97299089110575665</v>
      </c>
      <c r="E251" s="156">
        <f t="shared" si="355"/>
        <v>0.97302293215559654</v>
      </c>
      <c r="F251" s="156">
        <f t="shared" si="355"/>
        <v>0.97288689889750735</v>
      </c>
      <c r="G251" s="156">
        <f t="shared" si="355"/>
        <v>0.97259538446193128</v>
      </c>
      <c r="H251" s="156">
        <f t="shared" si="355"/>
        <v>0.97292534795885455</v>
      </c>
      <c r="I251" s="156">
        <f t="shared" si="355"/>
        <v>0.97336117189118143</v>
      </c>
      <c r="J251" s="156">
        <f t="shared" si="355"/>
        <v>0.97385982855263731</v>
      </c>
      <c r="K251" s="156">
        <f t="shared" si="355"/>
        <v>0.97437638257353587</v>
      </c>
      <c r="L251" s="156">
        <f t="shared" ref="L251" si="356">IF(L33=0,0,L33/L$31)</f>
        <v>0.97518194269702396</v>
      </c>
      <c r="M251" s="156">
        <f t="shared" ref="M251:V251" si="357">IF(M33=0,0,M33/M$31)</f>
        <v>0.97553642672196328</v>
      </c>
      <c r="N251" s="156">
        <f t="shared" si="357"/>
        <v>0.97596203329668618</v>
      </c>
      <c r="O251" s="156">
        <f t="shared" si="357"/>
        <v>0.97632075075281821</v>
      </c>
      <c r="P251" s="156">
        <f t="shared" si="357"/>
        <v>0.97621753247351994</v>
      </c>
      <c r="Q251" s="156">
        <f t="shared" si="357"/>
        <v>0.9769967374857278</v>
      </c>
      <c r="R251" s="156">
        <f t="shared" si="357"/>
        <v>0.97653576961165578</v>
      </c>
      <c r="S251" s="156">
        <f t="shared" si="357"/>
        <v>0.97676412760215481</v>
      </c>
      <c r="T251" s="156">
        <f t="shared" si="357"/>
        <v>0.97728913880997514</v>
      </c>
      <c r="U251" s="156">
        <f t="shared" si="357"/>
        <v>0.97614470684762245</v>
      </c>
      <c r="V251" s="156">
        <f t="shared" si="357"/>
        <v>0.97424156621501012</v>
      </c>
      <c r="W251" s="156">
        <f t="shared" ref="W251:Y251" si="358">IF(W33=0,0,W33/W$31)</f>
        <v>0.97449600372607925</v>
      </c>
      <c r="X251" s="156">
        <f t="shared" si="358"/>
        <v>0.97572167027707823</v>
      </c>
      <c r="Y251" s="156">
        <f t="shared" si="358"/>
        <v>0.975490422872069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0.42703365654247022</v>
      </c>
      <c r="C252" s="103">
        <f t="shared" si="359"/>
        <v>0.40305184408784001</v>
      </c>
      <c r="D252" s="103">
        <f t="shared" si="359"/>
        <v>0.38321296534482951</v>
      </c>
      <c r="E252" s="103">
        <f t="shared" si="359"/>
        <v>0.37471142648359357</v>
      </c>
      <c r="F252" s="103">
        <f t="shared" si="359"/>
        <v>0.33354784836354456</v>
      </c>
      <c r="G252" s="103">
        <f t="shared" si="359"/>
        <v>0.31987167909660424</v>
      </c>
      <c r="H252" s="103">
        <f t="shared" si="359"/>
        <v>0.28820473681291148</v>
      </c>
      <c r="I252" s="103">
        <f t="shared" si="359"/>
        <v>0.26083308960528229</v>
      </c>
      <c r="J252" s="103">
        <f t="shared" si="359"/>
        <v>0.23338289625053374</v>
      </c>
      <c r="K252" s="103">
        <f t="shared" si="359"/>
        <v>0.22252338128336277</v>
      </c>
      <c r="L252" s="103">
        <f t="shared" ref="L252" si="360">IF(L34=0,0,L34/L$31)</f>
        <v>0.20611377470403916</v>
      </c>
      <c r="M252" s="103">
        <f t="shared" ref="M252:V252" si="361">IF(M34=0,0,M34/M$31)</f>
        <v>0.19965768041364312</v>
      </c>
      <c r="N252" s="103">
        <f t="shared" si="361"/>
        <v>0.19886568576435451</v>
      </c>
      <c r="O252" s="103">
        <f t="shared" si="361"/>
        <v>0.20617765003257657</v>
      </c>
      <c r="P252" s="103">
        <f t="shared" si="361"/>
        <v>0.21562409266042806</v>
      </c>
      <c r="Q252" s="103">
        <f t="shared" si="361"/>
        <v>0.22735677803532664</v>
      </c>
      <c r="R252" s="103">
        <f t="shared" si="361"/>
        <v>0.24633302881874578</v>
      </c>
      <c r="S252" s="103">
        <f t="shared" si="361"/>
        <v>0.2692477010732845</v>
      </c>
      <c r="T252" s="103">
        <f t="shared" si="361"/>
        <v>0.30843588211929007</v>
      </c>
      <c r="U252" s="103">
        <f t="shared" si="361"/>
        <v>0.35125683259672374</v>
      </c>
      <c r="V252" s="103">
        <f t="shared" si="361"/>
        <v>0.35399097445497352</v>
      </c>
      <c r="W252" s="103">
        <f t="shared" ref="W252:Y252" si="362">IF(W34=0,0,W34/W$31)</f>
        <v>0.39540011819945287</v>
      </c>
      <c r="X252" s="103">
        <f t="shared" si="362"/>
        <v>0.43713782379541138</v>
      </c>
      <c r="Y252" s="103">
        <f t="shared" si="362"/>
        <v>0.47082359684717207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0.53715987339417437</v>
      </c>
      <c r="C253" s="103">
        <f t="shared" si="363"/>
        <v>0.55963452091410149</v>
      </c>
      <c r="D253" s="103">
        <f t="shared" si="363"/>
        <v>0.57837047801634389</v>
      </c>
      <c r="E253" s="103">
        <f t="shared" si="363"/>
        <v>0.58802437401284979</v>
      </c>
      <c r="F253" s="103">
        <f t="shared" si="363"/>
        <v>0.62975759808848941</v>
      </c>
      <c r="G253" s="103">
        <f t="shared" si="363"/>
        <v>0.64391366840762709</v>
      </c>
      <c r="H253" s="103">
        <f t="shared" si="363"/>
        <v>0.67682608450866866</v>
      </c>
      <c r="I253" s="103">
        <f t="shared" si="363"/>
        <v>0.70573935214590133</v>
      </c>
      <c r="J253" s="103">
        <f t="shared" si="363"/>
        <v>0.73435277324595338</v>
      </c>
      <c r="K253" s="103">
        <f t="shared" si="363"/>
        <v>0.74631994345952934</v>
      </c>
      <c r="L253" s="103">
        <f t="shared" ref="L253" si="364">IF(L35=0,0,L35/L$31)</f>
        <v>0.76409155047950961</v>
      </c>
      <c r="M253" s="103">
        <f t="shared" ref="M253:V253" si="365">IF(M35=0,0,M35/M$31)</f>
        <v>0.77033727837762778</v>
      </c>
      <c r="N253" s="103">
        <f t="shared" si="365"/>
        <v>0.77116538993550687</v>
      </c>
      <c r="O253" s="103">
        <f t="shared" si="365"/>
        <v>0.76461589286640974</v>
      </c>
      <c r="P253" s="103">
        <f t="shared" si="365"/>
        <v>0.7542382964750397</v>
      </c>
      <c r="Q253" s="103">
        <f t="shared" si="365"/>
        <v>0.74054662686338035</v>
      </c>
      <c r="R253" s="103">
        <f t="shared" si="365"/>
        <v>0.72019562570769335</v>
      </c>
      <c r="S253" s="103">
        <f t="shared" si="365"/>
        <v>0.69502660042499265</v>
      </c>
      <c r="T253" s="103">
        <f t="shared" si="365"/>
        <v>0.6540799727520622</v>
      </c>
      <c r="U253" s="103">
        <f t="shared" si="365"/>
        <v>0.60713379234235665</v>
      </c>
      <c r="V253" s="103">
        <f t="shared" si="365"/>
        <v>0.59596545381338528</v>
      </c>
      <c r="W253" s="103">
        <f t="shared" ref="W253:Y253" si="366">IF(W35=0,0,W35/W$31)</f>
        <v>0.54479728548123918</v>
      </c>
      <c r="X253" s="103">
        <f t="shared" si="366"/>
        <v>0.49075730590954925</v>
      </c>
      <c r="Y253" s="103">
        <f t="shared" si="366"/>
        <v>0.43207285870298429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9.763703887691726E-3</v>
      </c>
      <c r="C254" s="103">
        <f t="shared" si="367"/>
        <v>1.1300375949936903E-2</v>
      </c>
      <c r="D254" s="103">
        <f t="shared" si="367"/>
        <v>1.1407447744583287E-2</v>
      </c>
      <c r="E254" s="103">
        <f t="shared" si="367"/>
        <v>1.0287131659153324E-2</v>
      </c>
      <c r="F254" s="103">
        <f t="shared" si="367"/>
        <v>9.5304162734345475E-3</v>
      </c>
      <c r="G254" s="103">
        <f t="shared" si="367"/>
        <v>8.7516866448640023E-3</v>
      </c>
      <c r="H254" s="103">
        <f t="shared" si="367"/>
        <v>7.8371297526114558E-3</v>
      </c>
      <c r="I254" s="103">
        <f t="shared" si="367"/>
        <v>6.7332891434520852E-3</v>
      </c>
      <c r="J254" s="103">
        <f t="shared" si="367"/>
        <v>6.0758576994049806E-3</v>
      </c>
      <c r="K254" s="103">
        <f t="shared" si="367"/>
        <v>5.4883543704822083E-3</v>
      </c>
      <c r="L254" s="103">
        <f t="shared" ref="L254" si="368">IF(L36=0,0,L36/L$31)</f>
        <v>4.9217222208261056E-3</v>
      </c>
      <c r="M254" s="103">
        <f t="shared" ref="M254:V254" si="369">IF(M36=0,0,M36/M$31)</f>
        <v>5.4380290595978696E-3</v>
      </c>
      <c r="N254" s="103">
        <f t="shared" si="369"/>
        <v>5.7061294123864166E-3</v>
      </c>
      <c r="O254" s="103">
        <f t="shared" si="369"/>
        <v>5.2538524714474981E-3</v>
      </c>
      <c r="P254" s="103">
        <f t="shared" si="369"/>
        <v>5.7363040563478936E-3</v>
      </c>
      <c r="Q254" s="103">
        <f t="shared" si="369"/>
        <v>7.8047048912841376E-3</v>
      </c>
      <c r="R254" s="103">
        <f t="shared" si="369"/>
        <v>7.2105090194372517E-3</v>
      </c>
      <c r="S254" s="103">
        <f t="shared" si="369"/>
        <v>7.2583743850857564E-3</v>
      </c>
      <c r="T254" s="103">
        <f t="shared" si="369"/>
        <v>7.108877624219169E-3</v>
      </c>
      <c r="U254" s="103">
        <f t="shared" si="369"/>
        <v>6.9307062474761967E-3</v>
      </c>
      <c r="V254" s="103">
        <f t="shared" si="369"/>
        <v>7.3367964037323588E-3</v>
      </c>
      <c r="W254" s="103">
        <f t="shared" ref="W254:Y254" si="370">IF(W36=0,0,W36/W$31)</f>
        <v>6.8989094936540473E-3</v>
      </c>
      <c r="X254" s="103">
        <f t="shared" si="370"/>
        <v>6.5173519128616363E-3</v>
      </c>
      <c r="Y254" s="103">
        <f t="shared" si="370"/>
        <v>6.3602809007402032E-3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5.1036172038891831E-5</v>
      </c>
      <c r="G255" s="103">
        <f t="shared" si="371"/>
        <v>5.8350312835897936E-5</v>
      </c>
      <c r="H255" s="103">
        <f t="shared" si="371"/>
        <v>5.7396884663122337E-5</v>
      </c>
      <c r="I255" s="103">
        <f t="shared" si="371"/>
        <v>5.5440996545720379E-5</v>
      </c>
      <c r="J255" s="103">
        <f t="shared" si="371"/>
        <v>4.6785455155435382E-5</v>
      </c>
      <c r="K255" s="103">
        <f t="shared" si="371"/>
        <v>4.25219048472402E-5</v>
      </c>
      <c r="L255" s="103">
        <f t="shared" ref="L255" si="372">IF(L37=0,0,L37/L$31)</f>
        <v>4.455677634350415E-5</v>
      </c>
      <c r="M255" s="103">
        <f t="shared" ref="M255:V255" si="373">IF(M37=0,0,M37/M$31)</f>
        <v>4.7512532313782722E-5</v>
      </c>
      <c r="N255" s="103">
        <f t="shared" si="373"/>
        <v>4.8574396090635984E-5</v>
      </c>
      <c r="O255" s="103">
        <f t="shared" si="373"/>
        <v>7.5399830075595825E-5</v>
      </c>
      <c r="P255" s="103">
        <f t="shared" si="373"/>
        <v>1.9251078946629538E-4</v>
      </c>
      <c r="Q255" s="103">
        <f t="shared" si="373"/>
        <v>3.6508024011589342E-4</v>
      </c>
      <c r="R255" s="103">
        <f t="shared" si="373"/>
        <v>7.7756862855358046E-4</v>
      </c>
      <c r="S255" s="103">
        <f t="shared" si="373"/>
        <v>1.1915079223180391E-3</v>
      </c>
      <c r="T255" s="103">
        <f t="shared" si="373"/>
        <v>2.0897487982316958E-3</v>
      </c>
      <c r="U255" s="103">
        <f t="shared" si="373"/>
        <v>2.9001004432397176E-3</v>
      </c>
      <c r="V255" s="103">
        <f t="shared" si="373"/>
        <v>3.7386508063944625E-3</v>
      </c>
      <c r="W255" s="103">
        <f t="shared" ref="W255:Y255" si="374">IF(W37=0,0,W37/W$31)</f>
        <v>3.8716781420966946E-3</v>
      </c>
      <c r="X255" s="103">
        <f t="shared" si="374"/>
        <v>3.7242846231130685E-3</v>
      </c>
      <c r="Y255" s="103">
        <f t="shared" si="374"/>
        <v>3.552740682826642E-3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1.5750837335006705E-6</v>
      </c>
      <c r="N256" s="103">
        <f t="shared" si="377"/>
        <v>3.5794870126305809E-5</v>
      </c>
      <c r="O256" s="103">
        <f t="shared" si="377"/>
        <v>3.8762475306529723E-5</v>
      </c>
      <c r="P256" s="103">
        <f t="shared" si="377"/>
        <v>1.2675231947494058E-4</v>
      </c>
      <c r="Q256" s="103">
        <f t="shared" si="377"/>
        <v>4.5692270165936745E-4</v>
      </c>
      <c r="R256" s="103">
        <f t="shared" si="377"/>
        <v>1.292232267687102E-3</v>
      </c>
      <c r="S256" s="103">
        <f t="shared" si="377"/>
        <v>2.5737398641543646E-3</v>
      </c>
      <c r="T256" s="103">
        <f t="shared" si="377"/>
        <v>4.0026147647443033E-3</v>
      </c>
      <c r="U256" s="103">
        <f t="shared" si="377"/>
        <v>5.3423482006599429E-3</v>
      </c>
      <c r="V256" s="103">
        <f t="shared" si="377"/>
        <v>9.1489267586666312E-3</v>
      </c>
      <c r="W256" s="103">
        <f t="shared" ref="W256:Y256" si="378">IF(W38=0,0,W38/W$31)</f>
        <v>1.598087067203546E-2</v>
      </c>
      <c r="X256" s="103">
        <f t="shared" si="378"/>
        <v>2.5041725334942689E-2</v>
      </c>
      <c r="Y256" s="103">
        <f t="shared" si="378"/>
        <v>3.6933219857640233E-2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1.5159015898155226E-6</v>
      </c>
      <c r="K257" s="103">
        <f t="shared" si="379"/>
        <v>2.1815553143352907E-6</v>
      </c>
      <c r="L257" s="103">
        <f t="shared" ref="L257" si="380">IF(L39=0,0,L39/L$31)</f>
        <v>1.0338516305604068E-5</v>
      </c>
      <c r="M257" s="103">
        <f t="shared" ref="M257:V257" si="381">IF(M39=0,0,M39/M$31)</f>
        <v>5.435125504709743E-5</v>
      </c>
      <c r="N257" s="103">
        <f t="shared" si="381"/>
        <v>1.4045891822154929E-4</v>
      </c>
      <c r="O257" s="103">
        <f t="shared" si="381"/>
        <v>1.5919307700252157E-4</v>
      </c>
      <c r="P257" s="103">
        <f t="shared" si="381"/>
        <v>2.9957617276304364E-4</v>
      </c>
      <c r="Q257" s="103">
        <f t="shared" si="381"/>
        <v>4.6662475396145442E-4</v>
      </c>
      <c r="R257" s="103">
        <f t="shared" si="381"/>
        <v>7.2680516953860035E-4</v>
      </c>
      <c r="S257" s="103">
        <f t="shared" si="381"/>
        <v>1.4662039323195869E-3</v>
      </c>
      <c r="T257" s="103">
        <f t="shared" si="381"/>
        <v>1.5720427514276287E-3</v>
      </c>
      <c r="U257" s="103">
        <f t="shared" si="381"/>
        <v>2.5809270171661064E-3</v>
      </c>
      <c r="V257" s="103">
        <f t="shared" si="381"/>
        <v>4.0607639778577516E-3</v>
      </c>
      <c r="W257" s="103">
        <f t="shared" ref="W257:Y257" si="382">IF(W39=0,0,W39/W$31)</f>
        <v>7.5471417376010586E-3</v>
      </c>
      <c r="X257" s="103">
        <f t="shared" si="382"/>
        <v>1.2543178701200131E-2</v>
      </c>
      <c r="Y257" s="103">
        <f t="shared" si="382"/>
        <v>2.5747725880705525E-2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8.4563310055192371E-3</v>
      </c>
      <c r="C258" s="156">
        <f t="shared" si="383"/>
        <v>8.2523122927280288E-3</v>
      </c>
      <c r="D258" s="156">
        <f t="shared" si="383"/>
        <v>8.2846199391993433E-3</v>
      </c>
      <c r="E258" s="156">
        <f t="shared" si="383"/>
        <v>8.0596500084074794E-3</v>
      </c>
      <c r="F258" s="156">
        <f t="shared" si="383"/>
        <v>8.0150078171436351E-3</v>
      </c>
      <c r="G258" s="156">
        <f t="shared" si="383"/>
        <v>8.2092170129229852E-3</v>
      </c>
      <c r="H258" s="156">
        <f t="shared" si="383"/>
        <v>7.8200278572431153E-3</v>
      </c>
      <c r="I258" s="156">
        <f t="shared" si="383"/>
        <v>7.4562613281963083E-3</v>
      </c>
      <c r="J258" s="156">
        <f t="shared" si="383"/>
        <v>7.4190475207421922E-3</v>
      </c>
      <c r="K258" s="156">
        <f t="shared" si="383"/>
        <v>7.3039298942015841E-3</v>
      </c>
      <c r="L258" s="156">
        <f t="shared" ref="L258" si="384">IF(L40=0,0,L40/L$31)</f>
        <v>7.2886663833655113E-3</v>
      </c>
      <c r="M258" s="156">
        <f t="shared" ref="M258:V258" si="385">IF(M40=0,0,M40/M$31)</f>
        <v>7.0680293146506302E-3</v>
      </c>
      <c r="N258" s="156">
        <f t="shared" si="385"/>
        <v>7.0123219440851436E-3</v>
      </c>
      <c r="O258" s="156">
        <f t="shared" si="385"/>
        <v>7.1355635406388854E-3</v>
      </c>
      <c r="P258" s="156">
        <f t="shared" si="385"/>
        <v>7.0080848544217715E-3</v>
      </c>
      <c r="Q258" s="156">
        <f t="shared" si="385"/>
        <v>6.9330665432908115E-3</v>
      </c>
      <c r="R258" s="156">
        <f t="shared" si="385"/>
        <v>6.6173154455398007E-3</v>
      </c>
      <c r="S258" s="156">
        <f t="shared" si="385"/>
        <v>6.8278470921473095E-3</v>
      </c>
      <c r="T258" s="156">
        <f t="shared" si="385"/>
        <v>6.9086874502184894E-3</v>
      </c>
      <c r="U258" s="156">
        <f t="shared" si="385"/>
        <v>6.9750794767995351E-3</v>
      </c>
      <c r="V258" s="156">
        <f t="shared" si="385"/>
        <v>8.0755807750944285E-3</v>
      </c>
      <c r="W258" s="156">
        <f t="shared" ref="W258:Y258" si="386">IF(W40=0,0,W40/W$31)</f>
        <v>7.7314751581716839E-3</v>
      </c>
      <c r="X258" s="156">
        <f t="shared" si="386"/>
        <v>7.2776512925388217E-3</v>
      </c>
      <c r="Y258" s="156">
        <f t="shared" si="386"/>
        <v>6.9522780804521884E-3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1.1322321944027231E-4</v>
      </c>
      <c r="C259" s="103">
        <f t="shared" si="387"/>
        <v>1.0837633459785994E-4</v>
      </c>
      <c r="D259" s="103">
        <f t="shared" si="387"/>
        <v>1.0016450443912854E-4</v>
      </c>
      <c r="E259" s="103">
        <f t="shared" si="387"/>
        <v>9.7966193675041218E-5</v>
      </c>
      <c r="F259" s="103">
        <f t="shared" si="387"/>
        <v>9.5069312454769639E-5</v>
      </c>
      <c r="G259" s="103">
        <f t="shared" si="387"/>
        <v>9.7350013541434272E-5</v>
      </c>
      <c r="H259" s="103">
        <f t="shared" si="387"/>
        <v>8.5762631064592465E-5</v>
      </c>
      <c r="I259" s="103">
        <f t="shared" si="387"/>
        <v>7.7878685450669439E-5</v>
      </c>
      <c r="J259" s="103">
        <f t="shared" si="387"/>
        <v>7.0501781701669725E-5</v>
      </c>
      <c r="K259" s="103">
        <f t="shared" si="387"/>
        <v>6.4326686732779916E-5</v>
      </c>
      <c r="L259" s="103">
        <f t="shared" ref="L259" si="388">IF(L41=0,0,L41/L$31)</f>
        <v>5.8469017248883588E-5</v>
      </c>
      <c r="M259" s="103">
        <f t="shared" ref="M259:V259" si="389">IF(M41=0,0,M41/M$31)</f>
        <v>5.568371148277391E-5</v>
      </c>
      <c r="N259" s="103">
        <f t="shared" si="389"/>
        <v>5.4053773421365037E-5</v>
      </c>
      <c r="O259" s="103">
        <f t="shared" si="389"/>
        <v>5.1055637810247459E-5</v>
      </c>
      <c r="P259" s="103">
        <f t="shared" si="389"/>
        <v>4.6394950849665094E-5</v>
      </c>
      <c r="Q259" s="103">
        <f t="shared" si="389"/>
        <v>4.5528164004949238E-5</v>
      </c>
      <c r="R259" s="103">
        <f t="shared" si="389"/>
        <v>4.6353240715210665E-5</v>
      </c>
      <c r="S259" s="103">
        <f t="shared" si="389"/>
        <v>4.6085334772085883E-5</v>
      </c>
      <c r="T259" s="103">
        <f t="shared" si="389"/>
        <v>4.5650011935675374E-5</v>
      </c>
      <c r="U259" s="103">
        <f t="shared" si="389"/>
        <v>4.4894164891828355E-5</v>
      </c>
      <c r="V259" s="103">
        <f t="shared" si="389"/>
        <v>5.1335014990726287E-5</v>
      </c>
      <c r="W259" s="103">
        <f t="shared" ref="W259:Y259" si="390">IF(W41=0,0,W41/W$31)</f>
        <v>4.7810512466405416E-5</v>
      </c>
      <c r="X259" s="103">
        <f t="shared" si="390"/>
        <v>4.4802663205391228E-5</v>
      </c>
      <c r="Y259" s="103">
        <f t="shared" si="390"/>
        <v>4.1713338789105953E-5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8.3420684301066649E-3</v>
      </c>
      <c r="C260" s="103">
        <f t="shared" si="391"/>
        <v>8.1429328538502703E-3</v>
      </c>
      <c r="D260" s="103">
        <f t="shared" si="391"/>
        <v>8.1834534008020828E-3</v>
      </c>
      <c r="E260" s="103">
        <f t="shared" si="391"/>
        <v>7.960714146528311E-3</v>
      </c>
      <c r="F260" s="103">
        <f t="shared" si="391"/>
        <v>7.918977030633394E-3</v>
      </c>
      <c r="G260" s="103">
        <f t="shared" si="391"/>
        <v>8.1014092282700005E-3</v>
      </c>
      <c r="H260" s="103">
        <f t="shared" si="391"/>
        <v>7.7241032051933861E-3</v>
      </c>
      <c r="I260" s="103">
        <f t="shared" si="391"/>
        <v>7.3691049101537349E-3</v>
      </c>
      <c r="J260" s="103">
        <f t="shared" si="391"/>
        <v>7.3399382087849067E-3</v>
      </c>
      <c r="K260" s="103">
        <f t="shared" si="391"/>
        <v>7.231034636858538E-3</v>
      </c>
      <c r="L260" s="103">
        <f t="shared" ref="L260" si="392">IF(L42=0,0,L42/L$31)</f>
        <v>7.2220571455370334E-3</v>
      </c>
      <c r="M260" s="103">
        <f t="shared" ref="M260:V260" si="393">IF(M42=0,0,M42/M$31)</f>
        <v>7.004710488862558E-3</v>
      </c>
      <c r="N260" s="103">
        <f t="shared" si="393"/>
        <v>6.9509936791453883E-3</v>
      </c>
      <c r="O260" s="103">
        <f t="shared" si="393"/>
        <v>7.0743738574193978E-3</v>
      </c>
      <c r="P260" s="103">
        <f t="shared" si="393"/>
        <v>6.9510193260547554E-3</v>
      </c>
      <c r="Q260" s="103">
        <f t="shared" si="393"/>
        <v>6.8780932619789325E-3</v>
      </c>
      <c r="R260" s="103">
        <f t="shared" si="393"/>
        <v>6.5608106690460176E-3</v>
      </c>
      <c r="S260" s="103">
        <f t="shared" si="393"/>
        <v>6.7707539279551728E-3</v>
      </c>
      <c r="T260" s="103">
        <f t="shared" si="393"/>
        <v>6.8421539902933474E-3</v>
      </c>
      <c r="U260" s="103">
        <f t="shared" si="393"/>
        <v>6.8965955540445274E-3</v>
      </c>
      <c r="V260" s="103">
        <f t="shared" si="393"/>
        <v>7.9700542383568437E-3</v>
      </c>
      <c r="W260" s="103">
        <f t="shared" ref="W260:Y260" si="394">IF(W42=0,0,W42/W$31)</f>
        <v>7.5537895983569039E-3</v>
      </c>
      <c r="X260" s="103">
        <f t="shared" si="394"/>
        <v>7.0714141456019505E-3</v>
      </c>
      <c r="Y260" s="103">
        <f t="shared" si="394"/>
        <v>6.6702429709303585E-3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2.7302841186337193E-6</v>
      </c>
      <c r="P262" s="103">
        <f t="shared" si="401"/>
        <v>2.6505048538854289E-6</v>
      </c>
      <c r="Q262" s="103">
        <f t="shared" si="401"/>
        <v>2.5272576290645048E-6</v>
      </c>
      <c r="R262" s="103">
        <f t="shared" si="401"/>
        <v>3.5047500447391709E-6</v>
      </c>
      <c r="S262" s="103">
        <f t="shared" si="401"/>
        <v>4.6046736028595994E-6</v>
      </c>
      <c r="T262" s="103">
        <f t="shared" si="401"/>
        <v>1.1278548691512154E-5</v>
      </c>
      <c r="U262" s="103">
        <f t="shared" si="401"/>
        <v>6.6662867652184974E-6</v>
      </c>
      <c r="V262" s="103">
        <f t="shared" si="401"/>
        <v>1.4585391038024998E-5</v>
      </c>
      <c r="W262" s="103">
        <f t="shared" ref="W262:Y262" si="402">IF(W44=0,0,W44/W$31)</f>
        <v>7.6565216278377988E-5</v>
      </c>
      <c r="X262" s="103">
        <f t="shared" si="402"/>
        <v>8.9915205071936194E-5</v>
      </c>
      <c r="Y262" s="103">
        <f t="shared" si="402"/>
        <v>8.7022120016742795E-5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1.0393559723008709E-6</v>
      </c>
      <c r="C263" s="103">
        <f t="shared" si="403"/>
        <v>1.0031042798977136E-6</v>
      </c>
      <c r="D263" s="103">
        <f t="shared" si="403"/>
        <v>1.0020339581320444E-6</v>
      </c>
      <c r="E263" s="103">
        <f t="shared" si="403"/>
        <v>9.6966820412609385E-7</v>
      </c>
      <c r="F263" s="103">
        <f t="shared" si="403"/>
        <v>9.6147405547187151E-7</v>
      </c>
      <c r="G263" s="103">
        <f t="shared" si="403"/>
        <v>1.0457771111550603E-5</v>
      </c>
      <c r="H263" s="103">
        <f t="shared" si="403"/>
        <v>1.0162020985137341E-5</v>
      </c>
      <c r="I263" s="103">
        <f t="shared" si="403"/>
        <v>9.277732591903261E-6</v>
      </c>
      <c r="J263" s="103">
        <f t="shared" si="403"/>
        <v>8.6075302556161516E-6</v>
      </c>
      <c r="K263" s="103">
        <f t="shared" si="403"/>
        <v>8.5685706102669716E-6</v>
      </c>
      <c r="L263" s="103">
        <f t="shared" ref="L263" si="404">IF(L45=0,0,L45/L$31)</f>
        <v>8.1402205795948981E-6</v>
      </c>
      <c r="M263" s="103">
        <f t="shared" ref="M263:V263" si="405">IF(M45=0,0,M45/M$31)</f>
        <v>7.6351143052996825E-6</v>
      </c>
      <c r="N263" s="103">
        <f t="shared" si="405"/>
        <v>7.2744915183909264E-6</v>
      </c>
      <c r="O263" s="103">
        <f t="shared" si="405"/>
        <v>7.4037612906069738E-6</v>
      </c>
      <c r="P263" s="103">
        <f t="shared" si="405"/>
        <v>8.0200726634658234E-6</v>
      </c>
      <c r="Q263" s="103">
        <f t="shared" si="405"/>
        <v>6.9178596778650312E-6</v>
      </c>
      <c r="R263" s="103">
        <f t="shared" si="405"/>
        <v>6.6467857338320086E-6</v>
      </c>
      <c r="S263" s="103">
        <f t="shared" si="405"/>
        <v>6.4031558171915549E-6</v>
      </c>
      <c r="T263" s="103">
        <f t="shared" si="405"/>
        <v>9.6048992979539857E-6</v>
      </c>
      <c r="U263" s="103">
        <f t="shared" si="405"/>
        <v>2.692347109796092E-5</v>
      </c>
      <c r="V263" s="103">
        <f t="shared" si="405"/>
        <v>3.9606130708831643E-5</v>
      </c>
      <c r="W263" s="103">
        <f t="shared" ref="W263:Y263" si="406">IF(W45=0,0,W45/W$31)</f>
        <v>5.3309831069995957E-5</v>
      </c>
      <c r="X263" s="103">
        <f t="shared" si="406"/>
        <v>7.1519278659543469E-5</v>
      </c>
      <c r="Y263" s="103">
        <f t="shared" si="406"/>
        <v>1.532996507159812E-4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0.69242564214281288</v>
      </c>
      <c r="C265" s="154">
        <f t="shared" si="411"/>
        <v>0.69082049086701913</v>
      </c>
      <c r="D265" s="154">
        <f t="shared" si="411"/>
        <v>0.6987969430743326</v>
      </c>
      <c r="E265" s="154">
        <f t="shared" si="411"/>
        <v>0.71731944889886412</v>
      </c>
      <c r="F265" s="154">
        <f t="shared" si="411"/>
        <v>0.72052099415375426</v>
      </c>
      <c r="G265" s="154">
        <f t="shared" si="411"/>
        <v>0.73452937702832877</v>
      </c>
      <c r="H265" s="154">
        <f t="shared" si="411"/>
        <v>0.73909615135381945</v>
      </c>
      <c r="I265" s="154">
        <f t="shared" si="411"/>
        <v>0.74926584209951341</v>
      </c>
      <c r="J265" s="154">
        <f t="shared" si="411"/>
        <v>0.77127673326612445</v>
      </c>
      <c r="K265" s="154">
        <f t="shared" si="411"/>
        <v>0.77948461259868429</v>
      </c>
      <c r="L265" s="154">
        <f t="shared" ref="L265" si="412">IF(L47=0,0,L47/L$46)</f>
        <v>0.78005550721164185</v>
      </c>
      <c r="M265" s="154">
        <f t="shared" ref="M265:V265" si="413">IF(M47=0,0,M47/M$46)</f>
        <v>0.7757808275707202</v>
      </c>
      <c r="N265" s="154">
        <f t="shared" si="413"/>
        <v>0.77350667944363016</v>
      </c>
      <c r="O265" s="154">
        <f t="shared" si="413"/>
        <v>0.75813043816015746</v>
      </c>
      <c r="P265" s="154">
        <f t="shared" si="413"/>
        <v>0.7620241078198543</v>
      </c>
      <c r="Q265" s="154">
        <f t="shared" si="413"/>
        <v>0.7588018979505724</v>
      </c>
      <c r="R265" s="154">
        <f t="shared" si="413"/>
        <v>0.74595910832206114</v>
      </c>
      <c r="S265" s="154">
        <f t="shared" si="413"/>
        <v>0.73131447149499806</v>
      </c>
      <c r="T265" s="154">
        <f t="shared" si="413"/>
        <v>0.74727436114920431</v>
      </c>
      <c r="U265" s="154">
        <f t="shared" si="413"/>
        <v>0.73794002100807043</v>
      </c>
      <c r="V265" s="154">
        <f t="shared" si="413"/>
        <v>0.72375403389560211</v>
      </c>
      <c r="W265" s="154">
        <f t="shared" ref="W265:Y265" si="414">IF(W47=0,0,W47/W$46)</f>
        <v>0.7560923045536837</v>
      </c>
      <c r="X265" s="154">
        <f t="shared" si="414"/>
        <v>0.75242470493513747</v>
      </c>
      <c r="Y265" s="154">
        <f t="shared" si="414"/>
        <v>0.76456817495924079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4.7626270221095196E-2</v>
      </c>
      <c r="C266" s="103">
        <f t="shared" si="415"/>
        <v>4.4847893153804601E-2</v>
      </c>
      <c r="D266" s="103">
        <f t="shared" si="415"/>
        <v>4.5438274709986348E-2</v>
      </c>
      <c r="E266" s="103">
        <f t="shared" si="415"/>
        <v>4.2553589146257363E-2</v>
      </c>
      <c r="F266" s="103">
        <f t="shared" si="415"/>
        <v>3.8273902010476167E-2</v>
      </c>
      <c r="G266" s="103">
        <f t="shared" si="415"/>
        <v>3.7958651478996741E-2</v>
      </c>
      <c r="H266" s="103">
        <f t="shared" si="415"/>
        <v>3.5952534871683803E-2</v>
      </c>
      <c r="I266" s="103">
        <f t="shared" si="415"/>
        <v>3.0997504143427279E-2</v>
      </c>
      <c r="J266" s="103">
        <f t="shared" si="415"/>
        <v>2.9411483351497937E-2</v>
      </c>
      <c r="K266" s="103">
        <f t="shared" si="415"/>
        <v>2.7788630030869371E-2</v>
      </c>
      <c r="L266" s="103">
        <f t="shared" ref="L266" si="416">IF(L48=0,0,L48/L$46)</f>
        <v>2.6571340700058687E-2</v>
      </c>
      <c r="M266" s="103">
        <f t="shared" ref="M266:V266" si="417">IF(M48=0,0,M48/M$46)</f>
        <v>2.5088732026337532E-2</v>
      </c>
      <c r="N266" s="103">
        <f t="shared" si="417"/>
        <v>2.4093288932362362E-2</v>
      </c>
      <c r="O266" s="103">
        <f t="shared" si="417"/>
        <v>2.2467779173079738E-2</v>
      </c>
      <c r="P266" s="103">
        <f t="shared" si="417"/>
        <v>2.0031760549154266E-2</v>
      </c>
      <c r="Q266" s="103">
        <f t="shared" si="417"/>
        <v>1.7364400613378024E-2</v>
      </c>
      <c r="R266" s="103">
        <f t="shared" si="417"/>
        <v>1.873834415041109E-2</v>
      </c>
      <c r="S266" s="103">
        <f t="shared" si="417"/>
        <v>2.1578968244775489E-2</v>
      </c>
      <c r="T266" s="103">
        <f t="shared" si="417"/>
        <v>2.501939886839084E-2</v>
      </c>
      <c r="U266" s="103">
        <f t="shared" si="417"/>
        <v>2.7216918737080341E-2</v>
      </c>
      <c r="V266" s="103">
        <f t="shared" si="417"/>
        <v>2.5326039443025562E-2</v>
      </c>
      <c r="W266" s="103">
        <f t="shared" ref="W266:Y266" si="418">IF(W48=0,0,W48/W$46)</f>
        <v>2.7102846543899845E-2</v>
      </c>
      <c r="X266" s="103">
        <f t="shared" si="418"/>
        <v>2.791415709922894E-2</v>
      </c>
      <c r="Y266" s="103">
        <f t="shared" si="418"/>
        <v>2.7914398460837535E-2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0.62523261197688618</v>
      </c>
      <c r="C267" s="103">
        <f t="shared" si="419"/>
        <v>0.62581227786937066</v>
      </c>
      <c r="D267" s="103">
        <f t="shared" si="419"/>
        <v>0.63329499406637779</v>
      </c>
      <c r="E267" s="103">
        <f t="shared" si="419"/>
        <v>0.65657602592530195</v>
      </c>
      <c r="F267" s="103">
        <f t="shared" si="419"/>
        <v>0.66526083145089521</v>
      </c>
      <c r="G267" s="103">
        <f t="shared" si="419"/>
        <v>0.68062799363731796</v>
      </c>
      <c r="H267" s="103">
        <f t="shared" si="419"/>
        <v>0.6880167403158689</v>
      </c>
      <c r="I267" s="103">
        <f t="shared" si="419"/>
        <v>0.70491114673172439</v>
      </c>
      <c r="J267" s="103">
        <f t="shared" si="419"/>
        <v>0.72917150372266692</v>
      </c>
      <c r="K267" s="103">
        <f t="shared" si="419"/>
        <v>0.73999593554403231</v>
      </c>
      <c r="L267" s="103">
        <f t="shared" ref="L267" si="420">IF(L49=0,0,L49/L$46)</f>
        <v>0.74297295464251678</v>
      </c>
      <c r="M267" s="103">
        <f t="shared" ref="M267:V267" si="421">IF(M49=0,0,M49/M$46)</f>
        <v>0.74008051475503422</v>
      </c>
      <c r="N267" s="103">
        <f t="shared" si="421"/>
        <v>0.73905165526996197</v>
      </c>
      <c r="O267" s="103">
        <f t="shared" si="421"/>
        <v>0.72686288567729818</v>
      </c>
      <c r="P267" s="103">
        <f t="shared" si="421"/>
        <v>0.73408765899589878</v>
      </c>
      <c r="Q267" s="103">
        <f t="shared" si="421"/>
        <v>0.73524804698052582</v>
      </c>
      <c r="R267" s="103">
        <f t="shared" si="421"/>
        <v>0.72111083462982828</v>
      </c>
      <c r="S267" s="103">
        <f t="shared" si="421"/>
        <v>0.70318706289890676</v>
      </c>
      <c r="T267" s="103">
        <f t="shared" si="421"/>
        <v>0.71514937062426798</v>
      </c>
      <c r="U267" s="103">
        <f t="shared" si="421"/>
        <v>0.70290866586821144</v>
      </c>
      <c r="V267" s="103">
        <f t="shared" si="421"/>
        <v>0.6898400039164243</v>
      </c>
      <c r="W267" s="103">
        <f t="shared" ref="W267:Y267" si="422">IF(W49=0,0,W49/W$46)</f>
        <v>0.7197917780099824</v>
      </c>
      <c r="X267" s="103">
        <f t="shared" si="422"/>
        <v>0.71379235388959494</v>
      </c>
      <c r="Y267" s="103">
        <f t="shared" si="422"/>
        <v>0.72513503982513483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1.9566759944831463E-2</v>
      </c>
      <c r="C268" s="103">
        <f t="shared" si="423"/>
        <v>2.0160319843843894E-2</v>
      </c>
      <c r="D268" s="103">
        <f t="shared" si="423"/>
        <v>2.0063674297968449E-2</v>
      </c>
      <c r="E268" s="103">
        <f t="shared" si="423"/>
        <v>1.8189833827304897E-2</v>
      </c>
      <c r="F268" s="103">
        <f t="shared" si="423"/>
        <v>1.6986260692382828E-2</v>
      </c>
      <c r="G268" s="103">
        <f t="shared" si="423"/>
        <v>1.5942731912013987E-2</v>
      </c>
      <c r="H268" s="103">
        <f t="shared" si="423"/>
        <v>1.5126876166266914E-2</v>
      </c>
      <c r="I268" s="103">
        <f t="shared" si="423"/>
        <v>1.3357191224361759E-2</v>
      </c>
      <c r="J268" s="103">
        <f t="shared" si="423"/>
        <v>1.2587795981030811E-2</v>
      </c>
      <c r="K268" s="103">
        <f t="shared" si="423"/>
        <v>1.1571886949362791E-2</v>
      </c>
      <c r="L268" s="103">
        <f t="shared" ref="L268" si="424">IF(L50=0,0,L50/L$46)</f>
        <v>1.036728445529265E-2</v>
      </c>
      <c r="M268" s="103">
        <f t="shared" ref="M268:V268" si="425">IF(M50=0,0,M50/M$46)</f>
        <v>1.0463279673752317E-2</v>
      </c>
      <c r="N268" s="103">
        <f t="shared" si="425"/>
        <v>9.8678183917766775E-3</v>
      </c>
      <c r="O268" s="103">
        <f t="shared" si="425"/>
        <v>8.1596484887800098E-3</v>
      </c>
      <c r="P268" s="103">
        <f t="shared" si="425"/>
        <v>7.0582211050957038E-3</v>
      </c>
      <c r="Q268" s="103">
        <f t="shared" si="425"/>
        <v>5.1013216296630602E-3</v>
      </c>
      <c r="R268" s="103">
        <f t="shared" si="425"/>
        <v>4.910500536618523E-3</v>
      </c>
      <c r="S268" s="103">
        <f t="shared" si="425"/>
        <v>4.7344564472089111E-3</v>
      </c>
      <c r="T268" s="103">
        <f t="shared" si="425"/>
        <v>4.3938941487157894E-3</v>
      </c>
      <c r="U268" s="103">
        <f t="shared" si="425"/>
        <v>3.9433042243420197E-3</v>
      </c>
      <c r="V268" s="103">
        <f t="shared" si="425"/>
        <v>3.856686685453403E-3</v>
      </c>
      <c r="W268" s="103">
        <f t="shared" ref="W268:Y268" si="426">IF(W50=0,0,W50/W$46)</f>
        <v>3.8508079261920171E-3</v>
      </c>
      <c r="X268" s="103">
        <f t="shared" si="426"/>
        <v>3.7250139237030287E-3</v>
      </c>
      <c r="Y268" s="103">
        <f t="shared" si="426"/>
        <v>3.7040534591113411E-3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5.3023970418111886E-5</v>
      </c>
      <c r="K269" s="103">
        <f t="shared" si="427"/>
        <v>7.2031184987951947E-5</v>
      </c>
      <c r="L269" s="103">
        <f t="shared" ref="L269" si="428">IF(L51=0,0,L51/L$46)</f>
        <v>8.7075123597004609E-5</v>
      </c>
      <c r="M269" s="103">
        <f t="shared" ref="M269:V269" si="429">IF(M51=0,0,M51/M$46)</f>
        <v>7.6287001223359111E-5</v>
      </c>
      <c r="N269" s="103">
        <f t="shared" si="429"/>
        <v>1.8541216817056952E-4</v>
      </c>
      <c r="O269" s="103">
        <f t="shared" si="429"/>
        <v>2.2398493533878292E-4</v>
      </c>
      <c r="P269" s="103">
        <f t="shared" si="429"/>
        <v>3.5815215490607824E-4</v>
      </c>
      <c r="Q269" s="103">
        <f t="shared" si="429"/>
        <v>5.858020486425241E-4</v>
      </c>
      <c r="R269" s="103">
        <f t="shared" si="429"/>
        <v>5.7573698259857236E-4</v>
      </c>
      <c r="S269" s="103">
        <f t="shared" si="429"/>
        <v>1.0811682637003035E-3</v>
      </c>
      <c r="T269" s="103">
        <f t="shared" si="429"/>
        <v>1.7566573127592619E-3</v>
      </c>
      <c r="U269" s="103">
        <f t="shared" si="429"/>
        <v>2.6075834540839112E-3</v>
      </c>
      <c r="V269" s="103">
        <f t="shared" si="429"/>
        <v>3.0998044420244434E-3</v>
      </c>
      <c r="W269" s="103">
        <f t="shared" ref="W269:Y269" si="430">IF(W51=0,0,W51/W$46)</f>
        <v>3.2794396187937171E-3</v>
      </c>
      <c r="X269" s="103">
        <f t="shared" si="430"/>
        <v>3.3800697786664029E-3</v>
      </c>
      <c r="Y269" s="103">
        <f t="shared" si="430"/>
        <v>3.5466089026471984E-3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5.2926240510648528E-5</v>
      </c>
      <c r="K270" s="103">
        <f t="shared" si="431"/>
        <v>5.6128889431860758E-5</v>
      </c>
      <c r="L270" s="103">
        <f t="shared" ref="L270" si="432">IF(L52=0,0,L52/L$46)</f>
        <v>5.6852290176567511E-5</v>
      </c>
      <c r="M270" s="103">
        <f t="shared" ref="M270:V270" si="433">IF(M52=0,0,M52/M$46)</f>
        <v>7.2014114372876626E-5</v>
      </c>
      <c r="N270" s="103">
        <f t="shared" si="433"/>
        <v>3.085046813586458E-4</v>
      </c>
      <c r="O270" s="103">
        <f t="shared" si="433"/>
        <v>4.161398856608424E-4</v>
      </c>
      <c r="P270" s="103">
        <f t="shared" si="433"/>
        <v>4.883150147993922E-4</v>
      </c>
      <c r="Q270" s="103">
        <f t="shared" si="433"/>
        <v>5.0232667836301711E-4</v>
      </c>
      <c r="R270" s="103">
        <f t="shared" si="433"/>
        <v>6.2369202260477788E-4</v>
      </c>
      <c r="S270" s="103">
        <f t="shared" si="433"/>
        <v>7.3281564040655206E-4</v>
      </c>
      <c r="T270" s="103">
        <f t="shared" si="433"/>
        <v>9.5504019507041695E-4</v>
      </c>
      <c r="U270" s="103">
        <f t="shared" si="433"/>
        <v>1.2635487243527678E-3</v>
      </c>
      <c r="V270" s="103">
        <f t="shared" si="433"/>
        <v>1.6314994086743786E-3</v>
      </c>
      <c r="W270" s="103">
        <f t="shared" ref="W270:Y270" si="434">IF(W52=0,0,W52/W$46)</f>
        <v>2.0674324548157282E-3</v>
      </c>
      <c r="X270" s="103">
        <f t="shared" si="434"/>
        <v>3.613110243944184E-3</v>
      </c>
      <c r="Y270" s="103">
        <f t="shared" si="434"/>
        <v>4.2680743115097878E-3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0.30757435785718701</v>
      </c>
      <c r="C271" s="156">
        <f t="shared" si="435"/>
        <v>0.30917950913298081</v>
      </c>
      <c r="D271" s="156">
        <f t="shared" si="435"/>
        <v>0.30120305692566746</v>
      </c>
      <c r="E271" s="156">
        <f t="shared" si="435"/>
        <v>0.28268055110113582</v>
      </c>
      <c r="F271" s="156">
        <f t="shared" si="435"/>
        <v>0.27947900584624569</v>
      </c>
      <c r="G271" s="156">
        <f t="shared" si="435"/>
        <v>0.26547062297167134</v>
      </c>
      <c r="H271" s="156">
        <f t="shared" si="435"/>
        <v>0.26090384864618049</v>
      </c>
      <c r="I271" s="156">
        <f t="shared" si="435"/>
        <v>0.25073415790048659</v>
      </c>
      <c r="J271" s="156">
        <f t="shared" si="435"/>
        <v>0.22872326673387555</v>
      </c>
      <c r="K271" s="156">
        <f t="shared" si="435"/>
        <v>0.22051538740131577</v>
      </c>
      <c r="L271" s="156">
        <f t="shared" ref="L271" si="436">IF(L53=0,0,L53/L$46)</f>
        <v>0.21994449278835815</v>
      </c>
      <c r="M271" s="156">
        <f t="shared" ref="M271:V271" si="437">IF(M53=0,0,M53/M$46)</f>
        <v>0.22421917242927983</v>
      </c>
      <c r="N271" s="156">
        <f t="shared" si="437"/>
        <v>0.22649332055636989</v>
      </c>
      <c r="O271" s="156">
        <f t="shared" si="437"/>
        <v>0.24186956183984243</v>
      </c>
      <c r="P271" s="156">
        <f t="shared" si="437"/>
        <v>0.23797589218014573</v>
      </c>
      <c r="Q271" s="156">
        <f t="shared" si="437"/>
        <v>0.24119810204942771</v>
      </c>
      <c r="R271" s="156">
        <f t="shared" si="437"/>
        <v>0.25404089167793886</v>
      </c>
      <c r="S271" s="156">
        <f t="shared" si="437"/>
        <v>0.26868552850500194</v>
      </c>
      <c r="T271" s="156">
        <f t="shared" si="437"/>
        <v>0.25272563885079569</v>
      </c>
      <c r="U271" s="156">
        <f t="shared" si="437"/>
        <v>0.26205997899192951</v>
      </c>
      <c r="V271" s="156">
        <f t="shared" si="437"/>
        <v>0.27624596610439789</v>
      </c>
      <c r="W271" s="156">
        <f t="shared" ref="W271:Y271" si="438">IF(W53=0,0,W53/W$46)</f>
        <v>0.24390769544631635</v>
      </c>
      <c r="X271" s="156">
        <f t="shared" si="438"/>
        <v>0.24757529506486259</v>
      </c>
      <c r="Y271" s="156">
        <f t="shared" si="438"/>
        <v>0.2354318250407591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0.18069782256184402</v>
      </c>
      <c r="C272" s="104">
        <f t="shared" si="439"/>
        <v>0.18276332204152118</v>
      </c>
      <c r="D272" s="104">
        <f t="shared" si="439"/>
        <v>0.17555263049791778</v>
      </c>
      <c r="E272" s="104">
        <f t="shared" si="439"/>
        <v>0.15765126141738456</v>
      </c>
      <c r="F272" s="104">
        <f t="shared" si="439"/>
        <v>0.14647254366736265</v>
      </c>
      <c r="G272" s="104">
        <f t="shared" si="439"/>
        <v>0.13171519158854164</v>
      </c>
      <c r="H272" s="104">
        <f t="shared" si="439"/>
        <v>0.12837214049064979</v>
      </c>
      <c r="I272" s="104">
        <f t="shared" si="439"/>
        <v>0.11987052173807693</v>
      </c>
      <c r="J272" s="104">
        <f t="shared" si="439"/>
        <v>9.8024048853887033E-2</v>
      </c>
      <c r="K272" s="104">
        <f t="shared" si="439"/>
        <v>9.6358685991702539E-2</v>
      </c>
      <c r="L272" s="104">
        <f t="shared" ref="L272" si="440">IF(L54=0,0,L54/L$46)</f>
        <v>9.5508502721080191E-2</v>
      </c>
      <c r="M272" s="104">
        <f t="shared" ref="M272:V272" si="441">IF(M54=0,0,M54/M$46)</f>
        <v>9.8924156813285452E-2</v>
      </c>
      <c r="N272" s="104">
        <f t="shared" si="441"/>
        <v>9.9945678097145441E-2</v>
      </c>
      <c r="O272" s="104">
        <f t="shared" si="441"/>
        <v>0.10708823182029056</v>
      </c>
      <c r="P272" s="104">
        <f t="shared" si="441"/>
        <v>0.10734469912728675</v>
      </c>
      <c r="Q272" s="104">
        <f t="shared" si="441"/>
        <v>0.11635471239937713</v>
      </c>
      <c r="R272" s="104">
        <f t="shared" si="441"/>
        <v>0.11673897361053716</v>
      </c>
      <c r="S272" s="104">
        <f t="shared" si="441"/>
        <v>0.12308393814426907</v>
      </c>
      <c r="T272" s="104">
        <f t="shared" si="441"/>
        <v>0.11489523961238045</v>
      </c>
      <c r="U272" s="104">
        <f t="shared" si="441"/>
        <v>0.12395258434952747</v>
      </c>
      <c r="V272" s="104">
        <f t="shared" si="441"/>
        <v>0.12630632818423723</v>
      </c>
      <c r="W272" s="104">
        <f t="shared" ref="W272:Y272" si="442">IF(W54=0,0,W54/W$46)</f>
        <v>0.11665012841957594</v>
      </c>
      <c r="X272" s="104">
        <f t="shared" si="442"/>
        <v>0.12462587615353905</v>
      </c>
      <c r="Y272" s="104">
        <f t="shared" si="442"/>
        <v>0.12066135157894176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0.12687653529534298</v>
      </c>
      <c r="C273" s="105">
        <f t="shared" si="443"/>
        <v>0.12641618709145963</v>
      </c>
      <c r="D273" s="105">
        <f t="shared" si="443"/>
        <v>0.12565042642774971</v>
      </c>
      <c r="E273" s="105">
        <f t="shared" si="443"/>
        <v>0.12502928968375127</v>
      </c>
      <c r="F273" s="105">
        <f t="shared" si="443"/>
        <v>0.13300646217888304</v>
      </c>
      <c r="G273" s="105">
        <f t="shared" si="443"/>
        <v>0.13375543138312967</v>
      </c>
      <c r="H273" s="105">
        <f t="shared" si="443"/>
        <v>0.1325317081555307</v>
      </c>
      <c r="I273" s="105">
        <f t="shared" si="443"/>
        <v>0.13086363616240962</v>
      </c>
      <c r="J273" s="105">
        <f t="shared" si="443"/>
        <v>0.13069921787998851</v>
      </c>
      <c r="K273" s="105">
        <f t="shared" si="443"/>
        <v>0.12415670140961325</v>
      </c>
      <c r="L273" s="105">
        <f t="shared" ref="L273" si="444">IF(L55=0,0,L55/L$46)</f>
        <v>0.12443599006727794</v>
      </c>
      <c r="M273" s="105">
        <f t="shared" ref="M273:V273" si="445">IF(M55=0,0,M55/M$46)</f>
        <v>0.12529501561599435</v>
      </c>
      <c r="N273" s="105">
        <f t="shared" si="445"/>
        <v>0.12654764245922445</v>
      </c>
      <c r="O273" s="105">
        <f t="shared" si="445"/>
        <v>0.13478133001955186</v>
      </c>
      <c r="P273" s="105">
        <f t="shared" si="445"/>
        <v>0.13063119305285897</v>
      </c>
      <c r="Q273" s="105">
        <f t="shared" si="445"/>
        <v>0.12484338965005058</v>
      </c>
      <c r="R273" s="105">
        <f t="shared" si="445"/>
        <v>0.13730191806740166</v>
      </c>
      <c r="S273" s="105">
        <f t="shared" si="445"/>
        <v>0.14560159036073289</v>
      </c>
      <c r="T273" s="105">
        <f t="shared" si="445"/>
        <v>0.13783039923841522</v>
      </c>
      <c r="U273" s="105">
        <f t="shared" si="445"/>
        <v>0.13810739464240204</v>
      </c>
      <c r="V273" s="105">
        <f t="shared" si="445"/>
        <v>0.14993963792016068</v>
      </c>
      <c r="W273" s="105">
        <f t="shared" ref="W273:Y273" si="446">IF(W55=0,0,W55/W$46)</f>
        <v>0.12725756702674043</v>
      </c>
      <c r="X273" s="105">
        <f t="shared" si="446"/>
        <v>0.12294941891132358</v>
      </c>
      <c r="Y273" s="105">
        <f t="shared" si="446"/>
        <v>0.11477047346181736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7703.9588453021943</v>
      </c>
      <c r="C4" s="145">
        <f t="shared" si="0"/>
        <v>7984.8845716167016</v>
      </c>
      <c r="D4" s="145">
        <f t="shared" si="0"/>
        <v>7989.8955012827801</v>
      </c>
      <c r="E4" s="145">
        <f t="shared" si="0"/>
        <v>8167.5348889116831</v>
      </c>
      <c r="F4" s="145">
        <f t="shared" si="0"/>
        <v>8497.3547672249406</v>
      </c>
      <c r="G4" s="145">
        <f t="shared" si="0"/>
        <v>8261.4034950795285</v>
      </c>
      <c r="H4" s="145">
        <f t="shared" si="0"/>
        <v>8455.9694418311574</v>
      </c>
      <c r="I4" s="145">
        <f t="shared" si="0"/>
        <v>8709.1086104748283</v>
      </c>
      <c r="J4" s="145">
        <f t="shared" si="0"/>
        <v>8727.4998877452199</v>
      </c>
      <c r="K4" s="145">
        <f t="shared" si="0"/>
        <v>8628.0133050013828</v>
      </c>
      <c r="L4" s="145">
        <f t="shared" ref="L4" si="1">L5+L9+L10+L15</f>
        <v>8559.3159709286138</v>
      </c>
      <c r="M4" s="145">
        <f t="shared" ref="M4:V4" si="2">M5+M9+M10+M15</f>
        <v>8427.4239423450636</v>
      </c>
      <c r="N4" s="145">
        <f t="shared" si="2"/>
        <v>8179.9806448434492</v>
      </c>
      <c r="O4" s="145">
        <f t="shared" si="2"/>
        <v>8023.7547239541191</v>
      </c>
      <c r="P4" s="145">
        <f t="shared" si="2"/>
        <v>8203.0432160011114</v>
      </c>
      <c r="Q4" s="145">
        <f t="shared" si="2"/>
        <v>8582.5665355516885</v>
      </c>
      <c r="R4" s="145">
        <f t="shared" si="2"/>
        <v>8677.3134699775765</v>
      </c>
      <c r="S4" s="145">
        <f t="shared" si="2"/>
        <v>8524.9158950978817</v>
      </c>
      <c r="T4" s="145">
        <f t="shared" si="2"/>
        <v>8568.3123271730401</v>
      </c>
      <c r="U4" s="145">
        <f t="shared" si="2"/>
        <v>8500.7296691045867</v>
      </c>
      <c r="V4" s="145">
        <f t="shared" si="2"/>
        <v>7429.0459980420901</v>
      </c>
      <c r="W4" s="145">
        <f t="shared" ref="W4:Y4" si="3">W5+W9+W10+W15</f>
        <v>8236.0400120321556</v>
      </c>
      <c r="X4" s="145">
        <f t="shared" si="3"/>
        <v>8361.9557339541298</v>
      </c>
      <c r="Y4" s="145">
        <f t="shared" si="3"/>
        <v>8572.3714900885516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7703.9361994840938</v>
      </c>
      <c r="C5" s="97">
        <f t="shared" si="4"/>
        <v>7984.8619088564046</v>
      </c>
      <c r="D5" s="97">
        <f t="shared" si="4"/>
        <v>7989.8728288908005</v>
      </c>
      <c r="E5" s="97">
        <f t="shared" si="4"/>
        <v>8167.5122098022348</v>
      </c>
      <c r="F5" s="97">
        <f t="shared" si="4"/>
        <v>8497.0430782459152</v>
      </c>
      <c r="G5" s="97">
        <f t="shared" si="4"/>
        <v>8260.8674118658637</v>
      </c>
      <c r="H5" s="97">
        <f t="shared" si="4"/>
        <v>8455.4504729148757</v>
      </c>
      <c r="I5" s="97">
        <f t="shared" si="4"/>
        <v>8708.5984522785893</v>
      </c>
      <c r="J5" s="97">
        <f t="shared" si="4"/>
        <v>8727.0372312983673</v>
      </c>
      <c r="K5" s="97">
        <f t="shared" si="4"/>
        <v>8493.0346517626822</v>
      </c>
      <c r="L5" s="97">
        <f t="shared" ref="L5" si="5">SUM(L6:L8)</f>
        <v>8193.9601891659495</v>
      </c>
      <c r="M5" s="97">
        <f t="shared" ref="M5:V5" si="6">SUM(M6:M8)</f>
        <v>8073.7310404127256</v>
      </c>
      <c r="N5" s="97">
        <f t="shared" si="6"/>
        <v>7827.4810834049858</v>
      </c>
      <c r="O5" s="97">
        <f t="shared" si="6"/>
        <v>7673.4165950128981</v>
      </c>
      <c r="P5" s="97">
        <f t="shared" si="6"/>
        <v>7781.4579535683561</v>
      </c>
      <c r="Q5" s="97">
        <f t="shared" si="6"/>
        <v>8316.4734307824583</v>
      </c>
      <c r="R5" s="97">
        <f t="shared" si="6"/>
        <v>8227.4711092003436</v>
      </c>
      <c r="S5" s="97">
        <f t="shared" si="6"/>
        <v>8032.4319862424763</v>
      </c>
      <c r="T5" s="97">
        <f t="shared" si="6"/>
        <v>8067.2773860705065</v>
      </c>
      <c r="U5" s="97">
        <f t="shared" si="6"/>
        <v>7974.9784178847794</v>
      </c>
      <c r="V5" s="97">
        <f t="shared" si="6"/>
        <v>6659.5585554600166</v>
      </c>
      <c r="W5" s="97">
        <f t="shared" ref="W5:Y5" si="7">SUM(W6:W8)</f>
        <v>7352.2245055889935</v>
      </c>
      <c r="X5" s="97">
        <f t="shared" si="7"/>
        <v>7434.4302665520199</v>
      </c>
      <c r="Y5" s="97">
        <f t="shared" si="7"/>
        <v>7582.1950988822009</v>
      </c>
      <c r="DA5" s="175"/>
    </row>
    <row r="6" spans="1:105" ht="11.45" customHeight="1" x14ac:dyDescent="0.25">
      <c r="A6" s="128" t="s">
        <v>52</v>
      </c>
      <c r="B6" s="97">
        <v>97.783490971625099</v>
      </c>
      <c r="C6" s="97">
        <v>112.0664660361135</v>
      </c>
      <c r="D6" s="97">
        <v>102.1782459157352</v>
      </c>
      <c r="E6" s="97">
        <v>91.191401547721412</v>
      </c>
      <c r="F6" s="97">
        <v>87.895270851246764</v>
      </c>
      <c r="G6" s="97">
        <v>83.500515907136716</v>
      </c>
      <c r="H6" s="97">
        <v>80.204471195184865</v>
      </c>
      <c r="I6" s="97">
        <v>69.217540842648319</v>
      </c>
      <c r="J6" s="97">
        <v>63.724075666380052</v>
      </c>
      <c r="K6" s="97">
        <v>58.230610490111772</v>
      </c>
      <c r="L6" s="97">
        <v>52.737145313843499</v>
      </c>
      <c r="M6" s="97">
        <v>54.934565778159929</v>
      </c>
      <c r="N6" s="97">
        <v>52.737145313843499</v>
      </c>
      <c r="O6" s="97">
        <v>46.145055889939812</v>
      </c>
      <c r="P6" s="97">
        <v>48.342390369733437</v>
      </c>
      <c r="Q6" s="97">
        <v>63.724075666380052</v>
      </c>
      <c r="R6" s="97">
        <v>64.822785898538257</v>
      </c>
      <c r="S6" s="97">
        <v>58.779965606190878</v>
      </c>
      <c r="T6" s="97">
        <v>55.154256233877888</v>
      </c>
      <c r="U6" s="97">
        <v>54.714789337919171</v>
      </c>
      <c r="V6" s="97">
        <v>48.465864144454002</v>
      </c>
      <c r="W6" s="97">
        <v>48.126999140154773</v>
      </c>
      <c r="X6" s="97">
        <v>48.352880481513331</v>
      </c>
      <c r="Y6" s="97">
        <v>51.17730008598452</v>
      </c>
      <c r="DA6" s="175" t="s">
        <v>630</v>
      </c>
    </row>
    <row r="7" spans="1:105" ht="11.45" customHeight="1" x14ac:dyDescent="0.25">
      <c r="A7" s="128" t="s">
        <v>53</v>
      </c>
      <c r="B7" s="97">
        <v>2323.3782459157351</v>
      </c>
      <c r="C7" s="97">
        <v>2261.3738607050732</v>
      </c>
      <c r="D7" s="97">
        <v>2157.2274290627684</v>
      </c>
      <c r="E7" s="97">
        <v>2175.9338779019772</v>
      </c>
      <c r="F7" s="97">
        <v>1993.9141874462593</v>
      </c>
      <c r="G7" s="97">
        <v>1847.6018916595012</v>
      </c>
      <c r="H7" s="97">
        <v>1715.8163370593293</v>
      </c>
      <c r="I7" s="97">
        <v>1619.7620808254512</v>
      </c>
      <c r="J7" s="97">
        <v>1482.9319862424763</v>
      </c>
      <c r="K7" s="97">
        <v>1404.5657781599318</v>
      </c>
      <c r="L7" s="97">
        <v>1251.0912295786757</v>
      </c>
      <c r="M7" s="97">
        <v>1197.6276870163367</v>
      </c>
      <c r="N7" s="97">
        <v>1166.6728288907998</v>
      </c>
      <c r="O7" s="97">
        <v>1164.3067927773004</v>
      </c>
      <c r="P7" s="97">
        <v>1251.8717110920029</v>
      </c>
      <c r="Q7" s="97">
        <v>1330.5657781599309</v>
      </c>
      <c r="R7" s="97">
        <v>1438.5291487532245</v>
      </c>
      <c r="S7" s="97">
        <v>1439.2822871883061</v>
      </c>
      <c r="T7" s="97">
        <v>1611.3998280309547</v>
      </c>
      <c r="U7" s="97">
        <v>1808.2533104041272</v>
      </c>
      <c r="V7" s="97">
        <v>1497.1368013757522</v>
      </c>
      <c r="W7" s="97">
        <v>1825.5659501289765</v>
      </c>
      <c r="X7" s="97">
        <v>2079.5858985382629</v>
      </c>
      <c r="Y7" s="97">
        <v>2262.1836629406707</v>
      </c>
      <c r="DA7" s="175" t="s">
        <v>631</v>
      </c>
    </row>
    <row r="8" spans="1:105" ht="11.45" customHeight="1" x14ac:dyDescent="0.25">
      <c r="A8" s="128" t="s">
        <v>54</v>
      </c>
      <c r="B8" s="97">
        <v>5282.7744625967334</v>
      </c>
      <c r="C8" s="97">
        <v>5611.4215821152184</v>
      </c>
      <c r="D8" s="97">
        <v>5730.4671539122965</v>
      </c>
      <c r="E8" s="97">
        <v>5900.3869303525362</v>
      </c>
      <c r="F8" s="97">
        <v>6415.2336199484089</v>
      </c>
      <c r="G8" s="97">
        <v>6329.7650042992254</v>
      </c>
      <c r="H8" s="97">
        <v>6659.4296646603607</v>
      </c>
      <c r="I8" s="97">
        <v>7019.6188306104896</v>
      </c>
      <c r="J8" s="97">
        <v>7180.3811693895104</v>
      </c>
      <c r="K8" s="97">
        <v>7030.2382631126393</v>
      </c>
      <c r="L8" s="97">
        <v>6890.1318142734299</v>
      </c>
      <c r="M8" s="97">
        <v>6821.1687876182286</v>
      </c>
      <c r="N8" s="97">
        <v>6608.071109200343</v>
      </c>
      <c r="O8" s="97">
        <v>6462.9647463456577</v>
      </c>
      <c r="P8" s="97">
        <v>6481.2438521066197</v>
      </c>
      <c r="Q8" s="97">
        <v>6922.1835769561467</v>
      </c>
      <c r="R8" s="97">
        <v>6724.1191745485803</v>
      </c>
      <c r="S8" s="97">
        <v>6534.3697334479793</v>
      </c>
      <c r="T8" s="97">
        <v>6400.7233018056741</v>
      </c>
      <c r="U8" s="97">
        <v>6112.010318142733</v>
      </c>
      <c r="V8" s="97">
        <v>5113.9558899398107</v>
      </c>
      <c r="W8" s="97">
        <v>5478.5315563198619</v>
      </c>
      <c r="X8" s="97">
        <v>5306.4914875322438</v>
      </c>
      <c r="Y8" s="97">
        <v>5268.8341358555454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0.28899398108340502</v>
      </c>
      <c r="G9" s="97">
        <v>0.31272570937231298</v>
      </c>
      <c r="H9" s="97">
        <v>0.29544282029234742</v>
      </c>
      <c r="I9" s="97">
        <v>0.29759243336199481</v>
      </c>
      <c r="J9" s="97">
        <v>0.24591573516766979</v>
      </c>
      <c r="K9" s="97">
        <v>0.22003439380911441</v>
      </c>
      <c r="L9" s="97">
        <v>0.22863284608770421</v>
      </c>
      <c r="M9" s="97">
        <v>0.237231298366294</v>
      </c>
      <c r="N9" s="97">
        <v>0.53705932932072231</v>
      </c>
      <c r="O9" s="97">
        <v>0.94471195184866719</v>
      </c>
      <c r="P9" s="97">
        <v>1.9044711951848663</v>
      </c>
      <c r="Q9" s="97">
        <v>3.5759243336199482</v>
      </c>
      <c r="R9" s="97">
        <v>6.0519346517626822</v>
      </c>
      <c r="S9" s="97">
        <v>9.2655202063628543</v>
      </c>
      <c r="T9" s="97">
        <v>15.582671841599341</v>
      </c>
      <c r="U9" s="97">
        <v>29.508523455982335</v>
      </c>
      <c r="V9" s="97">
        <v>47.738432762344452</v>
      </c>
      <c r="W9" s="97">
        <v>74.267892357821736</v>
      </c>
      <c r="X9" s="97">
        <v>63.503851937899519</v>
      </c>
      <c r="Y9" s="97">
        <v>70.803665650203342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</v>
      </c>
      <c r="J10" s="97">
        <f t="shared" si="8"/>
        <v>0</v>
      </c>
      <c r="K10" s="97">
        <f t="shared" si="8"/>
        <v>134.54024075666379</v>
      </c>
      <c r="L10" s="97">
        <f t="shared" si="8"/>
        <v>364.90963026655191</v>
      </c>
      <c r="M10" s="97">
        <f t="shared" si="8"/>
        <v>353.19208942390367</v>
      </c>
      <c r="N10" s="97">
        <f t="shared" si="8"/>
        <v>351.51951848667238</v>
      </c>
      <c r="O10" s="97">
        <f t="shared" si="8"/>
        <v>348.89914015477217</v>
      </c>
      <c r="P10" s="97">
        <f t="shared" si="8"/>
        <v>418.85915735167657</v>
      </c>
      <c r="Q10" s="97">
        <f t="shared" si="8"/>
        <v>260.91908856405843</v>
      </c>
      <c r="R10" s="97">
        <f t="shared" si="8"/>
        <v>440.6709372312983</v>
      </c>
      <c r="S10" s="97">
        <f t="shared" si="8"/>
        <v>477.55382631126389</v>
      </c>
      <c r="T10" s="97">
        <f t="shared" si="8"/>
        <v>477.6938543836801</v>
      </c>
      <c r="U10" s="97">
        <f t="shared" si="8"/>
        <v>484.27789098941741</v>
      </c>
      <c r="V10" s="97">
        <f t="shared" si="8"/>
        <v>700.6089447097105</v>
      </c>
      <c r="W10" s="97">
        <f t="shared" si="8"/>
        <v>772.11319104716529</v>
      </c>
      <c r="X10" s="97">
        <f t="shared" ref="X10:Y10" si="9">SUM(X11:X13)</f>
        <v>802.23561495805916</v>
      </c>
      <c r="Y10" s="97">
        <f t="shared" si="9"/>
        <v>814.32986831368316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4.5269320690491906E-5</v>
      </c>
      <c r="U11" s="97">
        <v>5.9090343297419127E-4</v>
      </c>
      <c r="V11" s="97">
        <v>4.0435919117645771E-3</v>
      </c>
      <c r="W11" s="97">
        <v>3.5375054044112023E-2</v>
      </c>
      <c r="X11" s="97">
        <v>6.5021664851987487E-2</v>
      </c>
      <c r="Y11" s="97">
        <v>6.5895828730443154E-2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20.220120378331899</v>
      </c>
      <c r="L12" s="97">
        <v>56.271711092003443</v>
      </c>
      <c r="M12" s="97">
        <v>55.458641444539992</v>
      </c>
      <c r="N12" s="97">
        <v>53.743766122098023</v>
      </c>
      <c r="O12" s="97">
        <v>53.441100601891662</v>
      </c>
      <c r="P12" s="97">
        <v>38.4536543422184</v>
      </c>
      <c r="Q12" s="97">
        <v>40.159587274290622</v>
      </c>
      <c r="R12" s="97">
        <v>42.651762682717113</v>
      </c>
      <c r="S12" s="97">
        <v>95.779621668099722</v>
      </c>
      <c r="T12" s="97">
        <v>112.39466895958731</v>
      </c>
      <c r="U12" s="97">
        <v>128.42287188306099</v>
      </c>
      <c r="V12" s="97">
        <v>128.39716251074799</v>
      </c>
      <c r="W12" s="97">
        <v>160.02115219260531</v>
      </c>
      <c r="X12" s="97">
        <v>167.4438521066208</v>
      </c>
      <c r="Y12" s="97">
        <v>183.67076526225279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114.32012037833189</v>
      </c>
      <c r="L13" s="97">
        <v>308.63791917454847</v>
      </c>
      <c r="M13" s="97">
        <v>297.73344797936369</v>
      </c>
      <c r="N13" s="97">
        <v>297.77575236457437</v>
      </c>
      <c r="O13" s="97">
        <v>295.45803955288051</v>
      </c>
      <c r="P13" s="97">
        <v>380.40550300945819</v>
      </c>
      <c r="Q13" s="97">
        <v>220.7595012897678</v>
      </c>
      <c r="R13" s="97">
        <v>398.01917454858119</v>
      </c>
      <c r="S13" s="97">
        <v>381.77420464316418</v>
      </c>
      <c r="T13" s="97">
        <v>365.29914015477209</v>
      </c>
      <c r="U13" s="97">
        <v>355.85442820292349</v>
      </c>
      <c r="V13" s="97">
        <v>572.20773860705071</v>
      </c>
      <c r="W13" s="97">
        <v>612.05666380051582</v>
      </c>
      <c r="X13" s="97">
        <v>634.72674118658642</v>
      </c>
      <c r="Y13" s="97">
        <v>630.5932072226999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2.2645818100863045E-2</v>
      </c>
      <c r="C15" s="98">
        <v>2.2662760296528806E-2</v>
      </c>
      <c r="D15" s="98">
        <v>2.2672391979372663E-2</v>
      </c>
      <c r="E15" s="98">
        <v>2.2679109448301319E-2</v>
      </c>
      <c r="F15" s="98">
        <v>2.2694997942921367E-2</v>
      </c>
      <c r="G15" s="98">
        <v>0.22335750429125395</v>
      </c>
      <c r="H15" s="98">
        <v>0.22352609598896714</v>
      </c>
      <c r="I15" s="98">
        <v>0.21256576287737808</v>
      </c>
      <c r="J15" s="98">
        <v>0.21674071168466885</v>
      </c>
      <c r="K15" s="98">
        <v>0.21837808822838822</v>
      </c>
      <c r="L15" s="98">
        <v>0.21751865002579165</v>
      </c>
      <c r="M15" s="98">
        <v>0.26358121006860713</v>
      </c>
      <c r="N15" s="98">
        <v>0.44298362246969947</v>
      </c>
      <c r="O15" s="98">
        <v>0.49427683459964694</v>
      </c>
      <c r="P15" s="98">
        <v>0.82163388589531872</v>
      </c>
      <c r="Q15" s="98">
        <v>1.5980918715524166</v>
      </c>
      <c r="R15" s="98">
        <v>3.1194888941718943</v>
      </c>
      <c r="S15" s="98">
        <v>5.6645623377782979</v>
      </c>
      <c r="T15" s="98">
        <v>7.758414877254932</v>
      </c>
      <c r="U15" s="98">
        <v>11.96483677440807</v>
      </c>
      <c r="V15" s="98">
        <v>21.140065110018924</v>
      </c>
      <c r="W15" s="98">
        <v>37.434423038175659</v>
      </c>
      <c r="X15" s="98">
        <v>61.78600050614947</v>
      </c>
      <c r="Y15" s="98">
        <v>105.04285724246519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7703.9588453021943</v>
      </c>
      <c r="C17" s="79">
        <f t="shared" si="10"/>
        <v>7984.8845716167016</v>
      </c>
      <c r="D17" s="79">
        <f t="shared" si="10"/>
        <v>7989.8955012827792</v>
      </c>
      <c r="E17" s="79">
        <f t="shared" si="10"/>
        <v>8167.5348889116831</v>
      </c>
      <c r="F17" s="79">
        <f t="shared" si="10"/>
        <v>8497.3547672249406</v>
      </c>
      <c r="G17" s="79">
        <f t="shared" si="10"/>
        <v>8261.4034950795267</v>
      </c>
      <c r="H17" s="79">
        <f t="shared" si="10"/>
        <v>8455.9694418311556</v>
      </c>
      <c r="I17" s="79">
        <f t="shared" si="10"/>
        <v>8709.1086104748283</v>
      </c>
      <c r="J17" s="79">
        <f t="shared" si="10"/>
        <v>8727.4998877452199</v>
      </c>
      <c r="K17" s="79">
        <f t="shared" si="10"/>
        <v>8628.0133050013847</v>
      </c>
      <c r="L17" s="79">
        <f t="shared" ref="L17" si="11">L18+L42</f>
        <v>8559.3159709286156</v>
      </c>
      <c r="M17" s="79">
        <f t="shared" ref="M17:V17" si="12">M18+M42</f>
        <v>8427.4239423450636</v>
      </c>
      <c r="N17" s="79">
        <f t="shared" si="12"/>
        <v>8179.9806448434501</v>
      </c>
      <c r="O17" s="79">
        <f t="shared" si="12"/>
        <v>8023.7547239541173</v>
      </c>
      <c r="P17" s="79">
        <f t="shared" si="12"/>
        <v>8203.0432160011133</v>
      </c>
      <c r="Q17" s="79">
        <f t="shared" si="12"/>
        <v>8582.5665355516885</v>
      </c>
      <c r="R17" s="79">
        <f t="shared" si="12"/>
        <v>8677.3134699775765</v>
      </c>
      <c r="S17" s="79">
        <f t="shared" si="12"/>
        <v>8524.9158950978817</v>
      </c>
      <c r="T17" s="79">
        <f t="shared" si="12"/>
        <v>8568.3123271730401</v>
      </c>
      <c r="U17" s="79">
        <f t="shared" si="12"/>
        <v>8500.7296691045867</v>
      </c>
      <c r="V17" s="79">
        <f t="shared" si="12"/>
        <v>7429.045998042091</v>
      </c>
      <c r="W17" s="79">
        <f t="shared" ref="W17:Y17" si="13">W18+W42</f>
        <v>8236.0400120321556</v>
      </c>
      <c r="X17" s="79">
        <f t="shared" si="13"/>
        <v>8361.9557339541279</v>
      </c>
      <c r="Y17" s="79">
        <f t="shared" si="13"/>
        <v>8572.3714900885498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5637.0765940709816</v>
      </c>
      <c r="C18" s="32">
        <f t="shared" si="14"/>
        <v>5714.9538503121548</v>
      </c>
      <c r="D18" s="32">
        <f t="shared" si="14"/>
        <v>5650.6006048432646</v>
      </c>
      <c r="E18" s="32">
        <f t="shared" si="14"/>
        <v>5786.1375012417948</v>
      </c>
      <c r="F18" s="32">
        <f t="shared" si="14"/>
        <v>5839.7824130353047</v>
      </c>
      <c r="G18" s="32">
        <f t="shared" si="14"/>
        <v>5595.9990246851639</v>
      </c>
      <c r="H18" s="32">
        <f t="shared" si="14"/>
        <v>5698.3931963509694</v>
      </c>
      <c r="I18" s="32">
        <f t="shared" si="14"/>
        <v>5874.1573834624023</v>
      </c>
      <c r="J18" s="32">
        <f t="shared" si="14"/>
        <v>5981.1839573239322</v>
      </c>
      <c r="K18" s="32">
        <f t="shared" si="14"/>
        <v>5983.6485295496268</v>
      </c>
      <c r="L18" s="32">
        <f t="shared" ref="L18" si="15">L19+L21+L33</f>
        <v>5899.4469543956811</v>
      </c>
      <c r="M18" s="32">
        <f t="shared" ref="M18:V18" si="16">M19+M21+M33</f>
        <v>5820.9855654851708</v>
      </c>
      <c r="N18" s="32">
        <f t="shared" si="16"/>
        <v>5666.4901716415716</v>
      </c>
      <c r="O18" s="32">
        <f t="shared" si="16"/>
        <v>5517.7073468612152</v>
      </c>
      <c r="P18" s="32">
        <f t="shared" si="16"/>
        <v>5639.3777944821231</v>
      </c>
      <c r="Q18" s="32">
        <f t="shared" si="16"/>
        <v>5761.271304884237</v>
      </c>
      <c r="R18" s="32">
        <f t="shared" si="16"/>
        <v>5646.8585577827744</v>
      </c>
      <c r="S18" s="32">
        <f t="shared" si="16"/>
        <v>5448.6340851631057</v>
      </c>
      <c r="T18" s="32">
        <f t="shared" si="16"/>
        <v>5427.9083355714483</v>
      </c>
      <c r="U18" s="32">
        <f t="shared" si="16"/>
        <v>5378.285868088723</v>
      </c>
      <c r="V18" s="32">
        <f t="shared" si="16"/>
        <v>4555.6229709175341</v>
      </c>
      <c r="W18" s="32">
        <f t="shared" ref="W18:Y18" si="17">W19+W21+W33</f>
        <v>4866.7672963222503</v>
      </c>
      <c r="X18" s="32">
        <f t="shared" si="17"/>
        <v>5023.3984212686282</v>
      </c>
      <c r="Y18" s="32">
        <f t="shared" si="17"/>
        <v>5090.0266671853969</v>
      </c>
      <c r="DA18" s="173" t="s">
        <v>391</v>
      </c>
    </row>
    <row r="19" spans="1:105" ht="11.45" customHeight="1" x14ac:dyDescent="0.25">
      <c r="A19" s="107" t="s">
        <v>174</v>
      </c>
      <c r="B19" s="129">
        <v>60.046730769153818</v>
      </c>
      <c r="C19" s="129">
        <v>62.221860702765248</v>
      </c>
      <c r="D19" s="129">
        <v>65.056963332333027</v>
      </c>
      <c r="E19" s="129">
        <v>67.276931391149716</v>
      </c>
      <c r="F19" s="129">
        <v>67.66093425512868</v>
      </c>
      <c r="G19" s="129">
        <v>64.609592202465777</v>
      </c>
      <c r="H19" s="129">
        <v>66.348456595801437</v>
      </c>
      <c r="I19" s="129">
        <v>68.222909080171618</v>
      </c>
      <c r="J19" s="129">
        <v>67.518596967486033</v>
      </c>
      <c r="K19" s="129">
        <v>65.608694494671212</v>
      </c>
      <c r="L19" s="129">
        <v>61.812786353021565</v>
      </c>
      <c r="M19" s="129">
        <v>60.911687198790901</v>
      </c>
      <c r="N19" s="129">
        <v>58.163107542286191</v>
      </c>
      <c r="O19" s="129">
        <v>55.241468402059105</v>
      </c>
      <c r="P19" s="129">
        <v>57.621134787709288</v>
      </c>
      <c r="Q19" s="129">
        <v>56.483673528599631</v>
      </c>
      <c r="R19" s="129">
        <v>54.765846540748839</v>
      </c>
      <c r="S19" s="129">
        <v>52.483990457610631</v>
      </c>
      <c r="T19" s="129">
        <v>50.235776974039631</v>
      </c>
      <c r="U19" s="129">
        <v>53.533120316174418</v>
      </c>
      <c r="V19" s="129">
        <v>46.131363032768228</v>
      </c>
      <c r="W19" s="129">
        <v>50.291333980983822</v>
      </c>
      <c r="X19" s="129">
        <v>51.229268728047664</v>
      </c>
      <c r="Y19" s="129">
        <v>55.315398252971413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0.93109828073710832</v>
      </c>
      <c r="L20" s="97">
        <v>2.6605551888021117</v>
      </c>
      <c r="M20" s="97">
        <v>2.6958074183834571</v>
      </c>
      <c r="N20" s="97">
        <v>2.5613421363333959</v>
      </c>
      <c r="O20" s="97">
        <v>2.4242824695664584</v>
      </c>
      <c r="P20" s="97">
        <v>1.7171972738730941</v>
      </c>
      <c r="Q20" s="97">
        <v>1.6548617789135021</v>
      </c>
      <c r="R20" s="97">
        <v>1.5770253800459844</v>
      </c>
      <c r="S20" s="97">
        <v>3.2747192283645763</v>
      </c>
      <c r="T20" s="97">
        <v>3.2754678894625928</v>
      </c>
      <c r="U20" s="97">
        <v>3.5498330153187618</v>
      </c>
      <c r="V20" s="97">
        <v>3.6438095098296119</v>
      </c>
      <c r="W20" s="97">
        <v>4.0530466779979966</v>
      </c>
      <c r="X20" s="97">
        <v>3.8174955600688891</v>
      </c>
      <c r="Y20" s="97">
        <v>4.1538946107166348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5184.6582861228571</v>
      </c>
      <c r="C21" s="130">
        <f t="shared" si="18"/>
        <v>5263.4426630346143</v>
      </c>
      <c r="D21" s="130">
        <f t="shared" si="18"/>
        <v>5202.2324106186807</v>
      </c>
      <c r="E21" s="130">
        <f t="shared" si="18"/>
        <v>5333.8860039244028</v>
      </c>
      <c r="F21" s="130">
        <f t="shared" si="18"/>
        <v>5386.0665826745253</v>
      </c>
      <c r="G21" s="130">
        <f t="shared" si="18"/>
        <v>5153.1321273962176</v>
      </c>
      <c r="H21" s="130">
        <f t="shared" si="18"/>
        <v>5262.373153251684</v>
      </c>
      <c r="I21" s="130">
        <f t="shared" si="18"/>
        <v>5441.0426406359884</v>
      </c>
      <c r="J21" s="130">
        <f t="shared" si="18"/>
        <v>5541.6471036026387</v>
      </c>
      <c r="K21" s="130">
        <f t="shared" si="18"/>
        <v>5552.6248836048962</v>
      </c>
      <c r="L21" s="130">
        <f t="shared" ref="L21" si="19">L22+L24+L26+L27+L29+L32</f>
        <v>5474.6165590324135</v>
      </c>
      <c r="M21" s="130">
        <f t="shared" ref="M21:V21" si="20">M22+M24+M26+M27+M29+M32</f>
        <v>5409.4058098437899</v>
      </c>
      <c r="N21" s="130">
        <f t="shared" si="20"/>
        <v>5268.083956495012</v>
      </c>
      <c r="O21" s="130">
        <f t="shared" si="20"/>
        <v>5120.8403546970967</v>
      </c>
      <c r="P21" s="130">
        <f t="shared" si="20"/>
        <v>5232.3141866663282</v>
      </c>
      <c r="Q21" s="130">
        <f t="shared" si="20"/>
        <v>5342.5471672010572</v>
      </c>
      <c r="R21" s="130">
        <f t="shared" si="20"/>
        <v>5240.7513719235676</v>
      </c>
      <c r="S21" s="130">
        <f t="shared" si="20"/>
        <v>5036.5832646179724</v>
      </c>
      <c r="T21" s="130">
        <f t="shared" si="20"/>
        <v>5004.7348921804423</v>
      </c>
      <c r="U21" s="130">
        <f t="shared" si="20"/>
        <v>4951.3697444582931</v>
      </c>
      <c r="V21" s="130">
        <f t="shared" si="20"/>
        <v>4142.9721192027782</v>
      </c>
      <c r="W21" s="130">
        <f t="shared" ref="W21:Y21" si="21">W22+W24+W26+W27+W29+W32</f>
        <v>4440.1208291341609</v>
      </c>
      <c r="X21" s="130">
        <f t="shared" si="21"/>
        <v>4598.6762362538611</v>
      </c>
      <c r="Y21" s="130">
        <f t="shared" si="21"/>
        <v>4663.1831534683051</v>
      </c>
      <c r="DA21" s="176" t="s">
        <v>393</v>
      </c>
    </row>
    <row r="22" spans="1:105" ht="11.45" customHeight="1" x14ac:dyDescent="0.25">
      <c r="A22" s="111" t="s">
        <v>110</v>
      </c>
      <c r="B22" s="96">
        <v>2195.1920892984199</v>
      </c>
      <c r="C22" s="96">
        <v>2133.5091582369027</v>
      </c>
      <c r="D22" s="96">
        <v>2025.1756612949548</v>
      </c>
      <c r="E22" s="96">
        <v>2046.6151326260799</v>
      </c>
      <c r="F22" s="96">
        <v>1866.4117131527423</v>
      </c>
      <c r="G22" s="96">
        <v>1723.6428026420806</v>
      </c>
      <c r="H22" s="96">
        <v>1592.6118328079747</v>
      </c>
      <c r="I22" s="96">
        <v>1501.3616514577629</v>
      </c>
      <c r="J22" s="96">
        <v>1369.9354428779372</v>
      </c>
      <c r="K22" s="96">
        <v>1318.2334158859749</v>
      </c>
      <c r="L22" s="96">
        <v>1206.9907648234289</v>
      </c>
      <c r="M22" s="96">
        <v>1155.8711126930357</v>
      </c>
      <c r="N22" s="96">
        <v>1127.8117280831252</v>
      </c>
      <c r="O22" s="96">
        <v>1131.4918841402523</v>
      </c>
      <c r="P22" s="96">
        <v>1204.0814028499033</v>
      </c>
      <c r="Q22" s="96">
        <v>1287.141300920458</v>
      </c>
      <c r="R22" s="96">
        <v>1396.7102002134402</v>
      </c>
      <c r="S22" s="96">
        <v>1448.0985045269804</v>
      </c>
      <c r="T22" s="96">
        <v>1631.6353650352805</v>
      </c>
      <c r="U22" s="96">
        <v>1835.8181242460385</v>
      </c>
      <c r="V22" s="96">
        <v>1534.4700079796462</v>
      </c>
      <c r="W22" s="96">
        <v>1872.6173007180305</v>
      </c>
      <c r="X22" s="96">
        <v>2122.1105174058152</v>
      </c>
      <c r="Y22" s="96">
        <v>2304.7361936211896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18.707960531684218</v>
      </c>
      <c r="L23" s="96">
        <v>51.951476897469263</v>
      </c>
      <c r="M23" s="96">
        <v>51.156125590868207</v>
      </c>
      <c r="N23" s="96">
        <v>49.665704310762933</v>
      </c>
      <c r="O23" s="96">
        <v>49.655739040341835</v>
      </c>
      <c r="P23" s="96">
        <v>35.883453356357329</v>
      </c>
      <c r="Q23" s="96">
        <v>37.710736747243523</v>
      </c>
      <c r="R23" s="96">
        <v>40.219362493863976</v>
      </c>
      <c r="S23" s="96">
        <v>90.353572127304616</v>
      </c>
      <c r="T23" s="96">
        <v>106.38571885225245</v>
      </c>
      <c r="U23" s="96">
        <v>121.73487644806977</v>
      </c>
      <c r="V23" s="96">
        <v>121.20423156915845</v>
      </c>
      <c r="W23" s="96">
        <v>150.91676296967285</v>
      </c>
      <c r="X23" s="96">
        <v>158.13513796531851</v>
      </c>
      <c r="Y23" s="96">
        <v>173.07353026771997</v>
      </c>
      <c r="DA23" s="171" t="s">
        <v>642</v>
      </c>
    </row>
    <row r="24" spans="1:105" ht="11.45" customHeight="1" x14ac:dyDescent="0.25">
      <c r="A24" s="111" t="s">
        <v>111</v>
      </c>
      <c r="B24" s="96">
        <v>2937.1639121849066</v>
      </c>
      <c r="C24" s="96">
        <v>3064.5275963136073</v>
      </c>
      <c r="D24" s="96">
        <v>3122.8896353410914</v>
      </c>
      <c r="E24" s="96">
        <v>3239.9201365580034</v>
      </c>
      <c r="F24" s="96">
        <v>3475.016917897653</v>
      </c>
      <c r="G24" s="96">
        <v>3386.0939505746946</v>
      </c>
      <c r="H24" s="96">
        <v>3627.1562990971438</v>
      </c>
      <c r="I24" s="96">
        <v>3904.0817749508642</v>
      </c>
      <c r="J24" s="96">
        <v>4137.6442787962833</v>
      </c>
      <c r="K24" s="96">
        <v>4201.55626254453</v>
      </c>
      <c r="L24" s="96">
        <v>4236.7482747472732</v>
      </c>
      <c r="M24" s="96">
        <v>4220.0056149580723</v>
      </c>
      <c r="N24" s="96">
        <v>4106.9130691135733</v>
      </c>
      <c r="O24" s="96">
        <v>3958.2354066913263</v>
      </c>
      <c r="P24" s="96">
        <v>3992.0471354698243</v>
      </c>
      <c r="Q24" s="96">
        <v>3997.8859970689346</v>
      </c>
      <c r="R24" s="96">
        <v>3778.6329625003423</v>
      </c>
      <c r="S24" s="96">
        <v>3520.5231797890374</v>
      </c>
      <c r="T24" s="96">
        <v>3297.9428163260213</v>
      </c>
      <c r="U24" s="96">
        <v>3022.8081454892977</v>
      </c>
      <c r="V24" s="96">
        <v>2495.3768272257776</v>
      </c>
      <c r="W24" s="96">
        <v>2416.5957103977598</v>
      </c>
      <c r="X24" s="96">
        <v>2299.8061388585124</v>
      </c>
      <c r="Y24" s="96">
        <v>2125.107923898332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67.229126270465159</v>
      </c>
      <c r="L25" s="96">
        <v>181.64508936974264</v>
      </c>
      <c r="M25" s="96">
        <v>176.49305758843175</v>
      </c>
      <c r="N25" s="96">
        <v>177.08749608358249</v>
      </c>
      <c r="O25" s="96">
        <v>173.0422186356802</v>
      </c>
      <c r="P25" s="96">
        <v>221.31656982349185</v>
      </c>
      <c r="Q25" s="96">
        <v>123.55849812301966</v>
      </c>
      <c r="R25" s="96">
        <v>211.16809291511404</v>
      </c>
      <c r="S25" s="96">
        <v>194.33443677904998</v>
      </c>
      <c r="T25" s="96">
        <v>178.05670693791436</v>
      </c>
      <c r="U25" s="96">
        <v>166.31140358771302</v>
      </c>
      <c r="V25" s="96">
        <v>251.11376044663749</v>
      </c>
      <c r="W25" s="96">
        <v>242.84904098006106</v>
      </c>
      <c r="X25" s="96">
        <v>245.69850823226719</v>
      </c>
      <c r="Y25" s="96">
        <v>227.15401741454224</v>
      </c>
      <c r="DA25" s="171" t="s">
        <v>644</v>
      </c>
    </row>
    <row r="26" spans="1:105" ht="11.45" customHeight="1" x14ac:dyDescent="0.25">
      <c r="A26" s="111" t="s">
        <v>112</v>
      </c>
      <c r="B26" s="96">
        <v>52.302284639530775</v>
      </c>
      <c r="C26" s="96">
        <v>65.405908484103492</v>
      </c>
      <c r="D26" s="96">
        <v>54.167113982633886</v>
      </c>
      <c r="E26" s="96">
        <v>47.350734740318934</v>
      </c>
      <c r="F26" s="96">
        <v>44.348957643046909</v>
      </c>
      <c r="G26" s="96">
        <v>43.082648470069877</v>
      </c>
      <c r="H26" s="96">
        <v>42.309578526272652</v>
      </c>
      <c r="I26" s="96">
        <v>35.301621793999551</v>
      </c>
      <c r="J26" s="96">
        <v>33.898489059404213</v>
      </c>
      <c r="K26" s="96">
        <v>32.717901004289729</v>
      </c>
      <c r="L26" s="96">
        <v>30.764018915609022</v>
      </c>
      <c r="M26" s="96">
        <v>33.334294651152049</v>
      </c>
      <c r="N26" s="96">
        <v>32.845364086617451</v>
      </c>
      <c r="O26" s="96">
        <v>30.293032823006605</v>
      </c>
      <c r="P26" s="96">
        <v>34.208643149242647</v>
      </c>
      <c r="Q26" s="96">
        <v>52.78498688901864</v>
      </c>
      <c r="R26" s="96">
        <v>54.634500301734889</v>
      </c>
      <c r="S26" s="96">
        <v>49.39156275270885</v>
      </c>
      <c r="T26" s="96">
        <v>46.383280638028431</v>
      </c>
      <c r="U26" s="96">
        <v>46.71494590854514</v>
      </c>
      <c r="V26" s="96">
        <v>41.31824751684352</v>
      </c>
      <c r="W26" s="96">
        <v>39.593239492645225</v>
      </c>
      <c r="X26" s="96">
        <v>40.374026012699346</v>
      </c>
      <c r="Y26" s="96">
        <v>42.933147286601844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0.28899398108340502</v>
      </c>
      <c r="G27" s="96">
        <v>0.31272570937231298</v>
      </c>
      <c r="H27" s="96">
        <v>0.29544282029234742</v>
      </c>
      <c r="I27" s="96">
        <v>0.29759243336199481</v>
      </c>
      <c r="J27" s="96">
        <v>0.16713960282564916</v>
      </c>
      <c r="K27" s="96">
        <v>0.11476638964678666</v>
      </c>
      <c r="L27" s="96">
        <v>0.10159156438916436</v>
      </c>
      <c r="M27" s="96">
        <v>0.12670421815284663</v>
      </c>
      <c r="N27" s="96">
        <v>0.27030815018773258</v>
      </c>
      <c r="O27" s="96">
        <v>0.54002407371831185</v>
      </c>
      <c r="P27" s="96">
        <v>1.2465812455425453</v>
      </c>
      <c r="Q27" s="96">
        <v>2.4564398674341872</v>
      </c>
      <c r="R27" s="96">
        <v>4.9396365453775681</v>
      </c>
      <c r="S27" s="96">
        <v>7.3970764824149597</v>
      </c>
      <c r="T27" s="96">
        <v>12.542872388838752</v>
      </c>
      <c r="U27" s="96">
        <v>23.809791162068002</v>
      </c>
      <c r="V27" s="96">
        <v>37.859842732642377</v>
      </c>
      <c r="W27" s="96">
        <v>52.173435617436638</v>
      </c>
      <c r="X27" s="96">
        <v>43.412602718746164</v>
      </c>
      <c r="Y27" s="96">
        <v>47.063166996064908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3.6438273794520136E-5</v>
      </c>
      <c r="U28" s="96">
        <v>4.7677768857117621E-4</v>
      </c>
      <c r="V28" s="96">
        <v>3.2065733817082109E-3</v>
      </c>
      <c r="W28" s="96">
        <v>2.4839259011361879E-2</v>
      </c>
      <c r="X28" s="96">
        <v>4.4404746290936541E-2</v>
      </c>
      <c r="Y28" s="96">
        <v>4.3760202930094326E-2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4.8007142791983677E-3</v>
      </c>
      <c r="N29" s="96">
        <v>8.1170778421186057E-2</v>
      </c>
      <c r="O29" s="96">
        <v>9.4317656787711202E-2</v>
      </c>
      <c r="P29" s="96">
        <v>0.36323355129759649</v>
      </c>
      <c r="Q29" s="96">
        <v>1.5929784534837432</v>
      </c>
      <c r="R29" s="96">
        <v>4.7593411565024093</v>
      </c>
      <c r="S29" s="96">
        <v>9.0977407533094148</v>
      </c>
      <c r="T29" s="96">
        <v>13.8705373814074</v>
      </c>
      <c r="U29" s="96">
        <v>17.989668198590685</v>
      </c>
      <c r="V29" s="96">
        <v>28.275849764293664</v>
      </c>
      <c r="W29" s="96">
        <v>48.364639228072448</v>
      </c>
      <c r="X29" s="96">
        <v>74.130137648636833</v>
      </c>
      <c r="Y29" s="96">
        <v>104.22464232603947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1.5425913080994872E-4</v>
      </c>
      <c r="N30" s="96">
        <v>2.1689204016843368E-3</v>
      </c>
      <c r="O30" s="96">
        <v>2.5864963471256496E-3</v>
      </c>
      <c r="P30" s="96">
        <v>6.6800136319393258E-3</v>
      </c>
      <c r="Q30" s="96">
        <v>2.8982204563878223E-2</v>
      </c>
      <c r="R30" s="96">
        <v>8.7714861738710098E-2</v>
      </c>
      <c r="S30" s="96">
        <v>0.36529043142331635</v>
      </c>
      <c r="T30" s="96">
        <v>0.58507007160370472</v>
      </c>
      <c r="U30" s="96">
        <v>0.74876423628668387</v>
      </c>
      <c r="V30" s="96">
        <v>1.1174703102175159</v>
      </c>
      <c r="W30" s="96">
        <v>1.9111746611316776</v>
      </c>
      <c r="X30" s="96">
        <v>2.563279462471717</v>
      </c>
      <c r="Y30" s="96">
        <v>3.2965878872667203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1.315233877528062E-3</v>
      </c>
      <c r="N31" s="96">
        <v>3.1918806658283609E-2</v>
      </c>
      <c r="O31" s="96">
        <v>3.5379864667581397E-2</v>
      </c>
      <c r="P31" s="96">
        <v>0.1390834366159229</v>
      </c>
      <c r="Q31" s="96">
        <v>0.60375905064033886</v>
      </c>
      <c r="R31" s="96">
        <v>1.7132401120251626</v>
      </c>
      <c r="S31" s="96">
        <v>3.2432237153243229</v>
      </c>
      <c r="T31" s="96">
        <v>4.8973309195692512</v>
      </c>
      <c r="U31" s="96">
        <v>6.697957919090638</v>
      </c>
      <c r="V31" s="96">
        <v>14.12845034071762</v>
      </c>
      <c r="W31" s="96">
        <v>24.65025081484966</v>
      </c>
      <c r="X31" s="96">
        <v>39.731949008522342</v>
      </c>
      <c r="Y31" s="96">
        <v>60.325581577211132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1.7532661887194251E-3</v>
      </c>
      <c r="K32" s="96">
        <v>2.5377804536450606E-3</v>
      </c>
      <c r="L32" s="96">
        <v>1.1908981712856649E-2</v>
      </c>
      <c r="M32" s="96">
        <v>6.3282609097770767E-2</v>
      </c>
      <c r="N32" s="96">
        <v>0.16231628308654394</v>
      </c>
      <c r="O32" s="96">
        <v>0.185689312004931</v>
      </c>
      <c r="P32" s="96">
        <v>0.36719040051811186</v>
      </c>
      <c r="Q32" s="96">
        <v>0.685464001728609</v>
      </c>
      <c r="R32" s="96">
        <v>1.074731206170052</v>
      </c>
      <c r="S32" s="96">
        <v>2.0752003135213695</v>
      </c>
      <c r="T32" s="96">
        <v>2.3600204108652156</v>
      </c>
      <c r="U32" s="96">
        <v>4.2290694537536329</v>
      </c>
      <c r="V32" s="96">
        <v>5.6713439835751815</v>
      </c>
      <c r="W32" s="96">
        <v>10.776503680216575</v>
      </c>
      <c r="X32" s="96">
        <v>18.842813609451227</v>
      </c>
      <c r="Y32" s="96">
        <v>39.118079340077188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392.37157717897054</v>
      </c>
      <c r="C33" s="130">
        <f t="shared" si="22"/>
        <v>389.28932657477526</v>
      </c>
      <c r="D33" s="130">
        <f t="shared" si="22"/>
        <v>383.31123089225127</v>
      </c>
      <c r="E33" s="130">
        <f t="shared" si="22"/>
        <v>384.97456592624263</v>
      </c>
      <c r="F33" s="130">
        <f t="shared" si="22"/>
        <v>386.05489610565115</v>
      </c>
      <c r="G33" s="130">
        <f t="shared" si="22"/>
        <v>378.25730508648041</v>
      </c>
      <c r="H33" s="130">
        <f t="shared" si="22"/>
        <v>369.67158650348347</v>
      </c>
      <c r="I33" s="130">
        <f t="shared" si="22"/>
        <v>364.89183374624179</v>
      </c>
      <c r="J33" s="130">
        <f t="shared" si="22"/>
        <v>372.01825675380741</v>
      </c>
      <c r="K33" s="130">
        <f t="shared" si="22"/>
        <v>365.41495145005916</v>
      </c>
      <c r="L33" s="130">
        <f t="shared" ref="L33" si="23">L34+L36+L38+L39+L41</f>
        <v>363.01760901024591</v>
      </c>
      <c r="M33" s="130">
        <f t="shared" ref="M33:V33" si="24">M34+M36+M38+M39+M41</f>
        <v>350.66806844258974</v>
      </c>
      <c r="N33" s="130">
        <f t="shared" si="24"/>
        <v>340.24310760427267</v>
      </c>
      <c r="O33" s="130">
        <f t="shared" si="24"/>
        <v>341.62552376206008</v>
      </c>
      <c r="P33" s="130">
        <f t="shared" si="24"/>
        <v>349.44247302808515</v>
      </c>
      <c r="Q33" s="130">
        <f t="shared" si="24"/>
        <v>362.24046415458002</v>
      </c>
      <c r="R33" s="130">
        <f t="shared" si="24"/>
        <v>351.34133931845861</v>
      </c>
      <c r="S33" s="130">
        <f t="shared" si="24"/>
        <v>359.56683008752242</v>
      </c>
      <c r="T33" s="130">
        <f t="shared" si="24"/>
        <v>372.93766641696681</v>
      </c>
      <c r="U33" s="130">
        <f t="shared" si="24"/>
        <v>373.38300331425546</v>
      </c>
      <c r="V33" s="130">
        <f t="shared" si="24"/>
        <v>366.51948868198713</v>
      </c>
      <c r="W33" s="130">
        <f t="shared" ref="W33:Y33" si="25">W34+W36+W38+W39+W41</f>
        <v>376.35513320710544</v>
      </c>
      <c r="X33" s="130">
        <f t="shared" si="25"/>
        <v>373.49291628671949</v>
      </c>
      <c r="Y33" s="130">
        <f t="shared" si="25"/>
        <v>371.5281154641209</v>
      </c>
      <c r="DA33" s="176" t="s">
        <v>394</v>
      </c>
    </row>
    <row r="34" spans="1:105" ht="11.45" customHeight="1" x14ac:dyDescent="0.25">
      <c r="A34" s="111" t="s">
        <v>110</v>
      </c>
      <c r="B34" s="97">
        <v>1.649282788925704</v>
      </c>
      <c r="C34" s="97">
        <v>1.6369563883141725</v>
      </c>
      <c r="D34" s="97">
        <v>1.5151815627841918</v>
      </c>
      <c r="E34" s="97">
        <v>1.5318456404078002</v>
      </c>
      <c r="F34" s="97">
        <v>1.5002680471709939</v>
      </c>
      <c r="G34" s="97">
        <v>1.4841271439152768</v>
      </c>
      <c r="H34" s="97">
        <v>1.3465420414275098</v>
      </c>
      <c r="I34" s="97">
        <v>1.2764449824701678</v>
      </c>
      <c r="J34" s="97">
        <v>1.1840182088865101</v>
      </c>
      <c r="K34" s="97">
        <v>1.0831818625834335</v>
      </c>
      <c r="L34" s="97">
        <v>0.97633618403751565</v>
      </c>
      <c r="M34" s="97">
        <v>0.93009409045796376</v>
      </c>
      <c r="N34" s="97">
        <v>0.8924005015120221</v>
      </c>
      <c r="O34" s="97">
        <v>0.82829868278313123</v>
      </c>
      <c r="P34" s="97">
        <v>0.78149326571653188</v>
      </c>
      <c r="Q34" s="97">
        <v>0.78665829827823852</v>
      </c>
      <c r="R34" s="97">
        <v>0.77753933715532808</v>
      </c>
      <c r="S34" s="97">
        <v>0.74867504710341792</v>
      </c>
      <c r="T34" s="97">
        <v>0.74177152422600445</v>
      </c>
      <c r="U34" s="97">
        <v>0.73113142697088884</v>
      </c>
      <c r="V34" s="97">
        <v>0.71897427421796944</v>
      </c>
      <c r="W34" s="97">
        <v>0.69956223556917907</v>
      </c>
      <c r="X34" s="97">
        <v>0.69798331303080219</v>
      </c>
      <c r="Y34" s="97">
        <v>0.68096381780709947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1.5372181655877466E-2</v>
      </c>
      <c r="L35" s="97">
        <v>4.2023607957438223E-2</v>
      </c>
      <c r="M35" s="97">
        <v>4.1163767811392429E-2</v>
      </c>
      <c r="N35" s="97">
        <v>3.9298846014133582E-2</v>
      </c>
      <c r="O35" s="97">
        <v>3.6350047062856231E-2</v>
      </c>
      <c r="P35" s="97">
        <v>2.3289685466674582E-2</v>
      </c>
      <c r="Q35" s="97">
        <v>2.3047558162566081E-2</v>
      </c>
      <c r="R35" s="97">
        <v>2.2389853277730739E-2</v>
      </c>
      <c r="S35" s="97">
        <v>4.671330345062967E-2</v>
      </c>
      <c r="T35" s="97">
        <v>4.8364909537988679E-2</v>
      </c>
      <c r="U35" s="97">
        <v>4.8482032481379771E-2</v>
      </c>
      <c r="V35" s="97">
        <v>5.6790112528376166E-2</v>
      </c>
      <c r="W35" s="97">
        <v>5.6378667465822638E-2</v>
      </c>
      <c r="X35" s="97">
        <v>5.2012223962089064E-2</v>
      </c>
      <c r="Y35" s="97">
        <v>5.1136790517999867E-2</v>
      </c>
      <c r="DA35" s="175" t="s">
        <v>653</v>
      </c>
    </row>
    <row r="36" spans="1:105" ht="11.45" customHeight="1" x14ac:dyDescent="0.25">
      <c r="A36" s="111" t="s">
        <v>111</v>
      </c>
      <c r="B36" s="97">
        <v>390.69964857194401</v>
      </c>
      <c r="C36" s="97">
        <v>387.62970742616454</v>
      </c>
      <c r="D36" s="97">
        <v>381.77337693748774</v>
      </c>
      <c r="E36" s="97">
        <v>383.42004117638652</v>
      </c>
      <c r="F36" s="97">
        <v>384.5319330605372</v>
      </c>
      <c r="G36" s="97">
        <v>376.54982043827391</v>
      </c>
      <c r="H36" s="97">
        <v>368.10151836606701</v>
      </c>
      <c r="I36" s="97">
        <v>363.40282300089422</v>
      </c>
      <c r="J36" s="97">
        <v>370.63272209626865</v>
      </c>
      <c r="K36" s="97">
        <v>364.13010523856974</v>
      </c>
      <c r="L36" s="97">
        <v>361.850084999008</v>
      </c>
      <c r="M36" s="97">
        <v>349.55727008005101</v>
      </c>
      <c r="N36" s="97">
        <v>339.18050401034486</v>
      </c>
      <c r="O36" s="97">
        <v>340.53614980081284</v>
      </c>
      <c r="P36" s="97">
        <v>348.34836629802192</v>
      </c>
      <c r="Q36" s="97">
        <v>361.16320873068594</v>
      </c>
      <c r="R36" s="97">
        <v>350.24704040456623</v>
      </c>
      <c r="S36" s="97">
        <v>358.46819043456765</v>
      </c>
      <c r="T36" s="97">
        <v>371.49886881636695</v>
      </c>
      <c r="U36" s="97">
        <v>371.62253133723294</v>
      </c>
      <c r="V36" s="97">
        <v>363.91351195075777</v>
      </c>
      <c r="W36" s="97">
        <v>366.93149379442877</v>
      </c>
      <c r="X36" s="97">
        <v>363.4536818502612</v>
      </c>
      <c r="Y36" s="97">
        <v>358.83446626298291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5.8264479383969974</v>
      </c>
      <c r="L37" s="97">
        <v>15.513853258608943</v>
      </c>
      <c r="M37" s="97">
        <v>14.619514054676547</v>
      </c>
      <c r="N37" s="97">
        <v>14.625248980135746</v>
      </c>
      <c r="O37" s="97">
        <v>14.887222419255243</v>
      </c>
      <c r="P37" s="97">
        <v>19.312213237086972</v>
      </c>
      <c r="Q37" s="97">
        <v>11.162095087446476</v>
      </c>
      <c r="R37" s="97">
        <v>19.573480754916915</v>
      </c>
      <c r="S37" s="97">
        <v>19.787602675430016</v>
      </c>
      <c r="T37" s="97">
        <v>20.057311147163158</v>
      </c>
      <c r="U37" s="97">
        <v>20.446241314964361</v>
      </c>
      <c r="V37" s="97">
        <v>36.621198636717509</v>
      </c>
      <c r="W37" s="97">
        <v>36.873756330011581</v>
      </c>
      <c r="X37" s="97">
        <v>38.829371716721077</v>
      </c>
      <c r="Y37" s="97">
        <v>38.35602403143605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9.0739846305237237E-2</v>
      </c>
      <c r="P39" s="97">
        <v>0.12290209058111223</v>
      </c>
      <c r="Q39" s="97">
        <v>0.12206780139491435</v>
      </c>
      <c r="R39" s="97">
        <v>0.15880850763801302</v>
      </c>
      <c r="S39" s="97">
        <v>0.20261759785555977</v>
      </c>
      <c r="T39" s="97">
        <v>0.46913139618812061</v>
      </c>
      <c r="U39" s="97">
        <v>0.39025677126885688</v>
      </c>
      <c r="V39" s="97">
        <v>1.0802834452403123</v>
      </c>
      <c r="W39" s="97">
        <v>7.5965260140964537</v>
      </c>
      <c r="X39" s="97">
        <v>7.7465151708118922</v>
      </c>
      <c r="Y39" s="97">
        <v>8.5357443381077474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1.3628726921529968E-6</v>
      </c>
      <c r="U40" s="97">
        <v>7.8146725474537398E-6</v>
      </c>
      <c r="V40" s="97">
        <v>9.1495576584129865E-5</v>
      </c>
      <c r="W40" s="97">
        <v>3.6166312418887021E-3</v>
      </c>
      <c r="X40" s="97">
        <v>7.9235525920277813E-3</v>
      </c>
      <c r="Y40" s="97">
        <v>7.9366929222215374E-3</v>
      </c>
      <c r="DA40" s="175" t="s">
        <v>658</v>
      </c>
    </row>
    <row r="41" spans="1:105" ht="11.45" customHeight="1" x14ac:dyDescent="0.25">
      <c r="A41" s="111" t="s">
        <v>115</v>
      </c>
      <c r="B41" s="97">
        <v>2.2645818100863045E-2</v>
      </c>
      <c r="C41" s="97">
        <v>2.2662760296528806E-2</v>
      </c>
      <c r="D41" s="97">
        <v>2.2672391979372663E-2</v>
      </c>
      <c r="E41" s="97">
        <v>2.2679109448301319E-2</v>
      </c>
      <c r="F41" s="97">
        <v>2.2694997942921367E-2</v>
      </c>
      <c r="G41" s="97">
        <v>0.22335750429125395</v>
      </c>
      <c r="H41" s="97">
        <v>0.22352609598896714</v>
      </c>
      <c r="I41" s="97">
        <v>0.21256576287737808</v>
      </c>
      <c r="J41" s="97">
        <v>0.20151644865223284</v>
      </c>
      <c r="K41" s="97">
        <v>0.20166434890599003</v>
      </c>
      <c r="L41" s="97">
        <v>0.19118782720040239</v>
      </c>
      <c r="M41" s="97">
        <v>0.18070427208079443</v>
      </c>
      <c r="N41" s="97">
        <v>0.17020309241573833</v>
      </c>
      <c r="O41" s="97">
        <v>0.17033543215888985</v>
      </c>
      <c r="P41" s="97">
        <v>0.18971137376558761</v>
      </c>
      <c r="Q41" s="97">
        <v>0.16852932422094846</v>
      </c>
      <c r="R41" s="97">
        <v>0.15795106909904674</v>
      </c>
      <c r="S41" s="97">
        <v>0.14734700799580389</v>
      </c>
      <c r="T41" s="97">
        <v>0.227894680185737</v>
      </c>
      <c r="U41" s="97">
        <v>0.63908377878279765</v>
      </c>
      <c r="V41" s="97">
        <v>0.80671901177112959</v>
      </c>
      <c r="W41" s="97">
        <v>1.1275511630109643</v>
      </c>
      <c r="X41" s="97">
        <v>1.5947359526155855</v>
      </c>
      <c r="Y41" s="97">
        <v>3.4769410452231373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2066.8822512312126</v>
      </c>
      <c r="C42" s="32">
        <f t="shared" si="26"/>
        <v>2269.9307213045472</v>
      </c>
      <c r="D42" s="32">
        <f t="shared" si="26"/>
        <v>2339.2948964395141</v>
      </c>
      <c r="E42" s="32">
        <f t="shared" si="26"/>
        <v>2381.3973876698878</v>
      </c>
      <c r="F42" s="32">
        <f t="shared" si="26"/>
        <v>2657.5723541896355</v>
      </c>
      <c r="G42" s="32">
        <f t="shared" si="26"/>
        <v>2665.4044703943628</v>
      </c>
      <c r="H42" s="32">
        <f t="shared" si="26"/>
        <v>2757.576245480187</v>
      </c>
      <c r="I42" s="32">
        <f t="shared" si="26"/>
        <v>2834.9512270124269</v>
      </c>
      <c r="J42" s="32">
        <f t="shared" si="26"/>
        <v>2746.3159304212872</v>
      </c>
      <c r="K42" s="32">
        <f t="shared" si="26"/>
        <v>2644.3647754517583</v>
      </c>
      <c r="L42" s="32">
        <f t="shared" ref="L42" si="27">L43+L52</f>
        <v>2659.8690165329335</v>
      </c>
      <c r="M42" s="32">
        <f t="shared" ref="M42:V42" si="28">M43+M52</f>
        <v>2606.4383768598937</v>
      </c>
      <c r="N42" s="32">
        <f t="shared" si="28"/>
        <v>2513.4904732018786</v>
      </c>
      <c r="O42" s="32">
        <f t="shared" si="28"/>
        <v>2506.047377092902</v>
      </c>
      <c r="P42" s="32">
        <f t="shared" si="28"/>
        <v>2563.6654215189901</v>
      </c>
      <c r="Q42" s="32">
        <f t="shared" si="28"/>
        <v>2821.2952306674511</v>
      </c>
      <c r="R42" s="32">
        <f t="shared" si="28"/>
        <v>3030.4549121948016</v>
      </c>
      <c r="S42" s="32">
        <f t="shared" si="28"/>
        <v>3076.281809934776</v>
      </c>
      <c r="T42" s="32">
        <f t="shared" si="28"/>
        <v>3140.4039916015927</v>
      </c>
      <c r="U42" s="32">
        <f t="shared" si="28"/>
        <v>3122.4438010158642</v>
      </c>
      <c r="V42" s="32">
        <f t="shared" si="28"/>
        <v>2873.4230271245569</v>
      </c>
      <c r="W42" s="32">
        <f t="shared" ref="W42:Y42" si="29">W43+W52</f>
        <v>3369.2727157099057</v>
      </c>
      <c r="X42" s="32">
        <f t="shared" si="29"/>
        <v>3338.5573126854997</v>
      </c>
      <c r="Y42" s="32">
        <f t="shared" si="29"/>
        <v>3482.3448229031537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1041.9873583799549</v>
      </c>
      <c r="C43" s="141">
        <f t="shared" si="30"/>
        <v>1049.1164011790165</v>
      </c>
      <c r="D43" s="141">
        <f t="shared" si="30"/>
        <v>1090.6876941337214</v>
      </c>
      <c r="E43" s="141">
        <f t="shared" si="30"/>
        <v>1094.1358158704297</v>
      </c>
      <c r="F43" s="141">
        <f t="shared" si="30"/>
        <v>1167.9753559782625</v>
      </c>
      <c r="G43" s="141">
        <f t="shared" si="30"/>
        <v>1181.8132130148545</v>
      </c>
      <c r="H43" s="141">
        <f t="shared" si="30"/>
        <v>1195.7211022298723</v>
      </c>
      <c r="I43" s="141">
        <f t="shared" si="30"/>
        <v>1237.5459676339585</v>
      </c>
      <c r="J43" s="141">
        <f t="shared" si="30"/>
        <v>1232.5918783883158</v>
      </c>
      <c r="K43" s="141">
        <f t="shared" si="30"/>
        <v>1203.6867074048087</v>
      </c>
      <c r="L43" s="141">
        <f t="shared" ref="L43" si="31">L44+L46+L48+L49+L51</f>
        <v>1198.3787403074609</v>
      </c>
      <c r="M43" s="141">
        <f t="shared" ref="M43:V43" si="32">M44+M46+M48+M49+M51</f>
        <v>1186.1248934304033</v>
      </c>
      <c r="N43" s="141">
        <f t="shared" si="32"/>
        <v>1161.1480879230742</v>
      </c>
      <c r="O43" s="141">
        <f t="shared" si="32"/>
        <v>1097.2111835753624</v>
      </c>
      <c r="P43" s="141">
        <f t="shared" si="32"/>
        <v>1133.761497036262</v>
      </c>
      <c r="Q43" s="141">
        <f t="shared" si="32"/>
        <v>1199.6664508255387</v>
      </c>
      <c r="R43" s="141">
        <f t="shared" si="32"/>
        <v>1131.944596362508</v>
      </c>
      <c r="S43" s="141">
        <f t="shared" si="32"/>
        <v>1046.4990680385756</v>
      </c>
      <c r="T43" s="141">
        <f t="shared" si="32"/>
        <v>1065.1591724853595</v>
      </c>
      <c r="U43" s="141">
        <f t="shared" si="32"/>
        <v>1060.3472384720603</v>
      </c>
      <c r="V43" s="141">
        <f t="shared" si="32"/>
        <v>963.43630082631535</v>
      </c>
      <c r="W43" s="141">
        <f t="shared" ref="W43:Y43" si="33">W44+W46+W48+W49+W51</f>
        <v>1213.5593999544194</v>
      </c>
      <c r="X43" s="141">
        <f t="shared" si="33"/>
        <v>1181.7522915644192</v>
      </c>
      <c r="Y43" s="141">
        <f t="shared" si="33"/>
        <v>1269.6526992257352</v>
      </c>
      <c r="DA43" s="174" t="s">
        <v>400</v>
      </c>
    </row>
    <row r="44" spans="1:105" ht="11.45" customHeight="1" x14ac:dyDescent="0.25">
      <c r="A44" s="111" t="s">
        <v>110</v>
      </c>
      <c r="B44" s="96">
        <v>66.490143059235876</v>
      </c>
      <c r="C44" s="96">
        <v>64.005885377091175</v>
      </c>
      <c r="D44" s="96">
        <v>65.47962287269641</v>
      </c>
      <c r="E44" s="96">
        <v>60.509968244339795</v>
      </c>
      <c r="F44" s="96">
        <v>58.341271991217255</v>
      </c>
      <c r="G44" s="96">
        <v>57.865369671039559</v>
      </c>
      <c r="H44" s="96">
        <v>55.509505614125501</v>
      </c>
      <c r="I44" s="96">
        <v>48.90107530504649</v>
      </c>
      <c r="J44" s="96">
        <v>44.293928188166461</v>
      </c>
      <c r="K44" s="96">
        <v>39.86060629503416</v>
      </c>
      <c r="L44" s="96">
        <v>37.583053310191019</v>
      </c>
      <c r="M44" s="96">
        <v>35.369948998190644</v>
      </c>
      <c r="N44" s="96">
        <v>33.500106914211401</v>
      </c>
      <c r="O44" s="96">
        <v>30.127304361977277</v>
      </c>
      <c r="P44" s="96">
        <v>27.617184416210698</v>
      </c>
      <c r="Q44" s="96">
        <v>25.32451328404224</v>
      </c>
      <c r="R44" s="96">
        <v>25.881224300119847</v>
      </c>
      <c r="S44" s="96">
        <v>27.876221786726386</v>
      </c>
      <c r="T44" s="96">
        <v>32.208376995157629</v>
      </c>
      <c r="U44" s="96">
        <v>35.302096018504514</v>
      </c>
      <c r="V44" s="96">
        <v>30.066219176291728</v>
      </c>
      <c r="W44" s="96">
        <v>38.264516973775606</v>
      </c>
      <c r="X44" s="96">
        <v>38.593792557875211</v>
      </c>
      <c r="Y44" s="96">
        <v>41.222811762126554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0.56568938425469661</v>
      </c>
      <c r="L45" s="96">
        <v>1.6176553977746264</v>
      </c>
      <c r="M45" s="96">
        <v>1.5653904083461276</v>
      </c>
      <c r="N45" s="96">
        <v>1.4752519085858782</v>
      </c>
      <c r="O45" s="96">
        <v>1.3221425485733862</v>
      </c>
      <c r="P45" s="96">
        <v>0.82303401288936751</v>
      </c>
      <c r="Q45" s="96">
        <v>0.74195898540715488</v>
      </c>
      <c r="R45" s="96">
        <v>0.74527009379071629</v>
      </c>
      <c r="S45" s="96">
        <v>1.739326577556586</v>
      </c>
      <c r="T45" s="96">
        <v>2.1000472367305574</v>
      </c>
      <c r="U45" s="96">
        <v>2.3409161509043845</v>
      </c>
      <c r="V45" s="96">
        <v>2.3748610090140465</v>
      </c>
      <c r="W45" s="96">
        <v>3.0837892163369749</v>
      </c>
      <c r="X45" s="96">
        <v>2.8759268947995995</v>
      </c>
      <c r="Y45" s="96">
        <v>3.0956157060314657</v>
      </c>
      <c r="DA45" s="171" t="s">
        <v>661</v>
      </c>
    </row>
    <row r="46" spans="1:105" ht="11.45" customHeight="1" x14ac:dyDescent="0.25">
      <c r="A46" s="111" t="s">
        <v>111</v>
      </c>
      <c r="B46" s="96">
        <v>930.01600898862478</v>
      </c>
      <c r="C46" s="96">
        <v>938.44995824991531</v>
      </c>
      <c r="D46" s="96">
        <v>977.1969393279237</v>
      </c>
      <c r="E46" s="96">
        <v>989.78518081868754</v>
      </c>
      <c r="F46" s="96">
        <v>1066.0877707788454</v>
      </c>
      <c r="G46" s="96">
        <v>1083.5299759067479</v>
      </c>
      <c r="H46" s="96">
        <v>1102.3167039468344</v>
      </c>
      <c r="I46" s="96">
        <v>1154.7289732802633</v>
      </c>
      <c r="J46" s="96">
        <v>1158.3801164639876</v>
      </c>
      <c r="K46" s="96">
        <v>1138.1939476609214</v>
      </c>
      <c r="L46" s="96">
        <v>1138.6810974762245</v>
      </c>
      <c r="M46" s="96">
        <v>1129.0258671299789</v>
      </c>
      <c r="N46" s="96">
        <v>1107.4109031621945</v>
      </c>
      <c r="O46" s="96">
        <v>1050.8150358888586</v>
      </c>
      <c r="P46" s="96">
        <v>1091.3499288655037</v>
      </c>
      <c r="Q46" s="96">
        <v>1162.2650926043818</v>
      </c>
      <c r="R46" s="96">
        <v>1094.74803035996</v>
      </c>
      <c r="S46" s="96">
        <v>1007.3698259713382</v>
      </c>
      <c r="T46" s="96">
        <v>1021.3359377018246</v>
      </c>
      <c r="U46" s="96">
        <v>1011.3375069753221</v>
      </c>
      <c r="V46" s="96">
        <v>916.88656307208464</v>
      </c>
      <c r="W46" s="96">
        <v>1151.3477001727031</v>
      </c>
      <c r="X46" s="96">
        <v>1121.1533868889762</v>
      </c>
      <c r="Y46" s="96">
        <v>1202.7928292395111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18.212247997182278</v>
      </c>
      <c r="L47" s="96">
        <v>48.81947576341279</v>
      </c>
      <c r="M47" s="96">
        <v>47.219185367880208</v>
      </c>
      <c r="N47" s="96">
        <v>47.750858290988681</v>
      </c>
      <c r="O47" s="96">
        <v>45.938491904385124</v>
      </c>
      <c r="P47" s="96">
        <v>60.503750215664468</v>
      </c>
      <c r="Q47" s="96">
        <v>35.920916546468888</v>
      </c>
      <c r="R47" s="96">
        <v>61.17975894666408</v>
      </c>
      <c r="S47" s="96">
        <v>55.607259989715686</v>
      </c>
      <c r="T47" s="96">
        <v>55.14216706374701</v>
      </c>
      <c r="U47" s="96">
        <v>55.64261844965305</v>
      </c>
      <c r="V47" s="96">
        <v>92.267761022689086</v>
      </c>
      <c r="W47" s="96">
        <v>115.70147361368872</v>
      </c>
      <c r="X47" s="96">
        <v>119.77779779077392</v>
      </c>
      <c r="Y47" s="96">
        <v>128.56722249567483</v>
      </c>
      <c r="DA47" s="171" t="s">
        <v>663</v>
      </c>
    </row>
    <row r="48" spans="1:105" ht="11.45" customHeight="1" x14ac:dyDescent="0.25">
      <c r="A48" s="111" t="s">
        <v>112</v>
      </c>
      <c r="B48" s="96">
        <v>45.481206332094324</v>
      </c>
      <c r="C48" s="96">
        <v>46.660557552010012</v>
      </c>
      <c r="D48" s="96">
        <v>48.011131933101318</v>
      </c>
      <c r="E48" s="96">
        <v>43.840666807402478</v>
      </c>
      <c r="F48" s="96">
        <v>43.546313208199855</v>
      </c>
      <c r="G48" s="96">
        <v>40.417867437066839</v>
      </c>
      <c r="H48" s="96">
        <v>37.894892668912213</v>
      </c>
      <c r="I48" s="96">
        <v>33.915919048648767</v>
      </c>
      <c r="J48" s="96">
        <v>29.825586606975843</v>
      </c>
      <c r="K48" s="96">
        <v>25.51270948582204</v>
      </c>
      <c r="L48" s="96">
        <v>21.973126398234477</v>
      </c>
      <c r="M48" s="96">
        <v>21.600271127007883</v>
      </c>
      <c r="N48" s="96">
        <v>19.891781227226048</v>
      </c>
      <c r="O48" s="96">
        <v>15.852023066933205</v>
      </c>
      <c r="P48" s="96">
        <v>14.133747220490793</v>
      </c>
      <c r="Q48" s="96">
        <v>10.939088777361416</v>
      </c>
      <c r="R48" s="96">
        <v>10.188285596803365</v>
      </c>
      <c r="S48" s="96">
        <v>9.3884028534820274</v>
      </c>
      <c r="T48" s="96">
        <v>8.7709755958494551</v>
      </c>
      <c r="U48" s="96">
        <v>7.9998434293740308</v>
      </c>
      <c r="V48" s="96">
        <v>7.1476166276104811</v>
      </c>
      <c r="W48" s="96">
        <v>8.5337596475095481</v>
      </c>
      <c r="X48" s="96">
        <v>7.9788544688139851</v>
      </c>
      <c r="Y48" s="96">
        <v>8.2441527993826753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7.8776132342020619E-2</v>
      </c>
      <c r="K49" s="96">
        <v>0.10526800416232775</v>
      </c>
      <c r="L49" s="96">
        <v>0.12704128169853984</v>
      </c>
      <c r="M49" s="96">
        <v>0.11052708021344737</v>
      </c>
      <c r="N49" s="96">
        <v>0.26675117913298974</v>
      </c>
      <c r="O49" s="96">
        <v>0.31394803182511805</v>
      </c>
      <c r="P49" s="96">
        <v>0.53498785906120871</v>
      </c>
      <c r="Q49" s="96">
        <v>0.99741666479084667</v>
      </c>
      <c r="R49" s="96">
        <v>0.95348959874710071</v>
      </c>
      <c r="S49" s="96">
        <v>1.6658261260923346</v>
      </c>
      <c r="T49" s="96">
        <v>2.5707133258931587</v>
      </c>
      <c r="U49" s="96">
        <v>5.3090664260784521</v>
      </c>
      <c r="V49" s="96">
        <v>8.8023501763735279</v>
      </c>
      <c r="W49" s="96">
        <v>14.533305780332764</v>
      </c>
      <c r="X49" s="96">
        <v>12.409755713193446</v>
      </c>
      <c r="Y49" s="96">
        <v>15.270650144761134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7.4681742038187755E-6</v>
      </c>
      <c r="U50" s="96">
        <v>1.0631107185556134E-4</v>
      </c>
      <c r="V50" s="96">
        <v>7.4552295347223615E-4</v>
      </c>
      <c r="W50" s="96">
        <v>6.9191637908614422E-3</v>
      </c>
      <c r="X50" s="96">
        <v>1.2693365969023169E-2</v>
      </c>
      <c r="Y50" s="96">
        <v>1.4198932878127294E-2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1.3470996843716589E-2</v>
      </c>
      <c r="K51" s="96">
        <v>1.4175958868753152E-2</v>
      </c>
      <c r="L51" s="96">
        <v>1.4421841112532606E-2</v>
      </c>
      <c r="M51" s="96">
        <v>1.8279095012513898E-2</v>
      </c>
      <c r="N51" s="96">
        <v>7.8545440309133574E-2</v>
      </c>
      <c r="O51" s="96">
        <v>0.10287222576824467</v>
      </c>
      <c r="P51" s="96">
        <v>0.12564867499569643</v>
      </c>
      <c r="Q51" s="96">
        <v>0.14033949496252013</v>
      </c>
      <c r="R51" s="96">
        <v>0.17356650687763317</v>
      </c>
      <c r="S51" s="96">
        <v>0.19879130093680225</v>
      </c>
      <c r="T51" s="96">
        <v>0.27316886663472889</v>
      </c>
      <c r="U51" s="96">
        <v>0.39872562278100099</v>
      </c>
      <c r="V51" s="96">
        <v>0.53355177395499298</v>
      </c>
      <c r="W51" s="96">
        <v>0.88011738009845952</v>
      </c>
      <c r="X51" s="96">
        <v>1.6165019355603176</v>
      </c>
      <c r="Y51" s="96">
        <v>2.1222552799537273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1024.8948928512577</v>
      </c>
      <c r="C52" s="130">
        <f t="shared" si="34"/>
        <v>1220.8143201255307</v>
      </c>
      <c r="D52" s="130">
        <f t="shared" si="34"/>
        <v>1248.6072023057927</v>
      </c>
      <c r="E52" s="130">
        <f t="shared" si="34"/>
        <v>1287.2615717994581</v>
      </c>
      <c r="F52" s="130">
        <f t="shared" si="34"/>
        <v>1489.5969982113729</v>
      </c>
      <c r="G52" s="130">
        <f t="shared" si="34"/>
        <v>1483.5912573795085</v>
      </c>
      <c r="H52" s="130">
        <f t="shared" si="34"/>
        <v>1561.855143250315</v>
      </c>
      <c r="I52" s="130">
        <f t="shared" si="34"/>
        <v>1597.4052593784681</v>
      </c>
      <c r="J52" s="130">
        <f t="shared" si="34"/>
        <v>1513.7240520329715</v>
      </c>
      <c r="K52" s="130">
        <f t="shared" si="34"/>
        <v>1440.6780680469496</v>
      </c>
      <c r="L52" s="130">
        <f t="shared" ref="L52" si="35">L53+L55</f>
        <v>1461.4902762254724</v>
      </c>
      <c r="M52" s="130">
        <f t="shared" ref="M52:V52" si="36">M53+M55</f>
        <v>1420.3134834294906</v>
      </c>
      <c r="N52" s="130">
        <f t="shared" si="36"/>
        <v>1352.3423852788046</v>
      </c>
      <c r="O52" s="130">
        <f t="shared" si="36"/>
        <v>1408.8361935175399</v>
      </c>
      <c r="P52" s="130">
        <f t="shared" si="36"/>
        <v>1429.9039244827279</v>
      </c>
      <c r="Q52" s="130">
        <f t="shared" si="36"/>
        <v>1621.6287798419123</v>
      </c>
      <c r="R52" s="130">
        <f t="shared" si="36"/>
        <v>1898.5103158322936</v>
      </c>
      <c r="S52" s="130">
        <f t="shared" si="36"/>
        <v>2029.7827418962004</v>
      </c>
      <c r="T52" s="130">
        <f t="shared" si="36"/>
        <v>2075.2448191162334</v>
      </c>
      <c r="U52" s="130">
        <f t="shared" si="36"/>
        <v>2062.0965625438039</v>
      </c>
      <c r="V52" s="130">
        <f t="shared" si="36"/>
        <v>1909.9867262982416</v>
      </c>
      <c r="W52" s="130">
        <f t="shared" ref="W52:Y52" si="37">W53+W55</f>
        <v>2155.7133157554863</v>
      </c>
      <c r="X52" s="130">
        <f t="shared" si="37"/>
        <v>2156.8050211210802</v>
      </c>
      <c r="Y52" s="130">
        <f t="shared" si="37"/>
        <v>2212.6921236774187</v>
      </c>
      <c r="DA52" s="176" t="s">
        <v>401</v>
      </c>
    </row>
    <row r="53" spans="1:105" ht="11.45" customHeight="1" x14ac:dyDescent="0.25">
      <c r="A53" s="128" t="s">
        <v>27</v>
      </c>
      <c r="B53" s="97">
        <v>581.31517155683605</v>
      </c>
      <c r="C53" s="97">
        <v>695.12202671302816</v>
      </c>
      <c r="D53" s="97">
        <v>702.66346443766213</v>
      </c>
      <c r="E53" s="97">
        <v>693.1006266761807</v>
      </c>
      <c r="F53" s="97">
        <v>756.35403903884719</v>
      </c>
      <c r="G53" s="97">
        <v>713.34563801463753</v>
      </c>
      <c r="H53" s="97">
        <v>745.82218879112804</v>
      </c>
      <c r="I53" s="97">
        <v>742.17631083370247</v>
      </c>
      <c r="J53" s="97">
        <v>629.37648000476497</v>
      </c>
      <c r="K53" s="97">
        <v>611.37377641732394</v>
      </c>
      <c r="L53" s="97">
        <v>617.64025882115948</v>
      </c>
      <c r="M53" s="97">
        <v>610.59627511345059</v>
      </c>
      <c r="N53" s="97">
        <v>582.56098366027936</v>
      </c>
      <c r="O53" s="97">
        <v>609.96683081185301</v>
      </c>
      <c r="P53" s="97">
        <v>631.17916574048252</v>
      </c>
      <c r="Q53" s="97">
        <v>764.86058132410255</v>
      </c>
      <c r="R53" s="97">
        <v>851.45641447015385</v>
      </c>
      <c r="S53" s="97">
        <v>907.711384457137</v>
      </c>
      <c r="T53" s="97">
        <v>914.1108711960527</v>
      </c>
      <c r="U53" s="97">
        <v>937.32210767771562</v>
      </c>
      <c r="V53" s="97">
        <v>832.09327082023856</v>
      </c>
      <c r="W53" s="97">
        <v>976.54587587539572</v>
      </c>
      <c r="X53" s="97">
        <v>1022.9335149331143</v>
      </c>
      <c r="Y53" s="97">
        <v>1062.5790244699401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9.7825953634426277</v>
      </c>
      <c r="L54" s="97">
        <v>26.480525331331577</v>
      </c>
      <c r="M54" s="97">
        <v>25.536933686746011</v>
      </c>
      <c r="N54" s="97">
        <v>25.119661452842557</v>
      </c>
      <c r="O54" s="97">
        <v>26.665926316415465</v>
      </c>
      <c r="P54" s="97">
        <v>34.992173981256535</v>
      </c>
      <c r="Q54" s="97">
        <v>23.638749271788271</v>
      </c>
      <c r="R54" s="97">
        <v>47.583459157945875</v>
      </c>
      <c r="S54" s="97">
        <v>50.106069935599663</v>
      </c>
      <c r="T54" s="97">
        <v>49.353060549011978</v>
      </c>
      <c r="U54" s="97">
        <v>51.570376894177983</v>
      </c>
      <c r="V54" s="97">
        <v>83.734876431593477</v>
      </c>
      <c r="W54" s="97">
        <v>98.135252168571967</v>
      </c>
      <c r="X54" s="97">
        <v>109.28453246263743</v>
      </c>
      <c r="Y54" s="97">
        <v>113.57968765463954</v>
      </c>
      <c r="DA54" s="175" t="s">
        <v>669</v>
      </c>
    </row>
    <row r="55" spans="1:105" ht="11.45" customHeight="1" x14ac:dyDescent="0.25">
      <c r="A55" s="128" t="s">
        <v>116</v>
      </c>
      <c r="B55" s="97">
        <v>443.57972129442169</v>
      </c>
      <c r="C55" s="97">
        <v>525.69229341250252</v>
      </c>
      <c r="D55" s="97">
        <v>545.9437378681306</v>
      </c>
      <c r="E55" s="97">
        <v>594.16094512327743</v>
      </c>
      <c r="F55" s="97">
        <v>733.24295917252573</v>
      </c>
      <c r="G55" s="97">
        <v>770.245619364871</v>
      </c>
      <c r="H55" s="97">
        <v>816.03295445918695</v>
      </c>
      <c r="I55" s="97">
        <v>855.22894854476567</v>
      </c>
      <c r="J55" s="97">
        <v>884.34757202820651</v>
      </c>
      <c r="K55" s="97">
        <v>829.30429162962571</v>
      </c>
      <c r="L55" s="97">
        <v>843.85001740431289</v>
      </c>
      <c r="M55" s="97">
        <v>809.71720831604011</v>
      </c>
      <c r="N55" s="97">
        <v>769.78140161852536</v>
      </c>
      <c r="O55" s="97">
        <v>798.86936270568685</v>
      </c>
      <c r="P55" s="97">
        <v>798.7247587422454</v>
      </c>
      <c r="Q55" s="97">
        <v>856.76819851780976</v>
      </c>
      <c r="R55" s="97">
        <v>1047.0539013621396</v>
      </c>
      <c r="S55" s="97">
        <v>1122.0713574390634</v>
      </c>
      <c r="T55" s="97">
        <v>1161.1339479201808</v>
      </c>
      <c r="U55" s="97">
        <v>1124.7744548660885</v>
      </c>
      <c r="V55" s="97">
        <v>1077.893455478003</v>
      </c>
      <c r="W55" s="97">
        <v>1179.1674398800903</v>
      </c>
      <c r="X55" s="97">
        <v>1133.8715061879661</v>
      </c>
      <c r="Y55" s="97">
        <v>1150.1130992074789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13.269702808844837</v>
      </c>
      <c r="L56" s="98">
        <v>36.178975451452501</v>
      </c>
      <c r="M56" s="98">
        <v>33.864757281629153</v>
      </c>
      <c r="N56" s="98">
        <v>33.192487557024897</v>
      </c>
      <c r="O56" s="98">
        <v>34.924180277144472</v>
      </c>
      <c r="P56" s="98">
        <v>44.280795751958387</v>
      </c>
      <c r="Q56" s="98">
        <v>26.479242261044476</v>
      </c>
      <c r="R56" s="98">
        <v>58.514382773940234</v>
      </c>
      <c r="S56" s="98">
        <v>61.938835263368787</v>
      </c>
      <c r="T56" s="98">
        <v>62.689894456935583</v>
      </c>
      <c r="U56" s="98">
        <v>61.883787956415048</v>
      </c>
      <c r="V56" s="98">
        <v>108.47014206941313</v>
      </c>
      <c r="W56" s="98">
        <v>118.49714070818247</v>
      </c>
      <c r="X56" s="98">
        <v>121.13653098418683</v>
      </c>
      <c r="Y56" s="98">
        <v>122.93625562640722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8.6307225791616169</v>
      </c>
      <c r="C60" s="79">
        <f>IF(C17=0,0,C17/TrRoad_act!C30*100)</f>
        <v>8.5871860857107745</v>
      </c>
      <c r="D60" s="79">
        <f>IF(D17=0,0,D17/TrRoad_act!D30*100)</f>
        <v>8.5182924800061528</v>
      </c>
      <c r="E60" s="79">
        <f>IF(E17=0,0,E17/TrRoad_act!E30*100)</f>
        <v>8.4309773541008042</v>
      </c>
      <c r="F60" s="79">
        <f>IF(F17=0,0,F17/TrRoad_act!F30*100)</f>
        <v>8.5762170942583147</v>
      </c>
      <c r="G60" s="79">
        <f>IF(G17=0,0,G17/TrRoad_act!G30*100)</f>
        <v>8.5502013588803862</v>
      </c>
      <c r="H60" s="79">
        <f>IF(H17=0,0,H17/TrRoad_act!H30*100)</f>
        <v>8.4918276173432687</v>
      </c>
      <c r="I60" s="79">
        <f>IF(I17=0,0,I17/TrRoad_act!I30*100)</f>
        <v>8.3726936507736056</v>
      </c>
      <c r="J60" s="79">
        <f>IF(J17=0,0,J17/TrRoad_act!J30*100)</f>
        <v>8.2229548352858011</v>
      </c>
      <c r="K60" s="79">
        <f>IF(K17=0,0,K17/TrRoad_act!K30*100)</f>
        <v>8.1027715484666132</v>
      </c>
      <c r="L60" s="79">
        <f>IF(L17=0,0,L17/TrRoad_act!L30*100)</f>
        <v>8.0473569133717806</v>
      </c>
      <c r="M60" s="79">
        <f>IF(M17=0,0,M17/TrRoad_act!M30*100)</f>
        <v>7.8784527758799534</v>
      </c>
      <c r="N60" s="79">
        <f>IF(N17=0,0,N17/TrRoad_act!N30*100)</f>
        <v>7.7362833210424311</v>
      </c>
      <c r="O60" s="79">
        <f>IF(O17=0,0,O17/TrRoad_act!O30*100)</f>
        <v>7.732726549592825</v>
      </c>
      <c r="P60" s="79">
        <f>IF(P17=0,0,P17/TrRoad_act!P30*100)</f>
        <v>7.6120048853498377</v>
      </c>
      <c r="Q60" s="79">
        <f>IF(Q17=0,0,Q17/TrRoad_act!Q30*100)</f>
        <v>7.6801028862602125</v>
      </c>
      <c r="R60" s="79">
        <f>IF(R17=0,0,R17/TrRoad_act!R30*100)</f>
        <v>7.9650344337803771</v>
      </c>
      <c r="S60" s="79">
        <f>IF(S17=0,0,S17/TrRoad_act!S30*100)</f>
        <v>8.0904121006730882</v>
      </c>
      <c r="T60" s="79">
        <f>IF(T17=0,0,T17/TrRoad_act!T30*100)</f>
        <v>8.1216550346463894</v>
      </c>
      <c r="U60" s="79">
        <f>IF(U17=0,0,U17/TrRoad_act!U30*100)</f>
        <v>8.0224920475112391</v>
      </c>
      <c r="V60" s="79">
        <f>IF(V17=0,0,V17/TrRoad_act!V30*100)</f>
        <v>8.0611871891694395</v>
      </c>
      <c r="W60" s="79">
        <f>IF(W17=0,0,W17/TrRoad_act!W30*100)</f>
        <v>8.3525819534548926</v>
      </c>
      <c r="X60" s="79">
        <f>IF(X17=0,0,X17/TrRoad_act!X30*100)</f>
        <v>8.0731280391867593</v>
      </c>
      <c r="Y60" s="79">
        <f>IF(Y17=0,0,Y17/TrRoad_act!Y30*100)</f>
        <v>7.8883715172060516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7.199424986983864</v>
      </c>
      <c r="C61" s="32">
        <f>IF(C18=0,0,C18/TrRoad_act!C31*100)</f>
        <v>7.0390423748215483</v>
      </c>
      <c r="D61" s="32">
        <f>IF(D18=0,0,D18/TrRoad_act!D31*100)</f>
        <v>6.9493995806076789</v>
      </c>
      <c r="E61" s="32">
        <f>IF(E18=0,0,E18/TrRoad_act!E31*100)</f>
        <v>6.8842000482714623</v>
      </c>
      <c r="F61" s="32">
        <f>IF(F18=0,0,F18/TrRoad_act!F31*100)</f>
        <v>6.8844882277955666</v>
      </c>
      <c r="G61" s="32">
        <f>IF(G18=0,0,G18/TrRoad_act!G31*100)</f>
        <v>6.8288259011543841</v>
      </c>
      <c r="H61" s="32">
        <f>IF(H18=0,0,H18/TrRoad_act!H31*100)</f>
        <v>6.7520258121750114</v>
      </c>
      <c r="I61" s="32">
        <f>IF(I18=0,0,I18/TrRoad_act!I31*100)</f>
        <v>6.6675394253345139</v>
      </c>
      <c r="J61" s="32">
        <f>IF(J18=0,0,J18/TrRoad_act!J31*100)</f>
        <v>6.6257092362707519</v>
      </c>
      <c r="K61" s="32">
        <f>IF(K18=0,0,K18/TrRoad_act!K31*100)</f>
        <v>6.5935982775477493</v>
      </c>
      <c r="L61" s="32">
        <f>IF(L18=0,0,L18/TrRoad_act!L31*100)</f>
        <v>6.5142495668099407</v>
      </c>
      <c r="M61" s="32">
        <f>IF(M18=0,0,M18/TrRoad_act!M31*100)</f>
        <v>6.3785329332052569</v>
      </c>
      <c r="N61" s="32">
        <f>IF(N18=0,0,N18/TrRoad_act!N31*100)</f>
        <v>6.2809667118509243</v>
      </c>
      <c r="O61" s="32">
        <f>IF(O18=0,0,O18/TrRoad_act!O31*100)</f>
        <v>6.2198975311497948</v>
      </c>
      <c r="P61" s="32">
        <f>IF(P18=0,0,P18/TrRoad_act!P31*100)</f>
        <v>6.1178387166985484</v>
      </c>
      <c r="Q61" s="32">
        <f>IF(Q18=0,0,Q18/TrRoad_act!Q31*100)</f>
        <v>6.0611953460871471</v>
      </c>
      <c r="R61" s="32">
        <f>IF(R18=0,0,R18/TrRoad_act!R31*100)</f>
        <v>6.0858378425398287</v>
      </c>
      <c r="S61" s="32">
        <f>IF(S18=0,0,S18/TrRoad_act!S31*100)</f>
        <v>6.0590293802207862</v>
      </c>
      <c r="T61" s="32">
        <f>IF(T18=0,0,T18/TrRoad_act!T31*100)</f>
        <v>6.0346108670088592</v>
      </c>
      <c r="U61" s="32">
        <f>IF(U18=0,0,U18/TrRoad_act!U31*100)</f>
        <v>5.9660151932876166</v>
      </c>
      <c r="V61" s="32">
        <f>IF(V18=0,0,V18/TrRoad_act!V31*100)</f>
        <v>5.8761671868830341</v>
      </c>
      <c r="W61" s="32">
        <f>IF(W18=0,0,W18/TrRoad_act!W31*100)</f>
        <v>6.0073420050729647</v>
      </c>
      <c r="X61" s="32">
        <f>IF(X18=0,0,X18/TrRoad_act!X31*100)</f>
        <v>5.8223490226623182</v>
      </c>
      <c r="Y61" s="32">
        <f>IF(Y18=0,0,Y18/TrRoad_act!Y31*100)</f>
        <v>5.62870151394789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4.3606921400983163</v>
      </c>
      <c r="C62" s="141">
        <f>IF(C19=0,0,C19/TrRoad_act!C32*100)</f>
        <v>4.3149695355593103</v>
      </c>
      <c r="D62" s="141">
        <f>IF(D19=0,0,D19/TrRoad_act!D32*100)</f>
        <v>4.2730353584455187</v>
      </c>
      <c r="E62" s="141">
        <f>IF(E19=0,0,E19/TrRoad_act!E32*100)</f>
        <v>4.2312535466131891</v>
      </c>
      <c r="F62" s="141">
        <f>IF(F19=0,0,F19/TrRoad_act!F32*100)</f>
        <v>4.1766008799462151</v>
      </c>
      <c r="G62" s="141">
        <f>IF(G19=0,0,G19/TrRoad_act!G32*100)</f>
        <v>4.1074120917015753</v>
      </c>
      <c r="H62" s="141">
        <f>IF(H19=0,0,H19/TrRoad_act!H32*100)</f>
        <v>4.0829819443570115</v>
      </c>
      <c r="I62" s="141">
        <f>IF(I19=0,0,I19/TrRoad_act!I32*100)</f>
        <v>4.0368585254539413</v>
      </c>
      <c r="J62" s="141">
        <f>IF(J19=0,0,J19/TrRoad_act!J32*100)</f>
        <v>3.9951832525139666</v>
      </c>
      <c r="K62" s="141">
        <f>IF(K19=0,0,K19/TrRoad_act!K32*100)</f>
        <v>3.9463876387772157</v>
      </c>
      <c r="L62" s="141">
        <f>IF(L19=0,0,L19/TrRoad_act!L32*100)</f>
        <v>3.8937188253871851</v>
      </c>
      <c r="M62" s="141">
        <f>IF(M19=0,0,M19/TrRoad_act!M32*100)</f>
        <v>3.8369566739395844</v>
      </c>
      <c r="N62" s="141">
        <f>IF(N19=0,0,N19/TrRoad_act!N32*100)</f>
        <v>3.7866606472842577</v>
      </c>
      <c r="O62" s="141">
        <f>IF(O19=0,0,O19/TrRoad_act!O32*100)</f>
        <v>3.7640684384068623</v>
      </c>
      <c r="P62" s="141">
        <f>IF(P19=0,0,P19/TrRoad_act!P32*100)</f>
        <v>3.7265083128672134</v>
      </c>
      <c r="Q62" s="141">
        <f>IF(Q19=0,0,Q19/TrRoad_act!Q32*100)</f>
        <v>3.697785501053986</v>
      </c>
      <c r="R62" s="141">
        <f>IF(R19=0,0,R19/TrRoad_act!R32*100)</f>
        <v>3.5035061859900822</v>
      </c>
      <c r="S62" s="141">
        <f>IF(S19=0,0,S19/TrRoad_act!S32*100)</f>
        <v>3.5570170441178792</v>
      </c>
      <c r="T62" s="141">
        <f>IF(T19=0,0,T19/TrRoad_act!T32*100)</f>
        <v>3.5343785019401586</v>
      </c>
      <c r="U62" s="141">
        <f>IF(U19=0,0,U19/TrRoad_act!U32*100)</f>
        <v>3.5179129692254127</v>
      </c>
      <c r="V62" s="141">
        <f>IF(V19=0,0,V19/TrRoad_act!V32*100)</f>
        <v>3.3650406858000421</v>
      </c>
      <c r="W62" s="141">
        <f>IF(W19=0,0,W19/TrRoad_act!W32*100)</f>
        <v>3.4928979163089005</v>
      </c>
      <c r="X62" s="141">
        <f>IF(X19=0,0,X19/TrRoad_act!X32*100)</f>
        <v>3.492629476107048</v>
      </c>
      <c r="Y62" s="141">
        <f>IF(Y19=0,0,Y19/TrRoad_act!Y32*100)</f>
        <v>3.4839867800693036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6.7986725673736483</v>
      </c>
      <c r="C63" s="130">
        <f>IF(C21=0,0,C21/TrRoad_act!C33*100)</f>
        <v>6.6560672846409288</v>
      </c>
      <c r="D63" s="130">
        <f>IF(D21=0,0,D21/TrRoad_act!D33*100)</f>
        <v>6.5755736736836878</v>
      </c>
      <c r="E63" s="130">
        <f>IF(E21=0,0,E21/TrRoad_act!E33*100)</f>
        <v>6.5220689523239379</v>
      </c>
      <c r="F63" s="130">
        <f>IF(F21=0,0,F21/TrRoad_act!F33*100)</f>
        <v>6.5265603547637152</v>
      </c>
      <c r="G63" s="130">
        <f>IF(G21=0,0,G21/TrRoad_act!G33*100)</f>
        <v>6.4655799193392429</v>
      </c>
      <c r="H63" s="130">
        <f>IF(H21=0,0,H21/TrRoad_act!H33*100)</f>
        <v>6.4089045455396025</v>
      </c>
      <c r="I63" s="130">
        <f>IF(I21=0,0,I21/TrRoad_act!I33*100)</f>
        <v>6.3449488545715331</v>
      </c>
      <c r="J63" s="130">
        <f>IF(J21=0,0,J21/TrRoad_act!J33*100)</f>
        <v>6.303585211422515</v>
      </c>
      <c r="K63" s="130">
        <f>IF(K21=0,0,K21/TrRoad_act!K33*100)</f>
        <v>6.279542356459392</v>
      </c>
      <c r="L63" s="130">
        <f>IF(L21=0,0,L21/TrRoad_act!L33*100)</f>
        <v>6.1989930302778307</v>
      </c>
      <c r="M63" s="130">
        <f>IF(M21=0,0,M21/TrRoad_act!M33*100)</f>
        <v>6.0761761025432692</v>
      </c>
      <c r="N63" s="130">
        <f>IF(N21=0,0,N21/TrRoad_act!N33*100)</f>
        <v>5.9831806592559102</v>
      </c>
      <c r="O63" s="130">
        <f>IF(O21=0,0,O21/TrRoad_act!O33*100)</f>
        <v>5.912529008323455</v>
      </c>
      <c r="P63" s="130">
        <f>IF(P21=0,0,P21/TrRoad_act!P33*100)</f>
        <v>5.8145223587061663</v>
      </c>
      <c r="Q63" s="130">
        <f>IF(Q21=0,0,Q21/TrRoad_act!Q33*100)</f>
        <v>5.7530110151750566</v>
      </c>
      <c r="R63" s="130">
        <f>IF(R21=0,0,R21/TrRoad_act!R33*100)</f>
        <v>5.7838745892985921</v>
      </c>
      <c r="S63" s="130">
        <f>IF(S21=0,0,S21/TrRoad_act!S33*100)</f>
        <v>5.7340533871719757</v>
      </c>
      <c r="T63" s="130">
        <f>IF(T21=0,0,T21/TrRoad_act!T33*100)</f>
        <v>5.6934402940999114</v>
      </c>
      <c r="U63" s="130">
        <f>IF(U21=0,0,U21/TrRoad_act!U33*100)</f>
        <v>5.6266723687839333</v>
      </c>
      <c r="V63" s="130">
        <f>IF(V21=0,0,V21/TrRoad_act!V33*100)</f>
        <v>5.4851906283363361</v>
      </c>
      <c r="W63" s="130">
        <f>IF(W21=0,0,W21/TrRoad_act!W33*100)</f>
        <v>5.6241449195990434</v>
      </c>
      <c r="X63" s="130">
        <f>IF(X21=0,0,X21/TrRoad_act!X33*100)</f>
        <v>5.4627018186007232</v>
      </c>
      <c r="Y63" s="130">
        <f>IF(Y21=0,0,Y21/TrRoad_act!Y33*100)</f>
        <v>5.2862491057058563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6.5652958140075119</v>
      </c>
      <c r="C64" s="96">
        <f>IF(C22=0,0,C22/TrRoad_act!C34*100)</f>
        <v>6.5198026608569437</v>
      </c>
      <c r="D64" s="96">
        <f>IF(D22=0,0,D22/TrRoad_act!D34*100)</f>
        <v>6.4994286008748459</v>
      </c>
      <c r="E64" s="96">
        <f>IF(E22=0,0,E22/TrRoad_act!E34*100)</f>
        <v>6.4983631322111322</v>
      </c>
      <c r="F64" s="96">
        <f>IF(F22=0,0,F22/TrRoad_act!F34*100)</f>
        <v>6.5966630844239242</v>
      </c>
      <c r="G64" s="96">
        <f>IF(G22=0,0,G22/TrRoad_act!G34*100)</f>
        <v>6.5756681933024748</v>
      </c>
      <c r="H64" s="96">
        <f>IF(H22=0,0,H22/TrRoad_act!H34*100)</f>
        <v>6.5477261115801388</v>
      </c>
      <c r="I64" s="96">
        <f>IF(I22=0,0,I22/TrRoad_act!I34*100)</f>
        <v>6.5334511338485877</v>
      </c>
      <c r="J64" s="96">
        <f>IF(J22=0,0,J22/TrRoad_act!J34*100)</f>
        <v>6.5024390536304395</v>
      </c>
      <c r="K64" s="96">
        <f>IF(K22=0,0,K22/TrRoad_act!K34*100)</f>
        <v>6.5278937003679944</v>
      </c>
      <c r="L64" s="96">
        <f>IF(L22=0,0,L22/TrRoad_act!L34*100)</f>
        <v>6.4662132407074022</v>
      </c>
      <c r="M64" s="96">
        <f>IF(M22=0,0,M22/TrRoad_act!M34*100)</f>
        <v>6.3437735035800147</v>
      </c>
      <c r="N64" s="96">
        <f>IF(N22=0,0,N22/TrRoad_act!N34*100)</f>
        <v>6.286213199625033</v>
      </c>
      <c r="O64" s="96">
        <f>IF(O22=0,0,O22/TrRoad_act!O34*100)</f>
        <v>6.186349125421561</v>
      </c>
      <c r="P64" s="96">
        <f>IF(P22=0,0,P22/TrRoad_act!P34*100)</f>
        <v>6.0579459960914157</v>
      </c>
      <c r="Q64" s="96">
        <f>IF(Q22=0,0,Q22/TrRoad_act!Q34*100)</f>
        <v>5.9560491614947555</v>
      </c>
      <c r="R64" s="96">
        <f>IF(R22=0,0,R22/TrRoad_act!R34*100)</f>
        <v>6.110786699787667</v>
      </c>
      <c r="S64" s="96">
        <f>IF(S22=0,0,S22/TrRoad_act!S34*100)</f>
        <v>5.9808308065029134</v>
      </c>
      <c r="T64" s="96">
        <f>IF(T22=0,0,T22/TrRoad_act!T34*100)</f>
        <v>5.8813222946393733</v>
      </c>
      <c r="U64" s="96">
        <f>IF(U22=0,0,U22/TrRoad_act!U34*100)</f>
        <v>5.7975612438068325</v>
      </c>
      <c r="V64" s="96">
        <f>IF(V22=0,0,V22/TrRoad_act!V34*100)</f>
        <v>5.5912972948842787</v>
      </c>
      <c r="W64" s="96">
        <f>IF(W22=0,0,W22/TrRoad_act!W34*100)</f>
        <v>5.8459354165898185</v>
      </c>
      <c r="X64" s="96">
        <f>IF(X22=0,0,X22/TrRoad_act!X34*100)</f>
        <v>5.6266541690274536</v>
      </c>
      <c r="Y64" s="96">
        <f>IF(Y22=0,0,Y22/TrRoad_act!Y34*100)</f>
        <v>5.4131637212764501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6.9834253636973269</v>
      </c>
      <c r="C65" s="96">
        <f>IF(C24=0,0,C24/TrRoad_act!C35*100)</f>
        <v>6.7446573730222239</v>
      </c>
      <c r="D65" s="96">
        <f>IF(D24=0,0,D24/TrRoad_act!D35*100)</f>
        <v>6.6405368551354425</v>
      </c>
      <c r="E65" s="96">
        <f>IF(E24=0,0,E24/TrRoad_act!E35*100)</f>
        <v>6.5554681071972913</v>
      </c>
      <c r="F65" s="96">
        <f>IF(F24=0,0,F24/TrRoad_act!F35*100)</f>
        <v>6.5051677915848067</v>
      </c>
      <c r="G65" s="96">
        <f>IF(G24=0,0,G24/TrRoad_act!G35*100)</f>
        <v>6.4171142335918585</v>
      </c>
      <c r="H65" s="96">
        <f>IF(H24=0,0,H24/TrRoad_act!H35*100)</f>
        <v>6.3499581576547728</v>
      </c>
      <c r="I65" s="96">
        <f>IF(I24=0,0,I24/TrRoad_act!I35*100)</f>
        <v>6.2790593140271245</v>
      </c>
      <c r="J65" s="96">
        <f>IF(J24=0,0,J24/TrRoad_act!J35*100)</f>
        <v>6.2415668309299184</v>
      </c>
      <c r="K65" s="96">
        <f>IF(K24=0,0,K24/TrRoad_act!K35*100)</f>
        <v>6.203567959745496</v>
      </c>
      <c r="L65" s="96">
        <f>IF(L24=0,0,L24/TrRoad_act!L35*100)</f>
        <v>6.1226630068743733</v>
      </c>
      <c r="M65" s="96">
        <f>IF(M24=0,0,M24/TrRoad_act!M35*100)</f>
        <v>6.0028348302898031</v>
      </c>
      <c r="N65" s="96">
        <f>IF(N24=0,0,N24/TrRoad_act!N35*100)</f>
        <v>5.9031026055531619</v>
      </c>
      <c r="O65" s="96">
        <f>IF(O24=0,0,O24/TrRoad_act!O35*100)</f>
        <v>5.8355644010313501</v>
      </c>
      <c r="P65" s="96">
        <f>IF(P24=0,0,P24/TrRoad_act!P35*100)</f>
        <v>5.7418773865639015</v>
      </c>
      <c r="Q65" s="96">
        <f>IF(Q24=0,0,Q24/TrRoad_act!Q35*100)</f>
        <v>5.6796026293232522</v>
      </c>
      <c r="R65" s="96">
        <f>IF(R24=0,0,R24/TrRoad_act!R35*100)</f>
        <v>5.6545454113893205</v>
      </c>
      <c r="S65" s="96">
        <f>IF(S24=0,0,S24/TrRoad_act!S35*100)</f>
        <v>5.6327593505198097</v>
      </c>
      <c r="T65" s="96">
        <f>IF(T24=0,0,T24/TrRoad_act!T35*100)</f>
        <v>5.6056894555831978</v>
      </c>
      <c r="U65" s="96">
        <f>IF(U24=0,0,U24/TrRoad_act!U35*100)</f>
        <v>5.52289327249997</v>
      </c>
      <c r="V65" s="96">
        <f>IF(V24=0,0,V24/TrRoad_act!V35*100)</f>
        <v>5.4008413684498358</v>
      </c>
      <c r="W65" s="96">
        <f>IF(W24=0,0,W24/TrRoad_act!W35*100)</f>
        <v>5.4753368384749344</v>
      </c>
      <c r="X65" s="96">
        <f>IF(X24=0,0,X24/TrRoad_act!X35*100)</f>
        <v>5.4315660647683739</v>
      </c>
      <c r="Y65" s="96">
        <f>IF(Y24=0,0,Y24/TrRoad_act!Y35*100)</f>
        <v>5.4389136719606732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6.8414780092747929</v>
      </c>
      <c r="C66" s="96">
        <f>IF(C26=0,0,C26/TrRoad_act!C36*100)</f>
        <v>7.1289397142608912</v>
      </c>
      <c r="D66" s="96">
        <f>IF(D26=0,0,D26/TrRoad_act!D36*100)</f>
        <v>5.8398256474676291</v>
      </c>
      <c r="E66" s="96">
        <f>IF(E26=0,0,E26/TrRoad_act!E36*100)</f>
        <v>5.4764251496649585</v>
      </c>
      <c r="F66" s="96">
        <f>IF(F26=0,0,F26/TrRoad_act!F36*100)</f>
        <v>5.4858830166698169</v>
      </c>
      <c r="G66" s="96">
        <f>IF(G26=0,0,G26/TrRoad_act!G36*100)</f>
        <v>6.0072961786223056</v>
      </c>
      <c r="H66" s="96">
        <f>IF(H26=0,0,H26/TrRoad_act!H36*100)</f>
        <v>6.3968084047899625</v>
      </c>
      <c r="I66" s="96">
        <f>IF(I26=0,0,I26/TrRoad_act!I36*100)</f>
        <v>5.9509651569684738</v>
      </c>
      <c r="J66" s="96">
        <f>IF(J26=0,0,J26/TrRoad_act!J36*100)</f>
        <v>6.1804195941556248</v>
      </c>
      <c r="K66" s="96">
        <f>IF(K26=0,0,K26/TrRoad_act!K36*100)</f>
        <v>6.5690065806335518</v>
      </c>
      <c r="L66" s="96">
        <f>IF(L26=0,0,L26/TrRoad_act!L36*100)</f>
        <v>6.9020652916031526</v>
      </c>
      <c r="M66" s="96">
        <f>IF(M26=0,0,M26/TrRoad_act!M36*100)</f>
        <v>6.7169795450282166</v>
      </c>
      <c r="N66" s="96">
        <f>IF(N26=0,0,N26/TrRoad_act!N36*100)</f>
        <v>6.3803545863374111</v>
      </c>
      <c r="O66" s="96">
        <f>IF(O26=0,0,O26/TrRoad_act!O36*100)</f>
        <v>6.4996421976960583</v>
      </c>
      <c r="P66" s="96">
        <f>IF(P26=0,0,P26/TrRoad_act!P36*100)</f>
        <v>6.4694970479341585</v>
      </c>
      <c r="Q66" s="96">
        <f>IF(Q26=0,0,Q26/TrRoad_act!Q36*100)</f>
        <v>7.1153109744692093</v>
      </c>
      <c r="R66" s="96">
        <f>IF(R26=0,0,R26/TrRoad_act!R36*100)</f>
        <v>8.1660966843037173</v>
      </c>
      <c r="S66" s="96">
        <f>IF(S26=0,0,S26/TrRoad_act!S36*100)</f>
        <v>7.56708857857714</v>
      </c>
      <c r="T66" s="96">
        <f>IF(T26=0,0,T26/TrRoad_act!T36*100)</f>
        <v>7.2539939673374594</v>
      </c>
      <c r="U66" s="96">
        <f>IF(U26=0,0,U26/TrRoad_act!U36*100)</f>
        <v>7.4768528085494266</v>
      </c>
      <c r="V66" s="96">
        <f>IF(V26=0,0,V26/TrRoad_act!V36*100)</f>
        <v>7.2640996783412719</v>
      </c>
      <c r="W66" s="96">
        <f>IF(W26=0,0,W26/TrRoad_act!W36*100)</f>
        <v>7.0840622025986022</v>
      </c>
      <c r="X66" s="96">
        <f>IF(X26=0,0,X26/TrRoad_act!X36*100)</f>
        <v>7.1801166114107531</v>
      </c>
      <c r="Y66" s="96">
        <f>IF(Y26=0,0,Y26/TrRoad_act!Y36*100)</f>
        <v>7.464566492943228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6.6755292133835384</v>
      </c>
      <c r="G67" s="96">
        <f>IF(G27=0,0,G27/TrRoad_act!G37*100)</f>
        <v>6.5401665497059547</v>
      </c>
      <c r="H67" s="96">
        <f>IF(H27=0,0,H27/TrRoad_act!H37*100)</f>
        <v>6.0991146990208192</v>
      </c>
      <c r="I67" s="96">
        <f>IF(I27=0,0,I27/TrRoad_act!I37*100)</f>
        <v>6.0927151002476005</v>
      </c>
      <c r="J67" s="96">
        <f>IF(J27=0,0,J27/TrRoad_act!J37*100)</f>
        <v>3.9574343626016244</v>
      </c>
      <c r="K67" s="96">
        <f>IF(K27=0,0,K27/TrRoad_act!K37*100)</f>
        <v>2.9741195126071061</v>
      </c>
      <c r="L67" s="96">
        <f>IF(L27=0,0,L27/TrRoad_act!L37*100)</f>
        <v>2.5176594084020278</v>
      </c>
      <c r="M67" s="96">
        <f>IF(M27=0,0,M27/TrRoad_act!M37*100)</f>
        <v>2.9221814210680717</v>
      </c>
      <c r="N67" s="96">
        <f>IF(N27=0,0,N27/TrRoad_act!N37*100)</f>
        <v>6.168280040907085</v>
      </c>
      <c r="O67" s="96">
        <f>IF(O27=0,0,O27/TrRoad_act!O37*100)</f>
        <v>8.0736017189650742</v>
      </c>
      <c r="P67" s="96">
        <f>IF(P27=0,0,P27/TrRoad_act!P37*100)</f>
        <v>7.0247738492951211</v>
      </c>
      <c r="Q67" s="96">
        <f>IF(Q27=0,0,Q27/TrRoad_act!Q37*100)</f>
        <v>7.0787693816316573</v>
      </c>
      <c r="R67" s="96">
        <f>IF(R27=0,0,R27/TrRoad_act!R37*100)</f>
        <v>6.8465176379945172</v>
      </c>
      <c r="S67" s="96">
        <f>IF(S27=0,0,S27/TrRoad_act!S37*100)</f>
        <v>6.903647215620766</v>
      </c>
      <c r="T67" s="96">
        <f>IF(T27=0,0,T27/TrRoad_act!T37*100)</f>
        <v>6.6729778807575997</v>
      </c>
      <c r="U67" s="96">
        <f>IF(U27=0,0,U27/TrRoad_act!U37*100)</f>
        <v>9.1071611049157042</v>
      </c>
      <c r="V67" s="96">
        <f>IF(V27=0,0,V27/TrRoad_act!V37*100)</f>
        <v>13.062017811854865</v>
      </c>
      <c r="W67" s="96">
        <f>IF(W27=0,0,W27/TrRoad_act!W37*100)</f>
        <v>16.633818785240884</v>
      </c>
      <c r="X67" s="96">
        <f>IF(X27=0,0,X27/TrRoad_act!X37*100)</f>
        <v>13.510566861120058</v>
      </c>
      <c r="Y67" s="96">
        <f>IF(Y27=0,0,Y27/TrRoad_act!Y37*100)</f>
        <v>14.648926524086919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3.3398463889654582</v>
      </c>
      <c r="N68" s="96">
        <f>IF(N29=0,0,N29/TrRoad_act!N38*100)</f>
        <v>2.5135716632411342</v>
      </c>
      <c r="O68" s="96">
        <f>IF(O29=0,0,O29/TrRoad_act!O38*100)</f>
        <v>2.7428753268738659</v>
      </c>
      <c r="P68" s="96">
        <f>IF(P29=0,0,P29/TrRoad_act!P38*100)</f>
        <v>3.1088292906918764</v>
      </c>
      <c r="Q68" s="96">
        <f>IF(Q29=0,0,Q29/TrRoad_act!Q38*100)</f>
        <v>3.6678124435127533</v>
      </c>
      <c r="R68" s="96">
        <f>IF(R29=0,0,R29/TrRoad_act!R38*100)</f>
        <v>3.9693529912898944</v>
      </c>
      <c r="S68" s="96">
        <f>IF(S29=0,0,S29/TrRoad_act!S38*100)</f>
        <v>3.9308305558825718</v>
      </c>
      <c r="T68" s="96">
        <f>IF(T29=0,0,T29/TrRoad_act!T38*100)</f>
        <v>3.8527094637169501</v>
      </c>
      <c r="U68" s="96">
        <f>IF(U29=0,0,U29/TrRoad_act!U38*100)</f>
        <v>3.7353511531587023</v>
      </c>
      <c r="V68" s="96">
        <f>IF(V29=0,0,V29/TrRoad_act!V38*100)</f>
        <v>3.9865010625058352</v>
      </c>
      <c r="W68" s="96">
        <f>IF(W29=0,0,W29/TrRoad_act!W38*100)</f>
        <v>3.7356767731277301</v>
      </c>
      <c r="X68" s="96">
        <f>IF(X29=0,0,X29/TrRoad_act!X38*100)</f>
        <v>3.4310825717234499</v>
      </c>
      <c r="Y68" s="96">
        <f>IF(Y29=0,0,Y29/TrRoad_act!Y38*100)</f>
        <v>3.1206237063808073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1.2812151420517375</v>
      </c>
      <c r="K69" s="96">
        <f>IF(K32=0,0,K32/TrRoad_act!K39*100)</f>
        <v>1.281870717414008</v>
      </c>
      <c r="L69" s="96">
        <f>IF(L32=0,0,L32/TrRoad_act!L39*100)</f>
        <v>1.2719484300731638</v>
      </c>
      <c r="M69" s="96">
        <f>IF(M32=0,0,M32/TrRoad_act!M39*100)</f>
        <v>1.2758484176912592</v>
      </c>
      <c r="N69" s="96">
        <f>IF(N32=0,0,N32/TrRoad_act!N39*100)</f>
        <v>1.2809291877187534</v>
      </c>
      <c r="O69" s="96">
        <f>IF(O32=0,0,O32/TrRoad_act!O39*100)</f>
        <v>1.3148835669373409</v>
      </c>
      <c r="P69" s="96">
        <f>IF(P32=0,0,P32/TrRoad_act!P39*100)</f>
        <v>1.3296914750757203</v>
      </c>
      <c r="Q69" s="96">
        <f>IF(Q32=0,0,Q32/TrRoad_act!Q39*100)</f>
        <v>1.5454566657658306</v>
      </c>
      <c r="R69" s="96">
        <f>IF(R32=0,0,R32/TrRoad_act!R39*100)</f>
        <v>1.5936587015959562</v>
      </c>
      <c r="S69" s="96">
        <f>IF(S32=0,0,S32/TrRoad_act!S39*100)</f>
        <v>1.5739142227463612</v>
      </c>
      <c r="T69" s="96">
        <f>IF(T32=0,0,T32/TrRoad_act!T39*100)</f>
        <v>1.6690454848623679</v>
      </c>
      <c r="U69" s="96">
        <f>IF(U32=0,0,U32/TrRoad_act!U39*100)</f>
        <v>1.8176470943571177</v>
      </c>
      <c r="V69" s="96">
        <f>IF(V32=0,0,V32/TrRoad_act!V39*100)</f>
        <v>1.8014599484902916</v>
      </c>
      <c r="W69" s="96">
        <f>IF(W32=0,0,W32/TrRoad_act!W39*100)</f>
        <v>1.7625325730046413</v>
      </c>
      <c r="X69" s="96">
        <f>IF(X32=0,0,X32/TrRoad_act!X39*100)</f>
        <v>1.7411602889924667</v>
      </c>
      <c r="Y69" s="96">
        <f>IF(Y32=0,0,Y32/TrRoad_act!Y39*100)</f>
        <v>1.6800677976676461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59.259698992549104</v>
      </c>
      <c r="C70" s="130">
        <f>IF(C33=0,0,C33/TrRoad_act!C40*100)</f>
        <v>58.102884563399293</v>
      </c>
      <c r="D70" s="130">
        <f>IF(D33=0,0,D33/TrRoad_act!D40*100)</f>
        <v>56.902536556247597</v>
      </c>
      <c r="E70" s="130">
        <f>IF(E33=0,0,E33/TrRoad_act!E40*100)</f>
        <v>56.83038354905274</v>
      </c>
      <c r="F70" s="130">
        <f>IF(F33=0,0,F33/TrRoad_act!F40*100)</f>
        <v>56.783232274300076</v>
      </c>
      <c r="G70" s="130">
        <f>IF(G33=0,0,G33/TrRoad_act!G40*100)</f>
        <v>56.228176329294143</v>
      </c>
      <c r="H70" s="130">
        <f>IF(H33=0,0,H33/TrRoad_act!H40*100)</f>
        <v>56.0130797842166</v>
      </c>
      <c r="I70" s="130">
        <f>IF(I33=0,0,I33/TrRoad_act!I40*100)</f>
        <v>55.54731066687301</v>
      </c>
      <c r="J70" s="130">
        <f>IF(J33=0,0,J33/TrRoad_act!J40*100)</f>
        <v>55.547090253275833</v>
      </c>
      <c r="K70" s="130">
        <f>IF(K33=0,0,K33/TrRoad_act!K40*100)</f>
        <v>55.129762943047034</v>
      </c>
      <c r="L70" s="130">
        <f>IF(L33=0,0,L33/TrRoad_act!L40*100)</f>
        <v>54.996203732395998</v>
      </c>
      <c r="M70" s="130">
        <f>IF(M33=0,0,M33/TrRoad_act!M40*100)</f>
        <v>54.365346319829179</v>
      </c>
      <c r="N70" s="130">
        <f>IF(N33=0,0,N33/TrRoad_act!N40*100)</f>
        <v>53.782358263773268</v>
      </c>
      <c r="O70" s="130">
        <f>IF(O33=0,0,O33/TrRoad_act!O40*100)</f>
        <v>53.969277055617702</v>
      </c>
      <c r="P70" s="130">
        <f>IF(P33=0,0,P33/TrRoad_act!P40*100)</f>
        <v>54.093262078650952</v>
      </c>
      <c r="Q70" s="130">
        <f>IF(Q33=0,0,Q33/TrRoad_act!Q40*100)</f>
        <v>54.968203968828533</v>
      </c>
      <c r="R70" s="130">
        <f>IF(R33=0,0,R33/TrRoad_act!R40*100)</f>
        <v>57.221716501377614</v>
      </c>
      <c r="S70" s="130">
        <f>IF(S33=0,0,S33/TrRoad_act!S40*100)</f>
        <v>58.56137297842384</v>
      </c>
      <c r="T70" s="130">
        <f>IF(T33=0,0,T33/TrRoad_act!T40*100)</f>
        <v>60.014676443198859</v>
      </c>
      <c r="U70" s="130">
        <f>IF(U33=0,0,U33/TrRoad_act!U40*100)</f>
        <v>59.380774383783987</v>
      </c>
      <c r="V70" s="130">
        <f>IF(V33=0,0,V33/TrRoad_act!V40*100)</f>
        <v>58.542285872918917</v>
      </c>
      <c r="W70" s="130">
        <f>IF(W33=0,0,W33/TrRoad_act!W40*100)</f>
        <v>60.086548177497626</v>
      </c>
      <c r="X70" s="130">
        <f>IF(X33=0,0,X33/TrRoad_act!X40*100)</f>
        <v>59.482845768610424</v>
      </c>
      <c r="Y70" s="130">
        <f>IF(Y33=0,0,Y33/TrRoad_act!Y40*100)</f>
        <v>59.095268613583187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18.603878839264702</v>
      </c>
      <c r="C71" s="97">
        <f>IF(C34=0,0,C34/TrRoad_act!C41*100)</f>
        <v>18.603878839264702</v>
      </c>
      <c r="D71" s="97">
        <f>IF(D34=0,0,D34/TrRoad_act!D41*100)</f>
        <v>18.603878839264702</v>
      </c>
      <c r="E71" s="97">
        <f>IF(E34=0,0,E34/TrRoad_act!E41*100)</f>
        <v>18.603878839264702</v>
      </c>
      <c r="F71" s="97">
        <f>IF(F34=0,0,F34/TrRoad_act!F41*100)</f>
        <v>18.603878839264702</v>
      </c>
      <c r="G71" s="97">
        <f>IF(G34=0,0,G34/TrRoad_act!G41*100)</f>
        <v>18.603878839264702</v>
      </c>
      <c r="H71" s="97">
        <f>IF(H34=0,0,H34/TrRoad_act!H41*100)</f>
        <v>18.603878839264702</v>
      </c>
      <c r="I71" s="97">
        <f>IF(I34=0,0,I34/TrRoad_act!I41*100)</f>
        <v>18.603878839264702</v>
      </c>
      <c r="J71" s="97">
        <f>IF(J34=0,0,J34/TrRoad_act!J41*100)</f>
        <v>18.603878839264702</v>
      </c>
      <c r="K71" s="97">
        <f>IF(K34=0,0,K34/TrRoad_act!K41*100)</f>
        <v>18.555241213009964</v>
      </c>
      <c r="L71" s="97">
        <f>IF(L34=0,0,L34/TrRoad_act!L41*100)</f>
        <v>18.438546507517898</v>
      </c>
      <c r="M71" s="97">
        <f>IF(M34=0,0,M34/TrRoad_act!M41*100)</f>
        <v>18.303029946130891</v>
      </c>
      <c r="N71" s="97">
        <f>IF(N34=0,0,N34/TrRoad_act!N41*100)</f>
        <v>18.299791462288191</v>
      </c>
      <c r="O71" s="97">
        <f>IF(O34=0,0,O34/TrRoad_act!O41*100)</f>
        <v>18.28806819550767</v>
      </c>
      <c r="P71" s="97">
        <f>IF(P34=0,0,P34/TrRoad_act!P41*100)</f>
        <v>18.273483889136681</v>
      </c>
      <c r="Q71" s="97">
        <f>IF(Q34=0,0,Q34/TrRoad_act!Q41*100)</f>
        <v>18.177993559279553</v>
      </c>
      <c r="R71" s="97">
        <f>IF(R34=0,0,R34/TrRoad_act!R41*100)</f>
        <v>18.078222787779183</v>
      </c>
      <c r="S71" s="97">
        <f>IF(S34=0,0,S34/TrRoad_act!S41*100)</f>
        <v>18.065335333204128</v>
      </c>
      <c r="T71" s="97">
        <f>IF(T34=0,0,T34/TrRoad_act!T41*100)</f>
        <v>18.065335333204128</v>
      </c>
      <c r="U71" s="97">
        <f>IF(U34=0,0,U34/TrRoad_act!U41*100)</f>
        <v>18.065335333204128</v>
      </c>
      <c r="V71" s="97">
        <f>IF(V34=0,0,V34/TrRoad_act!V41*100)</f>
        <v>18.065335333204128</v>
      </c>
      <c r="W71" s="97">
        <f>IF(W34=0,0,W34/TrRoad_act!W41*100)</f>
        <v>18.061122351608578</v>
      </c>
      <c r="X71" s="97">
        <f>IF(X34=0,0,X34/TrRoad_act!X41*100)</f>
        <v>18.056842934677178</v>
      </c>
      <c r="Y71" s="97">
        <f>IF(Y34=0,0,Y34/TrRoad_act!Y41*100)</f>
        <v>18.052495498473391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59.815418784353035</v>
      </c>
      <c r="C72" s="97">
        <f>IF(C36=0,0,C36/TrRoad_act!C42*100)</f>
        <v>58.632316321119212</v>
      </c>
      <c r="D72" s="97">
        <f>IF(D36=0,0,D36/TrRoad_act!D42*100)</f>
        <v>57.374867793494275</v>
      </c>
      <c r="E72" s="97">
        <f>IF(E36=0,0,E36/TrRoad_act!E42*100)</f>
        <v>57.304339613751907</v>
      </c>
      <c r="F72" s="97">
        <f>IF(F36=0,0,F36/TrRoad_act!F42*100)</f>
        <v>57.245100702496202</v>
      </c>
      <c r="G72" s="97">
        <f>IF(G36=0,0,G36/TrRoad_act!G42*100)</f>
        <v>56.719224598110173</v>
      </c>
      <c r="H72" s="97">
        <f>IF(H36=0,0,H36/TrRoad_act!H42*100)</f>
        <v>56.467846044848535</v>
      </c>
      <c r="I72" s="97">
        <f>IF(I36=0,0,I36/TrRoad_act!I42*100)</f>
        <v>55.974931589777313</v>
      </c>
      <c r="J72" s="97">
        <f>IF(J36=0,0,J36/TrRoad_act!J42*100)</f>
        <v>55.936664904082875</v>
      </c>
      <c r="K72" s="97">
        <f>IF(K36=0,0,K36/TrRoad_act!K42*100)</f>
        <v>55.489722475034867</v>
      </c>
      <c r="L72" s="97">
        <f>IF(L36=0,0,L36/TrRoad_act!L42*100)</f>
        <v>55.32492715195022</v>
      </c>
      <c r="M72" s="97">
        <f>IF(M36=0,0,M36/TrRoad_act!M42*100)</f>
        <v>54.683012084170066</v>
      </c>
      <c r="N72" s="97">
        <f>IF(N36=0,0,N36/TrRoad_act!N42*100)</f>
        <v>54.087429171183729</v>
      </c>
      <c r="O72" s="97">
        <f>IF(O36=0,0,O36/TrRoad_act!O42*100)</f>
        <v>54.262497909467022</v>
      </c>
      <c r="P72" s="97">
        <f>IF(P36=0,0,P36/TrRoad_act!P42*100)</f>
        <v>54.366592740226295</v>
      </c>
      <c r="Q72" s="97">
        <f>IF(Q36=0,0,Q36/TrRoad_act!Q42*100)</f>
        <v>55.242763585074862</v>
      </c>
      <c r="R72" s="97">
        <f>IF(R36=0,0,R36/TrRoad_act!R42*100)</f>
        <v>57.534777210941797</v>
      </c>
      <c r="S72" s="97">
        <f>IF(S36=0,0,S36/TrRoad_act!S42*100)</f>
        <v>58.874740871159247</v>
      </c>
      <c r="T72" s="97">
        <f>IF(T36=0,0,T36/TrRoad_act!T42*100)</f>
        <v>60.364473507211024</v>
      </c>
      <c r="U72" s="97">
        <f>IF(U36=0,0,U36/TrRoad_act!U42*100)</f>
        <v>59.773371416175578</v>
      </c>
      <c r="V72" s="97">
        <f>IF(V36=0,0,V36/TrRoad_act!V42*100)</f>
        <v>58.895657390964743</v>
      </c>
      <c r="W72" s="97">
        <f>IF(W36=0,0,W36/TrRoad_act!W42*100)</f>
        <v>59.960035532578729</v>
      </c>
      <c r="X72" s="97">
        <f>IF(X36=0,0,X36/TrRoad_act!X42*100)</f>
        <v>59.572168713066766</v>
      </c>
      <c r="Y72" s="97">
        <f>IF(Y36=0,0,Y36/TrRoad_act!Y42*100)</f>
        <v>59.489546474685341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37.464053432807596</v>
      </c>
      <c r="P74" s="97">
        <f>IF(P39=0,0,P39/TrRoad_act!P44*100)</f>
        <v>50.303418553497373</v>
      </c>
      <c r="Q74" s="97">
        <f>IF(Q39=0,0,Q39/TrRoad_act!Q44*100)</f>
        <v>50.81495673576876</v>
      </c>
      <c r="R74" s="97">
        <f>IF(R39=0,0,R39/TrRoad_act!R44*100)</f>
        <v>48.834886347183001</v>
      </c>
      <c r="S74" s="97">
        <f>IF(S39=0,0,S39/TrRoad_act!S44*100)</f>
        <v>48.932085577346079</v>
      </c>
      <c r="T74" s="97">
        <f>IF(T39=0,0,T39/TrRoad_act!T44*100)</f>
        <v>46.244282494025221</v>
      </c>
      <c r="U74" s="97">
        <f>IF(U39=0,0,U39/TrRoad_act!U44*100)</f>
        <v>64.939199089456707</v>
      </c>
      <c r="V74" s="97">
        <f>IF(V39=0,0,V39/TrRoad_act!V44*100)</f>
        <v>95.535771086202175</v>
      </c>
      <c r="W74" s="97">
        <f>IF(W39=0,0,W39/TrRoad_act!W44*100)</f>
        <v>122.4687520135798</v>
      </c>
      <c r="X74" s="97">
        <f>IF(X39=0,0,X39/TrRoad_act!X44*100)</f>
        <v>99.855926980722813</v>
      </c>
      <c r="Y74" s="97">
        <f>IF(Y39=0,0,Y39/TrRoad_act!Y44*100)</f>
        <v>108.46756747624364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27.827075979691756</v>
      </c>
      <c r="C75" s="97">
        <f>IF(C41=0,0,C41/TrRoad_act!C45*100)</f>
        <v>27.827075979691763</v>
      </c>
      <c r="D75" s="97">
        <f>IF(D41=0,0,D41/TrRoad_act!D45*100)</f>
        <v>27.827075979691756</v>
      </c>
      <c r="E75" s="97">
        <f>IF(E41=0,0,E41/TrRoad_act!E45*100)</f>
        <v>27.827075979691756</v>
      </c>
      <c r="F75" s="97">
        <f>IF(F41=0,0,F41/TrRoad_act!F45*100)</f>
        <v>27.827075979691756</v>
      </c>
      <c r="G75" s="97">
        <f>IF(G41=0,0,G41/TrRoad_act!G45*100)</f>
        <v>26.063325425021784</v>
      </c>
      <c r="H75" s="97">
        <f>IF(H41=0,0,H41/TrRoad_act!H45*100)</f>
        <v>26.063325425021784</v>
      </c>
      <c r="I75" s="97">
        <f>IF(I41=0,0,I41/TrRoad_act!I45*100)</f>
        <v>26.005875496909216</v>
      </c>
      <c r="J75" s="97">
        <f>IF(J41=0,0,J41/TrRoad_act!J45*100)</f>
        <v>25.934456827190395</v>
      </c>
      <c r="K75" s="97">
        <f>IF(K41=0,0,K41/TrRoad_act!K45*100)</f>
        <v>25.934456827190385</v>
      </c>
      <c r="L75" s="97">
        <f>IF(L41=0,0,L41/TrRoad_act!L45*100)</f>
        <v>25.934456827190388</v>
      </c>
      <c r="M75" s="97">
        <f>IF(M41=0,0,M41/TrRoad_act!M45*100)</f>
        <v>25.934456827190388</v>
      </c>
      <c r="N75" s="97">
        <f>IF(N41=0,0,N41/TrRoad_act!N45*100)</f>
        <v>25.934456827190388</v>
      </c>
      <c r="O75" s="97">
        <f>IF(O41=0,0,O41/TrRoad_act!O45*100)</f>
        <v>25.934456827190388</v>
      </c>
      <c r="P75" s="97">
        <f>IF(P41=0,0,P41/TrRoad_act!P45*100)</f>
        <v>25.661491772508207</v>
      </c>
      <c r="Q75" s="97">
        <f>IF(Q41=0,0,Q41/TrRoad_act!Q45*100)</f>
        <v>25.629709563234744</v>
      </c>
      <c r="R75" s="97">
        <f>IF(R41=0,0,R41/TrRoad_act!R45*100)</f>
        <v>25.610871518156969</v>
      </c>
      <c r="S75" s="97">
        <f>IF(S41=0,0,S41/TrRoad_act!S45*100)</f>
        <v>25.5895510631468</v>
      </c>
      <c r="T75" s="97">
        <f>IF(T41=0,0,T41/TrRoad_act!T45*100)</f>
        <v>26.378988417767861</v>
      </c>
      <c r="U75" s="97">
        <f>IF(U41=0,0,U41/TrRoad_act!U45*100)</f>
        <v>26.330991737956762</v>
      </c>
      <c r="V75" s="97">
        <f>IF(V41=0,0,V41/TrRoad_act!V45*100)</f>
        <v>26.27279306456181</v>
      </c>
      <c r="W75" s="97">
        <f>IF(W41=0,0,W41/TrRoad_act!W45*100)</f>
        <v>26.107827073513302</v>
      </c>
      <c r="X75" s="97">
        <f>IF(X41=0,0,X41/TrRoad_act!X45*100)</f>
        <v>25.844389093641418</v>
      </c>
      <c r="Y75" s="97">
        <f>IF(Y41=0,0,Y41/TrRoad_act!Y45*100)</f>
        <v>25.080969659929437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18.853161145340856</v>
      </c>
      <c r="C76" s="32">
        <f>IF(C42=0,0,C42/TrRoad_act!C46*100)</f>
        <v>19.242118711953871</v>
      </c>
      <c r="D76" s="32">
        <f>IF(D42=0,0,D42/TrRoad_act!D46*100)</f>
        <v>18.73491663231345</v>
      </c>
      <c r="E76" s="32">
        <f>IF(E42=0,0,E42/TrRoad_act!E46*100)</f>
        <v>18.567275079239472</v>
      </c>
      <c r="F76" s="32">
        <f>IF(F42=0,0,F42/TrRoad_act!F46*100)</f>
        <v>18.642786527692394</v>
      </c>
      <c r="G76" s="32">
        <f>IF(G42=0,0,G42/TrRoad_act!G46*100)</f>
        <v>18.162144877338278</v>
      </c>
      <c r="H76" s="32">
        <f>IF(H42=0,0,H42/TrRoad_act!H46*100)</f>
        <v>18.162953576113964</v>
      </c>
      <c r="I76" s="32">
        <f>IF(I42=0,0,I42/TrRoad_act!I46*100)</f>
        <v>17.810643746539885</v>
      </c>
      <c r="J76" s="32">
        <f>IF(J42=0,0,J42/TrRoad_act!J46*100)</f>
        <v>17.312219095294179</v>
      </c>
      <c r="K76" s="32">
        <f>IF(K42=0,0,K42/TrRoad_act!K46*100)</f>
        <v>16.807883578184367</v>
      </c>
      <c r="L76" s="32">
        <f>IF(L42=0,0,L42/TrRoad_act!L46*100)</f>
        <v>16.834997163900102</v>
      </c>
      <c r="M76" s="32">
        <f>IF(M42=0,0,M42/TrRoad_act!M46*100)</f>
        <v>16.592002491419134</v>
      </c>
      <c r="N76" s="32">
        <f>IF(N42=0,0,N42/TrRoad_act!N46*100)</f>
        <v>16.196809138289925</v>
      </c>
      <c r="O76" s="32">
        <f>IF(O42=0,0,O42/TrRoad_act!O46*100)</f>
        <v>16.648150277342172</v>
      </c>
      <c r="P76" s="32">
        <f>IF(P42=0,0,P42/TrRoad_act!P46*100)</f>
        <v>16.449246463597415</v>
      </c>
      <c r="Q76" s="32">
        <f>IF(Q42=0,0,Q42/TrRoad_act!Q46*100)</f>
        <v>16.895058937624583</v>
      </c>
      <c r="R76" s="32">
        <f>IF(R42=0,0,R42/TrRoad_act!R46*100)</f>
        <v>18.757804667159686</v>
      </c>
      <c r="S76" s="32">
        <f>IF(S42=0,0,S42/TrRoad_act!S46*100)</f>
        <v>19.917984219271545</v>
      </c>
      <c r="T76" s="32">
        <f>IF(T42=0,0,T42/TrRoad_act!T46*100)</f>
        <v>20.19124057609071</v>
      </c>
      <c r="U76" s="32">
        <f>IF(U42=0,0,U42/TrRoad_act!U46*100)</f>
        <v>19.746682582759085</v>
      </c>
      <c r="V76" s="32">
        <f>IF(V42=0,0,V42/TrRoad_act!V46*100)</f>
        <v>19.639151075548629</v>
      </c>
      <c r="W76" s="32">
        <f>IF(W42=0,0,W42/TrRoad_act!W46*100)</f>
        <v>19.153318468232644</v>
      </c>
      <c r="X76" s="32">
        <f>IF(X42=0,0,X42/TrRoad_act!X46*100)</f>
        <v>19.298266706040597</v>
      </c>
      <c r="Y76" s="32">
        <f>IF(Y42=0,0,Y42/TrRoad_act!Y46*100)</f>
        <v>19.090614856675376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13.726434793703682</v>
      </c>
      <c r="C77" s="141">
        <f>IF(C43=0,0,C43/TrRoad_act!C47*100)</f>
        <v>12.873562700379079</v>
      </c>
      <c r="D77" s="141">
        <f>IF(D43=0,0,D43/TrRoad_act!D47*100)</f>
        <v>12.500178314445233</v>
      </c>
      <c r="E77" s="141">
        <f>IF(E43=0,0,E43/TrRoad_act!E47*100)</f>
        <v>11.892548391033428</v>
      </c>
      <c r="F77" s="141">
        <f>IF(F43=0,0,F43/TrRoad_act!F47*100)</f>
        <v>11.371369432742751</v>
      </c>
      <c r="G77" s="141">
        <f>IF(G43=0,0,G43/TrRoad_act!G47*100)</f>
        <v>10.963360257021213</v>
      </c>
      <c r="H77" s="141">
        <f>IF(H43=0,0,H43/TrRoad_act!H47*100)</f>
        <v>10.655845048551365</v>
      </c>
      <c r="I77" s="141">
        <f>IF(I43=0,0,I43/TrRoad_act!I47*100)</f>
        <v>10.376704046971435</v>
      </c>
      <c r="J77" s="141">
        <f>IF(J43=0,0,J43/TrRoad_act!J47*100)</f>
        <v>10.074217315720217</v>
      </c>
      <c r="K77" s="141">
        <f>IF(K43=0,0,K43/TrRoad_act!K47*100)</f>
        <v>9.8151645720508061</v>
      </c>
      <c r="L77" s="141">
        <f>IF(L43=0,0,L43/TrRoad_act!L47*100)</f>
        <v>9.7234723931525266</v>
      </c>
      <c r="M77" s="141">
        <f>IF(M43=0,0,M43/TrRoad_act!M47*100)</f>
        <v>9.7329103031417592</v>
      </c>
      <c r="N77" s="141">
        <f>IF(N43=0,0,N43/TrRoad_act!N47*100)</f>
        <v>9.6733246628161833</v>
      </c>
      <c r="O77" s="141">
        <f>IF(O43=0,0,O43/TrRoad_act!O47*100)</f>
        <v>9.6144180601335538</v>
      </c>
      <c r="P77" s="141">
        <f>IF(P43=0,0,P43/TrRoad_act!P47*100)</f>
        <v>9.546356640700262</v>
      </c>
      <c r="Q77" s="141">
        <f>IF(Q43=0,0,Q43/TrRoad_act!Q47*100)</f>
        <v>9.4676737004552933</v>
      </c>
      <c r="R77" s="141">
        <f>IF(R43=0,0,R43/TrRoad_act!R47*100)</f>
        <v>9.3925676475758877</v>
      </c>
      <c r="S77" s="141">
        <f>IF(S43=0,0,S43/TrRoad_act!S47*100)</f>
        <v>9.265181789002682</v>
      </c>
      <c r="T77" s="141">
        <f>IF(T43=0,0,T43/TrRoad_act!T47*100)</f>
        <v>9.1645661926738793</v>
      </c>
      <c r="U77" s="141">
        <f>IF(U43=0,0,U43/TrRoad_act!U47*100)</f>
        <v>9.0871262122686556</v>
      </c>
      <c r="V77" s="141">
        <f>IF(V43=0,0,V43/TrRoad_act!V47*100)</f>
        <v>9.0981931348507832</v>
      </c>
      <c r="W77" s="141">
        <f>IF(W43=0,0,W43/TrRoad_act!W47*100)</f>
        <v>9.1241850657295505</v>
      </c>
      <c r="X77" s="141">
        <f>IF(X43=0,0,X43/TrRoad_act!X47*100)</f>
        <v>9.0786834681411257</v>
      </c>
      <c r="Y77" s="141">
        <f>IF(Y43=0,0,Y43/TrRoad_act!Y47*100)</f>
        <v>9.1036775527971301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12.734419118554058</v>
      </c>
      <c r="C78" s="96">
        <f>IF(C44=0,0,C44/TrRoad_act!C48*100)</f>
        <v>12.098127320164524</v>
      </c>
      <c r="D78" s="96">
        <f>IF(D44=0,0,D44/TrRoad_act!D48*100)</f>
        <v>11.541204279866015</v>
      </c>
      <c r="E78" s="96">
        <f>IF(E44=0,0,E44/TrRoad_act!E48*100)</f>
        <v>11.086820791888902</v>
      </c>
      <c r="F78" s="96">
        <f>IF(F44=0,0,F44/TrRoad_act!F48*100)</f>
        <v>10.692983146394655</v>
      </c>
      <c r="G78" s="96">
        <f>IF(G44=0,0,G44/TrRoad_act!G48*100)</f>
        <v>10.38752233432051</v>
      </c>
      <c r="H78" s="96">
        <f>IF(H44=0,0,H44/TrRoad_act!H48*100)</f>
        <v>10.169434110769075</v>
      </c>
      <c r="I78" s="96">
        <f>IF(I44=0,0,I44/TrRoad_act!I48*100)</f>
        <v>9.9111878516343683</v>
      </c>
      <c r="J78" s="96">
        <f>IF(J44=0,0,J44/TrRoad_act!J48*100)</f>
        <v>9.4935690244366153</v>
      </c>
      <c r="K78" s="96">
        <f>IF(K44=0,0,K44/TrRoad_act!K48*100)</f>
        <v>9.1173458902938886</v>
      </c>
      <c r="L78" s="96">
        <f>IF(L44=0,0,L44/TrRoad_act!L48*100)</f>
        <v>8.9522332452280544</v>
      </c>
      <c r="M78" s="96">
        <f>IF(M44=0,0,M44/TrRoad_act!M48*100)</f>
        <v>8.9744339071982218</v>
      </c>
      <c r="N78" s="96">
        <f>IF(N44=0,0,N44/TrRoad_act!N48*100)</f>
        <v>8.9598827260314309</v>
      </c>
      <c r="O78" s="96">
        <f>IF(O44=0,0,O44/TrRoad_act!O48*100)</f>
        <v>8.9079308809757567</v>
      </c>
      <c r="P78" s="96">
        <f>IF(P44=0,0,P44/TrRoad_act!P48*100)</f>
        <v>8.8459594025715163</v>
      </c>
      <c r="Q78" s="96">
        <f>IF(Q44=0,0,Q44/TrRoad_act!Q48*100)</f>
        <v>8.7335837029141832</v>
      </c>
      <c r="R78" s="96">
        <f>IF(R44=0,0,R44/TrRoad_act!R48*100)</f>
        <v>8.5492454872529304</v>
      </c>
      <c r="S78" s="96">
        <f>IF(S44=0,0,S44/TrRoad_act!S48*100)</f>
        <v>8.3641632690392367</v>
      </c>
      <c r="T78" s="96">
        <f>IF(T44=0,0,T44/TrRoad_act!T48*100)</f>
        <v>8.2769332492322114</v>
      </c>
      <c r="U78" s="96">
        <f>IF(U44=0,0,U44/TrRoad_act!U48*100)</f>
        <v>8.2027797367279476</v>
      </c>
      <c r="V78" s="96">
        <f>IF(V44=0,0,V44/TrRoad_act!V48*100)</f>
        <v>8.1139940205519974</v>
      </c>
      <c r="W78" s="96">
        <f>IF(W44=0,0,W44/TrRoad_act!W48*100)</f>
        <v>8.0258159123346982</v>
      </c>
      <c r="X78" s="96">
        <f>IF(X44=0,0,X44/TrRoad_act!X48*100)</f>
        <v>7.9919435536795618</v>
      </c>
      <c r="Y78" s="96">
        <f>IF(Y44=0,0,Y44/TrRoad_act!Y48*100)</f>
        <v>8.0957573140524861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13.568044069689686</v>
      </c>
      <c r="C79" s="96">
        <f>IF(C46=0,0,C46/TrRoad_act!C49*100)</f>
        <v>12.711808068291457</v>
      </c>
      <c r="D79" s="96">
        <f>IF(D46=0,0,D46/TrRoad_act!D49*100)</f>
        <v>12.357847582711063</v>
      </c>
      <c r="E79" s="96">
        <f>IF(E46=0,0,E46/TrRoad_act!E49*100)</f>
        <v>11.753635680018595</v>
      </c>
      <c r="F79" s="96">
        <f>IF(F46=0,0,F46/TrRoad_act!F49*100)</f>
        <v>11.241563981414981</v>
      </c>
      <c r="G79" s="96">
        <f>IF(G46=0,0,G46/TrRoad_act!G49*100)</f>
        <v>10.847636836649077</v>
      </c>
      <c r="H79" s="96">
        <f>IF(H46=0,0,H46/TrRoad_act!H49*100)</f>
        <v>10.55276645643159</v>
      </c>
      <c r="I79" s="96">
        <f>IF(I46=0,0,I46/TrRoad_act!I49*100)</f>
        <v>10.29152444534348</v>
      </c>
      <c r="J79" s="96">
        <f>IF(J46=0,0,J46/TrRoad_act!J49*100)</f>
        <v>10.014370385775049</v>
      </c>
      <c r="K79" s="96">
        <f>IF(K46=0,0,K46/TrRoad_act!K49*100)</f>
        <v>9.776391962646116</v>
      </c>
      <c r="L79" s="96">
        <f>IF(L46=0,0,L46/TrRoad_act!L49*100)</f>
        <v>9.7002271253193779</v>
      </c>
      <c r="M79" s="96">
        <f>IF(M46=0,0,M46/TrRoad_act!M49*100)</f>
        <v>9.7112752778755418</v>
      </c>
      <c r="N79" s="96">
        <f>IF(N46=0,0,N46/TrRoad_act!N49*100)</f>
        <v>9.6557546544683763</v>
      </c>
      <c r="O79" s="96">
        <f>IF(O46=0,0,O46/TrRoad_act!O49*100)</f>
        <v>9.6039633661688129</v>
      </c>
      <c r="P79" s="96">
        <f>IF(P46=0,0,P46/TrRoad_act!P49*100)</f>
        <v>9.538954198550508</v>
      </c>
      <c r="Q79" s="96">
        <f>IF(Q46=0,0,Q46/TrRoad_act!Q49*100)</f>
        <v>9.4663485538416658</v>
      </c>
      <c r="R79" s="96">
        <f>IF(R46=0,0,R46/TrRoad_act!R49*100)</f>
        <v>9.3969374029631396</v>
      </c>
      <c r="S79" s="96">
        <f>IF(S46=0,0,S46/TrRoad_act!S49*100)</f>
        <v>9.2755000595307724</v>
      </c>
      <c r="T79" s="96">
        <f>IF(T46=0,0,T46/TrRoad_act!T49*100)</f>
        <v>9.1822547086805901</v>
      </c>
      <c r="U79" s="96">
        <f>IF(U46=0,0,U46/TrRoad_act!U49*100)</f>
        <v>9.0990642377994835</v>
      </c>
      <c r="V79" s="96">
        <f>IF(V46=0,0,V46/TrRoad_act!V49*100)</f>
        <v>9.0842771563709075</v>
      </c>
      <c r="W79" s="96">
        <f>IF(W46=0,0,W46/TrRoad_act!W49*100)</f>
        <v>9.0930060717393157</v>
      </c>
      <c r="X79" s="96">
        <f>IF(X46=0,0,X46/TrRoad_act!X49*100)</f>
        <v>9.0793050877365591</v>
      </c>
      <c r="Y79" s="96">
        <f>IF(Y46=0,0,Y46/TrRoad_act!Y49*100)</f>
        <v>9.0932699047298531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21.202228083387141</v>
      </c>
      <c r="C80" s="96">
        <f>IF(C48=0,0,C48/TrRoad_act!C50*100)</f>
        <v>19.619719452636573</v>
      </c>
      <c r="D80" s="96">
        <f>IF(D48=0,0,D48/TrRoad_act!D50*100)</f>
        <v>19.164534181981864</v>
      </c>
      <c r="E80" s="96">
        <f>IF(E48=0,0,E48/TrRoad_act!E50*100)</f>
        <v>18.791641486542979</v>
      </c>
      <c r="F80" s="96">
        <f>IF(F48=0,0,F48/TrRoad_act!F50*100)</f>
        <v>17.983711887634993</v>
      </c>
      <c r="G80" s="96">
        <f>IF(G48=0,0,G48/TrRoad_act!G50*100)</f>
        <v>17.27486514816805</v>
      </c>
      <c r="H80" s="96">
        <f>IF(H48=0,0,H48/TrRoad_act!H50*100)</f>
        <v>16.500244260751622</v>
      </c>
      <c r="I80" s="96">
        <f>IF(I48=0,0,I48/TrRoad_act!I50*100)</f>
        <v>15.952269269072659</v>
      </c>
      <c r="J80" s="96">
        <f>IF(J48=0,0,J48/TrRoad_act!J50*100)</f>
        <v>14.936248904599456</v>
      </c>
      <c r="K80" s="96">
        <f>IF(K48=0,0,K48/TrRoad_act!K50*100)</f>
        <v>14.013417765548084</v>
      </c>
      <c r="L80" s="96">
        <f>IF(L48=0,0,L48/TrRoad_act!L50*100)</f>
        <v>13.414658960528611</v>
      </c>
      <c r="M80" s="96">
        <f>IF(M48=0,0,M48/TrRoad_act!M50*100)</f>
        <v>13.141432583862381</v>
      </c>
      <c r="N80" s="96">
        <f>IF(N48=0,0,N48/TrRoad_act!N50*100)</f>
        <v>12.989868275699418</v>
      </c>
      <c r="O80" s="96">
        <f>IF(O48=0,0,O48/TrRoad_act!O50*100)</f>
        <v>12.905949335092432</v>
      </c>
      <c r="P80" s="96">
        <f>IF(P48=0,0,P48/TrRoad_act!P50*100)</f>
        <v>12.848331193945947</v>
      </c>
      <c r="Q80" s="96">
        <f>IF(Q48=0,0,Q48/TrRoad_act!Q50*100)</f>
        <v>12.841318488581724</v>
      </c>
      <c r="R80" s="96">
        <f>IF(R48=0,0,R48/TrRoad_act!R50*100)</f>
        <v>12.842498684541589</v>
      </c>
      <c r="S80" s="96">
        <f>IF(S48=0,0,S48/TrRoad_act!S50*100)</f>
        <v>12.839285538485182</v>
      </c>
      <c r="T80" s="96">
        <f>IF(T48=0,0,T48/TrRoad_act!T50*100)</f>
        <v>12.834406634792828</v>
      </c>
      <c r="U80" s="96">
        <f>IF(U48=0,0,U48/TrRoad_act!U50*100)</f>
        <v>12.829824564091199</v>
      </c>
      <c r="V80" s="96">
        <f>IF(V48=0,0,V48/TrRoad_act!V50*100)</f>
        <v>12.666891050262533</v>
      </c>
      <c r="W80" s="96">
        <f>IF(W48=0,0,W48/TrRoad_act!W50*100)</f>
        <v>12.597849465886027</v>
      </c>
      <c r="X80" s="96">
        <f>IF(X48=0,0,X48/TrRoad_act!X50*100)</f>
        <v>12.381467196554848</v>
      </c>
      <c r="Y80" s="96">
        <f>IF(Y48=0,0,Y48/TrRoad_act!Y50*100)</f>
        <v>12.201604103007991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9.3653638287758341</v>
      </c>
      <c r="K81" s="96">
        <f>IF(K49=0,0,K49/TrRoad_act!K51*100)</f>
        <v>9.2889686530690323</v>
      </c>
      <c r="L81" s="96">
        <f>IF(L49=0,0,L49/TrRoad_act!L51*100)</f>
        <v>9.2342911626718447</v>
      </c>
      <c r="M81" s="96">
        <f>IF(M49=0,0,M49/TrRoad_act!M51*100)</f>
        <v>9.2229424076517361</v>
      </c>
      <c r="N81" s="96">
        <f>IF(N49=0,0,N49/TrRoad_act!N51*100)</f>
        <v>9.2708666943873421</v>
      </c>
      <c r="O81" s="96">
        <f>IF(O49=0,0,O49/TrRoad_act!O51*100)</f>
        <v>9.3114146184076603</v>
      </c>
      <c r="P81" s="96">
        <f>IF(P49=0,0,P49/TrRoad_act!P51*100)</f>
        <v>9.5843136978052073</v>
      </c>
      <c r="Q81" s="96">
        <f>IF(Q49=0,0,Q49/TrRoad_act!Q51*100)</f>
        <v>10.196166304233506</v>
      </c>
      <c r="R81" s="96">
        <f>IF(R49=0,0,R49/TrRoad_act!R51*100)</f>
        <v>10.250994834922457</v>
      </c>
      <c r="S81" s="96">
        <f>IF(S49=0,0,S49/TrRoad_act!S51*100)</f>
        <v>9.9759817614176871</v>
      </c>
      <c r="T81" s="96">
        <f>IF(T49=0,0,T49/TrRoad_act!T51*100)</f>
        <v>9.4090133244794991</v>
      </c>
      <c r="U81" s="96">
        <f>IF(U49=0,0,U49/TrRoad_act!U51*100)</f>
        <v>12.875955207608069</v>
      </c>
      <c r="V81" s="96">
        <f>IF(V49=0,0,V49/TrRoad_act!V51*100)</f>
        <v>19.408299644685211</v>
      </c>
      <c r="W81" s="96">
        <f>IF(W49=0,0,W49/TrRoad_act!W51*100)</f>
        <v>25.192579453582564</v>
      </c>
      <c r="X81" s="96">
        <f>IF(X49=0,0,X49/TrRoad_act!X51*100)</f>
        <v>21.222524053524662</v>
      </c>
      <c r="Y81" s="96">
        <f>IF(Y49=0,0,Y49/TrRoad_act!Y51*100)</f>
        <v>23.604367668919942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1.6044675276222102</v>
      </c>
      <c r="K82" s="96">
        <f>IF(K51=0,0,K51/TrRoad_act!K52*100)</f>
        <v>1.605305386206344</v>
      </c>
      <c r="L82" s="96">
        <f>IF(L51=0,0,L51/TrRoad_act!L52*100)</f>
        <v>1.6055563017058472</v>
      </c>
      <c r="M82" s="96">
        <f>IF(M51=0,0,M51/TrRoad_act!M52*100)</f>
        <v>1.6158029953779358</v>
      </c>
      <c r="N82" s="96">
        <f>IF(N51=0,0,N51/TrRoad_act!N52*100)</f>
        <v>1.6406329936693393</v>
      </c>
      <c r="O82" s="96">
        <f>IF(O51=0,0,O51/TrRoad_act!O52*100)</f>
        <v>1.6422357544036883</v>
      </c>
      <c r="P82" s="96">
        <f>IF(P51=0,0,P51/TrRoad_act!P52*100)</f>
        <v>1.6509826032321757</v>
      </c>
      <c r="Q82" s="96">
        <f>IF(Q51=0,0,Q51/TrRoad_act!Q52*100)</f>
        <v>1.6730342882433442</v>
      </c>
      <c r="R82" s="96">
        <f>IF(R51=0,0,R51/TrRoad_act!R52*100)</f>
        <v>1.7225423815908989</v>
      </c>
      <c r="S82" s="96">
        <f>IF(S51=0,0,S51/TrRoad_act!S52*100)</f>
        <v>1.7563938689077452</v>
      </c>
      <c r="T82" s="96">
        <f>IF(T51=0,0,T51/TrRoad_act!T52*100)</f>
        <v>1.8390224596326394</v>
      </c>
      <c r="U82" s="96">
        <f>IF(U51=0,0,U51/TrRoad_act!U52*100)</f>
        <v>1.9956375455926458</v>
      </c>
      <c r="V82" s="96">
        <f>IF(V51=0,0,V51/TrRoad_act!V52*100)</f>
        <v>2.2351814815273818</v>
      </c>
      <c r="W82" s="96">
        <f>IF(W51=0,0,W51/TrRoad_act!W52*100)</f>
        <v>2.4200098435173527</v>
      </c>
      <c r="X82" s="96">
        <f>IF(X51=0,0,X51/TrRoad_act!X52*100)</f>
        <v>2.5861546032380889</v>
      </c>
      <c r="Y82" s="96">
        <f>IF(Y51=0,0,Y51/TrRoad_act!Y52*100)</f>
        <v>2.7259243153401234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30.394684992953451</v>
      </c>
      <c r="C83" s="130">
        <f>IF(C52=0,0,C52/TrRoad_act!C53*100)</f>
        <v>33.471810072702894</v>
      </c>
      <c r="D83" s="130">
        <f>IF(D52=0,0,D52/TrRoad_act!D53*100)</f>
        <v>33.199630642403712</v>
      </c>
      <c r="E83" s="130">
        <f>IF(E52=0,0,E52/TrRoad_act!E53*100)</f>
        <v>35.504808457054033</v>
      </c>
      <c r="F83" s="130">
        <f>IF(F52=0,0,F52/TrRoad_act!F53*100)</f>
        <v>37.389127270875264</v>
      </c>
      <c r="G83" s="130">
        <f>IF(G52=0,0,G52/TrRoad_act!G53*100)</f>
        <v>38.080427071172082</v>
      </c>
      <c r="H83" s="130">
        <f>IF(H52=0,0,H52/TrRoad_act!H53*100)</f>
        <v>39.429313000506397</v>
      </c>
      <c r="I83" s="130">
        <f>IF(I52=0,0,I52/TrRoad_act!I53*100)</f>
        <v>40.025395560789391</v>
      </c>
      <c r="J83" s="130">
        <f>IF(J52=0,0,J52/TrRoad_act!J53*100)</f>
        <v>41.719453425414002</v>
      </c>
      <c r="K83" s="130">
        <f>IF(K52=0,0,K52/TrRoad_act!K53*100)</f>
        <v>41.525963027160486</v>
      </c>
      <c r="L83" s="130">
        <f>IF(L52=0,0,L52/TrRoad_act!L53*100)</f>
        <v>42.056742849670158</v>
      </c>
      <c r="M83" s="130">
        <f>IF(M52=0,0,M52/TrRoad_act!M53*100)</f>
        <v>40.323925843709674</v>
      </c>
      <c r="N83" s="130">
        <f>IF(N52=0,0,N52/TrRoad_act!N53*100)</f>
        <v>38.475429993998212</v>
      </c>
      <c r="O83" s="130">
        <f>IF(O52=0,0,O52/TrRoad_act!O53*100)</f>
        <v>38.695101729896486</v>
      </c>
      <c r="P83" s="130">
        <f>IF(P52=0,0,P52/TrRoad_act!P53*100)</f>
        <v>38.553033576159436</v>
      </c>
      <c r="Q83" s="130">
        <f>IF(Q52=0,0,Q52/TrRoad_act!Q53*100)</f>
        <v>40.261387142061167</v>
      </c>
      <c r="R83" s="130">
        <f>IF(R52=0,0,R52/TrRoad_act!R53*100)</f>
        <v>46.257644595332032</v>
      </c>
      <c r="S83" s="130">
        <f>IF(S52=0,0,S52/TrRoad_act!S53*100)</f>
        <v>48.913027691021725</v>
      </c>
      <c r="T83" s="130">
        <f>IF(T52=0,0,T52/TrRoad_act!T53*100)</f>
        <v>52.795574243767454</v>
      </c>
      <c r="U83" s="130">
        <f>IF(U52=0,0,U52/TrRoad_act!U53*100)</f>
        <v>49.763144013593084</v>
      </c>
      <c r="V83" s="130">
        <f>IF(V52=0,0,V52/TrRoad_act!V53*100)</f>
        <v>47.256064141424119</v>
      </c>
      <c r="W83" s="130">
        <f>IF(W52=0,0,W52/TrRoad_act!W53*100)</f>
        <v>50.242745856323737</v>
      </c>
      <c r="X83" s="130">
        <f>IF(X52=0,0,X52/TrRoad_act!X53*100)</f>
        <v>50.357370968935676</v>
      </c>
      <c r="Y83" s="130">
        <f>IF(Y52=0,0,Y52/TrRoad_act!Y53*100)</f>
        <v>51.523334717453018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29.344531628310754</v>
      </c>
      <c r="C84" s="97">
        <f>IF(C53=0,0,C53/TrRoad_act!C54*100)</f>
        <v>32.241281387431734</v>
      </c>
      <c r="D84" s="97">
        <f>IF(D53=0,0,D53/TrRoad_act!D54*100)</f>
        <v>32.055814983469986</v>
      </c>
      <c r="E84" s="97">
        <f>IF(E53=0,0,E53/TrRoad_act!E54*100)</f>
        <v>34.277973623945634</v>
      </c>
      <c r="F84" s="97">
        <f>IF(F53=0,0,F53/TrRoad_act!F54*100)</f>
        <v>36.22385244438923</v>
      </c>
      <c r="G84" s="97">
        <f>IF(G53=0,0,G53/TrRoad_act!G54*100)</f>
        <v>36.903550854352687</v>
      </c>
      <c r="H84" s="97">
        <f>IF(H53=0,0,H53/TrRoad_act!H54*100)</f>
        <v>38.266915792259006</v>
      </c>
      <c r="I84" s="97">
        <f>IF(I53=0,0,I53/TrRoad_act!I54*100)</f>
        <v>38.898129498621728</v>
      </c>
      <c r="J84" s="97">
        <f>IF(J53=0,0,J53/TrRoad_act!J54*100)</f>
        <v>40.474371704486494</v>
      </c>
      <c r="K84" s="97">
        <f>IF(K53=0,0,K53/TrRoad_act!K54*100)</f>
        <v>40.328085515654614</v>
      </c>
      <c r="L84" s="97">
        <f>IF(L53=0,0,L53/TrRoad_act!L54*100)</f>
        <v>40.930434646862793</v>
      </c>
      <c r="M84" s="97">
        <f>IF(M53=0,0,M53/TrRoad_act!M54*100)</f>
        <v>39.29190959546014</v>
      </c>
      <c r="N84" s="97">
        <f>IF(N53=0,0,N53/TrRoad_act!N54*100)</f>
        <v>37.560347108979975</v>
      </c>
      <c r="O84" s="97">
        <f>IF(O53=0,0,O53/TrRoad_act!O54*100)</f>
        <v>37.839133425052921</v>
      </c>
      <c r="P84" s="97">
        <f>IF(P53=0,0,P53/TrRoad_act!P54*100)</f>
        <v>37.7273858780922</v>
      </c>
      <c r="Q84" s="97">
        <f>IF(Q53=0,0,Q53/TrRoad_act!Q54*100)</f>
        <v>39.364929558625967</v>
      </c>
      <c r="R84" s="97">
        <f>IF(R53=0,0,R53/TrRoad_act!R54*100)</f>
        <v>45.146151350485361</v>
      </c>
      <c r="S84" s="97">
        <f>IF(S53=0,0,S53/TrRoad_act!S54*100)</f>
        <v>47.749152259712623</v>
      </c>
      <c r="T84" s="97">
        <f>IF(T53=0,0,T53/TrRoad_act!T54*100)</f>
        <v>51.153378354563664</v>
      </c>
      <c r="U84" s="97">
        <f>IF(U53=0,0,U53/TrRoad_act!U54*100)</f>
        <v>47.822556514169165</v>
      </c>
      <c r="V84" s="97">
        <f>IF(V53=0,0,V53/TrRoad_act!V54*100)</f>
        <v>45.026692143952303</v>
      </c>
      <c r="W84" s="97">
        <f>IF(W53=0,0,W53/TrRoad_act!W54*100)</f>
        <v>47.589954964687905</v>
      </c>
      <c r="X84" s="97">
        <f>IF(X53=0,0,X53/TrRoad_act!X54*100)</f>
        <v>47.44589586888285</v>
      </c>
      <c r="Y84" s="97">
        <f>IF(Y53=0,0,Y53/TrRoad_act!Y54*100)</f>
        <v>48.277102429347572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31.890315575119072</v>
      </c>
      <c r="C85" s="98">
        <f>IF(C55=0,0,C55/TrRoad_act!C55*100)</f>
        <v>35.250818881320392</v>
      </c>
      <c r="D85" s="98">
        <f>IF(D55=0,0,D55/TrRoad_act!D55*100)</f>
        <v>34.797713939367178</v>
      </c>
      <c r="E85" s="98">
        <f>IF(E55=0,0,E55/TrRoad_act!E55*100)</f>
        <v>37.051742455315903</v>
      </c>
      <c r="F85" s="98">
        <f>IF(F55=0,0,F55/TrRoad_act!F55*100)</f>
        <v>38.672378964897476</v>
      </c>
      <c r="G85" s="98">
        <f>IF(G55=0,0,G55/TrRoad_act!G55*100)</f>
        <v>39.23935179498644</v>
      </c>
      <c r="H85" s="98">
        <f>IF(H55=0,0,H55/TrRoad_act!H55*100)</f>
        <v>40.555227846091569</v>
      </c>
      <c r="I85" s="98">
        <f>IF(I55=0,0,I55/TrRoad_act!I55*100)</f>
        <v>41.057966372454487</v>
      </c>
      <c r="J85" s="98">
        <f>IF(J55=0,0,J55/TrRoad_act!J55*100)</f>
        <v>42.653261243233906</v>
      </c>
      <c r="K85" s="98">
        <f>IF(K55=0,0,K55/TrRoad_act!K55*100)</f>
        <v>42.455642228341155</v>
      </c>
      <c r="L85" s="98">
        <f>IF(L55=0,0,L55/TrRoad_act!L55*100)</f>
        <v>42.921219517509122</v>
      </c>
      <c r="M85" s="98">
        <f>IF(M55=0,0,M55/TrRoad_act!M55*100)</f>
        <v>41.138733493270024</v>
      </c>
      <c r="N85" s="98">
        <f>IF(N55=0,0,N55/TrRoad_act!N55*100)</f>
        <v>39.198150525814604</v>
      </c>
      <c r="O85" s="98">
        <f>IF(O55=0,0,O55/TrRoad_act!O55*100)</f>
        <v>39.375196905145252</v>
      </c>
      <c r="P85" s="98">
        <f>IF(P55=0,0,P55/TrRoad_act!P55*100)</f>
        <v>39.231500193993213</v>
      </c>
      <c r="Q85" s="98">
        <f>IF(Q55=0,0,Q55/TrRoad_act!Q55*100)</f>
        <v>41.096890444168125</v>
      </c>
      <c r="R85" s="98">
        <f>IF(R55=0,0,R55/TrRoad_act!R55*100)</f>
        <v>47.202675680147237</v>
      </c>
      <c r="S85" s="98">
        <f>IF(S55=0,0,S55/TrRoad_act!S55*100)</f>
        <v>49.896906859099246</v>
      </c>
      <c r="T85" s="98">
        <f>IF(T55=0,0,T55/TrRoad_act!T55*100)</f>
        <v>54.164506578166048</v>
      </c>
      <c r="U85" s="98">
        <f>IF(U55=0,0,U55/TrRoad_act!U55*100)</f>
        <v>51.50483812296941</v>
      </c>
      <c r="V85" s="98">
        <f>IF(V55=0,0,V55/TrRoad_act!V55*100)</f>
        <v>49.134045141400662</v>
      </c>
      <c r="W85" s="98">
        <f>IF(W55=0,0,W55/TrRoad_act!W55*100)</f>
        <v>52.674415779060638</v>
      </c>
      <c r="X85" s="98">
        <f>IF(X55=0,0,X55/TrRoad_act!X55*100)</f>
        <v>53.308545024544642</v>
      </c>
      <c r="Y85" s="98">
        <f>IF(Y55=0,0,Y55/TrRoad_act!Y55*100)</f>
        <v>54.936187898304603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48.002487960866979</v>
      </c>
      <c r="C88" s="29">
        <f>IF(TrRoad_act!C4=0,0,C18/TrRoad_act!C4*1000)</f>
        <v>48.068729386457825</v>
      </c>
      <c r="D88" s="29">
        <f>IF(TrRoad_act!D4=0,0,D18/TrRoad_act!D4*1000)</f>
        <v>46.483690008901199</v>
      </c>
      <c r="E88" s="29">
        <f>IF(TrRoad_act!E4=0,0,E18/TrRoad_act!E4*1000)</f>
        <v>47.892449386822229</v>
      </c>
      <c r="F88" s="29">
        <f>IF(TrRoad_act!F4=0,0,F18/TrRoad_act!F4*1000)</f>
        <v>47.847966155720897</v>
      </c>
      <c r="G88" s="29">
        <f>IF(TrRoad_act!G4=0,0,G18/TrRoad_act!G4*1000)</f>
        <v>45.818123602763428</v>
      </c>
      <c r="H88" s="29">
        <f>IF(TrRoad_act!H4=0,0,H18/TrRoad_act!H4*1000)</f>
        <v>46.474286484705964</v>
      </c>
      <c r="I88" s="29">
        <f>IF(TrRoad_act!I4=0,0,I18/TrRoad_act!I4*1000)</f>
        <v>46.897772412587123</v>
      </c>
      <c r="J88" s="29">
        <f>IF(TrRoad_act!J4=0,0,J18/TrRoad_act!J4*1000)</f>
        <v>46.908166485012181</v>
      </c>
      <c r="K88" s="29">
        <f>IF(TrRoad_act!K4=0,0,K18/TrRoad_act!K4*1000)</f>
        <v>46.883368904419868</v>
      </c>
      <c r="L88" s="29">
        <f>IF(TrRoad_act!L4=0,0,L18/TrRoad_act!L4*1000)</f>
        <v>45.873542881784658</v>
      </c>
      <c r="M88" s="29">
        <f>IF(TrRoad_act!M4=0,0,M18/TrRoad_act!M4*1000)</f>
        <v>44.959225817239542</v>
      </c>
      <c r="N88" s="29">
        <f>IF(TrRoad_act!N4=0,0,N18/TrRoad_act!N4*1000)</f>
        <v>43.650953312523555</v>
      </c>
      <c r="O88" s="29">
        <f>IF(TrRoad_act!O4=0,0,O18/TrRoad_act!O4*1000)</f>
        <v>44.953415460547525</v>
      </c>
      <c r="P88" s="29">
        <f>IF(TrRoad_act!P4=0,0,P18/TrRoad_act!P4*1000)</f>
        <v>45.009682441919708</v>
      </c>
      <c r="Q88" s="29">
        <f>IF(TrRoad_act!Q4=0,0,Q18/TrRoad_act!Q4*1000)</f>
        <v>46.785759888067105</v>
      </c>
      <c r="R88" s="29">
        <f>IF(TrRoad_act!R4=0,0,R18/TrRoad_act!R4*1000)</f>
        <v>46.466011913794809</v>
      </c>
      <c r="S88" s="29">
        <f>IF(TrRoad_act!S4=0,0,S18/TrRoad_act!S4*1000)</f>
        <v>44.660580531158857</v>
      </c>
      <c r="T88" s="29">
        <f>IF(TrRoad_act!T4=0,0,T18/TrRoad_act!T4*1000)</f>
        <v>44.317548004091911</v>
      </c>
      <c r="U88" s="29">
        <f>IF(TrRoad_act!U4=0,0,U18/TrRoad_act!U4*1000)</f>
        <v>43.769271815049692</v>
      </c>
      <c r="V88" s="29">
        <f>IF(TrRoad_act!V4=0,0,V18/TrRoad_act!V4*1000)</f>
        <v>44.712437160448815</v>
      </c>
      <c r="W88" s="29">
        <f>IF(TrRoad_act!W4=0,0,W18/TrRoad_act!W4*1000)</f>
        <v>45.196564519383074</v>
      </c>
      <c r="X88" s="29">
        <f>IF(TrRoad_act!X4=0,0,X18/TrRoad_act!X4*1000)</f>
        <v>43.917429203457154</v>
      </c>
      <c r="Y88" s="29">
        <f>IF(TrRoad_act!Y4=0,0,Y18/TrRoad_act!Y4*1000)</f>
        <v>42.206385769603379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37.75663407968095</v>
      </c>
      <c r="C89" s="152">
        <f>IF(TrRoad_act!C5=0,0,C19/TrRoad_act!C5*1000)</f>
        <v>37.361465901061933</v>
      </c>
      <c r="D89" s="152">
        <f>IF(TrRoad_act!D5=0,0,D19/TrRoad_act!D5*1000)</f>
        <v>37.004805963296747</v>
      </c>
      <c r="E89" s="152">
        <f>IF(TrRoad_act!E5=0,0,E19/TrRoad_act!E5*1000)</f>
        <v>36.627589874401593</v>
      </c>
      <c r="F89" s="152">
        <f>IF(TrRoad_act!F5=0,0,F19/TrRoad_act!F5*1000)</f>
        <v>36.149651281504752</v>
      </c>
      <c r="G89" s="152">
        <f>IF(TrRoad_act!G5=0,0,G19/TrRoad_act!G5*1000)</f>
        <v>35.583024301301634</v>
      </c>
      <c r="H89" s="152">
        <f>IF(TrRoad_act!H5=0,0,H19/TrRoad_act!H5*1000)</f>
        <v>35.361518967329488</v>
      </c>
      <c r="I89" s="152">
        <f>IF(TrRoad_act!I5=0,0,I19/TrRoad_act!I5*1000)</f>
        <v>34.906030897734325</v>
      </c>
      <c r="J89" s="152">
        <f>IF(TrRoad_act!J5=0,0,J19/TrRoad_act!J5*1000)</f>
        <v>34.527500890571048</v>
      </c>
      <c r="K89" s="152">
        <f>IF(TrRoad_act!K5=0,0,K19/TrRoad_act!K5*1000)</f>
        <v>34.089436223299487</v>
      </c>
      <c r="L89" s="152">
        <f>IF(TrRoad_act!L5=0,0,L19/TrRoad_act!L5*1000)</f>
        <v>33.69235899365821</v>
      </c>
      <c r="M89" s="152">
        <f>IF(TrRoad_act!M5=0,0,M19/TrRoad_act!M5*1000)</f>
        <v>33.230305772552526</v>
      </c>
      <c r="N89" s="152">
        <f>IF(TrRoad_act!N5=0,0,N19/TrRoad_act!N5*1000)</f>
        <v>32.998371812699922</v>
      </c>
      <c r="O89" s="152">
        <f>IF(TrRoad_act!O5=0,0,O19/TrRoad_act!O5*1000)</f>
        <v>32.818377900804364</v>
      </c>
      <c r="P89" s="152">
        <f>IF(TrRoad_act!P5=0,0,P19/TrRoad_act!P5*1000)</f>
        <v>32.420502591693818</v>
      </c>
      <c r="Q89" s="152">
        <f>IF(TrRoad_act!Q5=0,0,Q19/TrRoad_act!Q5*1000)</f>
        <v>32.115109708138071</v>
      </c>
      <c r="R89" s="152">
        <f>IF(TrRoad_act!R5=0,0,R19/TrRoad_act!R5*1000)</f>
        <v>30.420707735099281</v>
      </c>
      <c r="S89" s="152">
        <f>IF(TrRoad_act!S5=0,0,S19/TrRoad_act!S5*1000)</f>
        <v>30.903350191928915</v>
      </c>
      <c r="T89" s="152">
        <f>IF(TrRoad_act!T5=0,0,T19/TrRoad_act!T5*1000)</f>
        <v>30.718267842769908</v>
      </c>
      <c r="U89" s="152">
        <f>IF(TrRoad_act!U5=0,0,U19/TrRoad_act!U5*1000)</f>
        <v>30.554092518299942</v>
      </c>
      <c r="V89" s="152">
        <f>IF(TrRoad_act!V5=0,0,V19/TrRoad_act!V5*1000)</f>
        <v>29.257183238060509</v>
      </c>
      <c r="W89" s="152">
        <f>IF(TrRoad_act!W5=0,0,W19/TrRoad_act!W5*1000)</f>
        <v>30.353789685845364</v>
      </c>
      <c r="X89" s="152">
        <f>IF(TrRoad_act!X5=0,0,X19/TrRoad_act!X5*1000)</f>
        <v>30.34996493566053</v>
      </c>
      <c r="Y89" s="152">
        <f>IF(TrRoad_act!Y5=0,0,Y19/TrRoad_act!Y5*1000)</f>
        <v>30.238724009019283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50.560138136847932</v>
      </c>
      <c r="C90" s="116">
        <f>IF(TrRoad_act!C6=0,0,C21/TrRoad_act!C6*1000)</f>
        <v>50.883739866432798</v>
      </c>
      <c r="D90" s="116">
        <f>IF(TrRoad_act!D6=0,0,D21/TrRoad_act!D6*1000)</f>
        <v>49.619055614106017</v>
      </c>
      <c r="E90" s="116">
        <f>IF(TrRoad_act!E6=0,0,E21/TrRoad_act!E6*1000)</f>
        <v>52.04051196484096</v>
      </c>
      <c r="F90" s="116">
        <f>IF(TrRoad_act!F6=0,0,F21/TrRoad_act!F6*1000)</f>
        <v>52.27463996708893</v>
      </c>
      <c r="G90" s="116">
        <f>IF(TrRoad_act!G6=0,0,G21/TrRoad_act!G6*1000)</f>
        <v>50.125665062918742</v>
      </c>
      <c r="H90" s="116">
        <f>IF(TrRoad_act!H6=0,0,H21/TrRoad_act!H6*1000)</f>
        <v>51.260410670161477</v>
      </c>
      <c r="I90" s="116">
        <f>IF(TrRoad_act!I6=0,0,I21/TrRoad_act!I6*1000)</f>
        <v>52.032341799965373</v>
      </c>
      <c r="J90" s="116">
        <f>IF(TrRoad_act!J6=0,0,J21/TrRoad_act!J6*1000)</f>
        <v>51.33870432316224</v>
      </c>
      <c r="K90" s="116">
        <f>IF(TrRoad_act!K6=0,0,K21/TrRoad_act!K6*1000)</f>
        <v>51.378095736745252</v>
      </c>
      <c r="L90" s="116">
        <f>IF(TrRoad_act!L6=0,0,L21/TrRoad_act!L6*1000)</f>
        <v>50.04779829177599</v>
      </c>
      <c r="M90" s="116">
        <f>IF(TrRoad_act!M6=0,0,M21/TrRoad_act!M6*1000)</f>
        <v>49.190040841898544</v>
      </c>
      <c r="N90" s="116">
        <f>IF(TrRoad_act!N6=0,0,N21/TrRoad_act!N6*1000)</f>
        <v>47.83033719369211</v>
      </c>
      <c r="O90" s="116">
        <f>IF(TrRoad_act!O6=0,0,O21/TrRoad_act!O6*1000)</f>
        <v>48.634132925210899</v>
      </c>
      <c r="P90" s="116">
        <f>IF(TrRoad_act!P6=0,0,P21/TrRoad_act!P6*1000)</f>
        <v>48.397771626437667</v>
      </c>
      <c r="Q90" s="116">
        <f>IF(TrRoad_act!Q6=0,0,Q21/TrRoad_act!Q6*1000)</f>
        <v>49.929428750933219</v>
      </c>
      <c r="R90" s="116">
        <f>IF(TrRoad_act!R6=0,0,R21/TrRoad_act!R6*1000)</f>
        <v>49.375947233992399</v>
      </c>
      <c r="S90" s="116">
        <f>IF(TrRoad_act!S6=0,0,S21/TrRoad_act!S6*1000)</f>
        <v>47.097281322404825</v>
      </c>
      <c r="T90" s="116">
        <f>IF(TrRoad_act!T6=0,0,T21/TrRoad_act!T6*1000)</f>
        <v>46.633782811859099</v>
      </c>
      <c r="U90" s="116">
        <f>IF(TrRoad_act!U6=0,0,U21/TrRoad_act!U6*1000)</f>
        <v>46.082979700281214</v>
      </c>
      <c r="V90" s="116">
        <f>IF(TrRoad_act!V6=0,0,V21/TrRoad_act!V6*1000)</f>
        <v>45.308679532652143</v>
      </c>
      <c r="W90" s="116">
        <f>IF(TrRoad_act!W6=0,0,W21/TrRoad_act!W6*1000)</f>
        <v>45.893645892655378</v>
      </c>
      <c r="X90" s="116">
        <f>IF(TrRoad_act!X6=0,0,X21/TrRoad_act!X6*1000)</f>
        <v>45.608987001299084</v>
      </c>
      <c r="Y90" s="116">
        <f>IF(TrRoad_act!Y6=0,0,Y21/TrRoad_act!Y6*1000)</f>
        <v>44.282351997331325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50.044466196612234</v>
      </c>
      <c r="C91" s="87">
        <f>IF(TrRoad_act!C7=0,0,C22/TrRoad_act!C7*1000)</f>
        <v>51.139674255498669</v>
      </c>
      <c r="D91" s="87">
        <f>IF(TrRoad_act!D7=0,0,D22/TrRoad_act!D7*1000)</f>
        <v>50.366013324796562</v>
      </c>
      <c r="E91" s="87">
        <f>IF(TrRoad_act!E7=0,0,E22/TrRoad_act!E7*1000)</f>
        <v>53.272327919649662</v>
      </c>
      <c r="F91" s="87">
        <f>IF(TrRoad_act!F7=0,0,F22/TrRoad_act!F7*1000)</f>
        <v>54.3883280814999</v>
      </c>
      <c r="G91" s="87">
        <f>IF(TrRoad_act!G7=0,0,G22/TrRoad_act!G7*1000)</f>
        <v>52.51129561921902</v>
      </c>
      <c r="H91" s="87">
        <f>IF(TrRoad_act!H7=0,0,H22/TrRoad_act!H7*1000)</f>
        <v>54.025308494844644</v>
      </c>
      <c r="I91" s="87">
        <f>IF(TrRoad_act!I7=0,0,I22/TrRoad_act!I7*1000)</f>
        <v>55.342834195963235</v>
      </c>
      <c r="J91" s="87">
        <f>IF(TrRoad_act!J7=0,0,J22/TrRoad_act!J7*1000)</f>
        <v>54.772597848631243</v>
      </c>
      <c r="K91" s="87">
        <f>IF(TrRoad_act!K7=0,0,K22/TrRoad_act!K7*1000)</f>
        <v>55.268764151610732</v>
      </c>
      <c r="L91" s="87">
        <f>IF(TrRoad_act!L7=0,0,L22/TrRoad_act!L7*1000)</f>
        <v>54.063744871782376</v>
      </c>
      <c r="M91" s="87">
        <f>IF(TrRoad_act!M7=0,0,M22/TrRoad_act!M7*1000)</f>
        <v>53.199018478409897</v>
      </c>
      <c r="N91" s="87">
        <f>IF(TrRoad_act!N7=0,0,N22/TrRoad_act!N7*1000)</f>
        <v>52.056781402395714</v>
      </c>
      <c r="O91" s="87">
        <f>IF(TrRoad_act!O7=0,0,O22/TrRoad_act!O7*1000)</f>
        <v>52.696744042185983</v>
      </c>
      <c r="P91" s="87">
        <f>IF(TrRoad_act!P7=0,0,P22/TrRoad_act!P7*1000)</f>
        <v>52.193115607307519</v>
      </c>
      <c r="Q91" s="87">
        <f>IF(TrRoad_act!Q7=0,0,Q22/TrRoad_act!Q7*1000)</f>
        <v>53.470513891446885</v>
      </c>
      <c r="R91" s="87">
        <f>IF(TrRoad_act!R7=0,0,R22/TrRoad_act!R7*1000)</f>
        <v>53.912192417030575</v>
      </c>
      <c r="S91" s="87">
        <f>IF(TrRoad_act!S7=0,0,S22/TrRoad_act!S7*1000)</f>
        <v>50.706871944083105</v>
      </c>
      <c r="T91" s="87">
        <f>IF(TrRoad_act!T7=0,0,T22/TrRoad_act!T7*1000)</f>
        <v>49.63059997451635</v>
      </c>
      <c r="U91" s="87">
        <f>IF(TrRoad_act!U7=0,0,U22/TrRoad_act!U7*1000)</f>
        <v>48.812088402933391</v>
      </c>
      <c r="V91" s="87">
        <f>IF(TrRoad_act!V7=0,0,V22/TrRoad_act!V7*1000)</f>
        <v>47.450210753868589</v>
      </c>
      <c r="W91" s="87">
        <f>IF(TrRoad_act!W7=0,0,W22/TrRoad_act!W7*1000)</f>
        <v>48.877658344130545</v>
      </c>
      <c r="X91" s="87">
        <f>IF(TrRoad_act!X7=0,0,X22/TrRoad_act!X7*1000)</f>
        <v>47.986441136709082</v>
      </c>
      <c r="Y91" s="87">
        <f>IF(TrRoad_act!Y7=0,0,Y22/TrRoad_act!Y7*1000)</f>
        <v>46.127482768783054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50.919578209702287</v>
      </c>
      <c r="C92" s="87">
        <f>IF(TrRoad_act!C8=0,0,C24/TrRoad_act!C8*1000)</f>
        <v>50.605525430142556</v>
      </c>
      <c r="D92" s="87">
        <f>IF(TrRoad_act!D8=0,0,D24/TrRoad_act!D8*1000)</f>
        <v>49.22436582034323</v>
      </c>
      <c r="E92" s="87">
        <f>IF(TrRoad_act!E8=0,0,E24/TrRoad_act!E8*1000)</f>
        <v>51.406252745808786</v>
      </c>
      <c r="F92" s="87">
        <f>IF(TrRoad_act!F8=0,0,F24/TrRoad_act!F8*1000)</f>
        <v>51.304380449677964</v>
      </c>
      <c r="G92" s="87">
        <f>IF(TrRoad_act!G8=0,0,G24/TrRoad_act!G8*1000)</f>
        <v>49.019305391411883</v>
      </c>
      <c r="H92" s="87">
        <f>IF(TrRoad_act!H8=0,0,H24/TrRoad_act!H8*1000)</f>
        <v>50.117817882822372</v>
      </c>
      <c r="I92" s="87">
        <f>IF(TrRoad_act!I8=0,0,I24/TrRoad_act!I8*1000)</f>
        <v>50.877747316676647</v>
      </c>
      <c r="J92" s="87">
        <f>IF(TrRoad_act!J8=0,0,J24/TrRoad_act!J8*1000)</f>
        <v>50.291572361632738</v>
      </c>
      <c r="K92" s="87">
        <f>IF(TrRoad_act!K8=0,0,K24/TrRoad_act!K8*1000)</f>
        <v>50.241519239367179</v>
      </c>
      <c r="L92" s="87">
        <f>IF(TrRoad_act!L8=0,0,L24/TrRoad_act!L8*1000)</f>
        <v>48.96784572811903</v>
      </c>
      <c r="M92" s="87">
        <f>IF(TrRoad_act!M8=0,0,M24/TrRoad_act!M8*1000)</f>
        <v>48.153391917927564</v>
      </c>
      <c r="N92" s="87">
        <f>IF(TrRoad_act!N8=0,0,N24/TrRoad_act!N8*1000)</f>
        <v>46.760923325810019</v>
      </c>
      <c r="O92" s="87">
        <f>IF(TrRoad_act!O8=0,0,O24/TrRoad_act!O8*1000)</f>
        <v>47.549588452573481</v>
      </c>
      <c r="P92" s="87">
        <f>IF(TrRoad_act!P8=0,0,P24/TrRoad_act!P8*1000)</f>
        <v>47.321257672888116</v>
      </c>
      <c r="Q92" s="87">
        <f>IF(TrRoad_act!Q8=0,0,Q24/TrRoad_act!Q8*1000)</f>
        <v>48.774022604025532</v>
      </c>
      <c r="R92" s="87">
        <f>IF(TrRoad_act!R8=0,0,R24/TrRoad_act!R8*1000)</f>
        <v>47.720183423874033</v>
      </c>
      <c r="S92" s="87">
        <f>IF(TrRoad_act!S8=0,0,S24/TrRoad_act!S8*1000)</f>
        <v>45.681571956127335</v>
      </c>
      <c r="T92" s="87">
        <f>IF(TrRoad_act!T8=0,0,T24/TrRoad_act!T8*1000)</f>
        <v>45.249951753806883</v>
      </c>
      <c r="U92" s="87">
        <f>IF(TrRoad_act!U8=0,0,U24/TrRoad_act!U8*1000)</f>
        <v>44.479841827718445</v>
      </c>
      <c r="V92" s="87">
        <f>IF(TrRoad_act!V8=0,0,V24/TrRoad_act!V8*1000)</f>
        <v>43.843127037908268</v>
      </c>
      <c r="W92" s="87">
        <f>IF(TrRoad_act!W8=0,0,W24/TrRoad_act!W8*1000)</f>
        <v>43.790687081700227</v>
      </c>
      <c r="X92" s="87">
        <f>IF(TrRoad_act!X8=0,0,X24/TrRoad_act!X8*1000)</f>
        <v>44.310630009766207</v>
      </c>
      <c r="Y92" s="87">
        <f>IF(TrRoad_act!Y8=0,0,Y24/TrRoad_act!Y8*1000)</f>
        <v>44.333834711773193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52.452033194832737</v>
      </c>
      <c r="C93" s="87">
        <f>IF(TrRoad_act!C9=0,0,C26/TrRoad_act!C9*1000)</f>
        <v>56.184242264550598</v>
      </c>
      <c r="D93" s="87">
        <f>IF(TrRoad_act!D9=0,0,D26/TrRoad_act!D9*1000)</f>
        <v>45.430026800655227</v>
      </c>
      <c r="E93" s="87">
        <f>IF(TrRoad_act!E9=0,0,E26/TrRoad_act!E9*1000)</f>
        <v>45.048630883597674</v>
      </c>
      <c r="F93" s="87">
        <f>IF(TrRoad_act!F9=0,0,F26/TrRoad_act!F9*1000)</f>
        <v>45.298257879857118</v>
      </c>
      <c r="G93" s="87">
        <f>IF(TrRoad_act!G9=0,0,G26/TrRoad_act!G9*1000)</f>
        <v>48.013125035810575</v>
      </c>
      <c r="H93" s="87">
        <f>IF(TrRoad_act!H9=0,0,H26/TrRoad_act!H9*1000)</f>
        <v>52.746043274779488</v>
      </c>
      <c r="I93" s="87">
        <f>IF(TrRoad_act!I9=0,0,I26/TrRoad_act!I9*1000)</f>
        <v>50.310764878218194</v>
      </c>
      <c r="J93" s="87">
        <f>IF(TrRoad_act!J9=0,0,J26/TrRoad_act!J9*1000)</f>
        <v>51.892369558964546</v>
      </c>
      <c r="K93" s="87">
        <f>IF(TrRoad_act!K9=0,0,K26/TrRoad_act!K9*1000)</f>
        <v>55.408701442376334</v>
      </c>
      <c r="L93" s="87">
        <f>IF(TrRoad_act!L9=0,0,L26/TrRoad_act!L9*1000)</f>
        <v>57.44750315434397</v>
      </c>
      <c r="M93" s="87">
        <f>IF(TrRoad_act!M9=0,0,M26/TrRoad_act!M9*1000)</f>
        <v>56.059487403944885</v>
      </c>
      <c r="N93" s="87">
        <f>IF(TrRoad_act!N9=0,0,N26/TrRoad_act!N9*1000)</f>
        <v>52.582884613376152</v>
      </c>
      <c r="O93" s="87">
        <f>IF(TrRoad_act!O9=0,0,O26/TrRoad_act!O9*1000)</f>
        <v>55.117004724869318</v>
      </c>
      <c r="P93" s="87">
        <f>IF(TrRoad_act!P9=0,0,P26/TrRoad_act!P9*1000)</f>
        <v>55.514969536383916</v>
      </c>
      <c r="Q93" s="87">
        <f>IF(TrRoad_act!Q9=0,0,Q26/TrRoad_act!Q9*1000)</f>
        <v>63.662478585757633</v>
      </c>
      <c r="R93" s="87">
        <f>IF(TrRoad_act!R9=0,0,R26/TrRoad_act!R9*1000)</f>
        <v>71.868628298129963</v>
      </c>
      <c r="S93" s="87">
        <f>IF(TrRoad_act!S9=0,0,S26/TrRoad_act!S9*1000)</f>
        <v>64.075379882268294</v>
      </c>
      <c r="T93" s="87">
        <f>IF(TrRoad_act!T9=0,0,T26/TrRoad_act!T9*1000)</f>
        <v>61.253559480341842</v>
      </c>
      <c r="U93" s="87">
        <f>IF(TrRoad_act!U9=0,0,U26/TrRoad_act!U9*1000)</f>
        <v>63.130033778050738</v>
      </c>
      <c r="V93" s="87">
        <f>IF(TrRoad_act!V9=0,0,V26/TrRoad_act!V9*1000)</f>
        <v>61.858550721531508</v>
      </c>
      <c r="W93" s="87">
        <f>IF(TrRoad_act!W9=0,0,W26/TrRoad_act!W9*1000)</f>
        <v>59.594569825760566</v>
      </c>
      <c r="X93" s="87">
        <f>IF(TrRoad_act!X9=0,0,X26/TrRoad_act!X9*1000)</f>
        <v>61.802023465273344</v>
      </c>
      <c r="Y93" s="87">
        <f>IF(TrRoad_act!Y9=0,0,Y26/TrRoad_act!Y9*1000)</f>
        <v>64.463801365263251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55.121453168706431</v>
      </c>
      <c r="G94" s="87">
        <f>IF(TrRoad_act!G10=0,0,G27/TrRoad_act!G10*1000)</f>
        <v>52.272074652072966</v>
      </c>
      <c r="H94" s="87">
        <f>IF(TrRoad_act!H10=0,0,H27/TrRoad_act!H10*1000)</f>
        <v>50.291355859822545</v>
      </c>
      <c r="I94" s="87">
        <f>IF(TrRoad_act!I10=0,0,I27/TrRoad_act!I10*1000)</f>
        <v>51.509149993860483</v>
      </c>
      <c r="J94" s="87">
        <f>IF(TrRoad_act!J10=0,0,J27/TrRoad_act!J10*1000)</f>
        <v>33.227622060428303</v>
      </c>
      <c r="K94" s="87">
        <f>IF(TrRoad_act!K10=0,0,K27/TrRoad_act!K10*1000)</f>
        <v>25.086304619305086</v>
      </c>
      <c r="L94" s="87">
        <f>IF(TrRoad_act!L10=0,0,L27/TrRoad_act!L10*1000)</f>
        <v>20.955067895647954</v>
      </c>
      <c r="M94" s="87">
        <f>IF(TrRoad_act!M10=0,0,M27/TrRoad_act!M10*1000)</f>
        <v>24.388341734293483</v>
      </c>
      <c r="N94" s="87">
        <f>IF(TrRoad_act!N10=0,0,N27/TrRoad_act!N10*1000)</f>
        <v>50.835099094421409</v>
      </c>
      <c r="O94" s="87">
        <f>IF(TrRoad_act!O10=0,0,O27/TrRoad_act!O10*1000)</f>
        <v>68.464190882484047</v>
      </c>
      <c r="P94" s="87">
        <f>IF(TrRoad_act!P10=0,0,P27/TrRoad_act!P10*1000)</f>
        <v>60.279818253898675</v>
      </c>
      <c r="Q94" s="87">
        <f>IF(TrRoad_act!Q10=0,0,Q27/TrRoad_act!Q10*1000)</f>
        <v>63.335531755203441</v>
      </c>
      <c r="R94" s="87">
        <f>IF(TrRoad_act!R10=0,0,R27/TrRoad_act!R10*1000)</f>
        <v>60.255205183573388</v>
      </c>
      <c r="S94" s="87">
        <f>IF(TrRoad_act!S10=0,0,S27/TrRoad_act!S10*1000)</f>
        <v>58.457597439310192</v>
      </c>
      <c r="T94" s="87">
        <f>IF(TrRoad_act!T10=0,0,T27/TrRoad_act!T10*1000)</f>
        <v>56.347392811524251</v>
      </c>
      <c r="U94" s="87">
        <f>IF(TrRoad_act!U10=0,0,U27/TrRoad_act!U10*1000)</f>
        <v>76.895373347201257</v>
      </c>
      <c r="V94" s="87">
        <f>IF(TrRoad_act!V10=0,0,V27/TrRoad_act!V10*1000)</f>
        <v>111.23160847438632</v>
      </c>
      <c r="W94" s="87">
        <f>IF(TrRoad_act!W10=0,0,W27/TrRoad_act!W10*1000)</f>
        <v>139.93175761534937</v>
      </c>
      <c r="X94" s="87">
        <f>IF(TrRoad_act!X10=0,0,X27/TrRoad_act!X10*1000)</f>
        <v>116.29064197273934</v>
      </c>
      <c r="Y94" s="87">
        <f>IF(TrRoad_act!Y10=0,0,Y27/TrRoad_act!Y10*1000)</f>
        <v>126.50774704141382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27.874147199376857</v>
      </c>
      <c r="N95" s="87">
        <f>IF(TrRoad_act!N11=0,0,N29/TrRoad_act!N11*1000)</f>
        <v>20.715282661356309</v>
      </c>
      <c r="O95" s="87">
        <f>IF(TrRoad_act!O11=0,0,O29/TrRoad_act!O11*1000)</f>
        <v>23.259599182955505</v>
      </c>
      <c r="P95" s="87">
        <f>IF(TrRoad_act!P11=0,0,P29/TrRoad_act!P11*1000)</f>
        <v>26.676967635635275</v>
      </c>
      <c r="Q95" s="87">
        <f>IF(TrRoad_act!Q11=0,0,Q29/TrRoad_act!Q11*1000)</f>
        <v>32.816841312986313</v>
      </c>
      <c r="R95" s="87">
        <f>IF(TrRoad_act!R11=0,0,R29/TrRoad_act!R11*1000)</f>
        <v>34.93369791511445</v>
      </c>
      <c r="S95" s="87">
        <f>IF(TrRoad_act!S11=0,0,S29/TrRoad_act!S11*1000)</f>
        <v>33.284856983709759</v>
      </c>
      <c r="T95" s="87">
        <f>IF(TrRoad_act!T11=0,0,T29/TrRoad_act!T11*1000)</f>
        <v>32.532721885193659</v>
      </c>
      <c r="U95" s="87">
        <f>IF(TrRoad_act!U11=0,0,U29/TrRoad_act!U11*1000)</f>
        <v>31.539051324127826</v>
      </c>
      <c r="V95" s="87">
        <f>IF(TrRoad_act!V11=0,0,V29/TrRoad_act!V11*1000)</f>
        <v>33.947658911085639</v>
      </c>
      <c r="W95" s="87">
        <f>IF(TrRoad_act!W11=0,0,W29/TrRoad_act!W11*1000)</f>
        <v>31.426326299191427</v>
      </c>
      <c r="X95" s="87">
        <f>IF(TrRoad_act!X11=0,0,X29/TrRoad_act!X11*1000)</f>
        <v>29.532646485428014</v>
      </c>
      <c r="Y95" s="87">
        <f>IF(TrRoad_act!Y11=0,0,Y29/TrRoad_act!Y11*1000)</f>
        <v>26.949624862212865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11.59409432111077</v>
      </c>
      <c r="K96" s="87">
        <f>IF(TrRoad_act!K12=0,0,K32/TrRoad_act!K12*1000)</f>
        <v>11.653375128113153</v>
      </c>
      <c r="L96" s="87">
        <f>IF(TrRoad_act!L12=0,0,L32/TrRoad_act!L12*1000)</f>
        <v>11.410136050397593</v>
      </c>
      <c r="M96" s="87">
        <f>IF(TrRoad_act!M12=0,0,M32/TrRoad_act!M12*1000)</f>
        <v>11.47633985497264</v>
      </c>
      <c r="N96" s="87">
        <f>IF(TrRoad_act!N12=0,0,N32/TrRoad_act!N12*1000)</f>
        <v>11.377685856964231</v>
      </c>
      <c r="O96" s="87">
        <f>IF(TrRoad_act!O12=0,0,O32/TrRoad_act!O12*1000)</f>
        <v>12.017459888161408</v>
      </c>
      <c r="P96" s="87">
        <f>IF(TrRoad_act!P12=0,0,P32/TrRoad_act!P12*1000)</f>
        <v>12.297581120404582</v>
      </c>
      <c r="Q96" s="87">
        <f>IF(TrRoad_act!Q12=0,0,Q32/TrRoad_act!Q12*1000)</f>
        <v>14.9030690725779</v>
      </c>
      <c r="R96" s="87">
        <f>IF(TrRoad_act!R12=0,0,R32/TrRoad_act!R12*1000)</f>
        <v>15.116435021023836</v>
      </c>
      <c r="S96" s="87">
        <f>IF(TrRoad_act!S12=0,0,S32/TrRoad_act!S12*1000)</f>
        <v>14.363909383088997</v>
      </c>
      <c r="T96" s="87">
        <f>IF(TrRoad_act!T12=0,0,T32/TrRoad_act!T12*1000)</f>
        <v>15.189781890035544</v>
      </c>
      <c r="U96" s="87">
        <f>IF(TrRoad_act!U12=0,0,U32/TrRoad_act!U12*1000)</f>
        <v>16.540779870816419</v>
      </c>
      <c r="V96" s="87">
        <f>IF(TrRoad_act!V12=0,0,V32/TrRoad_act!V12*1000)</f>
        <v>16.5337658003066</v>
      </c>
      <c r="W96" s="87">
        <f>IF(TrRoad_act!W12=0,0,W32/TrRoad_act!W12*1000)</f>
        <v>15.980512383286579</v>
      </c>
      <c r="X96" s="87">
        <f>IF(TrRoad_act!X12=0,0,X32/TrRoad_act!X12*1000)</f>
        <v>16.152478638039625</v>
      </c>
      <c r="Y96" s="87">
        <f>IF(TrRoad_act!Y12=0,0,Y32/TrRoad_act!Y12*1000)</f>
        <v>15.637501102288017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29.505479867342107</v>
      </c>
      <c r="C97" s="116">
        <f>IF(TrRoad_act!C13=0,0,C33/TrRoad_act!C13*1000)</f>
        <v>28.239374231198902</v>
      </c>
      <c r="D97" s="116">
        <f>IF(TrRoad_act!D13=0,0,D33/TrRoad_act!D13*1000)</f>
        <v>25.623395344489506</v>
      </c>
      <c r="E97" s="116">
        <f>IF(TrRoad_act!E13=0,0,E33/TrRoad_act!E13*1000)</f>
        <v>23.355044981214284</v>
      </c>
      <c r="F97" s="116">
        <f>IF(TrRoad_act!F13=0,0,F33/TrRoad_act!F13*1000)</f>
        <v>22.519691779150076</v>
      </c>
      <c r="G97" s="116">
        <f>IF(TrRoad_act!G13=0,0,G33/TrRoad_act!G13*1000)</f>
        <v>21.596132873188402</v>
      </c>
      <c r="H97" s="116">
        <f>IF(TrRoad_act!H13=0,0,H33/TrRoad_act!H13*1000)</f>
        <v>20.448693289087572</v>
      </c>
      <c r="I97" s="116">
        <f>IF(TrRoad_act!I13=0,0,I33/TrRoad_act!I13*1000)</f>
        <v>19.482055833927443</v>
      </c>
      <c r="J97" s="116">
        <f>IF(TrRoad_act!J13=0,0,J33/TrRoad_act!J13*1000)</f>
        <v>21.125397884940796</v>
      </c>
      <c r="K97" s="116">
        <f>IF(TrRoad_act!K13=0,0,K33/TrRoad_act!K13*1000)</f>
        <v>20.726883235964785</v>
      </c>
      <c r="L97" s="116">
        <f>IF(TrRoad_act!L13=0,0,L33/TrRoad_act!L13*1000)</f>
        <v>20.887089126021053</v>
      </c>
      <c r="M97" s="116">
        <f>IF(TrRoad_act!M13=0,0,M33/TrRoad_act!M13*1000)</f>
        <v>19.845391536083177</v>
      </c>
      <c r="N97" s="116">
        <f>IF(TrRoad_act!N13=0,0,N33/TrRoad_act!N13*1000)</f>
        <v>18.997381775782952</v>
      </c>
      <c r="O97" s="116">
        <f>IF(TrRoad_act!O13=0,0,O33/TrRoad_act!O13*1000)</f>
        <v>21.667947265200681</v>
      </c>
      <c r="P97" s="116">
        <f>IF(TrRoad_act!P13=0,0,P33/TrRoad_act!P13*1000)</f>
        <v>22.684293849115534</v>
      </c>
      <c r="Q97" s="116">
        <f>IF(TrRoad_act!Q13=0,0,Q33/TrRoad_act!Q13*1000)</f>
        <v>25.18917335298314</v>
      </c>
      <c r="R97" s="116">
        <f>IF(TrRoad_act!R13=0,0,R33/TrRoad_act!R13*1000)</f>
        <v>25.859401124524062</v>
      </c>
      <c r="S97" s="116">
        <f>IF(TrRoad_act!S13=0,0,S33/TrRoad_act!S13*1000)</f>
        <v>26.908364114551333</v>
      </c>
      <c r="T97" s="116">
        <f>IF(TrRoad_act!T13=0,0,T33/TrRoad_act!T13*1000)</f>
        <v>27.579418355591585</v>
      </c>
      <c r="U97" s="116">
        <f>IF(TrRoad_act!U13=0,0,U33/TrRoad_act!U13*1000)</f>
        <v>27.291303667820902</v>
      </c>
      <c r="V97" s="116">
        <f>IF(TrRoad_act!V13=0,0,V33/TrRoad_act!V13*1000)</f>
        <v>41.313880609152477</v>
      </c>
      <c r="W97" s="116">
        <f>IF(TrRoad_act!W13=0,0,W33/TrRoad_act!W13*1000)</f>
        <v>40.576774839714453</v>
      </c>
      <c r="X97" s="116">
        <f>IF(TrRoad_act!X13=0,0,X33/TrRoad_act!X13*1000)</f>
        <v>31.474419043574628</v>
      </c>
      <c r="Y97" s="116">
        <f>IF(TrRoad_act!Y13=0,0,Y33/TrRoad_act!Y13*1000)</f>
        <v>27.595154612614731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24.08352713367773</v>
      </c>
      <c r="C98" s="101">
        <f>IF(TrRoad_act!C14=0,0,C34/TrRoad_act!C14*1000)</f>
        <v>23.509003755461208</v>
      </c>
      <c r="D98" s="101">
        <f>IF(TrRoad_act!D14=0,0,D34/TrRoad_act!D14*1000)</f>
        <v>21.781204940090163</v>
      </c>
      <c r="E98" s="101">
        <f>IF(TrRoad_act!E14=0,0,E34/TrRoad_act!E14*1000)</f>
        <v>19.878196133002486</v>
      </c>
      <c r="F98" s="101">
        <f>IF(TrRoad_act!F14=0,0,F34/TrRoad_act!F14*1000)</f>
        <v>19.183117295366205</v>
      </c>
      <c r="G98" s="101">
        <f>IF(TrRoad_act!G14=0,0,G34/TrRoad_act!G14*1000)</f>
        <v>18.577995065018072</v>
      </c>
      <c r="H98" s="101">
        <f>IF(TrRoad_act!H14=0,0,H34/TrRoad_act!H14*1000)</f>
        <v>17.658465415153515</v>
      </c>
      <c r="I98" s="101">
        <f>IF(TrRoad_act!I14=0,0,I34/TrRoad_act!I14*1000)</f>
        <v>16.964794244752717</v>
      </c>
      <c r="J98" s="101">
        <f>IF(TrRoad_act!J14=0,0,J34/TrRoad_act!J14*1000)</f>
        <v>18.395874317012517</v>
      </c>
      <c r="K98" s="101">
        <f>IF(TrRoad_act!K14=0,0,K34/TrRoad_act!K14*1000)</f>
        <v>18.137934457105843</v>
      </c>
      <c r="L98" s="101">
        <f>IF(TrRoad_act!L14=0,0,L34/TrRoad_act!L14*1000)</f>
        <v>18.207287032756849</v>
      </c>
      <c r="M98" s="101">
        <f>IF(TrRoad_act!M14=0,0,M34/TrRoad_act!M14*1000)</f>
        <v>17.371361215027523</v>
      </c>
      <c r="N98" s="101">
        <f>IF(TrRoad_act!N14=0,0,N34/TrRoad_act!N14*1000)</f>
        <v>16.806349772081763</v>
      </c>
      <c r="O98" s="101">
        <f>IF(TrRoad_act!O14=0,0,O34/TrRoad_act!O14*1000)</f>
        <v>19.090282268727499</v>
      </c>
      <c r="P98" s="101">
        <f>IF(TrRoad_act!P14=0,0,P34/TrRoad_act!P14*1000)</f>
        <v>19.924012009525708</v>
      </c>
      <c r="Q98" s="101">
        <f>IF(TrRoad_act!Q14=0,0,Q34/TrRoad_act!Q14*1000)</f>
        <v>21.658165167772022</v>
      </c>
      <c r="R98" s="101">
        <f>IF(TrRoad_act!R14=0,0,R34/TrRoad_act!R14*1000)</f>
        <v>21.241572474651999</v>
      </c>
      <c r="S98" s="101">
        <f>IF(TrRoad_act!S14=0,0,S34/TrRoad_act!S14*1000)</f>
        <v>21.582185497233962</v>
      </c>
      <c r="T98" s="101">
        <f>IF(TrRoad_act!T14=0,0,T34/TrRoad_act!T14*1000)</f>
        <v>21.584749316046135</v>
      </c>
      <c r="U98" s="101">
        <f>IF(TrRoad_act!U14=0,0,U34/TrRoad_act!U14*1000)</f>
        <v>21.58727382128464</v>
      </c>
      <c r="V98" s="101">
        <f>IF(TrRoad_act!V14=0,0,V34/TrRoad_act!V14*1000)</f>
        <v>27.601714357612195</v>
      </c>
      <c r="W98" s="101">
        <f>IF(TrRoad_act!W14=0,0,W34/TrRoad_act!W14*1000)</f>
        <v>27.492205838074252</v>
      </c>
      <c r="X98" s="101">
        <f>IF(TrRoad_act!X14=0,0,X34/TrRoad_act!X14*1000)</f>
        <v>24.841690874814738</v>
      </c>
      <c r="Y98" s="101">
        <f>IF(TrRoad_act!Y14=0,0,Y34/TrRoad_act!Y14*1000)</f>
        <v>21.91748479851131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29.535513417947197</v>
      </c>
      <c r="C99" s="101">
        <f>IF(TrRoad_act!C15=0,0,C36/TrRoad_act!C15*1000)</f>
        <v>28.26521823837875</v>
      </c>
      <c r="D99" s="101">
        <f>IF(TrRoad_act!D15=0,0,D36/TrRoad_act!D15*1000)</f>
        <v>25.642962446126898</v>
      </c>
      <c r="E99" s="101">
        <f>IF(TrRoad_act!E15=0,0,E36/TrRoad_act!E15*1000)</f>
        <v>23.372840085104965</v>
      </c>
      <c r="F99" s="101">
        <f>IF(TrRoad_act!F15=0,0,F36/TrRoad_act!F15*1000)</f>
        <v>22.536389232916321</v>
      </c>
      <c r="G99" s="101">
        <f>IF(TrRoad_act!G15=0,0,G36/TrRoad_act!G15*1000)</f>
        <v>21.625029810993549</v>
      </c>
      <c r="H99" s="101">
        <f>IF(TrRoad_act!H15=0,0,H36/TrRoad_act!H15*1000)</f>
        <v>20.474997703727031</v>
      </c>
      <c r="I99" s="101">
        <f>IF(TrRoad_act!I15=0,0,I36/TrRoad_act!I15*1000)</f>
        <v>19.505340461389636</v>
      </c>
      <c r="J99" s="101">
        <f>IF(TrRoad_act!J15=0,0,J36/TrRoad_act!J15*1000)</f>
        <v>21.148697396905078</v>
      </c>
      <c r="K99" s="101">
        <f>IF(TrRoad_act!K15=0,0,K36/TrRoad_act!K15*1000)</f>
        <v>20.748762754037994</v>
      </c>
      <c r="L99" s="101">
        <f>IF(TrRoad_act!L15=0,0,L36/TrRoad_act!L15*1000)</f>
        <v>20.907887788540158</v>
      </c>
      <c r="M99" s="101">
        <f>IF(TrRoad_act!M15=0,0,M36/TrRoad_act!M15*1000)</f>
        <v>19.864281610421674</v>
      </c>
      <c r="N99" s="101">
        <f>IF(TrRoad_act!N15=0,0,N36/TrRoad_act!N15*1000)</f>
        <v>19.01424385222672</v>
      </c>
      <c r="O99" s="101">
        <f>IF(TrRoad_act!O15=0,0,O36/TrRoad_act!O15*1000)</f>
        <v>21.689481562475002</v>
      </c>
      <c r="P99" s="101">
        <f>IF(TrRoad_act!P15=0,0,P36/TrRoad_act!P15*1000)</f>
        <v>22.705797256507839</v>
      </c>
      <c r="Q99" s="101">
        <f>IF(TrRoad_act!Q15=0,0,Q36/TrRoad_act!Q15*1000)</f>
        <v>25.212430398826701</v>
      </c>
      <c r="R99" s="101">
        <f>IF(TrRoad_act!R15=0,0,R36/TrRoad_act!R15*1000)</f>
        <v>25.888494204866053</v>
      </c>
      <c r="S99" s="101">
        <f>IF(TrRoad_act!S15=0,0,S36/TrRoad_act!S15*1000)</f>
        <v>26.939696167665485</v>
      </c>
      <c r="T99" s="101">
        <f>IF(TrRoad_act!T15=0,0,T36/TrRoad_act!T15*1000)</f>
        <v>27.627080395302851</v>
      </c>
      <c r="U99" s="101">
        <f>IF(TrRoad_act!U15=0,0,U36/TrRoad_act!U15*1000)</f>
        <v>27.362659380682619</v>
      </c>
      <c r="V99" s="101">
        <f>IF(TrRoad_act!V15=0,0,V36/TrRoad_act!V15*1000)</f>
        <v>41.4206650047323</v>
      </c>
      <c r="W99" s="101">
        <f>IF(TrRoad_act!W15=0,0,W36/TrRoad_act!W15*1000)</f>
        <v>40.351649160199571</v>
      </c>
      <c r="X99" s="101">
        <f>IF(TrRoad_act!X15=0,0,X36/TrRoad_act!X15*1000)</f>
        <v>31.401981783530839</v>
      </c>
      <c r="Y99" s="101">
        <f>IF(TrRoad_act!Y15=0,0,Y36/TrRoad_act!Y15*1000)</f>
        <v>27.676460756734436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14.974907670896052</v>
      </c>
      <c r="P101" s="101">
        <f>IF(TrRoad_act!P17=0,0,P39/TrRoad_act!P17*1000)</f>
        <v>21.008843214481207</v>
      </c>
      <c r="Q101" s="101">
        <f>IF(TrRoad_act!Q17=0,0,Q39/TrRoad_act!Q17*1000)</f>
        <v>23.191608760610556</v>
      </c>
      <c r="R101" s="101">
        <f>IF(TrRoad_act!R17=0,0,R39/TrRoad_act!R17*1000)</f>
        <v>21.973869257529785</v>
      </c>
      <c r="S101" s="101">
        <f>IF(TrRoad_act!S17=0,0,S39/TrRoad_act!S17*1000)</f>
        <v>22.39017104446669</v>
      </c>
      <c r="T101" s="101">
        <f>IF(TrRoad_act!T17=0,0,T39/TrRoad_act!T17*1000)</f>
        <v>21.164675777929421</v>
      </c>
      <c r="U101" s="101">
        <f>IF(TrRoad_act!U17=0,0,U39/TrRoad_act!U17*1000)</f>
        <v>29.727437871411077</v>
      </c>
      <c r="V101" s="101">
        <f>IF(TrRoad_act!V17=0,0,V39/TrRoad_act!V17*1000)</f>
        <v>67.189252067631088</v>
      </c>
      <c r="W101" s="101">
        <f>IF(TrRoad_act!W17=0,0,W39/TrRoad_act!W17*1000)</f>
        <v>82.418498762469326</v>
      </c>
      <c r="X101" s="101">
        <f>IF(TrRoad_act!X17=0,0,X39/TrRoad_act!X17*1000)</f>
        <v>52.636559449924043</v>
      </c>
      <c r="Y101" s="101">
        <f>IF(TrRoad_act!Y17=0,0,Y39/TrRoad_act!Y17*1000)</f>
        <v>50.462619948063406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13.740386553899999</v>
      </c>
      <c r="C102" s="101">
        <f>IF(TrRoad_act!C18=0,0,C41/TrRoad_act!C18*1000)</f>
        <v>13.414758700546606</v>
      </c>
      <c r="D102" s="101">
        <f>IF(TrRoad_act!D18=0,0,D41/TrRoad_act!D18*1000)</f>
        <v>12.436955269353437</v>
      </c>
      <c r="E102" s="101">
        <f>IF(TrRoad_act!E18=0,0,E41/TrRoad_act!E18*1000)</f>
        <v>11.349887308592566</v>
      </c>
      <c r="F102" s="101">
        <f>IF(TrRoad_act!F18=0,0,F41/TrRoad_act!F18*1000)</f>
        <v>10.95503034838619</v>
      </c>
      <c r="G102" s="101">
        <f>IF(TrRoad_act!G18=0,0,G41/TrRoad_act!G18*1000)</f>
        <v>9.9370221169860891</v>
      </c>
      <c r="H102" s="101">
        <f>IF(TrRoad_act!H18=0,0,H41/TrRoad_act!H18*1000)</f>
        <v>9.4504495143124903</v>
      </c>
      <c r="I102" s="101">
        <f>IF(TrRoad_act!I18=0,0,I41/TrRoad_act!I18*1000)</f>
        <v>9.0621540957160231</v>
      </c>
      <c r="J102" s="101">
        <f>IF(TrRoad_act!J18=0,0,J41/TrRoad_act!J18*1000)</f>
        <v>9.8053750707492462</v>
      </c>
      <c r="K102" s="101">
        <f>IF(TrRoad_act!K18=0,0,K41/TrRoad_act!K18*1000)</f>
        <v>9.697433468050086</v>
      </c>
      <c r="L102" s="101">
        <f>IF(TrRoad_act!L18=0,0,L41/TrRoad_act!L18*1000)</f>
        <v>9.8009114717925474</v>
      </c>
      <c r="M102" s="101">
        <f>IF(TrRoad_act!M18=0,0,M41/TrRoad_act!M18*1000)</f>
        <v>9.4210127458901791</v>
      </c>
      <c r="N102" s="101">
        <f>IF(TrRoad_act!N18=0,0,N41/TrRoad_act!N18*1000)</f>
        <v>9.1171662961930338</v>
      </c>
      <c r="O102" s="101">
        <f>IF(TrRoad_act!O18=0,0,O41/TrRoad_act!O18*1000)</f>
        <v>10.366366180278835</v>
      </c>
      <c r="P102" s="101">
        <f>IF(TrRoad_act!P18=0,0,P41/TrRoad_act!P18*1000)</f>
        <v>10.717328420234013</v>
      </c>
      <c r="Q102" s="101">
        <f>IF(TrRoad_act!Q18=0,0,Q41/TrRoad_act!Q18*1000)</f>
        <v>11.6972292218882</v>
      </c>
      <c r="R102" s="101">
        <f>IF(TrRoad_act!R18=0,0,R41/TrRoad_act!R18*1000)</f>
        <v>11.523932672034109</v>
      </c>
      <c r="S102" s="101">
        <f>IF(TrRoad_act!S18=0,0,S41/TrRoad_act!S18*1000)</f>
        <v>11.709176473774297</v>
      </c>
      <c r="T102" s="101">
        <f>IF(TrRoad_act!T18=0,0,T41/TrRoad_act!T18*1000)</f>
        <v>12.072903007716576</v>
      </c>
      <c r="U102" s="101">
        <f>IF(TrRoad_act!U18=0,0,U41/TrRoad_act!U18*1000)</f>
        <v>12.053627577150598</v>
      </c>
      <c r="V102" s="101">
        <f>IF(TrRoad_act!V18=0,0,V41/TrRoad_act!V18*1000)</f>
        <v>18.477365029510931</v>
      </c>
      <c r="W102" s="101">
        <f>IF(TrRoad_act!W18=0,0,W41/TrRoad_act!W18*1000)</f>
        <v>17.569934191135737</v>
      </c>
      <c r="X102" s="101">
        <f>IF(TrRoad_act!X18=0,0,X41/TrRoad_act!X18*1000)</f>
        <v>13.62322462077832</v>
      </c>
      <c r="Y102" s="101">
        <f>IF(TrRoad_act!Y18=0,0,Y41/TrRoad_act!Y18*1000)</f>
        <v>11.668478138915845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51.334994557263343</v>
      </c>
      <c r="C103" s="29">
        <f>IF(TrRoad_act!C19=0,0,C42/TrRoad_act!C19*1000)</f>
        <v>53.368241183478929</v>
      </c>
      <c r="D103" s="29">
        <f>IF(TrRoad_act!D19=0,0,D42/TrRoad_act!D19*1000)</f>
        <v>53.596593684716623</v>
      </c>
      <c r="E103" s="29">
        <f>IF(TrRoad_act!E19=0,0,E42/TrRoad_act!E19*1000)</f>
        <v>55.072065256639313</v>
      </c>
      <c r="F103" s="29">
        <f>IF(TrRoad_act!F19=0,0,F42/TrRoad_act!F19*1000)</f>
        <v>56.74723882098413</v>
      </c>
      <c r="G103" s="29">
        <f>IF(TrRoad_act!G19=0,0,G42/TrRoad_act!G19*1000)</f>
        <v>55.887663096919141</v>
      </c>
      <c r="H103" s="29">
        <f>IF(TrRoad_act!H19=0,0,H42/TrRoad_act!H19*1000)</f>
        <v>56.356287407718</v>
      </c>
      <c r="I103" s="29">
        <f>IF(TrRoad_act!I19=0,0,I42/TrRoad_act!I19*1000)</f>
        <v>56.61330597486829</v>
      </c>
      <c r="J103" s="29">
        <f>IF(TrRoad_act!J19=0,0,J42/TrRoad_act!J19*1000)</f>
        <v>57.083543907969101</v>
      </c>
      <c r="K103" s="29">
        <f>IF(TrRoad_act!K19=0,0,K42/TrRoad_act!K19*1000)</f>
        <v>58.134725607931479</v>
      </c>
      <c r="L103" s="29">
        <f>IF(TrRoad_act!L19=0,0,L42/TrRoad_act!L19*1000)</f>
        <v>56.950613588382787</v>
      </c>
      <c r="M103" s="29">
        <f>IF(TrRoad_act!M19=0,0,M42/TrRoad_act!M19*1000)</f>
        <v>55.887405634760249</v>
      </c>
      <c r="N103" s="29">
        <f>IF(TrRoad_act!N19=0,0,N42/TrRoad_act!N19*1000)</f>
        <v>53.578810557306539</v>
      </c>
      <c r="O103" s="29">
        <f>IF(TrRoad_act!O19=0,0,O42/TrRoad_act!O19*1000)</f>
        <v>51.537085664681079</v>
      </c>
      <c r="P103" s="29">
        <f>IF(TrRoad_act!P19=0,0,P42/TrRoad_act!P19*1000)</f>
        <v>52.298520390375678</v>
      </c>
      <c r="Q103" s="29">
        <f>IF(TrRoad_act!Q19=0,0,Q42/TrRoad_act!Q19*1000)</f>
        <v>54.670108487571234</v>
      </c>
      <c r="R103" s="29">
        <f>IF(TrRoad_act!R19=0,0,R42/TrRoad_act!R19*1000)</f>
        <v>56.712641275702318</v>
      </c>
      <c r="S103" s="29">
        <f>IF(TrRoad_act!S19=0,0,S42/TrRoad_act!S19*1000)</f>
        <v>57.830595848436189</v>
      </c>
      <c r="T103" s="29">
        <f>IF(TrRoad_act!T19=0,0,T42/TrRoad_act!T19*1000)</f>
        <v>60.388716416868313</v>
      </c>
      <c r="U103" s="29">
        <f>IF(TrRoad_act!U19=0,0,U42/TrRoad_act!U19*1000)</f>
        <v>58.328961697450275</v>
      </c>
      <c r="V103" s="29">
        <f>IF(TrRoad_act!V19=0,0,V42/TrRoad_act!V19*1000)</f>
        <v>54.248853325593529</v>
      </c>
      <c r="W103" s="29">
        <f>IF(TrRoad_act!W19=0,0,W42/TrRoad_act!W19*1000)</f>
        <v>60.23593185661484</v>
      </c>
      <c r="X103" s="29">
        <f>IF(TrRoad_act!X19=0,0,X42/TrRoad_act!X19*1000)</f>
        <v>62.956306424152395</v>
      </c>
      <c r="Y103" s="29">
        <f>IF(TrRoad_act!Y19=0,0,Y42/TrRoad_act!Y19*1000)</f>
        <v>67.251437437185544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1538.6374380229424</v>
      </c>
      <c r="C104" s="152">
        <f>IF(TrRoad_act!C20=0,0,C43/TrRoad_act!C20*1000)</f>
        <v>1447.3875786071981</v>
      </c>
      <c r="D104" s="152">
        <f>IF(TrRoad_act!D20=0,0,D43/TrRoad_act!D20*1000)</f>
        <v>1438.1414023662046</v>
      </c>
      <c r="E104" s="152">
        <f>IF(TrRoad_act!E20=0,0,E43/TrRoad_act!E20*1000)</f>
        <v>1368.4434360554835</v>
      </c>
      <c r="F104" s="152">
        <f>IF(TrRoad_act!F20=0,0,F43/TrRoad_act!F20*1000)</f>
        <v>1320.8988600918346</v>
      </c>
      <c r="G104" s="152">
        <f>IF(TrRoad_act!G20=0,0,G43/TrRoad_act!G20*1000)</f>
        <v>1271.9080081073328</v>
      </c>
      <c r="H104" s="152">
        <f>IF(TrRoad_act!H20=0,0,H43/TrRoad_act!H20*1000)</f>
        <v>1236.258626912095</v>
      </c>
      <c r="I104" s="152">
        <f>IF(TrRoad_act!I20=0,0,I43/TrRoad_act!I20*1000)</f>
        <v>1208.6515672750979</v>
      </c>
      <c r="J104" s="152">
        <f>IF(TrRoad_act!J20=0,0,J43/TrRoad_act!J20*1000)</f>
        <v>1171.668570719334</v>
      </c>
      <c r="K104" s="152">
        <f>IF(TrRoad_act!K20=0,0,K43/TrRoad_act!K20*1000)</f>
        <v>1134.5697227407682</v>
      </c>
      <c r="L104" s="152">
        <f>IF(TrRoad_act!L20=0,0,L43/TrRoad_act!L20*1000)</f>
        <v>1115.9251297915539</v>
      </c>
      <c r="M104" s="152">
        <f>IF(TrRoad_act!M20=0,0,M43/TrRoad_act!M20*1000)</f>
        <v>1109.0528716542206</v>
      </c>
      <c r="N104" s="152">
        <f>IF(TrRoad_act!N20=0,0,N43/TrRoad_act!N20*1000)</f>
        <v>1092.5276307395854</v>
      </c>
      <c r="O104" s="152">
        <f>IF(TrRoad_act!O20=0,0,O43/TrRoad_act!O20*1000)</f>
        <v>1066.6745199639381</v>
      </c>
      <c r="P104" s="152">
        <f>IF(TrRoad_act!P20=0,0,P43/TrRoad_act!P20*1000)</f>
        <v>1061.1000153608657</v>
      </c>
      <c r="Q104" s="152">
        <f>IF(TrRoad_act!Q20=0,0,Q43/TrRoad_act!Q20*1000)</f>
        <v>1060.9944316106821</v>
      </c>
      <c r="R104" s="152">
        <f>IF(TrRoad_act!R20=0,0,R43/TrRoad_act!R20*1000)</f>
        <v>1028.7269228826135</v>
      </c>
      <c r="S104" s="152">
        <f>IF(TrRoad_act!S20=0,0,S43/TrRoad_act!S20*1000)</f>
        <v>994.0829773720036</v>
      </c>
      <c r="T104" s="152">
        <f>IF(TrRoad_act!T20=0,0,T43/TrRoad_act!T20*1000)</f>
        <v>982.47550503280559</v>
      </c>
      <c r="U104" s="152">
        <f>IF(TrRoad_act!U20=0,0,U43/TrRoad_act!U20*1000)</f>
        <v>968.68998425271889</v>
      </c>
      <c r="V104" s="152">
        <f>IF(TrRoad_act!V20=0,0,V43/TrRoad_act!V20*1000)</f>
        <v>944.13566972957551</v>
      </c>
      <c r="W104" s="152">
        <f>IF(TrRoad_act!W20=0,0,W43/TrRoad_act!W20*1000)</f>
        <v>983.75488467709238</v>
      </c>
      <c r="X104" s="152">
        <f>IF(TrRoad_act!X20=0,0,X43/TrRoad_act!X20*1000)</f>
        <v>973.63575977043661</v>
      </c>
      <c r="Y104" s="152">
        <f>IF(TrRoad_act!Y20=0,0,Y43/TrRoad_act!Y20*1000)</f>
        <v>986.54232340255021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1757.6648278497535</v>
      </c>
      <c r="C105" s="87">
        <f>IF(TrRoad_act!C21=0,0,C44/TrRoad_act!C21*1000)</f>
        <v>1674.528582575743</v>
      </c>
      <c r="D105" s="87">
        <f>IF(TrRoad_act!D21=0,0,D44/TrRoad_act!D21*1000)</f>
        <v>1620.5924818843573</v>
      </c>
      <c r="E105" s="87">
        <f>IF(TrRoad_act!E21=0,0,E44/TrRoad_act!E21*1000)</f>
        <v>1546.3600807097619</v>
      </c>
      <c r="F105" s="87">
        <f>IF(TrRoad_act!F21=0,0,F44/TrRoad_act!F21*1000)</f>
        <v>1495.1841440350988</v>
      </c>
      <c r="G105" s="87">
        <f>IF(TrRoad_act!G21=0,0,G44/TrRoad_act!G21*1000)</f>
        <v>1467.9493459969142</v>
      </c>
      <c r="H105" s="87">
        <f>IF(TrRoad_act!H21=0,0,H44/TrRoad_act!H21*1000)</f>
        <v>1454.5351702791093</v>
      </c>
      <c r="I105" s="87">
        <f>IF(TrRoad_act!I21=0,0,I44/TrRoad_act!I21*1000)</f>
        <v>1413.8684640950171</v>
      </c>
      <c r="J105" s="87">
        <f>IF(TrRoad_act!J21=0,0,J44/TrRoad_act!J21*1000)</f>
        <v>1340.7635596867829</v>
      </c>
      <c r="K105" s="87">
        <f>IF(TrRoad_act!K21=0,0,K44/TrRoad_act!K21*1000)</f>
        <v>1282.4512968330455</v>
      </c>
      <c r="L105" s="87">
        <f>IF(TrRoad_act!L21=0,0,L44/TrRoad_act!L21*1000)</f>
        <v>1257.6014333623752</v>
      </c>
      <c r="M105" s="87">
        <f>IF(TrRoad_act!M21=0,0,M44/TrRoad_act!M21*1000)</f>
        <v>1265.0295468368283</v>
      </c>
      <c r="N105" s="87">
        <f>IF(TrRoad_act!N21=0,0,N44/TrRoad_act!N21*1000)</f>
        <v>1265.0424297334473</v>
      </c>
      <c r="O105" s="87">
        <f>IF(TrRoad_act!O21=0,0,O44/TrRoad_act!O21*1000)</f>
        <v>1248.7653749982708</v>
      </c>
      <c r="P105" s="87">
        <f>IF(TrRoad_act!P21=0,0,P44/TrRoad_act!P21*1000)</f>
        <v>1237.3841066580151</v>
      </c>
      <c r="Q105" s="87">
        <f>IF(TrRoad_act!Q21=0,0,Q44/TrRoad_act!Q21*1000)</f>
        <v>1221.7741130620786</v>
      </c>
      <c r="R105" s="87">
        <f>IF(TrRoad_act!R21=0,0,R44/TrRoad_act!R21*1000)</f>
        <v>1204.0257982527789</v>
      </c>
      <c r="S105" s="87">
        <f>IF(TrRoad_act!S21=0,0,S44/TrRoad_act!S21*1000)</f>
        <v>1183.3931060767854</v>
      </c>
      <c r="T105" s="87">
        <f>IF(TrRoad_act!T21=0,0,T44/TrRoad_act!T21*1000)</f>
        <v>1164.3365438136971</v>
      </c>
      <c r="U105" s="87">
        <f>IF(TrRoad_act!U21=0,0,U44/TrRoad_act!U21*1000)</f>
        <v>1153.2881995056953</v>
      </c>
      <c r="V105" s="87">
        <f>IF(TrRoad_act!V21=0,0,V44/TrRoad_act!V21*1000)</f>
        <v>1099.8787793919189</v>
      </c>
      <c r="W105" s="87">
        <f>IF(TrRoad_act!W21=0,0,W44/TrRoad_act!W21*1000)</f>
        <v>1136.3501072174897</v>
      </c>
      <c r="X105" s="87">
        <f>IF(TrRoad_act!X21=0,0,X44/TrRoad_act!X21*1000)</f>
        <v>1130.1028188011296</v>
      </c>
      <c r="Y105" s="87">
        <f>IF(TrRoad_act!Y21=0,0,Y44/TrRoad_act!Y21*1000)</f>
        <v>1144.8056974241451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1491.641589523829</v>
      </c>
      <c r="C106" s="87">
        <f>IF(TrRoad_act!C22=0,0,C46/TrRoad_act!C22*1000)</f>
        <v>1402.6219427647879</v>
      </c>
      <c r="D106" s="87">
        <f>IF(TrRoad_act!D22=0,0,D46/TrRoad_act!D22*1000)</f>
        <v>1396.0441589788936</v>
      </c>
      <c r="E106" s="87">
        <f>IF(TrRoad_act!E22=0,0,E46/TrRoad_act!E22*1000)</f>
        <v>1330.8874876074481</v>
      </c>
      <c r="F106" s="87">
        <f>IF(TrRoad_act!F22=0,0,F46/TrRoad_act!F22*1000)</f>
        <v>1287.4066392666198</v>
      </c>
      <c r="G106" s="87">
        <f>IF(TrRoad_act!G22=0,0,G46/TrRoad_act!G22*1000)</f>
        <v>1240.8333092114817</v>
      </c>
      <c r="H106" s="87">
        <f>IF(TrRoad_act!H22=0,0,H46/TrRoad_act!H22*1000)</f>
        <v>1207.519700518385</v>
      </c>
      <c r="I106" s="87">
        <f>IF(TrRoad_act!I22=0,0,I46/TrRoad_act!I22*1000)</f>
        <v>1184.9794075329519</v>
      </c>
      <c r="J106" s="87">
        <f>IF(TrRoad_act!J22=0,0,J46/TrRoad_act!J22*1000)</f>
        <v>1152.7247664239678</v>
      </c>
      <c r="K106" s="87">
        <f>IF(TrRoad_act!K22=0,0,K46/TrRoad_act!K22*1000)</f>
        <v>1119.2368970654165</v>
      </c>
      <c r="L106" s="87">
        <f>IF(TrRoad_act!L22=0,0,L46/TrRoad_act!L22*1000)</f>
        <v>1103.049077044863</v>
      </c>
      <c r="M106" s="87">
        <f>IF(TrRoad_act!M22=0,0,M46/TrRoad_act!M22*1000)</f>
        <v>1096.4386213858857</v>
      </c>
      <c r="N106" s="87">
        <f>IF(TrRoad_act!N22=0,0,N46/TrRoad_act!N22*1000)</f>
        <v>1080.5637662860161</v>
      </c>
      <c r="O106" s="87">
        <f>IF(TrRoad_act!O22=0,0,O46/TrRoad_act!O22*1000)</f>
        <v>1056.2074480601186</v>
      </c>
      <c r="P106" s="87">
        <f>IF(TrRoad_act!P22=0,0,P46/TrRoad_act!P22*1000)</f>
        <v>1052.1452687622052</v>
      </c>
      <c r="Q106" s="87">
        <f>IF(TrRoad_act!Q22=0,0,Q46/TrRoad_act!Q22*1000)</f>
        <v>1054.1282683418624</v>
      </c>
      <c r="R106" s="87">
        <f>IF(TrRoad_act!R22=0,0,R46/TrRoad_act!R22*1000)</f>
        <v>1021.4509508311716</v>
      </c>
      <c r="S106" s="87">
        <f>IF(TrRoad_act!S22=0,0,S46/TrRoad_act!S22*1000)</f>
        <v>985.8044327927737</v>
      </c>
      <c r="T106" s="87">
        <f>IF(TrRoad_act!T22=0,0,T46/TrRoad_act!T22*1000)</f>
        <v>974.09050602935827</v>
      </c>
      <c r="U106" s="87">
        <f>IF(TrRoad_act!U22=0,0,U46/TrRoad_act!U22*1000)</f>
        <v>958.60239716278784</v>
      </c>
      <c r="V106" s="87">
        <f>IF(TrRoad_act!V22=0,0,V46/TrRoad_act!V22*1000)</f>
        <v>932.07447731241712</v>
      </c>
      <c r="W106" s="87">
        <f>IF(TrRoad_act!W22=0,0,W46/TrRoad_act!W22*1000)</f>
        <v>968.94817823979622</v>
      </c>
      <c r="X106" s="87">
        <f>IF(TrRoad_act!X22=0,0,X46/TrRoad_act!X22*1000)</f>
        <v>961.404600584479</v>
      </c>
      <c r="Y106" s="87">
        <f>IF(TrRoad_act!Y22=0,0,Y46/TrRoad_act!Y22*1000)</f>
        <v>973.26657070336569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2860.3145062322073</v>
      </c>
      <c r="C107" s="87">
        <f>IF(TrRoad_act!C23=0,0,C48/TrRoad_act!C23*1000)</f>
        <v>2659.8000320866486</v>
      </c>
      <c r="D107" s="87">
        <f>IF(TrRoad_act!D23=0,0,D48/TrRoad_act!D23*1000)</f>
        <v>2664.2561853239145</v>
      </c>
      <c r="E107" s="87">
        <f>IF(TrRoad_act!E23=0,0,E48/TrRoad_act!E23*1000)</f>
        <v>2622.9897137632615</v>
      </c>
      <c r="F107" s="87">
        <f>IF(TrRoad_act!F23=0,0,F48/TrRoad_act!F23*1000)</f>
        <v>2543.7630080567124</v>
      </c>
      <c r="G107" s="87">
        <f>IF(TrRoad_act!G23=0,0,G48/TrRoad_act!G23*1000)</f>
        <v>2446.7825845538305</v>
      </c>
      <c r="H107" s="87">
        <f>IF(TrRoad_act!H23=0,0,H48/TrRoad_act!H23*1000)</f>
        <v>2343.5786549863333</v>
      </c>
      <c r="I107" s="87">
        <f>IF(TrRoad_act!I23=0,0,I48/TrRoad_act!I23*1000)</f>
        <v>2284.2347602744776</v>
      </c>
      <c r="J107" s="87">
        <f>IF(TrRoad_act!J23=0,0,J48/TrRoad_act!J23*1000)</f>
        <v>2140.2890797702689</v>
      </c>
      <c r="K107" s="87">
        <f>IF(TrRoad_act!K23=0,0,K48/TrRoad_act!K23*1000)</f>
        <v>1999.8726375183189</v>
      </c>
      <c r="L107" s="87">
        <f>IF(TrRoad_act!L23=0,0,L48/TrRoad_act!L23*1000)</f>
        <v>1904.2537568956268</v>
      </c>
      <c r="M107" s="87">
        <f>IF(TrRoad_act!M23=0,0,M48/TrRoad_act!M23*1000)</f>
        <v>1854.5987910877197</v>
      </c>
      <c r="N107" s="87">
        <f>IF(TrRoad_act!N23=0,0,N48/TrRoad_act!N23*1000)</f>
        <v>1819.2872417384424</v>
      </c>
      <c r="O107" s="87">
        <f>IF(TrRoad_act!O23=0,0,O48/TrRoad_act!O23*1000)</f>
        <v>1778.1476929068976</v>
      </c>
      <c r="P107" s="87">
        <f>IF(TrRoad_act!P23=0,0,P48/TrRoad_act!P23*1000)</f>
        <v>1778.0053806812844</v>
      </c>
      <c r="Q107" s="87">
        <f>IF(TrRoad_act!Q23=0,0,Q48/TrRoad_act!Q23*1000)</f>
        <v>1796.4206951723049</v>
      </c>
      <c r="R107" s="87">
        <f>IF(TrRoad_act!R23=0,0,R48/TrRoad_act!R23*1000)</f>
        <v>1789.3046515463611</v>
      </c>
      <c r="S107" s="87">
        <f>IF(TrRoad_act!S23=0,0,S48/TrRoad_act!S23*1000)</f>
        <v>1777.8736912779329</v>
      </c>
      <c r="T107" s="87">
        <f>IF(TrRoad_act!T23=0,0,T48/TrRoad_act!T23*1000)</f>
        <v>1771.2369804943357</v>
      </c>
      <c r="U107" s="87">
        <f>IF(TrRoad_act!U23=0,0,U48/TrRoad_act!U23*1000)</f>
        <v>1756.0805560926779</v>
      </c>
      <c r="V107" s="87">
        <f>IF(TrRoad_act!V23=0,0,V48/TrRoad_act!V23*1000)</f>
        <v>1683.4090025375194</v>
      </c>
      <c r="W107" s="87">
        <f>IF(TrRoad_act!W23=0,0,W48/TrRoad_act!W23*1000)</f>
        <v>1740.6179040868242</v>
      </c>
      <c r="X107" s="87">
        <f>IF(TrRoad_act!X23=0,0,X48/TrRoad_act!X23*1000)</f>
        <v>1697.2976731291615</v>
      </c>
      <c r="Y107" s="87">
        <f>IF(TrRoad_act!Y23=0,0,Y48/TrRoad_act!Y23*1000)</f>
        <v>1688.229481680014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1330.8206245667895</v>
      </c>
      <c r="K108" s="87">
        <f>IF(TrRoad_act!K24=0,0,K49/TrRoad_act!K24*1000)</f>
        <v>1321.5972571970958</v>
      </c>
      <c r="L108" s="87">
        <f>IF(TrRoad_act!L24=0,0,L49/TrRoad_act!L24*1000)</f>
        <v>1310.8371737609216</v>
      </c>
      <c r="M108" s="87">
        <f>IF(TrRoad_act!M24=0,0,M49/TrRoad_act!M24*1000)</f>
        <v>1301.5976553809865</v>
      </c>
      <c r="N108" s="87">
        <f>IF(TrRoad_act!N24=0,0,N49/TrRoad_act!N24*1000)</f>
        <v>1298.4249831469981</v>
      </c>
      <c r="O108" s="87">
        <f>IF(TrRoad_act!O24=0,0,O49/TrRoad_act!O24*1000)</f>
        <v>1282.9021710476566</v>
      </c>
      <c r="P108" s="87">
        <f>IF(TrRoad_act!P24=0,0,P49/TrRoad_act!P24*1000)</f>
        <v>1326.3170965630609</v>
      </c>
      <c r="Q108" s="87">
        <f>IF(TrRoad_act!Q24=0,0,Q49/TrRoad_act!Q24*1000)</f>
        <v>1426.3803344360929</v>
      </c>
      <c r="R108" s="87">
        <f>IF(TrRoad_act!R24=0,0,R49/TrRoad_act!R24*1000)</f>
        <v>1428.2386310993184</v>
      </c>
      <c r="S108" s="87">
        <f>IF(TrRoad_act!S24=0,0,S49/TrRoad_act!S24*1000)</f>
        <v>1381.3880425924037</v>
      </c>
      <c r="T108" s="87">
        <f>IF(TrRoad_act!T24=0,0,T49/TrRoad_act!T24*1000)</f>
        <v>1298.5089863915671</v>
      </c>
      <c r="U108" s="87">
        <f>IF(TrRoad_act!U24=0,0,U49/TrRoad_act!U24*1000)</f>
        <v>1762.3946818794595</v>
      </c>
      <c r="V108" s="87">
        <f>IF(TrRoad_act!V24=0,0,V49/TrRoad_act!V24*1000)</f>
        <v>2579.3311252275803</v>
      </c>
      <c r="W108" s="87">
        <f>IF(TrRoad_act!W24=0,0,W49/TrRoad_act!W24*1000)</f>
        <v>3480.8047965472006</v>
      </c>
      <c r="X108" s="87">
        <f>IF(TrRoad_act!X24=0,0,X49/TrRoad_act!X24*1000)</f>
        <v>2909.2627006271055</v>
      </c>
      <c r="Y108" s="87">
        <f>IF(TrRoad_act!Y24=0,0,Y49/TrRoad_act!Y24*1000)</f>
        <v>3265.9303693734255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224.02933558360968</v>
      </c>
      <c r="K109" s="87">
        <f>IF(TrRoad_act!K25=0,0,K51/TrRoad_act!K25*1000)</f>
        <v>224.14881607578624</v>
      </c>
      <c r="L109" s="87">
        <f>IF(TrRoad_act!L25=0,0,L51/TrRoad_act!L25*1000)</f>
        <v>224.21880423925646</v>
      </c>
      <c r="M109" s="87">
        <f>IF(TrRoad_act!M25=0,0,M51/TrRoad_act!M25*1000)</f>
        <v>225.69843193053572</v>
      </c>
      <c r="N109" s="87">
        <f>IF(TrRoad_act!N25=0,0,N51/TrRoad_act!N25*1000)</f>
        <v>229.17981144241881</v>
      </c>
      <c r="O109" s="87">
        <f>IF(TrRoad_act!O25=0,0,O51/TrRoad_act!O25*1000)</f>
        <v>229.59378933236408</v>
      </c>
      <c r="P109" s="87">
        <f>IF(TrRoad_act!P25=0,0,P51/TrRoad_act!P25*1000)</f>
        <v>230.85393240892398</v>
      </c>
      <c r="Q109" s="87">
        <f>IF(TrRoad_act!Q25=0,0,Q51/TrRoad_act!Q25*1000)</f>
        <v>234.04710519450356</v>
      </c>
      <c r="R109" s="87">
        <f>IF(TrRoad_act!R25=0,0,R51/TrRoad_act!R25*1000)</f>
        <v>240.93788656909672</v>
      </c>
      <c r="S109" s="87">
        <f>IF(TrRoad_act!S25=0,0,S51/TrRoad_act!S25*1000)</f>
        <v>245.61249567315642</v>
      </c>
      <c r="T109" s="87">
        <f>IF(TrRoad_act!T25=0,0,T51/TrRoad_act!T25*1000)</f>
        <v>257.13833476993841</v>
      </c>
      <c r="U109" s="87">
        <f>IF(TrRoad_act!U25=0,0,U51/TrRoad_act!U25*1000)</f>
        <v>278.94067761626644</v>
      </c>
      <c r="V109" s="87">
        <f>IF(TrRoad_act!V25=0,0,V51/TrRoad_act!V25*1000)</f>
        <v>306.13160925242494</v>
      </c>
      <c r="W109" s="87">
        <f>IF(TrRoad_act!W25=0,0,W51/TrRoad_act!W25*1000)</f>
        <v>338.07371756199166</v>
      </c>
      <c r="X109" s="87">
        <f>IF(TrRoad_act!X25=0,0,X51/TrRoad_act!X25*1000)</f>
        <v>361.40232233531628</v>
      </c>
      <c r="Y109" s="87">
        <f>IF(TrRoad_act!Y25=0,0,Y51/TrRoad_act!Y25*1000)</f>
        <v>380.74803946697079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25.890714923644609</v>
      </c>
      <c r="C110" s="116">
        <f>IF(TrRoad_act!C26=0,0,C52/TrRoad_act!C26*1000)</f>
        <v>29.200127156911851</v>
      </c>
      <c r="D110" s="116">
        <f>IF(TrRoad_act!D26=0,0,D52/TrRoad_act!D26*1000)</f>
        <v>29.113251088124407</v>
      </c>
      <c r="E110" s="116">
        <f>IF(TrRoad_act!E26=0,0,E52/TrRoad_act!E26*1000)</f>
        <v>30.329950214052857</v>
      </c>
      <c r="F110" s="116">
        <f>IF(TrRoad_act!F26=0,0,F52/TrRoad_act!F26*1000)</f>
        <v>32.419530102380286</v>
      </c>
      <c r="G110" s="116">
        <f>IF(TrRoad_act!G26=0,0,G52/TrRoad_act!G26*1000)</f>
        <v>31.725740687521494</v>
      </c>
      <c r="H110" s="116">
        <f>IF(TrRoad_act!H26=0,0,H52/TrRoad_act!H26*1000)</f>
        <v>32.563132088715356</v>
      </c>
      <c r="I110" s="116">
        <f>IF(TrRoad_act!I26=0,0,I52/TrRoad_act!I26*1000)</f>
        <v>32.565681417502738</v>
      </c>
      <c r="J110" s="116">
        <f>IF(TrRoad_act!J26=0,0,J52/TrRoad_act!J26*1000)</f>
        <v>32.166878092059626</v>
      </c>
      <c r="K110" s="116">
        <f>IF(TrRoad_act!K26=0,0,K52/TrRoad_act!K26*1000)</f>
        <v>32.428774542870428</v>
      </c>
      <c r="L110" s="116">
        <f>IF(TrRoad_act!L26=0,0,L52/TrRoad_act!L26*1000)</f>
        <v>32.028488842432196</v>
      </c>
      <c r="M110" s="116">
        <f>IF(TrRoad_act!M26=0,0,M52/TrRoad_act!M26*1000)</f>
        <v>31.169222707197541</v>
      </c>
      <c r="N110" s="116">
        <f>IF(TrRoad_act!N26=0,0,N52/TrRoad_act!N26*1000)</f>
        <v>29.495431224491966</v>
      </c>
      <c r="O110" s="116">
        <f>IF(TrRoad_act!O26=0,0,O52/TrRoad_act!O26*1000)</f>
        <v>29.598972203981198</v>
      </c>
      <c r="P110" s="116">
        <f>IF(TrRoad_act!P26=0,0,P52/TrRoad_act!P26*1000)</f>
        <v>29.819877220779023</v>
      </c>
      <c r="Q110" s="116">
        <f>IF(TrRoad_act!Q26=0,0,Q52/TrRoad_act!Q26*1000)</f>
        <v>32.127295643940975</v>
      </c>
      <c r="R110" s="116">
        <f>IF(TrRoad_act!R26=0,0,R52/TrRoad_act!R26*1000)</f>
        <v>36.276161914632326</v>
      </c>
      <c r="S110" s="116">
        <f>IF(TrRoad_act!S26=0,0,S52/TrRoad_act!S26*1000)</f>
        <v>38.927993221263947</v>
      </c>
      <c r="T110" s="116">
        <f>IF(TrRoad_act!T26=0,0,T52/TrRoad_act!T26*1000)</f>
        <v>40.755804692084162</v>
      </c>
      <c r="U110" s="116">
        <f>IF(TrRoad_act!U26=0,0,U52/TrRoad_act!U26*1000)</f>
        <v>39.325220026771248</v>
      </c>
      <c r="V110" s="116">
        <f>IF(TrRoad_act!V26=0,0,V52/TrRoad_act!V26*1000)</f>
        <v>36.76798903301907</v>
      </c>
      <c r="W110" s="116">
        <f>IF(TrRoad_act!W26=0,0,W52/TrRoad_act!W26*1000)</f>
        <v>39.409029373420708</v>
      </c>
      <c r="X110" s="116">
        <f>IF(TrRoad_act!X26=0,0,X52/TrRoad_act!X26*1000)</f>
        <v>41.624305641521545</v>
      </c>
      <c r="Y110" s="116">
        <f>IF(TrRoad_act!Y26=0,0,Y52/TrRoad_act!Y26*1000)</f>
        <v>43.820892059995622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29.427719528036654</v>
      </c>
      <c r="C111" s="101">
        <f>IF(TrRoad_act!C27=0,0,C53/TrRoad_act!C27*1000)</f>
        <v>33.801216956626703</v>
      </c>
      <c r="D111" s="101">
        <f>IF(TrRoad_act!D27=0,0,D53/TrRoad_act!D27*1000)</f>
        <v>34.457800335311013</v>
      </c>
      <c r="E111" s="101">
        <f>IF(TrRoad_act!E27=0,0,E53/TrRoad_act!E27*1000)</f>
        <v>35.391167620311514</v>
      </c>
      <c r="F111" s="101">
        <f>IF(TrRoad_act!F27=0,0,F53/TrRoad_act!F27*1000)</f>
        <v>38.955193605214625</v>
      </c>
      <c r="G111" s="101">
        <f>IF(TrRoad_act!G27=0,0,G53/TrRoad_act!G27*1000)</f>
        <v>36.993498833928207</v>
      </c>
      <c r="H111" s="101">
        <f>IF(TrRoad_act!H27=0,0,H53/TrRoad_act!H27*1000)</f>
        <v>38.023053213924449</v>
      </c>
      <c r="I111" s="101">
        <f>IF(TrRoad_act!I27=0,0,I53/TrRoad_act!I27*1000)</f>
        <v>37.769786810875445</v>
      </c>
      <c r="J111" s="101">
        <f>IF(TrRoad_act!J27=0,0,J53/TrRoad_act!J27*1000)</f>
        <v>34.567829955773327</v>
      </c>
      <c r="K111" s="101">
        <f>IF(TrRoad_act!K27=0,0,K53/TrRoad_act!K27*1000)</f>
        <v>34.731226291957277</v>
      </c>
      <c r="L111" s="101">
        <f>IF(TrRoad_act!L27=0,0,L53/TrRoad_act!L27*1000)</f>
        <v>34.786835191279053</v>
      </c>
      <c r="M111" s="101">
        <f>IF(TrRoad_act!M27=0,0,M53/TrRoad_act!M27*1000)</f>
        <v>34.399790147236651</v>
      </c>
      <c r="N111" s="101">
        <f>IF(TrRoad_act!N27=0,0,N53/TrRoad_act!N27*1000)</f>
        <v>32.03348639944349</v>
      </c>
      <c r="O111" s="101">
        <f>IF(TrRoad_act!O27=0,0,O53/TrRoad_act!O27*1000)</f>
        <v>32.137346196620285</v>
      </c>
      <c r="P111" s="101">
        <f>IF(TrRoad_act!P27=0,0,P53/TrRoad_act!P27*1000)</f>
        <v>32.930514203604247</v>
      </c>
      <c r="Q111" s="101">
        <f>IF(TrRoad_act!Q27=0,0,Q53/TrRoad_act!Q27*1000)</f>
        <v>35.947764314710838</v>
      </c>
      <c r="R111" s="101">
        <f>IF(TrRoad_act!R27=0,0,R53/TrRoad_act!R27*1000)</f>
        <v>39.735692293735013</v>
      </c>
      <c r="S111" s="101">
        <f>IF(TrRoad_act!S27=0,0,S53/TrRoad_act!S27*1000)</f>
        <v>43.99531719935716</v>
      </c>
      <c r="T111" s="101">
        <f>IF(TrRoad_act!T27=0,0,T53/TrRoad_act!T27*1000)</f>
        <v>44.389397911720131</v>
      </c>
      <c r="U111" s="101">
        <f>IF(TrRoad_act!U27=0,0,U53/TrRoad_act!U27*1000)</f>
        <v>43.138904072059816</v>
      </c>
      <c r="V111" s="101">
        <f>IF(TrRoad_act!V27=0,0,V53/TrRoad_act!V27*1000)</f>
        <v>38.635523555752357</v>
      </c>
      <c r="W111" s="101">
        <f>IF(TrRoad_act!W27=0,0,W53/TrRoad_act!W27*1000)</f>
        <v>41.989331206750471</v>
      </c>
      <c r="X111" s="101">
        <f>IF(TrRoad_act!X27=0,0,X53/TrRoad_act!X27*1000)</f>
        <v>46.38733515931046</v>
      </c>
      <c r="Y111" s="101">
        <f>IF(TrRoad_act!Y27=0,0,Y53/TrRoad_act!Y27*1000)</f>
        <v>49.364879185595356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22.367518922858217</v>
      </c>
      <c r="C112" s="88">
        <f>IF(TrRoad_act!C28=0,0,C55/TrRoad_act!C28*1000)</f>
        <v>24.745998171198252</v>
      </c>
      <c r="D112" s="88">
        <f>IF(TrRoad_act!D28=0,0,D55/TrRoad_act!D28*1000)</f>
        <v>24.268551312629516</v>
      </c>
      <c r="E112" s="88">
        <f>IF(TrRoad_act!E28=0,0,E55/TrRoad_act!E28*1000)</f>
        <v>25.993648145958169</v>
      </c>
      <c r="F112" s="88">
        <f>IF(TrRoad_act!F28=0,0,F55/TrRoad_act!F28*1000)</f>
        <v>27.636673938045362</v>
      </c>
      <c r="G112" s="88">
        <f>IF(TrRoad_act!G28=0,0,G55/TrRoad_act!G28*1000)</f>
        <v>28.029302244353875</v>
      </c>
      <c r="H112" s="88">
        <f>IF(TrRoad_act!H28=0,0,H55/TrRoad_act!H28*1000)</f>
        <v>28.785337735242425</v>
      </c>
      <c r="I112" s="88">
        <f>IF(TrRoad_act!I28=0,0,I55/TrRoad_act!I28*1000)</f>
        <v>29.087640126234174</v>
      </c>
      <c r="J112" s="88">
        <f>IF(TrRoad_act!J28=0,0,J55/TrRoad_act!J28*1000)</f>
        <v>30.651734103900001</v>
      </c>
      <c r="K112" s="88">
        <f>IF(TrRoad_act!K28=0,0,K55/TrRoad_act!K28*1000)</f>
        <v>30.917751072764762</v>
      </c>
      <c r="L112" s="88">
        <f>IF(TrRoad_act!L28=0,0,L55/TrRoad_act!L28*1000)</f>
        <v>30.271617965237123</v>
      </c>
      <c r="M112" s="88">
        <f>IF(TrRoad_act!M28=0,0,M55/TrRoad_act!M28*1000)</f>
        <v>29.107861495878623</v>
      </c>
      <c r="N112" s="88">
        <f>IF(TrRoad_act!N28=0,0,N55/TrRoad_act!N28*1000)</f>
        <v>27.826895213080661</v>
      </c>
      <c r="O112" s="88">
        <f>IF(TrRoad_act!O28=0,0,O55/TrRoad_act!O28*1000)</f>
        <v>27.915443287340576</v>
      </c>
      <c r="P112" s="88">
        <f>IF(TrRoad_act!P28=0,0,P55/TrRoad_act!P28*1000)</f>
        <v>27.748559282209275</v>
      </c>
      <c r="Q112" s="88">
        <f>IF(TrRoad_act!Q28=0,0,Q55/TrRoad_act!Q28*1000)</f>
        <v>29.343275991197807</v>
      </c>
      <c r="R112" s="88">
        <f>IF(TrRoad_act!R28=0,0,R55/TrRoad_act!R28*1000)</f>
        <v>33.877644101220703</v>
      </c>
      <c r="S112" s="88">
        <f>IF(TrRoad_act!S28=0,0,S55/TrRoad_act!S28*1000)</f>
        <v>35.610027929931867</v>
      </c>
      <c r="T112" s="88">
        <f>IF(TrRoad_act!T28=0,0,T55/TrRoad_act!T28*1000)</f>
        <v>38.288397675927612</v>
      </c>
      <c r="U112" s="88">
        <f>IF(TrRoad_act!U28=0,0,U55/TrRoad_act!U28*1000)</f>
        <v>36.626866875055796</v>
      </c>
      <c r="V112" s="88">
        <f>IF(TrRoad_act!V28=0,0,V55/TrRoad_act!V28*1000)</f>
        <v>35.445361903255609</v>
      </c>
      <c r="W112" s="88">
        <f>IF(TrRoad_act!W28=0,0,W55/TrRoad_act!W28*1000)</f>
        <v>37.500554633001222</v>
      </c>
      <c r="X112" s="88">
        <f>IF(TrRoad_act!X28=0,0,X55/TrRoad_act!X28*1000)</f>
        <v>38.095400691706963</v>
      </c>
      <c r="Y112" s="88">
        <f>IF(TrRoad_act!Y28=0,0,Y55/TrRoad_act!Y28*1000)</f>
        <v>39.701511933704261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216.12137565471181</v>
      </c>
      <c r="C116" s="152">
        <f>IF(C19=0,0,1000000*C19/TrRoad_act!C59)</f>
        <v>211.90566598360266</v>
      </c>
      <c r="D116" s="152">
        <f>IF(D19=0,0,1000000*D19/TrRoad_act!D59)</f>
        <v>212.9454464087363</v>
      </c>
      <c r="E116" s="152">
        <f>IF(E19=0,0,1000000*E19/TrRoad_act!E59)</f>
        <v>210.58260733426104</v>
      </c>
      <c r="F116" s="152">
        <f>IF(F19=0,0,1000000*F19/TrRoad_act!F59)</f>
        <v>209.63104161930053</v>
      </c>
      <c r="G116" s="152">
        <f>IF(G19=0,0,1000000*G19/TrRoad_act!G59)</f>
        <v>186.57492990752277</v>
      </c>
      <c r="H116" s="152">
        <f>IF(H19=0,0,1000000*H19/TrRoad_act!H59)</f>
        <v>184.30126832167065</v>
      </c>
      <c r="I116" s="152">
        <f>IF(I19=0,0,1000000*I19/TrRoad_act!I59)</f>
        <v>182.41419540152839</v>
      </c>
      <c r="J116" s="152">
        <f>IF(J19=0,0,1000000*J19/TrRoad_act!J59)</f>
        <v>174.01700249352072</v>
      </c>
      <c r="K116" s="152">
        <f>IF(K19=0,0,1000000*K19/TrRoad_act!K59)</f>
        <v>162.39775865017626</v>
      </c>
      <c r="L116" s="152">
        <f>IF(L19=0,0,1000000*L19/TrRoad_act!L59)</f>
        <v>147.52454976854787</v>
      </c>
      <c r="M116" s="152">
        <f>IF(M19=0,0,1000000*M19/TrRoad_act!M59)</f>
        <v>140.34950967463342</v>
      </c>
      <c r="N116" s="152">
        <f>IF(N19=0,0,1000000*N19/TrRoad_act!N59)</f>
        <v>131.8891327489483</v>
      </c>
      <c r="O116" s="152">
        <f>IF(O19=0,0,1000000*O19/TrRoad_act!O59)</f>
        <v>124.20902807908134</v>
      </c>
      <c r="P116" s="152">
        <f>IF(P19=0,0,1000000*P19/TrRoad_act!P59)</f>
        <v>124.8686430017061</v>
      </c>
      <c r="Q116" s="152">
        <f>IF(Q19=0,0,1000000*Q19/TrRoad_act!Q59)</f>
        <v>116.36185509400148</v>
      </c>
      <c r="R116" s="152">
        <f>IF(R19=0,0,1000000*R19/TrRoad_act!R59)</f>
        <v>94.835426394800962</v>
      </c>
      <c r="S116" s="152">
        <f>IF(S19=0,0,1000000*S19/TrRoad_act!S59)</f>
        <v>83.221133607667284</v>
      </c>
      <c r="T116" s="152">
        <f>IF(T19=0,0,1000000*T19/TrRoad_act!T59)</f>
        <v>75.50777683357677</v>
      </c>
      <c r="U116" s="152">
        <f>IF(U19=0,0,1000000*U19/TrRoad_act!U59)</f>
        <v>77.070207566598455</v>
      </c>
      <c r="V116" s="152">
        <f>IF(V19=0,0,1000000*V19/TrRoad_act!V59)</f>
        <v>63.029426115474784</v>
      </c>
      <c r="W116" s="152">
        <f>IF(W19=0,0,1000000*W19/TrRoad_act!W59)</f>
        <v>65.445586842238313</v>
      </c>
      <c r="X116" s="152">
        <f>IF(X19=0,0,1000000*X19/TrRoad_act!X59)</f>
        <v>63.746301191011014</v>
      </c>
      <c r="Y116" s="152">
        <f>IF(Y19=0,0,1000000*Y19/TrRoad_act!Y59)</f>
        <v>66.804503583820434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1108.3066024204484</v>
      </c>
      <c r="C117" s="116">
        <f>IF(C21=0,0,1000000*C21/TrRoad_act!C60)</f>
        <v>1110.4309415684841</v>
      </c>
      <c r="D117" s="116">
        <f>IF(D21=0,0,1000000*D21/TrRoad_act!D60)</f>
        <v>1086.7416775890288</v>
      </c>
      <c r="E117" s="116">
        <f>IF(E21=0,0,1000000*E21/TrRoad_act!E60)</f>
        <v>1106.3858128862068</v>
      </c>
      <c r="F117" s="116">
        <f>IF(F21=0,0,1000000*F21/TrRoad_act!F60)</f>
        <v>1104.8341708050309</v>
      </c>
      <c r="G117" s="116">
        <f>IF(G21=0,0,1000000*G21/TrRoad_act!G60)</f>
        <v>1047.5975050612356</v>
      </c>
      <c r="H117" s="116">
        <f>IF(H21=0,0,1000000*H21/TrRoad_act!H60)</f>
        <v>1057.550874849615</v>
      </c>
      <c r="I117" s="116">
        <f>IF(I21=0,0,1000000*I21/TrRoad_act!I60)</f>
        <v>1077.6475818253095</v>
      </c>
      <c r="J117" s="116">
        <f>IF(J21=0,0,1000000*J21/TrRoad_act!J60)</f>
        <v>1080.0325674532523</v>
      </c>
      <c r="K117" s="116">
        <f>IF(K21=0,0,1000000*K21/TrRoad_act!K60)</f>
        <v>1069.2518551135945</v>
      </c>
      <c r="L117" s="116">
        <f>IF(L21=0,0,1000000*L21/TrRoad_act!L60)</f>
        <v>1037.6452917043998</v>
      </c>
      <c r="M117" s="116">
        <f>IF(M21=0,0,1000000*M21/TrRoad_act!M60)</f>
        <v>1000.4449435627502</v>
      </c>
      <c r="N117" s="116">
        <f>IF(N21=0,0,1000000*N21/TrRoad_act!N60)</f>
        <v>967.68625211150118</v>
      </c>
      <c r="O117" s="116">
        <f>IF(O21=0,0,1000000*O21/TrRoad_act!O60)</f>
        <v>930.1993341986697</v>
      </c>
      <c r="P117" s="116">
        <f>IF(P21=0,0,1000000*P21/TrRoad_act!P60)</f>
        <v>936.90324559936687</v>
      </c>
      <c r="Q117" s="116">
        <f>IF(Q21=0,0,1000000*Q21/TrRoad_act!Q60)</f>
        <v>943.56967442427879</v>
      </c>
      <c r="R117" s="116">
        <f>IF(R21=0,0,1000000*R21/TrRoad_act!R60)</f>
        <v>914.41011414591469</v>
      </c>
      <c r="S117" s="116">
        <f>IF(S21=0,0,1000000*S21/TrRoad_act!S60)</f>
        <v>868.53530699632677</v>
      </c>
      <c r="T117" s="116">
        <f>IF(T21=0,0,1000000*T21/TrRoad_act!T60)</f>
        <v>855.7406296875555</v>
      </c>
      <c r="U117" s="116">
        <f>IF(U21=0,0,1000000*U21/TrRoad_act!U60)</f>
        <v>841.80139602757436</v>
      </c>
      <c r="V117" s="116">
        <f>IF(V21=0,0,1000000*V21/TrRoad_act!V60)</f>
        <v>702.49776162372495</v>
      </c>
      <c r="W117" s="116">
        <f>IF(W21=0,0,1000000*W21/TrRoad_act!W60)</f>
        <v>749.25988622935961</v>
      </c>
      <c r="X117" s="116">
        <f>IF(X21=0,0,1000000*X21/TrRoad_act!X60)</f>
        <v>772.22135417999675</v>
      </c>
      <c r="Y117" s="116">
        <f>IF(Y21=0,0,1000000*Y21/TrRoad_act!Y60)</f>
        <v>771.08620555135553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800.03181234842907</v>
      </c>
      <c r="C118" s="87">
        <f>IF(C22=0,0,1000000*C22/TrRoad_act!C61)</f>
        <v>793.43726191383712</v>
      </c>
      <c r="D118" s="87">
        <f>IF(D22=0,0,1000000*D22/TrRoad_act!D61)</f>
        <v>769.8516733964068</v>
      </c>
      <c r="E118" s="87">
        <f>IF(E22=0,0,1000000*E22/TrRoad_act!E61)</f>
        <v>797.19543710693335</v>
      </c>
      <c r="F118" s="87">
        <f>IF(F22=0,0,1000000*F22/TrRoad_act!F61)</f>
        <v>746.63636235188278</v>
      </c>
      <c r="G118" s="87">
        <f>IF(G22=0,0,1000000*G22/TrRoad_act!G61)</f>
        <v>708.55348781770476</v>
      </c>
      <c r="H118" s="87">
        <f>IF(H22=0,0,1000000*H22/TrRoad_act!H61)</f>
        <v>680.68741515852798</v>
      </c>
      <c r="I118" s="87">
        <f>IF(I22=0,0,1000000*I22/TrRoad_act!I61)</f>
        <v>664.94571720783119</v>
      </c>
      <c r="J118" s="87">
        <f>IF(J22=0,0,1000000*J22/TrRoad_act!J61)</f>
        <v>630.68875510810028</v>
      </c>
      <c r="K118" s="87">
        <f>IF(K22=0,0,1000000*K22/TrRoad_act!K61)</f>
        <v>626.552279755001</v>
      </c>
      <c r="L118" s="87">
        <f>IF(L22=0,0,1000000*L22/TrRoad_act!L61)</f>
        <v>588.99118010601376</v>
      </c>
      <c r="M118" s="87">
        <f>IF(M22=0,0,1000000*M22/TrRoad_act!M61)</f>
        <v>572.34347442960336</v>
      </c>
      <c r="N118" s="87">
        <f>IF(N22=0,0,1000000*N22/TrRoad_act!N61)</f>
        <v>564.53814676594038</v>
      </c>
      <c r="O118" s="87">
        <f>IF(O22=0,0,1000000*O22/TrRoad_act!O61)</f>
        <v>560.73826895918614</v>
      </c>
      <c r="P118" s="87">
        <f>IF(P22=0,0,1000000*P22/TrRoad_act!P61)</f>
        <v>580.78820889110398</v>
      </c>
      <c r="Q118" s="87">
        <f>IF(Q22=0,0,1000000*Q22/TrRoad_act!Q61)</f>
        <v>600.47458919379073</v>
      </c>
      <c r="R118" s="87">
        <f>IF(R22=0,0,1000000*R22/TrRoad_act!R61)</f>
        <v>613.50114345439874</v>
      </c>
      <c r="S118" s="87">
        <f>IF(S22=0,0,1000000*S22/TrRoad_act!S61)</f>
        <v>594.85188436791236</v>
      </c>
      <c r="T118" s="87">
        <f>IF(T22=0,0,1000000*T22/TrRoad_act!T61)</f>
        <v>616.51898204602344</v>
      </c>
      <c r="U118" s="87">
        <f>IF(U22=0,0,1000000*U22/TrRoad_act!U61)</f>
        <v>642.47717133863318</v>
      </c>
      <c r="V118" s="87">
        <f>IF(V22=0,0,1000000*V22/TrRoad_act!V61)</f>
        <v>510.95197023522439</v>
      </c>
      <c r="W118" s="87">
        <f>IF(W22=0,0,1000000*W22/TrRoad_act!W61)</f>
        <v>592.39288664320145</v>
      </c>
      <c r="X118" s="87">
        <f>IF(X22=0,0,1000000*X22/TrRoad_act!X61)</f>
        <v>641.81187102788147</v>
      </c>
      <c r="Y118" s="87">
        <f>IF(Y22=0,0,1000000*Y22/TrRoad_act!Y61)</f>
        <v>661.6031326607814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1566.388006406477</v>
      </c>
      <c r="C119" s="87">
        <f>IF(C24=0,0,1000000*C24/TrRoad_act!C62)</f>
        <v>1548.4802576550967</v>
      </c>
      <c r="D119" s="87">
        <f>IF(D24=0,0,1000000*D24/TrRoad_act!D62)</f>
        <v>1499.6624729415369</v>
      </c>
      <c r="E119" s="87">
        <f>IF(E24=0,0,1000000*E24/TrRoad_act!E62)</f>
        <v>1484.3423841774379</v>
      </c>
      <c r="F119" s="87">
        <f>IF(F24=0,0,1000000*F24/TrRoad_act!F62)</f>
        <v>1504.3233036500346</v>
      </c>
      <c r="G119" s="87">
        <f>IF(G24=0,0,1000000*G24/TrRoad_act!G62)</f>
        <v>1395.6827982847899</v>
      </c>
      <c r="H119" s="87">
        <f>IF(H24=0,0,1000000*H24/TrRoad_act!H62)</f>
        <v>1405.8598220472668</v>
      </c>
      <c r="I119" s="87">
        <f>IF(I24=0,0,1000000*I24/TrRoad_act!I62)</f>
        <v>1424.91704884504</v>
      </c>
      <c r="J119" s="87">
        <f>IF(J24=0,0,1000000*J24/TrRoad_act!J62)</f>
        <v>1421.0719605047757</v>
      </c>
      <c r="K119" s="87">
        <f>IF(K24=0,0,1000000*K24/TrRoad_act!K62)</f>
        <v>1378.9922258715794</v>
      </c>
      <c r="L119" s="87">
        <f>IF(L24=0,0,1000000*L24/TrRoad_act!L62)</f>
        <v>1328.3495396424039</v>
      </c>
      <c r="M119" s="87">
        <f>IF(M24=0,0,1000000*M24/TrRoad_act!M62)</f>
        <v>1261.2479149711041</v>
      </c>
      <c r="N119" s="87">
        <f>IF(N24=0,0,1000000*N24/TrRoad_act!N62)</f>
        <v>1207.2977561817111</v>
      </c>
      <c r="O119" s="87">
        <f>IF(O24=0,0,1000000*O24/TrRoad_act!O62)</f>
        <v>1148.6563744580847</v>
      </c>
      <c r="P119" s="87">
        <f>IF(P24=0,0,1000000*P24/TrRoad_act!P62)</f>
        <v>1152.6012579344556</v>
      </c>
      <c r="Q119" s="87">
        <f>IF(Q24=0,0,1000000*Q24/TrRoad_act!Q62)</f>
        <v>1159.2030084086468</v>
      </c>
      <c r="R119" s="87">
        <f>IF(R24=0,0,1000000*R24/TrRoad_act!R62)</f>
        <v>1117.7935654216337</v>
      </c>
      <c r="S119" s="87">
        <f>IF(S24=0,0,1000000*S24/TrRoad_act!S62)</f>
        <v>1075.0227430592058</v>
      </c>
      <c r="T119" s="87">
        <f>IF(T24=0,0,1000000*T24/TrRoad_act!T62)</f>
        <v>1064.5516914741493</v>
      </c>
      <c r="U119" s="87">
        <f>IF(U24=0,0,1000000*U24/TrRoad_act!U62)</f>
        <v>1041.1711130179096</v>
      </c>
      <c r="V119" s="87">
        <f>IF(V24=0,0,1000000*V24/TrRoad_act!V62)</f>
        <v>914.23024543312124</v>
      </c>
      <c r="W119" s="87">
        <f>IF(W24=0,0,1000000*W24/TrRoad_act!W62)</f>
        <v>953.01737857752255</v>
      </c>
      <c r="X119" s="87">
        <f>IF(X24=0,0,1000000*X24/TrRoad_act!X62)</f>
        <v>986.78884665489534</v>
      </c>
      <c r="Y119" s="87">
        <f>IF(Y24=0,0,1000000*Y24/TrRoad_act!Y62)</f>
        <v>1021.5671553267249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886.47940067001321</v>
      </c>
      <c r="C120" s="87">
        <f>IF(C26=0,0,1000000*C26/TrRoad_act!C63)</f>
        <v>908.41539561254854</v>
      </c>
      <c r="D120" s="87">
        <f>IF(D26=0,0,1000000*D26/TrRoad_act!D63)</f>
        <v>731.98802679234984</v>
      </c>
      <c r="E120" s="87">
        <f>IF(E26=0,0,1000000*E26/TrRoad_act!E63)</f>
        <v>666.91175690590046</v>
      </c>
      <c r="F120" s="87">
        <f>IF(F26=0,0,1000000*F26/TrRoad_act!F63)</f>
        <v>682.29165604687546</v>
      </c>
      <c r="G120" s="87">
        <f>IF(G26=0,0,1000000*G26/TrRoad_act!G63)</f>
        <v>718.0441411678313</v>
      </c>
      <c r="H120" s="87">
        <f>IF(H26=0,0,1000000*H26/TrRoad_act!H63)</f>
        <v>755.5281879691546</v>
      </c>
      <c r="I120" s="87">
        <f>IF(I26=0,0,1000000*I26/TrRoad_act!I63)</f>
        <v>692.18866262744223</v>
      </c>
      <c r="J120" s="87">
        <f>IF(J26=0,0,1000000*J26/TrRoad_act!J63)</f>
        <v>721.24444807243003</v>
      </c>
      <c r="K120" s="87">
        <f>IF(K26=0,0,1000000*K26/TrRoad_act!K63)</f>
        <v>778.99764295927923</v>
      </c>
      <c r="L120" s="87">
        <f>IF(L26=0,0,1000000*L26/TrRoad_act!L63)</f>
        <v>831.4599706921357</v>
      </c>
      <c r="M120" s="87">
        <f>IF(M26=0,0,1000000*M26/TrRoad_act!M63)</f>
        <v>813.03157685736699</v>
      </c>
      <c r="N120" s="87">
        <f>IF(N26=0,0,1000000*N26/TrRoad_act!N63)</f>
        <v>761.89663852046976</v>
      </c>
      <c r="O120" s="87">
        <f>IF(O26=0,0,1000000*O26/TrRoad_act!O63)</f>
        <v>764.35791337824492</v>
      </c>
      <c r="P120" s="87">
        <f>IF(P26=0,0,1000000*P26/TrRoad_act!P63)</f>
        <v>775.88213085150028</v>
      </c>
      <c r="Q120" s="87">
        <f>IF(Q26=0,0,1000000*Q26/TrRoad_act!Q63)</f>
        <v>867.63185655377629</v>
      </c>
      <c r="R120" s="87">
        <f>IF(R26=0,0,1000000*R26/TrRoad_act!R63)</f>
        <v>1003.8124515724711</v>
      </c>
      <c r="S120" s="87">
        <f>IF(S26=0,0,1000000*S26/TrRoad_act!S63)</f>
        <v>934.702750704153</v>
      </c>
      <c r="T120" s="87">
        <f>IF(T26=0,0,1000000*T26/TrRoad_act!T63)</f>
        <v>909.24432278102495</v>
      </c>
      <c r="U120" s="87">
        <f>IF(U26=0,0,1000000*U26/TrRoad_act!U63)</f>
        <v>951.38580726946225</v>
      </c>
      <c r="V120" s="87">
        <f>IF(V26=0,0,1000000*V26/TrRoad_act!V63)</f>
        <v>863.83825378611198</v>
      </c>
      <c r="W120" s="87">
        <f>IF(W26=0,0,1000000*W26/TrRoad_act!W63)</f>
        <v>866.22121931927074</v>
      </c>
      <c r="X120" s="87">
        <f>IF(X26=0,0,1000000*X26/TrRoad_act!X63)</f>
        <v>916.40434012073774</v>
      </c>
      <c r="Y120" s="87">
        <f>IF(Y26=0,0,1000000*Y26/TrRoad_act!Y63)</f>
        <v>984.95371049122116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1313.6090049245684</v>
      </c>
      <c r="G121" s="87">
        <f>IF(G27=0,0,1000000*G27/TrRoad_act!G64)</f>
        <v>1212.1151526058643</v>
      </c>
      <c r="H121" s="87">
        <f>IF(H27=0,0,1000000*H27/TrRoad_act!H64)</f>
        <v>1127.6443522608679</v>
      </c>
      <c r="I121" s="87">
        <f>IF(I27=0,0,1000000*I27/TrRoad_act!I64)</f>
        <v>1131.5301648745049</v>
      </c>
      <c r="J121" s="87">
        <f>IF(J27=0,0,1000000*J27/TrRoad_act!J64)</f>
        <v>729.86726124737629</v>
      </c>
      <c r="K121" s="87">
        <f>IF(K27=0,0,1000000*K27/TrRoad_act!K64)</f>
        <v>551.76148868647431</v>
      </c>
      <c r="L121" s="87">
        <f>IF(L27=0,0,1000000*L27/TrRoad_act!L64)</f>
        <v>495.56860677641151</v>
      </c>
      <c r="M121" s="87">
        <f>IF(M27=0,0,1000000*M27/TrRoad_act!M64)</f>
        <v>568.18035046119564</v>
      </c>
      <c r="N121" s="87">
        <f>IF(N27=0,0,1000000*N27/TrRoad_act!N64)</f>
        <v>1190.7848025891303</v>
      </c>
      <c r="O121" s="87">
        <f>IF(O27=0,0,1000000*O27/TrRoad_act!O64)</f>
        <v>1504.2453306916764</v>
      </c>
      <c r="P121" s="87">
        <f>IF(P27=0,0,1000000*P27/TrRoad_act!P64)</f>
        <v>1308.0600687749688</v>
      </c>
      <c r="Q121" s="87">
        <f>IF(Q27=0,0,1000000*Q27/TrRoad_act!Q64)</f>
        <v>1300.3916714844825</v>
      </c>
      <c r="R121" s="87">
        <f>IF(R27=0,0,1000000*R27/TrRoad_act!R64)</f>
        <v>1230.6020292420449</v>
      </c>
      <c r="S121" s="87">
        <f>IF(S27=0,0,1000000*S27/TrRoad_act!S64)</f>
        <v>1222.4552111080748</v>
      </c>
      <c r="T121" s="87">
        <f>IF(T27=0,0,1000000*T27/TrRoad_act!T64)</f>
        <v>1175.5269342866686</v>
      </c>
      <c r="U121" s="87">
        <f>IF(U27=0,0,1000000*U27/TrRoad_act!U64)</f>
        <v>1612.6924385036577</v>
      </c>
      <c r="V121" s="87">
        <f>IF(V27=0,0,1000000*V27/TrRoad_act!V64)</f>
        <v>2098.311962126164</v>
      </c>
      <c r="W121" s="87">
        <f>IF(W27=0,0,1000000*W27/TrRoad_act!W64)</f>
        <v>2720.6255210635991</v>
      </c>
      <c r="X121" s="87">
        <f>IF(X27=0,0,1000000*X27/TrRoad_act!X64)</f>
        <v>2238.9171077228552</v>
      </c>
      <c r="Y121" s="87">
        <f>IF(Y27=0,0,1000000*Y27/TrRoad_act!Y64)</f>
        <v>2485.1181220860126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300.04464244989799</v>
      </c>
      <c r="N122" s="87">
        <f>IF(N29=0,0,1000000*N29/TrRoad_act!N65)</f>
        <v>240.15023201534336</v>
      </c>
      <c r="O122" s="87">
        <f>IF(O29=0,0,1000000*O29/TrRoad_act!O65)</f>
        <v>262.72327796019829</v>
      </c>
      <c r="P122" s="87">
        <f>IF(P29=0,0,1000000*P29/TrRoad_act!P65)</f>
        <v>313.40254641725323</v>
      </c>
      <c r="Q122" s="87">
        <f>IF(Q29=0,0,1000000*Q29/TrRoad_act!Q65)</f>
        <v>388.72095009364159</v>
      </c>
      <c r="R122" s="87">
        <f>IF(R29=0,0,1000000*R29/TrRoad_act!R65)</f>
        <v>416.68194331136482</v>
      </c>
      <c r="S122" s="87">
        <f>IF(S29=0,0,1000000*S29/TrRoad_act!S65)</f>
        <v>408.46499139358934</v>
      </c>
      <c r="T122" s="87">
        <f>IF(T29=0,0,1000000*T29/TrRoad_act!T65)</f>
        <v>420.25563949121045</v>
      </c>
      <c r="U122" s="87">
        <f>IF(U29=0,0,1000000*U29/TrRoad_act!U65)</f>
        <v>428.45805126802782</v>
      </c>
      <c r="V122" s="87">
        <f>IF(V29=0,0,1000000*V29/TrRoad_act!V65)</f>
        <v>377.07166165644719</v>
      </c>
      <c r="W122" s="87">
        <f>IF(W29=0,0,1000000*W29/TrRoad_act!W65)</f>
        <v>391.82273446001903</v>
      </c>
      <c r="X122" s="87">
        <f>IF(X29=0,0,1000000*X29/TrRoad_act!X65)</f>
        <v>405.09157385208874</v>
      </c>
      <c r="Y122" s="87">
        <f>IF(Y29=0,0,1000000*Y29/TrRoad_act!Y65)</f>
        <v>392.62640495014023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194.80735430215836</v>
      </c>
      <c r="K123" s="87">
        <f>IF(K32=0,0,1000000*K32/TrRoad_act!K66)</f>
        <v>195.21388104962006</v>
      </c>
      <c r="L123" s="87">
        <f>IF(L32=0,0,1000000*L32/TrRoad_act!L66)</f>
        <v>195.22920840748606</v>
      </c>
      <c r="M123" s="87">
        <f>IF(M32=0,0,1000000*M32/TrRoad_act!M66)</f>
        <v>195.92139039557512</v>
      </c>
      <c r="N123" s="87">
        <f>IF(N32=0,0,1000000*N32/TrRoad_act!N66)</f>
        <v>196.74700980187143</v>
      </c>
      <c r="O123" s="87">
        <f>IF(O32=0,0,1000000*O32/TrRoad_act!O66)</f>
        <v>202.0558346081948</v>
      </c>
      <c r="P123" s="87">
        <f>IF(P32=0,0,1000000*P32/TrRoad_act!P66)</f>
        <v>204.90535743198208</v>
      </c>
      <c r="Q123" s="87">
        <f>IF(Q32=0,0,1000000*Q32/TrRoad_act!Q66)</f>
        <v>238.7544415634305</v>
      </c>
      <c r="R123" s="87">
        <f>IF(R32=0,0,1000000*R32/TrRoad_act!R66)</f>
        <v>246.04652155907786</v>
      </c>
      <c r="S123" s="87">
        <f>IF(S32=0,0,1000000*S32/TrRoad_act!S66)</f>
        <v>242.65672515450999</v>
      </c>
      <c r="T123" s="87">
        <f>IF(T32=0,0,1000000*T32/TrRoad_act!T66)</f>
        <v>255.30294362453651</v>
      </c>
      <c r="U123" s="87">
        <f>IF(U32=0,0,1000000*U32/TrRoad_act!U66)</f>
        <v>275.72496112619848</v>
      </c>
      <c r="V123" s="87">
        <f>IF(V32=0,0,1000000*V32/TrRoad_act!V66)</f>
        <v>236.47350137910942</v>
      </c>
      <c r="W123" s="87">
        <f>IF(W32=0,0,1000000*W32/TrRoad_act!W66)</f>
        <v>263.80024185984615</v>
      </c>
      <c r="X123" s="87">
        <f>IF(X32=0,0,1000000*X32/TrRoad_act!X66)</f>
        <v>262.98046935075894</v>
      </c>
      <c r="Y123" s="87">
        <f>IF(Y32=0,0,1000000*Y32/TrRoad_act!Y66)</f>
        <v>251.13845611651794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26652.056594142814</v>
      </c>
      <c r="C124" s="116">
        <f>IF(C33=0,0,1000000*C33/TrRoad_act!C67)</f>
        <v>26525.574173805893</v>
      </c>
      <c r="D124" s="116">
        <f>IF(D33=0,0,1000000*D33/TrRoad_act!D67)</f>
        <v>25953.770119320961</v>
      </c>
      <c r="E124" s="116">
        <f>IF(E33=0,0,1000000*E33/TrRoad_act!E67)</f>
        <v>25562.720181025408</v>
      </c>
      <c r="F124" s="116">
        <f>IF(F33=0,0,1000000*F33/TrRoad_act!F67)</f>
        <v>25186.253660337366</v>
      </c>
      <c r="G124" s="116">
        <f>IF(G33=0,0,1000000*G33/TrRoad_act!G67)</f>
        <v>24576.525572508639</v>
      </c>
      <c r="H124" s="116">
        <f>IF(H33=0,0,1000000*H33/TrRoad_act!H67)</f>
        <v>24115.831854881824</v>
      </c>
      <c r="I124" s="116">
        <f>IF(I33=0,0,1000000*I33/TrRoad_act!I67)</f>
        <v>23573.346711431088</v>
      </c>
      <c r="J124" s="116">
        <f>IF(J33=0,0,1000000*J33/TrRoad_act!J67)</f>
        <v>23262.772433329628</v>
      </c>
      <c r="K124" s="116">
        <f>IF(K33=0,0,1000000*K33/TrRoad_act!K67)</f>
        <v>22751.693633650408</v>
      </c>
      <c r="L124" s="116">
        <f>IF(L33=0,0,1000000*L33/TrRoad_act!L67)</f>
        <v>22372.587761016017</v>
      </c>
      <c r="M124" s="116">
        <f>IF(M33=0,0,1000000*M33/TrRoad_act!M67)</f>
        <v>21780.625369104953</v>
      </c>
      <c r="N124" s="116">
        <f>IF(N33=0,0,1000000*N33/TrRoad_act!N67)</f>
        <v>21224.072584634312</v>
      </c>
      <c r="O124" s="116">
        <f>IF(O33=0,0,1000000*O33/TrRoad_act!O67)</f>
        <v>20998.556995639567</v>
      </c>
      <c r="P124" s="116">
        <f>IF(P33=0,0,1000000*P33/TrRoad_act!P67)</f>
        <v>20817.495116649898</v>
      </c>
      <c r="Q124" s="116">
        <f>IF(Q33=0,0,1000000*Q33/TrRoad_act!Q67)</f>
        <v>21212.183882097557</v>
      </c>
      <c r="R124" s="116">
        <f>IF(R33=0,0,1000000*R33/TrRoad_act!R67)</f>
        <v>21984.940824632915</v>
      </c>
      <c r="S124" s="116">
        <f>IF(S33=0,0,1000000*S33/TrRoad_act!S67)</f>
        <v>22471.522410319507</v>
      </c>
      <c r="T124" s="116">
        <f>IF(T33=0,0,1000000*T33/TrRoad_act!T67)</f>
        <v>23046.450773511729</v>
      </c>
      <c r="U124" s="116">
        <f>IF(U33=0,0,1000000*U33/TrRoad_act!U67)</f>
        <v>22707.717771346801</v>
      </c>
      <c r="V124" s="116">
        <f>IF(V33=0,0,1000000*V33/TrRoad_act!V67)</f>
        <v>22244.309563754756</v>
      </c>
      <c r="W124" s="116">
        <f>IF(W33=0,0,1000000*W33/TrRoad_act!W67)</f>
        <v>22650.164492483476</v>
      </c>
      <c r="X124" s="116">
        <f>IF(X33=0,0,1000000*X33/TrRoad_act!X67)</f>
        <v>22785.072979912122</v>
      </c>
      <c r="Y124" s="116">
        <f>IF(Y33=0,0,1000000*Y33/TrRoad_act!Y67)</f>
        <v>22518.220223293589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7706.9289202135706</v>
      </c>
      <c r="C125" s="101">
        <f>IF(C34=0,0,1000000*C34/TrRoad_act!C68)</f>
        <v>7908.0018759138766</v>
      </c>
      <c r="D125" s="101">
        <f>IF(D34=0,0,1000000*D34/TrRoad_act!D68)</f>
        <v>8059.4763977882549</v>
      </c>
      <c r="E125" s="101">
        <f>IF(E34=0,0,1000000*E34/TrRoad_act!E68)</f>
        <v>8191.6879166192521</v>
      </c>
      <c r="F125" s="101">
        <f>IF(F34=0,0,1000000*F34/TrRoad_act!F68)</f>
        <v>8153.6306911467054</v>
      </c>
      <c r="G125" s="101">
        <f>IF(G34=0,0,1000000*G34/TrRoad_act!G68)</f>
        <v>8109.9843929796543</v>
      </c>
      <c r="H125" s="101">
        <f>IF(H34=0,0,1000000*H34/TrRoad_act!H68)</f>
        <v>8063.1259965719155</v>
      </c>
      <c r="I125" s="101">
        <f>IF(I34=0,0,1000000*I34/TrRoad_act!I68)</f>
        <v>7977.7811404385484</v>
      </c>
      <c r="J125" s="101">
        <f>IF(J34=0,0,1000000*J34/TrRoad_act!J68)</f>
        <v>7789.5934795165131</v>
      </c>
      <c r="K125" s="101">
        <f>IF(K34=0,0,1000000*K34/TrRoad_act!K68)</f>
        <v>7574.69833974429</v>
      </c>
      <c r="L125" s="101">
        <f>IF(L34=0,0,1000000*L34/TrRoad_act!L68)</f>
        <v>7340.8735641918474</v>
      </c>
      <c r="M125" s="101">
        <f>IF(M34=0,0,1000000*M34/TrRoad_act!M68)</f>
        <v>7099.9548889920898</v>
      </c>
      <c r="N125" s="101">
        <f>IF(N34=0,0,1000000*N34/TrRoad_act!N68)</f>
        <v>6917.8333450544351</v>
      </c>
      <c r="O125" s="101">
        <f>IF(O34=0,0,1000000*O34/TrRoad_act!O68)</f>
        <v>6734.1356323831806</v>
      </c>
      <c r="P125" s="101">
        <f>IF(P34=0,0,1000000*P34/TrRoad_act!P68)</f>
        <v>6737.0109113494127</v>
      </c>
      <c r="Q125" s="101">
        <f>IF(Q34=0,0,1000000*Q34/TrRoad_act!Q68)</f>
        <v>6723.5751989593036</v>
      </c>
      <c r="R125" s="101">
        <f>IF(R34=0,0,1000000*R34/TrRoad_act!R68)</f>
        <v>6589.3164165705775</v>
      </c>
      <c r="S125" s="101">
        <f>IF(S34=0,0,1000000*S34/TrRoad_act!S68)</f>
        <v>6510.217800899286</v>
      </c>
      <c r="T125" s="101">
        <f>IF(T34=0,0,1000000*T34/TrRoad_act!T68)</f>
        <v>6450.1871671826475</v>
      </c>
      <c r="U125" s="101">
        <f>IF(U34=0,0,1000000*U34/TrRoad_act!U68)</f>
        <v>6357.6645823555555</v>
      </c>
      <c r="V125" s="101">
        <f>IF(V34=0,0,1000000*V34/TrRoad_act!V68)</f>
        <v>6251.9502105910378</v>
      </c>
      <c r="W125" s="101">
        <f>IF(W34=0,0,1000000*W34/TrRoad_act!W68)</f>
        <v>6136.5108383261322</v>
      </c>
      <c r="X125" s="101">
        <f>IF(X34=0,0,1000000*X34/TrRoad_act!X68)</f>
        <v>6176.8434781486922</v>
      </c>
      <c r="Y125" s="101">
        <f>IF(Y34=0,0,1000000*Y34/TrRoad_act!Y68)</f>
        <v>6080.0340875633874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26933.658387697778</v>
      </c>
      <c r="C126" s="101">
        <f>IF(C36=0,0,1000000*C36/TrRoad_act!C69)</f>
        <v>26794.062862111328</v>
      </c>
      <c r="D126" s="101">
        <f>IF(D36=0,0,1000000*D36/TrRoad_act!D69)</f>
        <v>26186.526986589459</v>
      </c>
      <c r="E126" s="101">
        <f>IF(E36=0,0,1000000*E36/TrRoad_act!E69)</f>
        <v>25783.070484593271</v>
      </c>
      <c r="F126" s="101">
        <f>IF(F36=0,0,1000000*F36/TrRoad_act!F69)</f>
        <v>25395.055676960586</v>
      </c>
      <c r="G126" s="101">
        <f>IF(G36=0,0,1000000*G36/TrRoad_act!G69)</f>
        <v>24794.220085485871</v>
      </c>
      <c r="H126" s="101">
        <f>IF(H36=0,0,1000000*H36/TrRoad_act!H69)</f>
        <v>24311.572443436165</v>
      </c>
      <c r="I126" s="101">
        <f>IF(I36=0,0,1000000*I36/TrRoad_act!I69)</f>
        <v>23753.371004699275</v>
      </c>
      <c r="J126" s="101">
        <f>IF(J36=0,0,1000000*J36/TrRoad_act!J69)</f>
        <v>23426.630560411395</v>
      </c>
      <c r="K126" s="101">
        <f>IF(K36=0,0,1000000*K36/TrRoad_act!K69)</f>
        <v>22902.704902105146</v>
      </c>
      <c r="L126" s="101">
        <f>IF(L36=0,0,1000000*L36/TrRoad_act!L69)</f>
        <v>22510.114152348866</v>
      </c>
      <c r="M126" s="101">
        <f>IF(M36=0,0,1000000*M36/TrRoad_act!M69)</f>
        <v>21913.068585760469</v>
      </c>
      <c r="N126" s="101">
        <f>IF(N36=0,0,1000000*N36/TrRoad_act!N69)</f>
        <v>21350.906710962161</v>
      </c>
      <c r="O126" s="101">
        <f>IF(O36=0,0,1000000*O36/TrRoad_act!O69)</f>
        <v>21119.83067482094</v>
      </c>
      <c r="P126" s="101">
        <f>IF(P36=0,0,1000000*P36/TrRoad_act!P69)</f>
        <v>20926.851273460405</v>
      </c>
      <c r="Q126" s="101">
        <f>IF(Q36=0,0,1000000*Q36/TrRoad_act!Q69)</f>
        <v>21322.659625143817</v>
      </c>
      <c r="R126" s="101">
        <f>IF(R36=0,0,1000000*R36/TrRoad_act!R69)</f>
        <v>22111.555581096352</v>
      </c>
      <c r="S126" s="101">
        <f>IF(S36=0,0,1000000*S36/TrRoad_act!S69)</f>
        <v>22599.179828178516</v>
      </c>
      <c r="T126" s="101">
        <f>IF(T36=0,0,1000000*T36/TrRoad_act!T69)</f>
        <v>23186.797454522966</v>
      </c>
      <c r="U126" s="101">
        <f>IF(U36=0,0,1000000*U36/TrRoad_act!U69)</f>
        <v>22862.044376329311</v>
      </c>
      <c r="V126" s="101">
        <f>IF(V36=0,0,1000000*V36/TrRoad_act!V69)</f>
        <v>22379.528439256981</v>
      </c>
      <c r="W126" s="101">
        <f>IF(W36=0,0,1000000*W36/TrRoad_act!W69)</f>
        <v>22572.065317078541</v>
      </c>
      <c r="X126" s="101">
        <f>IF(X36=0,0,1000000*X36/TrRoad_act!X69)</f>
        <v>22774.214039116563</v>
      </c>
      <c r="Y126" s="101">
        <f>IF(Y36=0,0,1000000*Y36/TrRoad_act!Y69)</f>
        <v>22596.628857870459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15123.307717539539</v>
      </c>
      <c r="P128" s="101">
        <f>IF(P39=0,0,1000000*P39/TrRoad_act!P71)</f>
        <v>20483.681763518707</v>
      </c>
      <c r="Q128" s="101">
        <f>IF(Q39=0,0,1000000*Q39/TrRoad_act!Q71)</f>
        <v>20344.633565819058</v>
      </c>
      <c r="R128" s="101">
        <f>IF(R39=0,0,1000000*R39/TrRoad_act!R71)</f>
        <v>19851.063454751627</v>
      </c>
      <c r="S128" s="101">
        <f>IF(S39=0,0,1000000*S39/TrRoad_act!S71)</f>
        <v>20261.75978555598</v>
      </c>
      <c r="T128" s="101">
        <f>IF(T39=0,0,1000000*T39/TrRoad_act!T71)</f>
        <v>19547.141507838358</v>
      </c>
      <c r="U128" s="101">
        <f>IF(U39=0,0,1000000*U39/TrRoad_act!U71)</f>
        <v>27875.483662061208</v>
      </c>
      <c r="V128" s="101">
        <f>IF(V39=0,0,1000000*V39/TrRoad_act!V71)</f>
        <v>41549.363278473546</v>
      </c>
      <c r="W128" s="101">
        <f>IF(W39=0,0,1000000*W39/TrRoad_act!W71)</f>
        <v>53876.071021960663</v>
      </c>
      <c r="X128" s="101">
        <f>IF(X39=0,0,1000000*X39/TrRoad_act!X71)</f>
        <v>45567.736298893484</v>
      </c>
      <c r="Y128" s="101">
        <f>IF(Y39=0,0,1000000*Y39/TrRoad_act!Y71)</f>
        <v>50210.260812398519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11322.909050431523</v>
      </c>
      <c r="C129" s="101">
        <f>IF(C41=0,0,1000000*C41/TrRoad_act!C72)</f>
        <v>11331.380148264403</v>
      </c>
      <c r="D129" s="101">
        <f>IF(D41=0,0,1000000*D41/TrRoad_act!D72)</f>
        <v>11336.195989686332</v>
      </c>
      <c r="E129" s="101">
        <f>IF(E41=0,0,1000000*E41/TrRoad_act!E72)</f>
        <v>11339.554724150659</v>
      </c>
      <c r="F129" s="101">
        <f>IF(F41=0,0,1000000*F41/TrRoad_act!F72)</f>
        <v>11347.498971460684</v>
      </c>
      <c r="G129" s="101">
        <f>IF(G41=0,0,1000000*G41/TrRoad_act!G72)</f>
        <v>10636.071632916855</v>
      </c>
      <c r="H129" s="101">
        <f>IF(H41=0,0,1000000*H41/TrRoad_act!H72)</f>
        <v>10644.099808998435</v>
      </c>
      <c r="I129" s="101">
        <f>IF(I41=0,0,1000000*I41/TrRoad_act!I72)</f>
        <v>10628.288143868904</v>
      </c>
      <c r="J129" s="101">
        <f>IF(J41=0,0,1000000*J41/TrRoad_act!J72)</f>
        <v>10606.128876433308</v>
      </c>
      <c r="K129" s="101">
        <f>IF(K41=0,0,1000000*K41/TrRoad_act!K72)</f>
        <v>10613.913100315263</v>
      </c>
      <c r="L129" s="101">
        <f>IF(L41=0,0,1000000*L41/TrRoad_act!L72)</f>
        <v>10621.545955577911</v>
      </c>
      <c r="M129" s="101">
        <f>IF(M41=0,0,1000000*M41/TrRoad_act!M72)</f>
        <v>10629.663063576141</v>
      </c>
      <c r="N129" s="101">
        <f>IF(N41=0,0,1000000*N41/TrRoad_act!N72)</f>
        <v>10637.693275983645</v>
      </c>
      <c r="O129" s="101">
        <f>IF(O41=0,0,1000000*O41/TrRoad_act!O72)</f>
        <v>10645.964509930616</v>
      </c>
      <c r="P129" s="101">
        <f>IF(P41=0,0,1000000*P41/TrRoad_act!P72)</f>
        <v>10539.520764754867</v>
      </c>
      <c r="Q129" s="101">
        <f>IF(Q41=0,0,1000000*Q41/TrRoad_act!Q72)</f>
        <v>10533.08276380928</v>
      </c>
      <c r="R129" s="101">
        <f>IF(R41=0,0,1000000*R41/TrRoad_act!R72)</f>
        <v>10530.071273269783</v>
      </c>
      <c r="S129" s="101">
        <f>IF(S41=0,0,1000000*S41/TrRoad_act!S72)</f>
        <v>10524.786285414564</v>
      </c>
      <c r="T129" s="101">
        <f>IF(T41=0,0,1000000*T41/TrRoad_act!T72)</f>
        <v>10852.127627892238</v>
      </c>
      <c r="U129" s="101">
        <f>IF(U41=0,0,1000000*U41/TrRoad_act!U72)</f>
        <v>10831.928453945722</v>
      </c>
      <c r="V129" s="101">
        <f>IF(V41=0,0,1000000*V41/TrRoad_act!V72)</f>
        <v>10756.253490281728</v>
      </c>
      <c r="W129" s="101">
        <f>IF(W41=0,0,1000000*W41/TrRoad_act!W72)</f>
        <v>10738.582504866325</v>
      </c>
      <c r="X129" s="101">
        <f>IF(X41=0,0,1000000*X41/TrRoad_act!X72)</f>
        <v>10631.573017437238</v>
      </c>
      <c r="Y129" s="101">
        <f>IF(Y41=0,0,1000000*Y41/TrRoad_act!Y72)</f>
        <v>10317.332478406935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2338.3917378365236</v>
      </c>
      <c r="C131" s="152">
        <f>IF(C43=0,0,1000000*C43/TrRoad_act!C74)</f>
        <v>2233.3837889633619</v>
      </c>
      <c r="D131" s="152">
        <f>IF(D43=0,0,1000000*D43/TrRoad_act!D74)</f>
        <v>2433.0826551031764</v>
      </c>
      <c r="E131" s="152">
        <f>IF(E43=0,0,1000000*E43/TrRoad_act!E74)</f>
        <v>2350.7811313511656</v>
      </c>
      <c r="F131" s="152">
        <f>IF(F43=0,0,1000000*F43/TrRoad_act!F74)</f>
        <v>2384.5283229516967</v>
      </c>
      <c r="G131" s="152">
        <f>IF(G43=0,0,1000000*G43/TrRoad_act!G74)</f>
        <v>2304.3044132158793</v>
      </c>
      <c r="H131" s="152">
        <f>IF(H43=0,0,1000000*H43/TrRoad_act!H74)</f>
        <v>2260.0176576330664</v>
      </c>
      <c r="I131" s="152">
        <f>IF(I43=0,0,1000000*I43/TrRoad_act!I74)</f>
        <v>2279.4511978581481</v>
      </c>
      <c r="J131" s="152">
        <f>IF(J43=0,0,1000000*J43/TrRoad_act!J74)</f>
        <v>2211.5102608011721</v>
      </c>
      <c r="K131" s="152">
        <f>IF(K43=0,0,1000000*K43/TrRoad_act!K74)</f>
        <v>2104.6675060801358</v>
      </c>
      <c r="L131" s="152">
        <f>IF(L43=0,0,1000000*L43/TrRoad_act!L74)</f>
        <v>2024.4901777499126</v>
      </c>
      <c r="M131" s="152">
        <f>IF(M43=0,0,1000000*M43/TrRoad_act!M74)</f>
        <v>1961.1885823726614</v>
      </c>
      <c r="N131" s="152">
        <f>IF(N43=0,0,1000000*N43/TrRoad_act!N74)</f>
        <v>1871.3043437782219</v>
      </c>
      <c r="O131" s="152">
        <f>IF(O43=0,0,1000000*O43/TrRoad_act!O74)</f>
        <v>1713.2547660933949</v>
      </c>
      <c r="P131" s="152">
        <f>IF(P43=0,0,1000000*P43/TrRoad_act!P74)</f>
        <v>1729.5473048873225</v>
      </c>
      <c r="Q131" s="152">
        <f>IF(Q43=0,0,1000000*Q43/TrRoad_act!Q74)</f>
        <v>1803.6462589877208</v>
      </c>
      <c r="R131" s="152">
        <f>IF(R43=0,0,1000000*R43/TrRoad_act!R74)</f>
        <v>1595.0677251593497</v>
      </c>
      <c r="S131" s="152">
        <f>IF(S43=0,0,1000000*S43/TrRoad_act!S74)</f>
        <v>1412.6588220569029</v>
      </c>
      <c r="T131" s="152">
        <f>IF(T43=0,0,1000000*T43/TrRoad_act!T74)</f>
        <v>1383.9005253948196</v>
      </c>
      <c r="U131" s="152">
        <f>IF(U43=0,0,1000000*U43/TrRoad_act!U74)</f>
        <v>1327.189255880978</v>
      </c>
      <c r="V131" s="152">
        <f>IF(V43=0,0,1000000*V43/TrRoad_act!V74)</f>
        <v>1161.7786346737162</v>
      </c>
      <c r="W131" s="152">
        <f>IF(W43=0,0,1000000*W43/TrRoad_act!W74)</f>
        <v>1409.2344172597734</v>
      </c>
      <c r="X131" s="152">
        <f>IF(X43=0,0,1000000*X43/TrRoad_act!X74)</f>
        <v>1359.9084591659082</v>
      </c>
      <c r="Y131" s="152">
        <f>IF(Y43=0,0,1000000*Y43/TrRoad_act!Y74)</f>
        <v>1435.3737788645408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1739.9419861630784</v>
      </c>
      <c r="C132" s="87">
        <f>IF(C44=0,0,1000000*C44/TrRoad_act!C75)</f>
        <v>1676.3366344636524</v>
      </c>
      <c r="D132" s="87">
        <f>IF(D44=0,0,1000000*D44/TrRoad_act!D75)</f>
        <v>1718.4448580909198</v>
      </c>
      <c r="E132" s="87">
        <f>IF(E44=0,0,1000000*E44/TrRoad_act!E75)</f>
        <v>1596.2321474184814</v>
      </c>
      <c r="F132" s="87">
        <f>IF(F44=0,0,1000000*F44/TrRoad_act!F75)</f>
        <v>1559.0099938864105</v>
      </c>
      <c r="G132" s="87">
        <f>IF(G44=0,0,1000000*G44/TrRoad_act!G75)</f>
        <v>1596.9027947632067</v>
      </c>
      <c r="H132" s="87">
        <f>IF(H44=0,0,1000000*H44/TrRoad_act!H75)</f>
        <v>1660.3704718271567</v>
      </c>
      <c r="I132" s="87">
        <f>IF(I44=0,0,1000000*I44/TrRoad_act!I75)</f>
        <v>1597.0305455599769</v>
      </c>
      <c r="J132" s="87">
        <f>IF(J44=0,0,1000000*J44/TrRoad_act!J75)</f>
        <v>1454.8357153046857</v>
      </c>
      <c r="K132" s="87">
        <f>IF(K44=0,0,1000000*K44/TrRoad_act!K75)</f>
        <v>1369.3097318802529</v>
      </c>
      <c r="L132" s="87">
        <f>IF(L44=0,0,1000000*L44/TrRoad_act!L75)</f>
        <v>1335.8588650810771</v>
      </c>
      <c r="M132" s="87">
        <f>IF(M44=0,0,1000000*M44/TrRoad_act!M75)</f>
        <v>1362.2164066316441</v>
      </c>
      <c r="N132" s="87">
        <f>IF(N44=0,0,1000000*N44/TrRoad_act!N75)</f>
        <v>1371.1569627624181</v>
      </c>
      <c r="O132" s="87">
        <f>IF(O44=0,0,1000000*O44/TrRoad_act!O75)</f>
        <v>1315.4304834291261</v>
      </c>
      <c r="P132" s="87">
        <f>IF(P44=0,0,1000000*P44/TrRoad_act!P75)</f>
        <v>1292.1529226692883</v>
      </c>
      <c r="Q132" s="87">
        <f>IF(Q44=0,0,1000000*Q44/TrRoad_act!Q75)</f>
        <v>1276.3085013628788</v>
      </c>
      <c r="R132" s="87">
        <f>IF(R44=0,0,1000000*R44/TrRoad_act!R75)</f>
        <v>1291.9295312793813</v>
      </c>
      <c r="S132" s="87">
        <f>IF(S44=0,0,1000000*S44/TrRoad_act!S75)</f>
        <v>1293.3801228008344</v>
      </c>
      <c r="T132" s="87">
        <f>IF(T44=0,0,1000000*T44/TrRoad_act!T75)</f>
        <v>1243.6146953611194</v>
      </c>
      <c r="U132" s="87">
        <f>IF(U44=0,0,1000000*U44/TrRoad_act!U75)</f>
        <v>1229.1816162431935</v>
      </c>
      <c r="V132" s="87">
        <f>IF(V44=0,0,1000000*V44/TrRoad_act!V75)</f>
        <v>1012.8762692457798</v>
      </c>
      <c r="W132" s="87">
        <f>IF(W44=0,0,1000000*W44/TrRoad_act!W75)</f>
        <v>1245.5897452400911</v>
      </c>
      <c r="X132" s="87">
        <f>IF(X44=0,0,1000000*X44/TrRoad_act!X75)</f>
        <v>1232.3985361436712</v>
      </c>
      <c r="Y132" s="87">
        <f>IF(Y44=0,0,1000000*Y44/TrRoad_act!Y75)</f>
        <v>1248.5329303730368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2464.3627717737936</v>
      </c>
      <c r="C133" s="87">
        <f>IF(C46=0,0,1000000*C46/TrRoad_act!C76)</f>
        <v>2351.3920137355562</v>
      </c>
      <c r="D133" s="87">
        <f>IF(D46=0,0,1000000*D46/TrRoad_act!D76)</f>
        <v>2571.4355542548383</v>
      </c>
      <c r="E133" s="87">
        <f>IF(E46=0,0,1000000*E46/TrRoad_act!E76)</f>
        <v>2474.3949061867988</v>
      </c>
      <c r="F133" s="87">
        <f>IF(F46=0,0,1000000*F46/TrRoad_act!F76)</f>
        <v>2504.511204248498</v>
      </c>
      <c r="G133" s="87">
        <f>IF(G46=0,0,1000000*G46/TrRoad_act!G76)</f>
        <v>2402.5800710149497</v>
      </c>
      <c r="H133" s="87">
        <f>IF(H46=0,0,1000000*H46/TrRoad_act!H76)</f>
        <v>2341.2997573284447</v>
      </c>
      <c r="I133" s="87">
        <f>IF(I46=0,0,1000000*I46/TrRoad_act!I76)</f>
        <v>2355.517740457431</v>
      </c>
      <c r="J133" s="87">
        <f>IF(J46=0,0,1000000*J46/TrRoad_act!J76)</f>
        <v>2288.6781520028994</v>
      </c>
      <c r="K133" s="87">
        <f>IF(K46=0,0,1000000*K46/TrRoad_act!K76)</f>
        <v>2174.4372312953296</v>
      </c>
      <c r="L133" s="87">
        <f>IF(L46=0,0,1000000*L46/TrRoad_act!L76)</f>
        <v>2085.9205763007212</v>
      </c>
      <c r="M133" s="87">
        <f>IF(M46=0,0,1000000*M46/TrRoad_act!M76)</f>
        <v>2014.9662106117555</v>
      </c>
      <c r="N133" s="87">
        <f>IF(N46=0,0,1000000*N46/TrRoad_act!N76)</f>
        <v>1916.718423373894</v>
      </c>
      <c r="O133" s="87">
        <f>IF(O46=0,0,1000000*O46/TrRoad_act!O76)</f>
        <v>1747.4121540335718</v>
      </c>
      <c r="P133" s="87">
        <f>IF(P46=0,0,1000000*P46/TrRoad_act!P76)</f>
        <v>1761.2730176950438</v>
      </c>
      <c r="Q133" s="87">
        <f>IF(Q46=0,0,1000000*Q46/TrRoad_act!Q76)</f>
        <v>1833.1100444836002</v>
      </c>
      <c r="R133" s="87">
        <f>IF(R46=0,0,1000000*R46/TrRoad_act!R76)</f>
        <v>1612.848047061746</v>
      </c>
      <c r="S133" s="87">
        <f>IF(S46=0,0,1000000*S46/TrRoad_act!S76)</f>
        <v>1422.5112381914025</v>
      </c>
      <c r="T133" s="87">
        <f>IF(T46=0,0,1000000*T46/TrRoad_act!T76)</f>
        <v>1395.2448015904447</v>
      </c>
      <c r="U133" s="87">
        <f>IF(U46=0,0,1000000*U46/TrRoad_act!U76)</f>
        <v>1335.5397913176919</v>
      </c>
      <c r="V133" s="87">
        <f>IF(V46=0,0,1000000*V46/TrRoad_act!V76)</f>
        <v>1168.2688026911537</v>
      </c>
      <c r="W133" s="87">
        <f>IF(W46=0,0,1000000*W46/TrRoad_act!W76)</f>
        <v>1412.9410120925252</v>
      </c>
      <c r="X133" s="87">
        <f>IF(X46=0,0,1000000*X46/TrRoad_act!X76)</f>
        <v>1367.0101650783104</v>
      </c>
      <c r="Y133" s="87">
        <f>IF(Y46=0,0,1000000*Y46/TrRoad_act!Y76)</f>
        <v>1444.5411191531477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1516.040211069811</v>
      </c>
      <c r="C134" s="87">
        <f>IF(C48=0,0,1000000*C48/TrRoad_act!C77)</f>
        <v>1437.6115337834678</v>
      </c>
      <c r="D134" s="87">
        <f>IF(D48=0,0,1000000*D48/TrRoad_act!D77)</f>
        <v>1592.4090193400107</v>
      </c>
      <c r="E134" s="87">
        <f>IF(E48=0,0,1000000*E48/TrRoad_act!E77)</f>
        <v>1593.279066993839</v>
      </c>
      <c r="F134" s="87">
        <f>IF(F48=0,0,1000000*F48/TrRoad_act!F77)</f>
        <v>1629.4223838428386</v>
      </c>
      <c r="G134" s="87">
        <f>IF(G48=0,0,1000000*G48/TrRoad_act!G77)</f>
        <v>1575.7453191838924</v>
      </c>
      <c r="H134" s="87">
        <f>IF(H48=0,0,1000000*H48/TrRoad_act!H77)</f>
        <v>1526.1736878337579</v>
      </c>
      <c r="I134" s="87">
        <f>IF(I48=0,0,1000000*I48/TrRoad_act!I77)</f>
        <v>1536.6734198110084</v>
      </c>
      <c r="J134" s="87">
        <f>IF(J48=0,0,1000000*J48/TrRoad_act!J77)</f>
        <v>1443.988700410353</v>
      </c>
      <c r="K134" s="87">
        <f>IF(K48=0,0,1000000*K48/TrRoad_act!K77)</f>
        <v>1327.4042396369427</v>
      </c>
      <c r="L134" s="87">
        <f>IF(L48=0,0,1000000*L48/TrRoad_act!L77)</f>
        <v>1237.2952530116829</v>
      </c>
      <c r="M134" s="87">
        <f>IF(M48=0,0,1000000*M48/TrRoad_act!M77)</f>
        <v>1177.1906440137273</v>
      </c>
      <c r="N134" s="87">
        <f>IF(N48=0,0,1000000*N48/TrRoad_act!N77)</f>
        <v>1120.0957952151612</v>
      </c>
      <c r="O134" s="87">
        <f>IF(O48=0,0,1000000*O48/TrRoad_act!O77)</f>
        <v>1025.2909298837853</v>
      </c>
      <c r="P134" s="87">
        <f>IF(P48=0,0,1000000*P48/TrRoad_act!P77)</f>
        <v>1043.3889871911113</v>
      </c>
      <c r="Q134" s="87">
        <f>IF(Q48=0,0,1000000*Q48/TrRoad_act!Q77)</f>
        <v>1100.9549896700298</v>
      </c>
      <c r="R134" s="87">
        <f>IF(R48=0,0,1000000*R48/TrRoad_act!R77)</f>
        <v>1078.9246634335873</v>
      </c>
      <c r="S134" s="87">
        <f>IF(S48=0,0,1000000*S48/TrRoad_act!S77)</f>
        <v>1045.945059434272</v>
      </c>
      <c r="T134" s="87">
        <f>IF(T48=0,0,1000000*T48/TrRoad_act!T77)</f>
        <v>1028.1298318895151</v>
      </c>
      <c r="U134" s="87">
        <f>IF(U48=0,0,1000000*U48/TrRoad_act!U77)</f>
        <v>986.29557753347683</v>
      </c>
      <c r="V134" s="87">
        <f>IF(V48=0,0,1000000*V48/TrRoad_act!V77)</f>
        <v>840.3029188349966</v>
      </c>
      <c r="W134" s="87">
        <f>IF(W48=0,0,1000000*W48/TrRoad_act!W77)</f>
        <v>1015.0778693362138</v>
      </c>
      <c r="X134" s="87">
        <f>IF(X48=0,0,1000000*X48/TrRoad_act!X77)</f>
        <v>959.11220925760119</v>
      </c>
      <c r="Y134" s="87">
        <f>IF(Y48=0,0,1000000*Y48/TrRoad_act!Y77)</f>
        <v>990.05077451455213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1335.1886837630614</v>
      </c>
      <c r="K135" s="87">
        <f>IF(K49=0,0,1000000*K49/TrRoad_act!K78)</f>
        <v>1332.5063818016172</v>
      </c>
      <c r="L135" s="87">
        <f>IF(L49=0,0,1000000*L49/TrRoad_act!L78)</f>
        <v>1309.7039350364932</v>
      </c>
      <c r="M135" s="87">
        <f>IF(M49=0,0,1000000*M49/TrRoad_act!M78)</f>
        <v>1270.4262093499699</v>
      </c>
      <c r="N135" s="87">
        <f>IF(N49=0,0,1000000*N49/TrRoad_act!N78)</f>
        <v>1229.2681066036394</v>
      </c>
      <c r="O135" s="87">
        <f>IF(O49=0,0,1000000*O49/TrRoad_act!O78)</f>
        <v>1137.4928689315871</v>
      </c>
      <c r="P135" s="87">
        <f>IF(P49=0,0,1000000*P49/TrRoad_act!P78)</f>
        <v>1196.8408480116525</v>
      </c>
      <c r="Q135" s="87">
        <f>IF(Q49=0,0,1000000*Q49/TrRoad_act!Q78)</f>
        <v>1344.2273110388769</v>
      </c>
      <c r="R135" s="87">
        <f>IF(R49=0,0,1000000*R49/TrRoad_act!R78)</f>
        <v>1324.2911093709731</v>
      </c>
      <c r="S135" s="87">
        <f>IF(S49=0,0,1000000*S49/TrRoad_act!S78)</f>
        <v>1249.6820150730191</v>
      </c>
      <c r="T135" s="87">
        <f>IF(T49=0,0,1000000*T49/TrRoad_act!T78)</f>
        <v>1159.0231406190976</v>
      </c>
      <c r="U135" s="87">
        <f>IF(U49=0,0,1000000*U49/TrRoad_act!U78)</f>
        <v>1522.0947322472625</v>
      </c>
      <c r="V135" s="87">
        <f>IF(V49=0,0,1000000*V49/TrRoad_act!V78)</f>
        <v>1979.8358471375457</v>
      </c>
      <c r="W135" s="87">
        <f>IF(W49=0,0,1000000*W49/TrRoad_act!W78)</f>
        <v>3121.4144717209547</v>
      </c>
      <c r="X135" s="87">
        <f>IF(X49=0,0,1000000*X49/TrRoad_act!X78)</f>
        <v>2527.9600149100525</v>
      </c>
      <c r="Y135" s="87">
        <f>IF(Y49=0,0,1000000*Y49/TrRoad_act!Y78)</f>
        <v>2945.159140744674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232.25856627097565</v>
      </c>
      <c r="K136" s="87">
        <f>IF(K51=0,0,1000000*K51/TrRoad_act!K79)</f>
        <v>232.39276834021561</v>
      </c>
      <c r="L136" s="87">
        <f>IF(L51=0,0,1000000*L51/TrRoad_act!L79)</f>
        <v>232.61034052471945</v>
      </c>
      <c r="M136" s="87">
        <f>IF(M51=0,0,1000000*M51/TrRoad_act!M79)</f>
        <v>234.34737195530639</v>
      </c>
      <c r="N136" s="87">
        <f>IF(N51=0,0,1000000*N51/TrRoad_act!N79)</f>
        <v>238.01648578525325</v>
      </c>
      <c r="O136" s="87">
        <f>IF(O51=0,0,1000000*O51/TrRoad_act!O79)</f>
        <v>239.23773434475507</v>
      </c>
      <c r="P136" s="87">
        <f>IF(P51=0,0,1000000*P51/TrRoad_act!P79)</f>
        <v>240.70627393811577</v>
      </c>
      <c r="Q136" s="87">
        <f>IF(Q51=0,0,1000000*Q51/TrRoad_act!Q79)</f>
        <v>244.49389366292706</v>
      </c>
      <c r="R136" s="87">
        <f>IF(R51=0,0,1000000*R51/TrRoad_act!R79)</f>
        <v>251.54566214149733</v>
      </c>
      <c r="S136" s="87">
        <f>IF(S51=0,0,1000000*S51/TrRoad_act!S79)</f>
        <v>256.17435687732251</v>
      </c>
      <c r="T136" s="87">
        <f>IF(T51=0,0,1000000*T51/TrRoad_act!T79)</f>
        <v>268.07543340012649</v>
      </c>
      <c r="U136" s="87">
        <f>IF(U51=0,0,1000000*U51/TrRoad_act!U79)</f>
        <v>290.40467791769919</v>
      </c>
      <c r="V136" s="87">
        <f>IF(V51=0,0,1000000*V51/TrRoad_act!V79)</f>
        <v>293.80604292675827</v>
      </c>
      <c r="W136" s="87">
        <f>IF(W51=0,0,1000000*W51/TrRoad_act!W79)</f>
        <v>351.2040622898881</v>
      </c>
      <c r="X136" s="87">
        <f>IF(X51=0,0,1000000*X51/TrRoad_act!X79)</f>
        <v>375.93068268844598</v>
      </c>
      <c r="Y136" s="87">
        <f>IF(Y51=0,0,1000000*Y51/TrRoad_act!Y79)</f>
        <v>395.27943377793395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10754.067477951981</v>
      </c>
      <c r="C137" s="116">
        <f>IF(C52=0,0,1000000*C52/TrRoad_act!C80)</f>
        <v>8867.1706454591931</v>
      </c>
      <c r="D137" s="116">
        <f>IF(D52=0,0,1000000*D52/TrRoad_act!D80)</f>
        <v>9041.5884768986271</v>
      </c>
      <c r="E137" s="116">
        <f>IF(E52=0,0,1000000*E52/TrRoad_act!E80)</f>
        <v>9047.9547609805086</v>
      </c>
      <c r="F137" s="116">
        <f>IF(F52=0,0,1000000*F52/TrRoad_act!F80)</f>
        <v>9905.289114609086</v>
      </c>
      <c r="G137" s="116">
        <f>IF(G52=0,0,1000000*G52/TrRoad_act!G80)</f>
        <v>9505.3867424798245</v>
      </c>
      <c r="H137" s="116">
        <f>IF(H52=0,0,1000000*H52/TrRoad_act!H80)</f>
        <v>10006.119182845248</v>
      </c>
      <c r="I137" s="116">
        <f>IF(I52=0,0,1000000*I52/TrRoad_act!I80)</f>
        <v>10063.409599572038</v>
      </c>
      <c r="J137" s="116">
        <f>IF(J52=0,0,1000000*J52/TrRoad_act!J80)</f>
        <v>9121.0174260844269</v>
      </c>
      <c r="K137" s="116">
        <f>IF(K52=0,0,1000000*K52/TrRoad_act!K80)</f>
        <v>8848.884693395019</v>
      </c>
      <c r="L137" s="116">
        <f>IF(L52=0,0,1000000*L52/TrRoad_act!L80)</f>
        <v>9276.7117517993229</v>
      </c>
      <c r="M137" s="116">
        <f>IF(M52=0,0,1000000*M52/TrRoad_act!M80)</f>
        <v>8356.75149111256</v>
      </c>
      <c r="N137" s="116">
        <f>IF(N52=0,0,1000000*N52/TrRoad_act!N80)</f>
        <v>8110.7775575395808</v>
      </c>
      <c r="O137" s="116">
        <f>IF(O52=0,0,1000000*O52/TrRoad_act!O80)</f>
        <v>8319.9151584011379</v>
      </c>
      <c r="P137" s="116">
        <f>IF(P52=0,0,1000000*P52/TrRoad_act!P80)</f>
        <v>8296.6568868777995</v>
      </c>
      <c r="Q137" s="116">
        <f>IF(Q52=0,0,1000000*Q52/TrRoad_act!Q80)</f>
        <v>8819.4789760204949</v>
      </c>
      <c r="R137" s="116">
        <f>IF(R52=0,0,1000000*R52/TrRoad_act!R80)</f>
        <v>11610.831717747282</v>
      </c>
      <c r="S137" s="116">
        <f>IF(S52=0,0,1000000*S52/TrRoad_act!S80)</f>
        <v>12289.945033823371</v>
      </c>
      <c r="T137" s="116">
        <f>IF(T52=0,0,1000000*T52/TrRoad_act!T80)</f>
        <v>12421.334756577942</v>
      </c>
      <c r="U137" s="116">
        <f>IF(U52=0,0,1000000*U52/TrRoad_act!U80)</f>
        <v>12239.559838933297</v>
      </c>
      <c r="V137" s="116">
        <f>IF(V52=0,0,1000000*V52/TrRoad_act!V80)</f>
        <v>11329.24880210596</v>
      </c>
      <c r="W137" s="116">
        <f>IF(W52=0,0,1000000*W52/TrRoad_act!W80)</f>
        <v>12765.519723784488</v>
      </c>
      <c r="X137" s="116">
        <f>IF(X52=0,0,1000000*X52/TrRoad_act!X80)</f>
        <v>12781.369757630287</v>
      </c>
      <c r="Y137" s="116">
        <f>IF(Y52=0,0,1000000*Y52/TrRoad_act!Y80)</f>
        <v>13027.407424697332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7364.1061016333624</v>
      </c>
      <c r="C138" s="101">
        <f>IF(C53=0,0,1000000*C53/TrRoad_act!C81)</f>
        <v>5786.2704395380806</v>
      </c>
      <c r="D138" s="101">
        <f>IF(D53=0,0,1000000*D53/TrRoad_act!D81)</f>
        <v>5873.2464972472135</v>
      </c>
      <c r="E138" s="101">
        <f>IF(E53=0,0,1000000*E53/TrRoad_act!E81)</f>
        <v>5616.4711857394814</v>
      </c>
      <c r="F138" s="101">
        <f>IF(F53=0,0,1000000*F53/TrRoad_act!F81)</f>
        <v>5905.4173163138648</v>
      </c>
      <c r="G138" s="101">
        <f>IF(G53=0,0,1000000*G53/TrRoad_act!G81)</f>
        <v>5364.0656761962728</v>
      </c>
      <c r="H138" s="101">
        <f>IF(H53=0,0,1000000*H53/TrRoad_act!H81)</f>
        <v>5632.3323777064152</v>
      </c>
      <c r="I138" s="101">
        <f>IF(I53=0,0,1000000*I53/TrRoad_act!I81)</f>
        <v>5529.2212566208427</v>
      </c>
      <c r="J138" s="101">
        <f>IF(J53=0,0,1000000*J53/TrRoad_act!J81)</f>
        <v>4445.7538427099689</v>
      </c>
      <c r="K138" s="101">
        <f>IF(K53=0,0,1000000*K53/TrRoad_act!K81)</f>
        <v>4372.3272621887172</v>
      </c>
      <c r="L138" s="101">
        <f>IF(L53=0,0,1000000*L53/TrRoad_act!L81)</f>
        <v>4595.0589880604657</v>
      </c>
      <c r="M138" s="101">
        <f>IF(M53=0,0,1000000*M53/TrRoad_act!M81)</f>
        <v>4159.2618396872749</v>
      </c>
      <c r="N138" s="101">
        <f>IF(N53=0,0,1000000*N53/TrRoad_act!N81)</f>
        <v>4055.9840121164061</v>
      </c>
      <c r="O138" s="101">
        <f>IF(O53=0,0,1000000*O53/TrRoad_act!O81)</f>
        <v>4193.2494006204497</v>
      </c>
      <c r="P138" s="101">
        <f>IF(P53=0,0,1000000*P53/TrRoad_act!P81)</f>
        <v>4253.3721873411005</v>
      </c>
      <c r="Q138" s="101">
        <f>IF(Q53=0,0,1000000*Q53/TrRoad_act!Q81)</f>
        <v>4800.0889987266619</v>
      </c>
      <c r="R138" s="101">
        <f>IF(R53=0,0,1000000*R53/TrRoad_act!R81)</f>
        <v>6196.2406903915426</v>
      </c>
      <c r="S138" s="101">
        <f>IF(S53=0,0,1000000*S53/TrRoad_act!S81)</f>
        <v>6544.3280158695406</v>
      </c>
      <c r="T138" s="101">
        <f>IF(T53=0,0,1000000*T53/TrRoad_act!T81)</f>
        <v>6444.1623336885368</v>
      </c>
      <c r="U138" s="101">
        <f>IF(U53=0,0,1000000*U53/TrRoad_act!U81)</f>
        <v>6564.5238866395557</v>
      </c>
      <c r="V138" s="101">
        <f>IF(V53=0,0,1000000*V53/TrRoad_act!V81)</f>
        <v>5827.799907691824</v>
      </c>
      <c r="W138" s="101">
        <f>IF(W53=0,0,1000000*W53/TrRoad_act!W81)</f>
        <v>6851.3188142856843</v>
      </c>
      <c r="X138" s="101">
        <f>IF(X53=0,0,1000000*X53/TrRoad_act!X81)</f>
        <v>7117.445588936379</v>
      </c>
      <c r="Y138" s="101">
        <f>IF(Y53=0,0,1000000*Y53/TrRoad_act!Y81)</f>
        <v>7317.0798894768541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27107.047255831196</v>
      </c>
      <c r="C139" s="88">
        <f>IF(C55=0,0,1000000*C55/TrRoad_act!C82)</f>
        <v>29962.513161157171</v>
      </c>
      <c r="D139" s="88">
        <f>IF(D55=0,0,1000000*D55/TrRoad_act!D82)</f>
        <v>29577.6215119802</v>
      </c>
      <c r="E139" s="88">
        <f>IF(E55=0,0,1000000*E55/TrRoad_act!E82)</f>
        <v>31493.742453263938</v>
      </c>
      <c r="F139" s="88">
        <f>IF(F55=0,0,1000000*F55/TrRoad_act!F82)</f>
        <v>32872.005701269874</v>
      </c>
      <c r="G139" s="88">
        <f>IF(G55=0,0,1000000*G55/TrRoad_act!G82)</f>
        <v>33354.073501271858</v>
      </c>
      <c r="H139" s="88">
        <f>IF(H55=0,0,1000000*H55/TrRoad_act!H82)</f>
        <v>34472.497231293804</v>
      </c>
      <c r="I139" s="88">
        <f>IF(I55=0,0,1000000*I55/TrRoad_act!I82)</f>
        <v>34898.757387773025</v>
      </c>
      <c r="J139" s="88">
        <f>IF(J55=0,0,1000000*J55/TrRoad_act!J82)</f>
        <v>36255.640047073073</v>
      </c>
      <c r="K139" s="88">
        <f>IF(K55=0,0,1000000*K55/TrRoad_act!K82)</f>
        <v>36086.518934320775</v>
      </c>
      <c r="L139" s="88">
        <f>IF(L55=0,0,1000000*L55/TrRoad_act!L82)</f>
        <v>36482.92336378352</v>
      </c>
      <c r="M139" s="88">
        <f>IF(M55=0,0,1000000*M55/TrRoad_act!M82)</f>
        <v>34967.922280015555</v>
      </c>
      <c r="N139" s="88">
        <f>IF(N55=0,0,1000000*N55/TrRoad_act!N82)</f>
        <v>33318.100831826756</v>
      </c>
      <c r="O139" s="88">
        <f>IF(O55=0,0,1000000*O55/TrRoad_act!O82)</f>
        <v>33468.907901700397</v>
      </c>
      <c r="P139" s="88">
        <f>IF(P55=0,0,1000000*P55/TrRoad_act!P82)</f>
        <v>33346.892065057007</v>
      </c>
      <c r="Q139" s="88">
        <f>IF(Q55=0,0,1000000*Q55/TrRoad_act!Q82)</f>
        <v>34933.058734315004</v>
      </c>
      <c r="R139" s="88">
        <f>IF(R55=0,0,1000000*R55/TrRoad_act!R82)</f>
        <v>40121.619395414782</v>
      </c>
      <c r="S139" s="88">
        <f>IF(S55=0,0,1000000*S55/TrRoad_act!S82)</f>
        <v>42412.736522492567</v>
      </c>
      <c r="T139" s="88">
        <f>IF(T55=0,0,1000000*T55/TrRoad_act!T82)</f>
        <v>46040.204120546427</v>
      </c>
      <c r="U139" s="88">
        <f>IF(U55=0,0,1000000*U55/TrRoad_act!U82)</f>
        <v>43779.170748329765</v>
      </c>
      <c r="V139" s="88">
        <f>IF(V55=0,0,1000000*V55/TrRoad_act!V82)</f>
        <v>41764.247180363556</v>
      </c>
      <c r="W139" s="88">
        <f>IF(W55=0,0,1000000*W55/TrRoad_act!W82)</f>
        <v>44773.976301643765</v>
      </c>
      <c r="X139" s="88">
        <f>IF(X55=0,0,1000000*X55/TrRoad_act!X82)</f>
        <v>45311.361340631636</v>
      </c>
      <c r="Y139" s="88">
        <f>IF(Y55=0,0,1000000*Y55/TrRoad_act!Y82)</f>
        <v>46695.619131444531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0.73171167022892669</v>
      </c>
      <c r="C142" s="46">
        <f t="shared" si="42"/>
        <v>0.71572153599147725</v>
      </c>
      <c r="D142" s="46">
        <f t="shared" si="42"/>
        <v>0.70721833645209253</v>
      </c>
      <c r="E142" s="46">
        <f t="shared" si="42"/>
        <v>0.70843131739750576</v>
      </c>
      <c r="F142" s="46">
        <f t="shared" si="42"/>
        <v>0.6872470990101377</v>
      </c>
      <c r="G142" s="46">
        <f t="shared" si="42"/>
        <v>0.67736662759761446</v>
      </c>
      <c r="H142" s="46">
        <f t="shared" si="42"/>
        <v>0.67388999399186245</v>
      </c>
      <c r="I142" s="46">
        <f t="shared" si="42"/>
        <v>0.67448434118702971</v>
      </c>
      <c r="J142" s="46">
        <f t="shared" si="42"/>
        <v>0.68532615688972431</v>
      </c>
      <c r="K142" s="46">
        <f t="shared" si="42"/>
        <v>0.69351405914975772</v>
      </c>
      <c r="L142" s="46">
        <f t="shared" ref="L142" si="43">IF(L18=0,0,L18/L$17)</f>
        <v>0.68924280566728968</v>
      </c>
      <c r="M142" s="46">
        <f t="shared" ref="M142:V142" si="44">IF(M18=0,0,M18/M$17)</f>
        <v>0.69071944230034665</v>
      </c>
      <c r="N142" s="46">
        <f t="shared" si="44"/>
        <v>0.69272659895762112</v>
      </c>
      <c r="O142" s="46">
        <f t="shared" si="44"/>
        <v>0.68767148756288021</v>
      </c>
      <c r="P142" s="46">
        <f t="shared" si="44"/>
        <v>0.68747386134474775</v>
      </c>
      <c r="Q142" s="46">
        <f t="shared" si="44"/>
        <v>0.67127604324641588</v>
      </c>
      <c r="R142" s="46">
        <f t="shared" si="44"/>
        <v>0.65076115750804686</v>
      </c>
      <c r="S142" s="46">
        <f t="shared" si="44"/>
        <v>0.63914226864059231</v>
      </c>
      <c r="T142" s="46">
        <f t="shared" si="44"/>
        <v>0.63348628391587691</v>
      </c>
      <c r="U142" s="46">
        <f t="shared" si="44"/>
        <v>0.63268520202869094</v>
      </c>
      <c r="V142" s="46">
        <f t="shared" si="44"/>
        <v>0.61321776337340739</v>
      </c>
      <c r="W142" s="46">
        <f t="shared" ref="W142:Y142" si="45">IF(W18=0,0,W18/W$17)</f>
        <v>0.59091107974370161</v>
      </c>
      <c r="X142" s="46">
        <f t="shared" si="45"/>
        <v>0.60074444078564959</v>
      </c>
      <c r="Y142" s="46">
        <f t="shared" si="45"/>
        <v>0.59377112541967292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7.7942694106900353E-3</v>
      </c>
      <c r="C143" s="154">
        <f t="shared" si="46"/>
        <v>7.7924558764369432E-3</v>
      </c>
      <c r="D143" s="154">
        <f t="shared" si="46"/>
        <v>8.1424047813751909E-3</v>
      </c>
      <c r="E143" s="154">
        <f t="shared" si="46"/>
        <v>8.2371158870083883E-3</v>
      </c>
      <c r="F143" s="154">
        <f t="shared" si="46"/>
        <v>7.9625879004255502E-3</v>
      </c>
      <c r="G143" s="154">
        <f t="shared" si="46"/>
        <v>7.8206556841034468E-3</v>
      </c>
      <c r="H143" s="154">
        <f t="shared" si="46"/>
        <v>7.8463453601877679E-3</v>
      </c>
      <c r="I143" s="154">
        <f t="shared" si="46"/>
        <v>7.8335122607286027E-3</v>
      </c>
      <c r="J143" s="154">
        <f t="shared" si="46"/>
        <v>7.7363045357689139E-3</v>
      </c>
      <c r="K143" s="154">
        <f t="shared" si="46"/>
        <v>7.6041485073556781E-3</v>
      </c>
      <c r="L143" s="154">
        <f t="shared" ref="L143" si="47">IF(L19=0,0,L19/L$17)</f>
        <v>7.2216969864141358E-3</v>
      </c>
      <c r="M143" s="154">
        <f t="shared" ref="M143:V143" si="48">IF(M19=0,0,M19/M$17)</f>
        <v>7.2277943551325918E-3</v>
      </c>
      <c r="N143" s="154">
        <f t="shared" si="48"/>
        <v>7.1104211693888827E-3</v>
      </c>
      <c r="O143" s="154">
        <f t="shared" si="48"/>
        <v>6.8847404117602477E-3</v>
      </c>
      <c r="P143" s="154">
        <f t="shared" si="48"/>
        <v>7.0243607488635063E-3</v>
      </c>
      <c r="Q143" s="154">
        <f t="shared" si="48"/>
        <v>6.5812100954448184E-3</v>
      </c>
      <c r="R143" s="154">
        <f t="shared" si="48"/>
        <v>6.311382748846385E-3</v>
      </c>
      <c r="S143" s="154">
        <f t="shared" si="48"/>
        <v>6.1565405575192498E-3</v>
      </c>
      <c r="T143" s="154">
        <f t="shared" si="48"/>
        <v>5.862972199872413E-3</v>
      </c>
      <c r="U143" s="154">
        <f t="shared" si="48"/>
        <v>6.2974735581508333E-3</v>
      </c>
      <c r="V143" s="154">
        <f t="shared" si="48"/>
        <v>6.2095944815695105E-3</v>
      </c>
      <c r="W143" s="154">
        <f t="shared" ref="W143:Y143" si="49">IF(W19=0,0,W19/W$17)</f>
        <v>6.1062517796796091E-3</v>
      </c>
      <c r="X143" s="154">
        <f t="shared" si="49"/>
        <v>6.1264697348287463E-3</v>
      </c>
      <c r="Y143" s="154">
        <f t="shared" si="49"/>
        <v>6.4527532803410996E-3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0.67298623866408835</v>
      </c>
      <c r="C144" s="156">
        <f t="shared" si="50"/>
        <v>0.65917579845101304</v>
      </c>
      <c r="D144" s="156">
        <f t="shared" si="50"/>
        <v>0.65110143302668488</v>
      </c>
      <c r="E144" s="156">
        <f t="shared" si="50"/>
        <v>0.65305946977535823</v>
      </c>
      <c r="F144" s="156">
        <f t="shared" si="50"/>
        <v>0.63385214931228562</v>
      </c>
      <c r="G144" s="156">
        <f t="shared" si="50"/>
        <v>0.62375988903887958</v>
      </c>
      <c r="H144" s="156">
        <f t="shared" si="50"/>
        <v>0.62232641561108903</v>
      </c>
      <c r="I144" s="156">
        <f t="shared" si="50"/>
        <v>0.62475310436383891</v>
      </c>
      <c r="J144" s="156">
        <f t="shared" si="50"/>
        <v>0.6349638699375959</v>
      </c>
      <c r="K144" s="156">
        <f t="shared" si="50"/>
        <v>0.64355775626658063</v>
      </c>
      <c r="L144" s="156">
        <f t="shared" ref="L144" si="51">IF(L21=0,0,L21/L$17)</f>
        <v>0.63960912035806783</v>
      </c>
      <c r="M144" s="156">
        <f t="shared" ref="M144:V144" si="52">IF(M21=0,0,M21/M$17)</f>
        <v>0.64188129692435258</v>
      </c>
      <c r="N144" s="156">
        <f t="shared" si="52"/>
        <v>0.64402156743683026</v>
      </c>
      <c r="O144" s="156">
        <f t="shared" si="52"/>
        <v>0.63820998159494335</v>
      </c>
      <c r="P144" s="156">
        <f t="shared" si="52"/>
        <v>0.63785037441470649</v>
      </c>
      <c r="Q144" s="156">
        <f t="shared" si="52"/>
        <v>0.62248829007856188</v>
      </c>
      <c r="R144" s="156">
        <f t="shared" si="52"/>
        <v>0.60396013006282578</v>
      </c>
      <c r="S144" s="156">
        <f t="shared" si="52"/>
        <v>0.59080738468213867</v>
      </c>
      <c r="T144" s="156">
        <f t="shared" si="52"/>
        <v>0.58409809319260242</v>
      </c>
      <c r="U144" s="156">
        <f t="shared" si="52"/>
        <v>0.58246408687171425</v>
      </c>
      <c r="V144" s="156">
        <f t="shared" si="52"/>
        <v>0.5576721587529071</v>
      </c>
      <c r="W144" s="156">
        <f t="shared" ref="W144:Y144" si="53">IF(W21=0,0,W21/W$17)</f>
        <v>0.53910870061917149</v>
      </c>
      <c r="X144" s="156">
        <f t="shared" si="53"/>
        <v>0.54995223397090143</v>
      </c>
      <c r="Y144" s="156">
        <f t="shared" si="53"/>
        <v>0.54397819306593487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0.28494338214657372</v>
      </c>
      <c r="C145" s="103">
        <f t="shared" si="54"/>
        <v>0.26719348778324675</v>
      </c>
      <c r="D145" s="103">
        <f t="shared" si="54"/>
        <v>0.25346710241326842</v>
      </c>
      <c r="E145" s="103">
        <f t="shared" si="54"/>
        <v>0.25057929478875962</v>
      </c>
      <c r="F145" s="103">
        <f t="shared" si="54"/>
        <v>0.21964620335161947</v>
      </c>
      <c r="G145" s="103">
        <f t="shared" si="54"/>
        <v>0.20863801213300845</v>
      </c>
      <c r="H145" s="103">
        <f t="shared" si="54"/>
        <v>0.1883417204571983</v>
      </c>
      <c r="I145" s="103">
        <f t="shared" si="54"/>
        <v>0.17238981836235331</v>
      </c>
      <c r="J145" s="103">
        <f t="shared" si="54"/>
        <v>0.15696768381533199</v>
      </c>
      <c r="K145" s="103">
        <f t="shared" si="54"/>
        <v>0.15278527852081972</v>
      </c>
      <c r="L145" s="103">
        <f t="shared" ref="L145" si="55">IF(L22=0,0,L22/L$17)</f>
        <v>0.14101486251038356</v>
      </c>
      <c r="M145" s="103">
        <f t="shared" ref="M145:V145" si="56">IF(M22=0,0,M22/M$17)</f>
        <v>0.13715592339969507</v>
      </c>
      <c r="N145" s="103">
        <f t="shared" si="56"/>
        <v>0.13787462061955888</v>
      </c>
      <c r="O145" s="103">
        <f t="shared" si="56"/>
        <v>0.14101775578486919</v>
      </c>
      <c r="P145" s="103">
        <f t="shared" si="56"/>
        <v>0.14678472015131949</v>
      </c>
      <c r="Q145" s="103">
        <f t="shared" si="56"/>
        <v>0.14997160762910652</v>
      </c>
      <c r="R145" s="103">
        <f t="shared" si="56"/>
        <v>0.16096113215753741</v>
      </c>
      <c r="S145" s="103">
        <f t="shared" si="56"/>
        <v>0.16986660306639348</v>
      </c>
      <c r="T145" s="103">
        <f t="shared" si="56"/>
        <v>0.19042669113038846</v>
      </c>
      <c r="U145" s="103">
        <f t="shared" si="56"/>
        <v>0.21596006410111052</v>
      </c>
      <c r="V145" s="103">
        <f t="shared" si="56"/>
        <v>0.20655007498729344</v>
      </c>
      <c r="W145" s="103">
        <f t="shared" ref="W145:Y145" si="57">IF(W22=0,0,W22/W$17)</f>
        <v>0.22736865022295855</v>
      </c>
      <c r="X145" s="103">
        <f t="shared" si="57"/>
        <v>0.25378160144867573</v>
      </c>
      <c r="Y145" s="103">
        <f t="shared" si="57"/>
        <v>0.26885631313177988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0.38125384249371519</v>
      </c>
      <c r="C146" s="103">
        <f t="shared" si="58"/>
        <v>0.38379109539126771</v>
      </c>
      <c r="D146" s="103">
        <f t="shared" si="58"/>
        <v>0.39085487849493289</v>
      </c>
      <c r="E146" s="103">
        <f t="shared" si="58"/>
        <v>0.39668274217677935</v>
      </c>
      <c r="F146" s="103">
        <f t="shared" si="58"/>
        <v>0.40895278743699215</v>
      </c>
      <c r="G146" s="103">
        <f t="shared" si="58"/>
        <v>0.4098690921695623</v>
      </c>
      <c r="H146" s="103">
        <f t="shared" si="58"/>
        <v>0.42894624017369631</v>
      </c>
      <c r="I146" s="103">
        <f t="shared" si="58"/>
        <v>0.44827570186175575</v>
      </c>
      <c r="J146" s="103">
        <f t="shared" si="58"/>
        <v>0.47409273354516857</v>
      </c>
      <c r="K146" s="103">
        <f t="shared" si="58"/>
        <v>0.48696682701092053</v>
      </c>
      <c r="L146" s="103">
        <f t="shared" ref="L146" si="59">IF(L24=0,0,L24/L$17)</f>
        <v>0.4949867827215661</v>
      </c>
      <c r="M146" s="103">
        <f t="shared" ref="M146:V146" si="60">IF(M24=0,0,M24/M$17)</f>
        <v>0.50074680517185288</v>
      </c>
      <c r="N146" s="103">
        <f t="shared" si="60"/>
        <v>0.50206880033420564</v>
      </c>
      <c r="O146" s="103">
        <f t="shared" si="60"/>
        <v>0.49331460679803812</v>
      </c>
      <c r="P146" s="103">
        <f t="shared" si="60"/>
        <v>0.48665440743781674</v>
      </c>
      <c r="Q146" s="103">
        <f t="shared" si="60"/>
        <v>0.46581473974112919</v>
      </c>
      <c r="R146" s="103">
        <f t="shared" si="60"/>
        <v>0.43546115690921405</v>
      </c>
      <c r="S146" s="103">
        <f t="shared" si="60"/>
        <v>0.41296867008546778</v>
      </c>
      <c r="T146" s="103">
        <f t="shared" si="60"/>
        <v>0.38489993016093965</v>
      </c>
      <c r="U146" s="103">
        <f t="shared" si="60"/>
        <v>0.35559396230132101</v>
      </c>
      <c r="V146" s="103">
        <f t="shared" si="60"/>
        <v>0.33589465294513304</v>
      </c>
      <c r="W146" s="103">
        <f t="shared" ref="W146:Y146" si="61">IF(W24=0,0,W24/W$17)</f>
        <v>0.29341718919132476</v>
      </c>
      <c r="X146" s="103">
        <f t="shared" si="61"/>
        <v>0.27503208723289907</v>
      </c>
      <c r="Y146" s="103">
        <f t="shared" si="61"/>
        <v>0.24790198679039988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6.7890140237994966E-3</v>
      </c>
      <c r="C147" s="103">
        <f t="shared" si="62"/>
        <v>8.1912152764984474E-3</v>
      </c>
      <c r="D147" s="103">
        <f t="shared" si="62"/>
        <v>6.7794521184835702E-3</v>
      </c>
      <c r="E147" s="103">
        <f t="shared" si="62"/>
        <v>5.7974328098191179E-3</v>
      </c>
      <c r="F147" s="103">
        <f t="shared" si="62"/>
        <v>5.2191486477774019E-3</v>
      </c>
      <c r="G147" s="103">
        <f t="shared" si="62"/>
        <v>5.2149309128563691E-3</v>
      </c>
      <c r="H147" s="103">
        <f t="shared" si="62"/>
        <v>5.0035160152033893E-3</v>
      </c>
      <c r="I147" s="103">
        <f t="shared" si="62"/>
        <v>4.0534138880230219E-3</v>
      </c>
      <c r="J147" s="103">
        <f t="shared" si="62"/>
        <v>3.8841007728917893E-3</v>
      </c>
      <c r="K147" s="103">
        <f t="shared" si="62"/>
        <v>3.792055001274071E-3</v>
      </c>
      <c r="L147" s="103">
        <f t="shared" ref="L147" si="63">IF(L26=0,0,L26/L$17)</f>
        <v>3.5942146568835429E-3</v>
      </c>
      <c r="M147" s="103">
        <f t="shared" ref="M147:V147" si="64">IF(M26=0,0,M26/M$17)</f>
        <v>3.9554548197887687E-3</v>
      </c>
      <c r="N147" s="103">
        <f t="shared" si="64"/>
        <v>4.0153351838702368E-3</v>
      </c>
      <c r="O147" s="103">
        <f t="shared" si="64"/>
        <v>3.7754185995453955E-3</v>
      </c>
      <c r="P147" s="103">
        <f t="shared" si="64"/>
        <v>4.1702380748786247E-3</v>
      </c>
      <c r="Q147" s="103">
        <f t="shared" si="64"/>
        <v>6.1502566476317579E-3</v>
      </c>
      <c r="R147" s="103">
        <f t="shared" si="64"/>
        <v>6.2962460087172666E-3</v>
      </c>
      <c r="S147" s="103">
        <f t="shared" si="64"/>
        <v>5.793788860850896E-3</v>
      </c>
      <c r="T147" s="103">
        <f t="shared" si="64"/>
        <v>5.4133508288360631E-3</v>
      </c>
      <c r="U147" s="103">
        <f t="shared" si="64"/>
        <v>5.4954042449235768E-3</v>
      </c>
      <c r="V147" s="103">
        <f t="shared" si="64"/>
        <v>5.5617164744615737E-3</v>
      </c>
      <c r="W147" s="103">
        <f t="shared" ref="W147:Y147" si="65">IF(W26=0,0,W26/W$17)</f>
        <v>4.8073150974015256E-3</v>
      </c>
      <c r="X147" s="103">
        <f t="shared" si="65"/>
        <v>4.8282994190890832E-3</v>
      </c>
      <c r="Y147" s="103">
        <f t="shared" si="65"/>
        <v>5.0083162327066114E-3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3.4009875896682664E-5</v>
      </c>
      <c r="G148" s="103">
        <f t="shared" si="66"/>
        <v>3.7853823452464431E-5</v>
      </c>
      <c r="H148" s="103">
        <f t="shared" si="66"/>
        <v>3.4938964990910459E-5</v>
      </c>
      <c r="I148" s="103">
        <f t="shared" si="66"/>
        <v>3.41702517068242E-5</v>
      </c>
      <c r="J148" s="103">
        <f t="shared" si="66"/>
        <v>1.9150914348373628E-5</v>
      </c>
      <c r="K148" s="103">
        <f t="shared" si="66"/>
        <v>1.3301600912026902E-5</v>
      </c>
      <c r="L148" s="103">
        <f t="shared" ref="L148" si="67">IF(L27=0,0,L27/L$17)</f>
        <v>1.1869121870744832E-5</v>
      </c>
      <c r="M148" s="103">
        <f t="shared" ref="M148:V148" si="68">IF(M27=0,0,M27/M$17)</f>
        <v>1.5034750716194441E-5</v>
      </c>
      <c r="N148" s="103">
        <f t="shared" si="68"/>
        <v>3.3045084325246072E-5</v>
      </c>
      <c r="O148" s="103">
        <f t="shared" si="68"/>
        <v>6.7303163206886674E-5</v>
      </c>
      <c r="P148" s="103">
        <f t="shared" si="68"/>
        <v>1.5196570500944392E-4</v>
      </c>
      <c r="Q148" s="103">
        <f t="shared" si="68"/>
        <v>2.8621273802642149E-4</v>
      </c>
      <c r="R148" s="103">
        <f t="shared" si="68"/>
        <v>5.6925874148353582E-4</v>
      </c>
      <c r="S148" s="103">
        <f t="shared" si="68"/>
        <v>8.6770081645832207E-4</v>
      </c>
      <c r="T148" s="103">
        <f t="shared" si="68"/>
        <v>1.4638673183120354E-3</v>
      </c>
      <c r="U148" s="103">
        <f t="shared" si="68"/>
        <v>2.8009114615893879E-3</v>
      </c>
      <c r="V148" s="103">
        <f t="shared" si="68"/>
        <v>5.0961917240275878E-3</v>
      </c>
      <c r="W148" s="103">
        <f t="shared" ref="W148:Y148" si="69">IF(W27=0,0,W27/W$17)</f>
        <v>6.3347719949412191E-3</v>
      </c>
      <c r="X148" s="103">
        <f t="shared" si="69"/>
        <v>5.1916805230703602E-3</v>
      </c>
      <c r="Y148" s="103">
        <f t="shared" si="69"/>
        <v>5.4900988659298943E-3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5.6965382447135956E-7</v>
      </c>
      <c r="N149" s="103">
        <f t="shared" si="72"/>
        <v>9.9231015262065479E-6</v>
      </c>
      <c r="O149" s="103">
        <f t="shared" si="72"/>
        <v>1.1754803085659544E-5</v>
      </c>
      <c r="P149" s="103">
        <f t="shared" si="72"/>
        <v>4.4280341055507515E-5</v>
      </c>
      <c r="Q149" s="103">
        <f t="shared" si="72"/>
        <v>1.8560630399835828E-4</v>
      </c>
      <c r="R149" s="103">
        <f t="shared" si="72"/>
        <v>5.4848095242486473E-4</v>
      </c>
      <c r="S149" s="103">
        <f t="shared" si="72"/>
        <v>1.0671941946712843E-3</v>
      </c>
      <c r="T149" s="103">
        <f t="shared" si="72"/>
        <v>1.6188179015626213E-3</v>
      </c>
      <c r="U149" s="103">
        <f t="shared" si="72"/>
        <v>2.11624988663892E-3</v>
      </c>
      <c r="V149" s="103">
        <f t="shared" si="72"/>
        <v>3.8061212397588738E-3</v>
      </c>
      <c r="W149" s="103">
        <f t="shared" ref="W149:Y149" si="73">IF(W29=0,0,W29/W$17)</f>
        <v>5.872317176387659E-3</v>
      </c>
      <c r="X149" s="103">
        <f t="shared" si="73"/>
        <v>8.865167432975973E-3</v>
      </c>
      <c r="Y149" s="103">
        <f t="shared" si="73"/>
        <v>1.2158204114992556E-2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2.0088985520140609E-7</v>
      </c>
      <c r="K150" s="103">
        <f t="shared" si="74"/>
        <v>2.9413265417358478E-7</v>
      </c>
      <c r="L150" s="103">
        <f t="shared" ref="L150" si="75">IF(L32=0,0,L32/L$17)</f>
        <v>1.391347363890414E-6</v>
      </c>
      <c r="M150" s="103">
        <f t="shared" ref="M150:V150" si="76">IF(M32=0,0,M32/M$17)</f>
        <v>7.5091284751673931E-6</v>
      </c>
      <c r="N150" s="103">
        <f t="shared" si="76"/>
        <v>1.9843113343900874E-5</v>
      </c>
      <c r="O150" s="103">
        <f t="shared" si="76"/>
        <v>2.3142446197984359E-5</v>
      </c>
      <c r="P150" s="103">
        <f t="shared" si="76"/>
        <v>4.4762704626724233E-5</v>
      </c>
      <c r="Q150" s="103">
        <f t="shared" si="76"/>
        <v>7.9867018669672023E-5</v>
      </c>
      <c r="R150" s="103">
        <f t="shared" si="76"/>
        <v>1.2385529344865643E-4</v>
      </c>
      <c r="S150" s="103">
        <f t="shared" si="76"/>
        <v>2.4342765829686138E-4</v>
      </c>
      <c r="T150" s="103">
        <f t="shared" si="76"/>
        <v>2.7543585256349564E-4</v>
      </c>
      <c r="U150" s="103">
        <f t="shared" si="76"/>
        <v>4.9749487613092119E-4</v>
      </c>
      <c r="V150" s="103">
        <f t="shared" si="76"/>
        <v>7.6340138223263826E-4</v>
      </c>
      <c r="W150" s="103">
        <f t="shared" ref="W150:Y150" si="77">IF(W32=0,0,W32/W$17)</f>
        <v>1.3084569361577914E-3</v>
      </c>
      <c r="X150" s="103">
        <f t="shared" si="77"/>
        <v>2.2533979141911823E-3</v>
      </c>
      <c r="Y150" s="103">
        <f t="shared" si="77"/>
        <v>4.563273930126086E-3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5.0931162154148217E-2</v>
      </c>
      <c r="C151" s="156">
        <f t="shared" si="78"/>
        <v>4.8753281664027329E-2</v>
      </c>
      <c r="D151" s="156">
        <f t="shared" si="78"/>
        <v>4.7974498644032401E-2</v>
      </c>
      <c r="E151" s="156">
        <f t="shared" si="78"/>
        <v>4.7134731735139261E-2</v>
      </c>
      <c r="F151" s="156">
        <f t="shared" si="78"/>
        <v>4.5432361797426594E-2</v>
      </c>
      <c r="G151" s="156">
        <f t="shared" si="78"/>
        <v>4.5786082874631366E-2</v>
      </c>
      <c r="H151" s="156">
        <f t="shared" si="78"/>
        <v>4.3717233020585562E-2</v>
      </c>
      <c r="I151" s="156">
        <f t="shared" si="78"/>
        <v>4.1897724562462144E-2</v>
      </c>
      <c r="J151" s="156">
        <f t="shared" si="78"/>
        <v>4.2625982416359516E-2</v>
      </c>
      <c r="K151" s="156">
        <f t="shared" si="78"/>
        <v>4.2352154375821342E-2</v>
      </c>
      <c r="L151" s="156">
        <f t="shared" ref="L151" si="79">IF(L33=0,0,L33/L$17)</f>
        <v>4.2411988322807702E-2</v>
      </c>
      <c r="M151" s="156">
        <f t="shared" ref="M151:V151" si="80">IF(M33=0,0,M33/M$17)</f>
        <v>4.16103510208614E-2</v>
      </c>
      <c r="N151" s="156">
        <f t="shared" si="80"/>
        <v>4.1594610351401912E-2</v>
      </c>
      <c r="O151" s="156">
        <f t="shared" si="80"/>
        <v>4.2576765556176739E-2</v>
      </c>
      <c r="P151" s="156">
        <f t="shared" si="80"/>
        <v>4.2599126181177699E-2</v>
      </c>
      <c r="Q151" s="156">
        <f t="shared" si="80"/>
        <v>4.2206543072409189E-2</v>
      </c>
      <c r="R151" s="156">
        <f t="shared" si="80"/>
        <v>4.0489644696374734E-2</v>
      </c>
      <c r="S151" s="156">
        <f t="shared" si="80"/>
        <v>4.217834340093439E-2</v>
      </c>
      <c r="T151" s="156">
        <f t="shared" si="80"/>
        <v>4.3525218523402132E-2</v>
      </c>
      <c r="U151" s="156">
        <f t="shared" si="80"/>
        <v>4.3923641598825863E-2</v>
      </c>
      <c r="V151" s="156">
        <f t="shared" si="80"/>
        <v>4.93360101389307E-2</v>
      </c>
      <c r="W151" s="156">
        <f t="shared" ref="W151:Y151" si="81">IF(W33=0,0,W33/W$17)</f>
        <v>4.5696127344850498E-2</v>
      </c>
      <c r="X151" s="156">
        <f t="shared" si="81"/>
        <v>4.4665737079919395E-2</v>
      </c>
      <c r="Y151" s="156">
        <f t="shared" si="81"/>
        <v>4.334017907339701E-2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2.1408250252159927E-4</v>
      </c>
      <c r="C152" s="103">
        <f t="shared" si="82"/>
        <v>2.0500689441810396E-4</v>
      </c>
      <c r="D152" s="103">
        <f t="shared" si="82"/>
        <v>1.8963721897751092E-4</v>
      </c>
      <c r="E152" s="103">
        <f t="shared" si="82"/>
        <v>1.8755299625195936E-4</v>
      </c>
      <c r="F152" s="103">
        <f t="shared" si="82"/>
        <v>1.7655706843706966E-4</v>
      </c>
      <c r="G152" s="103">
        <f t="shared" si="82"/>
        <v>1.7964588520573042E-4</v>
      </c>
      <c r="H152" s="103">
        <f t="shared" si="82"/>
        <v>1.5924159266307776E-4</v>
      </c>
      <c r="I152" s="103">
        <f t="shared" si="82"/>
        <v>1.4656436606324226E-4</v>
      </c>
      <c r="J152" s="103">
        <f t="shared" si="82"/>
        <v>1.3566522189808992E-4</v>
      </c>
      <c r="K152" s="103">
        <f t="shared" si="82"/>
        <v>1.2554244230888559E-4</v>
      </c>
      <c r="L152" s="103">
        <f t="shared" ref="L152" si="83">IF(L34=0,0,L34/L$17)</f>
        <v>1.1406708051830352E-4</v>
      </c>
      <c r="M152" s="103">
        <f t="shared" ref="M152:V152" si="84">IF(M34=0,0,M34/M$17)</f>
        <v>1.1036517170858625E-4</v>
      </c>
      <c r="N152" s="103">
        <f t="shared" si="84"/>
        <v>1.0909567397015534E-4</v>
      </c>
      <c r="O152" s="103">
        <f t="shared" si="84"/>
        <v>1.0323080792965024E-4</v>
      </c>
      <c r="P152" s="103">
        <f t="shared" si="84"/>
        <v>9.5268700302849385E-5</v>
      </c>
      <c r="Q152" s="103">
        <f t="shared" si="84"/>
        <v>9.1657698780388432E-5</v>
      </c>
      <c r="R152" s="103">
        <f t="shared" si="84"/>
        <v>8.9605998428605505E-5</v>
      </c>
      <c r="S152" s="103">
        <f t="shared" si="84"/>
        <v>8.7821986318238249E-5</v>
      </c>
      <c r="T152" s="103">
        <f t="shared" si="84"/>
        <v>8.6571485247286561E-5</v>
      </c>
      <c r="U152" s="103">
        <f t="shared" si="84"/>
        <v>8.6008078768596064E-5</v>
      </c>
      <c r="V152" s="103">
        <f t="shared" si="84"/>
        <v>9.6778815800501643E-5</v>
      </c>
      <c r="W152" s="103">
        <f t="shared" ref="W152:Y152" si="85">IF(W34=0,0,W34/W$17)</f>
        <v>8.4939149706312499E-5</v>
      </c>
      <c r="X152" s="103">
        <f t="shared" si="85"/>
        <v>8.3471299686101782E-5</v>
      </c>
      <c r="Y152" s="103">
        <f t="shared" si="85"/>
        <v>7.9437040099631208E-5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5.071414014759297E-2</v>
      </c>
      <c r="C153" s="103">
        <f t="shared" si="86"/>
        <v>4.8545436561981639E-2</v>
      </c>
      <c r="D153" s="103">
        <f t="shared" si="86"/>
        <v>4.7782023791949964E-2</v>
      </c>
      <c r="E153" s="103">
        <f t="shared" si="86"/>
        <v>4.6944402000280515E-2</v>
      </c>
      <c r="F153" s="103">
        <f t="shared" si="86"/>
        <v>4.5253133898058649E-2</v>
      </c>
      <c r="G153" s="103">
        <f t="shared" si="86"/>
        <v>4.5579400723199895E-2</v>
      </c>
      <c r="H153" s="103">
        <f t="shared" si="86"/>
        <v>4.3531557309690792E-2</v>
      </c>
      <c r="I153" s="103">
        <f t="shared" si="86"/>
        <v>4.1726752903714352E-2</v>
      </c>
      <c r="J153" s="103">
        <f t="shared" si="86"/>
        <v>4.2467227369053902E-2</v>
      </c>
      <c r="K153" s="103">
        <f t="shared" si="86"/>
        <v>4.2203238725593423E-2</v>
      </c>
      <c r="L153" s="103">
        <f t="shared" ref="L153" si="87">IF(L36=0,0,L36/L$17)</f>
        <v>4.227558443081407E-2</v>
      </c>
      <c r="M153" s="103">
        <f t="shared" ref="M153:V153" si="88">IF(M36=0,0,M36/M$17)</f>
        <v>4.147854344002317E-2</v>
      </c>
      <c r="N153" s="103">
        <f t="shared" si="88"/>
        <v>4.1464707404186792E-2</v>
      </c>
      <c r="O153" s="103">
        <f t="shared" si="88"/>
        <v>4.2440996954228448E-2</v>
      </c>
      <c r="P153" s="103">
        <f t="shared" si="88"/>
        <v>4.2465748030989604E-2</v>
      </c>
      <c r="Q153" s="103">
        <f t="shared" si="88"/>
        <v>4.2081026373012594E-2</v>
      </c>
      <c r="R153" s="103">
        <f t="shared" si="88"/>
        <v>4.0363534360764695E-2</v>
      </c>
      <c r="S153" s="103">
        <f t="shared" si="88"/>
        <v>4.2049469442941849E-2</v>
      </c>
      <c r="T153" s="103">
        <f t="shared" si="88"/>
        <v>4.3357297753749864E-2</v>
      </c>
      <c r="U153" s="103">
        <f t="shared" si="88"/>
        <v>4.3716545026466803E-2</v>
      </c>
      <c r="V153" s="103">
        <f t="shared" si="88"/>
        <v>4.898522798844783E-2</v>
      </c>
      <c r="W153" s="103">
        <f t="shared" ref="W153:Y153" si="89">IF(W36=0,0,W36/W$17)</f>
        <v>4.4551931906398341E-2</v>
      </c>
      <c r="X153" s="103">
        <f t="shared" si="89"/>
        <v>4.3465152580805931E-2</v>
      </c>
      <c r="Y153" s="103">
        <f t="shared" si="89"/>
        <v>4.1859416227804688E-2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1.1308900811030838E-5</v>
      </c>
      <c r="P155" s="103">
        <f t="shared" si="96"/>
        <v>1.4982499463293764E-5</v>
      </c>
      <c r="Q155" s="103">
        <f t="shared" si="96"/>
        <v>1.4222762024537899E-5</v>
      </c>
      <c r="R155" s="103">
        <f t="shared" si="96"/>
        <v>1.8301575503463217E-5</v>
      </c>
      <c r="S155" s="103">
        <f t="shared" si="96"/>
        <v>2.3767694643424204E-5</v>
      </c>
      <c r="T155" s="103">
        <f t="shared" si="96"/>
        <v>5.4751901923596434E-5</v>
      </c>
      <c r="U155" s="103">
        <f t="shared" si="96"/>
        <v>4.5908620372580802E-5</v>
      </c>
      <c r="V155" s="103">
        <f t="shared" si="96"/>
        <v>1.4541348182862493E-4</v>
      </c>
      <c r="W155" s="103">
        <f t="shared" ref="W155:Y155" si="97">IF(W39=0,0,W39/W$17)</f>
        <v>9.223517616474147E-4</v>
      </c>
      <c r="X155" s="103">
        <f t="shared" si="97"/>
        <v>9.2639992572034202E-4</v>
      </c>
      <c r="Y155" s="103">
        <f t="shared" si="97"/>
        <v>9.9572730229631891E-4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2.9395040336530697E-6</v>
      </c>
      <c r="C156" s="103">
        <f t="shared" si="98"/>
        <v>2.8382076275825575E-6</v>
      </c>
      <c r="D156" s="103">
        <f t="shared" si="98"/>
        <v>2.8376331049301717E-6</v>
      </c>
      <c r="E156" s="103">
        <f t="shared" si="98"/>
        <v>2.7767386067846097E-6</v>
      </c>
      <c r="F156" s="103">
        <f t="shared" si="98"/>
        <v>2.6708309308748657E-6</v>
      </c>
      <c r="G156" s="103">
        <f t="shared" si="98"/>
        <v>2.7036266225743019E-5</v>
      </c>
      <c r="H156" s="103">
        <f t="shared" si="98"/>
        <v>2.6434118231695282E-5</v>
      </c>
      <c r="I156" s="103">
        <f t="shared" si="98"/>
        <v>2.4407292684548207E-5</v>
      </c>
      <c r="J156" s="103">
        <f t="shared" si="98"/>
        <v>2.3089825407525192E-5</v>
      </c>
      <c r="K156" s="103">
        <f t="shared" si="98"/>
        <v>2.337320791903411E-5</v>
      </c>
      <c r="L156" s="103">
        <f t="shared" ref="L156" si="99">IF(L41=0,0,L41/L$17)</f>
        <v>2.2336811475328686E-5</v>
      </c>
      <c r="M156" s="103">
        <f t="shared" ref="M156:V156" si="100">IF(M41=0,0,M41/M$17)</f>
        <v>2.1442409129652803E-5</v>
      </c>
      <c r="N156" s="103">
        <f t="shared" si="100"/>
        <v>2.080727324495958E-5</v>
      </c>
      <c r="O156" s="103">
        <f t="shared" si="100"/>
        <v>2.1228893207611452E-5</v>
      </c>
      <c r="P156" s="103">
        <f t="shared" si="100"/>
        <v>2.3126950421952021E-5</v>
      </c>
      <c r="Q156" s="103">
        <f t="shared" si="100"/>
        <v>1.9636238591666843E-5</v>
      </c>
      <c r="R156" s="103">
        <f t="shared" si="100"/>
        <v>1.8202761677970695E-5</v>
      </c>
      <c r="S156" s="103">
        <f t="shared" si="100"/>
        <v>1.7284277030877624E-5</v>
      </c>
      <c r="T156" s="103">
        <f t="shared" si="100"/>
        <v>2.6597382481379122E-5</v>
      </c>
      <c r="U156" s="103">
        <f t="shared" si="100"/>
        <v>7.5179873217885159E-5</v>
      </c>
      <c r="V156" s="103">
        <f t="shared" si="100"/>
        <v>1.0858985285374981E-4</v>
      </c>
      <c r="W156" s="103">
        <f t="shared" ref="W156:Y156" si="101">IF(W41=0,0,W41/W$17)</f>
        <v>1.3690452709842445E-4</v>
      </c>
      <c r="X156" s="103">
        <f t="shared" si="101"/>
        <v>1.9071327370702079E-4</v>
      </c>
      <c r="Y156" s="103">
        <f t="shared" si="101"/>
        <v>4.0559850319636832E-4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0.26828832977107336</v>
      </c>
      <c r="C157" s="46">
        <f t="shared" si="102"/>
        <v>0.28427846400852275</v>
      </c>
      <c r="D157" s="46">
        <f t="shared" si="102"/>
        <v>0.29278166354790747</v>
      </c>
      <c r="E157" s="46">
        <f t="shared" si="102"/>
        <v>0.29156868260249413</v>
      </c>
      <c r="F157" s="46">
        <f t="shared" si="102"/>
        <v>0.31275290098986219</v>
      </c>
      <c r="G157" s="46">
        <f t="shared" si="102"/>
        <v>0.3226333724023856</v>
      </c>
      <c r="H157" s="46">
        <f t="shared" si="102"/>
        <v>0.32611000600813772</v>
      </c>
      <c r="I157" s="46">
        <f t="shared" si="102"/>
        <v>0.3255156588129704</v>
      </c>
      <c r="J157" s="46">
        <f t="shared" si="102"/>
        <v>0.31467384311027558</v>
      </c>
      <c r="K157" s="46">
        <f t="shared" si="102"/>
        <v>0.30648594085024233</v>
      </c>
      <c r="L157" s="46">
        <f t="shared" ref="L157" si="103">IF(L42=0,0,L42/L$17)</f>
        <v>0.31075719433271015</v>
      </c>
      <c r="M157" s="46">
        <f t="shared" ref="M157:V157" si="104">IF(M42=0,0,M42/M$17)</f>
        <v>0.30928055769965346</v>
      </c>
      <c r="N157" s="46">
        <f t="shared" si="104"/>
        <v>0.30727340104237888</v>
      </c>
      <c r="O157" s="46">
        <f t="shared" si="104"/>
        <v>0.31232851243711979</v>
      </c>
      <c r="P157" s="46">
        <f t="shared" si="104"/>
        <v>0.31252613865525225</v>
      </c>
      <c r="Q157" s="46">
        <f t="shared" si="104"/>
        <v>0.32872395675358407</v>
      </c>
      <c r="R157" s="46">
        <f t="shared" si="104"/>
        <v>0.34923884249195308</v>
      </c>
      <c r="S157" s="46">
        <f t="shared" si="104"/>
        <v>0.36085773135940769</v>
      </c>
      <c r="T157" s="46">
        <f t="shared" si="104"/>
        <v>0.3665137160841232</v>
      </c>
      <c r="U157" s="46">
        <f t="shared" si="104"/>
        <v>0.36731479797130906</v>
      </c>
      <c r="V157" s="46">
        <f t="shared" si="104"/>
        <v>0.38678223662659261</v>
      </c>
      <c r="W157" s="46">
        <f t="shared" ref="W157:Y157" si="105">IF(W42=0,0,W42/W$17)</f>
        <v>0.40908892025629845</v>
      </c>
      <c r="X157" s="46">
        <f t="shared" si="105"/>
        <v>0.39925555921435046</v>
      </c>
      <c r="Y157" s="46">
        <f t="shared" si="105"/>
        <v>0.40622887458032714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0.13525349489832095</v>
      </c>
      <c r="C158" s="154">
        <f t="shared" si="106"/>
        <v>0.13138779800377273</v>
      </c>
      <c r="D158" s="154">
        <f t="shared" si="106"/>
        <v>0.13650838036099611</v>
      </c>
      <c r="E158" s="154">
        <f t="shared" si="106"/>
        <v>0.13396157234122599</v>
      </c>
      <c r="F158" s="154">
        <f t="shared" si="106"/>
        <v>0.1374516408898506</v>
      </c>
      <c r="G158" s="154">
        <f t="shared" si="106"/>
        <v>0.1430523534794953</v>
      </c>
      <c r="H158" s="154">
        <f t="shared" si="106"/>
        <v>0.14140556094192042</v>
      </c>
      <c r="I158" s="154">
        <f t="shared" si="106"/>
        <v>0.14209789118320415</v>
      </c>
      <c r="J158" s="154">
        <f t="shared" si="106"/>
        <v>0.14123080999623594</v>
      </c>
      <c r="K158" s="154">
        <f t="shared" si="106"/>
        <v>0.13950913899345402</v>
      </c>
      <c r="L158" s="154">
        <f t="shared" ref="L158" si="107">IF(L43=0,0,L43/L$17)</f>
        <v>0.14000870447798724</v>
      </c>
      <c r="M158" s="154">
        <f t="shared" ref="M158:V158" si="108">IF(M43=0,0,M43/M$17)</f>
        <v>0.14074584375309657</v>
      </c>
      <c r="N158" s="154">
        <f t="shared" si="108"/>
        <v>0.14194997987618055</v>
      </c>
      <c r="O158" s="154">
        <f t="shared" si="108"/>
        <v>0.13674535442861285</v>
      </c>
      <c r="P158" s="154">
        <f t="shared" si="108"/>
        <v>0.13821230331015583</v>
      </c>
      <c r="Q158" s="154">
        <f t="shared" si="108"/>
        <v>0.13977945243490314</v>
      </c>
      <c r="R158" s="154">
        <f t="shared" si="108"/>
        <v>0.130448738573165</v>
      </c>
      <c r="S158" s="154">
        <f t="shared" si="108"/>
        <v>0.12275770000738052</v>
      </c>
      <c r="T158" s="154">
        <f t="shared" si="108"/>
        <v>0.12431376586348009</v>
      </c>
      <c r="U158" s="154">
        <f t="shared" si="108"/>
        <v>0.12473602617029823</v>
      </c>
      <c r="V158" s="154">
        <f t="shared" si="108"/>
        <v>0.12968506334194552</v>
      </c>
      <c r="W158" s="154">
        <f t="shared" ref="W158:Y158" si="109">IF(W43=0,0,W43/W$17)</f>
        <v>0.14734743859688784</v>
      </c>
      <c r="X158" s="154">
        <f t="shared" si="109"/>
        <v>0.14132486814847112</v>
      </c>
      <c r="Y158" s="154">
        <f t="shared" si="109"/>
        <v>0.14810985509595784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8.6306461904039084E-3</v>
      </c>
      <c r="C159" s="103">
        <f t="shared" si="110"/>
        <v>8.0158811067361346E-3</v>
      </c>
      <c r="D159" s="103">
        <f t="shared" si="110"/>
        <v>8.1953040389806907E-3</v>
      </c>
      <c r="E159" s="103">
        <f t="shared" si="110"/>
        <v>7.4085962370958047E-3</v>
      </c>
      <c r="F159" s="103">
        <f t="shared" si="110"/>
        <v>6.8658157261180588E-3</v>
      </c>
      <c r="G159" s="103">
        <f t="shared" si="110"/>
        <v>7.0043025625735438E-3</v>
      </c>
      <c r="H159" s="103">
        <f t="shared" si="110"/>
        <v>6.5645347935534663E-3</v>
      </c>
      <c r="I159" s="103">
        <f t="shared" si="110"/>
        <v>5.6149346037814955E-3</v>
      </c>
      <c r="J159" s="103">
        <f t="shared" si="110"/>
        <v>5.0752138364804902E-3</v>
      </c>
      <c r="K159" s="103">
        <f t="shared" si="110"/>
        <v>4.6199055200724171E-3</v>
      </c>
      <c r="L159" s="103">
        <f t="shared" ref="L159" si="111">IF(L44=0,0,L44/L$17)</f>
        <v>4.3908944871109325E-3</v>
      </c>
      <c r="M159" s="103">
        <f t="shared" ref="M159:V159" si="112">IF(M44=0,0,M44/M$17)</f>
        <v>4.197006017517187E-3</v>
      </c>
      <c r="N159" s="103">
        <f t="shared" si="112"/>
        <v>4.095377283726144E-3</v>
      </c>
      <c r="O159" s="103">
        <f t="shared" si="112"/>
        <v>3.7547638728331542E-3</v>
      </c>
      <c r="P159" s="103">
        <f t="shared" si="112"/>
        <v>3.3666998562606317E-3</v>
      </c>
      <c r="Q159" s="103">
        <f t="shared" si="112"/>
        <v>2.9506923341800083E-3</v>
      </c>
      <c r="R159" s="103">
        <f t="shared" si="112"/>
        <v>2.9826310170383563E-3</v>
      </c>
      <c r="S159" s="103">
        <f t="shared" si="112"/>
        <v>3.2699702999716591E-3</v>
      </c>
      <c r="T159" s="103">
        <f t="shared" si="112"/>
        <v>3.7590106155460604E-3</v>
      </c>
      <c r="U159" s="103">
        <f t="shared" si="112"/>
        <v>4.1528312736267749E-3</v>
      </c>
      <c r="V159" s="103">
        <f t="shared" si="112"/>
        <v>4.0471171108935949E-3</v>
      </c>
      <c r="W159" s="103">
        <f t="shared" ref="W159:Y159" si="113">IF(W44=0,0,W44/W$17)</f>
        <v>4.6459848322585118E-3</v>
      </c>
      <c r="X159" s="103">
        <f t="shared" si="113"/>
        <v>4.6154026385434258E-3</v>
      </c>
      <c r="Y159" s="103">
        <f t="shared" si="113"/>
        <v>4.80879903650801E-3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0.1207192337944199</v>
      </c>
      <c r="C160" s="103">
        <f t="shared" si="114"/>
        <v>0.11752830611800655</v>
      </c>
      <c r="D160" s="103">
        <f t="shared" si="114"/>
        <v>0.12230409511251236</v>
      </c>
      <c r="E160" s="103">
        <f t="shared" si="114"/>
        <v>0.1211853018421052</v>
      </c>
      <c r="F160" s="103">
        <f t="shared" si="114"/>
        <v>0.12546113466873732</v>
      </c>
      <c r="G160" s="103">
        <f t="shared" si="114"/>
        <v>0.13115567791260843</v>
      </c>
      <c r="H160" s="103">
        <f t="shared" si="114"/>
        <v>0.13035958934450995</v>
      </c>
      <c r="I160" s="103">
        <f t="shared" si="114"/>
        <v>0.13258865228657499</v>
      </c>
      <c r="J160" s="103">
        <f t="shared" si="114"/>
        <v>0.1327276002707872</v>
      </c>
      <c r="K160" s="103">
        <f t="shared" si="114"/>
        <v>0.13191842750186147</v>
      </c>
      <c r="L160" s="103">
        <f t="shared" ref="L160" si="115">IF(L46=0,0,L46/L$17)</f>
        <v>0.13303412344440965</v>
      </c>
      <c r="M160" s="103">
        <f t="shared" ref="M160:V160" si="116">IF(M46=0,0,M46/M$17)</f>
        <v>0.13397046058843573</v>
      </c>
      <c r="N160" s="103">
        <f t="shared" si="116"/>
        <v>0.13538062634173731</v>
      </c>
      <c r="O160" s="103">
        <f t="shared" si="116"/>
        <v>0.13096300572994279</v>
      </c>
      <c r="P160" s="103">
        <f t="shared" si="116"/>
        <v>0.13304207964389148</v>
      </c>
      <c r="Q160" s="103">
        <f t="shared" si="116"/>
        <v>0.13542162333259106</v>
      </c>
      <c r="R160" s="103">
        <f t="shared" si="116"/>
        <v>0.12616209315794016</v>
      </c>
      <c r="S160" s="103">
        <f t="shared" si="116"/>
        <v>0.11816771430561682</v>
      </c>
      <c r="T160" s="103">
        <f t="shared" si="116"/>
        <v>0.11919919567623838</v>
      </c>
      <c r="U160" s="103">
        <f t="shared" si="116"/>
        <v>0.11897067032386291</v>
      </c>
      <c r="V160" s="103">
        <f t="shared" si="116"/>
        <v>0.123419152784049</v>
      </c>
      <c r="W160" s="103">
        <f t="shared" ref="W160:Y160" si="117">IF(W46=0,0,W46/W$17)</f>
        <v>0.13979384491705743</v>
      </c>
      <c r="X160" s="103">
        <f t="shared" si="117"/>
        <v>0.13407789069445541</v>
      </c>
      <c r="Y160" s="103">
        <f t="shared" si="117"/>
        <v>0.14031039492749359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5.9036149134971509E-3</v>
      </c>
      <c r="C161" s="103">
        <f t="shared" si="118"/>
        <v>5.8436107790300392E-3</v>
      </c>
      <c r="D161" s="103">
        <f t="shared" si="118"/>
        <v>6.0089812095030686E-3</v>
      </c>
      <c r="E161" s="103">
        <f t="shared" si="118"/>
        <v>5.3676742620250026E-3</v>
      </c>
      <c r="F161" s="103">
        <f t="shared" si="118"/>
        <v>5.1246904949952057E-3</v>
      </c>
      <c r="G161" s="103">
        <f t="shared" si="118"/>
        <v>4.8923730043133268E-3</v>
      </c>
      <c r="H161" s="103">
        <f t="shared" si="118"/>
        <v>4.4814368038569932E-3</v>
      </c>
      <c r="I161" s="103">
        <f t="shared" si="118"/>
        <v>3.8943042928476744E-3</v>
      </c>
      <c r="J161" s="103">
        <f t="shared" si="118"/>
        <v>3.4174261805326E-3</v>
      </c>
      <c r="K161" s="103">
        <f t="shared" si="118"/>
        <v>2.9569622326652109E-3</v>
      </c>
      <c r="L161" s="103">
        <f t="shared" ref="L161" si="119">IF(L48=0,0,L48/L$17)</f>
        <v>2.5671591600152804E-3</v>
      </c>
      <c r="M161" s="103">
        <f t="shared" ref="M161:V161" si="120">IF(M48=0,0,M48/M$17)</f>
        <v>2.5630929777335099E-3</v>
      </c>
      <c r="N161" s="103">
        <f t="shared" si="120"/>
        <v>2.4317638501706674E-3</v>
      </c>
      <c r="O161" s="103">
        <f t="shared" si="120"/>
        <v>1.9756365457693483E-3</v>
      </c>
      <c r="P161" s="103">
        <f t="shared" si="120"/>
        <v>1.7229882676859563E-3</v>
      </c>
      <c r="Q161" s="103">
        <f t="shared" si="120"/>
        <v>1.2745708095647464E-3</v>
      </c>
      <c r="R161" s="103">
        <f t="shared" si="120"/>
        <v>1.1741290241563318E-3</v>
      </c>
      <c r="S161" s="103">
        <f t="shared" si="120"/>
        <v>1.1012897920647734E-3</v>
      </c>
      <c r="T161" s="103">
        <f t="shared" si="120"/>
        <v>1.0236526472119486E-3</v>
      </c>
      <c r="U161" s="103">
        <f t="shared" si="120"/>
        <v>9.410772652198319E-4</v>
      </c>
      <c r="V161" s="103">
        <f t="shared" si="120"/>
        <v>9.621176971436467E-4</v>
      </c>
      <c r="W161" s="103">
        <f t="shared" ref="W161:Y161" si="121">IF(W48=0,0,W48/W$17)</f>
        <v>1.0361483959575779E-3</v>
      </c>
      <c r="X161" s="103">
        <f t="shared" si="121"/>
        <v>9.5418520770391773E-4</v>
      </c>
      <c r="Y161" s="103">
        <f t="shared" si="121"/>
        <v>9.6171203136899007E-4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9.0261968897455585E-6</v>
      </c>
      <c r="K162" s="103">
        <f t="shared" si="122"/>
        <v>1.2200723438999246E-5</v>
      </c>
      <c r="L162" s="103">
        <f t="shared" ref="L162" si="123">IF(L49=0,0,L49/L$17)</f>
        <v>1.4842457286310101E-5</v>
      </c>
      <c r="M162" s="103">
        <f t="shared" ref="M162:V162" si="124">IF(M49=0,0,M49/M$17)</f>
        <v>1.3115167929085038E-5</v>
      </c>
      <c r="N162" s="103">
        <f t="shared" si="124"/>
        <v>3.2610245759095543E-5</v>
      </c>
      <c r="O162" s="103">
        <f t="shared" si="124"/>
        <v>3.9127321637569206E-5</v>
      </c>
      <c r="P162" s="103">
        <f t="shared" si="124"/>
        <v>6.5218217797224887E-5</v>
      </c>
      <c r="Q162" s="103">
        <f t="shared" si="124"/>
        <v>1.1621426535515144E-4</v>
      </c>
      <c r="R162" s="103">
        <f t="shared" si="124"/>
        <v>1.098830418015963E-4</v>
      </c>
      <c r="S162" s="103">
        <f t="shared" si="124"/>
        <v>1.9540675199508322E-4</v>
      </c>
      <c r="T162" s="103">
        <f t="shared" si="124"/>
        <v>3.0002563255549755E-4</v>
      </c>
      <c r="U162" s="103">
        <f t="shared" si="124"/>
        <v>6.2454243726558546E-4</v>
      </c>
      <c r="V162" s="103">
        <f t="shared" si="124"/>
        <v>1.1848560607503802E-3</v>
      </c>
      <c r="W162" s="103">
        <f t="shared" ref="W162:Y162" si="125">IF(W49=0,0,W49/W$17)</f>
        <v>1.7645987342340297E-3</v>
      </c>
      <c r="X162" s="103">
        <f t="shared" si="125"/>
        <v>1.4840733565238847E-3</v>
      </c>
      <c r="Y162" s="103">
        <f t="shared" si="125"/>
        <v>1.7813798856497519E-3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1.543511545916143E-6</v>
      </c>
      <c r="K163" s="103">
        <f t="shared" si="126"/>
        <v>1.6430154159052814E-6</v>
      </c>
      <c r="L163" s="103">
        <f t="shared" ref="L163" si="127">IF(L51=0,0,L51/L$17)</f>
        <v>1.6849291650776568E-6</v>
      </c>
      <c r="M163" s="103">
        <f t="shared" ref="M163:V163" si="128">IF(M51=0,0,M51/M$17)</f>
        <v>2.1690014810655714E-6</v>
      </c>
      <c r="N163" s="103">
        <f t="shared" si="128"/>
        <v>9.6021547873279582E-6</v>
      </c>
      <c r="O163" s="103">
        <f t="shared" si="128"/>
        <v>1.2820958429989133E-5</v>
      </c>
      <c r="P163" s="103">
        <f t="shared" si="128"/>
        <v>1.5317324520563561E-5</v>
      </c>
      <c r="Q163" s="103">
        <f t="shared" si="128"/>
        <v>1.6351693212186567E-5</v>
      </c>
      <c r="R163" s="103">
        <f t="shared" si="128"/>
        <v>2.0002332228534979E-5</v>
      </c>
      <c r="S163" s="103">
        <f t="shared" si="128"/>
        <v>2.3318857732205201E-5</v>
      </c>
      <c r="T163" s="103">
        <f t="shared" si="128"/>
        <v>3.1881291928215232E-5</v>
      </c>
      <c r="U163" s="103">
        <f t="shared" si="128"/>
        <v>4.6904870323090774E-5</v>
      </c>
      <c r="V163" s="103">
        <f t="shared" si="128"/>
        <v>7.1819689108885499E-5</v>
      </c>
      <c r="W163" s="103">
        <f t="shared" ref="W163:Y163" si="129">IF(W51=0,0,W51/W$17)</f>
        <v>1.0686171738028017E-4</v>
      </c>
      <c r="X163" s="103">
        <f t="shared" si="129"/>
        <v>1.9331625124448254E-4</v>
      </c>
      <c r="Y163" s="103">
        <f t="shared" si="129"/>
        <v>2.4756921493748811E-4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0.13303483487275242</v>
      </c>
      <c r="C164" s="156">
        <f t="shared" si="130"/>
        <v>0.15289066600475004</v>
      </c>
      <c r="D164" s="156">
        <f t="shared" si="130"/>
        <v>0.15627328318691133</v>
      </c>
      <c r="E164" s="156">
        <f t="shared" si="130"/>
        <v>0.15760711026126814</v>
      </c>
      <c r="F164" s="156">
        <f t="shared" si="130"/>
        <v>0.1753012601000116</v>
      </c>
      <c r="G164" s="156">
        <f t="shared" si="130"/>
        <v>0.1795810189228903</v>
      </c>
      <c r="H164" s="156">
        <f t="shared" si="130"/>
        <v>0.18470444506621733</v>
      </c>
      <c r="I164" s="156">
        <f t="shared" si="130"/>
        <v>0.18341776762976622</v>
      </c>
      <c r="J164" s="156">
        <f t="shared" si="130"/>
        <v>0.17344303311403964</v>
      </c>
      <c r="K164" s="156">
        <f t="shared" si="130"/>
        <v>0.16697680185678834</v>
      </c>
      <c r="L164" s="156">
        <f t="shared" ref="L164" si="131">IF(L52=0,0,L52/L$17)</f>
        <v>0.17074848985472291</v>
      </c>
      <c r="M164" s="156">
        <f t="shared" ref="M164:V164" si="132">IF(M52=0,0,M52/M$17)</f>
        <v>0.16853471394655695</v>
      </c>
      <c r="N164" s="156">
        <f t="shared" si="132"/>
        <v>0.16532342116619836</v>
      </c>
      <c r="O164" s="156">
        <f t="shared" si="132"/>
        <v>0.17558315800850696</v>
      </c>
      <c r="P164" s="156">
        <f t="shared" si="132"/>
        <v>0.17431383534509637</v>
      </c>
      <c r="Q164" s="156">
        <f t="shared" si="132"/>
        <v>0.18894450431868093</v>
      </c>
      <c r="R164" s="156">
        <f t="shared" si="132"/>
        <v>0.21879010391878809</v>
      </c>
      <c r="S164" s="156">
        <f t="shared" si="132"/>
        <v>0.23810003135202717</v>
      </c>
      <c r="T164" s="156">
        <f t="shared" si="132"/>
        <v>0.24219995022064317</v>
      </c>
      <c r="U164" s="156">
        <f t="shared" si="132"/>
        <v>0.24257877180101084</v>
      </c>
      <c r="V164" s="156">
        <f t="shared" si="132"/>
        <v>0.2570971732846471</v>
      </c>
      <c r="W164" s="156">
        <f t="shared" ref="W164:Y164" si="133">IF(W52=0,0,W52/W$17)</f>
        <v>0.26174148165941058</v>
      </c>
      <c r="X164" s="156">
        <f t="shared" si="133"/>
        <v>0.25793069106587929</v>
      </c>
      <c r="Y164" s="156">
        <f t="shared" si="133"/>
        <v>0.25811901948436938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7.5456681847582419E-2</v>
      </c>
      <c r="C165" s="104">
        <f t="shared" si="134"/>
        <v>8.7054737044531455E-2</v>
      </c>
      <c r="D165" s="104">
        <f t="shared" si="134"/>
        <v>8.7944011824040672E-2</v>
      </c>
      <c r="E165" s="104">
        <f t="shared" si="134"/>
        <v>8.4860442728826313E-2</v>
      </c>
      <c r="F165" s="104">
        <f t="shared" si="134"/>
        <v>8.9010528541914311E-2</v>
      </c>
      <c r="G165" s="104">
        <f t="shared" si="134"/>
        <v>8.6346785802134535E-2</v>
      </c>
      <c r="H165" s="104">
        <f t="shared" si="134"/>
        <v>8.8200672190416399E-2</v>
      </c>
      <c r="I165" s="104">
        <f t="shared" si="134"/>
        <v>8.5218401104913813E-2</v>
      </c>
      <c r="J165" s="104">
        <f t="shared" si="134"/>
        <v>7.2114177954732295E-2</v>
      </c>
      <c r="K165" s="104">
        <f t="shared" si="134"/>
        <v>7.0859160133994001E-2</v>
      </c>
      <c r="L165" s="104">
        <f t="shared" ref="L165" si="135">IF(L53=0,0,L53/L$17)</f>
        <v>7.2160002144908614E-2</v>
      </c>
      <c r="M165" s="104">
        <f t="shared" ref="M165:V165" si="136">IF(M53=0,0,M53/M$17)</f>
        <v>7.2453489855352229E-2</v>
      </c>
      <c r="N165" s="104">
        <f t="shared" si="136"/>
        <v>7.1217892676496489E-2</v>
      </c>
      <c r="O165" s="104">
        <f t="shared" si="136"/>
        <v>7.602012421826132E-2</v>
      </c>
      <c r="P165" s="104">
        <f t="shared" si="136"/>
        <v>7.6944513044778881E-2</v>
      </c>
      <c r="Q165" s="104">
        <f t="shared" si="136"/>
        <v>8.9117932049324597E-2</v>
      </c>
      <c r="R165" s="104">
        <f t="shared" si="136"/>
        <v>9.8124427268426684E-2</v>
      </c>
      <c r="S165" s="104">
        <f t="shared" si="136"/>
        <v>0.10647745920626643</v>
      </c>
      <c r="T165" s="104">
        <f t="shared" si="136"/>
        <v>0.10668505491998645</v>
      </c>
      <c r="U165" s="104">
        <f t="shared" si="136"/>
        <v>0.1102637237229598</v>
      </c>
      <c r="V165" s="104">
        <f t="shared" si="136"/>
        <v>0.11200540029494163</v>
      </c>
      <c r="W165" s="104">
        <f t="shared" ref="W165:Y165" si="137">IF(W53=0,0,W53/W$17)</f>
        <v>0.11856983142975812</v>
      </c>
      <c r="X165" s="104">
        <f t="shared" si="137"/>
        <v>0.12233185004549152</v>
      </c>
      <c r="Y165" s="104">
        <f t="shared" si="137"/>
        <v>0.12395391703433563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5.7578153025169998E-2</v>
      </c>
      <c r="C166" s="105">
        <f t="shared" si="138"/>
        <v>6.5835928960218573E-2</v>
      </c>
      <c r="D166" s="105">
        <f t="shared" si="138"/>
        <v>6.8329271362870675E-2</v>
      </c>
      <c r="E166" s="105">
        <f t="shared" si="138"/>
        <v>7.2746667532441828E-2</v>
      </c>
      <c r="F166" s="105">
        <f t="shared" si="138"/>
        <v>8.62907315580973E-2</v>
      </c>
      <c r="G166" s="105">
        <f t="shared" si="138"/>
        <v>9.3234233120755766E-2</v>
      </c>
      <c r="H166" s="105">
        <f t="shared" si="138"/>
        <v>9.6503772875800919E-2</v>
      </c>
      <c r="I166" s="105">
        <f t="shared" si="138"/>
        <v>9.8199366524852408E-2</v>
      </c>
      <c r="J166" s="105">
        <f t="shared" si="138"/>
        <v>0.10132885515930734</v>
      </c>
      <c r="K166" s="105">
        <f t="shared" si="138"/>
        <v>9.6117641722794328E-2</v>
      </c>
      <c r="L166" s="105">
        <f t="shared" ref="L166" si="139">IF(L55=0,0,L55/L$17)</f>
        <v>9.8588487709814279E-2</v>
      </c>
      <c r="M166" s="105">
        <f t="shared" ref="M166:V166" si="140">IF(M55=0,0,M55/M$17)</f>
        <v>9.6081224091204731E-2</v>
      </c>
      <c r="N166" s="105">
        <f t="shared" si="140"/>
        <v>9.4105528489701898E-2</v>
      </c>
      <c r="O166" s="105">
        <f t="shared" si="140"/>
        <v>9.9563033790245642E-2</v>
      </c>
      <c r="P166" s="105">
        <f t="shared" si="140"/>
        <v>9.7369322300317501E-2</v>
      </c>
      <c r="Q166" s="105">
        <f t="shared" si="140"/>
        <v>9.9826572269356317E-2</v>
      </c>
      <c r="R166" s="105">
        <f t="shared" si="140"/>
        <v>0.12066567665036139</v>
      </c>
      <c r="S166" s="105">
        <f t="shared" si="140"/>
        <v>0.13162257214576073</v>
      </c>
      <c r="T166" s="105">
        <f t="shared" si="140"/>
        <v>0.13551489530065672</v>
      </c>
      <c r="U166" s="105">
        <f t="shared" si="140"/>
        <v>0.13231504807805106</v>
      </c>
      <c r="V166" s="105">
        <f t="shared" si="140"/>
        <v>0.14509177298970546</v>
      </c>
      <c r="W166" s="105">
        <f t="shared" ref="W166:Y166" si="141">IF(W55=0,0,W55/W$17)</f>
        <v>0.14317165022965245</v>
      </c>
      <c r="X166" s="105">
        <f t="shared" si="141"/>
        <v>0.13559884102038783</v>
      </c>
      <c r="Y166" s="105">
        <f t="shared" si="141"/>
        <v>0.13416510245003377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23388.881546160002</v>
      </c>
      <c r="C4" s="146">
        <f t="shared" si="0"/>
        <v>24266.313550799998</v>
      </c>
      <c r="D4" s="146">
        <f t="shared" si="0"/>
        <v>24307.343456760002</v>
      </c>
      <c r="E4" s="146">
        <f t="shared" si="0"/>
        <v>24859.755813240001</v>
      </c>
      <c r="F4" s="146">
        <f t="shared" si="0"/>
        <v>25920.875230559999</v>
      </c>
      <c r="G4" s="146">
        <f t="shared" si="0"/>
        <v>25219.754790840001</v>
      </c>
      <c r="H4" s="146">
        <f t="shared" si="0"/>
        <v>25851.394798919999</v>
      </c>
      <c r="I4" s="146">
        <f t="shared" si="0"/>
        <v>26661.134585159998</v>
      </c>
      <c r="J4" s="146">
        <f t="shared" si="0"/>
        <v>26748.246277800001</v>
      </c>
      <c r="K4" s="146">
        <f t="shared" si="0"/>
        <v>26040.490464960003</v>
      </c>
      <c r="L4" s="146">
        <f t="shared" ref="L4" si="1">L5+L9+L10+L15</f>
        <v>25146.029657519997</v>
      </c>
      <c r="M4" s="146">
        <f t="shared" ref="M4:V4" si="2">M5+M9+M10+M15</f>
        <v>24782.7810402</v>
      </c>
      <c r="N4" s="146">
        <f t="shared" si="2"/>
        <v>24026.747682599998</v>
      </c>
      <c r="O4" s="146">
        <f t="shared" si="2"/>
        <v>23553.221725439998</v>
      </c>
      <c r="P4" s="146">
        <f t="shared" si="2"/>
        <v>23872.055960519996</v>
      </c>
      <c r="Q4" s="146">
        <f t="shared" si="2"/>
        <v>25512.925067999997</v>
      </c>
      <c r="R4" s="146">
        <f t="shared" si="2"/>
        <v>25220.41521372</v>
      </c>
      <c r="S4" s="146">
        <f t="shared" si="2"/>
        <v>24625.513054080002</v>
      </c>
      <c r="T4" s="146">
        <f t="shared" si="2"/>
        <v>24715.546916991654</v>
      </c>
      <c r="U4" s="146">
        <f t="shared" si="2"/>
        <v>24422.547290649087</v>
      </c>
      <c r="V4" s="146">
        <f t="shared" si="2"/>
        <v>20449.729331592345</v>
      </c>
      <c r="W4" s="146">
        <f t="shared" ref="W4:Y4" si="3">W5+W9+W10+W15</f>
        <v>22595.145685177009</v>
      </c>
      <c r="X4" s="146">
        <f t="shared" si="3"/>
        <v>22773.780521531706</v>
      </c>
      <c r="Y4" s="146">
        <f t="shared" si="3"/>
        <v>23211.403438780137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23388.881546160002</v>
      </c>
      <c r="C5" s="101">
        <f t="shared" si="4"/>
        <v>24266.313550799998</v>
      </c>
      <c r="D5" s="101">
        <f t="shared" si="4"/>
        <v>24307.343456760002</v>
      </c>
      <c r="E5" s="101">
        <f t="shared" si="4"/>
        <v>24859.755813240001</v>
      </c>
      <c r="F5" s="101">
        <f t="shared" si="4"/>
        <v>25920.196443000001</v>
      </c>
      <c r="G5" s="101">
        <f t="shared" si="4"/>
        <v>25219.020262320002</v>
      </c>
      <c r="H5" s="101">
        <f t="shared" si="4"/>
        <v>25850.700864359998</v>
      </c>
      <c r="I5" s="101">
        <f t="shared" si="4"/>
        <v>26660.435601599998</v>
      </c>
      <c r="J5" s="101">
        <f t="shared" si="4"/>
        <v>26747.668672200001</v>
      </c>
      <c r="K5" s="101">
        <f t="shared" si="4"/>
        <v>26039.973649320003</v>
      </c>
      <c r="L5" s="101">
        <f t="shared" ref="L5" si="5">SUM(L6:L8)</f>
        <v>25145.492645879996</v>
      </c>
      <c r="M5" s="101">
        <f t="shared" ref="M5:V5" si="6">SUM(M6:M8)</f>
        <v>24782.223832560001</v>
      </c>
      <c r="N5" s="101">
        <f t="shared" si="6"/>
        <v>24025.486240439997</v>
      </c>
      <c r="O5" s="101">
        <f t="shared" si="6"/>
        <v>23551.00279092</v>
      </c>
      <c r="P5" s="101">
        <f t="shared" si="6"/>
        <v>23867.582748479996</v>
      </c>
      <c r="Q5" s="101">
        <f t="shared" si="6"/>
        <v>25504.525955519995</v>
      </c>
      <c r="R5" s="101">
        <f t="shared" si="6"/>
        <v>25206.20046108</v>
      </c>
      <c r="S5" s="101">
        <f t="shared" si="6"/>
        <v>24603.750248400003</v>
      </c>
      <c r="T5" s="101">
        <f t="shared" si="6"/>
        <v>24678.946418399999</v>
      </c>
      <c r="U5" s="101">
        <f t="shared" si="6"/>
        <v>24353.237824199998</v>
      </c>
      <c r="V5" s="101">
        <f t="shared" si="6"/>
        <v>20337.601548959999</v>
      </c>
      <c r="W5" s="101">
        <f t="shared" ref="W5:Y5" si="7">SUM(W6:W8)</f>
        <v>22420.705645799997</v>
      </c>
      <c r="X5" s="101">
        <f t="shared" si="7"/>
        <v>22624.623004319998</v>
      </c>
      <c r="Y5" s="101">
        <f t="shared" si="7"/>
        <v>23045.10015708</v>
      </c>
      <c r="DA5" s="175"/>
    </row>
    <row r="6" spans="1:105" ht="11.45" customHeight="1" x14ac:dyDescent="0.25">
      <c r="A6" s="128" t="s">
        <v>52</v>
      </c>
      <c r="B6" s="101">
        <v>258.33134952</v>
      </c>
      <c r="C6" s="101">
        <v>296.06512428000002</v>
      </c>
      <c r="D6" s="101">
        <v>269.94172428000013</v>
      </c>
      <c r="E6" s="101">
        <v>240.91590096000004</v>
      </c>
      <c r="F6" s="101">
        <v>232.20794952</v>
      </c>
      <c r="G6" s="101">
        <v>220.59757476000004</v>
      </c>
      <c r="H6" s="101">
        <v>211.88985048000004</v>
      </c>
      <c r="I6" s="101">
        <v>182.86380000000003</v>
      </c>
      <c r="J6" s="101">
        <v>168.35077476000004</v>
      </c>
      <c r="K6" s="101">
        <v>153.83774952000002</v>
      </c>
      <c r="L6" s="101">
        <v>139.32472428</v>
      </c>
      <c r="M6" s="101">
        <v>145.13002524000001</v>
      </c>
      <c r="N6" s="101">
        <v>139.32472428</v>
      </c>
      <c r="O6" s="101">
        <v>121.90927572000002</v>
      </c>
      <c r="P6" s="101">
        <v>127.71434951999998</v>
      </c>
      <c r="Q6" s="101">
        <v>168.35077476000004</v>
      </c>
      <c r="R6" s="101">
        <v>171.25342524000001</v>
      </c>
      <c r="S6" s="101">
        <v>155.28907476000001</v>
      </c>
      <c r="T6" s="101">
        <v>145.71041903999998</v>
      </c>
      <c r="U6" s="101">
        <v>144.54940428</v>
      </c>
      <c r="V6" s="101">
        <v>128.04055128000002</v>
      </c>
      <c r="W6" s="101">
        <v>127.14531372000002</v>
      </c>
      <c r="X6" s="101">
        <v>127.74206304000003</v>
      </c>
      <c r="Y6" s="101">
        <v>135.20381472000003</v>
      </c>
      <c r="DA6" s="175" t="s">
        <v>741</v>
      </c>
    </row>
    <row r="7" spans="1:105" ht="11.45" customHeight="1" x14ac:dyDescent="0.25">
      <c r="A7" s="128" t="s">
        <v>53</v>
      </c>
      <c r="B7" s="101">
        <v>6741.17138772</v>
      </c>
      <c r="C7" s="101">
        <v>6561.2686154400008</v>
      </c>
      <c r="D7" s="101">
        <v>6259.092701399999</v>
      </c>
      <c r="E7" s="101">
        <v>6313.3685722799992</v>
      </c>
      <c r="F7" s="101">
        <v>5785.2471045599996</v>
      </c>
      <c r="G7" s="101">
        <v>5360.8407386399995</v>
      </c>
      <c r="H7" s="101">
        <v>4978.4712249599997</v>
      </c>
      <c r="I7" s="101">
        <v>4699.774372679999</v>
      </c>
      <c r="J7" s="101">
        <v>4302.7683663599992</v>
      </c>
      <c r="K7" s="101">
        <v>4075.392543840002</v>
      </c>
      <c r="L7" s="101">
        <v>3630.0934465199994</v>
      </c>
      <c r="M7" s="101">
        <v>3474.971522639999</v>
      </c>
      <c r="N7" s="101">
        <v>3385.1574752400002</v>
      </c>
      <c r="O7" s="101">
        <v>3378.270182400001</v>
      </c>
      <c r="P7" s="101">
        <v>3632.3356247999982</v>
      </c>
      <c r="Q7" s="101">
        <v>3860.6627145599991</v>
      </c>
      <c r="R7" s="101">
        <v>4173.913295280001</v>
      </c>
      <c r="S7" s="101">
        <v>4176.1096664400011</v>
      </c>
      <c r="T7" s="101">
        <v>4675.51169424</v>
      </c>
      <c r="U7" s="101">
        <v>5246.6727031199998</v>
      </c>
      <c r="V7" s="101">
        <v>4343.9281023599997</v>
      </c>
      <c r="W7" s="101">
        <v>5296.8610353599997</v>
      </c>
      <c r="X7" s="101">
        <v>6033.9219883199994</v>
      </c>
      <c r="Y7" s="101">
        <v>6563.7662651999999</v>
      </c>
      <c r="DA7" s="175" t="s">
        <v>742</v>
      </c>
    </row>
    <row r="8" spans="1:105" ht="11.45" customHeight="1" x14ac:dyDescent="0.25">
      <c r="A8" s="128" t="s">
        <v>54</v>
      </c>
      <c r="B8" s="101">
        <v>16389.378808920002</v>
      </c>
      <c r="C8" s="101">
        <v>17408.979811079997</v>
      </c>
      <c r="D8" s="101">
        <v>17778.309031080003</v>
      </c>
      <c r="E8" s="101">
        <v>18305.47134</v>
      </c>
      <c r="F8" s="101">
        <v>19902.74138892</v>
      </c>
      <c r="G8" s="101">
        <v>19637.58194892</v>
      </c>
      <c r="H8" s="101">
        <v>20660.339788919999</v>
      </c>
      <c r="I8" s="101">
        <v>21777.797428919999</v>
      </c>
      <c r="J8" s="101">
        <v>22276.549531080003</v>
      </c>
      <c r="K8" s="101">
        <v>21810.743355959999</v>
      </c>
      <c r="L8" s="101">
        <v>21376.074475079997</v>
      </c>
      <c r="M8" s="101">
        <v>21162.122284680001</v>
      </c>
      <c r="N8" s="101">
        <v>20501.004040919997</v>
      </c>
      <c r="O8" s="101">
        <v>20050.823332799999</v>
      </c>
      <c r="P8" s="101">
        <v>20107.532774159998</v>
      </c>
      <c r="Q8" s="101">
        <v>21475.512466199998</v>
      </c>
      <c r="R8" s="101">
        <v>20861.033740559997</v>
      </c>
      <c r="S8" s="101">
        <v>20272.351507200001</v>
      </c>
      <c r="T8" s="101">
        <v>19857.724305119998</v>
      </c>
      <c r="U8" s="101">
        <v>18962.015716799997</v>
      </c>
      <c r="V8" s="101">
        <v>15865.632895320001</v>
      </c>
      <c r="W8" s="101">
        <v>16996.699296719999</v>
      </c>
      <c r="X8" s="101">
        <v>16462.958952959998</v>
      </c>
      <c r="Y8" s="101">
        <v>16346.130077159998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0.67878756000000018</v>
      </c>
      <c r="G9" s="101">
        <v>0.73452852000000013</v>
      </c>
      <c r="H9" s="101">
        <v>0.6939345600000002</v>
      </c>
      <c r="I9" s="101">
        <v>0.69898356000000006</v>
      </c>
      <c r="J9" s="101">
        <v>0.57760560000000005</v>
      </c>
      <c r="K9" s="101">
        <v>0.51681564000000013</v>
      </c>
      <c r="L9" s="101">
        <v>0.53701164000000001</v>
      </c>
      <c r="M9" s="101">
        <v>0.55720763999999989</v>
      </c>
      <c r="N9" s="101">
        <v>1.2614421600000003</v>
      </c>
      <c r="O9" s="101">
        <v>2.2189345200000004</v>
      </c>
      <c r="P9" s="101">
        <v>4.4732120399999999</v>
      </c>
      <c r="Q9" s="101">
        <v>8.3991124800000012</v>
      </c>
      <c r="R9" s="101">
        <v>14.21475264</v>
      </c>
      <c r="S9" s="101">
        <v>21.762805680000003</v>
      </c>
      <c r="T9" s="101">
        <v>36.600498591654961</v>
      </c>
      <c r="U9" s="101">
        <v>69.309466449089342</v>
      </c>
      <c r="V9" s="101">
        <v>112.12778263234429</v>
      </c>
      <c r="W9" s="101">
        <v>174.44003937701146</v>
      </c>
      <c r="X9" s="101">
        <v>149.15751721170832</v>
      </c>
      <c r="Y9" s="101">
        <v>166.30328170013624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23388.881546160002</v>
      </c>
      <c r="C17" s="79">
        <f t="shared" si="12"/>
        <v>24266.31355079999</v>
      </c>
      <c r="D17" s="79">
        <f t="shared" si="12"/>
        <v>24307.343456759998</v>
      </c>
      <c r="E17" s="79">
        <f t="shared" si="12"/>
        <v>24859.755813239997</v>
      </c>
      <c r="F17" s="79">
        <f t="shared" si="12"/>
        <v>25920.875230559999</v>
      </c>
      <c r="G17" s="79">
        <f t="shared" si="12"/>
        <v>25219.754790840001</v>
      </c>
      <c r="H17" s="79">
        <f t="shared" si="12"/>
        <v>25851.394798920002</v>
      </c>
      <c r="I17" s="79">
        <f t="shared" si="12"/>
        <v>26661.134585160002</v>
      </c>
      <c r="J17" s="79">
        <f t="shared" si="12"/>
        <v>26748.246277800004</v>
      </c>
      <c r="K17" s="79">
        <f t="shared" si="12"/>
        <v>26040.490464959999</v>
      </c>
      <c r="L17" s="79">
        <f t="shared" ref="L17" si="13">SUM(L18,L33)</f>
        <v>25146.029657519997</v>
      </c>
      <c r="M17" s="79">
        <f t="shared" ref="M17:V17" si="14">SUM(M18,M33)</f>
        <v>24782.7810402</v>
      </c>
      <c r="N17" s="79">
        <f t="shared" si="14"/>
        <v>24026.747682599995</v>
      </c>
      <c r="O17" s="79">
        <f t="shared" si="14"/>
        <v>23553.221725439995</v>
      </c>
      <c r="P17" s="79">
        <f t="shared" si="14"/>
        <v>23872.055960519996</v>
      </c>
      <c r="Q17" s="79">
        <f t="shared" si="14"/>
        <v>25512.925067999997</v>
      </c>
      <c r="R17" s="79">
        <f t="shared" si="14"/>
        <v>25220.41521372</v>
      </c>
      <c r="S17" s="79">
        <f t="shared" si="14"/>
        <v>24625.513054080002</v>
      </c>
      <c r="T17" s="79">
        <f t="shared" si="14"/>
        <v>24715.546916991651</v>
      </c>
      <c r="U17" s="79">
        <f t="shared" si="14"/>
        <v>24422.54729064909</v>
      </c>
      <c r="V17" s="79">
        <f t="shared" si="14"/>
        <v>20449.729331592345</v>
      </c>
      <c r="W17" s="79">
        <f t="shared" ref="W17:Y17" si="15">SUM(W18,W33)</f>
        <v>22595.145685177013</v>
      </c>
      <c r="X17" s="79">
        <f t="shared" si="15"/>
        <v>22773.780521531706</v>
      </c>
      <c r="Y17" s="79">
        <f t="shared" si="15"/>
        <v>23211.403438780133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17010.8557558539</v>
      </c>
      <c r="C18" s="32">
        <f t="shared" si="16"/>
        <v>17258.390265149716</v>
      </c>
      <c r="D18" s="32">
        <f t="shared" si="16"/>
        <v>17085.141626173605</v>
      </c>
      <c r="E18" s="32">
        <f t="shared" si="16"/>
        <v>17504.014989361043</v>
      </c>
      <c r="F18" s="32">
        <f t="shared" si="16"/>
        <v>17707.752599420721</v>
      </c>
      <c r="G18" s="32">
        <f t="shared" si="16"/>
        <v>16980.793713970706</v>
      </c>
      <c r="H18" s="32">
        <f t="shared" si="16"/>
        <v>17324.842758265855</v>
      </c>
      <c r="I18" s="32">
        <f t="shared" si="16"/>
        <v>17891.372607991754</v>
      </c>
      <c r="J18" s="32">
        <f t="shared" si="16"/>
        <v>18250.75963108235</v>
      </c>
      <c r="K18" s="32">
        <f t="shared" si="16"/>
        <v>17986.105350641916</v>
      </c>
      <c r="L18" s="32">
        <f t="shared" ref="L18" si="17">SUM(L19,L20,L27)</f>
        <v>17262.359918339844</v>
      </c>
      <c r="M18" s="32">
        <f t="shared" ref="M18:V18" si="18">SUM(M19,M20,M27)</f>
        <v>17049.035118438147</v>
      </c>
      <c r="N18" s="32">
        <f t="shared" si="18"/>
        <v>16578.514984065463</v>
      </c>
      <c r="O18" s="32">
        <f t="shared" si="18"/>
        <v>16129.756840297398</v>
      </c>
      <c r="P18" s="32">
        <f t="shared" si="18"/>
        <v>16367.376552922577</v>
      </c>
      <c r="Q18" s="32">
        <f t="shared" si="18"/>
        <v>17040.479956906904</v>
      </c>
      <c r="R18" s="32">
        <f t="shared" si="18"/>
        <v>16350.95139783983</v>
      </c>
      <c r="S18" s="32">
        <f t="shared" si="18"/>
        <v>15618.568642542175</v>
      </c>
      <c r="T18" s="32">
        <f t="shared" si="18"/>
        <v>15510.76500774932</v>
      </c>
      <c r="U18" s="32">
        <f t="shared" si="18"/>
        <v>15282.835149401304</v>
      </c>
      <c r="V18" s="32">
        <f t="shared" si="18"/>
        <v>12442.235739084632</v>
      </c>
      <c r="W18" s="32">
        <f t="shared" ref="W18:Y18" si="19">SUM(W19,W20,W27)</f>
        <v>13207.555136372566</v>
      </c>
      <c r="X18" s="32">
        <f t="shared" si="19"/>
        <v>13536.811556131004</v>
      </c>
      <c r="Y18" s="32">
        <f t="shared" si="19"/>
        <v>13579.538587266936</v>
      </c>
      <c r="DA18" s="173" t="s">
        <v>403</v>
      </c>
    </row>
    <row r="19" spans="1:105" ht="11.45" customHeight="1" x14ac:dyDescent="0.25">
      <c r="A19" s="136" t="s">
        <v>173</v>
      </c>
      <c r="B19" s="141">
        <v>174.22273110231521</v>
      </c>
      <c r="C19" s="141">
        <v>180.53376706850392</v>
      </c>
      <c r="D19" s="141">
        <v>188.75968239730966</v>
      </c>
      <c r="E19" s="141">
        <v>195.2008140494867</v>
      </c>
      <c r="F19" s="141">
        <v>196.31498008078532</v>
      </c>
      <c r="G19" s="141">
        <v>187.46556579610149</v>
      </c>
      <c r="H19" s="141">
        <v>192.51121163050414</v>
      </c>
      <c r="I19" s="141">
        <v>197.95023202498353</v>
      </c>
      <c r="J19" s="141">
        <v>195.90708533358605</v>
      </c>
      <c r="K19" s="141">
        <v>187.66411474802993</v>
      </c>
      <c r="L19" s="141">
        <v>171.63266884109012</v>
      </c>
      <c r="M19" s="141">
        <v>168.91603842788416</v>
      </c>
      <c r="N19" s="141">
        <v>161.3312036926844</v>
      </c>
      <c r="O19" s="141">
        <v>153.25060839711648</v>
      </c>
      <c r="P19" s="141">
        <v>162.2066079126991</v>
      </c>
      <c r="Q19" s="141">
        <v>159.08687317839579</v>
      </c>
      <c r="R19" s="141">
        <v>154.32813995833206</v>
      </c>
      <c r="S19" s="141">
        <v>142.78179832281614</v>
      </c>
      <c r="T19" s="141">
        <v>136.25635951467103</v>
      </c>
      <c r="U19" s="141">
        <v>145.02721913170146</v>
      </c>
      <c r="V19" s="141">
        <v>123.27722996269864</v>
      </c>
      <c r="W19" s="141">
        <v>134.15992029193092</v>
      </c>
      <c r="X19" s="141">
        <v>137.5653397268137</v>
      </c>
      <c r="Y19" s="141">
        <v>148.44601576134096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15619.733774362385</v>
      </c>
      <c r="C20" s="130">
        <f t="shared" si="20"/>
        <v>15870.517255282211</v>
      </c>
      <c r="D20" s="130">
        <f t="shared" si="20"/>
        <v>15707.564814644173</v>
      </c>
      <c r="E20" s="130">
        <f t="shared" si="20"/>
        <v>16114.840054059368</v>
      </c>
      <c r="F20" s="130">
        <f t="shared" si="20"/>
        <v>16314.105564686475</v>
      </c>
      <c r="G20" s="130">
        <f t="shared" si="20"/>
        <v>15620.806692044178</v>
      </c>
      <c r="H20" s="130">
        <f t="shared" si="20"/>
        <v>15986.419460374736</v>
      </c>
      <c r="I20" s="130">
        <f t="shared" si="20"/>
        <v>16562.290993457744</v>
      </c>
      <c r="J20" s="130">
        <f t="shared" si="20"/>
        <v>16901.559159087094</v>
      </c>
      <c r="K20" s="130">
        <f t="shared" si="20"/>
        <v>16683.734949423728</v>
      </c>
      <c r="L20" s="130">
        <f t="shared" ref="L20" si="21">SUM(L21:L26)</f>
        <v>16013.536266071042</v>
      </c>
      <c r="M20" s="130">
        <f t="shared" ref="M20:V20" si="22">SUM(M21:M26)</f>
        <v>15838.422616889613</v>
      </c>
      <c r="N20" s="130">
        <f t="shared" si="22"/>
        <v>15407.802139934436</v>
      </c>
      <c r="O20" s="130">
        <f t="shared" si="22"/>
        <v>14963.695886004029</v>
      </c>
      <c r="P20" s="130">
        <f t="shared" si="22"/>
        <v>15181.873380312694</v>
      </c>
      <c r="Q20" s="130">
        <f t="shared" si="22"/>
        <v>15793.040704977109</v>
      </c>
      <c r="R20" s="130">
        <f t="shared" si="22"/>
        <v>15168.171303928899</v>
      </c>
      <c r="S20" s="130">
        <f t="shared" si="22"/>
        <v>14422.545156740263</v>
      </c>
      <c r="T20" s="130">
        <f t="shared" si="22"/>
        <v>14281.075928044063</v>
      </c>
      <c r="U20" s="130">
        <f t="shared" si="22"/>
        <v>14045.414674341288</v>
      </c>
      <c r="V20" s="130">
        <f t="shared" si="22"/>
        <v>11299.102212958212</v>
      </c>
      <c r="W20" s="130">
        <f t="shared" ref="W20:Y20" si="23">SUM(W21:W26)</f>
        <v>12029.717509629601</v>
      </c>
      <c r="X20" s="130">
        <f t="shared" si="23"/>
        <v>12372.075003753393</v>
      </c>
      <c r="Y20" s="130">
        <f t="shared" si="23"/>
        <v>12414.976702720789</v>
      </c>
      <c r="DA20" s="176" t="s">
        <v>405</v>
      </c>
    </row>
    <row r="21" spans="1:105" ht="11.45" customHeight="1" x14ac:dyDescent="0.25">
      <c r="A21" s="111" t="s">
        <v>110</v>
      </c>
      <c r="B21" s="96">
        <v>6369.2453559559153</v>
      </c>
      <c r="C21" s="96">
        <v>6190.2752675884412</v>
      </c>
      <c r="D21" s="96">
        <v>5875.9507828858341</v>
      </c>
      <c r="E21" s="96">
        <v>5938.1563884342586</v>
      </c>
      <c r="F21" s="96">
        <v>5415.304744515136</v>
      </c>
      <c r="G21" s="96">
        <v>5001.1718417152297</v>
      </c>
      <c r="H21" s="96">
        <v>4620.9911928884658</v>
      </c>
      <c r="I21" s="96">
        <v>4356.2329907426019</v>
      </c>
      <c r="J21" s="96">
        <v>3974.9057557969104</v>
      </c>
      <c r="K21" s="96">
        <v>3770.6146864971661</v>
      </c>
      <c r="L21" s="96">
        <v>3351.3947268139486</v>
      </c>
      <c r="M21" s="96">
        <v>3205.3810732928387</v>
      </c>
      <c r="N21" s="96">
        <v>3128.2926810279773</v>
      </c>
      <c r="O21" s="96">
        <v>3138.979188222118</v>
      </c>
      <c r="P21" s="96">
        <v>3389.5542100414691</v>
      </c>
      <c r="Q21" s="96">
        <v>3625.2472990894889</v>
      </c>
      <c r="R21" s="96">
        <v>3935.8779399016012</v>
      </c>
      <c r="S21" s="96">
        <v>3939.5272124351336</v>
      </c>
      <c r="T21" s="96">
        <v>4425.5450654219494</v>
      </c>
      <c r="U21" s="96">
        <v>4973.4369268689334</v>
      </c>
      <c r="V21" s="96">
        <v>4100.5771260260008</v>
      </c>
      <c r="W21" s="96">
        <v>4995.4965978157798</v>
      </c>
      <c r="X21" s="96">
        <v>5698.4778723758436</v>
      </c>
      <c r="Y21" s="96">
        <v>6185.0572558364565</v>
      </c>
      <c r="DA21" s="171" t="s">
        <v>751</v>
      </c>
    </row>
    <row r="22" spans="1:105" ht="11.45" customHeight="1" x14ac:dyDescent="0.25">
      <c r="A22" s="111" t="s">
        <v>111</v>
      </c>
      <c r="B22" s="96">
        <v>9112.3125398440043</v>
      </c>
      <c r="C22" s="96">
        <v>9507.4480279221443</v>
      </c>
      <c r="D22" s="96">
        <v>9688.511515007347</v>
      </c>
      <c r="E22" s="96">
        <v>10051.589142156117</v>
      </c>
      <c r="F22" s="96">
        <v>10780.957816403736</v>
      </c>
      <c r="G22" s="96">
        <v>10505.081530829206</v>
      </c>
      <c r="H22" s="96">
        <v>11252.957892857403</v>
      </c>
      <c r="I22" s="96">
        <v>12112.096695344932</v>
      </c>
      <c r="J22" s="96">
        <v>12836.705398250031</v>
      </c>
      <c r="K22" s="96">
        <v>12826.414232926822</v>
      </c>
      <c r="L22" s="96">
        <v>12580.628358255137</v>
      </c>
      <c r="M22" s="96">
        <v>12544.669376019652</v>
      </c>
      <c r="N22" s="96">
        <v>12191.964738489016</v>
      </c>
      <c r="O22" s="96">
        <v>11743.254508255772</v>
      </c>
      <c r="P22" s="96">
        <v>11698.385396595815</v>
      </c>
      <c r="Q22" s="96">
        <v>12019.786470086789</v>
      </c>
      <c r="R22" s="96">
        <v>11067.770079740762</v>
      </c>
      <c r="S22" s="96">
        <v>10319.230488662553</v>
      </c>
      <c r="T22" s="96">
        <v>9679.1933196245191</v>
      </c>
      <c r="U22" s="96">
        <v>8862.0491942142253</v>
      </c>
      <c r="V22" s="96">
        <v>6962.6439305212598</v>
      </c>
      <c r="W22" s="96">
        <v>6743.8725336388543</v>
      </c>
      <c r="X22" s="96">
        <v>6372.7021304783184</v>
      </c>
      <c r="Y22" s="96">
        <v>5888.2478810087514</v>
      </c>
      <c r="DA22" s="171" t="s">
        <v>752</v>
      </c>
    </row>
    <row r="23" spans="1:105" ht="11.45" customHeight="1" x14ac:dyDescent="0.25">
      <c r="A23" s="111" t="s">
        <v>112</v>
      </c>
      <c r="B23" s="96">
        <v>138.1758785624649</v>
      </c>
      <c r="C23" s="96">
        <v>172.79395977162531</v>
      </c>
      <c r="D23" s="96">
        <v>143.10251675099218</v>
      </c>
      <c r="E23" s="96">
        <v>125.0945234689942</v>
      </c>
      <c r="F23" s="96">
        <v>117.16421620760246</v>
      </c>
      <c r="G23" s="96">
        <v>113.8187909797423</v>
      </c>
      <c r="H23" s="96">
        <v>111.77644006886678</v>
      </c>
      <c r="I23" s="96">
        <v>93.262323810211043</v>
      </c>
      <c r="J23" s="96">
        <v>89.555428410159465</v>
      </c>
      <c r="K23" s="96">
        <v>86.436467300523731</v>
      </c>
      <c r="L23" s="96">
        <v>81.274563263795145</v>
      </c>
      <c r="M23" s="96">
        <v>88.064899677474799</v>
      </c>
      <c r="N23" s="96">
        <v>86.773208295803329</v>
      </c>
      <c r="O23" s="96">
        <v>80.030278858542729</v>
      </c>
      <c r="P23" s="96">
        <v>90.374815443604206</v>
      </c>
      <c r="Q23" s="96">
        <v>139.4511155404812</v>
      </c>
      <c r="R23" s="96">
        <v>144.33729101974461</v>
      </c>
      <c r="S23" s="96">
        <v>130.48612740274916</v>
      </c>
      <c r="T23" s="96">
        <v>122.5386347258127</v>
      </c>
      <c r="U23" s="96">
        <v>123.41485151936489</v>
      </c>
      <c r="V23" s="96">
        <v>109.1574716219214</v>
      </c>
      <c r="W23" s="96">
        <v>104.60022329302625</v>
      </c>
      <c r="X23" s="96">
        <v>106.66296040139085</v>
      </c>
      <c r="Y23" s="96">
        <v>113.42382816857268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0.67878756000000018</v>
      </c>
      <c r="G24" s="96">
        <v>0.73452852000000013</v>
      </c>
      <c r="H24" s="96">
        <v>0.6939345600000002</v>
      </c>
      <c r="I24" s="96">
        <v>0.69898356000000006</v>
      </c>
      <c r="J24" s="96">
        <v>0.39257662999095011</v>
      </c>
      <c r="K24" s="96">
        <v>0.26956269921714632</v>
      </c>
      <c r="L24" s="96">
        <v>0.23861773816113446</v>
      </c>
      <c r="M24" s="96">
        <v>0.29760220873547183</v>
      </c>
      <c r="N24" s="96">
        <v>0.63489837755856537</v>
      </c>
      <c r="O24" s="96">
        <v>1.2684057362243877</v>
      </c>
      <c r="P24" s="96">
        <v>2.9279635473078542</v>
      </c>
      <c r="Q24" s="96">
        <v>5.769673187142109</v>
      </c>
      <c r="R24" s="96">
        <v>11.602192631672798</v>
      </c>
      <c r="S24" s="96">
        <v>17.374214777098551</v>
      </c>
      <c r="T24" s="96">
        <v>29.460547857940035</v>
      </c>
      <c r="U24" s="96">
        <v>55.92319381759561</v>
      </c>
      <c r="V24" s="96">
        <v>88.917470156363436</v>
      </c>
      <c r="W24" s="96">
        <v>122.48635195396824</v>
      </c>
      <c r="X24" s="96">
        <v>101.86299788307339</v>
      </c>
      <c r="Y24" s="96">
        <v>110.43893817479974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9.665690913251623E-3</v>
      </c>
      <c r="N25" s="96">
        <v>0.13661374408116483</v>
      </c>
      <c r="O25" s="96">
        <v>0.16350493137246139</v>
      </c>
      <c r="P25" s="96">
        <v>0.6309946844974692</v>
      </c>
      <c r="Q25" s="96">
        <v>2.7861470732082312</v>
      </c>
      <c r="R25" s="96">
        <v>8.5838006351189371</v>
      </c>
      <c r="S25" s="96">
        <v>15.927113462727622</v>
      </c>
      <c r="T25" s="96">
        <v>24.33836041384253</v>
      </c>
      <c r="U25" s="96">
        <v>30.590507921167376</v>
      </c>
      <c r="V25" s="96">
        <v>37.806214632667391</v>
      </c>
      <c r="W25" s="96">
        <v>63.261802927972795</v>
      </c>
      <c r="X25" s="96">
        <v>92.369042614766812</v>
      </c>
      <c r="Y25" s="96">
        <v>117.80879953220939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1216.8992503891993</v>
      </c>
      <c r="C27" s="130">
        <f t="shared" si="24"/>
        <v>1207.3392427990018</v>
      </c>
      <c r="D27" s="130">
        <f t="shared" si="24"/>
        <v>1188.8171291321244</v>
      </c>
      <c r="E27" s="130">
        <f t="shared" si="24"/>
        <v>1193.9741212521865</v>
      </c>
      <c r="F27" s="130">
        <f t="shared" si="24"/>
        <v>1197.3320546534599</v>
      </c>
      <c r="G27" s="130">
        <f t="shared" si="24"/>
        <v>1172.5214561304283</v>
      </c>
      <c r="H27" s="130">
        <f t="shared" si="24"/>
        <v>1145.9120862606126</v>
      </c>
      <c r="I27" s="130">
        <f t="shared" si="24"/>
        <v>1131.1313825090258</v>
      </c>
      <c r="J27" s="130">
        <f t="shared" si="24"/>
        <v>1153.2933866616713</v>
      </c>
      <c r="K27" s="130">
        <f t="shared" si="24"/>
        <v>1114.7062864701595</v>
      </c>
      <c r="L27" s="130">
        <f t="shared" ref="L27" si="25">SUM(L28:L32)</f>
        <v>1077.1909834277114</v>
      </c>
      <c r="M27" s="130">
        <f t="shared" ref="M27:V27" si="26">SUM(M28:M32)</f>
        <v>1041.696463120649</v>
      </c>
      <c r="N27" s="130">
        <f t="shared" si="26"/>
        <v>1009.381640438343</v>
      </c>
      <c r="O27" s="130">
        <f t="shared" si="26"/>
        <v>1012.8103458962516</v>
      </c>
      <c r="P27" s="130">
        <f t="shared" si="26"/>
        <v>1023.2965646971826</v>
      </c>
      <c r="Q27" s="130">
        <f t="shared" si="26"/>
        <v>1088.3523787513998</v>
      </c>
      <c r="R27" s="130">
        <f t="shared" si="26"/>
        <v>1028.4519539525993</v>
      </c>
      <c r="S27" s="130">
        <f t="shared" si="26"/>
        <v>1053.2416874790956</v>
      </c>
      <c r="T27" s="130">
        <f t="shared" si="26"/>
        <v>1093.4327201905853</v>
      </c>
      <c r="U27" s="130">
        <f t="shared" si="26"/>
        <v>1092.3932559283148</v>
      </c>
      <c r="V27" s="130">
        <f t="shared" si="26"/>
        <v>1019.8562961637202</v>
      </c>
      <c r="W27" s="130">
        <f t="shared" ref="W27:Y27" si="27">SUM(W28:W32)</f>
        <v>1043.6777064510338</v>
      </c>
      <c r="X27" s="130">
        <f t="shared" si="27"/>
        <v>1027.1712126507964</v>
      </c>
      <c r="Y27" s="130">
        <f t="shared" si="27"/>
        <v>1016.1158687848048</v>
      </c>
      <c r="DA27" s="176" t="s">
        <v>406</v>
      </c>
    </row>
    <row r="28" spans="1:105" ht="11.45" customHeight="1" x14ac:dyDescent="0.25">
      <c r="A28" s="111" t="s">
        <v>110</v>
      </c>
      <c r="B28" s="97">
        <v>4.7853155062071773</v>
      </c>
      <c r="C28" s="97">
        <v>4.7495510415694877</v>
      </c>
      <c r="D28" s="97">
        <v>4.3962271817759442</v>
      </c>
      <c r="E28" s="97">
        <v>4.444577209790749</v>
      </c>
      <c r="F28" s="97">
        <v>4.3529563261075941</v>
      </c>
      <c r="G28" s="97">
        <v>4.3062140661028865</v>
      </c>
      <c r="H28" s="97">
        <v>3.9070153731809074</v>
      </c>
      <c r="I28" s="97">
        <v>3.7036324579793209</v>
      </c>
      <c r="J28" s="97">
        <v>3.4354617350320495</v>
      </c>
      <c r="K28" s="97">
        <v>3.0982839533463413</v>
      </c>
      <c r="L28" s="97">
        <v>2.71094695514067</v>
      </c>
      <c r="M28" s="97">
        <v>2.579271997713831</v>
      </c>
      <c r="N28" s="97">
        <v>2.4753155938275491</v>
      </c>
      <c r="O28" s="97">
        <v>2.2978621087181943</v>
      </c>
      <c r="P28" s="97">
        <v>2.1999457699943661</v>
      </c>
      <c r="Q28" s="97">
        <v>2.2156315465132863</v>
      </c>
      <c r="R28" s="97">
        <v>2.1910772356697228</v>
      </c>
      <c r="S28" s="97">
        <v>2.036757659865478</v>
      </c>
      <c r="T28" s="97">
        <v>2.0119343935879512</v>
      </c>
      <c r="U28" s="97">
        <v>1.9807169290175626</v>
      </c>
      <c r="V28" s="97">
        <v>1.9213210083793681</v>
      </c>
      <c r="W28" s="97">
        <v>1.8661905806414654</v>
      </c>
      <c r="X28" s="97">
        <v>1.8742862032726992</v>
      </c>
      <c r="Y28" s="97">
        <v>1.8274543585278349</v>
      </c>
      <c r="DA28" s="175" t="s">
        <v>757</v>
      </c>
    </row>
    <row r="29" spans="1:105" ht="11.45" customHeight="1" x14ac:dyDescent="0.25">
      <c r="A29" s="111" t="s">
        <v>111</v>
      </c>
      <c r="B29" s="97">
        <v>1212.1139348829922</v>
      </c>
      <c r="C29" s="97">
        <v>1202.5896917574323</v>
      </c>
      <c r="D29" s="97">
        <v>1184.4209019503485</v>
      </c>
      <c r="E29" s="97">
        <v>1189.5295440423956</v>
      </c>
      <c r="F29" s="97">
        <v>1192.9790983273522</v>
      </c>
      <c r="G29" s="97">
        <v>1168.2152420643254</v>
      </c>
      <c r="H29" s="97">
        <v>1142.0050708874317</v>
      </c>
      <c r="I29" s="97">
        <v>1127.4277500510466</v>
      </c>
      <c r="J29" s="97">
        <v>1149.8579249266393</v>
      </c>
      <c r="K29" s="97">
        <v>1111.6080025168133</v>
      </c>
      <c r="L29" s="97">
        <v>1074.4800364725709</v>
      </c>
      <c r="M29" s="97">
        <v>1039.1171911229351</v>
      </c>
      <c r="N29" s="97">
        <v>1006.9063248445154</v>
      </c>
      <c r="O29" s="97">
        <v>1010.299354508379</v>
      </c>
      <c r="P29" s="97">
        <v>1020.8079471359222</v>
      </c>
      <c r="Q29" s="97">
        <v>1085.8500349877227</v>
      </c>
      <c r="R29" s="97">
        <v>1025.8878681199935</v>
      </c>
      <c r="S29" s="97">
        <v>1050.7290226589985</v>
      </c>
      <c r="T29" s="97">
        <v>1090.3188956142221</v>
      </c>
      <c r="U29" s="97">
        <v>1089.4959242793384</v>
      </c>
      <c r="V29" s="97">
        <v>1015.3978259209689</v>
      </c>
      <c r="W29" s="97">
        <v>1023.9773297950723</v>
      </c>
      <c r="X29" s="97">
        <v>1007.1205626953252</v>
      </c>
      <c r="Y29" s="97">
        <v>994.258344173865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0.21312927915454047</v>
      </c>
      <c r="P31" s="97">
        <v>0.28867179126604542</v>
      </c>
      <c r="Q31" s="97">
        <v>0.28671221716380763</v>
      </c>
      <c r="R31" s="97">
        <v>0.37300859693592531</v>
      </c>
      <c r="S31" s="97">
        <v>0.47590716023162999</v>
      </c>
      <c r="T31" s="97">
        <v>1.1018901827751053</v>
      </c>
      <c r="U31" s="97">
        <v>0.91661471995883737</v>
      </c>
      <c r="V31" s="97">
        <v>2.537149234372027</v>
      </c>
      <c r="W31" s="97">
        <v>17.834186075320012</v>
      </c>
      <c r="X31" s="97">
        <v>18.176363752198405</v>
      </c>
      <c r="Y31" s="97">
        <v>20.03007025241201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6378.0257903061047</v>
      </c>
      <c r="C33" s="32">
        <f t="shared" si="28"/>
        <v>7007.9232856502767</v>
      </c>
      <c r="D33" s="32">
        <f t="shared" si="28"/>
        <v>7222.201830586393</v>
      </c>
      <c r="E33" s="32">
        <f t="shared" si="28"/>
        <v>7355.740823878954</v>
      </c>
      <c r="F33" s="32">
        <f t="shared" si="28"/>
        <v>8213.1226311392784</v>
      </c>
      <c r="G33" s="32">
        <f t="shared" si="28"/>
        <v>8238.9610768692928</v>
      </c>
      <c r="H33" s="32">
        <f t="shared" si="28"/>
        <v>8526.5520406541455</v>
      </c>
      <c r="I33" s="32">
        <f t="shared" si="28"/>
        <v>8769.7619771682475</v>
      </c>
      <c r="J33" s="32">
        <f t="shared" si="28"/>
        <v>8497.4866467176544</v>
      </c>
      <c r="K33" s="32">
        <f t="shared" si="28"/>
        <v>8054.3851143180818</v>
      </c>
      <c r="L33" s="32">
        <f t="shared" ref="L33" si="29">L34+L40</f>
        <v>7883.6697391801536</v>
      </c>
      <c r="M33" s="32">
        <f t="shared" ref="M33:V33" si="30">M34+M40</f>
        <v>7733.7459217618534</v>
      </c>
      <c r="N33" s="32">
        <f t="shared" si="30"/>
        <v>7448.2326985345326</v>
      </c>
      <c r="O33" s="32">
        <f t="shared" si="30"/>
        <v>7423.4648851425991</v>
      </c>
      <c r="P33" s="32">
        <f t="shared" si="30"/>
        <v>7504.6794075974194</v>
      </c>
      <c r="Q33" s="32">
        <f t="shared" si="30"/>
        <v>8472.445111093095</v>
      </c>
      <c r="R33" s="32">
        <f t="shared" si="30"/>
        <v>8869.4638158801699</v>
      </c>
      <c r="S33" s="32">
        <f t="shared" si="30"/>
        <v>9006.9444115378283</v>
      </c>
      <c r="T33" s="32">
        <f t="shared" si="30"/>
        <v>9204.7819092423306</v>
      </c>
      <c r="U33" s="32">
        <f t="shared" si="30"/>
        <v>9139.7121412477863</v>
      </c>
      <c r="V33" s="32">
        <f t="shared" si="30"/>
        <v>8007.4935925077134</v>
      </c>
      <c r="W33" s="32">
        <f t="shared" ref="W33:Y33" si="31">W34+W40</f>
        <v>9387.5905488044446</v>
      </c>
      <c r="X33" s="32">
        <f t="shared" si="31"/>
        <v>9236.9689654007016</v>
      </c>
      <c r="Y33" s="32">
        <f t="shared" si="31"/>
        <v>9631.8648515131972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3198.3726067003772</v>
      </c>
      <c r="C34" s="141">
        <f t="shared" si="32"/>
        <v>3220.4459875836128</v>
      </c>
      <c r="D34" s="141">
        <f t="shared" si="32"/>
        <v>3348.4993723374982</v>
      </c>
      <c r="E34" s="141">
        <f t="shared" si="32"/>
        <v>3362.1163230107654</v>
      </c>
      <c r="F34" s="141">
        <f t="shared" si="32"/>
        <v>3591.7688994647478</v>
      </c>
      <c r="G34" s="141">
        <f t="shared" si="32"/>
        <v>3636.2396684594655</v>
      </c>
      <c r="H34" s="141">
        <f t="shared" si="32"/>
        <v>3681.0232813576754</v>
      </c>
      <c r="I34" s="141">
        <f t="shared" si="32"/>
        <v>3813.9418692536105</v>
      </c>
      <c r="J34" s="141">
        <f t="shared" si="32"/>
        <v>3801.280689678385</v>
      </c>
      <c r="K34" s="141">
        <f t="shared" si="32"/>
        <v>3656.316274494457</v>
      </c>
      <c r="L34" s="141">
        <f t="shared" ref="L34" si="33">SUM(L35:L39)</f>
        <v>3543.9108434281793</v>
      </c>
      <c r="M34" s="141">
        <f t="shared" ref="M34:V34" si="34">SUM(M35:M39)</f>
        <v>3511.6275916887907</v>
      </c>
      <c r="N34" s="141">
        <f t="shared" si="34"/>
        <v>3433.6089657653397</v>
      </c>
      <c r="O34" s="141">
        <f t="shared" si="34"/>
        <v>3243.7432968432104</v>
      </c>
      <c r="P34" s="141">
        <f t="shared" si="34"/>
        <v>3314.4565417205804</v>
      </c>
      <c r="Q34" s="141">
        <f t="shared" si="34"/>
        <v>3596.9604970401856</v>
      </c>
      <c r="R34" s="141">
        <f t="shared" si="34"/>
        <v>3308.6496594970372</v>
      </c>
      <c r="S34" s="141">
        <f t="shared" si="34"/>
        <v>3057.318493497005</v>
      </c>
      <c r="T34" s="141">
        <f t="shared" si="34"/>
        <v>3114.1075378315354</v>
      </c>
      <c r="U34" s="141">
        <f t="shared" si="34"/>
        <v>3094.207332167291</v>
      </c>
      <c r="V34" s="141">
        <f t="shared" si="34"/>
        <v>2678.2153279414647</v>
      </c>
      <c r="W34" s="141">
        <f t="shared" ref="W34:Y34" si="35">SUM(W35:W39)</f>
        <v>3371.7494389441176</v>
      </c>
      <c r="X34" s="141">
        <f t="shared" si="35"/>
        <v>3260.5191590936852</v>
      </c>
      <c r="Y34" s="141">
        <f t="shared" si="35"/>
        <v>3500.9387173393006</v>
      </c>
      <c r="DA34" s="174" t="s">
        <v>412</v>
      </c>
    </row>
    <row r="35" spans="1:105" ht="11.45" customHeight="1" x14ac:dyDescent="0.25">
      <c r="A35" s="111" t="s">
        <v>110</v>
      </c>
      <c r="B35" s="96">
        <v>192.91798515556329</v>
      </c>
      <c r="C35" s="96">
        <v>185.7100297414861</v>
      </c>
      <c r="D35" s="96">
        <v>189.98600893507989</v>
      </c>
      <c r="E35" s="96">
        <v>175.56679258646349</v>
      </c>
      <c r="F35" s="96">
        <v>169.2744236379701</v>
      </c>
      <c r="G35" s="96">
        <v>167.89711706256529</v>
      </c>
      <c r="H35" s="96">
        <v>161.06180506784841</v>
      </c>
      <c r="I35" s="96">
        <v>141.88751745443446</v>
      </c>
      <c r="J35" s="96">
        <v>128.52006349447038</v>
      </c>
      <c r="K35" s="96">
        <v>114.01545864145946</v>
      </c>
      <c r="L35" s="96">
        <v>104.35510390981972</v>
      </c>
      <c r="M35" s="96">
        <v>98.085473230649072</v>
      </c>
      <c r="N35" s="96">
        <v>92.921661181429172</v>
      </c>
      <c r="O35" s="96">
        <v>83.579018740675266</v>
      </c>
      <c r="P35" s="96">
        <v>77.74386639133877</v>
      </c>
      <c r="Q35" s="96">
        <v>71.326763672393014</v>
      </c>
      <c r="R35" s="96">
        <v>72.9323375492785</v>
      </c>
      <c r="S35" s="96">
        <v>75.836784559457882</v>
      </c>
      <c r="T35" s="96">
        <v>87.359974495948478</v>
      </c>
      <c r="U35" s="96">
        <v>95.637332269181059</v>
      </c>
      <c r="V35" s="96">
        <v>80.346210730253333</v>
      </c>
      <c r="W35" s="96">
        <v>102.07652374367477</v>
      </c>
      <c r="X35" s="96">
        <v>103.63544739930177</v>
      </c>
      <c r="Y35" s="96">
        <v>110.62673971146383</v>
      </c>
      <c r="DA35" s="171" t="s">
        <v>762</v>
      </c>
    </row>
    <row r="36" spans="1:105" ht="11.45" customHeight="1" x14ac:dyDescent="0.25">
      <c r="A36" s="111" t="s">
        <v>111</v>
      </c>
      <c r="B36" s="96">
        <v>2885.2991505872787</v>
      </c>
      <c r="C36" s="96">
        <v>2911.4647933337519</v>
      </c>
      <c r="D36" s="96">
        <v>3031.6741558734102</v>
      </c>
      <c r="E36" s="96">
        <v>3070.7281529332959</v>
      </c>
      <c r="F36" s="96">
        <v>3307.4507425143806</v>
      </c>
      <c r="G36" s="96">
        <v>3361.5637676166425</v>
      </c>
      <c r="H36" s="96">
        <v>3419.8480658786934</v>
      </c>
      <c r="I36" s="96">
        <v>3582.4528756093869</v>
      </c>
      <c r="J36" s="96">
        <v>3593.7802508640648</v>
      </c>
      <c r="K36" s="96">
        <v>3474.6522806927383</v>
      </c>
      <c r="L36" s="96">
        <v>3381.2071846003155</v>
      </c>
      <c r="M36" s="96">
        <v>3356.2173874643522</v>
      </c>
      <c r="N36" s="96">
        <v>3287.5092448172727</v>
      </c>
      <c r="O36" s="96">
        <v>3117.5478817364569</v>
      </c>
      <c r="P36" s="96">
        <v>3198.1165645514197</v>
      </c>
      <c r="Q36" s="96">
        <v>3494.3913470725793</v>
      </c>
      <c r="R36" s="96">
        <v>3206.5616363161116</v>
      </c>
      <c r="S36" s="96">
        <v>2952.7660778376262</v>
      </c>
      <c r="T36" s="96">
        <v>2997.5377184704598</v>
      </c>
      <c r="U36" s="96">
        <v>2964.9657892259402</v>
      </c>
      <c r="V36" s="96">
        <v>2558.3128743115235</v>
      </c>
      <c r="W36" s="96">
        <v>3213.0083234257459</v>
      </c>
      <c r="X36" s="96">
        <v>3106.6864534793376</v>
      </c>
      <c r="Y36" s="96">
        <v>3332.6977178034849</v>
      </c>
      <c r="DA36" s="171" t="s">
        <v>763</v>
      </c>
    </row>
    <row r="37" spans="1:105" ht="11.45" customHeight="1" x14ac:dyDescent="0.25">
      <c r="A37" s="111" t="s">
        <v>112</v>
      </c>
      <c r="B37" s="96">
        <v>120.15547095753512</v>
      </c>
      <c r="C37" s="96">
        <v>123.27116450837475</v>
      </c>
      <c r="D37" s="96">
        <v>126.83920752900795</v>
      </c>
      <c r="E37" s="96">
        <v>115.82137749100585</v>
      </c>
      <c r="F37" s="96">
        <v>115.04373331239753</v>
      </c>
      <c r="G37" s="96">
        <v>106.77878378025774</v>
      </c>
      <c r="H37" s="96">
        <v>100.11341041113326</v>
      </c>
      <c r="I37" s="96">
        <v>89.601476189788968</v>
      </c>
      <c r="J37" s="96">
        <v>78.795346349840571</v>
      </c>
      <c r="K37" s="96">
        <v>67.401282219476286</v>
      </c>
      <c r="L37" s="96">
        <v>58.050161016204846</v>
      </c>
      <c r="M37" s="96">
        <v>57.065125562525225</v>
      </c>
      <c r="N37" s="96">
        <v>52.551515984196669</v>
      </c>
      <c r="O37" s="96">
        <v>41.878996861457289</v>
      </c>
      <c r="P37" s="96">
        <v>37.339534076395793</v>
      </c>
      <c r="Q37" s="96">
        <v>28.899659219518831</v>
      </c>
      <c r="R37" s="96">
        <v>26.916134220255387</v>
      </c>
      <c r="S37" s="96">
        <v>24.802947357250851</v>
      </c>
      <c r="T37" s="96">
        <v>23.171784314187281</v>
      </c>
      <c r="U37" s="96">
        <v>21.134552760635117</v>
      </c>
      <c r="V37" s="96">
        <v>18.883079658078604</v>
      </c>
      <c r="W37" s="96">
        <v>22.545090426973772</v>
      </c>
      <c r="X37" s="96">
        <v>21.079102638609182</v>
      </c>
      <c r="Y37" s="96">
        <v>21.779986551427356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0.18502897000904989</v>
      </c>
      <c r="K38" s="96">
        <v>0.24725294078285376</v>
      </c>
      <c r="L38" s="96">
        <v>0.29839390183886561</v>
      </c>
      <c r="M38" s="96">
        <v>0.25960543126452812</v>
      </c>
      <c r="N38" s="96">
        <v>0.62654378244143483</v>
      </c>
      <c r="O38" s="96">
        <v>0.73739950462107184</v>
      </c>
      <c r="P38" s="96">
        <v>1.2565767014261</v>
      </c>
      <c r="Q38" s="96">
        <v>2.3427270756940839</v>
      </c>
      <c r="R38" s="96">
        <v>2.2395514113912771</v>
      </c>
      <c r="S38" s="96">
        <v>3.9126837426698202</v>
      </c>
      <c r="T38" s="96">
        <v>6.0380605509398215</v>
      </c>
      <c r="U38" s="96">
        <v>12.469657911534897</v>
      </c>
      <c r="V38" s="96">
        <v>20.67316324160883</v>
      </c>
      <c r="W38" s="96">
        <v>34.119501347723215</v>
      </c>
      <c r="X38" s="96">
        <v>29.118155576436525</v>
      </c>
      <c r="Y38" s="96">
        <v>35.834273272924513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3179.6531836057275</v>
      </c>
      <c r="C40" s="130">
        <f t="shared" si="36"/>
        <v>3787.4772980666644</v>
      </c>
      <c r="D40" s="130">
        <f t="shared" si="36"/>
        <v>3873.7024582488948</v>
      </c>
      <c r="E40" s="130">
        <f t="shared" si="36"/>
        <v>3993.624500868189</v>
      </c>
      <c r="F40" s="130">
        <f t="shared" si="36"/>
        <v>4621.3537316745296</v>
      </c>
      <c r="G40" s="130">
        <f t="shared" si="36"/>
        <v>4602.7214084098268</v>
      </c>
      <c r="H40" s="130">
        <f t="shared" si="36"/>
        <v>4845.5287592964705</v>
      </c>
      <c r="I40" s="130">
        <f t="shared" si="36"/>
        <v>4955.8201079146365</v>
      </c>
      <c r="J40" s="130">
        <f t="shared" si="36"/>
        <v>4696.2059570392694</v>
      </c>
      <c r="K40" s="130">
        <f t="shared" si="36"/>
        <v>4398.0688398236252</v>
      </c>
      <c r="L40" s="130">
        <f t="shared" ref="L40" si="37">SUM(L41:L42)</f>
        <v>4339.7588957519747</v>
      </c>
      <c r="M40" s="130">
        <f t="shared" ref="M40:V40" si="38">SUM(M41:M42)</f>
        <v>4222.1183300730627</v>
      </c>
      <c r="N40" s="130">
        <f t="shared" si="38"/>
        <v>4014.6237327691929</v>
      </c>
      <c r="O40" s="130">
        <f t="shared" si="38"/>
        <v>4179.7215882993887</v>
      </c>
      <c r="P40" s="130">
        <f t="shared" si="38"/>
        <v>4190.222865876839</v>
      </c>
      <c r="Q40" s="130">
        <f t="shared" si="38"/>
        <v>4875.4846140529089</v>
      </c>
      <c r="R40" s="130">
        <f t="shared" si="38"/>
        <v>5560.8141563831332</v>
      </c>
      <c r="S40" s="130">
        <f t="shared" si="38"/>
        <v>5949.6259180408233</v>
      </c>
      <c r="T40" s="130">
        <f t="shared" si="38"/>
        <v>6090.6743714107961</v>
      </c>
      <c r="U40" s="130">
        <f t="shared" si="38"/>
        <v>6045.5048090804949</v>
      </c>
      <c r="V40" s="130">
        <f t="shared" si="38"/>
        <v>5329.2782645662483</v>
      </c>
      <c r="W40" s="130">
        <f t="shared" ref="W40:Y40" si="39">SUM(W41:W42)</f>
        <v>6015.8411098603265</v>
      </c>
      <c r="X40" s="130">
        <f t="shared" si="39"/>
        <v>5976.4498063070159</v>
      </c>
      <c r="Y40" s="130">
        <f t="shared" si="39"/>
        <v>6130.9261341738966</v>
      </c>
      <c r="DA40" s="176" t="s">
        <v>413</v>
      </c>
    </row>
    <row r="41" spans="1:105" ht="11.45" customHeight="1" x14ac:dyDescent="0.25">
      <c r="A41" s="128" t="s">
        <v>27</v>
      </c>
      <c r="B41" s="97">
        <v>1803.4831169631534</v>
      </c>
      <c r="C41" s="97">
        <v>2156.5596439686005</v>
      </c>
      <c r="D41" s="97">
        <v>2179.9563421445346</v>
      </c>
      <c r="E41" s="97">
        <v>2150.2884144919644</v>
      </c>
      <c r="F41" s="97">
        <v>2346.5269901700535</v>
      </c>
      <c r="G41" s="97">
        <v>2213.0969182746067</v>
      </c>
      <c r="H41" s="97">
        <v>2313.852779962745</v>
      </c>
      <c r="I41" s="97">
        <v>2302.5417396451221</v>
      </c>
      <c r="J41" s="97">
        <v>1952.5894238446069</v>
      </c>
      <c r="K41" s="97">
        <v>1866.3877900157652</v>
      </c>
      <c r="L41" s="97">
        <v>1834.0250709818317</v>
      </c>
      <c r="M41" s="97">
        <v>1815.0990999578271</v>
      </c>
      <c r="N41" s="97">
        <v>1729.4164379132094</v>
      </c>
      <c r="O41" s="97">
        <v>1809.6436921636498</v>
      </c>
      <c r="P41" s="97">
        <v>1849.6217315492679</v>
      </c>
      <c r="Q41" s="97">
        <v>2299.5805467295427</v>
      </c>
      <c r="R41" s="97">
        <v>2493.950569372154</v>
      </c>
      <c r="S41" s="97">
        <v>2660.6508507515305</v>
      </c>
      <c r="T41" s="97">
        <v>2682.8408891982194</v>
      </c>
      <c r="U41" s="97">
        <v>2747.9728217153861</v>
      </c>
      <c r="V41" s="97">
        <v>2321.7211518891472</v>
      </c>
      <c r="W41" s="97">
        <v>2725.1976331077758</v>
      </c>
      <c r="X41" s="97">
        <v>2834.5217798172775</v>
      </c>
      <c r="Y41" s="97">
        <v>2944.1933837233209</v>
      </c>
      <c r="DA41" s="175" t="s">
        <v>767</v>
      </c>
    </row>
    <row r="42" spans="1:105" ht="11.45" customHeight="1" x14ac:dyDescent="0.25">
      <c r="A42" s="138" t="s">
        <v>116</v>
      </c>
      <c r="B42" s="98">
        <v>1376.1700666425743</v>
      </c>
      <c r="C42" s="98">
        <v>1630.9176540980638</v>
      </c>
      <c r="D42" s="98">
        <v>1693.7461161043605</v>
      </c>
      <c r="E42" s="98">
        <v>1843.3360863762243</v>
      </c>
      <c r="F42" s="98">
        <v>2274.8267415044766</v>
      </c>
      <c r="G42" s="98">
        <v>2389.6244901352202</v>
      </c>
      <c r="H42" s="98">
        <v>2531.6759793337255</v>
      </c>
      <c r="I42" s="98">
        <v>2653.278368269514</v>
      </c>
      <c r="J42" s="98">
        <v>2743.6165331946622</v>
      </c>
      <c r="K42" s="98">
        <v>2531.6810498078603</v>
      </c>
      <c r="L42" s="98">
        <v>2505.7338247701427</v>
      </c>
      <c r="M42" s="98">
        <v>2407.019230115236</v>
      </c>
      <c r="N42" s="98">
        <v>2285.2072948559835</v>
      </c>
      <c r="O42" s="98">
        <v>2370.0778961357391</v>
      </c>
      <c r="P42" s="98">
        <v>2340.6011343275709</v>
      </c>
      <c r="Q42" s="98">
        <v>2575.9040673233662</v>
      </c>
      <c r="R42" s="98">
        <v>3066.8635870109792</v>
      </c>
      <c r="S42" s="98">
        <v>3288.9750672892924</v>
      </c>
      <c r="T42" s="98">
        <v>3407.8334822125771</v>
      </c>
      <c r="U42" s="98">
        <v>3297.5319873651088</v>
      </c>
      <c r="V42" s="98">
        <v>3007.5571126771015</v>
      </c>
      <c r="W42" s="98">
        <v>3290.6434767525511</v>
      </c>
      <c r="X42" s="98">
        <v>3141.9280264897384</v>
      </c>
      <c r="Y42" s="98">
        <v>3186.7327504505761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3.0359561902932977</v>
      </c>
      <c r="C47" s="145">
        <f>IF(C4=0,0,C4/TrRoad_ene!C4)</f>
        <v>3.0390312262067916</v>
      </c>
      <c r="D47" s="145">
        <f>IF(D4=0,0,D4/TrRoad_ene!D4)</f>
        <v>3.0422604967558651</v>
      </c>
      <c r="E47" s="145">
        <f>IF(E4=0,0,E4/TrRoad_ene!E4)</f>
        <v>3.0437281445825008</v>
      </c>
      <c r="F47" s="145">
        <f>IF(F4=0,0,F4/TrRoad_ene!F4)</f>
        <v>3.0504640491814157</v>
      </c>
      <c r="G47" s="145">
        <f>IF(G4=0,0,G4/TrRoad_ene!G4)</f>
        <v>3.0527203768537423</v>
      </c>
      <c r="H47" s="145">
        <f>IF(H4=0,0,H4/TrRoad_ene!H4)</f>
        <v>3.057176941893232</v>
      </c>
      <c r="I47" s="145">
        <f>IF(I4=0,0,I4/TrRoad_ene!I4)</f>
        <v>3.0612931561208776</v>
      </c>
      <c r="J47" s="145">
        <f>IF(J4=0,0,J4/TrRoad_ene!J4)</f>
        <v>3.0648234456420607</v>
      </c>
      <c r="K47" s="145">
        <f>IF(K4=0,0,K4/TrRoad_ene!K4)</f>
        <v>3.0181328591444294</v>
      </c>
      <c r="L47" s="145">
        <f>IF(L4=0,0,L4/TrRoad_ene!L4)</f>
        <v>2.9378550509091514</v>
      </c>
      <c r="M47" s="145">
        <f>IF(M4=0,0,M4/TrRoad_ene!M4)</f>
        <v>2.9407303121033923</v>
      </c>
      <c r="N47" s="145">
        <f>IF(N4=0,0,N4/TrRoad_ene!N4)</f>
        <v>2.9372621679424316</v>
      </c>
      <c r="O47" s="145">
        <f>IF(O4=0,0,O4/TrRoad_ene!O4)</f>
        <v>2.9354364054928306</v>
      </c>
      <c r="P47" s="145">
        <f>IF(P4=0,0,P4/TrRoad_ene!P4)</f>
        <v>2.9101463117924844</v>
      </c>
      <c r="Q47" s="145">
        <f>IF(Q4=0,0,Q4/TrRoad_ene!Q4)</f>
        <v>2.9726451828037033</v>
      </c>
      <c r="R47" s="145">
        <f>IF(R4=0,0,R4/TrRoad_ene!R4)</f>
        <v>2.9064773677912519</v>
      </c>
      <c r="S47" s="145">
        <f>IF(S4=0,0,S4/TrRoad_ene!S4)</f>
        <v>2.8886517306570161</v>
      </c>
      <c r="T47" s="145">
        <f>IF(T4=0,0,T4/TrRoad_ene!T4)</f>
        <v>2.8845291783552551</v>
      </c>
      <c r="U47" s="145">
        <f>IF(U4=0,0,U4/TrRoad_ene!U4)</f>
        <v>2.8729942300613831</v>
      </c>
      <c r="V47" s="145">
        <f>IF(V4=0,0,V4/TrRoad_ene!V4)</f>
        <v>2.7526723265654609</v>
      </c>
      <c r="W47" s="145">
        <f>IF(W4=0,0,W4/TrRoad_ene!W4)</f>
        <v>2.743447779778561</v>
      </c>
      <c r="X47" s="145">
        <f>IF(X4=0,0,X4/TrRoad_ene!X4)</f>
        <v>2.7234992920445222</v>
      </c>
      <c r="Y47" s="145">
        <f>IF(Y4=0,0,Y4/TrRoad_ene!Y4)</f>
        <v>2.7076992015123653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2.9015129086195812</v>
      </c>
      <c r="H48" s="97">
        <f>IF(H7=0,0,(H7+H12)/(TrRoad_ene!H7+TrRoad_ene!H12))</f>
        <v>2.9015175560645421</v>
      </c>
      <c r="I48" s="97">
        <f>IF(I7=0,0,(I7+I12)/(TrRoad_ene!I7+TrRoad_ene!I12))</f>
        <v>2.9015214199142969</v>
      </c>
      <c r="J48" s="97">
        <f>IF(J7=0,0,(J7+J12)/(TrRoad_ene!J7+TrRoad_ene!J12))</f>
        <v>2.9015277883799366</v>
      </c>
      <c r="K48" s="97">
        <f>IF(K7=0,0,(K7+K12)/(TrRoad_ene!K7+TrRoad_ene!K12))</f>
        <v>2.86035435079831</v>
      </c>
      <c r="L48" s="97">
        <f>IF(L7=0,0,(L7+L12)/(TrRoad_ene!L7+TrRoad_ene!L12))</f>
        <v>2.7766531646198844</v>
      </c>
      <c r="M48" s="97">
        <f>IF(M7=0,0,(M7+M12)/(TrRoad_ene!M7+TrRoad_ene!M12))</f>
        <v>2.7731301856179278</v>
      </c>
      <c r="N48" s="97">
        <f>IF(N7=0,0,(N7+N12)/(TrRoad_ene!N7+TrRoad_ene!N12))</f>
        <v>2.7737720783813371</v>
      </c>
      <c r="O48" s="97">
        <f>IF(O7=0,0,(O7+O12)/(TrRoad_ene!O7+TrRoad_ene!O12))</f>
        <v>2.7741950536456792</v>
      </c>
      <c r="P48" s="97">
        <f>IF(P7=0,0,(P7+P12)/(TrRoad_ene!P7+TrRoad_ene!P12))</f>
        <v>2.8150540337379493</v>
      </c>
      <c r="Q48" s="97">
        <f>IF(Q7=0,0,(Q7+Q12)/(TrRoad_ene!Q7+TrRoad_ene!Q12))</f>
        <v>2.8165107408930234</v>
      </c>
      <c r="R48" s="97">
        <f>IF(R7=0,0,(R7+R12)/(TrRoad_ene!R7+TrRoad_ene!R12))</f>
        <v>2.8179631961591851</v>
      </c>
      <c r="S48" s="97">
        <f>IF(S7=0,0,(S7+S12)/(TrRoad_ene!S7+TrRoad_ene!S12))</f>
        <v>2.7204828954104721</v>
      </c>
      <c r="T48" s="97">
        <f>IF(T7=0,0,(T7+T12)/(TrRoad_ene!T7+TrRoad_ene!T12))</f>
        <v>2.7123370578120909</v>
      </c>
      <c r="U48" s="97">
        <f>IF(U7=0,0,(U7+U12)/(TrRoad_ene!U7+TrRoad_ene!U12))</f>
        <v>2.709112009073066</v>
      </c>
      <c r="V48" s="97">
        <f>IF(V7=0,0,(V7+V12)/(TrRoad_ene!V7+TrRoad_ene!V12))</f>
        <v>2.6723084222577991</v>
      </c>
      <c r="W48" s="97">
        <f>IF(W7=0,0,(W7+W12)/(TrRoad_ene!W7+TrRoad_ene!W12))</f>
        <v>2.667654835774679</v>
      </c>
      <c r="X48" s="97">
        <f>IF(X7=0,0,(X7+X12)/(TrRoad_ene!X7+TrRoad_ene!X12))</f>
        <v>2.6852879836541108</v>
      </c>
      <c r="Y48" s="97">
        <f>IF(Y7=0,0,(Y7+Y12)/(TrRoad_ene!Y7+TrRoad_ene!Y12))</f>
        <v>2.6836291602287576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3.1024187999999997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3.1024188000000006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3.1024188000000001</v>
      </c>
      <c r="K49" s="97">
        <f>IF(K8=0,0,(K8+K13+K14)/(TrRoad_ene!K8+TrRoad_ene!K13+TrRoad_ene!K14))</f>
        <v>3.0527769786804995</v>
      </c>
      <c r="L49" s="97">
        <f>IF(L8=0,0,(L8+L13+L14)/(TrRoad_ene!L8+TrRoad_ene!L13+TrRoad_ene!L14))</f>
        <v>2.9694066162110104</v>
      </c>
      <c r="M49" s="97">
        <f>IF(M8=0,0,(M8+M13+M14)/(TrRoad_ene!M8+TrRoad_ene!M13+TrRoad_ene!M14))</f>
        <v>2.972666512943559</v>
      </c>
      <c r="N49" s="97">
        <f>IF(N8=0,0,(N8+N13+N14)/(TrRoad_ene!N8+TrRoad_ene!N13+TrRoad_ene!N14))</f>
        <v>2.9686444619877244</v>
      </c>
      <c r="O49" s="97">
        <f>IF(O8=0,0,(O8+O13+O14)/(TrRoad_ene!O8+TrRoad_ene!O13+TrRoad_ene!O14))</f>
        <v>2.9667903249018512</v>
      </c>
      <c r="P49" s="97">
        <f>IF(P8=0,0,(P8+P13+P14)/(TrRoad_ene!P8+TrRoad_ene!P13+TrRoad_ene!P14))</f>
        <v>2.9304226627622305</v>
      </c>
      <c r="Q49" s="97">
        <f>IF(Q8=0,0,(Q8+Q13+Q14)/(TrRoad_ene!Q8+TrRoad_ene!Q13+TrRoad_ene!Q14))</f>
        <v>3.0065355737755253</v>
      </c>
      <c r="R49" s="97">
        <f>IF(R8=0,0,(R8+R13+R14)/(TrRoad_ene!R8+TrRoad_ene!R13+TrRoad_ene!R14))</f>
        <v>2.929040790566003</v>
      </c>
      <c r="S49" s="97">
        <f>IF(S8=0,0,(S8+S13+S14)/(TrRoad_ene!S8+TrRoad_ene!S13+TrRoad_ene!S14))</f>
        <v>2.93116390992799</v>
      </c>
      <c r="T49" s="97">
        <f>IF(T8=0,0,(T8+T13+T14)/(TrRoad_ene!T8+TrRoad_ene!T13+TrRoad_ene!T14))</f>
        <v>2.9349184806082684</v>
      </c>
      <c r="U49" s="97">
        <f>IF(U8=0,0,(U8+U13+U14)/(TrRoad_ene!U8+TrRoad_ene!U13+TrRoad_ene!U14))</f>
        <v>2.9317273103945989</v>
      </c>
      <c r="V49" s="97">
        <f>IF(V8=0,0,(V8+V13+V14)/(TrRoad_ene!V8+TrRoad_ene!V13+TrRoad_ene!V14))</f>
        <v>2.7902174351205882</v>
      </c>
      <c r="W49" s="97">
        <f>IF(W8=0,0,(W8+W13+W14)/(TrRoad_ene!W8+TrRoad_ene!W13+TrRoad_ene!W14))</f>
        <v>2.7906498818243972</v>
      </c>
      <c r="X49" s="97">
        <f>IF(X8=0,0,(X8+X13+X14)/(TrRoad_ene!X8+TrRoad_ene!X13+TrRoad_ene!X14))</f>
        <v>2.7709736150375486</v>
      </c>
      <c r="Y49" s="97">
        <f>IF(Y8=0,0,(Y8+Y13+Y14)/(TrRoad_ene!Y8+TrRoad_ene!Y13+TrRoad_ene!Y14))</f>
        <v>2.7707994567199465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2.6418708000000009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2.6418708000000009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2.3487947999999998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2.3487879765208679</v>
      </c>
      <c r="U51" s="97">
        <f>IF(U9=0,0,(U9+U11)/(TrRoad_ene!U9+TrRoad_ene!U11))</f>
        <v>2.3487477667039895</v>
      </c>
      <c r="V51" s="97">
        <f>IF(V9=0,0,(V9+V11)/(TrRoad_ene!V9+TrRoad_ene!V11))</f>
        <v>2.34859586671499</v>
      </c>
      <c r="W51" s="97">
        <f>IF(W9=0,0,(W9+W11)/(TrRoad_ene!W9+TrRoad_ene!W11))</f>
        <v>2.347676561921344</v>
      </c>
      <c r="X51" s="97">
        <f>IF(X9=0,0,(X9+X11)/(TrRoad_ene!X9+TrRoad_ene!X11))</f>
        <v>2.3463923262791964</v>
      </c>
      <c r="Y51" s="97">
        <f>IF(Y9=0,0,(Y9+Y11)/(TrRoad_ene!Y9+TrRoad_ene!Y11))</f>
        <v>2.3466108471627898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262.02495640909848</v>
      </c>
      <c r="C54" s="62">
        <f>IF(TrRoad_act!C30=0,0,C17/TrRoad_act!C30*1000
)</f>
        <v>260.9672665972351</v>
      </c>
      <c r="D54" s="62">
        <f>IF(TrRoad_act!D30=0,0,D17/TrRoad_act!D30*1000
)</f>
        <v>259.14864711735265</v>
      </c>
      <c r="E54" s="62">
        <f>IF(TrRoad_act!E30=0,0,E17/TrRoad_act!E30*1000
)</f>
        <v>256.61603059014317</v>
      </c>
      <c r="F54" s="62">
        <f>IF(TrRoad_act!F30=0,0,F17/TrRoad_act!F30*1000
)</f>
        <v>261.61441924010097</v>
      </c>
      <c r="G54" s="62">
        <f>IF(TrRoad_act!G30=0,0,G17/TrRoad_act!G30*1000
)</f>
        <v>261.01373914456724</v>
      </c>
      <c r="H54" s="62">
        <f>IF(TrRoad_act!H30=0,0,H17/TrRoad_act!H30*1000
)</f>
        <v>259.61019586274</v>
      </c>
      <c r="I54" s="62">
        <f>IF(TrRoad_act!I30=0,0,I17/TrRoad_act!I30*1000
)</f>
        <v>256.31269771409967</v>
      </c>
      <c r="J54" s="62">
        <f>IF(TrRoad_act!J30=0,0,J17/TrRoad_act!J30*1000
)</f>
        <v>252.01904771639678</v>
      </c>
      <c r="K54" s="62">
        <f>IF(TrRoad_act!K30=0,0,K17/TrRoad_act!K30*1000
)</f>
        <v>244.55241060567664</v>
      </c>
      <c r="L54" s="62">
        <f>IF(TrRoad_act!L30=0,0,L17/TrRoad_act!L30*1000
)</f>
        <v>236.41968154417961</v>
      </c>
      <c r="M54" s="62">
        <f>IF(TrRoad_act!M30=0,0,M17/TrRoad_act!M30*1000
)</f>
        <v>231.68404890505289</v>
      </c>
      <c r="N54" s="62">
        <f>IF(TrRoad_act!N30=0,0,N17/TrRoad_act!N30*1000
)</f>
        <v>227.23492319381961</v>
      </c>
      <c r="O54" s="62">
        <f>IF(TrRoad_act!O30=0,0,O17/TrRoad_act!O30*1000
)</f>
        <v>226.9892702739574</v>
      </c>
      <c r="P54" s="62">
        <f>IF(TrRoad_act!P30=0,0,P17/TrRoad_act!P30*1000
)</f>
        <v>221.520479424472</v>
      </c>
      <c r="Q54" s="62">
        <f>IF(TrRoad_act!Q30=0,0,Q17/TrRoad_act!Q30*1000
)</f>
        <v>228.30220848278239</v>
      </c>
      <c r="R54" s="62">
        <f>IF(TrRoad_act!R30=0,0,R17/TrRoad_act!R30*1000
)</f>
        <v>231.50192315460674</v>
      </c>
      <c r="S54" s="62">
        <f>IF(TrRoad_act!S30=0,0,S17/TrRoad_act!S30*1000
)</f>
        <v>233.7038291633778</v>
      </c>
      <c r="T54" s="62">
        <f>IF(TrRoad_act!T30=0,0,T17/TrRoad_act!T30*1000
)</f>
        <v>234.27150923973369</v>
      </c>
      <c r="U54" s="62">
        <f>IF(TrRoad_act!U30=0,0,U17/TrRoad_act!U30*1000
)</f>
        <v>230.4857336321312</v>
      </c>
      <c r="V54" s="62">
        <f>IF(TrRoad_act!V30=0,0,V17/TrRoad_act!V30*1000
)</f>
        <v>221.89806894890725</v>
      </c>
      <c r="W54" s="62">
        <f>IF(TrRoad_act!W30=0,0,W17/TrRoad_act!W30*1000
)</f>
        <v>229.14872415624308</v>
      </c>
      <c r="X54" s="62">
        <f>IF(TrRoad_act!X30=0,0,X17/TrRoad_act!X30*1000
)</f>
        <v>219.87158499309928</v>
      </c>
      <c r="Y54" s="62">
        <f>IF(TrRoad_act!Y30=0,0,Y17/TrRoad_act!Y30*1000
)</f>
        <v>213.59337258371713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217.2551284960077</v>
      </c>
      <c r="C55" s="29">
        <f>IF(TrRoad_act!C31=0,0,C18/TrRoad_act!C31*1000
)</f>
        <v>212.56959125043696</v>
      </c>
      <c r="D55" s="29">
        <f>IF(TrRoad_act!D31=0,0,D18/TrRoad_act!D31*1000
)</f>
        <v>210.12186908022852</v>
      </c>
      <c r="E55" s="29">
        <f>IF(TrRoad_act!E31=0,0,E18/TrRoad_act!E31*1000
)</f>
        <v>208.25834299451452</v>
      </c>
      <c r="F55" s="29">
        <f>IF(TrRoad_act!F31=0,0,F18/TrRoad_act!F31*1000
)</f>
        <v>208.7557475417386</v>
      </c>
      <c r="G55" s="29">
        <f>IF(TrRoad_act!G31=0,0,G18/TrRoad_act!G31*1000
)</f>
        <v>207.21748417861215</v>
      </c>
      <c r="H55" s="29">
        <f>IF(TrRoad_act!H31=0,0,H18/TrRoad_act!H31*1000
)</f>
        <v>205.2820531419145</v>
      </c>
      <c r="I55" s="29">
        <f>IF(TrRoad_act!I31=0,0,I18/TrRoad_act!I31*1000
)</f>
        <v>203.07837269218874</v>
      </c>
      <c r="J55" s="29">
        <f>IF(TrRoad_act!J31=0,0,J18/TrRoad_act!J31*1000
)</f>
        <v>202.17439811151195</v>
      </c>
      <c r="K55" s="29">
        <f>IF(TrRoad_act!K31=0,0,K18/TrRoad_act!K31*1000
)</f>
        <v>198.19538643375341</v>
      </c>
      <c r="L55" s="29">
        <f>IF(TrRoad_act!L31=0,0,L18/TrRoad_act!L31*1000
)</f>
        <v>190.61332611250123</v>
      </c>
      <c r="M55" s="29">
        <f>IF(TrRoad_act!M31=0,0,M18/TrRoad_act!M31*1000
)</f>
        <v>186.82030862116858</v>
      </c>
      <c r="N55" s="29">
        <f>IF(TrRoad_act!N31=0,0,N18/TrRoad_act!N31*1000
)</f>
        <v>183.76296012646384</v>
      </c>
      <c r="O55" s="29">
        <f>IF(TrRoad_act!O31=0,0,O18/TrRoad_act!O31*1000
)</f>
        <v>181.82449420062682</v>
      </c>
      <c r="P55" s="29">
        <f>IF(TrRoad_act!P31=0,0,P18/TrRoad_act!P31*1000
)</f>
        <v>177.56031536711259</v>
      </c>
      <c r="Q55" s="29">
        <f>IF(TrRoad_act!Q31=0,0,Q18/TrRoad_act!Q31*1000
)</f>
        <v>179.27584441706964</v>
      </c>
      <c r="R55" s="29">
        <f>IF(TrRoad_act!R31=0,0,R18/TrRoad_act!R31*1000
)</f>
        <v>176.22052644005876</v>
      </c>
      <c r="S55" s="29">
        <f>IF(TrRoad_act!S31=0,0,S18/TrRoad_act!S31*1000
)</f>
        <v>173.68273369622921</v>
      </c>
      <c r="T55" s="29">
        <f>IF(TrRoad_act!T31=0,0,T18/TrRoad_act!T31*1000
)</f>
        <v>172.44475271988995</v>
      </c>
      <c r="U55" s="29">
        <f>IF(TrRoad_act!U31=0,0,U18/TrRoad_act!U31*1000
)</f>
        <v>169.52915656422689</v>
      </c>
      <c r="V55" s="29">
        <f>IF(TrRoad_act!V31=0,0,V18/TrRoad_act!V31*1000
)</f>
        <v>160.4888241371456</v>
      </c>
      <c r="W55" s="29">
        <f>IF(TrRoad_act!W31=0,0,W18/TrRoad_act!W31*1000
)</f>
        <v>163.02875384036957</v>
      </c>
      <c r="X55" s="29">
        <f>IF(TrRoad_act!X31=0,0,X18/TrRoad_act!X31*1000
)</f>
        <v>156.89785066639968</v>
      </c>
      <c r="Y55" s="29">
        <f>IF(TrRoad_act!Y31=0,0,Y18/TrRoad_act!Y31*1000
)</f>
        <v>150.16654018264524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126.52340675549398</v>
      </c>
      <c r="C56" s="152">
        <f>IF(TrRoad_act!C32=0,0,C19/TrRoad_act!C32*1000
)</f>
        <v>125.19678714875445</v>
      </c>
      <c r="D56" s="152">
        <f>IF(TrRoad_act!D32=0,0,D19/TrRoad_act!D32*1000
)</f>
        <v>123.98008696046611</v>
      </c>
      <c r="E56" s="152">
        <f>IF(TrRoad_act!E32=0,0,E19/TrRoad_act!E32*1000
)</f>
        <v>122.76780757829351</v>
      </c>
      <c r="F56" s="152">
        <f>IF(TrRoad_act!F32=0,0,F19/TrRoad_act!F32*1000
)</f>
        <v>121.18208646962057</v>
      </c>
      <c r="G56" s="152">
        <f>IF(TrRoad_act!G32=0,0,G19/TrRoad_act!G32*1000
)</f>
        <v>119.17709205092275</v>
      </c>
      <c r="H56" s="152">
        <f>IF(TrRoad_act!H32=0,0,H19/TrRoad_act!H32*1000
)</f>
        <v>118.46843792646408</v>
      </c>
      <c r="I56" s="152">
        <f>IF(TrRoad_act!I32=0,0,I19/TrRoad_act!I32*1000
)</f>
        <v>117.13031480768255</v>
      </c>
      <c r="J56" s="152">
        <f>IF(TrRoad_act!J32=0,0,J19/TrRoad_act!J32*1000
)</f>
        <v>115.92135226839412</v>
      </c>
      <c r="K56" s="152">
        <f>IF(TrRoad_act!K32=0,0,K19/TrRoad_act!K32*1000
)</f>
        <v>112.88067052513078</v>
      </c>
      <c r="L56" s="152">
        <f>IF(TrRoad_act!L32=0,0,L19/TrRoad_act!L32*1000
)</f>
        <v>108.11506698651347</v>
      </c>
      <c r="M56" s="152">
        <f>IF(TrRoad_act!M32=0,0,M19/TrRoad_act!M32*1000
)</f>
        <v>106.40380373410026</v>
      </c>
      <c r="N56" s="152">
        <f>IF(TrRoad_act!N32=0,0,N19/TrRoad_act!N32*1000
)</f>
        <v>105.03333573742474</v>
      </c>
      <c r="O56" s="152">
        <f>IF(TrRoad_act!O32=0,0,O19/TrRoad_act!O32*1000
)</f>
        <v>104.42260043412134</v>
      </c>
      <c r="P56" s="152">
        <f>IF(TrRoad_act!P32=0,0,P19/TrRoad_act!P32*1000
)</f>
        <v>104.90322257894849</v>
      </c>
      <c r="Q56" s="152">
        <f>IF(TrRoad_act!Q32=0,0,Q19/TrRoad_act!Q32*1000
)</f>
        <v>104.14852581237039</v>
      </c>
      <c r="R56" s="152">
        <f>IF(TrRoad_act!R32=0,0,R19/TrRoad_act!R32*1000
)</f>
        <v>98.727514896360887</v>
      </c>
      <c r="S56" s="152">
        <f>IF(TrRoad_act!S32=0,0,S19/TrRoad_act!S32*1000
)</f>
        <v>96.768040272062066</v>
      </c>
      <c r="T56" s="152">
        <f>IF(TrRoad_act!T32=0,0,T19/TrRoad_act!T32*1000
)</f>
        <v>95.864257871466748</v>
      </c>
      <c r="U56" s="152">
        <f>IF(TrRoad_act!U32=0,0,U19/TrRoad_act!U32*1000
)</f>
        <v>95.304202718024527</v>
      </c>
      <c r="V56" s="152">
        <f>IF(TrRoad_act!V32=0,0,V19/TrRoad_act!V32*1000
)</f>
        <v>89.924265659036138</v>
      </c>
      <c r="W56" s="152">
        <f>IF(TrRoad_act!W32=0,0,W19/TrRoad_act!W32*1000
)</f>
        <v>93.178460173087387</v>
      </c>
      <c r="X56" s="152">
        <f>IF(TrRoad_act!X32=0,0,X19/TrRoad_act!X32*1000
)</f>
        <v>93.787159635464079</v>
      </c>
      <c r="Y56" s="152">
        <f>IF(TrRoad_act!Y32=0,0,Y19/TrRoad_act!Y32*1000
)</f>
        <v>93.497285168454795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204.82247751153105</v>
      </c>
      <c r="C57" s="116">
        <f>IF(TrRoad_act!C33=0,0,C20/TrRoad_act!C33*1000
)</f>
        <v>200.69607945973095</v>
      </c>
      <c r="D57" s="116">
        <f>IF(TrRoad_act!D33=0,0,D20/TrRoad_act!D33*1000
)</f>
        <v>198.54216713199671</v>
      </c>
      <c r="E57" s="116">
        <f>IF(TrRoad_act!E33=0,0,E20/TrRoad_act!E33*1000
)</f>
        <v>197.04601468969906</v>
      </c>
      <c r="F57" s="116">
        <f>IF(TrRoad_act!F33=0,0,F20/TrRoad_act!F33*1000
)</f>
        <v>197.68599768969295</v>
      </c>
      <c r="G57" s="116">
        <f>IF(TrRoad_act!G33=0,0,G20/TrRoad_act!G33*1000
)</f>
        <v>195.99259552266344</v>
      </c>
      <c r="H57" s="116">
        <f>IF(TrRoad_act!H33=0,0,H20/TrRoad_act!H33*1000
)</f>
        <v>194.69435815890395</v>
      </c>
      <c r="I57" s="116">
        <f>IF(TrRoad_act!I33=0,0,I20/TrRoad_act!I33*1000
)</f>
        <v>193.13741172176663</v>
      </c>
      <c r="J57" s="116">
        <f>IF(TrRoad_act!J33=0,0,J20/TrRoad_act!J33*1000
)</f>
        <v>192.2540652145496</v>
      </c>
      <c r="K57" s="116">
        <f>IF(TrRoad_act!K33=0,0,K20/TrRoad_act!K33*1000
)</f>
        <v>188.67872848423258</v>
      </c>
      <c r="L57" s="116">
        <f>IF(TrRoad_act!L33=0,0,L20/TrRoad_act!L33*1000
)</f>
        <v>181.32374867367938</v>
      </c>
      <c r="M57" s="116">
        <f>IF(TrRoad_act!M33=0,0,M20/TrRoad_act!M33*1000
)</f>
        <v>177.90686886829181</v>
      </c>
      <c r="N57" s="116">
        <f>IF(TrRoad_act!N33=0,0,N20/TrRoad_act!N33*1000
)</f>
        <v>174.99277636158305</v>
      </c>
      <c r="O57" s="116">
        <f>IF(TrRoad_act!O33=0,0,O20/TrRoad_act!O33*1000
)</f>
        <v>172.77102949826767</v>
      </c>
      <c r="P57" s="116">
        <f>IF(TrRoad_act!P33=0,0,P20/TrRoad_act!P33*1000
)</f>
        <v>168.71185304932374</v>
      </c>
      <c r="Q57" s="116">
        <f>IF(TrRoad_act!Q33=0,0,Q20/TrRoad_act!Q33*1000
)</f>
        <v>170.064080475758</v>
      </c>
      <c r="R57" s="116">
        <f>IF(TrRoad_act!R33=0,0,R20/TrRoad_act!R33*1000
)</f>
        <v>167.4011880069817</v>
      </c>
      <c r="S57" s="116">
        <f>IF(TrRoad_act!S33=0,0,S20/TrRoad_act!S33*1000
)</f>
        <v>164.19790870650897</v>
      </c>
      <c r="T57" s="116">
        <f>IF(TrRoad_act!T33=0,0,T20/TrRoad_act!T33*1000
)</f>
        <v>162.46305725177427</v>
      </c>
      <c r="U57" s="116">
        <f>IF(TrRoad_act!U33=0,0,U20/TrRoad_act!U33*1000
)</f>
        <v>159.61027096528156</v>
      </c>
      <c r="V57" s="116">
        <f>IF(TrRoad_act!V33=0,0,V20/TrRoad_act!V33*1000
)</f>
        <v>149.59726443695922</v>
      </c>
      <c r="W57" s="116">
        <f>IF(TrRoad_act!W33=0,0,W20/TrRoad_act!W33*1000
)</f>
        <v>152.37620150348096</v>
      </c>
      <c r="X57" s="116">
        <f>IF(TrRoad_act!X33=0,0,X20/TrRoad_act!X33*1000
)</f>
        <v>146.96611187815159</v>
      </c>
      <c r="Y57" s="116">
        <f>IF(TrRoad_act!Y33=0,0,Y20/TrRoad_act!Y33*1000
)</f>
        <v>140.73789798134908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190.48893296262048</v>
      </c>
      <c r="C58" s="87">
        <f>IF(TrRoad_act!C34=0,0,C21/TrRoad_act!C34*1000
)</f>
        <v>189.16897077869768</v>
      </c>
      <c r="D58" s="87">
        <f>IF(TrRoad_act!D34=0,0,D21/TrRoad_act!D34*1000
)</f>
        <v>188.57782712636964</v>
      </c>
      <c r="E58" s="87">
        <f>IF(TrRoad_act!E34=0,0,E21/TrRoad_act!E34*1000
)</f>
        <v>188.54691306025509</v>
      </c>
      <c r="F58" s="87">
        <f>IF(TrRoad_act!F34=0,0,F21/TrRoad_act!F34*1000
)</f>
        <v>191.39903938293199</v>
      </c>
      <c r="G58" s="87">
        <f>IF(TrRoad_act!G34=0,0,G21/TrRoad_act!G34*1000
)</f>
        <v>190.79386145666331</v>
      </c>
      <c r="H58" s="87">
        <f>IF(TrRoad_act!H34=0,0,H21/TrRoad_act!H34*1000
)</f>
        <v>189.98342265051994</v>
      </c>
      <c r="I58" s="87">
        <f>IF(TrRoad_act!I34=0,0,I21/TrRoad_act!I34*1000
)</f>
        <v>189.56948410825026</v>
      </c>
      <c r="J58" s="87">
        <f>IF(TrRoad_act!J34=0,0,J21/TrRoad_act!J34*1000
)</f>
        <v>188.67007606355656</v>
      </c>
      <c r="K58" s="87">
        <f>IF(TrRoad_act!K34=0,0,K21/TrRoad_act!K34*1000
)</f>
        <v>186.72089147396474</v>
      </c>
      <c r="L58" s="87">
        <f>IF(TrRoad_act!L34=0,0,L21/TrRoad_act!L34*1000
)</f>
        <v>179.5443145791721</v>
      </c>
      <c r="M58" s="87">
        <f>IF(TrRoad_act!M34=0,0,M21/TrRoad_act!M34*1000
)</f>
        <v>175.92109793500941</v>
      </c>
      <c r="N58" s="87">
        <f>IF(TrRoad_act!N34=0,0,N21/TrRoad_act!N34*1000
)</f>
        <v>174.36522651872122</v>
      </c>
      <c r="O58" s="87">
        <f>IF(TrRoad_act!O34=0,0,O21/TrRoad_act!O34*1000
)</f>
        <v>171.62139143869771</v>
      </c>
      <c r="P58" s="87">
        <f>IF(TrRoad_act!P34=0,0,P21/TrRoad_act!P34*1000
)</f>
        <v>170.53445312463799</v>
      </c>
      <c r="Q58" s="87">
        <f>IF(TrRoad_act!Q34=0,0,Q21/TrRoad_act!Q34*1000
)</f>
        <v>167.75276436636864</v>
      </c>
      <c r="R58" s="87">
        <f>IF(TrRoad_act!R34=0,0,R21/TrRoad_act!R34*1000
)</f>
        <v>172.19972019580692</v>
      </c>
      <c r="S58" s="87">
        <f>IF(TrRoad_act!S34=0,0,S21/TrRoad_act!S34*1000
)</f>
        <v>162.70747909435192</v>
      </c>
      <c r="T58" s="87">
        <f>IF(TrRoad_act!T34=0,0,T21/TrRoad_act!T34*1000
)</f>
        <v>159.52128408686815</v>
      </c>
      <c r="U58" s="87">
        <f>IF(TrRoad_act!U34=0,0,U21/TrRoad_act!U34*1000
)</f>
        <v>157.06242788933673</v>
      </c>
      <c r="V58" s="87">
        <f>IF(TrRoad_act!V34=0,0,V21/TrRoad_act!V34*1000
)</f>
        <v>149.41670852466507</v>
      </c>
      <c r="W58" s="87">
        <f>IF(TrRoad_act!W34=0,0,W21/TrRoad_act!W34*1000
)</f>
        <v>155.94937883692293</v>
      </c>
      <c r="X58" s="87">
        <f>IF(TrRoad_act!X34=0,0,X21/TrRoad_act!X34*1000
)</f>
        <v>151.09186828266726</v>
      </c>
      <c r="Y58" s="87">
        <f>IF(TrRoad_act!Y34=0,0,Y21/TrRoad_act!Y34*1000
)</f>
        <v>145.26924011509894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216.65510136731427</v>
      </c>
      <c r="C59" s="87">
        <f>IF(TrRoad_act!C35=0,0,C22/TrRoad_act!C35*1000
)</f>
        <v>209.24751833622753</v>
      </c>
      <c r="D59" s="87">
        <f>IF(TrRoad_act!D35=0,0,D22/TrRoad_act!D35*1000
)</f>
        <v>206.01726381465076</v>
      </c>
      <c r="E59" s="87">
        <f>IF(TrRoad_act!E35=0,0,E22/TrRoad_act!E35*1000
)</f>
        <v>203.3780749856929</v>
      </c>
      <c r="F59" s="87">
        <f>IF(TrRoad_act!F35=0,0,F22/TrRoad_act!F35*1000
)</f>
        <v>201.81754853767183</v>
      </c>
      <c r="G59" s="87">
        <f>IF(TrRoad_act!G35=0,0,G22/TrRoad_act!G35*1000
)</f>
        <v>199.08575840042977</v>
      </c>
      <c r="H59" s="87">
        <f>IF(TrRoad_act!H35=0,0,H22/TrRoad_act!H35*1000
)</f>
        <v>197.00229567521532</v>
      </c>
      <c r="I59" s="87">
        <f>IF(TrRoad_act!I35=0,0,I22/TrRoad_act!I35*1000
)</f>
        <v>194.80271662152856</v>
      </c>
      <c r="J59" s="87">
        <f>IF(TrRoad_act!J35=0,0,J22/TrRoad_act!J35*1000
)</f>
        <v>193.63954277733401</v>
      </c>
      <c r="K59" s="87">
        <f>IF(TrRoad_act!K35=0,0,K22/TrRoad_act!K35*1000
)</f>
        <v>189.38109453191007</v>
      </c>
      <c r="L59" s="87">
        <f>IF(TrRoad_act!L35=0,0,L22/TrRoad_act!L35*1000
)</f>
        <v>181.80676041443164</v>
      </c>
      <c r="M59" s="87">
        <f>IF(TrRoad_act!M35=0,0,M22/TrRoad_act!M35*1000
)</f>
        <v>178.4442608273373</v>
      </c>
      <c r="N59" s="87">
        <f>IF(TrRoad_act!N35=0,0,N22/TrRoad_act!N35*1000
)</f>
        <v>175.24212858520698</v>
      </c>
      <c r="O59" s="87">
        <f>IF(TrRoad_act!O35=0,0,O22/TrRoad_act!O35*1000
)</f>
        <v>173.1289600532148</v>
      </c>
      <c r="P59" s="87">
        <f>IF(TrRoad_act!P35=0,0,P22/TrRoad_act!P35*1000
)</f>
        <v>168.2612762038882</v>
      </c>
      <c r="Q59" s="87">
        <f>IF(TrRoad_act!Q35=0,0,Q22/TrRoad_act!Q35*1000
)</f>
        <v>170.75927349969371</v>
      </c>
      <c r="R59" s="87">
        <f>IF(TrRoad_act!R35=0,0,R22/TrRoad_act!R35*1000
)</f>
        <v>165.62394162067142</v>
      </c>
      <c r="S59" s="87">
        <f>IF(TrRoad_act!S35=0,0,S22/TrRoad_act!S35*1000
)</f>
        <v>165.10540921553087</v>
      </c>
      <c r="T59" s="87">
        <f>IF(TrRoad_act!T35=0,0,T22/TrRoad_act!T35*1000
)</f>
        <v>164.52241579742028</v>
      </c>
      <c r="U59" s="87">
        <f>IF(TrRoad_act!U35=0,0,U22/TrRoad_act!U35*1000
)</f>
        <v>161.91617039382763</v>
      </c>
      <c r="V59" s="87">
        <f>IF(TrRoad_act!V35=0,0,V22/TrRoad_act!V35*1000
)</f>
        <v>150.69521750569268</v>
      </c>
      <c r="W59" s="87">
        <f>IF(TrRoad_act!W35=0,0,W22/TrRoad_act!W35*1000
)</f>
        <v>152.79748101238846</v>
      </c>
      <c r="X59" s="87">
        <f>IF(TrRoad_act!X35=0,0,X22/TrRoad_act!X35*1000
)</f>
        <v>150.50726253806494</v>
      </c>
      <c r="Y59" s="87">
        <f>IF(TrRoad_act!Y35=0,0,Y22/TrRoad_act!Y35*1000
)</f>
        <v>150.70139047415321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180.74300981545204</v>
      </c>
      <c r="C60" s="87">
        <f>IF(TrRoad_act!C36=0,0,C23/TrRoad_act!C36*1000
)</f>
        <v>188.33737666066196</v>
      </c>
      <c r="D60" s="87">
        <f>IF(TrRoad_act!D36=0,0,D23/TrRoad_act!D36*1000
)</f>
        <v>154.28064855135827</v>
      </c>
      <c r="E60" s="87">
        <f>IF(TrRoad_act!E36=0,0,E23/TrRoad_act!E36*1000
)</f>
        <v>144.68007691285487</v>
      </c>
      <c r="F60" s="87">
        <f>IF(TrRoad_act!F36=0,0,F23/TrRoad_act!F36*1000
)</f>
        <v>144.92994153955905</v>
      </c>
      <c r="G60" s="87">
        <f>IF(TrRoad_act!G36=0,0,G23/TrRoad_act!G36*1000
)</f>
        <v>158.70500361253855</v>
      </c>
      <c r="H60" s="87">
        <f>IF(TrRoad_act!H36=0,0,H23/TrRoad_act!H36*1000
)</f>
        <v>168.99541337809185</v>
      </c>
      <c r="I60" s="87">
        <f>IF(TrRoad_act!I36=0,0,I23/TrRoad_act!I36*1000
)</f>
        <v>157.21681080012431</v>
      </c>
      <c r="J60" s="87">
        <f>IF(TrRoad_act!J36=0,0,J23/TrRoad_act!J36*1000
)</f>
        <v>163.27870057547597</v>
      </c>
      <c r="K60" s="87">
        <f>IF(TrRoad_act!K36=0,0,K23/TrRoad_act!K36*1000
)</f>
        <v>173.5446667038363</v>
      </c>
      <c r="L60" s="87">
        <f>IF(TrRoad_act!L36=0,0,L23/TrRoad_act!L36*1000
)</f>
        <v>182.34364753579857</v>
      </c>
      <c r="M60" s="87">
        <f>IF(TrRoad_act!M36=0,0,M23/TrRoad_act!M36*1000
)</f>
        <v>177.45392124207331</v>
      </c>
      <c r="N60" s="87">
        <f>IF(TrRoad_act!N36=0,0,N23/TrRoad_act!N36*1000
)</f>
        <v>168.56072475290887</v>
      </c>
      <c r="O60" s="87">
        <f>IF(TrRoad_act!O36=0,0,O23/TrRoad_act!O36*1000
)</f>
        <v>171.71214932541045</v>
      </c>
      <c r="P60" s="87">
        <f>IF(TrRoad_act!P36=0,0,P23/TrRoad_act!P36*1000
)</f>
        <v>170.91575341623454</v>
      </c>
      <c r="Q60" s="87">
        <f>IF(TrRoad_act!Q36=0,0,Q23/TrRoad_act!Q36*1000
)</f>
        <v>187.9773229636975</v>
      </c>
      <c r="R60" s="87">
        <f>IF(TrRoad_act!R36=0,0,R23/TrRoad_act!R36*1000
)</f>
        <v>215.73772380238813</v>
      </c>
      <c r="S60" s="87">
        <f>IF(TrRoad_act!S36=0,0,S23/TrRoad_act!S36*1000
)</f>
        <v>199.91270356756453</v>
      </c>
      <c r="T60" s="87">
        <f>IF(TrRoad_act!T36=0,0,T23/TrRoad_act!T36*1000
)</f>
        <v>191.64114845684989</v>
      </c>
      <c r="U60" s="87">
        <f>IF(TrRoad_act!U36=0,0,U23/TrRoad_act!U36*1000
)</f>
        <v>197.52879110804724</v>
      </c>
      <c r="V60" s="87">
        <f>IF(TrRoad_act!V36=0,0,V23/TrRoad_act!V36*1000
)</f>
        <v>191.90812828499202</v>
      </c>
      <c r="W60" s="87">
        <f>IF(TrRoad_act!W36=0,0,W23/TrRoad_act!W36*1000
)</f>
        <v>187.15177078428934</v>
      </c>
      <c r="X60" s="87">
        <f>IF(TrRoad_act!X36=0,0,X23/TrRoad_act!X36*1000
)</f>
        <v>189.68940416281015</v>
      </c>
      <c r="Y60" s="87">
        <f>IF(TrRoad_act!Y36=0,0,Y23/TrRoad_act!Y36*1000
)</f>
        <v>197.20420252365128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156.79448303643349</v>
      </c>
      <c r="G61" s="87">
        <f>IF(TrRoad_act!G37=0,0,G24/TrRoad_act!G37*1000
)</f>
        <v>153.61509183083288</v>
      </c>
      <c r="H61" s="87">
        <f>IF(TrRoad_act!H37=0,0,H24/TrRoad_act!H37*1000
)</f>
        <v>143.25568889663668</v>
      </c>
      <c r="I61" s="87">
        <f>IF(TrRoad_act!I37=0,0,I24/TrRoad_act!I37*1000
)</f>
        <v>143.10537545343044</v>
      </c>
      <c r="J61" s="87">
        <f>IF(TrRoad_act!J37=0,0,J24/TrRoad_act!J37*1000
)</f>
        <v>92.952012522200107</v>
      </c>
      <c r="K61" s="87">
        <f>IF(TrRoad_act!K37=0,0,K24/TrRoad_act!K37*1000
)</f>
        <v>69.855964457901038</v>
      </c>
      <c r="L61" s="87">
        <f>IF(TrRoad_act!L37=0,0,L24/TrRoad_act!L37*1000
)</f>
        <v>59.134653266257594</v>
      </c>
      <c r="M61" s="87">
        <f>IF(TrRoad_act!M37=0,0,M24/TrRoad_act!M37*1000
)</f>
        <v>68.636045264612989</v>
      </c>
      <c r="N61" s="87">
        <f>IF(TrRoad_act!N37=0,0,N24/TrRoad_act!N37*1000
)</f>
        <v>144.88024085026353</v>
      </c>
      <c r="O61" s="87">
        <f>IF(TrRoad_act!O37=0,0,O24/TrRoad_act!O37*1000
)</f>
        <v>189.63233734776233</v>
      </c>
      <c r="P61" s="87">
        <f>IF(TrRoad_act!P37=0,0,P24/TrRoad_act!P37*1000
)</f>
        <v>164.99752288400367</v>
      </c>
      <c r="Q61" s="87">
        <f>IF(TrRoad_act!Q37=0,0,Q24/TrRoad_act!Q37*1000
)</f>
        <v>166.26576713975655</v>
      </c>
      <c r="R61" s="87">
        <f>IF(TrRoad_act!R37=0,0,R24/TrRoad_act!R37*1000
)</f>
        <v>160.81065026229811</v>
      </c>
      <c r="S61" s="87">
        <f>IF(TrRoad_act!S37=0,0,S24/TrRoad_act!S37*1000
)</f>
        <v>162.15250681084535</v>
      </c>
      <c r="T61" s="87">
        <f>IF(TrRoad_act!T37=0,0,T24/TrRoad_act!T37*1000
)</f>
        <v>156.73410213913149</v>
      </c>
      <c r="U61" s="87">
        <f>IF(TrRoad_act!U37=0,0,U24/TrRoad_act!U37*1000
)</f>
        <v>213.90424306184204</v>
      </c>
      <c r="V61" s="87">
        <f>IF(TrRoad_act!V37=0,0,V24/TrRoad_act!V37*1000
)</f>
        <v>306.77401043879911</v>
      </c>
      <c r="W61" s="87">
        <f>IF(TrRoad_act!W37=0,0,W24/TrRoad_act!W37*1000
)</f>
        <v>390.50826497356985</v>
      </c>
      <c r="X61" s="87">
        <f>IF(TrRoad_act!X37=0,0,X24/TrRoad_act!X37*1000
)</f>
        <v>317.01090406614111</v>
      </c>
      <c r="Y61" s="87">
        <f>IF(TrRoad_act!Y37=0,0,Y24/TrRoad_act!Y37*1000
)</f>
        <v>343.75329880713082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67.243999571809908</v>
      </c>
      <c r="N62" s="87">
        <f>IF(TrRoad_act!N38=0,0,N25/TrRoad_act!N38*1000
)</f>
        <v>42.304440416954989</v>
      </c>
      <c r="O62" s="87">
        <f>IF(TrRoad_act!O38=0,0,O25/TrRoad_act!O38*1000
)</f>
        <v>47.549277341902901</v>
      </c>
      <c r="P62" s="87">
        <f>IF(TrRoad_act!P38=0,0,P25/TrRoad_act!P38*1000
)</f>
        <v>54.00532936533255</v>
      </c>
      <c r="Q62" s="87">
        <f>IF(TrRoad_act!Q38=0,0,Q25/TrRoad_act!Q38*1000
)</f>
        <v>64.15067876292575</v>
      </c>
      <c r="R62" s="87">
        <f>IF(TrRoad_act!R38=0,0,R25/TrRoad_act!R38*1000
)</f>
        <v>71.590023928195777</v>
      </c>
      <c r="S62" s="87">
        <f>IF(TrRoad_act!S38=0,0,S25/TrRoad_act!S38*1000
)</f>
        <v>68.815748836901548</v>
      </c>
      <c r="T62" s="87">
        <f>IF(TrRoad_act!T38=0,0,T25/TrRoad_act!T38*1000
)</f>
        <v>67.602738754344273</v>
      </c>
      <c r="U62" s="87">
        <f>IF(TrRoad_act!U38=0,0,U25/TrRoad_act!U38*1000
)</f>
        <v>63.51773016469231</v>
      </c>
      <c r="V62" s="87">
        <f>IF(TrRoad_act!V38=0,0,V25/TrRoad_act!V38*1000
)</f>
        <v>53.301497942167011</v>
      </c>
      <c r="W62" s="87">
        <f>IF(TrRoad_act!W38=0,0,W25/TrRoad_act!W38*1000
)</f>
        <v>48.863312452259649</v>
      </c>
      <c r="X62" s="87">
        <f>IF(TrRoad_act!X38=0,0,X25/TrRoad_act!X38*1000
)</f>
        <v>42.752626979390875</v>
      </c>
      <c r="Y62" s="87">
        <f>IF(TrRoad_act!Y38=0,0,Y25/TrRoad_act!Y38*1000
)</f>
        <v>35.273513483540768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1837.8773457749719</v>
      </c>
      <c r="C64" s="116">
        <f>IF(TrRoad_act!C40=0,0,C27/TrRoad_act!C40*1000
)</f>
        <v>1801.9988698492564</v>
      </c>
      <c r="D64" s="116">
        <f>IF(TrRoad_act!D40=0,0,D27/TrRoad_act!D40*1000
)</f>
        <v>1764.7985422099332</v>
      </c>
      <c r="E64" s="116">
        <f>IF(TrRoad_act!E40=0,0,E27/TrRoad_act!E40*1000
)</f>
        <v>1762.5581860232589</v>
      </c>
      <c r="F64" s="116">
        <f>IF(TrRoad_act!F40=0,0,F27/TrRoad_act!F40*1000
)</f>
        <v>1761.1066419488195</v>
      </c>
      <c r="G64" s="116">
        <f>IF(TrRoad_act!G40=0,0,G27/TrRoad_act!G40*1000
)</f>
        <v>1742.9602098526359</v>
      </c>
      <c r="H64" s="116">
        <f>IF(TrRoad_act!H40=0,0,H27/TrRoad_act!H40*1000
)</f>
        <v>1736.2996631824976</v>
      </c>
      <c r="I64" s="116">
        <f>IF(TrRoad_act!I40=0,0,I27/TrRoad_act!I40*1000
)</f>
        <v>1721.9159350377092</v>
      </c>
      <c r="J64" s="116">
        <f>IF(TrRoad_act!J40=0,0,J27/TrRoad_act!J40*1000
)</f>
        <v>1722.0147311156486</v>
      </c>
      <c r="K64" s="116">
        <f>IF(TrRoad_act!K40=0,0,K27/TrRoad_act!K40*1000
)</f>
        <v>1681.7454535004965</v>
      </c>
      <c r="L64" s="116">
        <f>IF(TrRoad_act!L40=0,0,L27/TrRoad_act!L40*1000
)</f>
        <v>1631.9157339174249</v>
      </c>
      <c r="M64" s="116">
        <f>IF(TrRoad_act!M40=0,0,M27/TrRoad_act!M40*1000
)</f>
        <v>1614.979921873522</v>
      </c>
      <c r="N64" s="116">
        <f>IF(TrRoad_act!N40=0,0,N27/TrRoad_act!N40*1000
)</f>
        <v>1595.5334229450357</v>
      </c>
      <c r="O64" s="116">
        <f>IF(TrRoad_act!O40=0,0,O27/TrRoad_act!O40*1000
)</f>
        <v>1600.0163442278856</v>
      </c>
      <c r="P64" s="116">
        <f>IF(TrRoad_act!P40=0,0,P27/TrRoad_act!P40*1000
)</f>
        <v>1584.0504097479607</v>
      </c>
      <c r="Q64" s="116">
        <f>IF(TrRoad_act!Q40=0,0,Q27/TrRoad_act!Q40*1000
)</f>
        <v>1651.5210603207888</v>
      </c>
      <c r="R64" s="116">
        <f>IF(TrRoad_act!R40=0,0,R27/TrRoad_act!R40*1000
)</f>
        <v>1675.0031823332231</v>
      </c>
      <c r="S64" s="116">
        <f>IF(TrRoad_act!S40=0,0,S27/TrRoad_act!S40*1000
)</f>
        <v>1715.3773411711654</v>
      </c>
      <c r="T64" s="116">
        <f>IF(TrRoad_act!T40=0,0,T27/TrRoad_act!T40*1000
)</f>
        <v>1759.5972953098121</v>
      </c>
      <c r="U64" s="116">
        <f>IF(TrRoad_act!U40=0,0,U27/TrRoad_act!U40*1000
)</f>
        <v>1737.2820105057492</v>
      </c>
      <c r="V64" s="116">
        <f>IF(TrRoad_act!V40=0,0,V27/TrRoad_act!V40*1000
)</f>
        <v>1628.9643711446936</v>
      </c>
      <c r="W64" s="116">
        <f>IF(TrRoad_act!W40=0,0,W27/TrRoad_act!W40*1000
)</f>
        <v>1666.271700775259</v>
      </c>
      <c r="X64" s="116">
        <f>IF(TrRoad_act!X40=0,0,X27/TrRoad_act!X40*1000
)</f>
        <v>1635.8828817294063</v>
      </c>
      <c r="Y64" s="116">
        <f>IF(TrRoad_act!Y40=0,0,Y27/TrRoad_act!Y40*1000
)</f>
        <v>1616.2340805176934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539.78268907493782</v>
      </c>
      <c r="C65" s="101">
        <f>IF(TrRoad_act!C41=0,0,C28/TrRoad_act!C41*1000
)</f>
        <v>539.78268907493782</v>
      </c>
      <c r="D65" s="101">
        <f>IF(TrRoad_act!D41=0,0,D28/TrRoad_act!D41*1000
)</f>
        <v>539.78268907493793</v>
      </c>
      <c r="E65" s="101">
        <f>IF(TrRoad_act!E41=0,0,E28/TrRoad_act!E41*1000
)</f>
        <v>539.78268907493782</v>
      </c>
      <c r="F65" s="101">
        <f>IF(TrRoad_act!F41=0,0,F28/TrRoad_act!F41*1000
)</f>
        <v>539.78268907493793</v>
      </c>
      <c r="G65" s="101">
        <f>IF(TrRoad_act!G41=0,0,G28/TrRoad_act!G41*1000
)</f>
        <v>539.79394602521211</v>
      </c>
      <c r="H65" s="101">
        <f>IF(TrRoad_act!H41=0,0,H28/TrRoad_act!H41*1000
)</f>
        <v>539.79481063024173</v>
      </c>
      <c r="I65" s="101">
        <f>IF(TrRoad_act!I41=0,0,I28/TrRoad_act!I41*1000
)</f>
        <v>539.79552945616865</v>
      </c>
      <c r="J65" s="101">
        <f>IF(TrRoad_act!J41=0,0,J28/TrRoad_act!J41*1000
)</f>
        <v>539.79671423780019</v>
      </c>
      <c r="K65" s="101">
        <f>IF(TrRoad_act!K41=0,0,K28/TrRoad_act!K41*1000
)</f>
        <v>530.7456493374516</v>
      </c>
      <c r="L65" s="101">
        <f>IF(TrRoad_act!L41=0,0,L28/TrRoad_act!L41*1000
)</f>
        <v>511.97448511090494</v>
      </c>
      <c r="M65" s="101">
        <f>IF(TrRoad_act!M41=0,0,M28/TrRoad_act!M41*1000
)</f>
        <v>507.56684831884456</v>
      </c>
      <c r="N65" s="101">
        <f>IF(TrRoad_act!N41=0,0,N28/TrRoad_act!N41*1000
)</f>
        <v>507.59450598296149</v>
      </c>
      <c r="O65" s="101">
        <f>IF(TrRoad_act!O41=0,0,O28/TrRoad_act!O41*1000
)</f>
        <v>507.34668328712252</v>
      </c>
      <c r="P65" s="101">
        <f>IF(TrRoad_act!P41=0,0,P28/TrRoad_act!P41*1000
)</f>
        <v>514.40844532559652</v>
      </c>
      <c r="Q65" s="101">
        <f>IF(TrRoad_act!Q41=0,0,Q28/TrRoad_act!Q41*1000
)</f>
        <v>511.98514107595059</v>
      </c>
      <c r="R65" s="101">
        <f>IF(TrRoad_act!R41=0,0,R28/TrRoad_act!R41*1000
)</f>
        <v>509.43766467928043</v>
      </c>
      <c r="S65" s="101">
        <f>IF(TrRoad_act!S41=0,0,S28/TrRoad_act!S41*1000
)</f>
        <v>491.46435773836265</v>
      </c>
      <c r="T65" s="101">
        <f>IF(TrRoad_act!T41=0,0,T28/TrRoad_act!T41*1000
)</f>
        <v>489.99278486051702</v>
      </c>
      <c r="U65" s="101">
        <f>IF(TrRoad_act!U41=0,0,U28/TrRoad_act!U41*1000
)</f>
        <v>489.41016899115283</v>
      </c>
      <c r="V65" s="101">
        <f>IF(TrRoad_act!V41=0,0,V28/TrRoad_act!V41*1000
)</f>
        <v>482.76147761832794</v>
      </c>
      <c r="W65" s="101">
        <f>IF(TrRoad_act!W41=0,0,W28/TrRoad_act!W41*1000
)</f>
        <v>481.80840380786748</v>
      </c>
      <c r="X65" s="101">
        <f>IF(TrRoad_act!X41=0,0,X28/TrRoad_act!X41*1000
)</f>
        <v>484.87823355218262</v>
      </c>
      <c r="Y65" s="101">
        <f>IF(TrRoad_act!Y41=0,0,Y28/TrRoad_act!Y41*1000
)</f>
        <v>484.46203334601574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1855.7247976645001</v>
      </c>
      <c r="C66" s="101">
        <f>IF(TrRoad_act!C42=0,0,C29/TrRoad_act!C42*1000
)</f>
        <v>1819.0200044218707</v>
      </c>
      <c r="D66" s="101">
        <f>IF(TrRoad_act!D42=0,0,D29/TrRoad_act!D42*1000
)</f>
        <v>1780.008684900512</v>
      </c>
      <c r="E66" s="101">
        <f>IF(TrRoad_act!E42=0,0,E29/TrRoad_act!E42*1000
)</f>
        <v>1777.8206053928866</v>
      </c>
      <c r="F66" s="101">
        <f>IF(TrRoad_act!F42=0,0,F29/TrRoad_act!F42*1000
)</f>
        <v>1775.9827662731743</v>
      </c>
      <c r="G66" s="101">
        <f>IF(TrRoad_act!G42=0,0,G29/TrRoad_act!G42*1000
)</f>
        <v>1759.6678871459947</v>
      </c>
      <c r="H66" s="101">
        <f>IF(TrRoad_act!H42=0,0,H29/TrRoad_act!H42*1000
)</f>
        <v>1751.8690716504377</v>
      </c>
      <c r="I66" s="101">
        <f>IF(TrRoad_act!I42=0,0,I29/TrRoad_act!I42*1000
)</f>
        <v>1736.57680092839</v>
      </c>
      <c r="J66" s="101">
        <f>IF(TrRoad_act!J42=0,0,J29/TrRoad_act!J42*1000
)</f>
        <v>1735.3896080772693</v>
      </c>
      <c r="K66" s="101">
        <f>IF(TrRoad_act!K42=0,0,K29/TrRoad_act!K42*1000
)</f>
        <v>1693.9774732515634</v>
      </c>
      <c r="L66" s="101">
        <f>IF(TrRoad_act!L42=0,0,L29/TrRoad_act!L42*1000
)</f>
        <v>1642.8220472639314</v>
      </c>
      <c r="M66" s="101">
        <f>IF(TrRoad_act!M42=0,0,M29/TrRoad_act!M42*1000
)</f>
        <v>1625.5435884950034</v>
      </c>
      <c r="N66" s="101">
        <f>IF(TrRoad_act!N42=0,0,N29/TrRoad_act!N42*1000
)</f>
        <v>1605.6634707218786</v>
      </c>
      <c r="O66" s="101">
        <f>IF(TrRoad_act!O42=0,0,O29/TrRoad_act!O42*1000
)</f>
        <v>1609.8545380281369</v>
      </c>
      <c r="P66" s="101">
        <f>IF(TrRoad_act!P42=0,0,P29/TrRoad_act!P42*1000
)</f>
        <v>1593.1709546312368</v>
      </c>
      <c r="Q66" s="101">
        <f>IF(TrRoad_act!Q42=0,0,Q29/TrRoad_act!Q42*1000
)</f>
        <v>1660.8933391219875</v>
      </c>
      <c r="R66" s="101">
        <f>IF(TrRoad_act!R42=0,0,R29/TrRoad_act!R42*1000
)</f>
        <v>1685.2170932697584</v>
      </c>
      <c r="S66" s="101">
        <f>IF(TrRoad_act!S42=0,0,S29/TrRoad_act!S42*1000
)</f>
        <v>1725.7151564790433</v>
      </c>
      <c r="T66" s="101">
        <f>IF(TrRoad_act!T42=0,0,T29/TrRoad_act!T42*1000
)</f>
        <v>1771.6480886850186</v>
      </c>
      <c r="U66" s="101">
        <f>IF(TrRoad_act!U42=0,0,U29/TrRoad_act!U42*1000
)</f>
        <v>1752.3922541516181</v>
      </c>
      <c r="V66" s="101">
        <f>IF(TrRoad_act!V42=0,0,V29/TrRoad_act!V42*1000
)</f>
        <v>1643.3169010515855</v>
      </c>
      <c r="W66" s="101">
        <f>IF(TrRoad_act!W42=0,0,W29/TrRoad_act!W42*1000
)</f>
        <v>1673.2746607317749</v>
      </c>
      <c r="X66" s="101">
        <f>IF(TrRoad_act!X42=0,0,X29/TrRoad_act!X42*1000
)</f>
        <v>1650.7290769447336</v>
      </c>
      <c r="Y66" s="101">
        <f>IF(TrRoad_act!Y42=0,0,Y29/TrRoad_act!Y42*1000
)</f>
        <v>1648.3360305257415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879.95373889900634</v>
      </c>
      <c r="P68" s="101">
        <f>IF(TrRoad_act!P44=0,0,P31/TrRoad_act!P44*1000
)</f>
        <v>1181.5240792067816</v>
      </c>
      <c r="Q68" s="101">
        <f>IF(TrRoad_act!Q44=0,0,Q31/TrRoad_act!Q44*1000
)</f>
        <v>1193.5390614319865</v>
      </c>
      <c r="R68" s="101">
        <f>IF(TrRoad_act!R44=0,0,R31/TrRoad_act!R44*1000
)</f>
        <v>1147.0312711085444</v>
      </c>
      <c r="S68" s="101">
        <f>IF(TrRoad_act!S44=0,0,S31/TrRoad_act!S44*1000
)</f>
        <v>1149.3142815722547</v>
      </c>
      <c r="T68" s="101">
        <f>IF(TrRoad_act!T44=0,0,T31/TrRoad_act!T44*1000
)</f>
        <v>1086.1801470480091</v>
      </c>
      <c r="U68" s="101">
        <f>IF(TrRoad_act!U44=0,0,U31/TrRoad_act!U44*1000
)</f>
        <v>1525.2579883290718</v>
      </c>
      <c r="V68" s="101">
        <f>IF(TrRoad_act!V44=0,0,V31/TrRoad_act!V44*1000
)</f>
        <v>2243.7491709648389</v>
      </c>
      <c r="W68" s="101">
        <f>IF(TrRoad_act!W44=0,0,W31/TrRoad_act!W44*1000
)</f>
        <v>2875.1701867003871</v>
      </c>
      <c r="X68" s="101">
        <f>IF(TrRoad_act!X44=0,0,X31/TrRoad_act!X44*1000
)</f>
        <v>2343.0118080106381</v>
      </c>
      <c r="Y68" s="101">
        <f>IF(TrRoad_act!Y44=0,0,Y31/TrRoad_act!Y44*1000
)</f>
        <v>2545.311704051152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581.77454444805528</v>
      </c>
      <c r="C70" s="29">
        <f>IF(TrRoad_act!C46=0,0,C33/TrRoad_act!C46*1000
)</f>
        <v>594.05906321780003</v>
      </c>
      <c r="D70" s="29">
        <f>IF(TrRoad_act!D46=0,0,D33/TrRoad_act!D46*1000
)</f>
        <v>578.41082543171467</v>
      </c>
      <c r="E70" s="29">
        <f>IF(TrRoad_act!E46=0,0,E33/TrRoad_act!E46*1000
)</f>
        <v>573.51227474968778</v>
      </c>
      <c r="F70" s="29">
        <f>IF(TrRoad_act!F46=0,0,F33/TrRoad_act!F46*1000
)</f>
        <v>576.14797089796571</v>
      </c>
      <c r="G70" s="29">
        <f>IF(TrRoad_act!G46=0,0,G33/TrRoad_act!G46*1000
)</f>
        <v>561.40524404054645</v>
      </c>
      <c r="H70" s="29">
        <f>IF(TrRoad_act!H46=0,0,H33/TrRoad_act!H46*1000
)</f>
        <v>561.60684272123683</v>
      </c>
      <c r="I70" s="29">
        <f>IF(TrRoad_act!I46=0,0,I33/TrRoad_act!I46*1000
)</f>
        <v>550.96223465508751</v>
      </c>
      <c r="J70" s="29">
        <f>IF(TrRoad_act!J46=0,0,J33/TrRoad_act!J46*1000
)</f>
        <v>535.66433838784837</v>
      </c>
      <c r="K70" s="29">
        <f>IF(TrRoad_act!K46=0,0,K33/TrRoad_act!K46*1000
)</f>
        <v>511.94588792006545</v>
      </c>
      <c r="L70" s="29">
        <f>IF(TrRoad_act!L46=0,0,L33/TrRoad_act!L46*1000
)</f>
        <v>498.97779505406584</v>
      </c>
      <c r="M70" s="29">
        <f>IF(TrRoad_act!M46=0,0,M33/TrRoad_act!M46*1000
)</f>
        <v>492.3129307068703</v>
      </c>
      <c r="N70" s="29">
        <f>IF(TrRoad_act!N46=0,0,N33/TrRoad_act!N46*1000
)</f>
        <v>479.96045627360758</v>
      </c>
      <c r="O70" s="29">
        <f>IF(TrRoad_act!O46=0,0,O33/TrRoad_act!O46*1000
)</f>
        <v>493.15491844288914</v>
      </c>
      <c r="P70" s="29">
        <f>IF(TrRoad_act!P46=0,0,P33/TrRoad_act!P46*1000
)</f>
        <v>481.52274540065127</v>
      </c>
      <c r="Q70" s="29">
        <f>IF(TrRoad_act!Q46=0,0,Q33/TrRoad_act!Q46*1000
)</f>
        <v>507.36434082385273</v>
      </c>
      <c r="R70" s="29">
        <f>IF(TrRoad_act!R46=0,0,R33/TrRoad_act!R46*1000
)</f>
        <v>548.99899381847797</v>
      </c>
      <c r="S70" s="29">
        <f>IF(TrRoad_act!S46=0,0,S33/TrRoad_act!S46*1000
)</f>
        <v>583.17211405501951</v>
      </c>
      <c r="T70" s="29">
        <f>IF(TrRoad_act!T46=0,0,T33/TrRoad_act!T46*1000
)</f>
        <v>591.82183718080717</v>
      </c>
      <c r="U70" s="29">
        <f>IF(TrRoad_act!U46=0,0,U33/TrRoad_act!U46*1000
)</f>
        <v>578.00558169306976</v>
      </c>
      <c r="V70" s="29">
        <f>IF(TrRoad_act!V46=0,0,V33/TrRoad_act!V46*1000
)</f>
        <v>547.29281040500871</v>
      </c>
      <c r="W70" s="29">
        <f>IF(TrRoad_act!W46=0,0,W33/TrRoad_act!W46*1000
)</f>
        <v>533.65674613471526</v>
      </c>
      <c r="X70" s="29">
        <f>IF(TrRoad_act!X46=0,0,X33/TrRoad_act!X46*1000
)</f>
        <v>533.93569124123917</v>
      </c>
      <c r="Y70" s="29">
        <f>IF(TrRoad_act!Y46=0,0,Y33/TrRoad_act!Y46*1000
)</f>
        <v>528.02990968163806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421.33191615777821</v>
      </c>
      <c r="C71" s="152">
        <f>IF(TrRoad_act!C47=0,0,C34/TrRoad_act!C47*1000
)</f>
        <v>395.17648659147744</v>
      </c>
      <c r="D71" s="152">
        <f>IF(TrRoad_act!D47=0,0,D34/TrRoad_act!D47*1000
)</f>
        <v>383.76557712307789</v>
      </c>
      <c r="E71" s="152">
        <f>IF(TrRoad_act!E47=0,0,E34/TrRoad_act!E47*1000
)</f>
        <v>365.44029075476243</v>
      </c>
      <c r="F71" s="152">
        <f>IF(TrRoad_act!F47=0,0,F34/TrRoad_act!F47*1000
)</f>
        <v>349.69343200431064</v>
      </c>
      <c r="G71" s="152">
        <f>IF(TrRoad_act!G47=0,0,G34/TrRoad_act!G47*1000
)</f>
        <v>337.32407987294539</v>
      </c>
      <c r="H71" s="152">
        <f>IF(TrRoad_act!H47=0,0,H34/TrRoad_act!H47*1000
)</f>
        <v>328.03982160312125</v>
      </c>
      <c r="I71" s="152">
        <f>IF(TrRoad_act!I47=0,0,I34/TrRoad_act!I47*1000
)</f>
        <v>319.7953616645259</v>
      </c>
      <c r="J71" s="152">
        <f>IF(TrRoad_act!J47=0,0,J34/TrRoad_act!J47*1000
)</f>
        <v>310.68619238302693</v>
      </c>
      <c r="K71" s="152">
        <f>IF(TrRoad_act!K47=0,0,K34/TrRoad_act!K47*1000
)</f>
        <v>298.14523780033414</v>
      </c>
      <c r="L71" s="152">
        <f>IF(TrRoad_act!L47=0,0,L34/TrRoad_act!L47*1000
)</f>
        <v>287.54781848872602</v>
      </c>
      <c r="M71" s="152">
        <f>IF(TrRoad_act!M47=0,0,M34/TrRoad_act!M47*1000
)</f>
        <v>288.15141269902159</v>
      </c>
      <c r="N71" s="152">
        <f>IF(TrRoad_act!N47=0,0,N34/TrRoad_act!N47*1000
)</f>
        <v>286.04804707050494</v>
      </c>
      <c r="O71" s="152">
        <f>IF(TrRoad_act!O47=0,0,O34/TrRoad_act!O47*1000
)</f>
        <v>284.23611244994612</v>
      </c>
      <c r="P71" s="152">
        <f>IF(TrRoad_act!P47=0,0,P34/TrRoad_act!P47*1000
)</f>
        <v>279.07972091201373</v>
      </c>
      <c r="Q71" s="152">
        <f>IF(TrRoad_act!Q47=0,0,Q34/TrRoad_act!Q47*1000
)</f>
        <v>283.8693061389643</v>
      </c>
      <c r="R71" s="152">
        <f>IF(TrRoad_act!R47=0,0,R34/TrRoad_act!R47*1000
)</f>
        <v>274.54272805241123</v>
      </c>
      <c r="S71" s="152">
        <f>IF(TrRoad_act!S47=0,0,S34/TrRoad_act!S47*1000
)</f>
        <v>270.67975972708086</v>
      </c>
      <c r="T71" s="152">
        <f>IF(TrRoad_act!T47=0,0,T34/TrRoad_act!T47*1000
)</f>
        <v>267.93596111058281</v>
      </c>
      <c r="U71" s="152">
        <f>IF(TrRoad_act!U47=0,0,U34/TrRoad_act!U47*1000
)</f>
        <v>265.1721203598168</v>
      </c>
      <c r="V71" s="152">
        <f>IF(TrRoad_act!V47=0,0,V34/TrRoad_act!V47*1000
)</f>
        <v>252.91677601757655</v>
      </c>
      <c r="W71" s="152">
        <f>IF(TrRoad_act!W47=0,0,W34/TrRoad_act!W47*1000
)</f>
        <v>253.50605728365178</v>
      </c>
      <c r="X71" s="152">
        <f>IF(TrRoad_act!X47=0,0,X34/TrRoad_act!X47*1000
)</f>
        <v>250.48583868650476</v>
      </c>
      <c r="Y71" s="152">
        <f>IF(TrRoad_act!Y47=0,0,Y34/TrRoad_act!Y47*1000
)</f>
        <v>251.02468757161805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369.48310914134549</v>
      </c>
      <c r="C72" s="87">
        <f>IF(TrRoad_act!C48=0,0,C35/TrRoad_act!C48*1000
)</f>
        <v>351.0214054859693</v>
      </c>
      <c r="D72" s="87">
        <f>IF(TrRoad_act!D48=0,0,D35/TrRoad_act!D48*1000
)</f>
        <v>334.86254856707524</v>
      </c>
      <c r="E72" s="87">
        <f>IF(TrRoad_act!E48=0,0,E35/TrRoad_act!E48*1000
)</f>
        <v>321.67882794995961</v>
      </c>
      <c r="F72" s="87">
        <f>IF(TrRoad_act!F48=0,0,F35/TrRoad_act!F48*1000
)</f>
        <v>310.25181613266324</v>
      </c>
      <c r="G72" s="87">
        <f>IF(TrRoad_act!G48=0,0,G35/TrRoad_act!G48*1000
)</f>
        <v>301.39530141605161</v>
      </c>
      <c r="H72" s="87">
        <f>IF(TrRoad_act!H48=0,0,H35/TrRoad_act!H48*1000
)</f>
        <v>295.06791607638075</v>
      </c>
      <c r="I72" s="87">
        <f>IF(TrRoad_act!I48=0,0,I35/TrRoad_act!I48*1000
)</f>
        <v>287.57523848311484</v>
      </c>
      <c r="J72" s="87">
        <f>IF(TrRoad_act!J48=0,0,J35/TrRoad_act!J48*1000
)</f>
        <v>275.45854335305847</v>
      </c>
      <c r="K72" s="87">
        <f>IF(TrRoad_act!K48=0,0,K35/TrRoad_act!K48*1000
)</f>
        <v>260.78839985035211</v>
      </c>
      <c r="L72" s="87">
        <f>IF(TrRoad_act!L48=0,0,L35/TrRoad_act!L48*1000
)</f>
        <v>248.57246770777817</v>
      </c>
      <c r="M72" s="87">
        <f>IF(TrRoad_act!M48=0,0,M35/TrRoad_act!M48*1000
)</f>
        <v>248.87273566884431</v>
      </c>
      <c r="N72" s="87">
        <f>IF(TrRoad_act!N48=0,0,N35/TrRoad_act!N48*1000
)</f>
        <v>248.52672531037246</v>
      </c>
      <c r="O72" s="87">
        <f>IF(TrRoad_act!O48=0,0,O35/TrRoad_act!O48*1000
)</f>
        <v>247.12337788220543</v>
      </c>
      <c r="P72" s="87">
        <f>IF(TrRoad_act!P48=0,0,P35/TrRoad_act!P48*1000
)</f>
        <v>249.01853698491092</v>
      </c>
      <c r="Q72" s="87">
        <f>IF(TrRoad_act!Q48=0,0,Q35/TrRoad_act!Q48*1000
)</f>
        <v>245.98232305746058</v>
      </c>
      <c r="R72" s="87">
        <f>IF(TrRoad_act!R48=0,0,R35/TrRoad_act!R48*1000
)</f>
        <v>240.91459138008764</v>
      </c>
      <c r="S72" s="87">
        <f>IF(TrRoad_act!S48=0,0,S35/TrRoad_act!S48*1000
)</f>
        <v>227.54563107841778</v>
      </c>
      <c r="T72" s="87">
        <f>IF(TrRoad_act!T48=0,0,T35/TrRoad_act!T48*1000
)</f>
        <v>224.49832776929566</v>
      </c>
      <c r="U72" s="87">
        <f>IF(TrRoad_act!U48=0,0,U35/TrRoad_act!U48*1000
)</f>
        <v>222.22249092550888</v>
      </c>
      <c r="V72" s="87">
        <f>IF(TrRoad_act!V48=0,0,V35/TrRoad_act!V48*1000
)</f>
        <v>216.83094559270523</v>
      </c>
      <c r="W72" s="87">
        <f>IF(TrRoad_act!W48=0,0,W35/TrRoad_act!W48*1000
)</f>
        <v>214.10106629577021</v>
      </c>
      <c r="X72" s="87">
        <f>IF(TrRoad_act!X48=0,0,X35/TrRoad_act!X48*1000
)</f>
        <v>214.60669990737662</v>
      </c>
      <c r="Y72" s="87">
        <f>IF(TrRoad_act!Y48=0,0,Y35/TrRoad_act!Y48*1000
)</f>
        <v>217.26010402126494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420.93755001033799</v>
      </c>
      <c r="C73" s="87">
        <f>IF(TrRoad_act!C49=0,0,C36/TrRoad_act!C49*1000
)</f>
        <v>394.37352333059101</v>
      </c>
      <c r="D73" s="87">
        <f>IF(TrRoad_act!D49=0,0,D36/TrRoad_act!D49*1000
)</f>
        <v>383.39218668137357</v>
      </c>
      <c r="E73" s="87">
        <f>IF(TrRoad_act!E49=0,0,E36/TrRoad_act!E49*1000
)</f>
        <v>364.64700302040478</v>
      </c>
      <c r="F73" s="87">
        <f>IF(TrRoad_act!F49=0,0,F36/TrRoad_act!F49*1000
)</f>
        <v>348.76039437344684</v>
      </c>
      <c r="G73" s="87">
        <f>IF(TrRoad_act!G49=0,0,G36/TrRoad_act!G49*1000
)</f>
        <v>336.53912457592634</v>
      </c>
      <c r="H73" s="87">
        <f>IF(TrRoad_act!H49=0,0,H36/TrRoad_act!H49*1000
)</f>
        <v>327.39101046442744</v>
      </c>
      <c r="I73" s="87">
        <f>IF(TrRoad_act!I49=0,0,I36/TrRoad_act!I49*1000
)</f>
        <v>319.28618919893188</v>
      </c>
      <c r="J73" s="87">
        <f>IF(TrRoad_act!J49=0,0,J36/TrRoad_act!J49*1000
)</f>
        <v>310.68770954991766</v>
      </c>
      <c r="K73" s="87">
        <f>IF(TrRoad_act!K49=0,0,K36/TrRoad_act!K49*1000
)</f>
        <v>298.45144318123135</v>
      </c>
      <c r="L73" s="87">
        <f>IF(TrRoad_act!L49=0,0,L36/TrRoad_act!L49*1000
)</f>
        <v>288.03918604672873</v>
      </c>
      <c r="M73" s="87">
        <f>IF(TrRoad_act!M49=0,0,M36/TrRoad_act!M49*1000
)</f>
        <v>288.68382816517271</v>
      </c>
      <c r="N73" s="87">
        <f>IF(TrRoad_act!N49=0,0,N36/TrRoad_act!N49*1000
)</f>
        <v>286.6450258129974</v>
      </c>
      <c r="O73" s="87">
        <f>IF(TrRoad_act!O49=0,0,O36/TrRoad_act!O49*1000
)</f>
        <v>284.92945595461447</v>
      </c>
      <c r="P73" s="87">
        <f>IF(TrRoad_act!P49=0,0,P36/TrRoad_act!P49*1000
)</f>
        <v>279.53167562483333</v>
      </c>
      <c r="Q73" s="87">
        <f>IF(TrRoad_act!Q49=0,0,Q36/TrRoad_act!Q49*1000
)</f>
        <v>284.60913680883471</v>
      </c>
      <c r="R73" s="87">
        <f>IF(TrRoad_act!R49=0,0,R36/TrRoad_act!R49*1000
)</f>
        <v>275.240129596744</v>
      </c>
      <c r="S73" s="87">
        <f>IF(TrRoad_act!S49=0,0,S36/TrRoad_act!S49*1000
)</f>
        <v>271.88011021031519</v>
      </c>
      <c r="T73" s="87">
        <f>IF(TrRoad_act!T49=0,0,T36/TrRoad_act!T49*1000
)</f>
        <v>269.49169038158954</v>
      </c>
      <c r="U73" s="87">
        <f>IF(TrRoad_act!U49=0,0,U36/TrRoad_act!U49*1000
)</f>
        <v>266.75975124991555</v>
      </c>
      <c r="V73" s="87">
        <f>IF(TrRoad_act!V49=0,0,V36/TrRoad_act!V49*1000
)</f>
        <v>253.47108507173783</v>
      </c>
      <c r="W73" s="87">
        <f>IF(TrRoad_act!W49=0,0,W36/TrRoad_act!W49*1000
)</f>
        <v>253.75396319527854</v>
      </c>
      <c r="X73" s="87">
        <f>IF(TrRoad_act!X49=0,0,X36/TrRoad_act!X49*1000
)</f>
        <v>251.58514840994178</v>
      </c>
      <c r="Y73" s="87">
        <f>IF(TrRoad_act!Y49=0,0,Y36/TrRoad_act!Y49*1000
)</f>
        <v>251.95627311833317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560.1354726844047</v>
      </c>
      <c r="C74" s="87">
        <f>IF(TrRoad_act!C50=0,0,C37/TrRoad_act!C50*1000
)</f>
        <v>518.32763926112546</v>
      </c>
      <c r="D74" s="87">
        <f>IF(TrRoad_act!D50=0,0,D37/TrRoad_act!D50*1000
)</f>
        <v>506.30223250979788</v>
      </c>
      <c r="E74" s="87">
        <f>IF(TrRoad_act!E50=0,0,E37/TrRoad_act!E50*1000
)</f>
        <v>496.45088927366498</v>
      </c>
      <c r="F74" s="87">
        <f>IF(TrRoad_act!F50=0,0,F37/TrRoad_act!F50*1000
)</f>
        <v>475.10643311555771</v>
      </c>
      <c r="G74" s="87">
        <f>IF(TrRoad_act!G50=0,0,G37/TrRoad_act!G50*1000
)</f>
        <v>456.37961808882852</v>
      </c>
      <c r="H74" s="87">
        <f>IF(TrRoad_act!H50=0,0,H37/TrRoad_act!H50*1000
)</f>
        <v>435.91513505347297</v>
      </c>
      <c r="I74" s="87">
        <f>IF(TrRoad_act!I50=0,0,I37/TrRoad_act!I50*1000
)</f>
        <v>421.43834375700402</v>
      </c>
      <c r="J74" s="87">
        <f>IF(TrRoad_act!J50=0,0,J37/TrRoad_act!J50*1000
)</f>
        <v>394.59639842593293</v>
      </c>
      <c r="K74" s="87">
        <f>IF(TrRoad_act!K50=0,0,K37/TrRoad_act!K50*1000
)</f>
        <v>370.21639203002735</v>
      </c>
      <c r="L74" s="87">
        <f>IF(TrRoad_act!L50=0,0,L37/TrRoad_act!L50*1000
)</f>
        <v>354.39795799778892</v>
      </c>
      <c r="M74" s="87">
        <f>IF(TrRoad_act!M50=0,0,M37/TrRoad_act!M50*1000
)</f>
        <v>347.17967013474583</v>
      </c>
      <c r="N74" s="87">
        <f>IF(TrRoad_act!N50=0,0,N37/TrRoad_act!N50*1000
)</f>
        <v>343.17553693416642</v>
      </c>
      <c r="O74" s="87">
        <f>IF(TrRoad_act!O50=0,0,O37/TrRoad_act!O50*1000
)</f>
        <v>340.95850694660118</v>
      </c>
      <c r="P74" s="87">
        <f>IF(TrRoad_act!P50=0,0,P37/TrRoad_act!P50*1000
)</f>
        <v>339.4363101001494</v>
      </c>
      <c r="Q74" s="87">
        <f>IF(TrRoad_act!Q50=0,0,Q37/TrRoad_act!Q50*1000
)</f>
        <v>339.251043484842</v>
      </c>
      <c r="R74" s="87">
        <f>IF(TrRoad_act!R50=0,0,R37/TrRoad_act!R50*1000
)</f>
        <v>339.28222273728841</v>
      </c>
      <c r="S74" s="87">
        <f>IF(TrRoad_act!S50=0,0,S37/TrRoad_act!S50*1000
)</f>
        <v>339.19733556986284</v>
      </c>
      <c r="T74" s="87">
        <f>IF(TrRoad_act!T50=0,0,T37/TrRoad_act!T50*1000
)</f>
        <v>339.06844123785447</v>
      </c>
      <c r="U74" s="87">
        <f>IF(TrRoad_act!U50=0,0,U37/TrRoad_act!U50*1000
)</f>
        <v>338.94738884995274</v>
      </c>
      <c r="V74" s="87">
        <f>IF(TrRoad_act!V50=0,0,V37/TrRoad_act!V50*1000
)</f>
        <v>334.64289592469913</v>
      </c>
      <c r="W74" s="87">
        <f>IF(TrRoad_act!W50=0,0,W37/TrRoad_act!W50*1000
)</f>
        <v>332.81890646719904</v>
      </c>
      <c r="X74" s="87">
        <f>IF(TrRoad_act!X50=0,0,X37/TrRoad_act!X50*1000
)</f>
        <v>327.10236647736116</v>
      </c>
      <c r="Y74" s="87">
        <f>IF(TrRoad_act!Y50=0,0,Y37/TrRoad_act!Y50*1000
)</f>
        <v>322.35061592897011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219.97317861136776</v>
      </c>
      <c r="K75" s="87">
        <f>IF(TrRoad_act!K51=0,0,K38/TrRoad_act!K51*1000
)</f>
        <v>218.17881269691546</v>
      </c>
      <c r="L75" s="87">
        <f>IF(TrRoad_act!L51=0,0,L38/TrRoad_act!L51*1000
)</f>
        <v>216.89455064569589</v>
      </c>
      <c r="M75" s="87">
        <f>IF(TrRoad_act!M51=0,0,M38/TrRoad_act!M51*1000
)</f>
        <v>216.62799167791883</v>
      </c>
      <c r="N75" s="87">
        <f>IF(TrRoad_act!N51=0,0,N38/TrRoad_act!N51*1000
)</f>
        <v>217.75363483270181</v>
      </c>
      <c r="O75" s="87">
        <f>IF(TrRoad_act!O51=0,0,O38/TrRoad_act!O51*1000
)</f>
        <v>218.70602236359898</v>
      </c>
      <c r="P75" s="87">
        <f>IF(TrRoad_act!P51=0,0,P38/TrRoad_act!P51*1000
)</f>
        <v>225.11586174973644</v>
      </c>
      <c r="Q75" s="87">
        <f>IF(TrRoad_act!Q51=0,0,Q38/TrRoad_act!Q51*1000
)</f>
        <v>239.48702395318878</v>
      </c>
      <c r="R75" s="87">
        <f>IF(TrRoad_act!R51=0,0,R38/TrRoad_act!R51*1000
)</f>
        <v>240.7748336309273</v>
      </c>
      <c r="S75" s="87">
        <f>IF(TrRoad_act!S51=0,0,S38/TrRoad_act!S51*1000
)</f>
        <v>234.31534086112708</v>
      </c>
      <c r="T75" s="87">
        <f>IF(TrRoad_act!T51=0,0,T38/TrRoad_act!T51*1000
)</f>
        <v>220.99777367462084</v>
      </c>
      <c r="U75" s="87">
        <f>IF(TrRoad_act!U51=0,0,U38/TrRoad_act!U51*1000
)</f>
        <v>302.42371038050061</v>
      </c>
      <c r="V75" s="87">
        <f>IF(TrRoad_act!V51=0,0,V38/TrRoad_act!V51*1000
)</f>
        <v>455.82252325473695</v>
      </c>
      <c r="W75" s="87">
        <f>IF(TrRoad_act!W51=0,0,W38/TrRoad_act!W51*1000
)</f>
        <v>591.44028317516995</v>
      </c>
      <c r="X75" s="87">
        <f>IF(TrRoad_act!X51=0,0,X38/TrRoad_act!X51*1000
)</f>
        <v>497.96367583465945</v>
      </c>
      <c r="Y75" s="87">
        <f>IF(TrRoad_act!Y51=0,0,Y38/TrRoad_act!Y51*1000
)</f>
        <v>553.90265212306201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942.97042142216662</v>
      </c>
      <c r="C77" s="116">
        <f>IF(TrRoad_act!C53=0,0,C40/TrRoad_act!C53*1000
)</f>
        <v>1038.4357283958282</v>
      </c>
      <c r="D77" s="116">
        <f>IF(TrRoad_act!D53=0,0,D40/TrRoad_act!D53*1000
)</f>
        <v>1029.9915825804935</v>
      </c>
      <c r="E77" s="116">
        <f>IF(TrRoad_act!E53=0,0,E40/TrRoad_act!E53*1000
)</f>
        <v>1101.5078524756343</v>
      </c>
      <c r="F77" s="116">
        <f>IF(TrRoad_act!F53=0,0,F40/TrRoad_act!F53*1000
)</f>
        <v>1159.967313607561</v>
      </c>
      <c r="G77" s="116">
        <f>IF(TrRoad_act!G53=0,0,G40/TrRoad_act!G53*1000
)</f>
        <v>1181.4143285763321</v>
      </c>
      <c r="H77" s="116">
        <f>IF(TrRoad_act!H53=0,0,H40/TrRoad_act!H53*1000
)</f>
        <v>1223.2624192385547</v>
      </c>
      <c r="I77" s="116">
        <f>IF(TrRoad_act!I53=0,0,I40/TrRoad_act!I53*1000
)</f>
        <v>1241.7553966522955</v>
      </c>
      <c r="J77" s="116">
        <f>IF(TrRoad_act!J53=0,0,J40/TrRoad_act!J53*1000
)</f>
        <v>1294.3121663272882</v>
      </c>
      <c r="K77" s="116">
        <f>IF(TrRoad_act!K53=0,0,K40/TrRoad_act!K53*1000
)</f>
        <v>1267.6950394685311</v>
      </c>
      <c r="L77" s="116">
        <f>IF(TrRoad_act!L53=0,0,L40/TrRoad_act!L53*1000
)</f>
        <v>1248.8357047409565</v>
      </c>
      <c r="M77" s="116">
        <f>IF(TrRoad_act!M53=0,0,M40/TrRoad_act!M53*1000
)</f>
        <v>1198.6958402601508</v>
      </c>
      <c r="N77" s="116">
        <f>IF(TrRoad_act!N53=0,0,N40/TrRoad_act!N53*1000
)</f>
        <v>1142.1987217427918</v>
      </c>
      <c r="O77" s="116">
        <f>IF(TrRoad_act!O53=0,0,O40/TrRoad_act!O53*1000
)</f>
        <v>1148.0025343334976</v>
      </c>
      <c r="P77" s="116">
        <f>IF(TrRoad_act!P53=0,0,P40/TrRoad_act!P53*1000
)</f>
        <v>1129.766833098108</v>
      </c>
      <c r="Q77" s="116">
        <f>IF(TrRoad_act!Q53=0,0,Q40/TrRoad_act!Q53*1000
)</f>
        <v>1210.4729269215541</v>
      </c>
      <c r="R77" s="116">
        <f>IF(TrRoad_act!R53=0,0,R40/TrRoad_act!R53*1000
)</f>
        <v>1354.9052789523253</v>
      </c>
      <c r="S77" s="116">
        <f>IF(TrRoad_act!S53=0,0,S40/TrRoad_act!S53*1000
)</f>
        <v>1433.721014932313</v>
      </c>
      <c r="T77" s="116">
        <f>IF(TrRoad_act!T53=0,0,T40/TrRoad_act!T53*1000
)</f>
        <v>1549.5070654235897</v>
      </c>
      <c r="U77" s="116">
        <f>IF(TrRoad_act!U53=0,0,U40/TrRoad_act!U53*1000
)</f>
        <v>1458.9196835575035</v>
      </c>
      <c r="V77" s="116">
        <f>IF(TrRoad_act!V53=0,0,V40/TrRoad_act!V53*1000
)</f>
        <v>1318.5469408257841</v>
      </c>
      <c r="W77" s="116">
        <f>IF(TrRoad_act!W53=0,0,W40/TrRoad_act!W53*1000
)</f>
        <v>1402.0991278648303</v>
      </c>
      <c r="X77" s="116">
        <f>IF(TrRoad_act!X53=0,0,X40/TrRoad_act!X53*1000
)</f>
        <v>1395.3894627757859</v>
      </c>
      <c r="Y77" s="116">
        <f>IF(TrRoad_act!Y53=0,0,Y40/TrRoad_act!Y53*1000
)</f>
        <v>1427.6082784351877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910.39026600865895</v>
      </c>
      <c r="C78" s="101">
        <f>IF(TrRoad_act!C54=0,0,C41/TrRoad_act!C54*1000
)</f>
        <v>1000.2595751245829</v>
      </c>
      <c r="D78" s="101">
        <f>IF(TrRoad_act!D54=0,0,D41/TrRoad_act!D54*1000
)</f>
        <v>994.50563054038992</v>
      </c>
      <c r="E78" s="101">
        <f>IF(TrRoad_act!E54=0,0,E41/TrRoad_act!E54*1000
)</f>
        <v>1063.4462979683306</v>
      </c>
      <c r="F78" s="101">
        <f>IF(TrRoad_act!F54=0,0,F41/TrRoad_act!F54*1000
)</f>
        <v>1123.8156083189913</v>
      </c>
      <c r="G78" s="101">
        <f>IF(TrRoad_act!G54=0,0,G41/TrRoad_act!G54*1000
)</f>
        <v>1144.9026995729987</v>
      </c>
      <c r="H78" s="101">
        <f>IF(TrRoad_act!H54=0,0,H41/TrRoad_act!H54*1000
)</f>
        <v>1187.1999897192125</v>
      </c>
      <c r="I78" s="101">
        <f>IF(TrRoad_act!I54=0,0,I41/TrRoad_act!I54*1000
)</f>
        <v>1206.7828824135861</v>
      </c>
      <c r="J78" s="101">
        <f>IF(TrRoad_act!J54=0,0,J41/TrRoad_act!J54*1000
)</f>
        <v>1255.6845169418693</v>
      </c>
      <c r="K78" s="101">
        <f>IF(TrRoad_act!K54=0,0,K41/TrRoad_act!K54*1000
)</f>
        <v>1231.1265105644889</v>
      </c>
      <c r="L78" s="101">
        <f>IF(TrRoad_act!L54=0,0,L41/TrRoad_act!L54*1000
)</f>
        <v>1215.3910344478672</v>
      </c>
      <c r="M78" s="101">
        <f>IF(TrRoad_act!M54=0,0,M41/TrRoad_act!M54*1000
)</f>
        <v>1168.0174388403007</v>
      </c>
      <c r="N78" s="101">
        <f>IF(TrRoad_act!N54=0,0,N41/TrRoad_act!N54*1000
)</f>
        <v>1115.0331643541003</v>
      </c>
      <c r="O78" s="101">
        <f>IF(TrRoad_act!O54=0,0,O41/TrRoad_act!O54*1000
)</f>
        <v>1122.6077494811723</v>
      </c>
      <c r="P78" s="101">
        <f>IF(TrRoad_act!P54=0,0,P41/TrRoad_act!P54*1000
)</f>
        <v>1105.5718658393712</v>
      </c>
      <c r="Q78" s="101">
        <f>IF(TrRoad_act!Q54=0,0,Q41/TrRoad_act!Q54*1000
)</f>
        <v>1183.5206107717665</v>
      </c>
      <c r="R78" s="101">
        <f>IF(TrRoad_act!R54=0,0,R41/TrRoad_act!R54*1000
)</f>
        <v>1322.3491884263808</v>
      </c>
      <c r="S78" s="101">
        <f>IF(TrRoad_act!S54=0,0,S41/TrRoad_act!S54*1000
)</f>
        <v>1399.6059183332616</v>
      </c>
      <c r="T78" s="101">
        <f>IF(TrRoad_act!T54=0,0,T41/TrRoad_act!T54*1000
)</f>
        <v>1501.3099547835586</v>
      </c>
      <c r="U78" s="101">
        <f>IF(TrRoad_act!U54=0,0,U41/TrRoad_act!U54*1000
)</f>
        <v>1402.0269498547889</v>
      </c>
      <c r="V78" s="101">
        <f>IF(TrRoad_act!V54=0,0,V41/TrRoad_act!V54*1000
)</f>
        <v>1256.3426146586294</v>
      </c>
      <c r="W78" s="101">
        <f>IF(TrRoad_act!W54=0,0,W41/TrRoad_act!W54*1000
)</f>
        <v>1328.0690219823468</v>
      </c>
      <c r="X78" s="101">
        <f>IF(TrRoad_act!X54=0,0,X41/TrRoad_act!X54*1000
)</f>
        <v>1314.713255944934</v>
      </c>
      <c r="Y78" s="101">
        <f>IF(TrRoad_act!Y54=0,0,Y41/TrRoad_act!Y54*1000
)</f>
        <v>1337.6616918324949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989.37114578182229</v>
      </c>
      <c r="C79" s="88">
        <f>IF(TrRoad_act!C55=0,0,C42/TrRoad_act!C55*1000
)</f>
        <v>1093.6280321280333</v>
      </c>
      <c r="D79" s="88">
        <f>IF(TrRoad_act!D55=0,0,D42/TrRoad_act!D55*1000
)</f>
        <v>1079.5708192251482</v>
      </c>
      <c r="E79" s="88">
        <f>IF(TrRoad_act!E55=0,0,E42/TrRoad_act!E55*1000
)</f>
        <v>1149.500223661302</v>
      </c>
      <c r="F79" s="88">
        <f>IF(TrRoad_act!F55=0,0,F42/TrRoad_act!F55*1000
)</f>
        <v>1199.7791554142248</v>
      </c>
      <c r="G79" s="88">
        <f>IF(TrRoad_act!G55=0,0,G42/TrRoad_act!G55*1000
)</f>
        <v>1217.3690270857969</v>
      </c>
      <c r="H79" s="88">
        <f>IF(TrRoad_act!H55=0,0,H42/TrRoad_act!H55*1000
)</f>
        <v>1258.1930130799799</v>
      </c>
      <c r="I79" s="88">
        <f>IF(TrRoad_act!I55=0,0,I42/TrRoad_act!I55*1000
)</f>
        <v>1273.7900676367062</v>
      </c>
      <c r="J79" s="88">
        <f>IF(TrRoad_act!J55=0,0,J42/TrRoad_act!J55*1000
)</f>
        <v>1323.2827956232027</v>
      </c>
      <c r="K79" s="88">
        <f>IF(TrRoad_act!K55=0,0,K42/TrRoad_act!K55*1000
)</f>
        <v>1296.0760720977553</v>
      </c>
      <c r="L79" s="88">
        <f>IF(TrRoad_act!L55=0,0,L42/TrRoad_act!L55*1000
)</f>
        <v>1274.5055321113673</v>
      </c>
      <c r="M79" s="88">
        <f>IF(TrRoad_act!M55=0,0,M42/TrRoad_act!M55*1000
)</f>
        <v>1222.9173544035339</v>
      </c>
      <c r="N79" s="88">
        <f>IF(TrRoad_act!N55=0,0,N42/TrRoad_act!N55*1000
)</f>
        <v>1163.653724786207</v>
      </c>
      <c r="O79" s="88">
        <f>IF(TrRoad_act!O55=0,0,O42/TrRoad_act!O55*1000
)</f>
        <v>1168.1795321929026</v>
      </c>
      <c r="P79" s="88">
        <f>IF(TrRoad_act!P55=0,0,P42/TrRoad_act!P55*1000
)</f>
        <v>1149.6487726263856</v>
      </c>
      <c r="Q79" s="88">
        <f>IF(TrRoad_act!Q55=0,0,Q42/TrRoad_act!Q55*1000
)</f>
        <v>1235.5926309194692</v>
      </c>
      <c r="R79" s="88">
        <f>IF(TrRoad_act!R55=0,0,R42/TrRoad_act!R55*1000
)</f>
        <v>1382.5856249100912</v>
      </c>
      <c r="S79" s="88">
        <f>IF(TrRoad_act!S55=0,0,S42/TrRoad_act!S55*1000
)</f>
        <v>1462.5601260243011</v>
      </c>
      <c r="T79" s="88">
        <f>IF(TrRoad_act!T55=0,0,T42/TrRoad_act!T55*1000
)</f>
        <v>1589.6841134928766</v>
      </c>
      <c r="U79" s="88">
        <f>IF(TrRoad_act!U55=0,0,U42/TrRoad_act!U55*1000
)</f>
        <v>1509.9814054256231</v>
      </c>
      <c r="V79" s="88">
        <f>IF(TrRoad_act!V55=0,0,V42/TrRoad_act!V55*1000
)</f>
        <v>1370.9466941153817</v>
      </c>
      <c r="W79" s="88">
        <f>IF(TrRoad_act!W55=0,0,W42/TrRoad_act!W55*1000
)</f>
        <v>1469.9585216900473</v>
      </c>
      <c r="X79" s="88">
        <f>IF(TrRoad_act!X55=0,0,X42/TrRoad_act!X55*1000
)</f>
        <v>1477.1657171905438</v>
      </c>
      <c r="Y79" s="88">
        <f>IF(TrRoad_act!Y55=0,0,Y42/TrRoad_act!Y55*1000
)</f>
        <v>1522.1715958288726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144.85582819351336</v>
      </c>
      <c r="C82" s="29">
        <f>IF(TrRoad_act!C4=0,0,C18/TrRoad_act!C4*1000)</f>
        <v>145.16108319160742</v>
      </c>
      <c r="D82" s="29">
        <f>IF(TrRoad_act!D4=0,0,D18/TrRoad_act!D4*1000)</f>
        <v>140.54796695921439</v>
      </c>
      <c r="E82" s="29">
        <f>IF(TrRoad_act!E4=0,0,E18/TrRoad_act!E4*1000)</f>
        <v>144.88251476295491</v>
      </c>
      <c r="F82" s="29">
        <f>IF(TrRoad_act!F4=0,0,F18/TrRoad_act!F4*1000)</f>
        <v>145.08758839707804</v>
      </c>
      <c r="G82" s="29">
        <f>IF(TrRoad_act!G4=0,0,G18/TrRoad_act!G4*1000)</f>
        <v>139.03292367058813</v>
      </c>
      <c r="H82" s="29">
        <f>IF(TrRoad_act!H4=0,0,H18/TrRoad_act!H4*1000)</f>
        <v>141.29591937701386</v>
      </c>
      <c r="I82" s="29">
        <f>IF(TrRoad_act!I4=0,0,I18/TrRoad_act!I4*1000)</f>
        <v>142.84014981972149</v>
      </c>
      <c r="J82" s="29">
        <f>IF(TrRoad_act!J4=0,0,J18/TrRoad_act!J4*1000)</f>
        <v>143.13381386714383</v>
      </c>
      <c r="K82" s="29">
        <f>IF(TrRoad_act!K4=0,0,K18/TrRoad_act!K4*1000)</f>
        <v>140.92559216063682</v>
      </c>
      <c r="L82" s="29">
        <f>IF(TrRoad_act!L4=0,0,L18/TrRoad_act!L4*1000)</f>
        <v>134.2304819547075</v>
      </c>
      <c r="M82" s="29">
        <f>IF(TrRoad_act!M4=0,0,M18/TrRoad_act!M4*1000)</f>
        <v>131.68069414238795</v>
      </c>
      <c r="N82" s="29">
        <f>IF(TrRoad_act!N4=0,0,N18/TrRoad_act!N4*1000)</f>
        <v>127.71009242759676</v>
      </c>
      <c r="O82" s="29">
        <f>IF(TrRoad_act!O4=0,0,O18/TrRoad_act!O4*1000)</f>
        <v>131.41103993707969</v>
      </c>
      <c r="P82" s="29">
        <f>IF(TrRoad_act!P4=0,0,P18/TrRoad_act!P4*1000)</f>
        <v>130.63328046139875</v>
      </c>
      <c r="Q82" s="29">
        <f>IF(TrRoad_act!Q4=0,0,Q18/TrRoad_act!Q4*1000)</f>
        <v>138.38122897725364</v>
      </c>
      <c r="R82" s="29">
        <f>IF(TrRoad_act!R4=0,0,R18/TrRoad_act!R4*1000)</f>
        <v>134.54622507000153</v>
      </c>
      <c r="S82" s="29">
        <f>IF(TrRoad_act!S4=0,0,S18/TrRoad_act!S4*1000)</f>
        <v>128.02003800202095</v>
      </c>
      <c r="T82" s="29">
        <f>IF(TrRoad_act!T4=0,0,T18/TrRoad_act!T4*1000)</f>
        <v>126.641614101383</v>
      </c>
      <c r="U82" s="29">
        <f>IF(TrRoad_act!U4=0,0,U18/TrRoad_act!U4*1000)</f>
        <v>124.37393291562881</v>
      </c>
      <c r="V82" s="29">
        <f>IF(TrRoad_act!V4=0,0,V18/TrRoad_act!V4*1000)</f>
        <v>122.11780631777452</v>
      </c>
      <c r="W82" s="29">
        <f>IF(TrRoad_act!W4=0,0,W18/TrRoad_act!W4*1000)</f>
        <v>122.65557022121614</v>
      </c>
      <c r="X82" s="29">
        <f>IF(TrRoad_act!X4=0,0,X18/TrRoad_act!X4*1000)</f>
        <v>118.34656806035032</v>
      </c>
      <c r="Y82" s="29">
        <f>IF(TrRoad_act!Y4=0,0,Y18/TrRoad_act!Y4*1000)</f>
        <v>112.60122621407227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109.5490765664121</v>
      </c>
      <c r="C83" s="152">
        <f>IF(TrRoad_act!C5=0,0,C19/TrRoad_act!C5*1000)</f>
        <v>108.40251490615431</v>
      </c>
      <c r="D83" s="152">
        <f>IF(TrRoad_act!D5=0,0,D19/TrRoad_act!D5*1000)</f>
        <v>107.36768307374167</v>
      </c>
      <c r="E83" s="152">
        <f>IF(TrRoad_act!E5=0,0,E19/TrRoad_act!E5*1000)</f>
        <v>106.2732085472982</v>
      </c>
      <c r="F83" s="152">
        <f>IF(TrRoad_act!F5=0,0,F19/TrRoad_act!F5*1000)</f>
        <v>104.88649246988506</v>
      </c>
      <c r="G83" s="152">
        <f>IF(TrRoad_act!G5=0,0,G19/TrRoad_act!G5*1000)</f>
        <v>103.24460433795095</v>
      </c>
      <c r="H83" s="152">
        <f>IF(TrRoad_act!H5=0,0,H19/TrRoad_act!H5*1000)</f>
        <v>102.6020680928158</v>
      </c>
      <c r="I83" s="152">
        <f>IF(TrRoad_act!I5=0,0,I19/TrRoad_act!I5*1000)</f>
        <v>101.28059633396643</v>
      </c>
      <c r="J83" s="152">
        <f>IF(TrRoad_act!J5=0,0,J19/TrRoad_act!J5*1000)</f>
        <v>100.1825032973049</v>
      </c>
      <c r="K83" s="152">
        <f>IF(TrRoad_act!K5=0,0,K19/TrRoad_act!K5*1000)</f>
        <v>97.507867217576191</v>
      </c>
      <c r="L83" s="152">
        <f>IF(TrRoad_act!L5=0,0,L19/TrRoad_act!L5*1000)</f>
        <v>93.551995223250287</v>
      </c>
      <c r="M83" s="152">
        <f>IF(TrRoad_act!M5=0,0,M19/TrRoad_act!M5*1000)</f>
        <v>92.151964015179075</v>
      </c>
      <c r="N83" s="152">
        <f>IF(TrRoad_act!N5=0,0,N19/TrRoad_act!N5*1000)</f>
        <v>91.529962366112798</v>
      </c>
      <c r="O83" s="152">
        <f>IF(TrRoad_act!O5=0,0,O19/TrRoad_act!O5*1000)</f>
        <v>91.044581641086154</v>
      </c>
      <c r="P83" s="152">
        <f>IF(TrRoad_act!P5=0,0,P19/TrRoad_act!P5*1000)</f>
        <v>91.265466596559321</v>
      </c>
      <c r="Q83" s="152">
        <f>IF(TrRoad_act!Q5=0,0,Q19/TrRoad_act!Q5*1000)</f>
        <v>90.45255143792869</v>
      </c>
      <c r="R83" s="152">
        <f>IF(TrRoad_act!R5=0,0,R19/TrRoad_act!R5*1000)</f>
        <v>85.724434798624827</v>
      </c>
      <c r="S83" s="152">
        <f>IF(TrRoad_act!S5=0,0,S19/TrRoad_act!S5*1000)</f>
        <v>84.072035608022532</v>
      </c>
      <c r="T83" s="152">
        <f>IF(TrRoad_act!T5=0,0,T19/TrRoad_act!T5*1000)</f>
        <v>83.318296221742287</v>
      </c>
      <c r="U83" s="152">
        <f>IF(TrRoad_act!U5=0,0,U19/TrRoad_act!U5*1000)</f>
        <v>82.774458967655889</v>
      </c>
      <c r="V83" s="152">
        <f>IF(TrRoad_act!V5=0,0,V19/TrRoad_act!V5*1000)</f>
        <v>78.184217178608804</v>
      </c>
      <c r="W83" s="152">
        <f>IF(TrRoad_act!W5=0,0,W19/TrRoad_act!W5*1000)</f>
        <v>80.973433839532959</v>
      </c>
      <c r="X83" s="152">
        <f>IF(TrRoad_act!X5=0,0,X19/TrRoad_act!X5*1000)</f>
        <v>81.498396146052841</v>
      </c>
      <c r="Y83" s="152">
        <f>IF(TrRoad_act!Y5=0,0,Y19/TrRoad_act!Y5*1000)</f>
        <v>81.149521518713584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152.32168712185739</v>
      </c>
      <c r="C84" s="116">
        <f>IF(TrRoad_act!C6=0,0,C20/TrRoad_act!C6*1000)</f>
        <v>153.42644030968182</v>
      </c>
      <c r="D84" s="116">
        <f>IF(TrRoad_act!D6=0,0,D20/TrRoad_act!D6*1000)</f>
        <v>149.81924500510999</v>
      </c>
      <c r="E84" s="116">
        <f>IF(TrRoad_act!E6=0,0,E20/TrRoad_act!E6*1000)</f>
        <v>157.2258061060468</v>
      </c>
      <c r="F84" s="116">
        <f>IF(TrRoad_act!F6=0,0,F20/TrRoad_act!F6*1000)</f>
        <v>158.33706874741065</v>
      </c>
      <c r="G84" s="116">
        <f>IF(TrRoad_act!G6=0,0,G20/TrRoad_act!G6*1000)</f>
        <v>151.94706925817621</v>
      </c>
      <c r="H84" s="116">
        <f>IF(TrRoad_act!H6=0,0,H20/TrRoad_act!H6*1000)</f>
        <v>155.72259944696424</v>
      </c>
      <c r="I84" s="116">
        <f>IF(TrRoad_act!I6=0,0,I20/TrRoad_act!I6*1000)</f>
        <v>158.38412651391221</v>
      </c>
      <c r="J84" s="116">
        <f>IF(TrRoad_act!J6=0,0,J20/TrRoad_act!J6*1000)</f>
        <v>156.57874491948618</v>
      </c>
      <c r="K84" s="116">
        <f>IF(TrRoad_act!K6=0,0,K20/TrRoad_act!K6*1000)</f>
        <v>154.37357095901538</v>
      </c>
      <c r="L84" s="116">
        <f>IF(TrRoad_act!L6=0,0,L20/TrRoad_act!L6*1000)</f>
        <v>146.39239558432391</v>
      </c>
      <c r="M84" s="116">
        <f>IF(TrRoad_act!M6=0,0,M20/TrRoad_act!M6*1000)</f>
        <v>144.0255515639615</v>
      </c>
      <c r="N84" s="116">
        <f>IF(TrRoad_act!N6=0,0,N20/TrRoad_act!N6*1000)</f>
        <v>139.89153890726394</v>
      </c>
      <c r="O84" s="116">
        <f>IF(TrRoad_act!O6=0,0,O20/TrRoad_act!O6*1000)</f>
        <v>142.1146382946356</v>
      </c>
      <c r="P84" s="116">
        <f>IF(TrRoad_act!P6=0,0,P20/TrRoad_act!P6*1000)</f>
        <v>140.42903665729816</v>
      </c>
      <c r="Q84" s="116">
        <f>IF(TrRoad_act!Q6=0,0,Q20/TrRoad_act!Q6*1000)</f>
        <v>147.59579578084563</v>
      </c>
      <c r="R84" s="116">
        <f>IF(TrRoad_act!R6=0,0,R20/TrRoad_act!R6*1000)</f>
        <v>142.90752847984442</v>
      </c>
      <c r="S84" s="116">
        <f>IF(TrRoad_act!S6=0,0,S20/TrRoad_act!S6*1000)</f>
        <v>134.86576731569349</v>
      </c>
      <c r="T84" s="116">
        <f>IF(TrRoad_act!T6=0,0,T20/TrRoad_act!T6*1000)</f>
        <v>133.07010411053446</v>
      </c>
      <c r="U84" s="116">
        <f>IF(TrRoad_act!U6=0,0,U20/TrRoad_act!U6*1000)</f>
        <v>130.7223238668706</v>
      </c>
      <c r="V84" s="116">
        <f>IF(TrRoad_act!V6=0,0,V20/TrRoad_act!V6*1000)</f>
        <v>123.57008119864371</v>
      </c>
      <c r="W84" s="116">
        <f>IF(TrRoad_act!W6=0,0,W20/TrRoad_act!W6*1000)</f>
        <v>124.34066927932589</v>
      </c>
      <c r="X84" s="116">
        <f>IF(TrRoad_act!X6=0,0,X20/TrRoad_act!X6*1000)</f>
        <v>122.70439992639132</v>
      </c>
      <c r="Y84" s="116">
        <f>IF(TrRoad_act!Y6=0,0,Y20/TrRoad_act!Y6*1000)</f>
        <v>117.89465485173045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145.20163655287945</v>
      </c>
      <c r="C85" s="87">
        <f>IF(TrRoad_act!C7=0,0,C21/TrRoad_act!C7*1000)</f>
        <v>148.37933060383483</v>
      </c>
      <c r="D85" s="87">
        <f>IF(TrRoad_act!D7=0,0,D21/TrRoad_act!D7*1000)</f>
        <v>146.13459023966297</v>
      </c>
      <c r="E85" s="87">
        <f>IF(TrRoad_act!E7=0,0,E21/TrRoad_act!E7*1000)</f>
        <v>154.56712369605452</v>
      </c>
      <c r="F85" s="87">
        <f>IF(TrRoad_act!F7=0,0,F21/TrRoad_act!F7*1000)</f>
        <v>157.80514504405528</v>
      </c>
      <c r="G85" s="87">
        <f>IF(TrRoad_act!G7=0,0,G21/TrRoad_act!G7*1000)</f>
        <v>152.36220208750285</v>
      </c>
      <c r="H85" s="87">
        <f>IF(TrRoad_act!H7=0,0,H21/TrRoad_act!H7*1000)</f>
        <v>156.75538106959459</v>
      </c>
      <c r="I85" s="87">
        <f>IF(TrRoad_act!I7=0,0,I21/TrRoad_act!I7*1000)</f>
        <v>160.57841885835276</v>
      </c>
      <c r="J85" s="87">
        <f>IF(TrRoad_act!J7=0,0,J21/TrRoad_act!J7*1000)</f>
        <v>158.9242146995627</v>
      </c>
      <c r="K85" s="87">
        <f>IF(TrRoad_act!K7=0,0,K21/TrRoad_act!K7*1000)</f>
        <v>158.08825000430539</v>
      </c>
      <c r="L85" s="87">
        <f>IF(TrRoad_act!L7=0,0,L21/TrRoad_act!L7*1000)</f>
        <v>150.11626828943659</v>
      </c>
      <c r="M85" s="87">
        <f>IF(TrRoad_act!M7=0,0,M21/TrRoad_act!M7*1000)</f>
        <v>147.52780398772438</v>
      </c>
      <c r="N85" s="87">
        <f>IF(TrRoad_act!N7=0,0,N21/TrRoad_act!N7*1000)</f>
        <v>144.39364674436612</v>
      </c>
      <c r="O85" s="87">
        <f>IF(TrRoad_act!O7=0,0,O21/TrRoad_act!O7*1000)</f>
        <v>146.19104666506476</v>
      </c>
      <c r="P85" s="87">
        <f>IF(TrRoad_act!P7=0,0,P21/TrRoad_act!P7*1000)</f>
        <v>146.92644062370218</v>
      </c>
      <c r="Q85" s="87">
        <f>IF(TrRoad_act!Q7=0,0,Q21/TrRoad_act!Q7*1000)</f>
        <v>150.60027669632979</v>
      </c>
      <c r="R85" s="87">
        <f>IF(TrRoad_act!R7=0,0,R21/TrRoad_act!R7*1000)</f>
        <v>151.92257405544447</v>
      </c>
      <c r="S85" s="87">
        <f>IF(TrRoad_act!S7=0,0,S21/TrRoad_act!S7*1000)</f>
        <v>137.94717780364721</v>
      </c>
      <c r="T85" s="87">
        <f>IF(TrRoad_act!T7=0,0,T21/TrRoad_act!T7*1000)</f>
        <v>134.61491551232848</v>
      </c>
      <c r="U85" s="87">
        <f>IF(TrRoad_act!U7=0,0,U21/TrRoad_act!U7*1000)</f>
        <v>132.237414880323</v>
      </c>
      <c r="V85" s="87">
        <f>IF(TrRoad_act!V7=0,0,V21/TrRoad_act!V7*1000)</f>
        <v>126.80159783547063</v>
      </c>
      <c r="W85" s="87">
        <f>IF(TrRoad_act!W7=0,0,W21/TrRoad_act!W7*1000)</f>
        <v>130.38872164306241</v>
      </c>
      <c r="X85" s="87">
        <f>IF(TrRoad_act!X7=0,0,X21/TrRoad_act!X7*1000)</f>
        <v>128.8574137627302</v>
      </c>
      <c r="Y85" s="87">
        <f>IF(TrRoad_act!Y7=0,0,Y21/TrRoad_act!Y7*1000)</f>
        <v>123.78905784625576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157.97385672585074</v>
      </c>
      <c r="C86" s="87">
        <f>IF(TrRoad_act!C8=0,0,C22/TrRoad_act!C8*1000)</f>
        <v>156.99953347835233</v>
      </c>
      <c r="D86" s="87">
        <f>IF(TrRoad_act!D8=0,0,D22/TrRoad_act!D8*1000)</f>
        <v>152.71459793911026</v>
      </c>
      <c r="E86" s="87">
        <f>IF(TrRoad_act!E8=0,0,E22/TrRoad_act!E8*1000)</f>
        <v>159.48372495614882</v>
      </c>
      <c r="F86" s="87">
        <f>IF(TrRoad_act!F8=0,0,F22/TrRoad_act!F8*1000)</f>
        <v>159.16767442943339</v>
      </c>
      <c r="G86" s="87">
        <f>IF(TrRoad_act!G8=0,0,G22/TrRoad_act!G8*1000)</f>
        <v>152.07841460925761</v>
      </c>
      <c r="H86" s="87">
        <f>IF(TrRoad_act!H8=0,0,H22/TrRoad_act!H8*1000)</f>
        <v>155.48646041464434</v>
      </c>
      <c r="I86" s="87">
        <f>IF(TrRoad_act!I8=0,0,I22/TrRoad_act!I8*1000)</f>
        <v>157.84407977690717</v>
      </c>
      <c r="J86" s="87">
        <f>IF(TrRoad_act!J8=0,0,J22/TrRoad_act!J8*1000)</f>
        <v>156.02551957628978</v>
      </c>
      <c r="K86" s="87">
        <f>IF(TrRoad_act!K8=0,0,K22/TrRoad_act!K8*1000)</f>
        <v>153.37615330787352</v>
      </c>
      <c r="L86" s="87">
        <f>IF(TrRoad_act!L8=0,0,L22/TrRoad_act!L8*1000)</f>
        <v>145.40544508667671</v>
      </c>
      <c r="M86" s="87">
        <f>IF(TrRoad_act!M8=0,0,M22/TrRoad_act!M8*1000)</f>
        <v>143.14397563907028</v>
      </c>
      <c r="N86" s="87">
        <f>IF(TrRoad_act!N8=0,0,N22/TrRoad_act!N8*1000)</f>
        <v>138.81655606859849</v>
      </c>
      <c r="O86" s="87">
        <f>IF(TrRoad_act!O8=0,0,O22/TrRoad_act!O8*1000)</f>
        <v>141.06965897415981</v>
      </c>
      <c r="P86" s="87">
        <f>IF(TrRoad_act!P8=0,0,P22/TrRoad_act!P8*1000)</f>
        <v>138.6712859150424</v>
      </c>
      <c r="Q86" s="87">
        <f>IF(TrRoad_act!Q8=0,0,Q22/TrRoad_act!Q8*1000)</f>
        <v>146.64083403513433</v>
      </c>
      <c r="R86" s="87">
        <f>IF(TrRoad_act!R8=0,0,R22/TrRoad_act!R8*1000)</f>
        <v>139.77436378181866</v>
      </c>
      <c r="S86" s="87">
        <f>IF(TrRoad_act!S8=0,0,S22/TrRoad_act!S8*1000)</f>
        <v>133.90017506657901</v>
      </c>
      <c r="T86" s="87">
        <f>IF(TrRoad_act!T8=0,0,T22/TrRoad_act!T8*1000)</f>
        <v>132.80491964888034</v>
      </c>
      <c r="U86" s="87">
        <f>IF(TrRoad_act!U8=0,0,U22/TrRoad_act!U8*1000)</f>
        <v>130.40276704835421</v>
      </c>
      <c r="V86" s="87">
        <f>IF(TrRoad_act!V8=0,0,V22/TrRoad_act!V8*1000)</f>
        <v>122.33185747137851</v>
      </c>
      <c r="W86" s="87">
        <f>IF(TrRoad_act!W8=0,0,W22/TrRoad_act!W8*1000)</f>
        <v>122.2044757295559</v>
      </c>
      <c r="X86" s="87">
        <f>IF(TrRoad_act!X8=0,0,X22/TrRoad_act!X8*1000)</f>
        <v>122.78358662275313</v>
      </c>
      <c r="Y86" s="87">
        <f>IF(TrRoad_act!Y8=0,0,Y22/TrRoad_act!Y8*1000)</f>
        <v>122.84016513369306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138.57149489805934</v>
      </c>
      <c r="C87" s="87">
        <f>IF(TrRoad_act!C9=0,0,C23/TrRoad_act!C9*1000)</f>
        <v>148.43150905884212</v>
      </c>
      <c r="D87" s="87">
        <f>IF(TrRoad_act!D9=0,0,D23/TrRoad_act!D9*1000)</f>
        <v>120.02026124786848</v>
      </c>
      <c r="E87" s="87">
        <f>IF(TrRoad_act!E9=0,0,E23/TrRoad_act!E9*1000)</f>
        <v>119.0126625113549</v>
      </c>
      <c r="F87" s="87">
        <f>IF(TrRoad_act!F9=0,0,F23/TrRoad_act!F9*1000)</f>
        <v>119.67214478366445</v>
      </c>
      <c r="G87" s="87">
        <f>IF(TrRoad_act!G9=0,0,G23/TrRoad_act!G9*1000)</f>
        <v>126.84447304885693</v>
      </c>
      <c r="H87" s="87">
        <f>IF(TrRoad_act!H9=0,0,H23/TrRoad_act!H9*1000)</f>
        <v>139.34823154317633</v>
      </c>
      <c r="I87" s="87">
        <f>IF(TrRoad_act!I9=0,0,I23/TrRoad_act!I9*1000)</f>
        <v>132.91454065743022</v>
      </c>
      <c r="J87" s="87">
        <f>IF(TrRoad_act!J9=0,0,J23/TrRoad_act!J9*1000)</f>
        <v>137.0929358806373</v>
      </c>
      <c r="K87" s="87">
        <f>IF(TrRoad_act!K9=0,0,K23/TrRoad_act!K9*1000)</f>
        <v>146.38263040653197</v>
      </c>
      <c r="L87" s="87">
        <f>IF(TrRoad_act!L9=0,0,L23/TrRoad_act!L9*1000)</f>
        <v>151.76888111636924</v>
      </c>
      <c r="M87" s="87">
        <f>IF(TrRoad_act!M9=0,0,M23/TrRoad_act!M9*1000)</f>
        <v>148.10192283544981</v>
      </c>
      <c r="N87" s="87">
        <f>IF(TrRoad_act!N9=0,0,N23/TrRoad_act!N9*1000)</f>
        <v>138.91718743984777</v>
      </c>
      <c r="O87" s="87">
        <f>IF(TrRoad_act!O9=0,0,O23/TrRoad_act!O9*1000)</f>
        <v>145.61200536609431</v>
      </c>
      <c r="P87" s="87">
        <f>IF(TrRoad_act!P9=0,0,P23/TrRoad_act!P9*1000)</f>
        <v>146.66337698106221</v>
      </c>
      <c r="Q87" s="87">
        <f>IF(TrRoad_act!Q9=0,0,Q23/TrRoad_act!Q9*1000)</f>
        <v>168.18804323133841</v>
      </c>
      <c r="R87" s="87">
        <f>IF(TrRoad_act!R9=0,0,R23/TrRoad_act!R9*1000)</f>
        <v>189.8676305368833</v>
      </c>
      <c r="S87" s="87">
        <f>IF(TrRoad_act!S9=0,0,S23/TrRoad_act!S9*1000)</f>
        <v>169.27887510987208</v>
      </c>
      <c r="T87" s="87">
        <f>IF(TrRoad_act!T9=0,0,T23/TrRoad_act!T9*1000)</f>
        <v>161.82399018717834</v>
      </c>
      <c r="U87" s="87">
        <f>IF(TrRoad_act!U9=0,0,U23/TrRoad_act!U9*1000)</f>
        <v>166.78139284124597</v>
      </c>
      <c r="V87" s="87">
        <f>IF(TrRoad_act!V9=0,0,V23/TrRoad_act!V9*1000)</f>
        <v>163.42229888153304</v>
      </c>
      <c r="W87" s="87">
        <f>IF(TrRoad_act!W9=0,0,W23/TrRoad_act!W9*1000)</f>
        <v>157.44115386123795</v>
      </c>
      <c r="X87" s="87">
        <f>IF(TrRoad_act!X9=0,0,X23/TrRoad_act!X9*1000)</f>
        <v>163.27296117382048</v>
      </c>
      <c r="Y87" s="87">
        <f>IF(TrRoad_act!Y9=0,0,Y23/TrRoad_act!Y9*1000)</f>
        <v>170.30503448388916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129.46898257110121</v>
      </c>
      <c r="G88" s="87">
        <f>IF(TrRoad_act!G10=0,0,G24/TrRoad_act!G10*1000)</f>
        <v>122.77637712800082</v>
      </c>
      <c r="H88" s="87">
        <f>IF(TrRoad_act!H10=0,0,H24/TrRoad_act!H10*1000)</f>
        <v>118.12407512850073</v>
      </c>
      <c r="I88" s="87">
        <f>IF(TrRoad_act!I10=0,0,I24/TrRoad_act!I10*1000)</f>
        <v>120.98442365799957</v>
      </c>
      <c r="J88" s="87">
        <f>IF(TrRoad_act!J10=0,0,J24/TrRoad_act!J10*1000)</f>
        <v>78.044865911899279</v>
      </c>
      <c r="K88" s="87">
        <f>IF(TrRoad_act!K10=0,0,K24/TrRoad_act!K10*1000)</f>
        <v>58.922581841039751</v>
      </c>
      <c r="L88" s="87">
        <f>IF(TrRoad_act!L10=0,0,L24/TrRoad_act!L10*1000)</f>
        <v>49.219154506944861</v>
      </c>
      <c r="M88" s="87">
        <f>IF(TrRoad_act!M10=0,0,M24/TrRoad_act!M10*1000)</f>
        <v>57.283210246131532</v>
      </c>
      <c r="N88" s="87">
        <f>IF(TrRoad_act!N10=0,0,N24/TrRoad_act!N10*1000)</f>
        <v>119.40121641046174</v>
      </c>
      <c r="O88" s="87">
        <f>IF(TrRoad_act!O10=0,0,O24/TrRoad_act!O10*1000)</f>
        <v>160.80833553098597</v>
      </c>
      <c r="P88" s="87">
        <f>IF(TrRoad_act!P10=0,0,P24/TrRoad_act!P10*1000)</f>
        <v>141.5849236597023</v>
      </c>
      <c r="Q88" s="87">
        <f>IF(TrRoad_act!Q10=0,0,Q24/TrRoad_act!Q10*1000)</f>
        <v>148.76216764185673</v>
      </c>
      <c r="R88" s="87">
        <f>IF(TrRoad_act!R10=0,0,R24/TrRoad_act!R10*1000)</f>
        <v>141.52711260811023</v>
      </c>
      <c r="S88" s="87">
        <f>IF(TrRoad_act!S10=0,0,S24/TrRoad_act!S10*1000)</f>
        <v>137.3049008859451</v>
      </c>
      <c r="T88" s="87">
        <f>IF(TrRoad_act!T10=0,0,T24/TrRoad_act!T10*1000)</f>
        <v>132.34807874400653</v>
      </c>
      <c r="U88" s="87">
        <f>IF(TrRoad_act!U10=0,0,U24/TrRoad_act!U10*1000)</f>
        <v>180.60783641910842</v>
      </c>
      <c r="V88" s="87">
        <f>IF(TrRoad_act!V10=0,0,V24/TrRoad_act!V10*1000)</f>
        <v>261.23809591100377</v>
      </c>
      <c r="W88" s="87">
        <f>IF(TrRoad_act!W10=0,0,W24/TrRoad_act!W10*1000)</f>
        <v>328.51450762201421</v>
      </c>
      <c r="X88" s="87">
        <f>IF(TrRoad_act!X10=0,0,X24/TrRoad_act!X10*1000)</f>
        <v>272.86346994291705</v>
      </c>
      <c r="Y88" s="87">
        <f>IF(TrRoad_act!Y10=0,0,Y24/TrRoad_act!Y10*1000)</f>
        <v>296.86445145750804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56.121417695502558</v>
      </c>
      <c r="N89" s="87">
        <f>IF(TrRoad_act!N11=0,0,N25/TrRoad_act!N11*1000)</f>
        <v>34.864669023906728</v>
      </c>
      <c r="O89" s="87">
        <f>IF(TrRoad_act!O11=0,0,O25/TrRoad_act!O11*1000)</f>
        <v>40.321815635432593</v>
      </c>
      <c r="P89" s="87">
        <f>IF(TrRoad_act!P11=0,0,P25/TrRoad_act!P11*1000)</f>
        <v>46.34215291088465</v>
      </c>
      <c r="Q89" s="87">
        <f>IF(TrRoad_act!Q11=0,0,Q25/TrRoad_act!Q11*1000)</f>
        <v>57.397227298434942</v>
      </c>
      <c r="R89" s="87">
        <f>IF(TrRoad_act!R11=0,0,R25/TrRoad_act!R11*1000)</f>
        <v>63.005338026908625</v>
      </c>
      <c r="S89" s="87">
        <f>IF(TrRoad_act!S11=0,0,S25/TrRoad_act!S11*1000)</f>
        <v>58.270696884538644</v>
      </c>
      <c r="T89" s="87">
        <f>IF(TrRoad_act!T11=0,0,T25/TrRoad_act!T11*1000)</f>
        <v>57.084530232152048</v>
      </c>
      <c r="U89" s="87">
        <f>IF(TrRoad_act!U11=0,0,U25/TrRoad_act!U11*1000)</f>
        <v>53.630538857432569</v>
      </c>
      <c r="V89" s="87">
        <f>IF(TrRoad_act!V11=0,0,V25/TrRoad_act!V11*1000)</f>
        <v>45.389704987391312</v>
      </c>
      <c r="W89" s="87">
        <f>IF(TrRoad_act!W11=0,0,W25/TrRoad_act!W11*1000)</f>
        <v>41.106190241891959</v>
      </c>
      <c r="X89" s="87">
        <f>IF(TrRoad_act!X11=0,0,X25/TrRoad_act!X11*1000)</f>
        <v>36.798829305688017</v>
      </c>
      <c r="Y89" s="87">
        <f>IF(TrRoad_act!Y11=0,0,Y25/TrRoad_act!Y11*1000)</f>
        <v>30.462114160380903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91.508147942543133</v>
      </c>
      <c r="C91" s="116">
        <f>IF(TrRoad_act!C13=0,0,C27/TrRoad_act!C13*1000)</f>
        <v>87.581401220011116</v>
      </c>
      <c r="D91" s="116">
        <f>IF(TrRoad_act!D13=0,0,D27/TrRoad_act!D13*1000)</f>
        <v>79.469446332544806</v>
      </c>
      <c r="E91" s="116">
        <f>IF(TrRoad_act!E13=0,0,E27/TrRoad_act!E13*1000)</f>
        <v>72.434185986180637</v>
      </c>
      <c r="F91" s="116">
        <f>IF(TrRoad_act!F13=0,0,F27/TrRoad_act!F13*1000)</f>
        <v>69.843820399866928</v>
      </c>
      <c r="G91" s="116">
        <f>IF(TrRoad_act!G13=0,0,G27/TrRoad_act!G13*1000)</f>
        <v>66.943661953779753</v>
      </c>
      <c r="H91" s="116">
        <f>IF(TrRoad_act!H13=0,0,H27/TrRoad_act!H13*1000)</f>
        <v>63.387086386150813</v>
      </c>
      <c r="I91" s="116">
        <f>IF(TrRoad_act!I13=0,0,I27/TrRoad_act!I13*1000)</f>
        <v>60.392595041941931</v>
      </c>
      <c r="J91" s="116">
        <f>IF(TrRoad_act!J13=0,0,J27/TrRoad_act!J13*1000)</f>
        <v>65.490822638368613</v>
      </c>
      <c r="K91" s="116">
        <f>IF(TrRoad_act!K13=0,0,K27/TrRoad_act!K13*1000)</f>
        <v>63.227809782765711</v>
      </c>
      <c r="L91" s="116">
        <f>IF(TrRoad_act!L13=0,0,L27/TrRoad_act!L13*1000)</f>
        <v>61.978767746128391</v>
      </c>
      <c r="M91" s="116">
        <f>IF(TrRoad_act!M13=0,0,M27/TrRoad_act!M13*1000)</f>
        <v>58.952827567665473</v>
      </c>
      <c r="N91" s="116">
        <f>IF(TrRoad_act!N13=0,0,N27/TrRoad_act!N13*1000)</f>
        <v>56.358550554904681</v>
      </c>
      <c r="O91" s="116">
        <f>IF(TrRoad_act!O13=0,0,O27/TrRoad_act!O13*1000)</f>
        <v>64.238529144018386</v>
      </c>
      <c r="P91" s="116">
        <f>IF(TrRoad_act!P13=0,0,P27/TrRoad_act!P13*1000)</f>
        <v>66.427986750527921</v>
      </c>
      <c r="Q91" s="116">
        <f>IF(TrRoad_act!Q13=0,0,Q27/TrRoad_act!Q13*1000)</f>
        <v>75.680934214466475</v>
      </c>
      <c r="R91" s="116">
        <f>IF(TrRoad_act!R13=0,0,R27/TrRoad_act!R13*1000)</f>
        <v>75.696050075265276</v>
      </c>
      <c r="S91" s="116">
        <f>IF(TrRoad_act!S13=0,0,S27/TrRoad_act!S13*1000)</f>
        <v>78.819870065360263</v>
      </c>
      <c r="T91" s="116">
        <f>IF(TrRoad_act!T13=0,0,T27/TrRoad_act!T13*1000)</f>
        <v>80.861337294131545</v>
      </c>
      <c r="U91" s="116">
        <f>IF(TrRoad_act!U13=0,0,U27/TrRoad_act!U13*1000)</f>
        <v>79.845187937297325</v>
      </c>
      <c r="V91" s="116">
        <f>IF(TrRoad_act!V13=0,0,V27/TrRoad_act!V13*1000)</f>
        <v>114.95765589359533</v>
      </c>
      <c r="W91" s="116">
        <f>IF(TrRoad_act!W13=0,0,W27/TrRoad_act!W13*1000)</f>
        <v>112.52423990876939</v>
      </c>
      <c r="X91" s="116">
        <f>IF(TrRoad_act!X13=0,0,X27/TrRoad_act!X13*1000)</f>
        <v>86.56018833741247</v>
      </c>
      <c r="Y91" s="116">
        <f>IF(TrRoad_act!Y13=0,0,Y27/TrRoad_act!Y13*1000)</f>
        <v>75.471743150367004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69.877207602474371</v>
      </c>
      <c r="C92" s="101">
        <f>IF(TrRoad_act!C14=0,0,C28/TrRoad_act!C14*1000)</f>
        <v>68.210255367891932</v>
      </c>
      <c r="D92" s="101">
        <f>IF(TrRoad_act!D14=0,0,D28/TrRoad_act!D14*1000)</f>
        <v>63.197129348316466</v>
      </c>
      <c r="E92" s="101">
        <f>IF(TrRoad_act!E14=0,0,E28/TrRoad_act!E14*1000)</f>
        <v>57.675639877770777</v>
      </c>
      <c r="F92" s="101">
        <f>IF(TrRoad_act!F14=0,0,F28/TrRoad_act!F14*1000)</f>
        <v>55.658901716121797</v>
      </c>
      <c r="G92" s="101">
        <f>IF(TrRoad_act!G14=0,0,G28/TrRoad_act!G14*1000)</f>
        <v>53.904292497420812</v>
      </c>
      <c r="H92" s="101">
        <f>IF(TrRoad_act!H14=0,0,H28/TrRoad_act!H14*1000)</f>
        <v>51.236347415226462</v>
      </c>
      <c r="I92" s="101">
        <f>IF(TrRoad_act!I14=0,0,I28/TrRoad_act!I14*1000)</f>
        <v>49.223713885588793</v>
      </c>
      <c r="J92" s="101">
        <f>IF(TrRoad_act!J14=0,0,J28/TrRoad_act!J14*1000)</f>
        <v>53.376140522356607</v>
      </c>
      <c r="K92" s="101">
        <f>IF(TrRoad_act!K14=0,0,K28/TrRoad_act!K14*1000)</f>
        <v>51.880919738877289</v>
      </c>
      <c r="L92" s="101">
        <f>IF(TrRoad_act!L14=0,0,L28/TrRoad_act!L14*1000)</f>
        <v>50.555321158646898</v>
      </c>
      <c r="M92" s="101">
        <f>IF(TrRoad_act!M14=0,0,M28/TrRoad_act!M14*1000)</f>
        <v>48.173046150665343</v>
      </c>
      <c r="N92" s="101">
        <f>IF(TrRoad_act!N14=0,0,N28/TrRoad_act!N14*1000)</f>
        <v>46.616983737310932</v>
      </c>
      <c r="O92" s="101">
        <f>IF(TrRoad_act!O14=0,0,O28/TrRoad_act!O14*1000)</f>
        <v>52.960166642603646</v>
      </c>
      <c r="P92" s="101">
        <f>IF(TrRoad_act!P14=0,0,P28/TrRoad_act!P14*1000)</f>
        <v>56.087170375658687</v>
      </c>
      <c r="Q92" s="101">
        <f>IF(TrRoad_act!Q14=0,0,Q28/TrRoad_act!Q14*1000)</f>
        <v>61.000454823065041</v>
      </c>
      <c r="R92" s="101">
        <f>IF(TrRoad_act!R14=0,0,R28/TrRoad_act!R14*1000)</f>
        <v>59.857969462117325</v>
      </c>
      <c r="S92" s="101">
        <f>IF(TrRoad_act!S14=0,0,S28/TrRoad_act!S14*1000)</f>
        <v>58.713966490800956</v>
      </c>
      <c r="T92" s="101">
        <f>IF(TrRoad_act!T14=0,0,T28/TrRoad_act!T14*1000)</f>
        <v>58.545115453496123</v>
      </c>
      <c r="U92" s="101">
        <f>IF(TrRoad_act!U14=0,0,U28/TrRoad_act!U14*1000)</f>
        <v>58.482342752390842</v>
      </c>
      <c r="V92" s="101">
        <f>IF(TrRoad_act!V14=0,0,V28/TrRoad_act!V14*1000)</f>
        <v>73.760293746601093</v>
      </c>
      <c r="W92" s="101">
        <f>IF(TrRoad_act!W14=0,0,W28/TrRoad_act!W14*1000)</f>
        <v>73.339715850051633</v>
      </c>
      <c r="X92" s="101">
        <f>IF(TrRoad_act!X14=0,0,X28/TrRoad_act!X14*1000)</f>
        <v>66.70709399978999</v>
      </c>
      <c r="Y92" s="101">
        <f>IF(TrRoad_act!Y14=0,0,Y28/TrRoad_act!Y14*1000)</f>
        <v>58.81840132415546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91.631532095491636</v>
      </c>
      <c r="C93" s="101">
        <f>IF(TrRoad_act!C15=0,0,C29/TrRoad_act!C15*1000)</f>
        <v>87.69054444884911</v>
      </c>
      <c r="D93" s="101">
        <f>IF(TrRoad_act!D15=0,0,D29/TrRoad_act!D15*1000)</f>
        <v>79.555208780558075</v>
      </c>
      <c r="E93" s="101">
        <f>IF(TrRoad_act!E15=0,0,E29/TrRoad_act!E15*1000)</f>
        <v>72.512338489423229</v>
      </c>
      <c r="F93" s="101">
        <f>IF(TrRoad_act!F15=0,0,F29/TrRoad_act!F15*1000)</f>
        <v>69.917317640317179</v>
      </c>
      <c r="G93" s="101">
        <f>IF(TrRoad_act!G15=0,0,G29/TrRoad_act!G15*1000)</f>
        <v>67.08989903618685</v>
      </c>
      <c r="H93" s="101">
        <f>IF(TrRoad_act!H15=0,0,H29/TrRoad_act!H15*1000)</f>
        <v>63.522017805999575</v>
      </c>
      <c r="I93" s="101">
        <f>IF(TrRoad_act!I15=0,0,I29/TrRoad_act!I15*1000)</f>
        <v>60.513734947815884</v>
      </c>
      <c r="J93" s="101">
        <f>IF(TrRoad_act!J15=0,0,J29/TrRoad_act!J15*1000)</f>
        <v>65.612116399669375</v>
      </c>
      <c r="K93" s="101">
        <f>IF(TrRoad_act!K15=0,0,K29/TrRoad_act!K15*1000)</f>
        <v>63.341345271630587</v>
      </c>
      <c r="L93" s="101">
        <f>IF(TrRoad_act!L15=0,0,L29/TrRoad_act!L15*1000)</f>
        <v>62.084020330288531</v>
      </c>
      <c r="M93" s="101">
        <f>IF(TrRoad_act!M15=0,0,M29/TrRoad_act!M15*1000)</f>
        <v>59.049884746981057</v>
      </c>
      <c r="N93" s="101">
        <f>IF(TrRoad_act!N15=0,0,N29/TrRoad_act!N15*1000)</f>
        <v>56.446529710796995</v>
      </c>
      <c r="O93" s="101">
        <f>IF(TrRoad_act!O15=0,0,O29/TrRoad_act!O15*1000)</f>
        <v>64.34814405168791</v>
      </c>
      <c r="P93" s="101">
        <f>IF(TrRoad_act!P15=0,0,P29/TrRoad_act!P15*1000)</f>
        <v>66.537582856555048</v>
      </c>
      <c r="Q93" s="101">
        <f>IF(TrRoad_act!Q15=0,0,Q29/TrRoad_act!Q15*1000)</f>
        <v>75.802068895411935</v>
      </c>
      <c r="R93" s="101">
        <f>IF(TrRoad_act!R15=0,0,R29/TrRoad_act!R15*1000)</f>
        <v>75.828455532384254</v>
      </c>
      <c r="S93" s="101">
        <f>IF(TrRoad_act!S15=0,0,S29/TrRoad_act!S15*1000)</f>
        <v>78.964665151086436</v>
      </c>
      <c r="T93" s="101">
        <f>IF(TrRoad_act!T15=0,0,T29/TrRoad_act!T15*1000)</f>
        <v>81.083228817424725</v>
      </c>
      <c r="U93" s="101">
        <f>IF(TrRoad_act!U15=0,0,U29/TrRoad_act!U15*1000)</f>
        <v>80.219855791372183</v>
      </c>
      <c r="V93" s="101">
        <f>IF(TrRoad_act!V15=0,0,V29/TrRoad_act!V15*1000)</f>
        <v>115.57266167049326</v>
      </c>
      <c r="W93" s="101">
        <f>IF(TrRoad_act!W15=0,0,W29/TrRoad_act!W15*1000)</f>
        <v>112.60732496033049</v>
      </c>
      <c r="X93" s="101">
        <f>IF(TrRoad_act!X15=0,0,X29/TrRoad_act!X15*1000)</f>
        <v>87.014062982053701</v>
      </c>
      <c r="Y93" s="101">
        <f>IF(TrRoad_act!Y15=0,0,Y29/TrRoad_act!Y15*1000)</f>
        <v>76.685922428690688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35.172985267880762</v>
      </c>
      <c r="P95" s="101">
        <f>IF(TrRoad_act!P17=0,0,P31/TrRoad_act!P17*1000)</f>
        <v>49.345461696188742</v>
      </c>
      <c r="Q95" s="101">
        <f>IF(TrRoad_act!Q17=0,0,Q31/TrRoad_act!Q17*1000)</f>
        <v>54.472330060556523</v>
      </c>
      <c r="R95" s="101">
        <f>IF(TrRoad_act!R17=0,0,R31/TrRoad_act!R17*1000)</f>
        <v>51.612109847965826</v>
      </c>
      <c r="S95" s="101">
        <f>IF(TrRoad_act!S17=0,0,S31/TrRoad_act!S17*1000)</f>
        <v>52.589917320353941</v>
      </c>
      <c r="T95" s="101">
        <f>IF(TrRoad_act!T17=0,0,T31/TrRoad_act!T17*1000)</f>
        <v>49.711335994163058</v>
      </c>
      <c r="U95" s="101">
        <f>IF(TrRoad_act!U17=0,0,U31/TrRoad_act!U17*1000)</f>
        <v>69.822253310308383</v>
      </c>
      <c r="V95" s="101">
        <f>IF(TrRoad_act!V17=0,0,V31/TrRoad_act!V17*1000)</f>
        <v>157.80039969370995</v>
      </c>
      <c r="W95" s="101">
        <f>IF(TrRoad_act!W17=0,0,W31/TrRoad_act!W17*1000)</f>
        <v>193.49197781339254</v>
      </c>
      <c r="X95" s="101">
        <f>IF(TrRoad_act!X17=0,0,X31/TrRoad_act!X17*1000)</f>
        <v>123.50601917504051</v>
      </c>
      <c r="Y95" s="101">
        <f>IF(TrRoad_act!Y17=0,0,Y31/TrRoad_act!Y17*1000)</f>
        <v>118.41613134637898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158.41053308015591</v>
      </c>
      <c r="C97" s="29">
        <f>IF(TrRoad_act!C19=0,0,C33/TrRoad_act!C19*1000)</f>
        <v>164.76297562463097</v>
      </c>
      <c r="D97" s="29">
        <f>IF(TrRoad_act!D19=0,0,D33/TrRoad_act!D19*1000)</f>
        <v>165.47097914508879</v>
      </c>
      <c r="E97" s="29">
        <f>IF(TrRoad_act!E19=0,0,E33/TrRoad_act!E19*1000)</f>
        <v>170.1084584878794</v>
      </c>
      <c r="F97" s="29">
        <f>IF(TrRoad_act!F19=0,0,F33/TrRoad_act!F19*1000)</f>
        <v>175.37510528378741</v>
      </c>
      <c r="G97" s="29">
        <f>IF(TrRoad_act!G19=0,0,G33/TrRoad_act!G19*1000)</f>
        <v>172.75287336205821</v>
      </c>
      <c r="H97" s="29">
        <f>IF(TrRoad_act!H19=0,0,H33/TrRoad_act!H19*1000)</f>
        <v>174.25622163215795</v>
      </c>
      <c r="I97" s="29">
        <f>IF(TrRoad_act!I19=0,0,I33/TrRoad_act!I19*1000)</f>
        <v>175.13007398840008</v>
      </c>
      <c r="J97" s="29">
        <f>IF(TrRoad_act!J19=0,0,J33/TrRoad_act!J19*1000)</f>
        <v>176.62449055192232</v>
      </c>
      <c r="K97" s="29">
        <f>IF(TrRoad_act!K19=0,0,K33/TrRoad_act!K19*1000)</f>
        <v>177.07067985032299</v>
      </c>
      <c r="L97" s="29">
        <f>IF(TrRoad_act!L19=0,0,L33/TrRoad_act!L19*1000)</f>
        <v>168.79772131024268</v>
      </c>
      <c r="M97" s="29">
        <f>IF(TrRoad_act!M19=0,0,M33/TrRoad_act!M19*1000)</f>
        <v>165.82743687437312</v>
      </c>
      <c r="N97" s="29">
        <f>IF(TrRoad_act!N19=0,0,N33/TrRoad_act!N19*1000)</f>
        <v>158.77022530869385</v>
      </c>
      <c r="O97" s="29">
        <f>IF(TrRoad_act!O19=0,0,O33/TrRoad_act!O19*1000)</f>
        <v>152.66421106457926</v>
      </c>
      <c r="P97" s="29">
        <f>IF(TrRoad_act!P19=0,0,P33/TrRoad_act!P19*1000)</f>
        <v>153.09471576400821</v>
      </c>
      <c r="Q97" s="29">
        <f>IF(TrRoad_act!Q19=0,0,Q33/TrRoad_act!Q19*1000)</f>
        <v>164.17618700219208</v>
      </c>
      <c r="R97" s="29">
        <f>IF(TrRoad_act!R19=0,0,R33/TrRoad_act!R19*1000)</f>
        <v>165.98521815113534</v>
      </c>
      <c r="S97" s="29">
        <f>IF(TrRoad_act!S19=0,0,S33/TrRoad_act!S19*1000)</f>
        <v>169.32030102405307</v>
      </c>
      <c r="T97" s="29">
        <f>IF(TrRoad_act!T19=0,0,T33/TrRoad_act!T19*1000)</f>
        <v>177.00428539860121</v>
      </c>
      <c r="U97" s="29">
        <f>IF(TrRoad_act!U19=0,0,U33/TrRoad_act!U19*1000)</f>
        <v>170.73483251776059</v>
      </c>
      <c r="V97" s="29">
        <f>IF(TrRoad_act!V19=0,0,V33/TrRoad_act!V19*1000)</f>
        <v>151.17765163881342</v>
      </c>
      <c r="W97" s="29">
        <f>IF(TrRoad_act!W19=0,0,W33/TrRoad_act!W19*1000)</f>
        <v>167.83155069607994</v>
      </c>
      <c r="X97" s="29">
        <f>IF(TrRoad_act!X19=0,0,X33/TrRoad_act!X19*1000)</f>
        <v>174.18465347488063</v>
      </c>
      <c r="Y97" s="29">
        <f>IF(TrRoad_act!Y19=0,0,Y33/TrRoad_act!Y19*1000)</f>
        <v>186.01166438335241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4722.8364085601152</v>
      </c>
      <c r="C98" s="152">
        <f>IF(TrRoad_act!C20=0,0,C34/TrRoad_act!C20*1000)</f>
        <v>4443.0089118476571</v>
      </c>
      <c r="D98" s="152">
        <f>IF(TrRoad_act!D20=0,0,D34/TrRoad_act!D20*1000)</f>
        <v>4415.2103384467064</v>
      </c>
      <c r="E98" s="152">
        <f>IF(TrRoad_act!E20=0,0,E34/TrRoad_act!E20*1000)</f>
        <v>4205.022764764266</v>
      </c>
      <c r="F98" s="152">
        <f>IF(TrRoad_act!F20=0,0,F34/TrRoad_act!F20*1000)</f>
        <v>4062.0407106471407</v>
      </c>
      <c r="G98" s="152">
        <f>IF(TrRoad_act!G20=0,0,G34/TrRoad_act!G20*1000)</f>
        <v>3913.4461374929774</v>
      </c>
      <c r="H98" s="152">
        <f>IF(TrRoad_act!H20=0,0,H34/TrRoad_act!H20*1000)</f>
        <v>3805.8179110130332</v>
      </c>
      <c r="I98" s="152">
        <f>IF(TrRoad_act!I20=0,0,I34/TrRoad_act!I20*1000)</f>
        <v>3724.8934086729278</v>
      </c>
      <c r="J98" s="152">
        <f>IF(TrRoad_act!J20=0,0,J34/TrRoad_act!J20*1000)</f>
        <v>3613.3948232744551</v>
      </c>
      <c r="K98" s="152">
        <f>IF(TrRoad_act!K20=0,0,K34/TrRoad_act!K20*1000)</f>
        <v>3446.3666635894942</v>
      </c>
      <c r="L98" s="152">
        <f>IF(TrRoad_act!L20=0,0,L34/TrRoad_act!L20*1000)</f>
        <v>3300.0745381277729</v>
      </c>
      <c r="M98" s="152">
        <f>IF(TrRoad_act!M20=0,0,M34/TrRoad_act!M20*1000)</f>
        <v>3283.4490586223965</v>
      </c>
      <c r="N98" s="152">
        <f>IF(TrRoad_act!N20=0,0,N34/TrRoad_act!N20*1000)</f>
        <v>3230.6927146249832</v>
      </c>
      <c r="O98" s="152">
        <f>IF(TrRoad_act!O20=0,0,O34/TrRoad_act!O20*1000)</f>
        <v>3153.4661474846521</v>
      </c>
      <c r="P98" s="152">
        <f>IF(TrRoad_act!P20=0,0,P34/TrRoad_act!P20*1000)</f>
        <v>3102.036800972915</v>
      </c>
      <c r="Q98" s="152">
        <f>IF(TrRoad_act!Q20=0,0,Q34/TrRoad_act!Q20*1000)</f>
        <v>3181.1801150703523</v>
      </c>
      <c r="R98" s="152">
        <f>IF(TrRoad_act!R20=0,0,R34/TrRoad_act!R20*1000)</f>
        <v>3006.9466244626615</v>
      </c>
      <c r="S98" s="152">
        <f>IF(TrRoad_act!S20=0,0,S34/TrRoad_act!S20*1000)</f>
        <v>2904.1863137884425</v>
      </c>
      <c r="T98" s="152">
        <f>IF(TrRoad_act!T20=0,0,T34/TrRoad_act!T20*1000)</f>
        <v>2872.3729325999466</v>
      </c>
      <c r="U98" s="152">
        <f>IF(TrRoad_act!U20=0,0,U34/TrRoad_act!U20*1000)</f>
        <v>2826.7416022989519</v>
      </c>
      <c r="V98" s="152">
        <f>IF(TrRoad_act!V20=0,0,V34/TrRoad_act!V20*1000)</f>
        <v>2624.5623298160071</v>
      </c>
      <c r="W98" s="152">
        <f>IF(TrRoad_act!W20=0,0,W34/TrRoad_act!W20*1000)</f>
        <v>2733.2613307540651</v>
      </c>
      <c r="X98" s="152">
        <f>IF(TrRoad_act!X20=0,0,X34/TrRoad_act!X20*1000)</f>
        <v>2686.3142736179707</v>
      </c>
      <c r="Y98" s="152">
        <f>IF(TrRoad_act!Y20=0,0,Y34/TrRoad_act!Y20*1000)</f>
        <v>2720.2905317336645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5099.7808331602546</v>
      </c>
      <c r="C99" s="87">
        <f>IF(TrRoad_act!C21=0,0,C35/TrRoad_act!C21*1000)</f>
        <v>4858.5649747829884</v>
      </c>
      <c r="D99" s="87">
        <f>IF(TrRoad_act!D21=0,0,D35/TrRoad_act!D21*1000)</f>
        <v>4702.0719459853244</v>
      </c>
      <c r="E99" s="87">
        <f>IF(TrRoad_act!E21=0,0,E35/TrRoad_act!E21*1000)</f>
        <v>4486.6901674395331</v>
      </c>
      <c r="F99" s="87">
        <f>IF(TrRoad_act!F21=0,0,F35/TrRoad_act!F21*1000)</f>
        <v>4338.2056231525839</v>
      </c>
      <c r="G99" s="87">
        <f>IF(TrRoad_act!G21=0,0,G35/TrRoad_act!G21*1000)</f>
        <v>4259.2739766097175</v>
      </c>
      <c r="H99" s="87">
        <f>IF(TrRoad_act!H21=0,0,H35/TrRoad_act!H21*1000)</f>
        <v>4220.3593324781632</v>
      </c>
      <c r="I99" s="87">
        <f>IF(TrRoad_act!I21=0,0,I35/TrRoad_act!I21*1000)</f>
        <v>4102.3696335130198</v>
      </c>
      <c r="J99" s="87">
        <f>IF(TrRoad_act!J21=0,0,J35/TrRoad_act!J21*1000)</f>
        <v>3890.2627260784025</v>
      </c>
      <c r="K99" s="87">
        <f>IF(TrRoad_act!K21=0,0,K35/TrRoad_act!K21*1000)</f>
        <v>3668.2651465833364</v>
      </c>
      <c r="L99" s="87">
        <f>IF(TrRoad_act!L21=0,0,L35/TrRoad_act!L21*1000)</f>
        <v>3491.9229997761427</v>
      </c>
      <c r="M99" s="87">
        <f>IF(TrRoad_act!M21=0,0,M35/TrRoad_act!M21*1000)</f>
        <v>3508.0916220317772</v>
      </c>
      <c r="N99" s="87">
        <f>IF(TrRoad_act!N21=0,0,N35/TrRoad_act!N21*1000)</f>
        <v>3508.9393695623212</v>
      </c>
      <c r="O99" s="87">
        <f>IF(TrRoad_act!O21=0,0,O35/TrRoad_act!O21*1000)</f>
        <v>3464.3187264841949</v>
      </c>
      <c r="P99" s="87">
        <f>IF(TrRoad_act!P21=0,0,P35/TrRoad_act!P21*1000)</f>
        <v>3483.303120730875</v>
      </c>
      <c r="Q99" s="87">
        <f>IF(TrRoad_act!Q21=0,0,Q35/TrRoad_act!Q21*1000)</f>
        <v>3441.1399123843912</v>
      </c>
      <c r="R99" s="87">
        <f>IF(TrRoad_act!R21=0,0,R35/TrRoad_act!R21*1000)</f>
        <v>3392.9003867025153</v>
      </c>
      <c r="S99" s="87">
        <f>IF(TrRoad_act!S21=0,0,S35/TrRoad_act!S21*1000)</f>
        <v>3219.4007036285657</v>
      </c>
      <c r="T99" s="87">
        <f>IF(TrRoad_act!T21=0,0,T35/TrRoad_act!T21*1000)</f>
        <v>3158.0731555507414</v>
      </c>
      <c r="U99" s="87">
        <f>IF(TrRoad_act!U21=0,0,U35/TrRoad_act!U21*1000)</f>
        <v>3124.3869112031334</v>
      </c>
      <c r="V99" s="87">
        <f>IF(TrRoad_act!V21=0,0,V35/TrRoad_act!V21*1000)</f>
        <v>2939.2153256316533</v>
      </c>
      <c r="W99" s="87">
        <f>IF(TrRoad_act!W21=0,0,W35/TrRoad_act!W21*1000)</f>
        <v>3031.3898586518108</v>
      </c>
      <c r="X99" s="87">
        <f>IF(TrRoad_act!X21=0,0,X35/TrRoad_act!X21*1000)</f>
        <v>3034.6515196203122</v>
      </c>
      <c r="Y99" s="87">
        <f>IF(TrRoad_act!Y21=0,0,Y35/TrRoad_act!Y21*1000)</f>
        <v>3072.233952403456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4627.6969102006105</v>
      </c>
      <c r="C100" s="87">
        <f>IF(TrRoad_act!C22=0,0,C36/TrRoad_act!C22*1000)</f>
        <v>4351.5206845260009</v>
      </c>
      <c r="D100" s="87">
        <f>IF(TrRoad_act!D22=0,0,D36/TrRoad_act!D22*1000)</f>
        <v>4331.1136444463091</v>
      </c>
      <c r="E100" s="87">
        <f>IF(TrRoad_act!E22=0,0,E36/TrRoad_act!E22*1000)</f>
        <v>4128.9703622381139</v>
      </c>
      <c r="F100" s="87">
        <f>IF(TrRoad_act!F22=0,0,F36/TrRoad_act!F22*1000)</f>
        <v>3994.0745609055789</v>
      </c>
      <c r="G100" s="87">
        <f>IF(TrRoad_act!G22=0,0,G36/TrRoad_act!G22*1000)</f>
        <v>3849.584586163915</v>
      </c>
      <c r="H100" s="87">
        <f>IF(TrRoad_act!H22=0,0,H36/TrRoad_act!H22*1000)</f>
        <v>3746.2318202586075</v>
      </c>
      <c r="I100" s="87">
        <f>IF(TrRoad_act!I22=0,0,I36/TrRoad_act!I22*1000)</f>
        <v>3676.3023915430917</v>
      </c>
      <c r="J100" s="87">
        <f>IF(TrRoad_act!J22=0,0,J36/TrRoad_act!J22*1000)</f>
        <v>3576.2349865793271</v>
      </c>
      <c r="K100" s="87">
        <f>IF(TrRoad_act!K22=0,0,K36/TrRoad_act!K22*1000)</f>
        <v>3416.7806330510994</v>
      </c>
      <c r="L100" s="87">
        <f>IF(TrRoad_act!L22=0,0,L36/TrRoad_act!L22*1000)</f>
        <v>3275.4012273824646</v>
      </c>
      <c r="M100" s="87">
        <f>IF(TrRoad_act!M22=0,0,M36/TrRoad_act!M22*1000)</f>
        <v>3259.3463732918235</v>
      </c>
      <c r="N100" s="87">
        <f>IF(TrRoad_act!N22=0,0,N36/TrRoad_act!N22*1000)</f>
        <v>3207.8096406095792</v>
      </c>
      <c r="O100" s="87">
        <f>IF(TrRoad_act!O22=0,0,O36/TrRoad_act!O22*1000)</f>
        <v>3133.5460379940346</v>
      </c>
      <c r="P100" s="87">
        <f>IF(TrRoad_act!P22=0,0,P36/TrRoad_act!P22*1000)</f>
        <v>3083.2303400988235</v>
      </c>
      <c r="Q100" s="87">
        <f>IF(TrRoad_act!Q22=0,0,Q36/TrRoad_act!Q22*1000)</f>
        <v>3169.2741380922025</v>
      </c>
      <c r="R100" s="87">
        <f>IF(TrRoad_act!R22=0,0,R36/TrRoad_act!R22*1000)</f>
        <v>2991.8715005469298</v>
      </c>
      <c r="S100" s="87">
        <f>IF(TrRoad_act!S22=0,0,S36/TrRoad_act!S22*1000)</f>
        <v>2889.5543756492107</v>
      </c>
      <c r="T100" s="87">
        <f>IF(TrRoad_act!T22=0,0,T36/TrRoad_act!T22*1000)</f>
        <v>2858.8762279306234</v>
      </c>
      <c r="U100" s="87">
        <f>IF(TrRoad_act!U22=0,0,U36/TrRoad_act!U22*1000)</f>
        <v>2810.3608275718752</v>
      </c>
      <c r="V100" s="87">
        <f>IF(TrRoad_act!V22=0,0,V36/TrRoad_act!V22*1000)</f>
        <v>2600.6904574280156</v>
      </c>
      <c r="W100" s="87">
        <f>IF(TrRoad_act!W22=0,0,W36/TrRoad_act!W22*1000)</f>
        <v>2703.9951190988527</v>
      </c>
      <c r="X100" s="87">
        <f>IF(TrRoad_act!X22=0,0,X36/TrRoad_act!X22*1000)</f>
        <v>2664.0267815953043</v>
      </c>
      <c r="Y100" s="87">
        <f>IF(TrRoad_act!Y22=0,0,Y36/TrRoad_act!Y22*1000)</f>
        <v>2696.7264853485713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7556.5813728312878</v>
      </c>
      <c r="C101" s="87">
        <f>IF(TrRoad_act!C23=0,0,C37/TrRoad_act!C23*1000)</f>
        <v>7026.8480386087804</v>
      </c>
      <c r="D101" s="87">
        <f>IF(TrRoad_act!D23=0,0,D37/TrRoad_act!D23*1000)</f>
        <v>7038.6206197266383</v>
      </c>
      <c r="E101" s="87">
        <f>IF(TrRoad_act!E23=0,0,E37/TrRoad_act!E23*1000)</f>
        <v>6929.5999334915196</v>
      </c>
      <c r="F101" s="87">
        <f>IF(TrRoad_act!F23=0,0,F37/TrRoad_act!F23*1000)</f>
        <v>6720.2932131051939</v>
      </c>
      <c r="G101" s="87">
        <f>IF(TrRoad_act!G23=0,0,G37/TrRoad_act!G23*1000)</f>
        <v>6464.0834640812973</v>
      </c>
      <c r="H101" s="87">
        <f>IF(TrRoad_act!H23=0,0,H37/TrRoad_act!H23*1000)</f>
        <v>6191.4320161116684</v>
      </c>
      <c r="I101" s="87">
        <f>IF(TrRoad_act!I23=0,0,I37/TrRoad_act!I23*1000)</f>
        <v>6034.6531135141422</v>
      </c>
      <c r="J101" s="87">
        <f>IF(TrRoad_act!J23=0,0,J37/TrRoad_act!J23*1000)</f>
        <v>5654.367223403945</v>
      </c>
      <c r="K101" s="87">
        <f>IF(TrRoad_act!K23=0,0,K37/TrRoad_act!K23*1000)</f>
        <v>5283.4051247786338</v>
      </c>
      <c r="L101" s="87">
        <f>IF(TrRoad_act!L23=0,0,L37/TrRoad_act!L23*1000)</f>
        <v>5030.7923961328561</v>
      </c>
      <c r="M101" s="87">
        <f>IF(TrRoad_act!M23=0,0,M37/TrRoad_act!M23*1000)</f>
        <v>4899.610391889948</v>
      </c>
      <c r="N101" s="87">
        <f>IF(TrRoad_act!N23=0,0,N37/TrRoad_act!N23*1000)</f>
        <v>4806.3218407613331</v>
      </c>
      <c r="O101" s="87">
        <f>IF(TrRoad_act!O23=0,0,O37/TrRoad_act!O23*1000)</f>
        <v>4697.6364679781009</v>
      </c>
      <c r="P101" s="87">
        <f>IF(TrRoad_act!P23=0,0,P37/TrRoad_act!P23*1000)</f>
        <v>4697.2604974647702</v>
      </c>
      <c r="Q101" s="87">
        <f>IF(TrRoad_act!Q23=0,0,Q37/TrRoad_act!Q23*1000)</f>
        <v>4745.9113790914143</v>
      </c>
      <c r="R101" s="87">
        <f>IF(TrRoad_act!R23=0,0,R37/TrRoad_act!R23*1000)</f>
        <v>4727.1117112245065</v>
      </c>
      <c r="S101" s="87">
        <f>IF(TrRoad_act!S23=0,0,S37/TrRoad_act!S23*1000)</f>
        <v>4696.9125910753874</v>
      </c>
      <c r="T101" s="87">
        <f>IF(TrRoad_act!T23=0,0,T37/TrRoad_act!T23*1000)</f>
        <v>4679.3792586481559</v>
      </c>
      <c r="U101" s="87">
        <f>IF(TrRoad_act!U23=0,0,U37/TrRoad_act!U23*1000)</f>
        <v>4639.3379435890083</v>
      </c>
      <c r="V101" s="87">
        <f>IF(TrRoad_act!V23=0,0,V37/TrRoad_act!V23*1000)</f>
        <v>4447.3490882609985</v>
      </c>
      <c r="W101" s="87">
        <f>IF(TrRoad_act!W23=0,0,W37/TrRoad_act!W23*1000)</f>
        <v>4598.4876147641826</v>
      </c>
      <c r="X101" s="87">
        <f>IF(TrRoad_act!X23=0,0,X37/TrRoad_act!X23*1000)</f>
        <v>4484.041161547877</v>
      </c>
      <c r="Y101" s="87">
        <f>IF(TrRoad_act!Y23=0,0,Y37/TrRoad_act!Y23*1000)</f>
        <v>4460.0841713495656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3125.8245627152282</v>
      </c>
      <c r="K102" s="87">
        <f>IF(TrRoad_act!K24=0,0,K38/TrRoad_act!K24*1000)</f>
        <v>3104.1607653988012</v>
      </c>
      <c r="L102" s="87">
        <f>IF(TrRoad_act!L24=0,0,L38/TrRoad_act!L24*1000)</f>
        <v>3078.8875373763494</v>
      </c>
      <c r="M102" s="87">
        <f>IF(TrRoad_act!M24=0,0,M38/TrRoad_act!M24*1000)</f>
        <v>3057.1858046510533</v>
      </c>
      <c r="N102" s="87">
        <f>IF(TrRoad_act!N24=0,0,N38/TrRoad_act!N24*1000)</f>
        <v>3049.7338486057565</v>
      </c>
      <c r="O102" s="87">
        <f>IF(TrRoad_act!O24=0,0,O38/TrRoad_act!O24*1000)</f>
        <v>3013.2739482654465</v>
      </c>
      <c r="P102" s="87">
        <f>IF(TrRoad_act!P24=0,0,P38/TrRoad_act!P24*1000)</f>
        <v>3115.2466995584155</v>
      </c>
      <c r="Q102" s="87">
        <f>IF(TrRoad_act!Q24=0,0,Q38/TrRoad_act!Q24*1000)</f>
        <v>3350.2747123457561</v>
      </c>
      <c r="R102" s="87">
        <f>IF(TrRoad_act!R24=0,0,R38/TrRoad_act!R24*1000)</f>
        <v>3354.6394698851977</v>
      </c>
      <c r="S102" s="87">
        <f>IF(TrRoad_act!S24=0,0,S38/TrRoad_act!S24*1000)</f>
        <v>3244.5970512232166</v>
      </c>
      <c r="T102" s="87">
        <f>IF(TrRoad_act!T24=0,0,T38/TrRoad_act!T24*1000)</f>
        <v>3049.9222946408117</v>
      </c>
      <c r="U102" s="87">
        <f>IF(TrRoad_act!U24=0,0,U38/TrRoad_act!U24*1000)</f>
        <v>4139.4205731153688</v>
      </c>
      <c r="V102" s="87">
        <f>IF(TrRoad_act!V24=0,0,V38/TrRoad_act!V24*1000)</f>
        <v>6057.806419598819</v>
      </c>
      <c r="W102" s="87">
        <f>IF(TrRoad_act!W24=0,0,W38/TrRoad_act!W24*1000)</f>
        <v>8171.8038374772541</v>
      </c>
      <c r="X102" s="87">
        <f>IF(TrRoad_act!X24=0,0,X38/TrRoad_act!X24*1000)</f>
        <v>6826.2716758817323</v>
      </c>
      <c r="Y102" s="87">
        <f>IF(TrRoad_act!Y24=0,0,Y38/TrRoad_act!Y24*1000)</f>
        <v>7663.867630850059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80.323840724555595</v>
      </c>
      <c r="C104" s="116">
        <f>IF(TrRoad_act!C26=0,0,C40/TrRoad_act!C26*1000)</f>
        <v>90.59102345399387</v>
      </c>
      <c r="D104" s="116">
        <f>IF(TrRoad_act!D26=0,0,D40/TrRoad_act!D26*1000)</f>
        <v>90.321497504917616</v>
      </c>
      <c r="E104" s="116">
        <f>IF(TrRoad_act!E26=0,0,E40/TrRoad_act!E26*1000)</f>
        <v>94.096207747141619</v>
      </c>
      <c r="F104" s="116">
        <f>IF(TrRoad_act!F26=0,0,F40/TrRoad_act!F26*1000)</f>
        <v>100.57895967679053</v>
      </c>
      <c r="G104" s="116">
        <f>IF(TrRoad_act!G26=0,0,G40/TrRoad_act!G26*1000)</f>
        <v>98.426534352891622</v>
      </c>
      <c r="H104" s="116">
        <f>IF(TrRoad_act!H26=0,0,H40/TrRoad_act!H26*1000)</f>
        <v>101.02447317891381</v>
      </c>
      <c r="I104" s="116">
        <f>IF(TrRoad_act!I26=0,0,I40/TrRoad_act!I26*1000)</f>
        <v>101.03238226447115</v>
      </c>
      <c r="J104" s="116">
        <f>IF(TrRoad_act!J26=0,0,J40/TrRoad_act!J26*1000)</f>
        <v>99.795127330113928</v>
      </c>
      <c r="K104" s="116">
        <f>IF(TrRoad_act!K26=0,0,K40/TrRoad_act!K26*1000)</f>
        <v>98.997816371295073</v>
      </c>
      <c r="L104" s="116">
        <f>IF(TrRoad_act!L26=0,0,L40/TrRoad_act!L26*1000)</f>
        <v>95.105606675958683</v>
      </c>
      <c r="M104" s="116">
        <f>IF(TrRoad_act!M26=0,0,M40/TrRoad_act!M26*1000)</f>
        <v>92.655704576166087</v>
      </c>
      <c r="N104" s="116">
        <f>IF(TrRoad_act!N26=0,0,N40/TrRoad_act!N26*1000)</f>
        <v>87.561448558527871</v>
      </c>
      <c r="O104" s="116">
        <f>IF(TrRoad_act!O26=0,0,O40/TrRoad_act!O26*1000)</f>
        <v>87.813944361810229</v>
      </c>
      <c r="P104" s="116">
        <f>IF(TrRoad_act!P26=0,0,P40/TrRoad_act!P26*1000)</f>
        <v>87.384844008558048</v>
      </c>
      <c r="Q104" s="116">
        <f>IF(TrRoad_act!Q26=0,0,Q40/TrRoad_act!Q26*1000)</f>
        <v>96.591857242712038</v>
      </c>
      <c r="R104" s="116">
        <f>IF(TrRoad_act!R26=0,0,R40/TrRoad_act!R26*1000)</f>
        <v>106.25435797313499</v>
      </c>
      <c r="S104" s="116">
        <f>IF(TrRoad_act!S26=0,0,S40/TrRoad_act!S26*1000)</f>
        <v>114.10432881609034</v>
      </c>
      <c r="T104" s="116">
        <f>IF(TrRoad_act!T26=0,0,T40/TrRoad_act!T26*1000)</f>
        <v>119.61496438285897</v>
      </c>
      <c r="U104" s="116">
        <f>IF(TrRoad_act!U26=0,0,U40/TrRoad_act!U26*1000)</f>
        <v>115.29082153976191</v>
      </c>
      <c r="V104" s="116">
        <f>IF(TrRoad_act!V26=0,0,V40/TrRoad_act!V26*1000)</f>
        <v>102.59068405425238</v>
      </c>
      <c r="W104" s="116">
        <f>IF(TrRoad_act!W26=0,0,W40/TrRoad_act!W26*1000)</f>
        <v>109.97680316375069</v>
      </c>
      <c r="X104" s="116">
        <f>IF(TrRoad_act!X26=0,0,X40/TrRoad_act!X26*1000)</f>
        <v>115.33985267691479</v>
      </c>
      <c r="Y104" s="116">
        <f>IF(TrRoad_act!Y26=0,0,Y40/TrRoad_act!Y26*1000)</f>
        <v>121.41890391281927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91.297110304908045</v>
      </c>
      <c r="C105" s="101">
        <f>IF(TrRoad_act!C27=0,0,C41/TrRoad_act!C27*1000)</f>
        <v>104.86553094911747</v>
      </c>
      <c r="D105" s="101">
        <f>IF(TrRoad_act!D27=0,0,D41/TrRoad_act!D27*1000)</f>
        <v>106.9025275669152</v>
      </c>
      <c r="E105" s="101">
        <f>IF(TrRoad_act!E27=0,0,E41/TrRoad_act!E27*1000)</f>
        <v>109.7982237792057</v>
      </c>
      <c r="F105" s="101">
        <f>IF(TrRoad_act!F27=0,0,F41/TrRoad_act!F27*1000)</f>
        <v>120.85532499845763</v>
      </c>
      <c r="G105" s="101">
        <f>IF(TrRoad_act!G27=0,0,G41/TrRoad_act!G27*1000)</f>
        <v>114.76932626015696</v>
      </c>
      <c r="H105" s="101">
        <f>IF(TrRoad_act!H27=0,0,H41/TrRoad_act!H27*1000)</f>
        <v>117.96343512427963</v>
      </c>
      <c r="I105" s="101">
        <f>IF(TrRoad_act!I27=0,0,I41/TrRoad_act!I27*1000)</f>
        <v>117.17769667405202</v>
      </c>
      <c r="J105" s="101">
        <f>IF(TrRoad_act!J27=0,0,J41/TrRoad_act!J27*1000)</f>
        <v>107.24388552999434</v>
      </c>
      <c r="K105" s="101">
        <f>IF(TrRoad_act!K27=0,0,K41/TrRoad_act!K27*1000)</f>
        <v>106.02668806543005</v>
      </c>
      <c r="L105" s="101">
        <f>IF(TrRoad_act!L27=0,0,L41/TrRoad_act!L27*1000)</f>
        <v>103.29625857402601</v>
      </c>
      <c r="M105" s="101">
        <f>IF(TrRoad_act!M27=0,0,M41/TrRoad_act!M27*1000)</f>
        <v>102.25910422297616</v>
      </c>
      <c r="N105" s="101">
        <f>IF(TrRoad_act!N27=0,0,N41/TrRoad_act!N27*1000)</f>
        <v>95.096031997867016</v>
      </c>
      <c r="O105" s="101">
        <f>IF(TrRoad_act!O27=0,0,O41/TrRoad_act!O27*1000)</f>
        <v>95.344767764154355</v>
      </c>
      <c r="P105" s="101">
        <f>IF(TrRoad_act!P27=0,0,P41/TrRoad_act!P27*1000)</f>
        <v>96.500325118655383</v>
      </c>
      <c r="Q105" s="101">
        <f>IF(TrRoad_act!Q27=0,0,Q41/TrRoad_act!Q27*1000)</f>
        <v>108.07823220987652</v>
      </c>
      <c r="R105" s="101">
        <f>IF(TrRoad_act!R27=0,0,R41/TrRoad_act!R27*1000)</f>
        <v>116.38746356972904</v>
      </c>
      <c r="S105" s="101">
        <f>IF(TrRoad_act!S27=0,0,S41/TrRoad_act!S27*1000)</f>
        <v>128.95748598058987</v>
      </c>
      <c r="T105" s="101">
        <f>IF(TrRoad_act!T27=0,0,T41/TrRoad_act!T27*1000)</f>
        <v>130.27926427418149</v>
      </c>
      <c r="U105" s="101">
        <f>IF(TrRoad_act!U27=0,0,U41/TrRoad_act!U27*1000)</f>
        <v>126.47150320855054</v>
      </c>
      <c r="V105" s="101">
        <f>IF(TrRoad_act!V27=0,0,V41/TrRoad_act!V27*1000)</f>
        <v>107.80151144027242</v>
      </c>
      <c r="W105" s="101">
        <f>IF(TrRoad_act!W27=0,0,W41/TrRoad_act!W27*1000)</f>
        <v>117.17752217000368</v>
      </c>
      <c r="X105" s="101">
        <f>IF(TrRoad_act!X27=0,0,X41/TrRoad_act!X27*1000)</f>
        <v>128.53808179835289</v>
      </c>
      <c r="Y105" s="101">
        <f>IF(TrRoad_act!Y27=0,0,Y41/TrRoad_act!Y27*1000)</f>
        <v>136.78018042849342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69.39341121563109</v>
      </c>
      <c r="C106" s="88">
        <f>IF(TrRoad_act!C28=0,0,C42/TrRoad_act!C28*1000)</f>
        <v>76.772449951091062</v>
      </c>
      <c r="D106" s="88">
        <f>IF(TrRoad_act!D28=0,0,D42/TrRoad_act!D28*1000)</f>
        <v>75.29120984106649</v>
      </c>
      <c r="E106" s="88">
        <f>IF(TrRoad_act!E28=0,0,E42/TrRoad_act!E28*1000)</f>
        <v>80.643182688605776</v>
      </c>
      <c r="F106" s="88">
        <f>IF(TrRoad_act!F28=0,0,F42/TrRoad_act!F28*1000)</f>
        <v>85.740536794861967</v>
      </c>
      <c r="G106" s="88">
        <f>IF(TrRoad_act!G28=0,0,G42/TrRoad_act!G28*1000)</f>
        <v>86.958634233765665</v>
      </c>
      <c r="H106" s="88">
        <f>IF(TrRoad_act!H28=0,0,H42/TrRoad_act!H28*1000)</f>
        <v>89.304172954165523</v>
      </c>
      <c r="I106" s="88">
        <f>IF(TrRoad_act!I28=0,0,I42/TrRoad_act!I28*1000)</f>
        <v>90.242041575263272</v>
      </c>
      <c r="J106" s="88">
        <f>IF(TrRoad_act!J28=0,0,J42/TrRoad_act!J28*1000)</f>
        <v>95.09451613654052</v>
      </c>
      <c r="K106" s="88">
        <f>IF(TrRoad_act!K28=0,0,K42/TrRoad_act!K28*1000)</f>
        <v>94.384998707510576</v>
      </c>
      <c r="L106" s="88">
        <f>IF(TrRoad_act!L28=0,0,L42/TrRoad_act!L28*1000)</f>
        <v>89.888742669387199</v>
      </c>
      <c r="M106" s="88">
        <f>IF(TrRoad_act!M28=0,0,M42/TrRoad_act!M28*1000)</f>
        <v>86.527965132197579</v>
      </c>
      <c r="N106" s="88">
        <f>IF(TrRoad_act!N28=0,0,N42/TrRoad_act!N28*1000)</f>
        <v>82.608158368624615</v>
      </c>
      <c r="O106" s="88">
        <f>IF(TrRoad_act!O28=0,0,O42/TrRoad_act!O28*1000)</f>
        <v>82.819267060228341</v>
      </c>
      <c r="P106" s="88">
        <f>IF(TrRoad_act!P28=0,0,P42/TrRoad_act!P28*1000)</f>
        <v>81.315006979587309</v>
      </c>
      <c r="Q106" s="88">
        <f>IF(TrRoad_act!Q28=0,0,Q42/TrRoad_act!Q28*1000)</f>
        <v>88.221603118649483</v>
      </c>
      <c r="R106" s="88">
        <f>IF(TrRoad_act!R28=0,0,R42/TrRoad_act!R28*1000)</f>
        <v>99.229001460753182</v>
      </c>
      <c r="S106" s="88">
        <f>IF(TrRoad_act!S28=0,0,S42/TrRoad_act!S28*1000)</f>
        <v>104.37882869974403</v>
      </c>
      <c r="T106" s="88">
        <f>IF(TrRoad_act!T28=0,0,T42/TrRoad_act!T28*1000)</f>
        <v>112.37332593195862</v>
      </c>
      <c r="U106" s="88">
        <f>IF(TrRoad_act!U28=0,0,U42/TrRoad_act!U28*1000)</f>
        <v>107.37998591178837</v>
      </c>
      <c r="V106" s="88">
        <f>IF(TrRoad_act!V28=0,0,V42/TrRoad_act!V28*1000)</f>
        <v>98.900266776622857</v>
      </c>
      <c r="W106" s="88">
        <f>IF(TrRoad_act!W28=0,0,W42/TrRoad_act!W28*1000)</f>
        <v>104.65091835493421</v>
      </c>
      <c r="X106" s="88">
        <f>IF(TrRoad_act!X28=0,0,X42/TrRoad_act!X28*1000)</f>
        <v>105.56135017100317</v>
      </c>
      <c r="Y106" s="88">
        <f>IF(TrRoad_act!Y28=0,0,Y42/TrRoad_act!Y28*1000)</f>
        <v>110.00492769686825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627.06588408466519</v>
      </c>
      <c r="C110" s="152">
        <f>IF(C19=0,0,1000000*C19/TrRoad_act!C59)</f>
        <v>614.83420314172224</v>
      </c>
      <c r="D110" s="152">
        <f>IF(D19=0,0,1000000*D19/TrRoad_act!D59)</f>
        <v>617.85107655169929</v>
      </c>
      <c r="E110" s="152">
        <f>IF(E19=0,0,1000000*E19/TrRoad_act!E59)</f>
        <v>610.99541144824934</v>
      </c>
      <c r="F110" s="152">
        <f>IF(F19=0,0,1000000*F19/TrRoad_act!F59)</f>
        <v>608.23448882081937</v>
      </c>
      <c r="G110" s="152">
        <f>IF(G19=0,0,1000000*G19/TrRoad_act!G59)</f>
        <v>541.34956755147084</v>
      </c>
      <c r="H110" s="152">
        <f>IF(H19=0,0,1000000*H19/TrRoad_act!H59)</f>
        <v>534.7533656402893</v>
      </c>
      <c r="I110" s="152">
        <f>IF(I19=0,0,1000000*I19/TrRoad_act!I59)</f>
        <v>529.27869525396659</v>
      </c>
      <c r="J110" s="152">
        <f>IF(J19=0,0,1000000*J19/TrRoad_act!J59)</f>
        <v>504.9151683855311</v>
      </c>
      <c r="K110" s="152">
        <f>IF(K19=0,0,1000000*K19/TrRoad_act!K59)</f>
        <v>464.51513551492553</v>
      </c>
      <c r="L110" s="152">
        <f>IF(L19=0,0,1000000*L19/TrRoad_act!L59)</f>
        <v>409.62450797396207</v>
      </c>
      <c r="M110" s="152">
        <f>IF(M19=0,0,1000000*M19/TrRoad_act!M59)</f>
        <v>389.2074618154013</v>
      </c>
      <c r="N110" s="152">
        <f>IF(N19=0,0,1000000*N19/TrRoad_act!N59)</f>
        <v>365.83039386096237</v>
      </c>
      <c r="O110" s="152">
        <f>IF(O19=0,0,1000000*O19/TrRoad_act!O59)</f>
        <v>344.58007131512477</v>
      </c>
      <c r="P110" s="152">
        <f>IF(P19=0,0,1000000*P19/TrRoad_act!P59)</f>
        <v>351.51197716933672</v>
      </c>
      <c r="Q110" s="152">
        <f>IF(Q19=0,0,1000000*Q19/TrRoad_act!Q59)</f>
        <v>327.7344147024927</v>
      </c>
      <c r="R110" s="152">
        <f>IF(R19=0,0,1000000*R19/TrRoad_act!R59)</f>
        <v>267.24274127261248</v>
      </c>
      <c r="S110" s="152">
        <f>IF(S19=0,0,1000000*S19/TrRoad_act!S59)</f>
        <v>226.40167051632841</v>
      </c>
      <c r="T110" s="152">
        <f>IF(T19=0,0,1000000*T19/TrRoad_act!T59)</f>
        <v>204.80254125871559</v>
      </c>
      <c r="U110" s="152">
        <f>IF(U19=0,0,1000000*U19/TrRoad_act!U59)</f>
        <v>208.79182486042578</v>
      </c>
      <c r="V110" s="152">
        <f>IF(V19=0,0,1000000*V19/TrRoad_act!V59)</f>
        <v>168.43406625845898</v>
      </c>
      <c r="W110" s="152">
        <f>IF(W19=0,0,1000000*W19/TrRoad_act!W59)</f>
        <v>174.58623621980871</v>
      </c>
      <c r="X110" s="152">
        <f>IF(X19=0,0,1000000*X19/TrRoad_act!X59)</f>
        <v>171.17717659061759</v>
      </c>
      <c r="Y110" s="152">
        <f>IF(Y19=0,0,1000000*Y19/TrRoad_act!Y59)</f>
        <v>179.27851385214706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3338.9768649769953</v>
      </c>
      <c r="C111" s="116">
        <f>IF(C20=0,0,1000000*C20/TrRoad_act!C60)</f>
        <v>3348.2103914097493</v>
      </c>
      <c r="D111" s="116">
        <f>IF(D20=0,0,1000000*D20/TrRoad_act!D60)</f>
        <v>3281.2961802055929</v>
      </c>
      <c r="E111" s="116">
        <f>IF(E20=0,0,1000000*E20/TrRoad_act!E60)</f>
        <v>3342.634319448116</v>
      </c>
      <c r="F111" s="116">
        <f>IF(F20=0,0,1000000*F20/TrRoad_act!F60)</f>
        <v>3346.4831927562</v>
      </c>
      <c r="G111" s="116">
        <f>IF(G20=0,0,1000000*G20/TrRoad_act!G60)</f>
        <v>3175.6061581712092</v>
      </c>
      <c r="H111" s="116">
        <f>IF(H20=0,0,1000000*H20/TrRoad_act!H60)</f>
        <v>3212.7048754772381</v>
      </c>
      <c r="I111" s="116">
        <f>IF(I20=0,0,1000000*I20/TrRoad_act!I60)</f>
        <v>3280.3111494271629</v>
      </c>
      <c r="J111" s="116">
        <f>IF(J20=0,0,1000000*J20/TrRoad_act!J60)</f>
        <v>3294.0088012253154</v>
      </c>
      <c r="K111" s="116">
        <f>IF(K20=0,0,1000000*K20/TrRoad_act!K60)</f>
        <v>3212.7354033167198</v>
      </c>
      <c r="L111" s="116">
        <f>IF(L20=0,0,1000000*L20/TrRoad_act!L60)</f>
        <v>3035.1660853053527</v>
      </c>
      <c r="M111" s="116">
        <f>IF(M20=0,0,1000000*M20/TrRoad_act!M60)</f>
        <v>2929.2440571277257</v>
      </c>
      <c r="N111" s="116">
        <f>IF(N20=0,0,1000000*N20/TrRoad_act!N60)</f>
        <v>2830.2355143156569</v>
      </c>
      <c r="O111" s="116">
        <f>IF(O20=0,0,1000000*O20/TrRoad_act!O60)</f>
        <v>2718.1515115082429</v>
      </c>
      <c r="P111" s="116">
        <f>IF(P20=0,0,1000000*P20/TrRoad_act!P60)</f>
        <v>2718.4809506548609</v>
      </c>
      <c r="Q111" s="116">
        <f>IF(Q20=0,0,1000000*Q20/TrRoad_act!Q60)</f>
        <v>2789.2751921124645</v>
      </c>
      <c r="R111" s="116">
        <f>IF(R20=0,0,1000000*R20/TrRoad_act!R60)</f>
        <v>2646.5535701075605</v>
      </c>
      <c r="S111" s="116">
        <f>IF(S20=0,0,1000000*S20/TrRoad_act!S60)</f>
        <v>2487.1006845804486</v>
      </c>
      <c r="T111" s="116">
        <f>IF(T20=0,0,1000000*T20/TrRoad_act!T60)</f>
        <v>2441.866986076433</v>
      </c>
      <c r="U111" s="116">
        <f>IF(U20=0,0,1000000*U20/TrRoad_act!U60)</f>
        <v>2387.9149186706973</v>
      </c>
      <c r="V111" s="116">
        <f>IF(V20=0,0,1000000*V20/TrRoad_act!V60)</f>
        <v>1915.9177963496004</v>
      </c>
      <c r="W111" s="116">
        <f>IF(W20=0,0,1000000*W20/TrRoad_act!W60)</f>
        <v>2029.9863718785443</v>
      </c>
      <c r="X111" s="116">
        <f>IF(X20=0,0,1000000*X20/TrRoad_act!X60)</f>
        <v>2077.5501519536683</v>
      </c>
      <c r="Y111" s="116">
        <f>IF(Y20=0,0,1000000*Y20/TrRoad_act!Y60)</f>
        <v>2052.8932625323523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2321.2542220146993</v>
      </c>
      <c r="C112" s="87">
        <f>IF(C21=0,0,1000000*C21/TrRoad_act!C61)</f>
        <v>2302.1204478293312</v>
      </c>
      <c r="D112" s="87">
        <f>IF(D21=0,0,1000000*D21/TrRoad_act!D61)</f>
        <v>2233.6879854200206</v>
      </c>
      <c r="E112" s="87">
        <f>IF(E21=0,0,1000000*E21/TrRoad_act!E61)</f>
        <v>2313.0246142629612</v>
      </c>
      <c r="F112" s="87">
        <f>IF(F21=0,0,1000000*F21/TrRoad_act!F61)</f>
        <v>2166.3298654731398</v>
      </c>
      <c r="G112" s="87">
        <f>IF(G21=0,0,1000000*G21/TrRoad_act!G61)</f>
        <v>2055.8770913504977</v>
      </c>
      <c r="H112" s="87">
        <f>IF(H21=0,0,1000000*H21/TrRoad_act!H61)</f>
        <v>1975.0264852746625</v>
      </c>
      <c r="I112" s="87">
        <f>IF(I21=0,0,1000000*I21/TrRoad_act!I61)</f>
        <v>1929.354241558797</v>
      </c>
      <c r="J112" s="87">
        <f>IF(J21=0,0,1000000*J21/TrRoad_act!J61)</f>
        <v>1829.9609487649013</v>
      </c>
      <c r="K112" s="87">
        <f>IF(K21=0,0,1000000*K21/TrRoad_act!K61)</f>
        <v>1792.161539399817</v>
      </c>
      <c r="L112" s="87">
        <f>IF(L21=0,0,1000000*L21/TrRoad_act!L61)</f>
        <v>1635.4242241745635</v>
      </c>
      <c r="M112" s="87">
        <f>IF(M21=0,0,1000000*M21/TrRoad_act!M61)</f>
        <v>1587.1829654821756</v>
      </c>
      <c r="N112" s="87">
        <f>IF(N21=0,0,1000000*N21/TrRoad_act!N61)</f>
        <v>1565.9001486805109</v>
      </c>
      <c r="O112" s="87">
        <f>IF(O21=0,0,1000000*O21/TrRoad_act!O61)</f>
        <v>1555.5973321364147</v>
      </c>
      <c r="P112" s="87">
        <f>IF(P21=0,0,1000000*P21/TrRoad_act!P61)</f>
        <v>1634.9501901863409</v>
      </c>
      <c r="Q112" s="87">
        <f>IF(Q21=0,0,1000000*Q21/TrRoad_act!Q61)</f>
        <v>1691.243130097637</v>
      </c>
      <c r="R112" s="87">
        <f>IF(R21=0,0,1000000*R21/TrRoad_act!R61)</f>
        <v>1728.8236430560723</v>
      </c>
      <c r="S112" s="87">
        <f>IF(S21=0,0,1000000*S21/TrRoad_act!S61)</f>
        <v>1618.2843767255933</v>
      </c>
      <c r="T112" s="87">
        <f>IF(T21=0,0,1000000*T21/TrRoad_act!T61)</f>
        <v>1672.2072818480165</v>
      </c>
      <c r="U112" s="87">
        <f>IF(U21=0,0,1000000*U21/TrRoad_act!U61)</f>
        <v>1740.5426204287853</v>
      </c>
      <c r="V112" s="87">
        <f>IF(V21=0,0,1000000*V21/TrRoad_act!V61)</f>
        <v>1365.4212534288065</v>
      </c>
      <c r="W112" s="87">
        <f>IF(W21=0,0,1000000*W21/TrRoad_act!W61)</f>
        <v>1580.2997487322573</v>
      </c>
      <c r="X112" s="87">
        <f>IF(X21=0,0,1000000*X21/TrRoad_act!X61)</f>
        <v>1723.4497050377322</v>
      </c>
      <c r="Y112" s="87">
        <f>IF(Y21=0,0,1000000*Y21/TrRoad_act!Y61)</f>
        <v>1775.4974593071681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4859.5915991699749</v>
      </c>
      <c r="C113" s="87">
        <f>IF(C22=0,0,1000000*C22/TrRoad_act!C62)</f>
        <v>4804.0342627780146</v>
      </c>
      <c r="D113" s="87">
        <f>IF(D22=0,0,1000000*D22/TrRoad_act!D62)</f>
        <v>4652.5810497083148</v>
      </c>
      <c r="E113" s="87">
        <f>IF(E22=0,0,1000000*E22/TrRoad_act!E62)</f>
        <v>4605.0517183089059</v>
      </c>
      <c r="F113" s="87">
        <f>IF(F22=0,0,1000000*F22/TrRoad_act!F62)</f>
        <v>4667.0408985219765</v>
      </c>
      <c r="G113" s="87">
        <f>IF(G22=0,0,1000000*G22/TrRoad_act!G62)</f>
        <v>4329.9925522353415</v>
      </c>
      <c r="H113" s="87">
        <f>IF(H22=0,0,1000000*H22/TrRoad_act!H62)</f>
        <v>4361.5659420840957</v>
      </c>
      <c r="I113" s="87">
        <f>IF(I22=0,0,1000000*I22/TrRoad_act!I62)</f>
        <v>4420.6894407773707</v>
      </c>
      <c r="J113" s="87">
        <f>IF(J22=0,0,1000000*J22/TrRoad_act!J62)</f>
        <v>4408.7603664228736</v>
      </c>
      <c r="K113" s="87">
        <f>IF(K22=0,0,1000000*K22/TrRoad_act!K62)</f>
        <v>4209.7557209201368</v>
      </c>
      <c r="L113" s="87">
        <f>IF(L22=0,0,1000000*L22/TrRoad_act!L62)</f>
        <v>3944.4099116550037</v>
      </c>
      <c r="M113" s="87">
        <f>IF(M22=0,0,1000000*M22/TrRoad_act!M62)</f>
        <v>3749.2694413544864</v>
      </c>
      <c r="N113" s="87">
        <f>IF(N22=0,0,1000000*N22/TrRoad_act!N62)</f>
        <v>3584.0377978590413</v>
      </c>
      <c r="O113" s="87">
        <f>IF(O22=0,0,1000000*O22/TrRoad_act!O62)</f>
        <v>3407.8226183790839</v>
      </c>
      <c r="P113" s="87">
        <f>IF(P22=0,0,1000000*P22/TrRoad_act!P62)</f>
        <v>3377.6088473793834</v>
      </c>
      <c r="Q113" s="87">
        <f>IF(Q22=0,0,1000000*Q22/TrRoad_act!Q62)</f>
        <v>3485.1850820082063</v>
      </c>
      <c r="R113" s="87">
        <f>IF(R22=0,0,1000000*R22/TrRoad_act!R62)</f>
        <v>3274.0629485521736</v>
      </c>
      <c r="S113" s="87">
        <f>IF(S22=0,0,1000000*S22/TrRoad_act!S62)</f>
        <v>3151.0678668069345</v>
      </c>
      <c r="T113" s="87">
        <f>IF(T22=0,0,1000000*T22/TrRoad_act!T62)</f>
        <v>3124.372432870272</v>
      </c>
      <c r="U113" s="87">
        <f>IF(U22=0,0,1000000*U22/TrRoad_act!U62)</f>
        <v>3052.429786828548</v>
      </c>
      <c r="V113" s="87">
        <f>IF(V22=0,0,1000000*V22/TrRoad_act!V62)</f>
        <v>2550.9011705220696</v>
      </c>
      <c r="W113" s="87">
        <f>IF(W22=0,0,1000000*W22/TrRoad_act!W62)</f>
        <v>2659.5378349039602</v>
      </c>
      <c r="X113" s="87">
        <f>IF(X22=0,0,1000000*X22/TrRoad_act!X62)</f>
        <v>2734.3658576940484</v>
      </c>
      <c r="Y113" s="87">
        <f>IF(Y22=0,0,1000000*Y22/TrRoad_act!Y62)</f>
        <v>2830.5577189822297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2341.9640434316084</v>
      </c>
      <c r="C114" s="87">
        <f>IF(C23=0,0,1000000*C23/TrRoad_act!C63)</f>
        <v>2399.9161079392406</v>
      </c>
      <c r="D114" s="87">
        <f>IF(D23=0,0,1000000*D23/TrRoad_act!D63)</f>
        <v>1933.8177939323268</v>
      </c>
      <c r="E114" s="87">
        <f>IF(E23=0,0,1000000*E23/TrRoad_act!E63)</f>
        <v>1761.8946967463971</v>
      </c>
      <c r="F114" s="87">
        <f>IF(F23=0,0,1000000*F23/TrRoad_act!F63)</f>
        <v>1802.5264031938841</v>
      </c>
      <c r="G114" s="87">
        <f>IF(G23=0,0,1000000*G23/TrRoad_act!G63)</f>
        <v>1896.9798496623716</v>
      </c>
      <c r="H114" s="87">
        <f>IF(H23=0,0,1000000*H23/TrRoad_act!H63)</f>
        <v>1996.0078583726211</v>
      </c>
      <c r="I114" s="87">
        <f>IF(I23=0,0,1000000*I23/TrRoad_act!I63)</f>
        <v>1828.6730158864912</v>
      </c>
      <c r="J114" s="87">
        <f>IF(J23=0,0,1000000*J23/TrRoad_act!J63)</f>
        <v>1905.4346470246696</v>
      </c>
      <c r="K114" s="87">
        <f>IF(K23=0,0,1000000*K23/TrRoad_act!K63)</f>
        <v>2058.0111262029459</v>
      </c>
      <c r="L114" s="87">
        <f>IF(L23=0,0,1000000*L23/TrRoad_act!L63)</f>
        <v>2196.6098179404089</v>
      </c>
      <c r="M114" s="87">
        <f>IF(M23=0,0,1000000*M23/TrRoad_act!M63)</f>
        <v>2147.9243823774341</v>
      </c>
      <c r="N114" s="87">
        <f>IF(N23=0,0,1000000*N23/TrRoad_act!N63)</f>
        <v>2012.8324819253844</v>
      </c>
      <c r="O114" s="87">
        <f>IF(O23=0,0,1000000*O23/TrRoad_act!O63)</f>
        <v>2019.334852102915</v>
      </c>
      <c r="P114" s="87">
        <f>IF(P23=0,0,1000000*P23/TrRoad_act!P63)</f>
        <v>2049.7803457383579</v>
      </c>
      <c r="Q114" s="87">
        <f>IF(Q23=0,0,1000000*Q23/TrRoad_act!Q63)</f>
        <v>2292.1712669792105</v>
      </c>
      <c r="R114" s="87">
        <f>IF(R23=0,0,1000000*R23/TrRoad_act!R63)</f>
        <v>2651.9428044857259</v>
      </c>
      <c r="S114" s="87">
        <f>IF(S23=0,0,1000000*S23/TrRoad_act!S63)</f>
        <v>2469.3639037649818</v>
      </c>
      <c r="T114" s="87">
        <f>IF(T23=0,0,1000000*T23/TrRoad_act!T63)</f>
        <v>2402.1060264209655</v>
      </c>
      <c r="U114" s="87">
        <f>IF(U23=0,0,1000000*U23/TrRoad_act!U63)</f>
        <v>2513.4383837596206</v>
      </c>
      <c r="V114" s="87">
        <f>IF(V23=0,0,1000000*V23/TrRoad_act!V63)</f>
        <v>2282.1490586005184</v>
      </c>
      <c r="W114" s="87">
        <f>IF(W23=0,0,1000000*W23/TrRoad_act!W63)</f>
        <v>2288.4445456599774</v>
      </c>
      <c r="X114" s="87">
        <f>IF(X23=0,0,1000000*X23/TrRoad_act!X63)</f>
        <v>2421.0218671582461</v>
      </c>
      <c r="Y114" s="87">
        <f>IF(Y23=0,0,1000000*Y23/TrRoad_act!Y63)</f>
        <v>2602.1204470984121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3085.3980000000006</v>
      </c>
      <c r="G115" s="87">
        <f>IF(G24=0,0,1000000*G24/TrRoad_act!G64)</f>
        <v>2847.0097674418612</v>
      </c>
      <c r="H115" s="87">
        <f>IF(H24=0,0,1000000*H24/TrRoad_act!H64)</f>
        <v>2648.6051908396953</v>
      </c>
      <c r="I115" s="87">
        <f>IF(I24=0,0,1000000*I24/TrRoad_act!I64)</f>
        <v>2657.7321673003803</v>
      </c>
      <c r="J115" s="87">
        <f>IF(J24=0,0,1000000*J24/TrRoad_act!J64)</f>
        <v>1714.308427908079</v>
      </c>
      <c r="K115" s="87">
        <f>IF(K24=0,0,1000000*K24/TrRoad_act!K64)</f>
        <v>1295.9745154670495</v>
      </c>
      <c r="L115" s="87">
        <f>IF(L24=0,0,1000000*L24/TrRoad_act!L64)</f>
        <v>1163.9889666396803</v>
      </c>
      <c r="M115" s="87">
        <f>IF(M24=0,0,1000000*M24/TrRoad_act!M64)</f>
        <v>1334.5390526254341</v>
      </c>
      <c r="N115" s="87">
        <f>IF(N24=0,0,1000000*N24/TrRoad_act!N64)</f>
        <v>2796.909152240376</v>
      </c>
      <c r="O115" s="87">
        <f>IF(O24=0,0,1000000*O24/TrRoad_act!O64)</f>
        <v>3533.1636106528908</v>
      </c>
      <c r="P115" s="87">
        <f>IF(P24=0,0,1000000*P24/TrRoad_act!P64)</f>
        <v>3072.3646876262897</v>
      </c>
      <c r="Q115" s="87">
        <f>IF(Q24=0,0,1000000*Q24/TrRoad_act!Q64)</f>
        <v>3054.3531959460606</v>
      </c>
      <c r="R115" s="87">
        <f>IF(R24=0,0,1000000*R24/TrRoad_act!R64)</f>
        <v>2890.4316471531633</v>
      </c>
      <c r="S115" s="87">
        <f>IF(S24=0,0,1000000*S24/TrRoad_act!S64)</f>
        <v>2871.2964430835482</v>
      </c>
      <c r="T115" s="87">
        <f>IF(T24=0,0,1000000*T24/TrRoad_act!T64)</f>
        <v>2761.0635293289633</v>
      </c>
      <c r="U115" s="87">
        <f>IF(U24=0,0,1000000*U24/TrRoad_act!U64)</f>
        <v>3787.8077633158769</v>
      </c>
      <c r="V115" s="87">
        <f>IF(V24=0,0,1000000*V24/TrRoad_act!V64)</f>
        <v>4928.0868013281297</v>
      </c>
      <c r="W115" s="87">
        <f>IF(W24=0,0,1000000*W24/TrRoad_act!W64)</f>
        <v>6387.1487695660553</v>
      </c>
      <c r="X115" s="87">
        <f>IF(X24=0,0,1000000*X24/TrRoad_act!X64)</f>
        <v>5253.3779207361213</v>
      </c>
      <c r="Y115" s="87">
        <f>IF(Y24=0,0,1000000*Y24/TrRoad_act!Y64)</f>
        <v>5831.60514176786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604.10568207822644</v>
      </c>
      <c r="N116" s="87">
        <f>IF(N25=0,0,1000000*N25/TrRoad_act!N65)</f>
        <v>404.18267479634562</v>
      </c>
      <c r="O116" s="87">
        <f>IF(O25=0,0,1000000*O25/TrRoad_act!O65)</f>
        <v>455.44549128819324</v>
      </c>
      <c r="P116" s="87">
        <f>IF(P25=0,0,1000000*P25/TrRoad_act!P65)</f>
        <v>544.43027135243244</v>
      </c>
      <c r="Q116" s="87">
        <f>IF(Q25=0,0,1000000*Q25/TrRoad_act!Q65)</f>
        <v>679.87971527775278</v>
      </c>
      <c r="R116" s="87">
        <f>IF(R25=0,0,1000000*R25/TrRoad_act!R65)</f>
        <v>751.51467651190137</v>
      </c>
      <c r="S116" s="87">
        <f>IF(S25=0,0,1000000*S25/TrRoad_act!S65)</f>
        <v>715.08613400653803</v>
      </c>
      <c r="T116" s="87">
        <f>IF(T25=0,0,1000000*T25/TrRoad_act!T65)</f>
        <v>737.41434370072807</v>
      </c>
      <c r="U116" s="87">
        <f>IF(U25=0,0,1000000*U25/TrRoad_act!U65)</f>
        <v>728.57093674631142</v>
      </c>
      <c r="V116" s="87">
        <f>IF(V25=0,0,1000000*V25/TrRoad_act!V65)</f>
        <v>504.1635279333679</v>
      </c>
      <c r="W116" s="87">
        <f>IF(W25=0,0,1000000*W25/TrRoad_act!W65)</f>
        <v>512.51106191900828</v>
      </c>
      <c r="X116" s="87">
        <f>IF(X25=0,0,1000000*X25/TrRoad_act!X65)</f>
        <v>504.75989975063283</v>
      </c>
      <c r="Y116" s="87">
        <f>IF(Y25=0,0,1000000*Y25/TrRoad_act!Y65)</f>
        <v>443.79951227970616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82658.555249911646</v>
      </c>
      <c r="C118" s="116">
        <f>IF(C27=0,0,1000000*C27/TrRoad_act!C67)</f>
        <v>82266.233496797606</v>
      </c>
      <c r="D118" s="116">
        <f>IF(D27=0,0,1000000*D27/TrRoad_act!D67)</f>
        <v>80494.084171719442</v>
      </c>
      <c r="E118" s="116">
        <f>IF(E27=0,0,1000000*E27/TrRoad_act!E67)</f>
        <v>79281.150149547582</v>
      </c>
      <c r="F118" s="116">
        <f>IF(F27=0,0,1000000*F27/TrRoad_act!F67)</f>
        <v>78114.043231567048</v>
      </c>
      <c r="G118" s="116">
        <f>IF(G27=0,0,1000000*G27/TrRoad_act!G67)</f>
        <v>76182.279002691721</v>
      </c>
      <c r="H118" s="116">
        <f>IF(H27=0,0,1000000*H27/TrRoad_act!H67)</f>
        <v>74754.523208337952</v>
      </c>
      <c r="I118" s="116">
        <f>IF(I27=0,0,1000000*I27/TrRoad_act!I67)</f>
        <v>73075.223367725674</v>
      </c>
      <c r="J118" s="116">
        <f>IF(J27=0,0,1000000*J27/TrRoad_act!J67)</f>
        <v>72116.895113911422</v>
      </c>
      <c r="K118" s="116">
        <f>IF(K27=0,0,1000000*K27/TrRoad_act!K67)</f>
        <v>69404.53810286778</v>
      </c>
      <c r="L118" s="116">
        <f>IF(L27=0,0,1000000*L27/TrRoad_act!L67)</f>
        <v>66386.723987902835</v>
      </c>
      <c r="M118" s="116">
        <f>IF(M27=0,0,1000000*M27/TrRoad_act!M67)</f>
        <v>64701.643672090002</v>
      </c>
      <c r="N118" s="116">
        <f>IF(N27=0,0,1000000*N27/TrRoad_act!N67)</f>
        <v>62964.359081675684</v>
      </c>
      <c r="O118" s="116">
        <f>IF(O27=0,0,1000000*O27/TrRoad_act!O67)</f>
        <v>62254.001222954801</v>
      </c>
      <c r="P118" s="116">
        <f>IF(P27=0,0,1000000*P27/TrRoad_act!P67)</f>
        <v>60961.310895816903</v>
      </c>
      <c r="Q118" s="116">
        <f>IF(Q27=0,0,1000000*Q27/TrRoad_act!Q67)</f>
        <v>63732.059422111597</v>
      </c>
      <c r="R118" s="116">
        <f>IF(R27=0,0,1000000*R27/TrRoad_act!R67)</f>
        <v>64354.66829063258</v>
      </c>
      <c r="S118" s="116">
        <f>IF(S27=0,0,1000000*S27/TrRoad_act!S67)</f>
        <v>65823.491499224765</v>
      </c>
      <c r="T118" s="116">
        <f>IF(T27=0,0,1000000*T27/TrRoad_act!T67)</f>
        <v>67570.925731713345</v>
      </c>
      <c r="U118" s="116">
        <f>IF(U27=0,0,1000000*U27/TrRoad_act!U67)</f>
        <v>66435.155137646099</v>
      </c>
      <c r="V118" s="116">
        <f>IF(V27=0,0,1000000*V27/TrRoad_act!V67)</f>
        <v>61895.751420994129</v>
      </c>
      <c r="W118" s="116">
        <f>IF(W27=0,0,1000000*W27/TrRoad_act!W67)</f>
        <v>62811.609680490721</v>
      </c>
      <c r="X118" s="116">
        <f>IF(X27=0,0,1000000*X27/TrRoad_act!X67)</f>
        <v>62662.958312030038</v>
      </c>
      <c r="Y118" s="116">
        <f>IF(Y27=0,0,1000000*Y27/TrRoad_act!Y67)</f>
        <v>61586.512442257401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22361.287412183072</v>
      </c>
      <c r="C119" s="101">
        <f>IF(C28=0,0,1000000*C28/TrRoad_act!C68)</f>
        <v>22944.691022074821</v>
      </c>
      <c r="D119" s="101">
        <f>IF(D28=0,0,1000000*D28/TrRoad_act!D68)</f>
        <v>23384.187137106088</v>
      </c>
      <c r="E119" s="101">
        <f>IF(E28=0,0,1000000*E28/TrRoad_act!E68)</f>
        <v>23767.792565725929</v>
      </c>
      <c r="F119" s="101">
        <f>IF(F28=0,0,1000000*F28/TrRoad_act!F68)</f>
        <v>23657.371337541274</v>
      </c>
      <c r="G119" s="101">
        <f>IF(G28=0,0,1000000*G28/TrRoad_act!G68)</f>
        <v>23531.224404933808</v>
      </c>
      <c r="H119" s="101">
        <f>IF(H28=0,0,1000000*H28/TrRoad_act!H68)</f>
        <v>23395.301635813816</v>
      </c>
      <c r="I119" s="101">
        <f>IF(I28=0,0,1000000*I28/TrRoad_act!I68)</f>
        <v>23147.702862370756</v>
      </c>
      <c r="J119" s="101">
        <f>IF(J28=0,0,1000000*J28/TrRoad_act!J68)</f>
        <v>22601.721941000327</v>
      </c>
      <c r="K119" s="101">
        <f>IF(K28=0,0,1000000*K28/TrRoad_act!K68)</f>
        <v>21666.321352072318</v>
      </c>
      <c r="L119" s="101">
        <f>IF(L28=0,0,1000000*L28/TrRoad_act!L68)</f>
        <v>20383.059813087744</v>
      </c>
      <c r="M119" s="101">
        <f>IF(M28=0,0,1000000*M28/TrRoad_act!M68)</f>
        <v>19689.099219189549</v>
      </c>
      <c r="N119" s="101">
        <f>IF(N28=0,0,1000000*N28/TrRoad_act!N68)</f>
        <v>19188.492975407356</v>
      </c>
      <c r="O119" s="101">
        <f>IF(O28=0,0,1000000*O28/TrRoad_act!O68)</f>
        <v>18681.805761936535</v>
      </c>
      <c r="P119" s="101">
        <f>IF(P28=0,0,1000000*P28/TrRoad_act!P68)</f>
        <v>18965.049741330742</v>
      </c>
      <c r="Q119" s="101">
        <f>IF(Q28=0,0,1000000*Q28/TrRoad_act!Q68)</f>
        <v>18937.021765070825</v>
      </c>
      <c r="R119" s="101">
        <f>IF(R28=0,0,1000000*R28/TrRoad_act!R68)</f>
        <v>18568.451149743414</v>
      </c>
      <c r="S119" s="101">
        <f>IF(S28=0,0,1000000*S28/TrRoad_act!S68)</f>
        <v>17710.936172743288</v>
      </c>
      <c r="T119" s="101">
        <f>IF(T28=0,0,1000000*T28/TrRoad_act!T68)</f>
        <v>17495.08168337349</v>
      </c>
      <c r="U119" s="101">
        <f>IF(U28=0,0,1000000*U28/TrRoad_act!U68)</f>
        <v>17223.625469717936</v>
      </c>
      <c r="V119" s="101">
        <f>IF(V28=0,0,1000000*V28/TrRoad_act!V68)</f>
        <v>16707.139203298851</v>
      </c>
      <c r="W119" s="101">
        <f>IF(W28=0,0,1000000*W28/TrRoad_act!W68)</f>
        <v>16370.092812644432</v>
      </c>
      <c r="X119" s="101">
        <f>IF(X28=0,0,1000000*X28/TrRoad_act!X68)</f>
        <v>16586.603568784947</v>
      </c>
      <c r="Y119" s="101">
        <f>IF(Y28=0,0,1000000*Y28/TrRoad_act!Y68)</f>
        <v>16316.556772569955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83559.48813477128</v>
      </c>
      <c r="C120" s="101">
        <f>IF(C29=0,0,1000000*C29/TrRoad_act!C69)</f>
        <v>83126.404351795965</v>
      </c>
      <c r="D120" s="101">
        <f>IF(D29=0,0,1000000*D29/TrRoad_act!D69)</f>
        <v>81241.573629902487</v>
      </c>
      <c r="E120" s="101">
        <f>IF(E29=0,0,1000000*E29/TrRoad_act!E69)</f>
        <v>79989.882593127273</v>
      </c>
      <c r="F120" s="101">
        <f>IF(F29=0,0,1000000*F29/TrRoad_act!F69)</f>
        <v>78786.098159249261</v>
      </c>
      <c r="G120" s="101">
        <f>IF(G29=0,0,1000000*G29/TrRoad_act!G69)</f>
        <v>76922.054524548977</v>
      </c>
      <c r="H120" s="101">
        <f>IF(H29=0,0,1000000*H29/TrRoad_act!H69)</f>
        <v>75424.6794060783</v>
      </c>
      <c r="I120" s="101">
        <f>IF(I29=0,0,1000000*I29/TrRoad_act!I69)</f>
        <v>73692.904768353925</v>
      </c>
      <c r="J120" s="101">
        <f>IF(J29=0,0,1000000*J29/TrRoad_act!J69)</f>
        <v>72679.219071274842</v>
      </c>
      <c r="K120" s="101">
        <f>IF(K29=0,0,1000000*K29/TrRoad_act!K69)</f>
        <v>69916.85027465962</v>
      </c>
      <c r="L120" s="101">
        <f>IF(L29=0,0,1000000*L29/TrRoad_act!L69)</f>
        <v>66841.681895649817</v>
      </c>
      <c r="M120" s="101">
        <f>IF(M29=0,0,1000000*M29/TrRoad_act!M69)</f>
        <v>65140.245180725615</v>
      </c>
      <c r="N120" s="101">
        <f>IF(N29=0,0,1000000*N29/TrRoad_act!N69)</f>
        <v>63383.250965914354</v>
      </c>
      <c r="O120" s="101">
        <f>IF(O29=0,0,1000000*O29/TrRoad_act!O69)</f>
        <v>62658.109309624102</v>
      </c>
      <c r="P120" s="101">
        <f>IF(P29=0,0,1000000*P29/TrRoad_act!P69)</f>
        <v>61324.519232003018</v>
      </c>
      <c r="Q120" s="101">
        <f>IF(Q29=0,0,1000000*Q29/TrRoad_act!Q69)</f>
        <v>64107.334690501986</v>
      </c>
      <c r="R120" s="101">
        <f>IF(R29=0,0,1000000*R29/TrRoad_act!R69)</f>
        <v>64765.648239898583</v>
      </c>
      <c r="S120" s="101">
        <f>IF(S29=0,0,1000000*S29/TrRoad_act!S69)</f>
        <v>66241.900306329495</v>
      </c>
      <c r="T120" s="101">
        <f>IF(T29=0,0,1000000*T29/TrRoad_act!T69)</f>
        <v>68051.360355400204</v>
      </c>
      <c r="U120" s="101">
        <f>IF(U29=0,0,1000000*U29/TrRoad_act!U69)</f>
        <v>67025.279869537888</v>
      </c>
      <c r="V120" s="101">
        <f>IF(V29=0,0,1000000*V29/TrRoad_act!V69)</f>
        <v>62443.750440991877</v>
      </c>
      <c r="W120" s="101">
        <f>IF(W29=0,0,1000000*W29/TrRoad_act!W69)</f>
        <v>62990.73140963781</v>
      </c>
      <c r="X120" s="101">
        <f>IF(X29=0,0,1000000*X29/TrRoad_act!X69)</f>
        <v>63106.746205609707</v>
      </c>
      <c r="Y120" s="101">
        <f>IF(Y29=0,0,1000000*Y29/TrRoad_act!Y69)</f>
        <v>62610.726963089735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35521.546525756748</v>
      </c>
      <c r="P122" s="101">
        <f>IF(P31=0,0,1000000*P31/TrRoad_act!P71)</f>
        <v>48111.965211007569</v>
      </c>
      <c r="Q122" s="101">
        <f>IF(Q31=0,0,1000000*Q31/TrRoad_act!Q71)</f>
        <v>47785.369527301278</v>
      </c>
      <c r="R122" s="101">
        <f>IF(R31=0,0,1000000*R31/TrRoad_act!R71)</f>
        <v>46626.074616990663</v>
      </c>
      <c r="S122" s="101">
        <f>IF(S31=0,0,1000000*S31/TrRoad_act!S71)</f>
        <v>47590.716023162997</v>
      </c>
      <c r="T122" s="101">
        <f>IF(T31=0,0,1000000*T31/TrRoad_act!T71)</f>
        <v>45912.090948962723</v>
      </c>
      <c r="U122" s="101">
        <f>IF(U31=0,0,1000000*U31/TrRoad_act!U71)</f>
        <v>65472.479997059811</v>
      </c>
      <c r="V122" s="101">
        <f>IF(V31=0,0,1000000*V31/TrRoad_act!V71)</f>
        <v>97582.662860462588</v>
      </c>
      <c r="W122" s="101">
        <f>IF(W31=0,0,1000000*W31/TrRoad_act!W71)</f>
        <v>126483.58918666675</v>
      </c>
      <c r="X122" s="101">
        <f>IF(X31=0,0,1000000*X31/TrRoad_act!X71)</f>
        <v>106919.78677763768</v>
      </c>
      <c r="Y122" s="101">
        <f>IF(Y31=0,0,1000000*Y31/TrRoad_act!Y71)</f>
        <v>117823.94266124711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7177.6764064191584</v>
      </c>
      <c r="C125" s="152">
        <f>IF(C34=0,0,1000000*C34/TrRoad_act!C74)</f>
        <v>6855.7615282901779</v>
      </c>
      <c r="D125" s="152">
        <f>IF(D34=0,0,1000000*D34/TrRoad_act!D74)</f>
        <v>7469.7603972960696</v>
      </c>
      <c r="E125" s="152">
        <f>IF(E34=0,0,1000000*E34/TrRoad_act!E74)</f>
        <v>7223.6001224892098</v>
      </c>
      <c r="F125" s="152">
        <f>IF(F34=0,0,1000000*F34/TrRoad_act!F74)</f>
        <v>7332.9241292914203</v>
      </c>
      <c r="G125" s="152">
        <f>IF(G34=0,0,1000000*G34/TrRoad_act!G74)</f>
        <v>7089.9555219615531</v>
      </c>
      <c r="H125" s="152">
        <f>IF(H34=0,0,1000000*H34/TrRoad_act!H74)</f>
        <v>6957.4565494516391</v>
      </c>
      <c r="I125" s="152">
        <f>IF(I34=0,0,1000000*I34/TrRoad_act!I74)</f>
        <v>7024.9466200053976</v>
      </c>
      <c r="J125" s="152">
        <f>IF(J34=0,0,1000000*J34/TrRoad_act!J74)</f>
        <v>6820.239040030976</v>
      </c>
      <c r="K125" s="152">
        <f>IF(K34=0,0,1000000*K34/TrRoad_act!K74)</f>
        <v>6393.1337012700487</v>
      </c>
      <c r="L125" s="152">
        <f>IF(L34=0,0,1000000*L34/TrRoad_act!L74)</f>
        <v>5986.9325548123534</v>
      </c>
      <c r="M125" s="152">
        <f>IF(M34=0,0,1000000*M34/TrRoad_act!M74)</f>
        <v>5806.2721527131998</v>
      </c>
      <c r="N125" s="152">
        <f>IF(N34=0,0,1000000*N34/TrRoad_act!N74)</f>
        <v>5533.5985472493885</v>
      </c>
      <c r="O125" s="152">
        <f>IF(O34=0,0,1000000*O34/TrRoad_act!O74)</f>
        <v>5064.9854344274663</v>
      </c>
      <c r="P125" s="152">
        <f>IF(P34=0,0,1000000*P34/TrRoad_act!P74)</f>
        <v>5056.1863265635648</v>
      </c>
      <c r="Q125" s="152">
        <f>IF(Q34=0,0,1000000*Q34/TrRoad_act!Q74)</f>
        <v>5407.873446614044</v>
      </c>
      <c r="R125" s="152">
        <f>IF(R34=0,0,1000000*R34/TrRoad_act!R74)</f>
        <v>4662.348583740275</v>
      </c>
      <c r="S125" s="152">
        <f>IF(S34=0,0,1000000*S34/TrRoad_act!S74)</f>
        <v>4127.0442311727511</v>
      </c>
      <c r="T125" s="152">
        <f>IF(T34=0,0,1000000*T34/TrRoad_act!T74)</f>
        <v>4045.9822053499383</v>
      </c>
      <c r="U125" s="152">
        <f>IF(U34=0,0,1000000*U34/TrRoad_act!U74)</f>
        <v>3872.8810503982659</v>
      </c>
      <c r="V125" s="152">
        <f>IF(V34=0,0,1000000*V34/TrRoad_act!V74)</f>
        <v>3229.5786907649253</v>
      </c>
      <c r="W125" s="152">
        <f>IF(W34=0,0,1000000*W34/TrRoad_act!W74)</f>
        <v>3915.4122624033471</v>
      </c>
      <c r="X125" s="152">
        <f>IF(X34=0,0,1000000*X34/TrRoad_act!X74)</f>
        <v>3752.061762329412</v>
      </c>
      <c r="Y125" s="152">
        <f>IF(Y34=0,0,1000000*Y34/TrRoad_act!Y74)</f>
        <v>3957.8978088613926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5048.3588516136306</v>
      </c>
      <c r="C126" s="87">
        <f>IF(C35=0,0,1000000*C35/TrRoad_act!C75)</f>
        <v>4863.8109512724868</v>
      </c>
      <c r="D126" s="87">
        <f>IF(D35=0,0,1000000*D35/TrRoad_act!D75)</f>
        <v>4985.9859577755587</v>
      </c>
      <c r="E126" s="87">
        <f>IF(E35=0,0,1000000*E35/TrRoad_act!E75)</f>
        <v>4631.3915950845067</v>
      </c>
      <c r="F126" s="87">
        <f>IF(F35=0,0,1000000*F35/TrRoad_act!F75)</f>
        <v>4523.3932883857115</v>
      </c>
      <c r="G126" s="87">
        <f>IF(G35=0,0,1000000*G35/TrRoad_act!G75)</f>
        <v>4633.4340728161305</v>
      </c>
      <c r="H126" s="87">
        <f>IF(H35=0,0,1000000*H35/TrRoad_act!H75)</f>
        <v>4817.5940735776621</v>
      </c>
      <c r="I126" s="87">
        <f>IF(I35=0,0,1000000*I35/TrRoad_act!I75)</f>
        <v>4633.818336199688</v>
      </c>
      <c r="J126" s="87">
        <f>IF(J35=0,0,1000000*J35/TrRoad_act!J75)</f>
        <v>4221.2462554841477</v>
      </c>
      <c r="K126" s="87">
        <f>IF(K35=0,0,1000000*K35/TrRoad_act!K75)</f>
        <v>3916.7110491741487</v>
      </c>
      <c r="L126" s="87">
        <f>IF(L35=0,0,1000000*L35/TrRoad_act!L75)</f>
        <v>3709.2167452128997</v>
      </c>
      <c r="M126" s="87">
        <f>IF(M35=0,0,1000000*M35/TrRoad_act!M75)</f>
        <v>3777.6034365741989</v>
      </c>
      <c r="N126" s="87">
        <f>IF(N35=0,0,1000000*N35/TrRoad_act!N75)</f>
        <v>3803.2768983885549</v>
      </c>
      <c r="O126" s="87">
        <f>IF(O35=0,0,1000000*O35/TrRoad_act!O75)</f>
        <v>3649.2607405438271</v>
      </c>
      <c r="P126" s="87">
        <f>IF(P35=0,0,1000000*P35/TrRoad_act!P75)</f>
        <v>3637.4802971664608</v>
      </c>
      <c r="Q126" s="87">
        <f>IF(Q35=0,0,1000000*Q35/TrRoad_act!Q75)</f>
        <v>3594.7366027816252</v>
      </c>
      <c r="R126" s="87">
        <f>IF(R35=0,0,1000000*R35/TrRoad_act!R75)</f>
        <v>3640.6098711764835</v>
      </c>
      <c r="S126" s="87">
        <f>IF(S35=0,0,1000000*S35/TrRoad_act!S75)</f>
        <v>3518.6185013435661</v>
      </c>
      <c r="T126" s="87">
        <f>IF(T35=0,0,1000000*T35/TrRoad_act!T75)</f>
        <v>3373.1022238676583</v>
      </c>
      <c r="U126" s="87">
        <f>IF(U35=0,0,1000000*U35/TrRoad_act!U75)</f>
        <v>3329.9906778962763</v>
      </c>
      <c r="V126" s="87">
        <f>IF(V35=0,0,1000000*V35/TrRoad_act!V75)</f>
        <v>2706.7177850105559</v>
      </c>
      <c r="W126" s="87">
        <f>IF(W35=0,0,1000000*W35/TrRoad_act!W75)</f>
        <v>3322.8035072810799</v>
      </c>
      <c r="X126" s="87">
        <f>IF(X35=0,0,1000000*X35/TrRoad_act!X75)</f>
        <v>3309.3449801795173</v>
      </c>
      <c r="Y126" s="87">
        <f>IF(Y35=0,0,1000000*Y35/TrRoad_act!Y75)</f>
        <v>3350.5993794549422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7645.4853931711268</v>
      </c>
      <c r="C127" s="87">
        <f>IF(C36=0,0,1000000*C36/TrRoad_act!C76)</f>
        <v>7295.0027895830453</v>
      </c>
      <c r="D127" s="87">
        <f>IF(D36=0,0,1000000*D36/TrRoad_act!D76)</f>
        <v>7977.6700065086316</v>
      </c>
      <c r="E127" s="87">
        <f>IF(E36=0,0,1000000*E36/TrRoad_act!E76)</f>
        <v>7676.609275578161</v>
      </c>
      <c r="F127" s="87">
        <f>IF(F36=0,0,1000000*F36/TrRoad_act!F76)</f>
        <v>7770.0426448711796</v>
      </c>
      <c r="G127" s="87">
        <f>IF(G36=0,0,1000000*G36/TrRoad_act!G76)</f>
        <v>7453.8095808221151</v>
      </c>
      <c r="H127" s="87">
        <f>IF(H36=0,0,1000000*H36/TrRoad_act!H76)</f>
        <v>7263.6923835712059</v>
      </c>
      <c r="I127" s="87">
        <f>IF(I36=0,0,1000000*I36/TrRoad_act!I76)</f>
        <v>7307.8025217286558</v>
      </c>
      <c r="J127" s="87">
        <f>IF(J36=0,0,1000000*J36/TrRoad_act!J76)</f>
        <v>7100.4381259230531</v>
      </c>
      <c r="K127" s="87">
        <f>IF(K36=0,0,1000000*K36/TrRoad_act!K76)</f>
        <v>6638.0719212841477</v>
      </c>
      <c r="L127" s="87">
        <f>IF(L36=0,0,1000000*L36/TrRoad_act!L76)</f>
        <v>6193.9463601580464</v>
      </c>
      <c r="M127" s="87">
        <f>IF(M36=0,0,1000000*M36/TrRoad_act!M76)</f>
        <v>5989.8225789983444</v>
      </c>
      <c r="N127" s="87">
        <f>IF(N36=0,0,1000000*N36/TrRoad_act!N76)</f>
        <v>5690.0555327387528</v>
      </c>
      <c r="O127" s="87">
        <f>IF(O36=0,0,1000000*O36/TrRoad_act!O76)</f>
        <v>5184.2054722027033</v>
      </c>
      <c r="P127" s="87">
        <f>IF(P36=0,0,1000000*P36/TrRoad_act!P76)</f>
        <v>5161.2743663651781</v>
      </c>
      <c r="Q127" s="87">
        <f>IF(Q36=0,0,1000000*Q36/TrRoad_act!Q76)</f>
        <v>5511.3105593851797</v>
      </c>
      <c r="R127" s="87">
        <f>IF(R36=0,0,1000000*R36/TrRoad_act!R76)</f>
        <v>4724.0977188285697</v>
      </c>
      <c r="S127" s="87">
        <f>IF(S36=0,0,1000000*S36/TrRoad_act!S76)</f>
        <v>4169.6136028536166</v>
      </c>
      <c r="T127" s="87">
        <f>IF(T36=0,0,1000000*T36/TrRoad_act!T76)</f>
        <v>4094.9297531604125</v>
      </c>
      <c r="U127" s="87">
        <f>IF(U36=0,0,1000000*U36/TrRoad_act!U76)</f>
        <v>3915.4384803247808</v>
      </c>
      <c r="V127" s="87">
        <f>IF(V36=0,0,1000000*V36/TrRoad_act!V76)</f>
        <v>3259.723982176311</v>
      </c>
      <c r="W127" s="87">
        <f>IF(W36=0,0,1000000*W36/TrRoad_act!W76)</f>
        <v>3943.0236684208508</v>
      </c>
      <c r="X127" s="87">
        <f>IF(X36=0,0,1000000*X36/TrRoad_act!X76)</f>
        <v>3787.9490989201217</v>
      </c>
      <c r="Y127" s="87">
        <f>IF(Y36=0,0,1000000*Y36/TrRoad_act!Y76)</f>
        <v>4002.533748159166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4005.1823652511707</v>
      </c>
      <c r="C128" s="87">
        <f>IF(C37=0,0,1000000*C37/TrRoad_act!C77)</f>
        <v>3797.9839328457574</v>
      </c>
      <c r="D128" s="87">
        <f>IF(D37=0,0,1000000*D37/TrRoad_act!D77)</f>
        <v>4206.9388898510106</v>
      </c>
      <c r="E128" s="87">
        <f>IF(E37=0,0,1000000*E37/TrRoad_act!E77)</f>
        <v>4209.2374433422683</v>
      </c>
      <c r="F128" s="87">
        <f>IF(F37=0,0,1000000*F37/TrRoad_act!F77)</f>
        <v>4304.7234167407869</v>
      </c>
      <c r="G128" s="87">
        <f>IF(G37=0,0,1000000*G37/TrRoad_act!G77)</f>
        <v>4162.9155469886064</v>
      </c>
      <c r="H128" s="87">
        <f>IF(H37=0,0,1000000*H37/TrRoad_act!H77)</f>
        <v>4031.9537016163213</v>
      </c>
      <c r="I128" s="87">
        <f>IF(I37=0,0,1000000*I37/TrRoad_act!I77)</f>
        <v>4059.6926369348453</v>
      </c>
      <c r="J128" s="87">
        <f>IF(J37=0,0,1000000*J37/TrRoad_act!J77)</f>
        <v>3814.8315831440605</v>
      </c>
      <c r="K128" s="87">
        <f>IF(K37=0,0,1000000*K37/TrRoad_act!K77)</f>
        <v>3506.830500493043</v>
      </c>
      <c r="L128" s="87">
        <f>IF(L37=0,0,1000000*L37/TrRoad_act!L77)</f>
        <v>3268.7741999101777</v>
      </c>
      <c r="M128" s="87">
        <f>IF(M37=0,0,1000000*M37/TrRoad_act!M77)</f>
        <v>3109.9855884530616</v>
      </c>
      <c r="N128" s="87">
        <f>IF(N37=0,0,1000000*N37/TrRoad_act!N77)</f>
        <v>2959.1483745817145</v>
      </c>
      <c r="O128" s="87">
        <f>IF(O37=0,0,1000000*O37/TrRoad_act!O77)</f>
        <v>2708.6861691648205</v>
      </c>
      <c r="P128" s="87">
        <f>IF(P37=0,0,1000000*P37/TrRoad_act!P77)</f>
        <v>2756.4988983017715</v>
      </c>
      <c r="Q128" s="87">
        <f>IF(Q37=0,0,1000000*Q37/TrRoad_act!Q77)</f>
        <v>2908.5808393235538</v>
      </c>
      <c r="R128" s="87">
        <f>IF(R37=0,0,1000000*R37/TrRoad_act!R77)</f>
        <v>2850.3795637250223</v>
      </c>
      <c r="S128" s="87">
        <f>IF(S37=0,0,1000000*S37/TrRoad_act!S77)</f>
        <v>2763.2517109236687</v>
      </c>
      <c r="T128" s="87">
        <f>IF(T37=0,0,1000000*T37/TrRoad_act!T77)</f>
        <v>2716.1861814778199</v>
      </c>
      <c r="U128" s="87">
        <f>IF(U37=0,0,1000000*U37/TrRoad_act!U77)</f>
        <v>2605.6654864548286</v>
      </c>
      <c r="V128" s="87">
        <f>IF(V37=0,0,1000000*V37/TrRoad_act!V77)</f>
        <v>2219.9717444249477</v>
      </c>
      <c r="W128" s="87">
        <f>IF(W37=0,0,1000000*W37/TrRoad_act!W77)</f>
        <v>2681.7045827255588</v>
      </c>
      <c r="X128" s="87">
        <f>IF(X37=0,0,1000000*X37/TrRoad_act!X77)</f>
        <v>2533.8505395611469</v>
      </c>
      <c r="Y128" s="87">
        <f>IF(Y37=0,0,1000000*Y37/TrRoad_act!Y77)</f>
        <v>2615.5862317073806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3136.0842374415238</v>
      </c>
      <c r="K129" s="87">
        <f>IF(K38=0,0,1000000*K38/TrRoad_act!K78)</f>
        <v>3129.7840605424526</v>
      </c>
      <c r="L129" s="87">
        <f>IF(L38=0,0,1000000*L38/TrRoad_act!L78)</f>
        <v>3076.2257921532537</v>
      </c>
      <c r="M129" s="87">
        <f>IF(M38=0,0,1000000*M38/TrRoad_act!M78)</f>
        <v>2983.970474304921</v>
      </c>
      <c r="N129" s="87">
        <f>IF(N38=0,0,1000000*N38/TrRoad_act!N78)</f>
        <v>2887.2985365964737</v>
      </c>
      <c r="O129" s="87">
        <f>IF(O38=0,0,1000000*O38/TrRoad_act!O78)</f>
        <v>2671.7373355835939</v>
      </c>
      <c r="P129" s="87">
        <f>IF(P38=0,0,1000000*P38/TrRoad_act!P78)</f>
        <v>2811.1335602373601</v>
      </c>
      <c r="Q129" s="87">
        <f>IF(Q38=0,0,1000000*Q38/TrRoad_act!Q78)</f>
        <v>3157.3141181860965</v>
      </c>
      <c r="R129" s="87">
        <f>IF(R38=0,0,1000000*R38/TrRoad_act!R78)</f>
        <v>3110.4880713767739</v>
      </c>
      <c r="S129" s="87">
        <f>IF(S38=0,0,1000000*S38/TrRoad_act!S78)</f>
        <v>2935.2466186570296</v>
      </c>
      <c r="T129" s="87">
        <f>IF(T38=0,0,1000000*T38/TrRoad_act!T78)</f>
        <v>2722.2996171955915</v>
      </c>
      <c r="U129" s="87">
        <f>IF(U38=0,0,1000000*U38/TrRoad_act!U78)</f>
        <v>3575.0166030776659</v>
      </c>
      <c r="V129" s="87">
        <f>IF(V38=0,0,1000000*V38/TrRoad_act!V78)</f>
        <v>4649.8342873614101</v>
      </c>
      <c r="W129" s="87">
        <f>IF(W38=0,0,1000000*W38/TrRoad_act!W78)</f>
        <v>7328.0715953013778</v>
      </c>
      <c r="X129" s="87">
        <f>IF(X38=0,0,1000000*X38/TrRoad_act!X78)</f>
        <v>5931.5859801255901</v>
      </c>
      <c r="Y129" s="87">
        <f>IF(Y38=0,0,1000000*Y38/TrRoad_act!Y78)</f>
        <v>6911.1423862920947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33363.621120066819</v>
      </c>
      <c r="C131" s="116">
        <f>IF(C40=0,0,1000000*C40/TrRoad_act!C80)</f>
        <v>27509.676913280728</v>
      </c>
      <c r="D131" s="116">
        <f>IF(D40=0,0,1000000*D40/TrRoad_act!D80)</f>
        <v>28050.794072593664</v>
      </c>
      <c r="E131" s="116">
        <f>IF(E40=0,0,1000000*E40/TrRoad_act!E80)</f>
        <v>28070.54495201544</v>
      </c>
      <c r="F131" s="116">
        <f>IF(F40=0,0,1000000*F40/TrRoad_act!F80)</f>
        <v>30730.355168598588</v>
      </c>
      <c r="G131" s="116">
        <f>IF(G40=0,0,1000000*G40/TrRoad_act!G80)</f>
        <v>29489.690531140175</v>
      </c>
      <c r="H131" s="116">
        <f>IF(H40=0,0,1000000*H40/TrRoad_act!H80)</f>
        <v>31043.172267899743</v>
      </c>
      <c r="I131" s="116">
        <f>IF(I40=0,0,1000000*I40/TrRoad_act!I80)</f>
        <v>31220.911133812773</v>
      </c>
      <c r="J131" s="116">
        <f>IF(J40=0,0,1000000*J40/TrRoad_act!J80)</f>
        <v>28297.21593781194</v>
      </c>
      <c r="K131" s="116">
        <f>IF(K40=0,0,1000000*K40/TrRoad_act!K80)</f>
        <v>27013.671478994562</v>
      </c>
      <c r="L131" s="116">
        <f>IF(L40=0,0,1000000*L40/TrRoad_act!L80)</f>
        <v>27546.329252475341</v>
      </c>
      <c r="M131" s="116">
        <f>IF(M40=0,0,1000000*M40/TrRoad_act!M80)</f>
        <v>24841.835314621458</v>
      </c>
      <c r="N131" s="116">
        <f>IF(N40=0,0,1000000*N40/TrRoad_act!N80)</f>
        <v>24078.014878604201</v>
      </c>
      <c r="O131" s="116">
        <f>IF(O40=0,0,1000000*O40/TrRoad_act!O80)</f>
        <v>24683.443795948744</v>
      </c>
      <c r="P131" s="116">
        <f>IF(P40=0,0,1000000*P40/TrRoad_act!P80)</f>
        <v>24312.711366469037</v>
      </c>
      <c r="Q131" s="116">
        <f>IF(Q40=0,0,1000000*Q40/TrRoad_act!Q80)</f>
        <v>26516.077283570961</v>
      </c>
      <c r="R131" s="116">
        <f>IF(R40=0,0,1000000*R40/TrRoad_act!R80)</f>
        <v>34008.599713679323</v>
      </c>
      <c r="S131" s="116">
        <f>IF(S40=0,0,1000000*S40/TrRoad_act!S80)</f>
        <v>36023.8433381418</v>
      </c>
      <c r="T131" s="116">
        <f>IF(T40=0,0,1000000*T40/TrRoad_act!T80)</f>
        <v>36455.604930902409</v>
      </c>
      <c r="U131" s="116">
        <f>IF(U40=0,0,1000000*U40/TrRoad_act!U80)</f>
        <v>35883.051847009665</v>
      </c>
      <c r="V131" s="116">
        <f>IF(V40=0,0,1000000*V40/TrRoad_act!V80)</f>
        <v>31611.067534455084</v>
      </c>
      <c r="W131" s="116">
        <f>IF(W40=0,0,1000000*W40/TrRoad_act!W80)</f>
        <v>35624.096108606187</v>
      </c>
      <c r="X131" s="116">
        <f>IF(X40=0,0,1000000*X40/TrRoad_act!X80)</f>
        <v>35416.838362432391</v>
      </c>
      <c r="Y131" s="116">
        <f>IF(Y40=0,0,1000000*Y40/TrRoad_act!Y80)</f>
        <v>36096.333414820765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22846.541214902056</v>
      </c>
      <c r="C132" s="101">
        <f>IF(C41=0,0,1000000*C41/TrRoad_act!C81)</f>
        <v>17951.434193507201</v>
      </c>
      <c r="D132" s="101">
        <f>IF(D41=0,0,1000000*D41/TrRoad_act!D81)</f>
        <v>18221.270350093906</v>
      </c>
      <c r="E132" s="101">
        <f>IF(E41=0,0,1000000*E41/TrRoad_act!E81)</f>
        <v>17424.645796296456</v>
      </c>
      <c r="F132" s="101">
        <f>IF(F41=0,0,1000000*F41/TrRoad_act!F81)</f>
        <v>18321.07770397768</v>
      </c>
      <c r="G132" s="101">
        <f>IF(G41=0,0,1000000*G41/TrRoad_act!G81)</f>
        <v>16641.578198266034</v>
      </c>
      <c r="H132" s="101">
        <f>IF(H41=0,0,1000000*H41/TrRoad_act!H81)</f>
        <v>17473.853856445083</v>
      </c>
      <c r="I132" s="101">
        <f>IF(I41=0,0,1000000*I41/TrRoad_act!I81)</f>
        <v>17153.959975900125</v>
      </c>
      <c r="J132" s="101">
        <f>IF(J41=0,0,1000000*J41/TrRoad_act!J81)</f>
        <v>13792.590301795652</v>
      </c>
      <c r="K132" s="101">
        <f>IF(K41=0,0,1000000*K41/TrRoad_act!K81)</f>
        <v>13347.74000926685</v>
      </c>
      <c r="L132" s="101">
        <f>IF(L41=0,0,1000000*L41/TrRoad_act!L81)</f>
        <v>13644.598561026618</v>
      </c>
      <c r="M132" s="101">
        <f>IF(M41=0,0,1000000*M41/TrRoad_act!M81)</f>
        <v>12364.098389402381</v>
      </c>
      <c r="N132" s="101">
        <f>IF(N41=0,0,1000000*N41/TrRoad_act!N81)</f>
        <v>12040.774475480119</v>
      </c>
      <c r="O132" s="101">
        <f>IF(O41=0,0,1000000*O41/TrRoad_act!O81)</f>
        <v>12440.491751661235</v>
      </c>
      <c r="P132" s="101">
        <f>IF(P41=0,0,1000000*P41/TrRoad_act!P81)</f>
        <v>12464.178250946919</v>
      </c>
      <c r="Q132" s="101">
        <f>IF(Q41=0,0,1000000*Q41/TrRoad_act!Q81)</f>
        <v>14431.638331960254</v>
      </c>
      <c r="R132" s="101">
        <f>IF(R41=0,0,1000000*R41/TrRoad_act!R81)</f>
        <v>18149.041730321682</v>
      </c>
      <c r="S132" s="101">
        <f>IF(S41=0,0,1000000*S41/TrRoad_act!S81)</f>
        <v>19182.498094847448</v>
      </c>
      <c r="T132" s="101">
        <f>IF(T41=0,0,1000000*T41/TrRoad_act!T81)</f>
        <v>18913.091125182193</v>
      </c>
      <c r="U132" s="101">
        <f>IF(U41=0,0,1000000*U41/TrRoad_act!U81)</f>
        <v>19245.393958198885</v>
      </c>
      <c r="V132" s="101">
        <f>IF(V41=0,0,1000000*V41/TrRoad_act!V81)</f>
        <v>16260.828910835882</v>
      </c>
      <c r="W132" s="101">
        <f>IF(W41=0,0,1000000*W41/TrRoad_act!W81)</f>
        <v>19119.632039427615</v>
      </c>
      <c r="X132" s="101">
        <f>IF(X41=0,0,1000000*X41/TrRoad_act!X81)</f>
        <v>19722.25393340809</v>
      </c>
      <c r="Y132" s="101">
        <f>IF(Y41=0,0,1000000*Y41/TrRoad_act!Y81)</f>
        <v>20274.160982538913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84097.413018979118</v>
      </c>
      <c r="C133" s="88">
        <f>IF(C42=0,0,1000000*C42/TrRoad_act!C82)</f>
        <v>92956.264126421433</v>
      </c>
      <c r="D133" s="88">
        <f>IF(D42=0,0,1000000*D42/TrRoad_act!D82)</f>
        <v>91762.169038051812</v>
      </c>
      <c r="E133" s="88">
        <f>IF(E42=0,0,1000000*E42/TrRoad_act!E82)</f>
        <v>97706.778669364168</v>
      </c>
      <c r="F133" s="88">
        <f>IF(F42=0,0,1000000*F42/TrRoad_act!F82)</f>
        <v>101982.72848132685</v>
      </c>
      <c r="G133" s="88">
        <f>IF(G42=0,0,1000000*G42/TrRoad_act!G82)</f>
        <v>103478.30468692764</v>
      </c>
      <c r="H133" s="88">
        <f>IF(H42=0,0,1000000*H42/TrRoad_act!H82)</f>
        <v>106948.12349331385</v>
      </c>
      <c r="I133" s="88">
        <f>IF(I42=0,0,1000000*I42/TrRoad_act!I82)</f>
        <v>108270.56101646593</v>
      </c>
      <c r="J133" s="88">
        <f>IF(J42=0,0,1000000*J42/TrRoad_act!J82)</f>
        <v>112480.17928807241</v>
      </c>
      <c r="K133" s="88">
        <f>IF(K42=0,0,1000000*K42/TrRoad_act!K82)</f>
        <v>110164.0942434124</v>
      </c>
      <c r="L133" s="88">
        <f>IF(L42=0,0,1000000*L42/TrRoad_act!L82)</f>
        <v>108332.63401513803</v>
      </c>
      <c r="M133" s="88">
        <f>IF(M42=0,0,1000000*M42/TrRoad_act!M82)</f>
        <v>103947.97158901519</v>
      </c>
      <c r="N133" s="88">
        <f>IF(N42=0,0,1000000*N42/TrRoad_act!N82)</f>
        <v>98909.595518351081</v>
      </c>
      <c r="O133" s="88">
        <f>IF(O42=0,0,1000000*O42/TrRoad_act!O82)</f>
        <v>99295.232147795861</v>
      </c>
      <c r="P133" s="88">
        <f>IF(P42=0,0,1000000*P42/TrRoad_act!P82)</f>
        <v>97720.488240129052</v>
      </c>
      <c r="Q133" s="88">
        <f>IF(Q42=0,0,1000000*Q42/TrRoad_act!Q82)</f>
        <v>105027.48378550788</v>
      </c>
      <c r="R133" s="88">
        <f>IF(R42=0,0,1000000*R42/TrRoad_act!R82)</f>
        <v>117517.859792734</v>
      </c>
      <c r="S133" s="88">
        <f>IF(S42=0,0,1000000*S42/TrRoad_act!S82)</f>
        <v>124318.68261601498</v>
      </c>
      <c r="T133" s="88">
        <f>IF(T42=0,0,1000000*T42/TrRoad_act!T82)</f>
        <v>135124.24592436865</v>
      </c>
      <c r="U133" s="88">
        <f>IF(U42=0,0,1000000*U42/TrRoad_act!U82)</f>
        <v>128348.59050930674</v>
      </c>
      <c r="V133" s="88">
        <f>IF(V42=0,0,1000000*V42/TrRoad_act!V82)</f>
        <v>116531.33064733626</v>
      </c>
      <c r="W133" s="88">
        <f>IF(W42=0,0,1000000*W42/TrRoad_act!W82)</f>
        <v>124948.49167499055</v>
      </c>
      <c r="X133" s="88">
        <f>IF(X42=0,0,1000000*X42/TrRoad_act!X82)</f>
        <v>125556.58673632267</v>
      </c>
      <c r="Y133" s="88">
        <f>IF(Y42=0,0,1000000*Y42/TrRoad_act!Y82)</f>
        <v>129384.19612060805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0.72730522501819883</v>
      </c>
      <c r="C136" s="46">
        <f t="shared" si="40"/>
        <v>0.71120775016033522</v>
      </c>
      <c r="D136" s="46">
        <f t="shared" si="40"/>
        <v>0.70287983779741836</v>
      </c>
      <c r="E136" s="46">
        <f t="shared" si="40"/>
        <v>0.70411049572894924</v>
      </c>
      <c r="F136" s="46">
        <f t="shared" si="40"/>
        <v>0.68314640003142202</v>
      </c>
      <c r="G136" s="46">
        <f t="shared" si="40"/>
        <v>0.67331319653188126</v>
      </c>
      <c r="H136" s="46">
        <f t="shared" si="40"/>
        <v>0.67017052244274411</v>
      </c>
      <c r="I136" s="46">
        <f t="shared" si="40"/>
        <v>0.67106568742765993</v>
      </c>
      <c r="J136" s="46">
        <f t="shared" si="40"/>
        <v>0.68231612052375057</v>
      </c>
      <c r="K136" s="46">
        <f t="shared" si="40"/>
        <v>0.69069764161485214</v>
      </c>
      <c r="L136" s="46">
        <f t="shared" si="41"/>
        <v>0.68648451280170519</v>
      </c>
      <c r="M136" s="46">
        <f t="shared" si="40"/>
        <v>0.68793873822243801</v>
      </c>
      <c r="N136" s="46">
        <f t="shared" si="40"/>
        <v>0.69000245905406121</v>
      </c>
      <c r="O136" s="46">
        <f t="shared" si="40"/>
        <v>0.68482167867827348</v>
      </c>
      <c r="P136" s="46">
        <f t="shared" si="40"/>
        <v>0.6856291129675306</v>
      </c>
      <c r="Q136" s="46">
        <f t="shared" si="40"/>
        <v>0.66791557265537549</v>
      </c>
      <c r="R136" s="46">
        <f t="shared" si="40"/>
        <v>0.64832205414861099</v>
      </c>
      <c r="S136" s="46">
        <f t="shared" si="40"/>
        <v>0.63424338036094074</v>
      </c>
      <c r="T136" s="46">
        <f t="shared" si="40"/>
        <v>0.62757118261808931</v>
      </c>
      <c r="U136" s="46">
        <f t="shared" si="40"/>
        <v>0.62576745036144521</v>
      </c>
      <c r="V136" s="46">
        <f t="shared" si="40"/>
        <v>0.6084303384819324</v>
      </c>
      <c r="W136" s="46">
        <f t="shared" si="42"/>
        <v>0.58453064744066052</v>
      </c>
      <c r="X136" s="46">
        <f t="shared" si="42"/>
        <v>0.59440335535562427</v>
      </c>
      <c r="Y136" s="46">
        <f t="shared" si="42"/>
        <v>0.58503737712727477</v>
      </c>
      <c r="DA136" s="211"/>
    </row>
    <row r="137" spans="1:105" ht="11.45" customHeight="1" x14ac:dyDescent="0.25">
      <c r="A137" s="153" t="s">
        <v>173</v>
      </c>
      <c r="B137" s="154">
        <f t="shared" si="40"/>
        <v>7.4489552122649141E-3</v>
      </c>
      <c r="C137" s="154">
        <f t="shared" si="40"/>
        <v>7.4396865716981654E-3</v>
      </c>
      <c r="D137" s="154">
        <f t="shared" si="40"/>
        <v>7.7655414189169497E-3</v>
      </c>
      <c r="E137" s="154">
        <f t="shared" si="40"/>
        <v>7.8520809100435796E-3</v>
      </c>
      <c r="F137" s="154">
        <f t="shared" si="40"/>
        <v>7.5736246687123955E-3</v>
      </c>
      <c r="G137" s="154">
        <f t="shared" si="40"/>
        <v>7.4332826528587161E-3</v>
      </c>
      <c r="H137" s="154">
        <f t="shared" si="40"/>
        <v>7.4468404172353094E-3</v>
      </c>
      <c r="I137" s="154">
        <f t="shared" si="40"/>
        <v>7.4246739722459406E-3</v>
      </c>
      <c r="J137" s="154">
        <f t="shared" si="40"/>
        <v>7.3241095247497121E-3</v>
      </c>
      <c r="K137" s="154">
        <f t="shared" si="40"/>
        <v>7.2066275019109245E-3</v>
      </c>
      <c r="L137" s="154">
        <f t="shared" si="41"/>
        <v>6.8254380981278631E-3</v>
      </c>
      <c r="M137" s="154">
        <f t="shared" si="40"/>
        <v>6.8158629232888141E-3</v>
      </c>
      <c r="N137" s="154">
        <f t="shared" si="40"/>
        <v>6.7146500984616971E-3</v>
      </c>
      <c r="O137" s="154">
        <f t="shared" si="40"/>
        <v>6.5065667102173737E-3</v>
      </c>
      <c r="P137" s="154">
        <f t="shared" si="40"/>
        <v>6.7948319231891504E-3</v>
      </c>
      <c r="Q137" s="154">
        <f t="shared" si="40"/>
        <v>6.2355403292401424E-3</v>
      </c>
      <c r="R137" s="154">
        <f t="shared" si="40"/>
        <v>6.1191752257265366E-3</v>
      </c>
      <c r="S137" s="154">
        <f t="shared" si="40"/>
        <v>5.7981248150750621E-3</v>
      </c>
      <c r="T137" s="154">
        <f t="shared" si="40"/>
        <v>5.5129817669944568E-3</v>
      </c>
      <c r="U137" s="154">
        <f t="shared" si="40"/>
        <v>5.9382511335019303E-3</v>
      </c>
      <c r="V137" s="154">
        <f t="shared" si="40"/>
        <v>6.0283061924076573E-3</v>
      </c>
      <c r="W137" s="154">
        <f t="shared" si="42"/>
        <v>5.9375550023535902E-3</v>
      </c>
      <c r="X137" s="154">
        <f t="shared" si="42"/>
        <v>6.0405139847883897E-3</v>
      </c>
      <c r="Y137" s="154">
        <f t="shared" si="42"/>
        <v>6.3953916510419541E-3</v>
      </c>
      <c r="DA137" s="212"/>
    </row>
    <row r="138" spans="1:105" ht="11.45" customHeight="1" x14ac:dyDescent="0.25">
      <c r="A138" s="155" t="s">
        <v>20</v>
      </c>
      <c r="B138" s="156">
        <f t="shared" si="40"/>
        <v>0.66782730689945458</v>
      </c>
      <c r="C138" s="156">
        <f t="shared" si="40"/>
        <v>0.654014348823866</v>
      </c>
      <c r="D138" s="156">
        <f t="shared" si="40"/>
        <v>0.64620656068756122</v>
      </c>
      <c r="E138" s="156">
        <f t="shared" si="40"/>
        <v>0.6482300218522985</v>
      </c>
      <c r="F138" s="156">
        <f t="shared" si="40"/>
        <v>0.62938096879740357</v>
      </c>
      <c r="G138" s="156">
        <f t="shared" si="40"/>
        <v>0.61938773083225096</v>
      </c>
      <c r="H138" s="156">
        <f t="shared" si="40"/>
        <v>0.61839678612012861</v>
      </c>
      <c r="I138" s="156">
        <f t="shared" si="40"/>
        <v>0.62121478516058992</v>
      </c>
      <c r="J138" s="156">
        <f t="shared" si="40"/>
        <v>0.63187541282340909</v>
      </c>
      <c r="K138" s="156">
        <f t="shared" si="40"/>
        <v>0.64068435930088596</v>
      </c>
      <c r="L138" s="156">
        <f t="shared" si="41"/>
        <v>0.63682165670563995</v>
      </c>
      <c r="M138" s="156">
        <f t="shared" si="40"/>
        <v>0.63908980155206163</v>
      </c>
      <c r="N138" s="156">
        <f t="shared" si="40"/>
        <v>0.64127706102697624</v>
      </c>
      <c r="O138" s="156">
        <f t="shared" si="40"/>
        <v>0.63531418590780886</v>
      </c>
      <c r="P138" s="156">
        <f t="shared" si="40"/>
        <v>0.63596840613228833</v>
      </c>
      <c r="Q138" s="156">
        <f t="shared" si="40"/>
        <v>0.61902116918713446</v>
      </c>
      <c r="R138" s="156">
        <f t="shared" si="40"/>
        <v>0.60142432927422051</v>
      </c>
      <c r="S138" s="156">
        <f t="shared" si="40"/>
        <v>0.58567491061270327</v>
      </c>
      <c r="T138" s="156">
        <f t="shared" si="40"/>
        <v>0.57781751607632803</v>
      </c>
      <c r="U138" s="156">
        <f t="shared" si="40"/>
        <v>0.57510031640798576</v>
      </c>
      <c r="V138" s="156">
        <f t="shared" si="40"/>
        <v>0.55253064868210622</v>
      </c>
      <c r="W138" s="156">
        <f t="shared" si="42"/>
        <v>0.53240274159955514</v>
      </c>
      <c r="X138" s="156">
        <f t="shared" si="42"/>
        <v>0.54325960470445767</v>
      </c>
      <c r="Y138" s="156">
        <f t="shared" si="42"/>
        <v>0.53486540507837788</v>
      </c>
      <c r="DA138" s="213"/>
    </row>
    <row r="139" spans="1:105" ht="11.45" customHeight="1" x14ac:dyDescent="0.25">
      <c r="A139" s="157" t="s">
        <v>110</v>
      </c>
      <c r="B139" s="103">
        <f t="shared" si="40"/>
        <v>0.27231936436916204</v>
      </c>
      <c r="C139" s="103">
        <f t="shared" si="40"/>
        <v>0.25509747307226915</v>
      </c>
      <c r="D139" s="103">
        <f t="shared" si="40"/>
        <v>0.24173562172018029</v>
      </c>
      <c r="E139" s="103">
        <f t="shared" si="40"/>
        <v>0.23886623959804426</v>
      </c>
      <c r="F139" s="103">
        <f t="shared" si="40"/>
        <v>0.20891673974537098</v>
      </c>
      <c r="G139" s="103">
        <f t="shared" si="40"/>
        <v>0.1983037457418774</v>
      </c>
      <c r="H139" s="103">
        <f t="shared" si="40"/>
        <v>0.17875210327457913</v>
      </c>
      <c r="I139" s="103">
        <f t="shared" si="40"/>
        <v>0.16339263345406718</v>
      </c>
      <c r="J139" s="103">
        <f t="shared" si="40"/>
        <v>0.14860435015120696</v>
      </c>
      <c r="K139" s="103">
        <f t="shared" si="40"/>
        <v>0.1447981439355335</v>
      </c>
      <c r="L139" s="103">
        <f t="shared" si="41"/>
        <v>0.13327729158275703</v>
      </c>
      <c r="M139" s="103">
        <f t="shared" si="40"/>
        <v>0.12933903858866402</v>
      </c>
      <c r="N139" s="103">
        <f t="shared" si="40"/>
        <v>0.13020042172805041</v>
      </c>
      <c r="O139" s="103">
        <f t="shared" si="40"/>
        <v>0.13327175470146765</v>
      </c>
      <c r="P139" s="103">
        <f t="shared" si="40"/>
        <v>0.14198836562913433</v>
      </c>
      <c r="Q139" s="103">
        <f t="shared" si="40"/>
        <v>0.14209453794212387</v>
      </c>
      <c r="R139" s="103">
        <f t="shared" si="40"/>
        <v>0.15605920467798123</v>
      </c>
      <c r="S139" s="103">
        <f t="shared" si="40"/>
        <v>0.15997746742508681</v>
      </c>
      <c r="T139" s="103">
        <f t="shared" si="40"/>
        <v>0.17905915981893319</v>
      </c>
      <c r="U139" s="103">
        <f t="shared" si="40"/>
        <v>0.20364120366646454</v>
      </c>
      <c r="V139" s="103">
        <f t="shared" si="40"/>
        <v>0.20051987288120765</v>
      </c>
      <c r="W139" s="103">
        <f t="shared" si="42"/>
        <v>0.22108716037590995</v>
      </c>
      <c r="X139" s="103">
        <f t="shared" si="42"/>
        <v>0.25022098842957402</v>
      </c>
      <c r="Y139" s="103">
        <f t="shared" si="42"/>
        <v>0.26646631997713921</v>
      </c>
      <c r="DA139" s="191"/>
    </row>
    <row r="140" spans="1:105" ht="11.45" customHeight="1" x14ac:dyDescent="0.25">
      <c r="A140" s="157" t="s">
        <v>111</v>
      </c>
      <c r="B140" s="103">
        <f t="shared" si="40"/>
        <v>0.3896001833974001</v>
      </c>
      <c r="C140" s="103">
        <f t="shared" si="40"/>
        <v>0.39179614192402584</v>
      </c>
      <c r="D140" s="103">
        <f t="shared" si="40"/>
        <v>0.39858372562357991</v>
      </c>
      <c r="E140" s="103">
        <f t="shared" si="40"/>
        <v>0.40433177291318229</v>
      </c>
      <c r="F140" s="103">
        <f t="shared" si="40"/>
        <v>0.41591797038138906</v>
      </c>
      <c r="G140" s="103">
        <f t="shared" si="40"/>
        <v>0.41654177917085572</v>
      </c>
      <c r="H140" s="103">
        <f t="shared" si="40"/>
        <v>0.43529403269673944</v>
      </c>
      <c r="I140" s="103">
        <f t="shared" si="40"/>
        <v>0.45429787155745094</v>
      </c>
      <c r="J140" s="103">
        <f t="shared" si="40"/>
        <v>0.47990829996596795</v>
      </c>
      <c r="K140" s="103">
        <f t="shared" si="40"/>
        <v>0.49255655342536669</v>
      </c>
      <c r="L140" s="103">
        <f t="shared" si="41"/>
        <v>0.50030277262847578</v>
      </c>
      <c r="M140" s="103">
        <f t="shared" si="40"/>
        <v>0.50618489328017791</v>
      </c>
      <c r="N140" s="103">
        <f t="shared" si="40"/>
        <v>0.50743300339888919</v>
      </c>
      <c r="O140" s="103">
        <f t="shared" si="40"/>
        <v>0.49858378803320152</v>
      </c>
      <c r="P140" s="103">
        <f t="shared" si="40"/>
        <v>0.49004515639301449</v>
      </c>
      <c r="Q140" s="103">
        <f t="shared" si="40"/>
        <v>0.47112537813873806</v>
      </c>
      <c r="R140" s="103">
        <f t="shared" si="40"/>
        <v>0.43884170763849489</v>
      </c>
      <c r="S140" s="103">
        <f t="shared" si="40"/>
        <v>0.41904631452756042</v>
      </c>
      <c r="T140" s="103">
        <f t="shared" si="40"/>
        <v>0.39162367525721986</v>
      </c>
      <c r="U140" s="103">
        <f t="shared" si="40"/>
        <v>0.36286342651928566</v>
      </c>
      <c r="V140" s="103">
        <f t="shared" si="40"/>
        <v>0.3404760922563812</v>
      </c>
      <c r="W140" s="103">
        <f t="shared" si="42"/>
        <v>0.29846554775980072</v>
      </c>
      <c r="X140" s="103">
        <f t="shared" si="42"/>
        <v>0.2798262732203457</v>
      </c>
      <c r="Y140" s="103">
        <f t="shared" si="42"/>
        <v>0.25367909771328356</v>
      </c>
      <c r="DA140" s="191"/>
    </row>
    <row r="141" spans="1:105" ht="11.45" customHeight="1" x14ac:dyDescent="0.25">
      <c r="A141" s="157" t="s">
        <v>112</v>
      </c>
      <c r="B141" s="103">
        <f t="shared" si="40"/>
        <v>5.907759132892384E-3</v>
      </c>
      <c r="C141" s="103">
        <f t="shared" si="40"/>
        <v>7.1207338275709698E-3</v>
      </c>
      <c r="D141" s="103">
        <f t="shared" si="40"/>
        <v>5.8872133438010324E-3</v>
      </c>
      <c r="E141" s="103">
        <f t="shared" si="40"/>
        <v>5.0320093410720634E-3</v>
      </c>
      <c r="F141" s="103">
        <f t="shared" si="40"/>
        <v>4.5200717632199808E-3</v>
      </c>
      <c r="G141" s="103">
        <f t="shared" si="40"/>
        <v>4.5130807941511832E-3</v>
      </c>
      <c r="H141" s="103">
        <f t="shared" si="40"/>
        <v>4.3238069333704377E-3</v>
      </c>
      <c r="I141" s="103">
        <f t="shared" si="40"/>
        <v>3.4980628267081435E-3</v>
      </c>
      <c r="J141" s="103">
        <f t="shared" si="40"/>
        <v>3.3480859821635096E-3</v>
      </c>
      <c r="K141" s="103">
        <f t="shared" si="40"/>
        <v>3.3193102647906098E-3</v>
      </c>
      <c r="L141" s="103">
        <f t="shared" si="41"/>
        <v>3.2321032135381156E-3</v>
      </c>
      <c r="M141" s="103">
        <f t="shared" si="40"/>
        <v>3.5534712401576424E-3</v>
      </c>
      <c r="N141" s="103">
        <f t="shared" si="40"/>
        <v>3.6115253484200814E-3</v>
      </c>
      <c r="O141" s="103">
        <f t="shared" si="40"/>
        <v>3.3978484893258352E-3</v>
      </c>
      <c r="P141" s="103">
        <f t="shared" si="40"/>
        <v>3.7857994130487791E-3</v>
      </c>
      <c r="Q141" s="103">
        <f t="shared" si="40"/>
        <v>5.4659007216459879E-3</v>
      </c>
      <c r="R141" s="103">
        <f t="shared" si="40"/>
        <v>5.7230338912590377E-3</v>
      </c>
      <c r="S141" s="103">
        <f t="shared" si="40"/>
        <v>5.2988186323748481E-3</v>
      </c>
      <c r="T141" s="103">
        <f t="shared" si="40"/>
        <v>4.9579576425059328E-3</v>
      </c>
      <c r="U141" s="103">
        <f t="shared" si="40"/>
        <v>5.0533161037881573E-3</v>
      </c>
      <c r="V141" s="103">
        <f t="shared" si="40"/>
        <v>5.3378443231170978E-3</v>
      </c>
      <c r="W141" s="103">
        <f t="shared" si="42"/>
        <v>4.6293228089981575E-3</v>
      </c>
      <c r="X141" s="103">
        <f t="shared" si="42"/>
        <v>4.6835860344111623E-3</v>
      </c>
      <c r="Y141" s="103">
        <f t="shared" si="42"/>
        <v>4.8865562337808231E-3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2.61869074235475E-5</v>
      </c>
      <c r="G142" s="103">
        <f t="shared" si="40"/>
        <v>2.9125125366674314E-5</v>
      </c>
      <c r="H142" s="103">
        <f t="shared" si="40"/>
        <v>2.6843215439539486E-5</v>
      </c>
      <c r="I142" s="103">
        <f t="shared" si="40"/>
        <v>2.6217322363657588E-5</v>
      </c>
      <c r="J142" s="103">
        <f t="shared" si="40"/>
        <v>1.467672407057106E-5</v>
      </c>
      <c r="K142" s="103">
        <f t="shared" si="40"/>
        <v>1.0351675195206826E-5</v>
      </c>
      <c r="L142" s="103">
        <f t="shared" si="41"/>
        <v>9.489280869028766E-6</v>
      </c>
      <c r="M142" s="103">
        <f t="shared" si="40"/>
        <v>1.2008426667399961E-5</v>
      </c>
      <c r="N142" s="103">
        <f t="shared" si="40"/>
        <v>2.6424649142936412E-5</v>
      </c>
      <c r="O142" s="103">
        <f t="shared" si="40"/>
        <v>5.3852748936438452E-5</v>
      </c>
      <c r="P142" s="103">
        <f t="shared" si="40"/>
        <v>1.226523409692977E-4</v>
      </c>
      <c r="Q142" s="103">
        <f t="shared" si="40"/>
        <v>2.2614706748693493E-4</v>
      </c>
      <c r="R142" s="103">
        <f t="shared" si="40"/>
        <v>4.6003178509769981E-4</v>
      </c>
      <c r="S142" s="103">
        <f t="shared" si="40"/>
        <v>7.0553716947716375E-4</v>
      </c>
      <c r="T142" s="103">
        <f t="shared" si="40"/>
        <v>1.1919844605051508E-3</v>
      </c>
      <c r="U142" s="103">
        <f t="shared" si="40"/>
        <v>2.2898182221560278E-3</v>
      </c>
      <c r="V142" s="103">
        <f t="shared" si="40"/>
        <v>4.3481001002295301E-3</v>
      </c>
      <c r="W142" s="103">
        <f t="shared" si="42"/>
        <v>5.4209144592646903E-3</v>
      </c>
      <c r="X142" s="103">
        <f t="shared" si="42"/>
        <v>4.4728189852697477E-3</v>
      </c>
      <c r="Y142" s="103">
        <f t="shared" si="42"/>
        <v>4.7579603907226655E-3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3.9001639475299259E-7</v>
      </c>
      <c r="N143" s="103">
        <f t="shared" si="40"/>
        <v>5.6859024736044309E-6</v>
      </c>
      <c r="O143" s="103">
        <f t="shared" si="40"/>
        <v>6.9419348774634344E-6</v>
      </c>
      <c r="P143" s="103">
        <f t="shared" si="40"/>
        <v>2.6432356121358745E-5</v>
      </c>
      <c r="Q143" s="103">
        <f t="shared" si="40"/>
        <v>1.0920531713953888E-4</v>
      </c>
      <c r="R143" s="103">
        <f t="shared" si="40"/>
        <v>3.4035128138767983E-4</v>
      </c>
      <c r="S143" s="103">
        <f t="shared" si="40"/>
        <v>6.4677285820401566E-4</v>
      </c>
      <c r="T143" s="103">
        <f t="shared" si="40"/>
        <v>9.8473889716396245E-4</v>
      </c>
      <c r="U143" s="103">
        <f t="shared" si="40"/>
        <v>1.2525518962913371E-3</v>
      </c>
      <c r="V143" s="103">
        <f t="shared" si="40"/>
        <v>1.8487391211707328E-3</v>
      </c>
      <c r="W143" s="103">
        <f t="shared" si="42"/>
        <v>2.7997961955816969E-3</v>
      </c>
      <c r="X143" s="103">
        <f t="shared" si="42"/>
        <v>4.0559380348570385E-3</v>
      </c>
      <c r="Y143" s="103">
        <f t="shared" si="42"/>
        <v>5.075470763451639E-3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5.2028962906479397E-2</v>
      </c>
      <c r="C145" s="156">
        <f t="shared" si="40"/>
        <v>4.975371476477107E-2</v>
      </c>
      <c r="D145" s="156">
        <f t="shared" si="40"/>
        <v>4.8907735690940271E-2</v>
      </c>
      <c r="E145" s="156">
        <f t="shared" si="40"/>
        <v>4.8028392966607124E-2</v>
      </c>
      <c r="F145" s="156">
        <f t="shared" si="40"/>
        <v>4.6191806565306033E-2</v>
      </c>
      <c r="G145" s="156">
        <f t="shared" si="40"/>
        <v>4.64921830467716E-2</v>
      </c>
      <c r="H145" s="156">
        <f t="shared" si="40"/>
        <v>4.4326895905380144E-2</v>
      </c>
      <c r="I145" s="156">
        <f t="shared" si="40"/>
        <v>4.2426228294823995E-2</v>
      </c>
      <c r="J145" s="156">
        <f t="shared" si="40"/>
        <v>4.3116598175591783E-2</v>
      </c>
      <c r="K145" s="156">
        <f t="shared" si="40"/>
        <v>4.2806654812055277E-2</v>
      </c>
      <c r="L145" s="156">
        <f t="shared" si="41"/>
        <v>4.283741799793727E-2</v>
      </c>
      <c r="M145" s="156">
        <f t="shared" si="40"/>
        <v>4.2033073747087521E-2</v>
      </c>
      <c r="N145" s="156">
        <f t="shared" si="40"/>
        <v>4.2010747928623325E-2</v>
      </c>
      <c r="O145" s="156">
        <f t="shared" si="40"/>
        <v>4.3000926060247135E-2</v>
      </c>
      <c r="P145" s="156">
        <f t="shared" si="40"/>
        <v>4.2865874912053133E-2</v>
      </c>
      <c r="Q145" s="156">
        <f t="shared" si="40"/>
        <v>4.2658863139001003E-2</v>
      </c>
      <c r="R145" s="156">
        <f t="shared" si="40"/>
        <v>4.0778549648663898E-2</v>
      </c>
      <c r="S145" s="156">
        <f t="shared" si="40"/>
        <v>4.2770344933162417E-2</v>
      </c>
      <c r="T145" s="156">
        <f t="shared" si="40"/>
        <v>4.4240684774766732E-2</v>
      </c>
      <c r="U145" s="156">
        <f t="shared" si="40"/>
        <v>4.4728882819957544E-2</v>
      </c>
      <c r="V145" s="156">
        <f t="shared" si="40"/>
        <v>4.9871383607418523E-2</v>
      </c>
      <c r="W145" s="156">
        <f t="shared" si="42"/>
        <v>4.619035083875174E-2</v>
      </c>
      <c r="X145" s="156">
        <f t="shared" si="42"/>
        <v>4.510323666637811E-2</v>
      </c>
      <c r="Y145" s="156">
        <f t="shared" si="42"/>
        <v>4.3776580397854925E-2</v>
      </c>
      <c r="DA145" s="213"/>
    </row>
    <row r="146" spans="1:105" ht="11.45" customHeight="1" x14ac:dyDescent="0.25">
      <c r="A146" s="157" t="s">
        <v>110</v>
      </c>
      <c r="B146" s="103">
        <f t="shared" si="40"/>
        <v>2.0459787684857605E-4</v>
      </c>
      <c r="C146" s="103">
        <f t="shared" si="40"/>
        <v>1.9572610531165367E-4</v>
      </c>
      <c r="D146" s="103">
        <f t="shared" si="40"/>
        <v>1.808600429576491E-4</v>
      </c>
      <c r="E146" s="103">
        <f t="shared" si="40"/>
        <v>1.787860364832555E-4</v>
      </c>
      <c r="F146" s="103">
        <f t="shared" si="40"/>
        <v>1.6793245935521414E-4</v>
      </c>
      <c r="G146" s="103">
        <f t="shared" si="40"/>
        <v>1.7074765800922595E-4</v>
      </c>
      <c r="H146" s="103">
        <f t="shared" si="40"/>
        <v>1.5113363915451601E-4</v>
      </c>
      <c r="I146" s="103">
        <f t="shared" si="40"/>
        <v>1.3891503552293757E-4</v>
      </c>
      <c r="J146" s="103">
        <f t="shared" si="40"/>
        <v>1.2843689636143915E-4</v>
      </c>
      <c r="K146" s="103">
        <f t="shared" si="40"/>
        <v>1.1897947765290298E-4</v>
      </c>
      <c r="L146" s="103">
        <f t="shared" si="41"/>
        <v>1.0780815071256997E-4</v>
      </c>
      <c r="M146" s="103">
        <f t="shared" si="40"/>
        <v>1.0407516386195759E-4</v>
      </c>
      <c r="N146" s="103">
        <f t="shared" si="40"/>
        <v>1.0302333160222744E-4</v>
      </c>
      <c r="O146" s="103">
        <f t="shared" si="40"/>
        <v>9.7560415959412376E-5</v>
      </c>
      <c r="P146" s="103">
        <f t="shared" si="40"/>
        <v>9.2155689213893979E-5</v>
      </c>
      <c r="Q146" s="103">
        <f t="shared" si="40"/>
        <v>8.6843493664796537E-5</v>
      </c>
      <c r="R146" s="103">
        <f t="shared" si="40"/>
        <v>8.687712779913983E-5</v>
      </c>
      <c r="S146" s="103">
        <f t="shared" si="40"/>
        <v>8.2709247738009019E-5</v>
      </c>
      <c r="T146" s="103">
        <f t="shared" si="40"/>
        <v>8.1403595896345295E-5</v>
      </c>
      <c r="U146" s="103">
        <f t="shared" si="40"/>
        <v>8.1101979471893168E-5</v>
      </c>
      <c r="V146" s="103">
        <f t="shared" si="40"/>
        <v>9.3953371080132632E-5</v>
      </c>
      <c r="W146" s="103">
        <f t="shared" si="42"/>
        <v>8.2592544728124219E-5</v>
      </c>
      <c r="X146" s="103">
        <f t="shared" si="42"/>
        <v>8.2300178554045337E-5</v>
      </c>
      <c r="Y146" s="103">
        <f t="shared" si="42"/>
        <v>7.8730886021077063E-5</v>
      </c>
      <c r="DA146" s="191"/>
    </row>
    <row r="147" spans="1:105" ht="11.45" customHeight="1" x14ac:dyDescent="0.25">
      <c r="A147" s="157" t="s">
        <v>111</v>
      </c>
      <c r="B147" s="103">
        <f t="shared" si="40"/>
        <v>5.182436502963083E-2</v>
      </c>
      <c r="C147" s="103">
        <f t="shared" si="40"/>
        <v>4.9557988659459415E-2</v>
      </c>
      <c r="D147" s="103">
        <f t="shared" si="40"/>
        <v>4.8726875647982622E-2</v>
      </c>
      <c r="E147" s="103">
        <f t="shared" si="40"/>
        <v>4.7849606930123863E-2</v>
      </c>
      <c r="F147" s="103">
        <f t="shared" si="40"/>
        <v>4.6023874105950817E-2</v>
      </c>
      <c r="G147" s="103">
        <f t="shared" si="40"/>
        <v>4.6321435388762371E-2</v>
      </c>
      <c r="H147" s="103">
        <f t="shared" si="40"/>
        <v>4.4175762266225625E-2</v>
      </c>
      <c r="I147" s="103">
        <f t="shared" si="40"/>
        <v>4.228731325930106E-2</v>
      </c>
      <c r="J147" s="103">
        <f t="shared" si="40"/>
        <v>4.2988161279230344E-2</v>
      </c>
      <c r="K147" s="103">
        <f t="shared" si="40"/>
        <v>4.2687675334402375E-2</v>
      </c>
      <c r="L147" s="103">
        <f t="shared" si="41"/>
        <v>4.2729609847224702E-2</v>
      </c>
      <c r="M147" s="103">
        <f t="shared" si="40"/>
        <v>4.192899858322556E-2</v>
      </c>
      <c r="N147" s="103">
        <f t="shared" si="40"/>
        <v>4.19077245970211E-2</v>
      </c>
      <c r="O147" s="103">
        <f t="shared" si="40"/>
        <v>4.2894316806653579E-2</v>
      </c>
      <c r="P147" s="103">
        <f t="shared" si="40"/>
        <v>4.276162676663256E-2</v>
      </c>
      <c r="Q147" s="103">
        <f t="shared" si="40"/>
        <v>4.2560781725089918E-2</v>
      </c>
      <c r="R147" s="103">
        <f t="shared" ref="R147:V147" si="43">IF(R29=0,0,R29/R$17)</f>
        <v>4.0676882574157885E-2</v>
      </c>
      <c r="S147" s="103">
        <f t="shared" si="43"/>
        <v>4.266830990897514E-2</v>
      </c>
      <c r="T147" s="103">
        <f t="shared" si="43"/>
        <v>4.4114698302089389E-2</v>
      </c>
      <c r="U147" s="103">
        <f t="shared" si="43"/>
        <v>4.4610249345140372E-2</v>
      </c>
      <c r="V147" s="103">
        <f t="shared" si="43"/>
        <v>4.9653362616995753E-2</v>
      </c>
      <c r="W147" s="103">
        <f t="shared" ref="W147:Y147" si="44">IF(W29=0,0,W29/W$17)</f>
        <v>4.5318465482027288E-2</v>
      </c>
      <c r="X147" s="103">
        <f t="shared" si="44"/>
        <v>4.4222809723802013E-2</v>
      </c>
      <c r="Y147" s="103">
        <f t="shared" si="44"/>
        <v>4.2834908573977974E-2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9.0488376341457392E-6</v>
      </c>
      <c r="P149" s="103">
        <f t="shared" si="50"/>
        <v>1.2092456206681805E-5</v>
      </c>
      <c r="Q149" s="103">
        <f t="shared" si="50"/>
        <v>1.1237920246291991E-5</v>
      </c>
      <c r="R149" s="103">
        <f t="shared" si="50"/>
        <v>1.4789946706864971E-5</v>
      </c>
      <c r="S149" s="103">
        <f t="shared" si="50"/>
        <v>1.9325776449265928E-5</v>
      </c>
      <c r="T149" s="103">
        <f t="shared" si="50"/>
        <v>4.4582876780993614E-5</v>
      </c>
      <c r="U149" s="103">
        <f t="shared" si="50"/>
        <v>3.7531495345278376E-5</v>
      </c>
      <c r="V149" s="103">
        <f t="shared" si="50"/>
        <v>1.2406761934264038E-4</v>
      </c>
      <c r="W149" s="103">
        <f t="shared" ref="W149:Y149" si="51">IF(W31=0,0,W31/W$17)</f>
        <v>7.8929281199632579E-4</v>
      </c>
      <c r="X149" s="103">
        <f t="shared" si="51"/>
        <v>7.9812676402204606E-4</v>
      </c>
      <c r="Y149" s="103">
        <f t="shared" si="51"/>
        <v>8.6294093785587497E-4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0.27269477498180122</v>
      </c>
      <c r="C151" s="46">
        <f t="shared" si="55"/>
        <v>0.28879224983966489</v>
      </c>
      <c r="D151" s="46">
        <f t="shared" si="55"/>
        <v>0.29712016220258169</v>
      </c>
      <c r="E151" s="46">
        <f t="shared" si="55"/>
        <v>0.29588950427105071</v>
      </c>
      <c r="F151" s="46">
        <f t="shared" si="55"/>
        <v>0.31685359996857793</v>
      </c>
      <c r="G151" s="46">
        <f t="shared" si="55"/>
        <v>0.32668680346811874</v>
      </c>
      <c r="H151" s="46">
        <f t="shared" si="55"/>
        <v>0.32982947755725583</v>
      </c>
      <c r="I151" s="46">
        <f t="shared" si="55"/>
        <v>0.32893431257234013</v>
      </c>
      <c r="J151" s="46">
        <f t="shared" si="55"/>
        <v>0.31768387947624943</v>
      </c>
      <c r="K151" s="46">
        <f t="shared" si="55"/>
        <v>0.3093023583851478</v>
      </c>
      <c r="L151" s="46">
        <f t="shared" ref="L151" si="56">IF(L33=0,0,L33/L$17)</f>
        <v>0.31351548719829486</v>
      </c>
      <c r="M151" s="46">
        <f t="shared" ref="M151:V151" si="57">IF(M33=0,0,M33/M$17)</f>
        <v>0.31206126177756205</v>
      </c>
      <c r="N151" s="46">
        <f t="shared" si="57"/>
        <v>0.30999754094593884</v>
      </c>
      <c r="O151" s="46">
        <f t="shared" si="57"/>
        <v>0.31517832132172663</v>
      </c>
      <c r="P151" s="46">
        <f t="shared" si="57"/>
        <v>0.3143708870324694</v>
      </c>
      <c r="Q151" s="46">
        <f t="shared" si="57"/>
        <v>0.33208442734462451</v>
      </c>
      <c r="R151" s="46">
        <f t="shared" si="57"/>
        <v>0.35167794585138901</v>
      </c>
      <c r="S151" s="46">
        <f t="shared" si="57"/>
        <v>0.36575661963905926</v>
      </c>
      <c r="T151" s="46">
        <f t="shared" si="57"/>
        <v>0.37242881738191075</v>
      </c>
      <c r="U151" s="46">
        <f t="shared" si="57"/>
        <v>0.37423254963855473</v>
      </c>
      <c r="V151" s="46">
        <f t="shared" si="57"/>
        <v>0.3915696615180676</v>
      </c>
      <c r="W151" s="46">
        <f t="shared" ref="W151:Y151" si="58">IF(W33=0,0,W33/W$17)</f>
        <v>0.41546935255933942</v>
      </c>
      <c r="X151" s="46">
        <f t="shared" si="58"/>
        <v>0.40559664464437573</v>
      </c>
      <c r="Y151" s="46">
        <f t="shared" si="58"/>
        <v>0.41496262287272523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0.13674756530739229</v>
      </c>
      <c r="C152" s="154">
        <f t="shared" si="59"/>
        <v>0.13271261746625887</v>
      </c>
      <c r="D152" s="154">
        <f t="shared" si="59"/>
        <v>0.13775669802395718</v>
      </c>
      <c r="E152" s="154">
        <f t="shared" si="59"/>
        <v>0.13524333659062507</v>
      </c>
      <c r="F152" s="154">
        <f t="shared" si="59"/>
        <v>0.13856665207161489</v>
      </c>
      <c r="G152" s="154">
        <f t="shared" si="59"/>
        <v>0.14418219759139667</v>
      </c>
      <c r="H152" s="154">
        <f t="shared" si="59"/>
        <v>0.14239167015899112</v>
      </c>
      <c r="I152" s="154">
        <f t="shared" si="59"/>
        <v>0.14305249677470624</v>
      </c>
      <c r="J152" s="154">
        <f t="shared" si="59"/>
        <v>0.14211326792042059</v>
      </c>
      <c r="K152" s="154">
        <f t="shared" si="59"/>
        <v>0.14040888666879697</v>
      </c>
      <c r="L152" s="154">
        <f t="shared" ref="L152" si="60">IF(L34=0,0,L34/L$17)</f>
        <v>0.14093321656321048</v>
      </c>
      <c r="M152" s="154">
        <f t="shared" ref="M152:V152" si="61">IF(M34=0,0,M34/M$17)</f>
        <v>0.14169626830792723</v>
      </c>
      <c r="N152" s="154">
        <f t="shared" si="61"/>
        <v>0.14290777141893141</v>
      </c>
      <c r="O152" s="154">
        <f t="shared" si="61"/>
        <v>0.13771972830959348</v>
      </c>
      <c r="P152" s="154">
        <f t="shared" si="61"/>
        <v>0.13884252563759417</v>
      </c>
      <c r="Q152" s="154">
        <f t="shared" si="61"/>
        <v>0.14098581356128906</v>
      </c>
      <c r="R152" s="154">
        <f t="shared" si="61"/>
        <v>0.13118934131176077</v>
      </c>
      <c r="S152" s="154">
        <f t="shared" si="61"/>
        <v>0.12415247904816597</v>
      </c>
      <c r="T152" s="154">
        <f t="shared" si="61"/>
        <v>0.12599792140106852</v>
      </c>
      <c r="U152" s="154">
        <f t="shared" si="61"/>
        <v>0.12669470122602655</v>
      </c>
      <c r="V152" s="154">
        <f t="shared" si="61"/>
        <v>0.13096580812949674</v>
      </c>
      <c r="W152" s="154">
        <f t="shared" ref="W152:Y152" si="62">IF(W34=0,0,W34/W$17)</f>
        <v>0.14922450538374138</v>
      </c>
      <c r="X152" s="154">
        <f t="shared" si="62"/>
        <v>0.14316986834974516</v>
      </c>
      <c r="Y152" s="154">
        <f t="shared" si="62"/>
        <v>0.15082839461099345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8.2482774892344794E-3</v>
      </c>
      <c r="C153" s="103">
        <f t="shared" si="63"/>
        <v>7.6529972034159168E-3</v>
      </c>
      <c r="D153" s="103">
        <f t="shared" si="63"/>
        <v>7.8159922853372858E-3</v>
      </c>
      <c r="E153" s="103">
        <f t="shared" si="63"/>
        <v>7.0622895053924382E-3</v>
      </c>
      <c r="F153" s="103">
        <f t="shared" si="63"/>
        <v>6.5304285496656459E-3</v>
      </c>
      <c r="G153" s="103">
        <f t="shared" si="63"/>
        <v>6.6573651669106131E-3</v>
      </c>
      <c r="H153" s="103">
        <f t="shared" si="63"/>
        <v>6.2302945864482762E-3</v>
      </c>
      <c r="I153" s="103">
        <f t="shared" si="63"/>
        <v>5.3218859460471436E-3</v>
      </c>
      <c r="J153" s="103">
        <f t="shared" si="63"/>
        <v>4.8048033564404924E-3</v>
      </c>
      <c r="K153" s="103">
        <f t="shared" si="63"/>
        <v>4.3783913668937339E-3</v>
      </c>
      <c r="L153" s="103">
        <f t="shared" ref="L153" si="64">IF(L35=0,0,L35/L$17)</f>
        <v>4.1499634467587615E-3</v>
      </c>
      <c r="M153" s="103">
        <f t="shared" ref="M153:V153" si="65">IF(M35=0,0,M35/M$17)</f>
        <v>3.9578073611490662E-3</v>
      </c>
      <c r="N153" s="103">
        <f t="shared" si="65"/>
        <v>3.8674256877772265E-3</v>
      </c>
      <c r="O153" s="103">
        <f t="shared" si="65"/>
        <v>3.5485174688607885E-3</v>
      </c>
      <c r="P153" s="103">
        <f t="shared" si="65"/>
        <v>3.2566891816906292E-3</v>
      </c>
      <c r="Q153" s="103">
        <f t="shared" si="65"/>
        <v>2.7957109379769148E-3</v>
      </c>
      <c r="R153" s="103">
        <f t="shared" si="65"/>
        <v>2.8917976540530164E-3</v>
      </c>
      <c r="S153" s="103">
        <f t="shared" si="65"/>
        <v>3.0796022155117333E-3</v>
      </c>
      <c r="T153" s="103">
        <f t="shared" si="65"/>
        <v>3.5346162797590982E-3</v>
      </c>
      <c r="U153" s="103">
        <f t="shared" si="65"/>
        <v>3.9159441941504069E-3</v>
      </c>
      <c r="V153" s="103">
        <f t="shared" si="65"/>
        <v>3.9289620624038384E-3</v>
      </c>
      <c r="W153" s="103">
        <f t="shared" ref="W153:Y153" si="66">IF(W35=0,0,W35/W$17)</f>
        <v>4.517630696696041E-3</v>
      </c>
      <c r="X153" s="103">
        <f t="shared" si="66"/>
        <v>4.5506475001512621E-3</v>
      </c>
      <c r="Y153" s="103">
        <f t="shared" si="66"/>
        <v>4.7660513076359578E-3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0.12336199766084961</v>
      </c>
      <c r="C154" s="103">
        <f t="shared" si="67"/>
        <v>0.11997969066206883</v>
      </c>
      <c r="D154" s="103">
        <f t="shared" si="67"/>
        <v>0.12472256218646081</v>
      </c>
      <c r="E154" s="103">
        <f t="shared" si="67"/>
        <v>0.12352205612968507</v>
      </c>
      <c r="F154" s="103">
        <f t="shared" si="67"/>
        <v>0.12759795775009122</v>
      </c>
      <c r="G154" s="103">
        <f t="shared" si="67"/>
        <v>0.13329089816676518</v>
      </c>
      <c r="H154" s="103">
        <f t="shared" si="67"/>
        <v>0.1322887253271752</v>
      </c>
      <c r="I154" s="103">
        <f t="shared" si="67"/>
        <v>0.13436985827315223</v>
      </c>
      <c r="J154" s="103">
        <f t="shared" si="67"/>
        <v>0.13435573358866376</v>
      </c>
      <c r="K154" s="103">
        <f t="shared" si="67"/>
        <v>0.13343267421818414</v>
      </c>
      <c r="L154" s="103">
        <f t="shared" ref="L154" si="68">IF(L36=0,0,L36/L$17)</f>
        <v>0.13446286474052396</v>
      </c>
      <c r="M154" s="103">
        <f t="shared" ref="M154:V154" si="69">IF(M36=0,0,M36/M$17)</f>
        <v>0.13542537385212144</v>
      </c>
      <c r="N154" s="103">
        <f t="shared" si="69"/>
        <v>0.13682705991864494</v>
      </c>
      <c r="O154" s="103">
        <f t="shared" si="69"/>
        <v>0.13236184493474931</v>
      </c>
      <c r="P154" s="103">
        <f t="shared" si="69"/>
        <v>0.13396904606124074</v>
      </c>
      <c r="Q154" s="103">
        <f t="shared" si="69"/>
        <v>0.13696553169653905</v>
      </c>
      <c r="R154" s="103">
        <f t="shared" si="69"/>
        <v>0.12714150854152989</v>
      </c>
      <c r="S154" s="103">
        <f t="shared" si="69"/>
        <v>0.11990678412884503</v>
      </c>
      <c r="T154" s="103">
        <f t="shared" si="69"/>
        <v>0.12128146419489862</v>
      </c>
      <c r="U154" s="103">
        <f t="shared" si="69"/>
        <v>0.12140280675640934</v>
      </c>
      <c r="V154" s="103">
        <f t="shared" si="69"/>
        <v>0.12510252985887893</v>
      </c>
      <c r="W154" s="103">
        <f t="shared" ref="W154:Y154" si="70">IF(W36=0,0,W36/W$17)</f>
        <v>0.14219905320343035</v>
      </c>
      <c r="X154" s="103">
        <f t="shared" si="70"/>
        <v>0.13641505197356621</v>
      </c>
      <c r="Y154" s="103">
        <f t="shared" si="70"/>
        <v>0.1435801900817176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5.1372901573081978E-3</v>
      </c>
      <c r="C155" s="103">
        <f t="shared" si="71"/>
        <v>5.0799296007741088E-3</v>
      </c>
      <c r="D155" s="103">
        <f t="shared" si="71"/>
        <v>5.2181435521590621E-3</v>
      </c>
      <c r="E155" s="103">
        <f t="shared" si="71"/>
        <v>4.6589909555475525E-3</v>
      </c>
      <c r="F155" s="103">
        <f t="shared" si="71"/>
        <v>4.4382657718580482E-3</v>
      </c>
      <c r="G155" s="103">
        <f t="shared" si="71"/>
        <v>4.2339342577208793E-3</v>
      </c>
      <c r="H155" s="103">
        <f t="shared" si="71"/>
        <v>3.872650245367639E-3</v>
      </c>
      <c r="I155" s="103">
        <f t="shared" si="71"/>
        <v>3.360752555506866E-3</v>
      </c>
      <c r="J155" s="103">
        <f t="shared" si="71"/>
        <v>2.9458135509705403E-3</v>
      </c>
      <c r="K155" s="103">
        <f t="shared" si="71"/>
        <v>2.5883261419431111E-3</v>
      </c>
      <c r="L155" s="103">
        <f t="shared" ref="L155" si="72">IF(L37=0,0,L37/L$17)</f>
        <v>2.3085219339524943E-3</v>
      </c>
      <c r="M155" s="103">
        <f t="shared" ref="M155:V155" si="73">IF(M37=0,0,M37/M$17)</f>
        <v>2.3026118606285641E-3</v>
      </c>
      <c r="N155" s="103">
        <f t="shared" si="73"/>
        <v>2.1872088839661854E-3</v>
      </c>
      <c r="O155" s="103">
        <f t="shared" si="73"/>
        <v>1.778058108128091E-3</v>
      </c>
      <c r="P155" s="103">
        <f t="shared" si="73"/>
        <v>1.5641524189683761E-3</v>
      </c>
      <c r="Q155" s="103">
        <f t="shared" si="73"/>
        <v>1.1327458197165601E-3</v>
      </c>
      <c r="R155" s="103">
        <f t="shared" si="73"/>
        <v>1.0672359670594522E-3</v>
      </c>
      <c r="S155" s="103">
        <f t="shared" si="73"/>
        <v>1.0072053038156479E-3</v>
      </c>
      <c r="T155" s="103">
        <f t="shared" si="73"/>
        <v>9.3753880470502356E-4</v>
      </c>
      <c r="U155" s="103">
        <f t="shared" si="73"/>
        <v>8.6537053277514254E-4</v>
      </c>
      <c r="V155" s="103">
        <f t="shared" si="73"/>
        <v>9.2339020003098728E-4</v>
      </c>
      <c r="W155" s="103">
        <f t="shared" ref="W155:Y155" si="74">IF(W37=0,0,W37/W$17)</f>
        <v>9.9778468973377426E-4</v>
      </c>
      <c r="X155" s="103">
        <f t="shared" si="74"/>
        <v>9.2558644879710359E-4</v>
      </c>
      <c r="Y155" s="103">
        <f t="shared" si="74"/>
        <v>9.3833130809482823E-4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6.9174243457828742E-6</v>
      </c>
      <c r="K156" s="103">
        <f t="shared" si="75"/>
        <v>9.4949417759836949E-6</v>
      </c>
      <c r="L156" s="103">
        <f t="shared" ref="L156" si="76">IF(L38=0,0,L38/L$17)</f>
        <v>1.186644197524956E-5</v>
      </c>
      <c r="M156" s="103">
        <f t="shared" ref="M156:V156" si="77">IF(M38=0,0,M38/M$17)</f>
        <v>1.047523402815139E-5</v>
      </c>
      <c r="N156" s="103">
        <f t="shared" si="77"/>
        <v>2.6076928543065922E-5</v>
      </c>
      <c r="O156" s="103">
        <f t="shared" si="77"/>
        <v>3.1307797855297289E-5</v>
      </c>
      <c r="P156" s="103">
        <f t="shared" si="77"/>
        <v>5.2637975694437358E-5</v>
      </c>
      <c r="Q156" s="103">
        <f t="shared" si="77"/>
        <v>9.1825107056520451E-5</v>
      </c>
      <c r="R156" s="103">
        <f t="shared" si="77"/>
        <v>8.8799149118407565E-5</v>
      </c>
      <c r="S156" s="103">
        <f t="shared" si="77"/>
        <v>1.5888739999354284E-4</v>
      </c>
      <c r="T156" s="103">
        <f t="shared" si="77"/>
        <v>2.443021217057805E-4</v>
      </c>
      <c r="U156" s="103">
        <f t="shared" si="77"/>
        <v>5.1057974269167578E-4</v>
      </c>
      <c r="V156" s="103">
        <f t="shared" si="77"/>
        <v>1.0109260081829692E-3</v>
      </c>
      <c r="W156" s="103">
        <f t="shared" ref="W156:Y156" si="78">IF(W38=0,0,W38/W$17)</f>
        <v>1.5100367938811951E-3</v>
      </c>
      <c r="X156" s="103">
        <f t="shared" si="78"/>
        <v>1.2785824272305805E-3</v>
      </c>
      <c r="Y156" s="103">
        <f t="shared" si="78"/>
        <v>1.543821913545085E-3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0.13594720967440893</v>
      </c>
      <c r="C158" s="156">
        <f t="shared" si="83"/>
        <v>0.15607963237340605</v>
      </c>
      <c r="D158" s="156">
        <f t="shared" si="83"/>
        <v>0.15936346417862451</v>
      </c>
      <c r="E158" s="156">
        <f t="shared" si="83"/>
        <v>0.16064616768042567</v>
      </c>
      <c r="F158" s="156">
        <f t="shared" si="83"/>
        <v>0.17828694789696301</v>
      </c>
      <c r="G158" s="156">
        <f t="shared" si="83"/>
        <v>0.18250460587672204</v>
      </c>
      <c r="H158" s="156">
        <f t="shared" si="83"/>
        <v>0.18743780739826474</v>
      </c>
      <c r="I158" s="156">
        <f t="shared" si="83"/>
        <v>0.18588181579763385</v>
      </c>
      <c r="J158" s="156">
        <f t="shared" si="83"/>
        <v>0.17557061155582884</v>
      </c>
      <c r="K158" s="156">
        <f t="shared" si="83"/>
        <v>0.16889347171635083</v>
      </c>
      <c r="L158" s="156">
        <f t="shared" ref="L158" si="84">IF(L40=0,0,L40/L$17)</f>
        <v>0.17258227063508438</v>
      </c>
      <c r="M158" s="156">
        <f t="shared" ref="M158:V158" si="85">IF(M40=0,0,M40/M$17)</f>
        <v>0.17036499346963482</v>
      </c>
      <c r="N158" s="156">
        <f t="shared" si="85"/>
        <v>0.16708976952700744</v>
      </c>
      <c r="O158" s="156">
        <f t="shared" si="85"/>
        <v>0.17745859301213315</v>
      </c>
      <c r="P158" s="156">
        <f t="shared" si="85"/>
        <v>0.17552836139487521</v>
      </c>
      <c r="Q158" s="156">
        <f t="shared" si="85"/>
        <v>0.19109861378333545</v>
      </c>
      <c r="R158" s="156">
        <f t="shared" si="85"/>
        <v>0.22048860453962826</v>
      </c>
      <c r="S158" s="156">
        <f t="shared" si="85"/>
        <v>0.2416041405908933</v>
      </c>
      <c r="T158" s="156">
        <f t="shared" si="85"/>
        <v>0.24643089598084225</v>
      </c>
      <c r="U158" s="156">
        <f t="shared" si="85"/>
        <v>0.24753784841252816</v>
      </c>
      <c r="V158" s="156">
        <f t="shared" si="85"/>
        <v>0.26060385338857084</v>
      </c>
      <c r="W158" s="156">
        <f t="shared" ref="W158:Y158" si="86">IF(W40=0,0,W40/W$17)</f>
        <v>0.26624484717559799</v>
      </c>
      <c r="X158" s="156">
        <f t="shared" si="86"/>
        <v>0.26242677629463057</v>
      </c>
      <c r="Y158" s="156">
        <f t="shared" si="86"/>
        <v>0.26413422826173172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7.7108566025434852E-2</v>
      </c>
      <c r="C159" s="103">
        <f t="shared" si="87"/>
        <v>8.8870509294870004E-2</v>
      </c>
      <c r="D159" s="103">
        <f t="shared" si="87"/>
        <v>8.9683035335491476E-2</v>
      </c>
      <c r="E159" s="103">
        <f t="shared" si="87"/>
        <v>8.6496763308783087E-2</v>
      </c>
      <c r="F159" s="103">
        <f t="shared" si="87"/>
        <v>9.0526533895875658E-2</v>
      </c>
      <c r="G159" s="103">
        <f t="shared" si="87"/>
        <v>8.775251530512182E-2</v>
      </c>
      <c r="H159" s="103">
        <f t="shared" si="87"/>
        <v>8.9505916332971378E-2</v>
      </c>
      <c r="I159" s="103">
        <f t="shared" si="87"/>
        <v>8.6363231553046968E-2</v>
      </c>
      <c r="J159" s="103">
        <f t="shared" si="87"/>
        <v>7.2998782931992801E-2</v>
      </c>
      <c r="K159" s="103">
        <f t="shared" si="87"/>
        <v>7.1672528308449904E-2</v>
      </c>
      <c r="L159" s="103">
        <f t="shared" ref="L159" si="88">IF(L41=0,0,L41/L$17)</f>
        <v>7.2934976056284129E-2</v>
      </c>
      <c r="M159" s="103">
        <f t="shared" ref="M159:V159" si="89">IF(M41=0,0,M41/M$17)</f>
        <v>7.3240331543645801E-2</v>
      </c>
      <c r="N159" s="103">
        <f t="shared" si="89"/>
        <v>7.1978798827010651E-2</v>
      </c>
      <c r="O159" s="103">
        <f t="shared" si="89"/>
        <v>7.683210871356258E-2</v>
      </c>
      <c r="P159" s="103">
        <f t="shared" si="89"/>
        <v>7.7480621468389785E-2</v>
      </c>
      <c r="Q159" s="103">
        <f t="shared" si="89"/>
        <v>9.0133943505122785E-2</v>
      </c>
      <c r="R159" s="103">
        <f t="shared" si="89"/>
        <v>9.8886182017155516E-2</v>
      </c>
      <c r="S159" s="103">
        <f t="shared" si="89"/>
        <v>0.10804448398327721</v>
      </c>
      <c r="T159" s="103">
        <f t="shared" si="89"/>
        <v>0.10854871624765858</v>
      </c>
      <c r="U159" s="103">
        <f t="shared" si="89"/>
        <v>0.1125178626542175</v>
      </c>
      <c r="V159" s="103">
        <f t="shared" si="89"/>
        <v>0.11353309935023786</v>
      </c>
      <c r="W159" s="103">
        <f t="shared" ref="W159:Y159" si="90">IF(W41=0,0,W41/W$17)</f>
        <v>0.12060987218575778</v>
      </c>
      <c r="X159" s="103">
        <f t="shared" si="90"/>
        <v>0.12446426174773001</v>
      </c>
      <c r="Y159" s="103">
        <f t="shared" si="90"/>
        <v>0.12684254062829955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5.8838643648974079E-2</v>
      </c>
      <c r="C160" s="105">
        <f t="shared" si="91"/>
        <v>6.7209123078536048E-2</v>
      </c>
      <c r="D160" s="105">
        <f t="shared" si="91"/>
        <v>6.9680428843133038E-2</v>
      </c>
      <c r="E160" s="105">
        <f t="shared" si="91"/>
        <v>7.4149404371642552E-2</v>
      </c>
      <c r="F160" s="105">
        <f t="shared" si="91"/>
        <v>8.7760414001087375E-2</v>
      </c>
      <c r="G160" s="105">
        <f t="shared" si="91"/>
        <v>9.4752090571600209E-2</v>
      </c>
      <c r="H160" s="105">
        <f t="shared" si="91"/>
        <v>9.7931891065293375E-2</v>
      </c>
      <c r="I160" s="105">
        <f t="shared" si="91"/>
        <v>9.9518584244586858E-2</v>
      </c>
      <c r="J160" s="105">
        <f t="shared" si="91"/>
        <v>0.10257182862383604</v>
      </c>
      <c r="K160" s="105">
        <f t="shared" si="91"/>
        <v>9.7220943407900939E-2</v>
      </c>
      <c r="L160" s="105">
        <f t="shared" ref="L160" si="92">IF(L42=0,0,L42/L$17)</f>
        <v>9.9647294578800255E-2</v>
      </c>
      <c r="M160" s="105">
        <f t="shared" ref="M160:V160" si="93">IF(M42=0,0,M42/M$17)</f>
        <v>9.712466192598905E-2</v>
      </c>
      <c r="N160" s="105">
        <f t="shared" si="93"/>
        <v>9.5110970699996772E-2</v>
      </c>
      <c r="O160" s="105">
        <f t="shared" si="93"/>
        <v>0.10062648429857059</v>
      </c>
      <c r="P160" s="105">
        <f t="shared" si="93"/>
        <v>9.8047739926485425E-2</v>
      </c>
      <c r="Q160" s="105">
        <f t="shared" si="93"/>
        <v>0.10096467027821267</v>
      </c>
      <c r="R160" s="105">
        <f t="shared" si="93"/>
        <v>0.12160242252247275</v>
      </c>
      <c r="S160" s="105">
        <f t="shared" si="93"/>
        <v>0.1335596566076161</v>
      </c>
      <c r="T160" s="105">
        <f t="shared" si="93"/>
        <v>0.1378821797331837</v>
      </c>
      <c r="U160" s="105">
        <f t="shared" si="93"/>
        <v>0.13501998575831065</v>
      </c>
      <c r="V160" s="105">
        <f t="shared" si="93"/>
        <v>0.147070754038333</v>
      </c>
      <c r="W160" s="105">
        <f t="shared" ref="W160:Y160" si="94">IF(W42=0,0,W42/W$17)</f>
        <v>0.14563497498984027</v>
      </c>
      <c r="X160" s="105">
        <f t="shared" si="94"/>
        <v>0.13796251454690056</v>
      </c>
      <c r="Y160" s="105">
        <f t="shared" si="94"/>
        <v>0.13729168763343219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5511463</v>
      </c>
      <c r="C3" s="54">
        <f>TrRoad_act!C57</f>
        <v>5655727</v>
      </c>
      <c r="D3" s="54">
        <f>TrRoad_act!D57</f>
        <v>5693649</v>
      </c>
      <c r="E3" s="54">
        <f>TrRoad_act!E57</f>
        <v>5763246</v>
      </c>
      <c r="F3" s="54">
        <f>TrRoad_act!F57</f>
        <v>5853288</v>
      </c>
      <c r="G3" s="54">
        <f>TrRoad_act!G57</f>
        <v>5949635</v>
      </c>
      <c r="H3" s="54">
        <f>TrRoad_act!H57</f>
        <v>6036495</v>
      </c>
      <c r="I3" s="54">
        <f>TrRoad_act!I57</f>
        <v>6140127</v>
      </c>
      <c r="J3" s="54">
        <f>TrRoad_act!J57</f>
        <v>6258305</v>
      </c>
      <c r="K3" s="54">
        <f>TrRoad_act!K57</f>
        <v>6347783</v>
      </c>
      <c r="L3" s="54">
        <f>TrRoad_act!L57</f>
        <v>6460711</v>
      </c>
      <c r="M3" s="54">
        <f>TrRoad_act!M57</f>
        <v>6631859</v>
      </c>
      <c r="N3" s="54">
        <f>TrRoad_act!N57</f>
        <v>6688267</v>
      </c>
      <c r="O3" s="54">
        <f>TrRoad_act!O57</f>
        <v>6775873</v>
      </c>
      <c r="P3" s="54">
        <f>TrRoad_act!P57</f>
        <v>6890802</v>
      </c>
      <c r="Q3" s="54">
        <f>TrRoad_act!Q57</f>
        <v>7013553</v>
      </c>
      <c r="R3" s="54">
        <f>TrRoad_act!R57</f>
        <v>7197921</v>
      </c>
      <c r="S3" s="54">
        <f>TrRoad_act!S57</f>
        <v>7351556</v>
      </c>
      <c r="T3" s="54">
        <f>TrRoad_act!T57</f>
        <v>7466663</v>
      </c>
      <c r="U3" s="54">
        <f>TrRoad_act!U57</f>
        <v>7560339</v>
      </c>
      <c r="V3" s="54">
        <f>TrRoad_act!V57</f>
        <v>7643733</v>
      </c>
      <c r="W3" s="54">
        <f>TrRoad_act!W57</f>
        <v>7741088</v>
      </c>
      <c r="X3" s="54">
        <f>TrRoad_act!X57</f>
        <v>7812902</v>
      </c>
      <c r="Y3" s="54">
        <f>TrRoad_act!Y57</f>
        <v>7946463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4970560</v>
      </c>
      <c r="C4" s="28">
        <f>TrRoad_act!C58</f>
        <v>5048306</v>
      </c>
      <c r="D4" s="28">
        <f>TrRoad_act!D58</f>
        <v>5107279</v>
      </c>
      <c r="E4" s="28">
        <f>TrRoad_act!E58</f>
        <v>5155540</v>
      </c>
      <c r="F4" s="28">
        <f>TrRoad_act!F58</f>
        <v>5213090</v>
      </c>
      <c r="G4" s="28">
        <f>TrRoad_act!G58</f>
        <v>5280684</v>
      </c>
      <c r="H4" s="28">
        <f>TrRoad_act!H58</f>
        <v>5351329</v>
      </c>
      <c r="I4" s="28">
        <f>TrRoad_act!I58</f>
        <v>5438479</v>
      </c>
      <c r="J4" s="28">
        <f>TrRoad_act!J58</f>
        <v>5534992</v>
      </c>
      <c r="K4" s="28">
        <f>TrRoad_act!K58</f>
        <v>5613061</v>
      </c>
      <c r="L4" s="28">
        <f>TrRoad_act!L58</f>
        <v>5711226</v>
      </c>
      <c r="M4" s="28">
        <f>TrRoad_act!M58</f>
        <v>5857100</v>
      </c>
      <c r="N4" s="28">
        <f>TrRoad_act!N58</f>
        <v>5901031</v>
      </c>
      <c r="O4" s="28">
        <f>TrRoad_act!O58</f>
        <v>5966115</v>
      </c>
      <c r="P4" s="28">
        <f>TrRoad_act!P58</f>
        <v>6062930</v>
      </c>
      <c r="Q4" s="28">
        <f>TrRoad_act!Q58</f>
        <v>6164550</v>
      </c>
      <c r="R4" s="28">
        <f>TrRoad_act!R58</f>
        <v>6324756</v>
      </c>
      <c r="S4" s="28">
        <f>TrRoad_act!S58</f>
        <v>6445597</v>
      </c>
      <c r="T4" s="28">
        <f>TrRoad_act!T58</f>
        <v>6529913</v>
      </c>
      <c r="U4" s="28">
        <f>TrRoad_act!U58</f>
        <v>6592919</v>
      </c>
      <c r="V4" s="28">
        <f>TrRoad_act!V58</f>
        <v>6645867</v>
      </c>
      <c r="W4" s="28">
        <f>TrRoad_act!W58</f>
        <v>6711070</v>
      </c>
      <c r="X4" s="28">
        <f>TrRoad_act!X58</f>
        <v>6775162</v>
      </c>
      <c r="Y4" s="28">
        <f>TrRoad_act!Y58</f>
        <v>6892069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277838</v>
      </c>
      <c r="C5" s="137">
        <f>TrRoad_act!C59</f>
        <v>293630</v>
      </c>
      <c r="D5" s="137">
        <f>TrRoad_act!D59</f>
        <v>305510</v>
      </c>
      <c r="E5" s="137">
        <f>TrRoad_act!E59</f>
        <v>319480</v>
      </c>
      <c r="F5" s="137">
        <f>TrRoad_act!F59</f>
        <v>322762</v>
      </c>
      <c r="G5" s="137">
        <f>TrRoad_act!G59</f>
        <v>346293</v>
      </c>
      <c r="H5" s="137">
        <f>TrRoad_act!H59</f>
        <v>360000</v>
      </c>
      <c r="I5" s="137">
        <f>TrRoad_act!I59</f>
        <v>374000</v>
      </c>
      <c r="J5" s="137">
        <f>TrRoad_act!J59</f>
        <v>388000</v>
      </c>
      <c r="K5" s="137">
        <f>TrRoad_act!K59</f>
        <v>404000</v>
      </c>
      <c r="L5" s="137">
        <f>TrRoad_act!L59</f>
        <v>419000</v>
      </c>
      <c r="M5" s="137">
        <f>TrRoad_act!M59</f>
        <v>434000</v>
      </c>
      <c r="N5" s="137">
        <f>TrRoad_act!N59</f>
        <v>441000</v>
      </c>
      <c r="O5" s="137">
        <f>TrRoad_act!O59</f>
        <v>444746</v>
      </c>
      <c r="P5" s="137">
        <f>TrRoad_act!P59</f>
        <v>461454</v>
      </c>
      <c r="Q5" s="137">
        <f>TrRoad_act!Q59</f>
        <v>485414</v>
      </c>
      <c r="R5" s="137">
        <f>TrRoad_act!R59</f>
        <v>577483</v>
      </c>
      <c r="S5" s="137">
        <f>TrRoad_act!S59</f>
        <v>630657</v>
      </c>
      <c r="T5" s="137">
        <f>TrRoad_act!T59</f>
        <v>665306</v>
      </c>
      <c r="U5" s="137">
        <f>TrRoad_act!U59</f>
        <v>694602</v>
      </c>
      <c r="V5" s="137">
        <f>TrRoad_act!V59</f>
        <v>731902</v>
      </c>
      <c r="W5" s="137">
        <f>TrRoad_act!W59</f>
        <v>768445</v>
      </c>
      <c r="X5" s="137">
        <f>TrRoad_act!X59</f>
        <v>803643</v>
      </c>
      <c r="Y5" s="137">
        <f>TrRoad_act!Y59</f>
        <v>828019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4678000</v>
      </c>
      <c r="C6" s="110">
        <f>TrRoad_act!C60</f>
        <v>4740000</v>
      </c>
      <c r="D6" s="110">
        <f>TrRoad_act!D60</f>
        <v>4787000</v>
      </c>
      <c r="E6" s="110">
        <f>TrRoad_act!E60</f>
        <v>4821000</v>
      </c>
      <c r="F6" s="110">
        <f>TrRoad_act!F60</f>
        <v>4875000</v>
      </c>
      <c r="G6" s="110">
        <f>TrRoad_act!G60</f>
        <v>4919000</v>
      </c>
      <c r="H6" s="110">
        <f>TrRoad_act!H60</f>
        <v>4976000</v>
      </c>
      <c r="I6" s="110">
        <f>TrRoad_act!I60</f>
        <v>5049000</v>
      </c>
      <c r="J6" s="110">
        <f>TrRoad_act!J60</f>
        <v>5131000</v>
      </c>
      <c r="K6" s="110">
        <f>TrRoad_act!K60</f>
        <v>5193000</v>
      </c>
      <c r="L6" s="110">
        <f>TrRoad_act!L60</f>
        <v>5276000</v>
      </c>
      <c r="M6" s="110">
        <f>TrRoad_act!M60</f>
        <v>5407000</v>
      </c>
      <c r="N6" s="110">
        <f>TrRoad_act!N60</f>
        <v>5444000</v>
      </c>
      <c r="O6" s="110">
        <f>TrRoad_act!O60</f>
        <v>5505100</v>
      </c>
      <c r="P6" s="110">
        <f>TrRoad_act!P60</f>
        <v>5584690</v>
      </c>
      <c r="Q6" s="110">
        <f>TrRoad_act!Q60</f>
        <v>5662059</v>
      </c>
      <c r="R6" s="110">
        <f>TrRoad_act!R60</f>
        <v>5731292</v>
      </c>
      <c r="S6" s="110">
        <f>TrRoad_act!S60</f>
        <v>5798939</v>
      </c>
      <c r="T6" s="110">
        <f>TrRoad_act!T60</f>
        <v>5848425</v>
      </c>
      <c r="U6" s="110">
        <f>TrRoad_act!U60</f>
        <v>5881874</v>
      </c>
      <c r="V6" s="110">
        <f>TrRoad_act!V60</f>
        <v>5897488</v>
      </c>
      <c r="W6" s="110">
        <f>TrRoad_act!W60</f>
        <v>5926009</v>
      </c>
      <c r="X6" s="110">
        <f>TrRoad_act!X60</f>
        <v>5955127</v>
      </c>
      <c r="Y6" s="110">
        <f>TrRoad_act!Y60</f>
        <v>6047551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2743881</v>
      </c>
      <c r="C7" s="84">
        <f>TrRoad_act!C61</f>
        <v>2688945</v>
      </c>
      <c r="D7" s="84">
        <f>TrRoad_act!D61</f>
        <v>2630605</v>
      </c>
      <c r="E7" s="84">
        <f>TrRoad_act!E61</f>
        <v>2567269</v>
      </c>
      <c r="F7" s="84">
        <f>TrRoad_act!F61</f>
        <v>2499760</v>
      </c>
      <c r="G7" s="84">
        <f>TrRoad_act!G61</f>
        <v>2432622</v>
      </c>
      <c r="H7" s="84">
        <f>TrRoad_act!H61</f>
        <v>2339711</v>
      </c>
      <c r="I7" s="84">
        <f>TrRoad_act!I61</f>
        <v>2257871</v>
      </c>
      <c r="J7" s="84">
        <f>TrRoad_act!J61</f>
        <v>2172126</v>
      </c>
      <c r="K7" s="84">
        <f>TrRoad_act!K61</f>
        <v>2103948</v>
      </c>
      <c r="L7" s="84">
        <f>TrRoad_act!L61</f>
        <v>2049251</v>
      </c>
      <c r="M7" s="84">
        <f>TrRoad_act!M61</f>
        <v>2019541</v>
      </c>
      <c r="N7" s="84">
        <f>TrRoad_act!N61</f>
        <v>1997760</v>
      </c>
      <c r="O7" s="84">
        <f>TrRoad_act!O61</f>
        <v>2017861</v>
      </c>
      <c r="P7" s="84">
        <f>TrRoad_act!P61</f>
        <v>2073185</v>
      </c>
      <c r="Q7" s="84">
        <f>TrRoad_act!Q61</f>
        <v>2143540</v>
      </c>
      <c r="R7" s="84">
        <f>TrRoad_act!R61</f>
        <v>2276622</v>
      </c>
      <c r="S7" s="84">
        <f>TrRoad_act!S61</f>
        <v>2434385</v>
      </c>
      <c r="T7" s="84">
        <f>TrRoad_act!T61</f>
        <v>2646529</v>
      </c>
      <c r="U7" s="84">
        <f>TrRoad_act!U61</f>
        <v>2857406</v>
      </c>
      <c r="V7" s="84">
        <f>TrRoad_act!V61</f>
        <v>3003159</v>
      </c>
      <c r="W7" s="84">
        <f>TrRoad_act!W61</f>
        <v>3161107</v>
      </c>
      <c r="X7" s="84">
        <f>TrRoad_act!X61</f>
        <v>3306437</v>
      </c>
      <c r="Y7" s="84">
        <f>TrRoad_act!Y61</f>
        <v>3483563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1875119</v>
      </c>
      <c r="C8" s="84">
        <f>TrRoad_act!C62</f>
        <v>1979055</v>
      </c>
      <c r="D8" s="84">
        <f>TrRoad_act!D62</f>
        <v>2082395</v>
      </c>
      <c r="E8" s="84">
        <f>TrRoad_act!E62</f>
        <v>2182731</v>
      </c>
      <c r="F8" s="84">
        <f>TrRoad_act!F62</f>
        <v>2310020</v>
      </c>
      <c r="G8" s="84">
        <f>TrRoad_act!G62</f>
        <v>2426120</v>
      </c>
      <c r="H8" s="84">
        <f>TrRoad_act!H62</f>
        <v>2580027</v>
      </c>
      <c r="I8" s="84">
        <f>TrRoad_act!I62</f>
        <v>2739866</v>
      </c>
      <c r="J8" s="84">
        <f>TrRoad_act!J62</f>
        <v>2911636</v>
      </c>
      <c r="K8" s="84">
        <f>TrRoad_act!K62</f>
        <v>3046831</v>
      </c>
      <c r="L8" s="84">
        <f>TrRoad_act!L62</f>
        <v>3189483</v>
      </c>
      <c r="M8" s="84">
        <f>TrRoad_act!M62</f>
        <v>3345897</v>
      </c>
      <c r="N8" s="84">
        <f>TrRoad_act!N62</f>
        <v>3401740</v>
      </c>
      <c r="O8" s="84">
        <f>TrRoad_act!O62</f>
        <v>3445970</v>
      </c>
      <c r="P8" s="84">
        <f>TrRoad_act!P62</f>
        <v>3463511</v>
      </c>
      <c r="Q8" s="84">
        <f>TrRoad_act!Q62</f>
        <v>3448823</v>
      </c>
      <c r="R8" s="84">
        <f>TrRoad_act!R62</f>
        <v>3380439</v>
      </c>
      <c r="S8" s="84">
        <f>TrRoad_act!S62</f>
        <v>3274836</v>
      </c>
      <c r="T8" s="84">
        <f>TrRoad_act!T62</f>
        <v>3097964</v>
      </c>
      <c r="U8" s="84">
        <f>TrRoad_act!U62</f>
        <v>2903277</v>
      </c>
      <c r="V8" s="84">
        <f>TrRoad_act!V62</f>
        <v>2729484</v>
      </c>
      <c r="W8" s="84">
        <f>TrRoad_act!W62</f>
        <v>2535731</v>
      </c>
      <c r="X8" s="84">
        <f>TrRoad_act!X62</f>
        <v>2330596</v>
      </c>
      <c r="Y8" s="84">
        <f>TrRoad_act!Y62</f>
        <v>2080243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59000</v>
      </c>
      <c r="C9" s="84">
        <f>TrRoad_act!C63</f>
        <v>72000</v>
      </c>
      <c r="D9" s="84">
        <f>TrRoad_act!D63</f>
        <v>74000</v>
      </c>
      <c r="E9" s="84">
        <f>TrRoad_act!E63</f>
        <v>71000</v>
      </c>
      <c r="F9" s="84">
        <f>TrRoad_act!F63</f>
        <v>65000</v>
      </c>
      <c r="G9" s="84">
        <f>TrRoad_act!G63</f>
        <v>60000</v>
      </c>
      <c r="H9" s="84">
        <f>TrRoad_act!H63</f>
        <v>56000</v>
      </c>
      <c r="I9" s="84">
        <f>TrRoad_act!I63</f>
        <v>51000</v>
      </c>
      <c r="J9" s="84">
        <f>TrRoad_act!J63</f>
        <v>47000</v>
      </c>
      <c r="K9" s="84">
        <f>TrRoad_act!K63</f>
        <v>42000</v>
      </c>
      <c r="L9" s="84">
        <f>TrRoad_act!L63</f>
        <v>37000</v>
      </c>
      <c r="M9" s="84">
        <f>TrRoad_act!M63</f>
        <v>41000</v>
      </c>
      <c r="N9" s="84">
        <f>TrRoad_act!N63</f>
        <v>43110</v>
      </c>
      <c r="O9" s="84">
        <f>TrRoad_act!O63</f>
        <v>39632</v>
      </c>
      <c r="P9" s="84">
        <f>TrRoad_act!P63</f>
        <v>44090</v>
      </c>
      <c r="Q9" s="84">
        <f>TrRoad_act!Q63</f>
        <v>60838</v>
      </c>
      <c r="R9" s="84">
        <f>TrRoad_act!R63</f>
        <v>54427</v>
      </c>
      <c r="S9" s="84">
        <f>TrRoad_act!S63</f>
        <v>52842</v>
      </c>
      <c r="T9" s="84">
        <f>TrRoad_act!T63</f>
        <v>51013</v>
      </c>
      <c r="U9" s="84">
        <f>TrRoad_act!U63</f>
        <v>49102</v>
      </c>
      <c r="V9" s="84">
        <f>TrRoad_act!V63</f>
        <v>47831</v>
      </c>
      <c r="W9" s="84">
        <f>TrRoad_act!W63</f>
        <v>45708</v>
      </c>
      <c r="X9" s="84">
        <f>TrRoad_act!X63</f>
        <v>44057</v>
      </c>
      <c r="Y9" s="84">
        <f>TrRoad_act!Y63</f>
        <v>43589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220</v>
      </c>
      <c r="G10" s="84">
        <f>TrRoad_act!G64</f>
        <v>258</v>
      </c>
      <c r="H10" s="84">
        <f>TrRoad_act!H64</f>
        <v>262</v>
      </c>
      <c r="I10" s="84">
        <f>TrRoad_act!I64</f>
        <v>263</v>
      </c>
      <c r="J10" s="84">
        <f>TrRoad_act!J64</f>
        <v>229</v>
      </c>
      <c r="K10" s="84">
        <f>TrRoad_act!K64</f>
        <v>208</v>
      </c>
      <c r="L10" s="84">
        <f>TrRoad_act!L64</f>
        <v>205</v>
      </c>
      <c r="M10" s="84">
        <f>TrRoad_act!M64</f>
        <v>223</v>
      </c>
      <c r="N10" s="84">
        <f>TrRoad_act!N64</f>
        <v>227</v>
      </c>
      <c r="O10" s="84">
        <f>TrRoad_act!O64</f>
        <v>359</v>
      </c>
      <c r="P10" s="84">
        <f>TrRoad_act!P64</f>
        <v>953</v>
      </c>
      <c r="Q10" s="84">
        <f>TrRoad_act!Q64</f>
        <v>1889</v>
      </c>
      <c r="R10" s="84">
        <f>TrRoad_act!R64</f>
        <v>4014</v>
      </c>
      <c r="S10" s="84">
        <f>TrRoad_act!S64</f>
        <v>6051</v>
      </c>
      <c r="T10" s="84">
        <f>TrRoad_act!T64</f>
        <v>10670</v>
      </c>
      <c r="U10" s="84">
        <f>TrRoad_act!U64</f>
        <v>14764</v>
      </c>
      <c r="V10" s="84">
        <f>TrRoad_act!V64</f>
        <v>18043</v>
      </c>
      <c r="W10" s="84">
        <f>TrRoad_act!W64</f>
        <v>19177</v>
      </c>
      <c r="X10" s="84">
        <f>TrRoad_act!X64</f>
        <v>19390</v>
      </c>
      <c r="Y10" s="84">
        <f>TrRoad_act!Y64</f>
        <v>18938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16</v>
      </c>
      <c r="N11" s="84">
        <f>TrRoad_act!N65</f>
        <v>338</v>
      </c>
      <c r="O11" s="84">
        <f>TrRoad_act!O65</f>
        <v>359</v>
      </c>
      <c r="P11" s="84">
        <f>TrRoad_act!P65</f>
        <v>1159</v>
      </c>
      <c r="Q11" s="84">
        <f>TrRoad_act!Q65</f>
        <v>4098</v>
      </c>
      <c r="R11" s="84">
        <f>TrRoad_act!R65</f>
        <v>11422</v>
      </c>
      <c r="S11" s="84">
        <f>TrRoad_act!S65</f>
        <v>22273</v>
      </c>
      <c r="T11" s="84">
        <f>TrRoad_act!T65</f>
        <v>33005</v>
      </c>
      <c r="U11" s="84">
        <f>TrRoad_act!U65</f>
        <v>41987</v>
      </c>
      <c r="V11" s="84">
        <f>TrRoad_act!V65</f>
        <v>74988</v>
      </c>
      <c r="W11" s="84">
        <f>TrRoad_act!W65</f>
        <v>123435</v>
      </c>
      <c r="X11" s="84">
        <f>TrRoad_act!X65</f>
        <v>182996</v>
      </c>
      <c r="Y11" s="84">
        <f>TrRoad_act!Y65</f>
        <v>265455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9</v>
      </c>
      <c r="K12" s="84">
        <f>TrRoad_act!K66</f>
        <v>13</v>
      </c>
      <c r="L12" s="84">
        <f>TrRoad_act!L66</f>
        <v>61</v>
      </c>
      <c r="M12" s="84">
        <f>TrRoad_act!M66</f>
        <v>323</v>
      </c>
      <c r="N12" s="84">
        <f>TrRoad_act!N66</f>
        <v>825</v>
      </c>
      <c r="O12" s="84">
        <f>TrRoad_act!O66</f>
        <v>919</v>
      </c>
      <c r="P12" s="84">
        <f>TrRoad_act!P66</f>
        <v>1792</v>
      </c>
      <c r="Q12" s="84">
        <f>TrRoad_act!Q66</f>
        <v>2871</v>
      </c>
      <c r="R12" s="84">
        <f>TrRoad_act!R66</f>
        <v>4368</v>
      </c>
      <c r="S12" s="84">
        <f>TrRoad_act!S66</f>
        <v>8552</v>
      </c>
      <c r="T12" s="84">
        <f>TrRoad_act!T66</f>
        <v>9244</v>
      </c>
      <c r="U12" s="84">
        <f>TrRoad_act!U66</f>
        <v>15338</v>
      </c>
      <c r="V12" s="84">
        <f>TrRoad_act!V66</f>
        <v>23983</v>
      </c>
      <c r="W12" s="84">
        <f>TrRoad_act!W66</f>
        <v>40851</v>
      </c>
      <c r="X12" s="84">
        <f>TrRoad_act!X66</f>
        <v>71651</v>
      </c>
      <c r="Y12" s="84">
        <f>TrRoad_act!Y66</f>
        <v>155763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14722</v>
      </c>
      <c r="C13" s="110">
        <f>TrRoad_act!C67</f>
        <v>14676</v>
      </c>
      <c r="D13" s="110">
        <f>TrRoad_act!D67</f>
        <v>14769</v>
      </c>
      <c r="E13" s="110">
        <f>TrRoad_act!E67</f>
        <v>15060</v>
      </c>
      <c r="F13" s="110">
        <f>TrRoad_act!F67</f>
        <v>15328</v>
      </c>
      <c r="G13" s="110">
        <f>TrRoad_act!G67</f>
        <v>15391</v>
      </c>
      <c r="H13" s="110">
        <f>TrRoad_act!H67</f>
        <v>15329</v>
      </c>
      <c r="I13" s="110">
        <f>TrRoad_act!I67</f>
        <v>15479</v>
      </c>
      <c r="J13" s="110">
        <f>TrRoad_act!J67</f>
        <v>15992</v>
      </c>
      <c r="K13" s="110">
        <f>TrRoad_act!K67</f>
        <v>16061</v>
      </c>
      <c r="L13" s="110">
        <f>TrRoad_act!L67</f>
        <v>16226</v>
      </c>
      <c r="M13" s="110">
        <f>TrRoad_act!M67</f>
        <v>16100</v>
      </c>
      <c r="N13" s="110">
        <f>TrRoad_act!N67</f>
        <v>16031</v>
      </c>
      <c r="O13" s="110">
        <f>TrRoad_act!O67</f>
        <v>16269</v>
      </c>
      <c r="P13" s="110">
        <f>TrRoad_act!P67</f>
        <v>16786</v>
      </c>
      <c r="Q13" s="110">
        <f>TrRoad_act!Q67</f>
        <v>17077</v>
      </c>
      <c r="R13" s="110">
        <f>TrRoad_act!R67</f>
        <v>15981</v>
      </c>
      <c r="S13" s="110">
        <f>TrRoad_act!S67</f>
        <v>16001</v>
      </c>
      <c r="T13" s="110">
        <f>TrRoad_act!T67</f>
        <v>16182</v>
      </c>
      <c r="U13" s="110">
        <f>TrRoad_act!U67</f>
        <v>16443</v>
      </c>
      <c r="V13" s="110">
        <f>TrRoad_act!V67</f>
        <v>16477</v>
      </c>
      <c r="W13" s="110">
        <f>TrRoad_act!W67</f>
        <v>16616</v>
      </c>
      <c r="X13" s="110">
        <f>TrRoad_act!X67</f>
        <v>16392</v>
      </c>
      <c r="Y13" s="110">
        <f>TrRoad_act!Y67</f>
        <v>16499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214</v>
      </c>
      <c r="C14" s="102">
        <f>TrRoad_act!C68</f>
        <v>207</v>
      </c>
      <c r="D14" s="102">
        <f>TrRoad_act!D68</f>
        <v>188</v>
      </c>
      <c r="E14" s="102">
        <f>TrRoad_act!E68</f>
        <v>187</v>
      </c>
      <c r="F14" s="102">
        <f>TrRoad_act!F68</f>
        <v>184</v>
      </c>
      <c r="G14" s="102">
        <f>TrRoad_act!G68</f>
        <v>183</v>
      </c>
      <c r="H14" s="102">
        <f>TrRoad_act!H68</f>
        <v>167</v>
      </c>
      <c r="I14" s="102">
        <f>TrRoad_act!I68</f>
        <v>160</v>
      </c>
      <c r="J14" s="102">
        <f>TrRoad_act!J68</f>
        <v>152</v>
      </c>
      <c r="K14" s="102">
        <f>TrRoad_act!K68</f>
        <v>143</v>
      </c>
      <c r="L14" s="102">
        <f>TrRoad_act!L68</f>
        <v>133</v>
      </c>
      <c r="M14" s="102">
        <f>TrRoad_act!M68</f>
        <v>131</v>
      </c>
      <c r="N14" s="102">
        <f>TrRoad_act!N68</f>
        <v>129</v>
      </c>
      <c r="O14" s="102">
        <f>TrRoad_act!O68</f>
        <v>123</v>
      </c>
      <c r="P14" s="102">
        <f>TrRoad_act!P68</f>
        <v>116</v>
      </c>
      <c r="Q14" s="102">
        <f>TrRoad_act!Q68</f>
        <v>117</v>
      </c>
      <c r="R14" s="102">
        <f>TrRoad_act!R68</f>
        <v>118</v>
      </c>
      <c r="S14" s="102">
        <f>TrRoad_act!S68</f>
        <v>115</v>
      </c>
      <c r="T14" s="102">
        <f>TrRoad_act!T68</f>
        <v>115</v>
      </c>
      <c r="U14" s="102">
        <f>TrRoad_act!U68</f>
        <v>115</v>
      </c>
      <c r="V14" s="102">
        <f>TrRoad_act!V68</f>
        <v>115</v>
      </c>
      <c r="W14" s="102">
        <f>TrRoad_act!W68</f>
        <v>114</v>
      </c>
      <c r="X14" s="102">
        <f>TrRoad_act!X68</f>
        <v>113</v>
      </c>
      <c r="Y14" s="102">
        <f>TrRoad_act!Y68</f>
        <v>112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14506</v>
      </c>
      <c r="C15" s="102">
        <f>TrRoad_act!C69</f>
        <v>14467</v>
      </c>
      <c r="D15" s="102">
        <f>TrRoad_act!D69</f>
        <v>14579</v>
      </c>
      <c r="E15" s="102">
        <f>TrRoad_act!E69</f>
        <v>14871</v>
      </c>
      <c r="F15" s="102">
        <f>TrRoad_act!F69</f>
        <v>15142</v>
      </c>
      <c r="G15" s="102">
        <f>TrRoad_act!G69</f>
        <v>15187</v>
      </c>
      <c r="H15" s="102">
        <f>TrRoad_act!H69</f>
        <v>15141</v>
      </c>
      <c r="I15" s="102">
        <f>TrRoad_act!I69</f>
        <v>15299</v>
      </c>
      <c r="J15" s="102">
        <f>TrRoad_act!J69</f>
        <v>15821</v>
      </c>
      <c r="K15" s="102">
        <f>TrRoad_act!K69</f>
        <v>15899</v>
      </c>
      <c r="L15" s="102">
        <f>TrRoad_act!L69</f>
        <v>16075</v>
      </c>
      <c r="M15" s="102">
        <f>TrRoad_act!M69</f>
        <v>15952</v>
      </c>
      <c r="N15" s="102">
        <f>TrRoad_act!N69</f>
        <v>15886</v>
      </c>
      <c r="O15" s="102">
        <f>TrRoad_act!O69</f>
        <v>16124</v>
      </c>
      <c r="P15" s="102">
        <f>TrRoad_act!P69</f>
        <v>16646</v>
      </c>
      <c r="Q15" s="102">
        <f>TrRoad_act!Q69</f>
        <v>16938</v>
      </c>
      <c r="R15" s="102">
        <f>TrRoad_act!R69</f>
        <v>15840</v>
      </c>
      <c r="S15" s="102">
        <f>TrRoad_act!S69</f>
        <v>15862</v>
      </c>
      <c r="T15" s="102">
        <f>TrRoad_act!T69</f>
        <v>16022</v>
      </c>
      <c r="U15" s="102">
        <f>TrRoad_act!U69</f>
        <v>16255</v>
      </c>
      <c r="V15" s="102">
        <f>TrRoad_act!V69</f>
        <v>16261</v>
      </c>
      <c r="W15" s="102">
        <f>TrRoad_act!W69</f>
        <v>16256</v>
      </c>
      <c r="X15" s="102">
        <f>TrRoad_act!X69</f>
        <v>15959</v>
      </c>
      <c r="Y15" s="102">
        <f>TrRoad_act!Y69</f>
        <v>15880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6</v>
      </c>
      <c r="P17" s="102">
        <f>TrRoad_act!P71</f>
        <v>6</v>
      </c>
      <c r="Q17" s="102">
        <f>TrRoad_act!Q71</f>
        <v>6</v>
      </c>
      <c r="R17" s="102">
        <f>TrRoad_act!R71</f>
        <v>8</v>
      </c>
      <c r="S17" s="102">
        <f>TrRoad_act!S71</f>
        <v>10</v>
      </c>
      <c r="T17" s="102">
        <f>TrRoad_act!T71</f>
        <v>24</v>
      </c>
      <c r="U17" s="102">
        <f>TrRoad_act!U71</f>
        <v>14</v>
      </c>
      <c r="V17" s="102">
        <f>TrRoad_act!V71</f>
        <v>26</v>
      </c>
      <c r="W17" s="102">
        <f>TrRoad_act!W71</f>
        <v>141</v>
      </c>
      <c r="X17" s="102">
        <f>TrRoad_act!X71</f>
        <v>170</v>
      </c>
      <c r="Y17" s="102">
        <f>TrRoad_act!Y71</f>
        <v>170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2</v>
      </c>
      <c r="C18" s="102">
        <f>TrRoad_act!C72</f>
        <v>2</v>
      </c>
      <c r="D18" s="102">
        <f>TrRoad_act!D72</f>
        <v>2</v>
      </c>
      <c r="E18" s="102">
        <f>TrRoad_act!E72</f>
        <v>2</v>
      </c>
      <c r="F18" s="102">
        <f>TrRoad_act!F72</f>
        <v>2</v>
      </c>
      <c r="G18" s="102">
        <f>TrRoad_act!G72</f>
        <v>21</v>
      </c>
      <c r="H18" s="102">
        <f>TrRoad_act!H72</f>
        <v>21</v>
      </c>
      <c r="I18" s="102">
        <f>TrRoad_act!I72</f>
        <v>20</v>
      </c>
      <c r="J18" s="102">
        <f>TrRoad_act!J72</f>
        <v>19</v>
      </c>
      <c r="K18" s="102">
        <f>TrRoad_act!K72</f>
        <v>19</v>
      </c>
      <c r="L18" s="102">
        <f>TrRoad_act!L72</f>
        <v>18</v>
      </c>
      <c r="M18" s="102">
        <f>TrRoad_act!M72</f>
        <v>17</v>
      </c>
      <c r="N18" s="102">
        <f>TrRoad_act!N72</f>
        <v>16</v>
      </c>
      <c r="O18" s="102">
        <f>TrRoad_act!O72</f>
        <v>16</v>
      </c>
      <c r="P18" s="102">
        <f>TrRoad_act!P72</f>
        <v>18</v>
      </c>
      <c r="Q18" s="102">
        <f>TrRoad_act!Q72</f>
        <v>16</v>
      </c>
      <c r="R18" s="102">
        <f>TrRoad_act!R72</f>
        <v>15</v>
      </c>
      <c r="S18" s="102">
        <f>TrRoad_act!S72</f>
        <v>14</v>
      </c>
      <c r="T18" s="102">
        <f>TrRoad_act!T72</f>
        <v>21</v>
      </c>
      <c r="U18" s="102">
        <f>TrRoad_act!U72</f>
        <v>59</v>
      </c>
      <c r="V18" s="102">
        <f>TrRoad_act!V72</f>
        <v>75</v>
      </c>
      <c r="W18" s="102">
        <f>TrRoad_act!W72</f>
        <v>105</v>
      </c>
      <c r="X18" s="102">
        <f>TrRoad_act!X72</f>
        <v>150</v>
      </c>
      <c r="Y18" s="102">
        <f>TrRoad_act!Y72</f>
        <v>337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540903</v>
      </c>
      <c r="C19" s="28">
        <f>TrRoad_act!C73</f>
        <v>607421</v>
      </c>
      <c r="D19" s="28">
        <f>TrRoad_act!D73</f>
        <v>586370</v>
      </c>
      <c r="E19" s="28">
        <f>TrRoad_act!E73</f>
        <v>607706</v>
      </c>
      <c r="F19" s="28">
        <f>TrRoad_act!F73</f>
        <v>640198</v>
      </c>
      <c r="G19" s="28">
        <f>TrRoad_act!G73</f>
        <v>668951</v>
      </c>
      <c r="H19" s="28">
        <f>TrRoad_act!H73</f>
        <v>685166</v>
      </c>
      <c r="I19" s="28">
        <f>TrRoad_act!I73</f>
        <v>701648</v>
      </c>
      <c r="J19" s="28">
        <f>TrRoad_act!J73</f>
        <v>723313</v>
      </c>
      <c r="K19" s="28">
        <f>TrRoad_act!K73</f>
        <v>734722</v>
      </c>
      <c r="L19" s="28">
        <f>TrRoad_act!L73</f>
        <v>749485</v>
      </c>
      <c r="M19" s="28">
        <f>TrRoad_act!M73</f>
        <v>774759</v>
      </c>
      <c r="N19" s="28">
        <f>TrRoad_act!N73</f>
        <v>787236</v>
      </c>
      <c r="O19" s="28">
        <f>TrRoad_act!O73</f>
        <v>809758</v>
      </c>
      <c r="P19" s="28">
        <f>TrRoad_act!P73</f>
        <v>827872</v>
      </c>
      <c r="Q19" s="28">
        <f>TrRoad_act!Q73</f>
        <v>849003</v>
      </c>
      <c r="R19" s="28">
        <f>TrRoad_act!R73</f>
        <v>873165</v>
      </c>
      <c r="S19" s="28">
        <f>TrRoad_act!S73</f>
        <v>905959</v>
      </c>
      <c r="T19" s="28">
        <f>TrRoad_act!T73</f>
        <v>936750</v>
      </c>
      <c r="U19" s="28">
        <f>TrRoad_act!U73</f>
        <v>967420</v>
      </c>
      <c r="V19" s="28">
        <f>TrRoad_act!V73</f>
        <v>997866</v>
      </c>
      <c r="W19" s="28">
        <f>TrRoad_act!W73</f>
        <v>1030018</v>
      </c>
      <c r="X19" s="28">
        <f>TrRoad_act!X73</f>
        <v>1037740</v>
      </c>
      <c r="Y19" s="28">
        <f>TrRoad_act!Y73</f>
        <v>1054394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445600</v>
      </c>
      <c r="C20" s="137">
        <f>TrRoad_act!C74</f>
        <v>469743</v>
      </c>
      <c r="D20" s="137">
        <f>TrRoad_act!D74</f>
        <v>448274</v>
      </c>
      <c r="E20" s="137">
        <f>TrRoad_act!E74</f>
        <v>465435</v>
      </c>
      <c r="F20" s="137">
        <f>TrRoad_act!F74</f>
        <v>489814</v>
      </c>
      <c r="G20" s="137">
        <f>TrRoad_act!G74</f>
        <v>512872</v>
      </c>
      <c r="H20" s="137">
        <f>TrRoad_act!H74</f>
        <v>529076</v>
      </c>
      <c r="I20" s="137">
        <f>TrRoad_act!I74</f>
        <v>542914</v>
      </c>
      <c r="J20" s="137">
        <f>TrRoad_act!J74</f>
        <v>557353</v>
      </c>
      <c r="K20" s="137">
        <f>TrRoad_act!K74</f>
        <v>571913</v>
      </c>
      <c r="L20" s="137">
        <f>TrRoad_act!L74</f>
        <v>591941</v>
      </c>
      <c r="M20" s="137">
        <f>TrRoad_act!M74</f>
        <v>604799</v>
      </c>
      <c r="N20" s="137">
        <f>TrRoad_act!N74</f>
        <v>620502</v>
      </c>
      <c r="O20" s="137">
        <f>TrRoad_act!O74</f>
        <v>640425</v>
      </c>
      <c r="P20" s="137">
        <f>TrRoad_act!P74</f>
        <v>655525</v>
      </c>
      <c r="Q20" s="137">
        <f>TrRoad_act!Q74</f>
        <v>665134</v>
      </c>
      <c r="R20" s="137">
        <f>TrRoad_act!R74</f>
        <v>709653</v>
      </c>
      <c r="S20" s="137">
        <f>TrRoad_act!S74</f>
        <v>740801</v>
      </c>
      <c r="T20" s="137">
        <f>TrRoad_act!T74</f>
        <v>769679</v>
      </c>
      <c r="U20" s="137">
        <f>TrRoad_act!U74</f>
        <v>798942</v>
      </c>
      <c r="V20" s="137">
        <f>TrRoad_act!V74</f>
        <v>829277</v>
      </c>
      <c r="W20" s="137">
        <f>TrRoad_act!W74</f>
        <v>861148</v>
      </c>
      <c r="X20" s="137">
        <f>TrRoad_act!X74</f>
        <v>868994</v>
      </c>
      <c r="Y20" s="137">
        <f>TrRoad_act!Y74</f>
        <v>884545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38214</v>
      </c>
      <c r="C21" s="84">
        <f>TrRoad_act!C75</f>
        <v>38182</v>
      </c>
      <c r="D21" s="84">
        <f>TrRoad_act!D75</f>
        <v>38104</v>
      </c>
      <c r="E21" s="84">
        <f>TrRoad_act!E75</f>
        <v>37908</v>
      </c>
      <c r="F21" s="84">
        <f>TrRoad_act!F75</f>
        <v>37422</v>
      </c>
      <c r="G21" s="84">
        <f>TrRoad_act!G75</f>
        <v>36236</v>
      </c>
      <c r="H21" s="84">
        <f>TrRoad_act!H75</f>
        <v>33432</v>
      </c>
      <c r="I21" s="84">
        <f>TrRoad_act!I75</f>
        <v>30620</v>
      </c>
      <c r="J21" s="84">
        <f>TrRoad_act!J75</f>
        <v>30446</v>
      </c>
      <c r="K21" s="84">
        <f>TrRoad_act!K75</f>
        <v>29110</v>
      </c>
      <c r="L21" s="84">
        <f>TrRoad_act!L75</f>
        <v>28134</v>
      </c>
      <c r="M21" s="84">
        <f>TrRoad_act!M75</f>
        <v>25965</v>
      </c>
      <c r="N21" s="84">
        <f>TrRoad_act!N75</f>
        <v>24432</v>
      </c>
      <c r="O21" s="84">
        <f>TrRoad_act!O75</f>
        <v>22903</v>
      </c>
      <c r="P21" s="84">
        <f>TrRoad_act!P75</f>
        <v>21373</v>
      </c>
      <c r="Q21" s="84">
        <f>TrRoad_act!Q75</f>
        <v>19842</v>
      </c>
      <c r="R21" s="84">
        <f>TrRoad_act!R75</f>
        <v>20033</v>
      </c>
      <c r="S21" s="84">
        <f>TrRoad_act!S75</f>
        <v>21553</v>
      </c>
      <c r="T21" s="84">
        <f>TrRoad_act!T75</f>
        <v>25899</v>
      </c>
      <c r="U21" s="84">
        <f>TrRoad_act!U75</f>
        <v>28720</v>
      </c>
      <c r="V21" s="84">
        <f>TrRoad_act!V75</f>
        <v>29684</v>
      </c>
      <c r="W21" s="84">
        <f>TrRoad_act!W75</f>
        <v>30720</v>
      </c>
      <c r="X21" s="84">
        <f>TrRoad_act!X75</f>
        <v>31316</v>
      </c>
      <c r="Y21" s="84">
        <f>TrRoad_act!Y75</f>
        <v>33017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377386</v>
      </c>
      <c r="C22" s="84">
        <f>TrRoad_act!C76</f>
        <v>399104</v>
      </c>
      <c r="D22" s="84">
        <f>TrRoad_act!D76</f>
        <v>380020</v>
      </c>
      <c r="E22" s="84">
        <f>TrRoad_act!E76</f>
        <v>400011</v>
      </c>
      <c r="F22" s="84">
        <f>TrRoad_act!F76</f>
        <v>425667</v>
      </c>
      <c r="G22" s="84">
        <f>TrRoad_act!G76</f>
        <v>450986</v>
      </c>
      <c r="H22" s="84">
        <f>TrRoad_act!H76</f>
        <v>470814</v>
      </c>
      <c r="I22" s="84">
        <f>TrRoad_act!I76</f>
        <v>490223</v>
      </c>
      <c r="J22" s="84">
        <f>TrRoad_act!J76</f>
        <v>506135</v>
      </c>
      <c r="K22" s="84">
        <f>TrRoad_act!K76</f>
        <v>523443</v>
      </c>
      <c r="L22" s="84">
        <f>TrRoad_act!L76</f>
        <v>545889</v>
      </c>
      <c r="M22" s="84">
        <f>TrRoad_act!M76</f>
        <v>560320</v>
      </c>
      <c r="N22" s="84">
        <f>TrRoad_act!N76</f>
        <v>577764</v>
      </c>
      <c r="O22" s="84">
        <f>TrRoad_act!O76</f>
        <v>601355</v>
      </c>
      <c r="P22" s="84">
        <f>TrRoad_act!P76</f>
        <v>619637</v>
      </c>
      <c r="Q22" s="84">
        <f>TrRoad_act!Q76</f>
        <v>634040</v>
      </c>
      <c r="R22" s="84">
        <f>TrRoad_act!R76</f>
        <v>678767</v>
      </c>
      <c r="S22" s="84">
        <f>TrRoad_act!S76</f>
        <v>708163</v>
      </c>
      <c r="T22" s="84">
        <f>TrRoad_act!T76</f>
        <v>732012</v>
      </c>
      <c r="U22" s="84">
        <f>TrRoad_act!U76</f>
        <v>757250</v>
      </c>
      <c r="V22" s="84">
        <f>TrRoad_act!V76</f>
        <v>784825</v>
      </c>
      <c r="W22" s="84">
        <f>TrRoad_act!W76</f>
        <v>814859</v>
      </c>
      <c r="X22" s="84">
        <f>TrRoad_act!X76</f>
        <v>820150</v>
      </c>
      <c r="Y22" s="84">
        <f>TrRoad_act!Y76</f>
        <v>832647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30000</v>
      </c>
      <c r="C23" s="84">
        <f>TrRoad_act!C77</f>
        <v>32457</v>
      </c>
      <c r="D23" s="84">
        <f>TrRoad_act!D77</f>
        <v>30150</v>
      </c>
      <c r="E23" s="84">
        <f>TrRoad_act!E77</f>
        <v>27516</v>
      </c>
      <c r="F23" s="84">
        <f>TrRoad_act!F77</f>
        <v>26725</v>
      </c>
      <c r="G23" s="84">
        <f>TrRoad_act!G77</f>
        <v>25650</v>
      </c>
      <c r="H23" s="84">
        <f>TrRoad_act!H77</f>
        <v>24830</v>
      </c>
      <c r="I23" s="84">
        <f>TrRoad_act!I77</f>
        <v>22071</v>
      </c>
      <c r="J23" s="84">
        <f>TrRoad_act!J77</f>
        <v>20655</v>
      </c>
      <c r="K23" s="84">
        <f>TrRoad_act!K77</f>
        <v>19220</v>
      </c>
      <c r="L23" s="84">
        <f>TrRoad_act!L77</f>
        <v>17759</v>
      </c>
      <c r="M23" s="84">
        <f>TrRoad_act!M77</f>
        <v>18349</v>
      </c>
      <c r="N23" s="84">
        <f>TrRoad_act!N77</f>
        <v>17759</v>
      </c>
      <c r="O23" s="84">
        <f>TrRoad_act!O77</f>
        <v>15461</v>
      </c>
      <c r="P23" s="84">
        <f>TrRoad_act!P77</f>
        <v>13546</v>
      </c>
      <c r="Q23" s="84">
        <f>TrRoad_act!Q77</f>
        <v>9936</v>
      </c>
      <c r="R23" s="84">
        <f>TrRoad_act!R77</f>
        <v>9443</v>
      </c>
      <c r="S23" s="84">
        <f>TrRoad_act!S77</f>
        <v>8976</v>
      </c>
      <c r="T23" s="84">
        <f>TrRoad_act!T77</f>
        <v>8531</v>
      </c>
      <c r="U23" s="84">
        <f>TrRoad_act!U77</f>
        <v>8111</v>
      </c>
      <c r="V23" s="84">
        <f>TrRoad_act!V77</f>
        <v>8506</v>
      </c>
      <c r="W23" s="84">
        <f>TrRoad_act!W77</f>
        <v>8407</v>
      </c>
      <c r="X23" s="84">
        <f>TrRoad_act!X77</f>
        <v>8319</v>
      </c>
      <c r="Y23" s="84">
        <f>TrRoad_act!Y77</f>
        <v>8327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59</v>
      </c>
      <c r="K24" s="84">
        <f>TrRoad_act!K78</f>
        <v>79</v>
      </c>
      <c r="L24" s="84">
        <f>TrRoad_act!L78</f>
        <v>97</v>
      </c>
      <c r="M24" s="84">
        <f>TrRoad_act!M78</f>
        <v>87</v>
      </c>
      <c r="N24" s="84">
        <f>TrRoad_act!N78</f>
        <v>217</v>
      </c>
      <c r="O24" s="84">
        <f>TrRoad_act!O78</f>
        <v>276</v>
      </c>
      <c r="P24" s="84">
        <f>TrRoad_act!P78</f>
        <v>447</v>
      </c>
      <c r="Q24" s="84">
        <f>TrRoad_act!Q78</f>
        <v>742</v>
      </c>
      <c r="R24" s="84">
        <f>TrRoad_act!R78</f>
        <v>720</v>
      </c>
      <c r="S24" s="84">
        <f>TrRoad_act!S78</f>
        <v>1333</v>
      </c>
      <c r="T24" s="84">
        <f>TrRoad_act!T78</f>
        <v>2218</v>
      </c>
      <c r="U24" s="84">
        <f>TrRoad_act!U78</f>
        <v>3488</v>
      </c>
      <c r="V24" s="84">
        <f>TrRoad_act!V78</f>
        <v>4446</v>
      </c>
      <c r="W24" s="84">
        <f>TrRoad_act!W78</f>
        <v>4656</v>
      </c>
      <c r="X24" s="84">
        <f>TrRoad_act!X78</f>
        <v>4909</v>
      </c>
      <c r="Y24" s="84">
        <f>TrRoad_act!Y78</f>
        <v>5185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58</v>
      </c>
      <c r="K25" s="84">
        <f>TrRoad_act!K79</f>
        <v>61</v>
      </c>
      <c r="L25" s="84">
        <f>TrRoad_act!L79</f>
        <v>62</v>
      </c>
      <c r="M25" s="84">
        <f>TrRoad_act!M79</f>
        <v>78</v>
      </c>
      <c r="N25" s="84">
        <f>TrRoad_act!N79</f>
        <v>330</v>
      </c>
      <c r="O25" s="84">
        <f>TrRoad_act!O79</f>
        <v>430</v>
      </c>
      <c r="P25" s="84">
        <f>TrRoad_act!P79</f>
        <v>522</v>
      </c>
      <c r="Q25" s="84">
        <f>TrRoad_act!Q79</f>
        <v>574</v>
      </c>
      <c r="R25" s="84">
        <f>TrRoad_act!R79</f>
        <v>690</v>
      </c>
      <c r="S25" s="84">
        <f>TrRoad_act!S79</f>
        <v>776</v>
      </c>
      <c r="T25" s="84">
        <f>TrRoad_act!T79</f>
        <v>1019</v>
      </c>
      <c r="U25" s="84">
        <f>TrRoad_act!U79</f>
        <v>1373</v>
      </c>
      <c r="V25" s="84">
        <f>TrRoad_act!V79</f>
        <v>1816</v>
      </c>
      <c r="W25" s="84">
        <f>TrRoad_act!W79</f>
        <v>2506</v>
      </c>
      <c r="X25" s="84">
        <f>TrRoad_act!X79</f>
        <v>4300</v>
      </c>
      <c r="Y25" s="84">
        <f>TrRoad_act!Y79</f>
        <v>5369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95303</v>
      </c>
      <c r="C26" s="110">
        <f>TrRoad_act!C80</f>
        <v>137678</v>
      </c>
      <c r="D26" s="110">
        <f>TrRoad_act!D80</f>
        <v>138096</v>
      </c>
      <c r="E26" s="110">
        <f>TrRoad_act!E80</f>
        <v>142271</v>
      </c>
      <c r="F26" s="110">
        <f>TrRoad_act!F80</f>
        <v>150384</v>
      </c>
      <c r="G26" s="110">
        <f>TrRoad_act!G80</f>
        <v>156079</v>
      </c>
      <c r="H26" s="110">
        <f>TrRoad_act!H80</f>
        <v>156090</v>
      </c>
      <c r="I26" s="110">
        <f>TrRoad_act!I80</f>
        <v>158734</v>
      </c>
      <c r="J26" s="110">
        <f>TrRoad_act!J80</f>
        <v>165960</v>
      </c>
      <c r="K26" s="110">
        <f>TrRoad_act!K80</f>
        <v>162809</v>
      </c>
      <c r="L26" s="110">
        <f>TrRoad_act!L80</f>
        <v>157544</v>
      </c>
      <c r="M26" s="110">
        <f>TrRoad_act!M80</f>
        <v>169960</v>
      </c>
      <c r="N26" s="110">
        <f>TrRoad_act!N80</f>
        <v>166734</v>
      </c>
      <c r="O26" s="110">
        <f>TrRoad_act!O80</f>
        <v>169333</v>
      </c>
      <c r="P26" s="110">
        <f>TrRoad_act!P80</f>
        <v>172347</v>
      </c>
      <c r="Q26" s="110">
        <f>TrRoad_act!Q80</f>
        <v>183869</v>
      </c>
      <c r="R26" s="110">
        <f>TrRoad_act!R80</f>
        <v>163512</v>
      </c>
      <c r="S26" s="110">
        <f>TrRoad_act!S80</f>
        <v>165158</v>
      </c>
      <c r="T26" s="110">
        <f>TrRoad_act!T80</f>
        <v>167071</v>
      </c>
      <c r="U26" s="110">
        <f>TrRoad_act!U80</f>
        <v>168478</v>
      </c>
      <c r="V26" s="110">
        <f>TrRoad_act!V80</f>
        <v>168589</v>
      </c>
      <c r="W26" s="110">
        <f>TrRoad_act!W80</f>
        <v>168870</v>
      </c>
      <c r="X26" s="110">
        <f>TrRoad_act!X80</f>
        <v>168746</v>
      </c>
      <c r="Y26" s="110">
        <f>TrRoad_act!Y80</f>
        <v>169849.00000000012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78939</v>
      </c>
      <c r="C27" s="102">
        <f>TrRoad_act!C81</f>
        <v>120133</v>
      </c>
      <c r="D27" s="102">
        <f>TrRoad_act!D81</f>
        <v>119638</v>
      </c>
      <c r="E27" s="102">
        <f>TrRoad_act!E81</f>
        <v>123405</v>
      </c>
      <c r="F27" s="102">
        <f>TrRoad_act!F81</f>
        <v>128078</v>
      </c>
      <c r="G27" s="102">
        <f>TrRoad_act!G81</f>
        <v>132986</v>
      </c>
      <c r="H27" s="102">
        <f>TrRoad_act!H81</f>
        <v>132418</v>
      </c>
      <c r="I27" s="102">
        <f>TrRoad_act!I81</f>
        <v>134228</v>
      </c>
      <c r="J27" s="102">
        <f>TrRoad_act!J81</f>
        <v>141568</v>
      </c>
      <c r="K27" s="102">
        <f>TrRoad_act!K81</f>
        <v>139828</v>
      </c>
      <c r="L27" s="102">
        <f>TrRoad_act!L81</f>
        <v>134414</v>
      </c>
      <c r="M27" s="102">
        <f>TrRoad_act!M81</f>
        <v>146804</v>
      </c>
      <c r="N27" s="102">
        <f>TrRoad_act!N81</f>
        <v>143630</v>
      </c>
      <c r="O27" s="102">
        <f>TrRoad_act!O81</f>
        <v>145464</v>
      </c>
      <c r="P27" s="102">
        <f>TrRoad_act!P81</f>
        <v>148395</v>
      </c>
      <c r="Q27" s="102">
        <f>TrRoad_act!Q81</f>
        <v>159343</v>
      </c>
      <c r="R27" s="102">
        <f>TrRoad_act!R81</f>
        <v>137415</v>
      </c>
      <c r="S27" s="102">
        <f>TrRoad_act!S81</f>
        <v>138702</v>
      </c>
      <c r="T27" s="102">
        <f>TrRoad_act!T81</f>
        <v>141851</v>
      </c>
      <c r="U27" s="102">
        <f>TrRoad_act!U81</f>
        <v>142786</v>
      </c>
      <c r="V27" s="102">
        <f>TrRoad_act!V81</f>
        <v>142780</v>
      </c>
      <c r="W27" s="102">
        <f>TrRoad_act!W81</f>
        <v>142534</v>
      </c>
      <c r="X27" s="102">
        <f>TrRoad_act!X81</f>
        <v>143722</v>
      </c>
      <c r="Y27" s="102">
        <f>TrRoad_act!Y81</f>
        <v>145219.00000000012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16364</v>
      </c>
      <c r="C28" s="86">
        <f>TrRoad_act!C82</f>
        <v>17545</v>
      </c>
      <c r="D28" s="86">
        <f>TrRoad_act!D82</f>
        <v>18458</v>
      </c>
      <c r="E28" s="86">
        <f>TrRoad_act!E82</f>
        <v>18866</v>
      </c>
      <c r="F28" s="86">
        <f>TrRoad_act!F82</f>
        <v>22306</v>
      </c>
      <c r="G28" s="86">
        <f>TrRoad_act!G82</f>
        <v>23093</v>
      </c>
      <c r="H28" s="86">
        <f>TrRoad_act!H82</f>
        <v>23672</v>
      </c>
      <c r="I28" s="86">
        <f>TrRoad_act!I82</f>
        <v>24506</v>
      </c>
      <c r="J28" s="86">
        <f>TrRoad_act!J82</f>
        <v>24392</v>
      </c>
      <c r="K28" s="86">
        <f>TrRoad_act!K82</f>
        <v>22981</v>
      </c>
      <c r="L28" s="86">
        <f>TrRoad_act!L82</f>
        <v>23130</v>
      </c>
      <c r="M28" s="86">
        <f>TrRoad_act!M82</f>
        <v>23156</v>
      </c>
      <c r="N28" s="86">
        <f>TrRoad_act!N82</f>
        <v>23104</v>
      </c>
      <c r="O28" s="86">
        <f>TrRoad_act!O82</f>
        <v>23869</v>
      </c>
      <c r="P28" s="86">
        <f>TrRoad_act!P82</f>
        <v>23952</v>
      </c>
      <c r="Q28" s="86">
        <f>TrRoad_act!Q82</f>
        <v>24526</v>
      </c>
      <c r="R28" s="86">
        <f>TrRoad_act!R82</f>
        <v>26097</v>
      </c>
      <c r="S28" s="86">
        <f>TrRoad_act!S82</f>
        <v>26456</v>
      </c>
      <c r="T28" s="86">
        <f>TrRoad_act!T82</f>
        <v>25220</v>
      </c>
      <c r="U28" s="86">
        <f>TrRoad_act!U82</f>
        <v>25692</v>
      </c>
      <c r="V28" s="86">
        <f>TrRoad_act!V82</f>
        <v>25809</v>
      </c>
      <c r="W28" s="86">
        <f>TrRoad_act!W82</f>
        <v>26336</v>
      </c>
      <c r="X28" s="86">
        <f>TrRoad_act!X82</f>
        <v>25024</v>
      </c>
      <c r="Y28" s="86">
        <f>TrRoad_act!Y82</f>
        <v>24630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566075</v>
      </c>
      <c r="C30" s="54">
        <f>TrRoad_act!C111</f>
        <v>663654</v>
      </c>
      <c r="D30" s="54">
        <f>TrRoad_act!D111</f>
        <v>541328</v>
      </c>
      <c r="E30" s="54">
        <f>TrRoad_act!E111</f>
        <v>568631</v>
      </c>
      <c r="F30" s="54">
        <f>TrRoad_act!F111</f>
        <v>606078</v>
      </c>
      <c r="G30" s="54">
        <f>TrRoad_act!G111</f>
        <v>598973</v>
      </c>
      <c r="H30" s="54">
        <f>TrRoad_act!H111</f>
        <v>634593</v>
      </c>
      <c r="I30" s="54">
        <f>TrRoad_act!I111</f>
        <v>639058</v>
      </c>
      <c r="J30" s="54">
        <f>TrRoad_act!J111</f>
        <v>660300</v>
      </c>
      <c r="K30" s="54">
        <f>TrRoad_act!K111</f>
        <v>597165</v>
      </c>
      <c r="L30" s="54">
        <f>TrRoad_act!L111</f>
        <v>682442</v>
      </c>
      <c r="M30" s="54">
        <f>TrRoad_act!M111</f>
        <v>733038</v>
      </c>
      <c r="N30" s="54">
        <f>TrRoad_act!N111</f>
        <v>631852</v>
      </c>
      <c r="O30" s="54">
        <f>TrRoad_act!O111</f>
        <v>627650</v>
      </c>
      <c r="P30" s="54">
        <f>TrRoad_act!P111</f>
        <v>630186</v>
      </c>
      <c r="Q30" s="54">
        <f>TrRoad_act!Q111</f>
        <v>677708</v>
      </c>
      <c r="R30" s="54">
        <f>TrRoad_act!R111</f>
        <v>763677</v>
      </c>
      <c r="S30" s="54">
        <f>TrRoad_act!S111</f>
        <v>741785</v>
      </c>
      <c r="T30" s="54">
        <f>TrRoad_act!T111</f>
        <v>735277</v>
      </c>
      <c r="U30" s="54">
        <f>TrRoad_act!U111</f>
        <v>736663</v>
      </c>
      <c r="V30" s="54">
        <f>TrRoad_act!V111</f>
        <v>655524</v>
      </c>
      <c r="W30" s="54">
        <f>TrRoad_act!W111</f>
        <v>654724</v>
      </c>
      <c r="X30" s="54">
        <f>TrRoad_act!X111</f>
        <v>635573</v>
      </c>
      <c r="Y30" s="54">
        <f>TrRoad_act!Y111</f>
        <v>795148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564439</v>
      </c>
      <c r="C31" s="28">
        <f>TrRoad_act!C112</f>
        <v>540721</v>
      </c>
      <c r="D31" s="28">
        <f>TrRoad_act!D112</f>
        <v>503032</v>
      </c>
      <c r="E31" s="28">
        <f>TrRoad_act!E112</f>
        <v>492097</v>
      </c>
      <c r="F31" s="28">
        <f>TrRoad_act!F112</f>
        <v>521808</v>
      </c>
      <c r="G31" s="28">
        <f>TrRoad_act!G112</f>
        <v>522025</v>
      </c>
      <c r="H31" s="28">
        <f>TrRoad_act!H112</f>
        <v>567247</v>
      </c>
      <c r="I31" s="28">
        <f>TrRoad_act!I112</f>
        <v>569664</v>
      </c>
      <c r="J31" s="28">
        <f>TrRoad_act!J112</f>
        <v>577715</v>
      </c>
      <c r="K31" s="28">
        <f>TrRoad_act!K112</f>
        <v>515309</v>
      </c>
      <c r="L31" s="28">
        <f>TrRoad_act!L112</f>
        <v>590659</v>
      </c>
      <c r="M31" s="28">
        <f>TrRoad_act!M112</f>
        <v>627973</v>
      </c>
      <c r="N31" s="28">
        <f>TrRoad_act!N112</f>
        <v>537159</v>
      </c>
      <c r="O31" s="28">
        <f>TrRoad_act!O112</f>
        <v>524511</v>
      </c>
      <c r="P31" s="28">
        <f>TrRoad_act!P112</f>
        <v>534459</v>
      </c>
      <c r="Q31" s="28">
        <f>TrRoad_act!Q112</f>
        <v>575566</v>
      </c>
      <c r="R31" s="28">
        <f>TrRoad_act!R112</f>
        <v>689201</v>
      </c>
      <c r="S31" s="28">
        <f>TrRoad_act!S112</f>
        <v>659804</v>
      </c>
      <c r="T31" s="28">
        <f>TrRoad_act!T112</f>
        <v>642236</v>
      </c>
      <c r="U31" s="28">
        <f>TrRoad_act!U112</f>
        <v>638531</v>
      </c>
      <c r="V31" s="28">
        <f>TrRoad_act!V112</f>
        <v>570239</v>
      </c>
      <c r="W31" s="28">
        <f>TrRoad_act!W112</f>
        <v>570636</v>
      </c>
      <c r="X31" s="28">
        <f>TrRoad_act!X112</f>
        <v>567412</v>
      </c>
      <c r="Y31" s="28">
        <f>TrRoad_act!Y112</f>
        <v>712342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31649</v>
      </c>
      <c r="C32" s="137">
        <f>TrRoad_act!C113</f>
        <v>26536</v>
      </c>
      <c r="D32" s="137">
        <f>TrRoad_act!D113</f>
        <v>26879</v>
      </c>
      <c r="E32" s="137">
        <f>TrRoad_act!E113</f>
        <v>27780</v>
      </c>
      <c r="F32" s="137">
        <f>TrRoad_act!F113</f>
        <v>31319</v>
      </c>
      <c r="G32" s="137">
        <f>TrRoad_act!G113</f>
        <v>35465</v>
      </c>
      <c r="H32" s="137">
        <f>TrRoad_act!H113</f>
        <v>34086</v>
      </c>
      <c r="I32" s="137">
        <f>TrRoad_act!I113</f>
        <v>37664</v>
      </c>
      <c r="J32" s="137">
        <f>TrRoad_act!J113</f>
        <v>32991</v>
      </c>
      <c r="K32" s="137">
        <f>TrRoad_act!K113</f>
        <v>33029</v>
      </c>
      <c r="L32" s="137">
        <f>TrRoad_act!L113</f>
        <v>33036</v>
      </c>
      <c r="M32" s="137">
        <f>TrRoad_act!M113</f>
        <v>31309</v>
      </c>
      <c r="N32" s="137">
        <f>TrRoad_act!N113</f>
        <v>29285</v>
      </c>
      <c r="O32" s="137">
        <f>TrRoad_act!O113</f>
        <v>25805</v>
      </c>
      <c r="P32" s="137">
        <f>TrRoad_act!P113</f>
        <v>29224</v>
      </c>
      <c r="Q32" s="137">
        <f>TrRoad_act!Q113</f>
        <v>38603</v>
      </c>
      <c r="R32" s="137">
        <f>TrRoad_act!R113</f>
        <v>124188</v>
      </c>
      <c r="S32" s="137">
        <f>TrRoad_act!S113</f>
        <v>77295</v>
      </c>
      <c r="T32" s="137">
        <f>TrRoad_act!T113</f>
        <v>55136</v>
      </c>
      <c r="U32" s="137">
        <f>TrRoad_act!U113</f>
        <v>49095</v>
      </c>
      <c r="V32" s="137">
        <f>TrRoad_act!V113</f>
        <v>59649</v>
      </c>
      <c r="W32" s="137">
        <f>TrRoad_act!W113</f>
        <v>59403</v>
      </c>
      <c r="X32" s="137">
        <f>TrRoad_act!X113</f>
        <v>58406</v>
      </c>
      <c r="Y32" s="137">
        <f>TrRoad_act!Y113</f>
        <v>45539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531640</v>
      </c>
      <c r="C33" s="110">
        <f>TrRoad_act!C114</f>
        <v>512976</v>
      </c>
      <c r="D33" s="110">
        <f>TrRoad_act!D114</f>
        <v>474830</v>
      </c>
      <c r="E33" s="110">
        <f>TrRoad_act!E114</f>
        <v>463173</v>
      </c>
      <c r="F33" s="110">
        <f>TrRoad_act!F114</f>
        <v>489326</v>
      </c>
      <c r="G33" s="110">
        <f>TrRoad_act!G114</f>
        <v>485432</v>
      </c>
      <c r="H33" s="110">
        <f>TrRoad_act!H114</f>
        <v>531996</v>
      </c>
      <c r="I33" s="110">
        <f>TrRoad_act!I114</f>
        <v>530652</v>
      </c>
      <c r="J33" s="110">
        <f>TrRoad_act!J114</f>
        <v>543253</v>
      </c>
      <c r="K33" s="110">
        <f>TrRoad_act!K114</f>
        <v>481031</v>
      </c>
      <c r="L33" s="110">
        <f>TrRoad_act!L114</f>
        <v>556335</v>
      </c>
      <c r="M33" s="110">
        <f>TrRoad_act!M114</f>
        <v>595681</v>
      </c>
      <c r="N33" s="110">
        <f>TrRoad_act!N114</f>
        <v>506684</v>
      </c>
      <c r="O33" s="110">
        <f>TrRoad_act!O114</f>
        <v>497612</v>
      </c>
      <c r="P33" s="110">
        <f>TrRoad_act!P114</f>
        <v>503817</v>
      </c>
      <c r="Q33" s="110">
        <f>TrRoad_act!Q114</f>
        <v>535699</v>
      </c>
      <c r="R33" s="110">
        <f>TrRoad_act!R114</f>
        <v>563941</v>
      </c>
      <c r="S33" s="110">
        <f>TrRoad_act!S114</f>
        <v>581380</v>
      </c>
      <c r="T33" s="110">
        <f>TrRoad_act!T114</f>
        <v>585782</v>
      </c>
      <c r="U33" s="110">
        <f>TrRoad_act!U114</f>
        <v>587870</v>
      </c>
      <c r="V33" s="110">
        <f>TrRoad_act!V114</f>
        <v>509261</v>
      </c>
      <c r="W33" s="110">
        <f>TrRoad_act!W114</f>
        <v>509608</v>
      </c>
      <c r="X33" s="110">
        <f>TrRoad_act!X114</f>
        <v>507504</v>
      </c>
      <c r="Y33" s="110">
        <f>TrRoad_act!Y114</f>
        <v>665313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232786</v>
      </c>
      <c r="C34" s="84">
        <f>TrRoad_act!C115</f>
        <v>186329</v>
      </c>
      <c r="D34" s="84">
        <f>TrRoad_act!D115</f>
        <v>168334</v>
      </c>
      <c r="E34" s="84">
        <f>TrRoad_act!E115</f>
        <v>146753</v>
      </c>
      <c r="F34" s="84">
        <f>TrRoad_act!F115</f>
        <v>146346</v>
      </c>
      <c r="G34" s="84">
        <f>TrRoad_act!G115</f>
        <v>132688</v>
      </c>
      <c r="H34" s="84">
        <f>TrRoad_act!H115</f>
        <v>135282</v>
      </c>
      <c r="I34" s="84">
        <f>TrRoad_act!I115</f>
        <v>122028</v>
      </c>
      <c r="J34" s="84">
        <f>TrRoad_act!J115</f>
        <v>115850</v>
      </c>
      <c r="K34" s="84">
        <f>TrRoad_act!K115</f>
        <v>119093</v>
      </c>
      <c r="L34" s="84">
        <f>TrRoad_act!L115</f>
        <v>134553</v>
      </c>
      <c r="M34" s="84">
        <f>TrRoad_act!M115</f>
        <v>147172</v>
      </c>
      <c r="N34" s="84">
        <f>TrRoad_act!N115</f>
        <v>157126</v>
      </c>
      <c r="O34" s="84">
        <f>TrRoad_act!O115</f>
        <v>175212</v>
      </c>
      <c r="P34" s="84">
        <f>TrRoad_act!P115</f>
        <v>189188</v>
      </c>
      <c r="Q34" s="84">
        <f>TrRoad_act!Q115</f>
        <v>205116</v>
      </c>
      <c r="R34" s="84">
        <f>TrRoad_act!R115</f>
        <v>266080</v>
      </c>
      <c r="S34" s="84">
        <f>TrRoad_act!S115</f>
        <v>302397</v>
      </c>
      <c r="T34" s="84">
        <f>TrRoad_act!T115</f>
        <v>363455</v>
      </c>
      <c r="U34" s="84">
        <f>TrRoad_act!U115</f>
        <v>385352</v>
      </c>
      <c r="V34" s="84">
        <f>TrRoad_act!V115</f>
        <v>295600</v>
      </c>
      <c r="W34" s="84">
        <f>TrRoad_act!W115</f>
        <v>315972</v>
      </c>
      <c r="X34" s="84">
        <f>TrRoad_act!X115</f>
        <v>325990</v>
      </c>
      <c r="Y34" s="84">
        <f>TrRoad_act!Y115</f>
        <v>409547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298854</v>
      </c>
      <c r="C35" s="84">
        <f>TrRoad_act!C116</f>
        <v>313647</v>
      </c>
      <c r="D35" s="84">
        <f>TrRoad_act!D116</f>
        <v>304496</v>
      </c>
      <c r="E35" s="84">
        <f>TrRoad_act!E116</f>
        <v>316420</v>
      </c>
      <c r="F35" s="84">
        <f>TrRoad_act!F116</f>
        <v>342760</v>
      </c>
      <c r="G35" s="84">
        <f>TrRoad_act!G116</f>
        <v>352380</v>
      </c>
      <c r="H35" s="84">
        <f>TrRoad_act!H116</f>
        <v>396234</v>
      </c>
      <c r="I35" s="84">
        <f>TrRoad_act!I116</f>
        <v>408255</v>
      </c>
      <c r="J35" s="84">
        <f>TrRoad_act!J116</f>
        <v>426992</v>
      </c>
      <c r="K35" s="84">
        <f>TrRoad_act!K116</f>
        <v>361638</v>
      </c>
      <c r="L35" s="84">
        <f>TrRoad_act!L116</f>
        <v>421479</v>
      </c>
      <c r="M35" s="84">
        <f>TrRoad_act!M116</f>
        <v>439209</v>
      </c>
      <c r="N35" s="84">
        <f>TrRoad_act!N116</f>
        <v>342081</v>
      </c>
      <c r="O35" s="84">
        <f>TrRoad_act!O116</f>
        <v>320520</v>
      </c>
      <c r="P35" s="84">
        <f>TrRoad_act!P116</f>
        <v>304090</v>
      </c>
      <c r="Q35" s="84">
        <f>TrRoad_act!Q116</f>
        <v>306105</v>
      </c>
      <c r="R35" s="84">
        <f>TrRoad_act!R116</f>
        <v>286099</v>
      </c>
      <c r="S35" s="84">
        <f>TrRoad_act!S116</f>
        <v>260543</v>
      </c>
      <c r="T35" s="84">
        <f>TrRoad_act!T116</f>
        <v>202864</v>
      </c>
      <c r="U35" s="84">
        <f>TrRoad_act!U116</f>
        <v>180351</v>
      </c>
      <c r="V35" s="84">
        <f>TrRoad_act!V116</f>
        <v>161292</v>
      </c>
      <c r="W35" s="84">
        <f>TrRoad_act!W116</f>
        <v>118890</v>
      </c>
      <c r="X35" s="84">
        <f>TrRoad_act!X116</f>
        <v>80271</v>
      </c>
      <c r="Y35" s="84">
        <f>TrRoad_act!Y116</f>
        <v>58296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13000</v>
      </c>
      <c r="D36" s="84">
        <f>TrRoad_act!D117</f>
        <v>2000</v>
      </c>
      <c r="E36" s="84">
        <f>TrRoad_act!E117</f>
        <v>0</v>
      </c>
      <c r="F36" s="84">
        <f>TrRoad_act!F117</f>
        <v>0</v>
      </c>
      <c r="G36" s="84">
        <f>TrRoad_act!G117</f>
        <v>326</v>
      </c>
      <c r="H36" s="84">
        <f>TrRoad_act!H117</f>
        <v>476</v>
      </c>
      <c r="I36" s="84">
        <f>TrRoad_act!I117</f>
        <v>368</v>
      </c>
      <c r="J36" s="84">
        <f>TrRoad_act!J117</f>
        <v>402</v>
      </c>
      <c r="K36" s="84">
        <f>TrRoad_act!K117</f>
        <v>296</v>
      </c>
      <c r="L36" s="84">
        <f>TrRoad_act!L117</f>
        <v>249</v>
      </c>
      <c r="M36" s="84">
        <f>TrRoad_act!M117</f>
        <v>8978</v>
      </c>
      <c r="N36" s="84">
        <f>TrRoad_act!N117</f>
        <v>6509</v>
      </c>
      <c r="O36" s="84">
        <f>TrRoad_act!O117</f>
        <v>1066</v>
      </c>
      <c r="P36" s="84">
        <f>TrRoad_act!P117</f>
        <v>7475</v>
      </c>
      <c r="Q36" s="84">
        <f>TrRoad_act!Q117</f>
        <v>18985</v>
      </c>
      <c r="R36" s="84">
        <f>TrRoad_act!R117</f>
        <v>76</v>
      </c>
      <c r="S36" s="84">
        <f>TrRoad_act!S117</f>
        <v>84</v>
      </c>
      <c r="T36" s="84">
        <f>TrRoad_act!T117</f>
        <v>51</v>
      </c>
      <c r="U36" s="84">
        <f>TrRoad_act!U117</f>
        <v>165</v>
      </c>
      <c r="V36" s="84">
        <f>TrRoad_act!V117</f>
        <v>987</v>
      </c>
      <c r="W36" s="84">
        <f>TrRoad_act!W117</f>
        <v>2084</v>
      </c>
      <c r="X36" s="84">
        <f>TrRoad_act!X117</f>
        <v>2462</v>
      </c>
      <c r="Y36" s="84">
        <f>TrRoad_act!Y117</f>
        <v>3461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220</v>
      </c>
      <c r="G37" s="84">
        <f>TrRoad_act!G118</f>
        <v>38</v>
      </c>
      <c r="H37" s="84">
        <f>TrRoad_act!H118</f>
        <v>4</v>
      </c>
      <c r="I37" s="84">
        <f>TrRoad_act!I118</f>
        <v>1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18</v>
      </c>
      <c r="N37" s="84">
        <f>TrRoad_act!N118</f>
        <v>57</v>
      </c>
      <c r="O37" s="84">
        <f>TrRoad_act!O118</f>
        <v>146</v>
      </c>
      <c r="P37" s="84">
        <f>TrRoad_act!P118</f>
        <v>925</v>
      </c>
      <c r="Q37" s="84">
        <f>TrRoad_act!Q118</f>
        <v>941</v>
      </c>
      <c r="R37" s="84">
        <f>TrRoad_act!R118</f>
        <v>2146</v>
      </c>
      <c r="S37" s="84">
        <f>TrRoad_act!S118</f>
        <v>2502</v>
      </c>
      <c r="T37" s="84">
        <f>TrRoad_act!T118</f>
        <v>4639</v>
      </c>
      <c r="U37" s="84">
        <f>TrRoad_act!U118</f>
        <v>4128</v>
      </c>
      <c r="V37" s="84">
        <f>TrRoad_act!V118</f>
        <v>3332</v>
      </c>
      <c r="W37" s="84">
        <f>TrRoad_act!W118</f>
        <v>1212</v>
      </c>
      <c r="X37" s="84">
        <f>TrRoad_act!X118</f>
        <v>425</v>
      </c>
      <c r="Y37" s="84">
        <f>TrRoad_act!Y118</f>
        <v>98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16</v>
      </c>
      <c r="N38" s="84">
        <f>TrRoad_act!N119</f>
        <v>326</v>
      </c>
      <c r="O38" s="84">
        <f>TrRoad_act!O119</f>
        <v>167</v>
      </c>
      <c r="P38" s="84">
        <f>TrRoad_act!P119</f>
        <v>800</v>
      </c>
      <c r="Q38" s="84">
        <f>TrRoad_act!Q119</f>
        <v>2939</v>
      </c>
      <c r="R38" s="84">
        <f>TrRoad_act!R119</f>
        <v>7324</v>
      </c>
      <c r="S38" s="84">
        <f>TrRoad_act!S119</f>
        <v>11651</v>
      </c>
      <c r="T38" s="84">
        <f>TrRoad_act!T119</f>
        <v>10732</v>
      </c>
      <c r="U38" s="84">
        <f>TrRoad_act!U119</f>
        <v>8982</v>
      </c>
      <c r="V38" s="84">
        <f>TrRoad_act!V119</f>
        <v>33006</v>
      </c>
      <c r="W38" s="84">
        <f>TrRoad_act!W119</f>
        <v>48676</v>
      </c>
      <c r="X38" s="84">
        <f>TrRoad_act!X119</f>
        <v>60541</v>
      </c>
      <c r="Y38" s="84">
        <f>TrRoad_act!Y119</f>
        <v>100429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9</v>
      </c>
      <c r="K39" s="84">
        <f>TrRoad_act!K120</f>
        <v>4</v>
      </c>
      <c r="L39" s="84">
        <f>TrRoad_act!L120</f>
        <v>54</v>
      </c>
      <c r="M39" s="84">
        <f>TrRoad_act!M120</f>
        <v>288</v>
      </c>
      <c r="N39" s="84">
        <f>TrRoad_act!N120</f>
        <v>585</v>
      </c>
      <c r="O39" s="84">
        <f>TrRoad_act!O120</f>
        <v>501</v>
      </c>
      <c r="P39" s="84">
        <f>TrRoad_act!P120</f>
        <v>1339</v>
      </c>
      <c r="Q39" s="84">
        <f>TrRoad_act!Q120</f>
        <v>1613</v>
      </c>
      <c r="R39" s="84">
        <f>TrRoad_act!R120</f>
        <v>2216</v>
      </c>
      <c r="S39" s="84">
        <f>TrRoad_act!S120</f>
        <v>4203</v>
      </c>
      <c r="T39" s="84">
        <f>TrRoad_act!T120</f>
        <v>4041</v>
      </c>
      <c r="U39" s="84">
        <f>TrRoad_act!U120</f>
        <v>8892</v>
      </c>
      <c r="V39" s="84">
        <f>TrRoad_act!V120</f>
        <v>15044</v>
      </c>
      <c r="W39" s="84">
        <f>TrRoad_act!W120</f>
        <v>22774</v>
      </c>
      <c r="X39" s="84">
        <f>TrRoad_act!X120</f>
        <v>37815</v>
      </c>
      <c r="Y39" s="84">
        <f>TrRoad_act!Y120</f>
        <v>93482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1150</v>
      </c>
      <c r="C40" s="110">
        <f>TrRoad_act!C121</f>
        <v>1209</v>
      </c>
      <c r="D40" s="110">
        <f>TrRoad_act!D121</f>
        <v>1323</v>
      </c>
      <c r="E40" s="110">
        <f>TrRoad_act!E121</f>
        <v>1144</v>
      </c>
      <c r="F40" s="110">
        <f>TrRoad_act!F121</f>
        <v>1163</v>
      </c>
      <c r="G40" s="110">
        <f>TrRoad_act!G121</f>
        <v>1128</v>
      </c>
      <c r="H40" s="110">
        <f>TrRoad_act!H121</f>
        <v>1165</v>
      </c>
      <c r="I40" s="110">
        <f>TrRoad_act!I121</f>
        <v>1348</v>
      </c>
      <c r="J40" s="110">
        <f>TrRoad_act!J121</f>
        <v>1471</v>
      </c>
      <c r="K40" s="110">
        <f>TrRoad_act!K121</f>
        <v>1249</v>
      </c>
      <c r="L40" s="110">
        <f>TrRoad_act!L121</f>
        <v>1288</v>
      </c>
      <c r="M40" s="110">
        <f>TrRoad_act!M121</f>
        <v>983</v>
      </c>
      <c r="N40" s="110">
        <f>TrRoad_act!N121</f>
        <v>1190</v>
      </c>
      <c r="O40" s="110">
        <f>TrRoad_act!O121</f>
        <v>1094</v>
      </c>
      <c r="P40" s="110">
        <f>TrRoad_act!P121</f>
        <v>1418</v>
      </c>
      <c r="Q40" s="110">
        <f>TrRoad_act!Q121</f>
        <v>1264</v>
      </c>
      <c r="R40" s="110">
        <f>TrRoad_act!R121</f>
        <v>1072</v>
      </c>
      <c r="S40" s="110">
        <f>TrRoad_act!S121</f>
        <v>1129</v>
      </c>
      <c r="T40" s="110">
        <f>TrRoad_act!T121</f>
        <v>1318</v>
      </c>
      <c r="U40" s="110">
        <f>TrRoad_act!U121</f>
        <v>1566</v>
      </c>
      <c r="V40" s="110">
        <f>TrRoad_act!V121</f>
        <v>1329</v>
      </c>
      <c r="W40" s="110">
        <f>TrRoad_act!W121</f>
        <v>1625</v>
      </c>
      <c r="X40" s="110">
        <f>TrRoad_act!X121</f>
        <v>1502</v>
      </c>
      <c r="Y40" s="110">
        <f>TrRoad_act!Y121</f>
        <v>1490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1</v>
      </c>
      <c r="L41" s="102">
        <f>TrRoad_act!L122</f>
        <v>2</v>
      </c>
      <c r="M41" s="102">
        <f>TrRoad_act!M122</f>
        <v>2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1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1150</v>
      </c>
      <c r="C42" s="102">
        <f>TrRoad_act!C123</f>
        <v>1209</v>
      </c>
      <c r="D42" s="102">
        <f>TrRoad_act!D123</f>
        <v>1323</v>
      </c>
      <c r="E42" s="102">
        <f>TrRoad_act!E123</f>
        <v>1144</v>
      </c>
      <c r="F42" s="102">
        <f>TrRoad_act!F123</f>
        <v>1163</v>
      </c>
      <c r="G42" s="102">
        <f>TrRoad_act!G123</f>
        <v>1109</v>
      </c>
      <c r="H42" s="102">
        <f>TrRoad_act!H123</f>
        <v>1165</v>
      </c>
      <c r="I42" s="102">
        <f>TrRoad_act!I123</f>
        <v>1348</v>
      </c>
      <c r="J42" s="102">
        <f>TrRoad_act!J123</f>
        <v>1471</v>
      </c>
      <c r="K42" s="102">
        <f>TrRoad_act!K123</f>
        <v>1248</v>
      </c>
      <c r="L42" s="102">
        <f>TrRoad_act!L123</f>
        <v>1286</v>
      </c>
      <c r="M42" s="102">
        <f>TrRoad_act!M123</f>
        <v>981</v>
      </c>
      <c r="N42" s="102">
        <f>TrRoad_act!N123</f>
        <v>1190</v>
      </c>
      <c r="O42" s="102">
        <f>TrRoad_act!O123</f>
        <v>1088</v>
      </c>
      <c r="P42" s="102">
        <f>TrRoad_act!P123</f>
        <v>1415</v>
      </c>
      <c r="Q42" s="102">
        <f>TrRoad_act!Q123</f>
        <v>1263</v>
      </c>
      <c r="R42" s="102">
        <f>TrRoad_act!R123</f>
        <v>1069</v>
      </c>
      <c r="S42" s="102">
        <f>TrRoad_act!S123</f>
        <v>1127</v>
      </c>
      <c r="T42" s="102">
        <f>TrRoad_act!T123</f>
        <v>1279</v>
      </c>
      <c r="U42" s="102">
        <f>TrRoad_act!U123</f>
        <v>1526</v>
      </c>
      <c r="V42" s="102">
        <f>TrRoad_act!V123</f>
        <v>1299</v>
      </c>
      <c r="W42" s="102">
        <f>TrRoad_act!W123</f>
        <v>1479</v>
      </c>
      <c r="X42" s="102">
        <f>TrRoad_act!X123</f>
        <v>1427</v>
      </c>
      <c r="Y42" s="102">
        <f>TrRoad_act!Y123</f>
        <v>1267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6</v>
      </c>
      <c r="P44" s="102">
        <f>TrRoad_act!P125</f>
        <v>0</v>
      </c>
      <c r="Q44" s="102">
        <f>TrRoad_act!Q125</f>
        <v>0</v>
      </c>
      <c r="R44" s="102">
        <f>TrRoad_act!R125</f>
        <v>2</v>
      </c>
      <c r="S44" s="102">
        <f>TrRoad_act!S125</f>
        <v>2</v>
      </c>
      <c r="T44" s="102">
        <f>TrRoad_act!T125</f>
        <v>18</v>
      </c>
      <c r="U44" s="102">
        <f>TrRoad_act!U125</f>
        <v>2</v>
      </c>
      <c r="V44" s="102">
        <f>TrRoad_act!V125</f>
        <v>13</v>
      </c>
      <c r="W44" s="102">
        <f>TrRoad_act!W125</f>
        <v>115</v>
      </c>
      <c r="X44" s="102">
        <f>TrRoad_act!X125</f>
        <v>29</v>
      </c>
      <c r="Y44" s="102">
        <f>TrRoad_act!Y125</f>
        <v>1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19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3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21</v>
      </c>
      <c r="U45" s="102">
        <f>TrRoad_act!U126</f>
        <v>38</v>
      </c>
      <c r="V45" s="102">
        <f>TrRoad_act!V126</f>
        <v>17</v>
      </c>
      <c r="W45" s="102">
        <f>TrRoad_act!W126</f>
        <v>31</v>
      </c>
      <c r="X45" s="102">
        <f>TrRoad_act!X126</f>
        <v>46</v>
      </c>
      <c r="Y45" s="102">
        <f>TrRoad_act!Y126</f>
        <v>222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1636</v>
      </c>
      <c r="C46" s="28">
        <f>TrRoad_act!C127</f>
        <v>122933</v>
      </c>
      <c r="D46" s="28">
        <f>TrRoad_act!D127</f>
        <v>38296</v>
      </c>
      <c r="E46" s="28">
        <f>TrRoad_act!E127</f>
        <v>76534</v>
      </c>
      <c r="F46" s="28">
        <f>TrRoad_act!F127</f>
        <v>84270</v>
      </c>
      <c r="G46" s="28">
        <f>TrRoad_act!G127</f>
        <v>76948</v>
      </c>
      <c r="H46" s="28">
        <f>TrRoad_act!H127</f>
        <v>67346</v>
      </c>
      <c r="I46" s="28">
        <f>TrRoad_act!I127</f>
        <v>69394</v>
      </c>
      <c r="J46" s="28">
        <f>TrRoad_act!J127</f>
        <v>82585</v>
      </c>
      <c r="K46" s="28">
        <f>TrRoad_act!K127</f>
        <v>81856</v>
      </c>
      <c r="L46" s="28">
        <f>TrRoad_act!L127</f>
        <v>91783</v>
      </c>
      <c r="M46" s="28">
        <f>TrRoad_act!M127</f>
        <v>105065</v>
      </c>
      <c r="N46" s="28">
        <f>TrRoad_act!N127</f>
        <v>94693</v>
      </c>
      <c r="O46" s="28">
        <f>TrRoad_act!O127</f>
        <v>103139</v>
      </c>
      <c r="P46" s="28">
        <f>TrRoad_act!P127</f>
        <v>95727</v>
      </c>
      <c r="Q46" s="28">
        <f>TrRoad_act!Q127</f>
        <v>102142</v>
      </c>
      <c r="R46" s="28">
        <f>TrRoad_act!R127</f>
        <v>74476</v>
      </c>
      <c r="S46" s="28">
        <f>TrRoad_act!S127</f>
        <v>81981</v>
      </c>
      <c r="T46" s="28">
        <f>TrRoad_act!T127</f>
        <v>93041</v>
      </c>
      <c r="U46" s="28">
        <f>TrRoad_act!U127</f>
        <v>98132</v>
      </c>
      <c r="V46" s="28">
        <f>TrRoad_act!V127</f>
        <v>85285</v>
      </c>
      <c r="W46" s="28">
        <f>TrRoad_act!W127</f>
        <v>84088</v>
      </c>
      <c r="X46" s="28">
        <f>TrRoad_act!X127</f>
        <v>68161</v>
      </c>
      <c r="Y46" s="28">
        <f>TrRoad_act!Y127</f>
        <v>82806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79843</v>
      </c>
      <c r="D47" s="137">
        <f>TrRoad_act!D128</f>
        <v>34229</v>
      </c>
      <c r="E47" s="137">
        <f>TrRoad_act!E128</f>
        <v>68577</v>
      </c>
      <c r="F47" s="137">
        <f>TrRoad_act!F128</f>
        <v>71515</v>
      </c>
      <c r="G47" s="137">
        <f>TrRoad_act!G128</f>
        <v>66152</v>
      </c>
      <c r="H47" s="137">
        <f>TrRoad_act!H128</f>
        <v>57676</v>
      </c>
      <c r="I47" s="137">
        <f>TrRoad_act!I128</f>
        <v>59041</v>
      </c>
      <c r="J47" s="137">
        <f>TrRoad_act!J128</f>
        <v>66577</v>
      </c>
      <c r="K47" s="137">
        <f>TrRoad_act!K128</f>
        <v>73867</v>
      </c>
      <c r="L47" s="137">
        <f>TrRoad_act!L128</f>
        <v>85572</v>
      </c>
      <c r="M47" s="137">
        <f>TrRoad_act!M128</f>
        <v>82246</v>
      </c>
      <c r="N47" s="137">
        <f>TrRoad_act!N128</f>
        <v>85552</v>
      </c>
      <c r="O47" s="137">
        <f>TrRoad_act!O128</f>
        <v>87746</v>
      </c>
      <c r="P47" s="137">
        <f>TrRoad_act!P128</f>
        <v>80530</v>
      </c>
      <c r="Q47" s="137">
        <f>TrRoad_act!Q128</f>
        <v>76103</v>
      </c>
      <c r="R47" s="137">
        <f>TrRoad_act!R128</f>
        <v>69334</v>
      </c>
      <c r="S47" s="137">
        <f>TrRoad_act!S128</f>
        <v>77526</v>
      </c>
      <c r="T47" s="137">
        <f>TrRoad_act!T128</f>
        <v>79520</v>
      </c>
      <c r="U47" s="137">
        <f>TrRoad_act!U128</f>
        <v>83062</v>
      </c>
      <c r="V47" s="137">
        <f>TrRoad_act!V128</f>
        <v>73919</v>
      </c>
      <c r="W47" s="137">
        <f>TrRoad_act!W128</f>
        <v>71241</v>
      </c>
      <c r="X47" s="137">
        <f>TrRoad_act!X128</f>
        <v>55936</v>
      </c>
      <c r="Y47" s="137">
        <f>TrRoad_act!Y128</f>
        <v>68854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4745</v>
      </c>
      <c r="D48" s="84">
        <f>TrRoad_act!D129</f>
        <v>4698</v>
      </c>
      <c r="E48" s="84">
        <f>TrRoad_act!E129</f>
        <v>4213</v>
      </c>
      <c r="F48" s="84">
        <f>TrRoad_act!F129</f>
        <v>3557</v>
      </c>
      <c r="G48" s="84">
        <f>TrRoad_act!G129</f>
        <v>2503</v>
      </c>
      <c r="H48" s="84">
        <f>TrRoad_act!H129</f>
        <v>684</v>
      </c>
      <c r="I48" s="84">
        <f>TrRoad_act!I129</f>
        <v>871</v>
      </c>
      <c r="J48" s="84">
        <f>TrRoad_act!J129</f>
        <v>4034</v>
      </c>
      <c r="K48" s="84">
        <f>TrRoad_act!K129</f>
        <v>3368</v>
      </c>
      <c r="L48" s="84">
        <f>TrRoad_act!L129</f>
        <v>3906</v>
      </c>
      <c r="M48" s="84">
        <f>TrRoad_act!M129</f>
        <v>2456</v>
      </c>
      <c r="N48" s="84">
        <f>TrRoad_act!N129</f>
        <v>2442</v>
      </c>
      <c r="O48" s="84">
        <f>TrRoad_act!O129</f>
        <v>1686</v>
      </c>
      <c r="P48" s="84">
        <f>TrRoad_act!P129</f>
        <v>1357</v>
      </c>
      <c r="Q48" s="84">
        <f>TrRoad_act!Q129</f>
        <v>1821</v>
      </c>
      <c r="R48" s="84">
        <f>TrRoad_act!R129</f>
        <v>3022</v>
      </c>
      <c r="S48" s="84">
        <f>TrRoad_act!S129</f>
        <v>4273</v>
      </c>
      <c r="T48" s="84">
        <f>TrRoad_act!T129</f>
        <v>7073</v>
      </c>
      <c r="U48" s="84">
        <f>TrRoad_act!U129</f>
        <v>5495</v>
      </c>
      <c r="V48" s="84">
        <f>TrRoad_act!V129</f>
        <v>3635</v>
      </c>
      <c r="W48" s="84">
        <f>TrRoad_act!W129</f>
        <v>3814</v>
      </c>
      <c r="X48" s="84">
        <f>TrRoad_act!X129</f>
        <v>3694</v>
      </c>
      <c r="Y48" s="84">
        <f>TrRoad_act!Y129</f>
        <v>4676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68891</v>
      </c>
      <c r="D49" s="84">
        <f>TrRoad_act!D130</f>
        <v>28089</v>
      </c>
      <c r="E49" s="84">
        <f>TrRoad_act!E130</f>
        <v>63536</v>
      </c>
      <c r="F49" s="84">
        <f>TrRoad_act!F130</f>
        <v>65575</v>
      </c>
      <c r="G49" s="84">
        <f>TrRoad_act!G130</f>
        <v>61821</v>
      </c>
      <c r="H49" s="84">
        <f>TrRoad_act!H130</f>
        <v>54993</v>
      </c>
      <c r="I49" s="84">
        <f>TrRoad_act!I130</f>
        <v>57829</v>
      </c>
      <c r="J49" s="84">
        <f>TrRoad_act!J130</f>
        <v>60414</v>
      </c>
      <c r="K49" s="84">
        <f>TrRoad_act!K130</f>
        <v>68462</v>
      </c>
      <c r="L49" s="84">
        <f>TrRoad_act!L130</f>
        <v>79855</v>
      </c>
      <c r="M49" s="84">
        <f>TrRoad_act!M130</f>
        <v>76184</v>
      </c>
      <c r="N49" s="84">
        <f>TrRoad_act!N130</f>
        <v>80622</v>
      </c>
      <c r="O49" s="84">
        <f>TrRoad_act!O130</f>
        <v>85881</v>
      </c>
      <c r="P49" s="84">
        <f>TrRoad_act!P130</f>
        <v>78869</v>
      </c>
      <c r="Q49" s="84">
        <f>TrRoad_act!Q130</f>
        <v>73899</v>
      </c>
      <c r="R49" s="84">
        <f>TrRoad_act!R130</f>
        <v>65717</v>
      </c>
      <c r="S49" s="84">
        <f>TrRoad_act!S130</f>
        <v>72447</v>
      </c>
      <c r="T49" s="84">
        <f>TrRoad_act!T130</f>
        <v>71285</v>
      </c>
      <c r="U49" s="84">
        <f>TrRoad_act!U130</f>
        <v>75867</v>
      </c>
      <c r="V49" s="84">
        <f>TrRoad_act!V130</f>
        <v>68082</v>
      </c>
      <c r="W49" s="84">
        <f>TrRoad_act!W130</f>
        <v>65810</v>
      </c>
      <c r="X49" s="84">
        <f>TrRoad_act!X130</f>
        <v>49886</v>
      </c>
      <c r="Y49" s="84">
        <f>TrRoad_act!Y130</f>
        <v>60490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6207</v>
      </c>
      <c r="D50" s="84">
        <f>TrRoad_act!D131</f>
        <v>1442</v>
      </c>
      <c r="E50" s="84">
        <f>TrRoad_act!E131</f>
        <v>828</v>
      </c>
      <c r="F50" s="84">
        <f>TrRoad_act!F131</f>
        <v>2383</v>
      </c>
      <c r="G50" s="84">
        <f>TrRoad_act!G131</f>
        <v>1828</v>
      </c>
      <c r="H50" s="84">
        <f>TrRoad_act!H131</f>
        <v>1999</v>
      </c>
      <c r="I50" s="84">
        <f>TrRoad_act!I131</f>
        <v>341</v>
      </c>
      <c r="J50" s="84">
        <f>TrRoad_act!J131</f>
        <v>2012</v>
      </c>
      <c r="K50" s="84">
        <f>TrRoad_act!K131</f>
        <v>2014</v>
      </c>
      <c r="L50" s="84">
        <f>TrRoad_act!L131</f>
        <v>1792</v>
      </c>
      <c r="M50" s="84">
        <f>TrRoad_act!M131</f>
        <v>3590</v>
      </c>
      <c r="N50" s="84">
        <f>TrRoad_act!N131</f>
        <v>2104</v>
      </c>
      <c r="O50" s="84">
        <f>TrRoad_act!O131</f>
        <v>11</v>
      </c>
      <c r="P50" s="84">
        <f>TrRoad_act!P131</f>
        <v>30</v>
      </c>
      <c r="Q50" s="84">
        <f>TrRoad_act!Q131</f>
        <v>12</v>
      </c>
      <c r="R50" s="84">
        <f>TrRoad_act!R131</f>
        <v>4</v>
      </c>
      <c r="S50" s="84">
        <f>TrRoad_act!S131</f>
        <v>5</v>
      </c>
      <c r="T50" s="84">
        <f>TrRoad_act!T131</f>
        <v>9</v>
      </c>
      <c r="U50" s="84">
        <f>TrRoad_act!U131</f>
        <v>6</v>
      </c>
      <c r="V50" s="84">
        <f>TrRoad_act!V131</f>
        <v>767</v>
      </c>
      <c r="W50" s="84">
        <f>TrRoad_act!W131</f>
        <v>251</v>
      </c>
      <c r="X50" s="84">
        <f>TrRoad_act!X131</f>
        <v>246</v>
      </c>
      <c r="Y50" s="84">
        <f>TrRoad_act!Y131</f>
        <v>308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59</v>
      </c>
      <c r="K51" s="84">
        <f>TrRoad_act!K132</f>
        <v>20</v>
      </c>
      <c r="L51" s="84">
        <f>TrRoad_act!L132</f>
        <v>18</v>
      </c>
      <c r="M51" s="84">
        <f>TrRoad_act!M132</f>
        <v>0</v>
      </c>
      <c r="N51" s="84">
        <f>TrRoad_act!N132</f>
        <v>131</v>
      </c>
      <c r="O51" s="84">
        <f>TrRoad_act!O132</f>
        <v>62</v>
      </c>
      <c r="P51" s="84">
        <f>TrRoad_act!P132</f>
        <v>180</v>
      </c>
      <c r="Q51" s="84">
        <f>TrRoad_act!Q132</f>
        <v>302</v>
      </c>
      <c r="R51" s="84">
        <f>TrRoad_act!R132</f>
        <v>418</v>
      </c>
      <c r="S51" s="84">
        <f>TrRoad_act!S132</f>
        <v>619</v>
      </c>
      <c r="T51" s="84">
        <f>TrRoad_act!T132</f>
        <v>894</v>
      </c>
      <c r="U51" s="84">
        <f>TrRoad_act!U132</f>
        <v>1284</v>
      </c>
      <c r="V51" s="84">
        <f>TrRoad_act!V132</f>
        <v>979</v>
      </c>
      <c r="W51" s="84">
        <f>TrRoad_act!W132</f>
        <v>660</v>
      </c>
      <c r="X51" s="84">
        <f>TrRoad_act!X132</f>
        <v>295</v>
      </c>
      <c r="Y51" s="84">
        <f>TrRoad_act!Y132</f>
        <v>330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58</v>
      </c>
      <c r="K52" s="84">
        <f>TrRoad_act!K133</f>
        <v>3</v>
      </c>
      <c r="L52" s="84">
        <f>TrRoad_act!L133</f>
        <v>1</v>
      </c>
      <c r="M52" s="84">
        <f>TrRoad_act!M133</f>
        <v>16</v>
      </c>
      <c r="N52" s="84">
        <f>TrRoad_act!N133</f>
        <v>253</v>
      </c>
      <c r="O52" s="84">
        <f>TrRoad_act!O133</f>
        <v>106</v>
      </c>
      <c r="P52" s="84">
        <f>TrRoad_act!P133</f>
        <v>94</v>
      </c>
      <c r="Q52" s="84">
        <f>TrRoad_act!Q133</f>
        <v>69</v>
      </c>
      <c r="R52" s="84">
        <f>TrRoad_act!R133</f>
        <v>173</v>
      </c>
      <c r="S52" s="84">
        <f>TrRoad_act!S133</f>
        <v>182</v>
      </c>
      <c r="T52" s="84">
        <f>TrRoad_act!T133</f>
        <v>259</v>
      </c>
      <c r="U52" s="84">
        <f>TrRoad_act!U133</f>
        <v>410</v>
      </c>
      <c r="V52" s="84">
        <f>TrRoad_act!V133</f>
        <v>456</v>
      </c>
      <c r="W52" s="84">
        <f>TrRoad_act!W133</f>
        <v>706</v>
      </c>
      <c r="X52" s="84">
        <f>TrRoad_act!X133</f>
        <v>1815</v>
      </c>
      <c r="Y52" s="84">
        <f>TrRoad_act!Y133</f>
        <v>3050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1636</v>
      </c>
      <c r="C53" s="110">
        <f>TrRoad_act!C134</f>
        <v>43090</v>
      </c>
      <c r="D53" s="110">
        <f>TrRoad_act!D134</f>
        <v>4067</v>
      </c>
      <c r="E53" s="110">
        <f>TrRoad_act!E134</f>
        <v>7957</v>
      </c>
      <c r="F53" s="110">
        <f>TrRoad_act!F134</f>
        <v>12755</v>
      </c>
      <c r="G53" s="110">
        <f>TrRoad_act!G134</f>
        <v>10796</v>
      </c>
      <c r="H53" s="110">
        <f>TrRoad_act!H134</f>
        <v>9670</v>
      </c>
      <c r="I53" s="110">
        <f>TrRoad_act!I134</f>
        <v>10353</v>
      </c>
      <c r="J53" s="110">
        <f>TrRoad_act!J134</f>
        <v>16008</v>
      </c>
      <c r="K53" s="110">
        <f>TrRoad_act!K134</f>
        <v>7989</v>
      </c>
      <c r="L53" s="110">
        <f>TrRoad_act!L134</f>
        <v>6211</v>
      </c>
      <c r="M53" s="110">
        <f>TrRoad_act!M134</f>
        <v>22819</v>
      </c>
      <c r="N53" s="110">
        <f>TrRoad_act!N134</f>
        <v>9141</v>
      </c>
      <c r="O53" s="110">
        <f>TrRoad_act!O134</f>
        <v>15393</v>
      </c>
      <c r="P53" s="110">
        <f>TrRoad_act!P134</f>
        <v>15197</v>
      </c>
      <c r="Q53" s="110">
        <f>TrRoad_act!Q134</f>
        <v>26039</v>
      </c>
      <c r="R53" s="110">
        <f>TrRoad_act!R134</f>
        <v>5142</v>
      </c>
      <c r="S53" s="110">
        <f>TrRoad_act!S134</f>
        <v>4455</v>
      </c>
      <c r="T53" s="110">
        <f>TrRoad_act!T134</f>
        <v>13521</v>
      </c>
      <c r="U53" s="110">
        <f>TrRoad_act!U134</f>
        <v>15070</v>
      </c>
      <c r="V53" s="110">
        <f>TrRoad_act!V134</f>
        <v>11366</v>
      </c>
      <c r="W53" s="110">
        <f>TrRoad_act!W134</f>
        <v>12847</v>
      </c>
      <c r="X53" s="110">
        <f>TrRoad_act!X134</f>
        <v>12225</v>
      </c>
      <c r="Y53" s="110">
        <f>TrRoad_act!Y134</f>
        <v>13952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41194</v>
      </c>
      <c r="D54" s="102">
        <f>TrRoad_act!D135</f>
        <v>2285</v>
      </c>
      <c r="E54" s="102">
        <f>TrRoad_act!E135</f>
        <v>6524</v>
      </c>
      <c r="F54" s="102">
        <f>TrRoad_act!F135</f>
        <v>8140</v>
      </c>
      <c r="G54" s="102">
        <f>TrRoad_act!G135</f>
        <v>8661</v>
      </c>
      <c r="H54" s="102">
        <f>TrRoad_act!H135</f>
        <v>7580</v>
      </c>
      <c r="I54" s="102">
        <f>TrRoad_act!I135</f>
        <v>7862</v>
      </c>
      <c r="J54" s="102">
        <f>TrRoad_act!J135</f>
        <v>14331</v>
      </c>
      <c r="K54" s="102">
        <f>TrRoad_act!K135</f>
        <v>7504</v>
      </c>
      <c r="L54" s="102">
        <f>TrRoad_act!L135</f>
        <v>4099</v>
      </c>
      <c r="M54" s="102">
        <f>TrRoad_act!M135</f>
        <v>20794</v>
      </c>
      <c r="N54" s="102">
        <f>TrRoad_act!N135</f>
        <v>7184</v>
      </c>
      <c r="O54" s="102">
        <f>TrRoad_act!O135</f>
        <v>12633</v>
      </c>
      <c r="P54" s="102">
        <f>TrRoad_act!P135</f>
        <v>13155</v>
      </c>
      <c r="Q54" s="102">
        <f>TrRoad_act!Q135</f>
        <v>23527</v>
      </c>
      <c r="R54" s="102">
        <f>TrRoad_act!R135</f>
        <v>1593</v>
      </c>
      <c r="S54" s="102">
        <f>TrRoad_act!S135</f>
        <v>2073</v>
      </c>
      <c r="T54" s="102">
        <f>TrRoad_act!T135</f>
        <v>12682</v>
      </c>
      <c r="U54" s="102">
        <f>TrRoad_act!U135</f>
        <v>12483</v>
      </c>
      <c r="V54" s="102">
        <f>TrRoad_act!V135</f>
        <v>9112</v>
      </c>
      <c r="W54" s="102">
        <f>TrRoad_act!W135</f>
        <v>10179</v>
      </c>
      <c r="X54" s="102">
        <f>TrRoad_act!X135</f>
        <v>11393</v>
      </c>
      <c r="Y54" s="102">
        <f>TrRoad_act!Y135</f>
        <v>12202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1636</v>
      </c>
      <c r="C55" s="86">
        <f>TrRoad_act!C136</f>
        <v>1896</v>
      </c>
      <c r="D55" s="86">
        <f>TrRoad_act!D136</f>
        <v>1782</v>
      </c>
      <c r="E55" s="86">
        <f>TrRoad_act!E136</f>
        <v>1433</v>
      </c>
      <c r="F55" s="86">
        <f>TrRoad_act!F136</f>
        <v>4615</v>
      </c>
      <c r="G55" s="86">
        <f>TrRoad_act!G136</f>
        <v>2135</v>
      </c>
      <c r="H55" s="86">
        <f>TrRoad_act!H136</f>
        <v>2090</v>
      </c>
      <c r="I55" s="86">
        <f>TrRoad_act!I136</f>
        <v>2491</v>
      </c>
      <c r="J55" s="86">
        <f>TrRoad_act!J136</f>
        <v>1677</v>
      </c>
      <c r="K55" s="86">
        <f>TrRoad_act!K136</f>
        <v>485</v>
      </c>
      <c r="L55" s="86">
        <f>TrRoad_act!L136</f>
        <v>2112</v>
      </c>
      <c r="M55" s="86">
        <f>TrRoad_act!M136</f>
        <v>2025</v>
      </c>
      <c r="N55" s="86">
        <f>TrRoad_act!N136</f>
        <v>1957</v>
      </c>
      <c r="O55" s="86">
        <f>TrRoad_act!O136</f>
        <v>2760</v>
      </c>
      <c r="P55" s="86">
        <f>TrRoad_act!P136</f>
        <v>2042</v>
      </c>
      <c r="Q55" s="86">
        <f>TrRoad_act!Q136</f>
        <v>2512</v>
      </c>
      <c r="R55" s="86">
        <f>TrRoad_act!R136</f>
        <v>3549</v>
      </c>
      <c r="S55" s="86">
        <f>TrRoad_act!S136</f>
        <v>2382</v>
      </c>
      <c r="T55" s="86">
        <f>TrRoad_act!T136</f>
        <v>839</v>
      </c>
      <c r="U55" s="86">
        <f>TrRoad_act!U136</f>
        <v>2587</v>
      </c>
      <c r="V55" s="86">
        <f>TrRoad_act!V136</f>
        <v>2254</v>
      </c>
      <c r="W55" s="86">
        <f>TrRoad_act!W136</f>
        <v>2668</v>
      </c>
      <c r="X55" s="86">
        <f>TrRoad_act!X136</f>
        <v>832</v>
      </c>
      <c r="Y55" s="86">
        <f>TrRoad_act!Y136</f>
        <v>1750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113</v>
      </c>
      <c r="C59" s="54">
        <f t="shared" si="0"/>
        <v>1375</v>
      </c>
      <c r="D59" s="54">
        <f t="shared" si="0"/>
        <v>5200</v>
      </c>
      <c r="E59" s="54">
        <f t="shared" si="0"/>
        <v>9764</v>
      </c>
      <c r="F59" s="54">
        <f t="shared" si="0"/>
        <v>14832</v>
      </c>
      <c r="G59" s="54">
        <f t="shared" si="0"/>
        <v>20728</v>
      </c>
      <c r="H59" s="54">
        <f t="shared" si="0"/>
        <v>32311.000000000116</v>
      </c>
      <c r="I59" s="54">
        <f t="shared" si="0"/>
        <v>58659</v>
      </c>
      <c r="J59" s="54">
        <f t="shared" si="0"/>
        <v>69490</v>
      </c>
      <c r="K59" s="54">
        <f t="shared" si="0"/>
        <v>80763</v>
      </c>
      <c r="L59" s="54">
        <f t="shared" ref="L59" si="1">L60+L75</f>
        <v>120043</v>
      </c>
      <c r="M59" s="54">
        <f t="shared" ref="M59:V59" si="2">M60+M75</f>
        <v>297446</v>
      </c>
      <c r="N59" s="54">
        <f t="shared" si="2"/>
        <v>338211</v>
      </c>
      <c r="O59" s="54">
        <f t="shared" si="2"/>
        <v>399159</v>
      </c>
      <c r="P59" s="54">
        <f t="shared" si="2"/>
        <v>458379</v>
      </c>
      <c r="Q59" s="54">
        <f t="shared" si="2"/>
        <v>545101</v>
      </c>
      <c r="R59" s="54">
        <f t="shared" si="2"/>
        <v>668470</v>
      </c>
      <c r="S59" s="54">
        <f t="shared" si="2"/>
        <v>683243</v>
      </c>
      <c r="T59" s="54">
        <f t="shared" si="2"/>
        <v>704506</v>
      </c>
      <c r="U59" s="54">
        <f t="shared" si="2"/>
        <v>716590</v>
      </c>
      <c r="V59" s="54">
        <f t="shared" si="2"/>
        <v>639146</v>
      </c>
      <c r="W59" s="54">
        <f t="shared" ref="W59:Y59" si="3">W60+W75</f>
        <v>652428</v>
      </c>
      <c r="X59" s="54">
        <f t="shared" si="3"/>
        <v>635358</v>
      </c>
      <c r="Y59" s="54">
        <f t="shared" si="3"/>
        <v>795148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113</v>
      </c>
      <c r="C60" s="28">
        <f t="shared" si="4"/>
        <v>0</v>
      </c>
      <c r="D60" s="28">
        <f t="shared" si="4"/>
        <v>5055</v>
      </c>
      <c r="E60" s="28">
        <f t="shared" si="4"/>
        <v>9095</v>
      </c>
      <c r="F60" s="28">
        <f t="shared" si="4"/>
        <v>13597</v>
      </c>
      <c r="G60" s="28">
        <f t="shared" si="4"/>
        <v>18904</v>
      </c>
      <c r="H60" s="28">
        <f t="shared" si="4"/>
        <v>30248</v>
      </c>
      <c r="I60" s="28">
        <f t="shared" si="4"/>
        <v>55992</v>
      </c>
      <c r="J60" s="28">
        <f t="shared" si="4"/>
        <v>62699</v>
      </c>
      <c r="K60" s="28">
        <f t="shared" si="4"/>
        <v>75896</v>
      </c>
      <c r="L60" s="28">
        <f t="shared" ref="L60" si="5">L61+L62+L69</f>
        <v>96014</v>
      </c>
      <c r="M60" s="28">
        <f t="shared" ref="M60:V60" si="6">M61+M62+M69</f>
        <v>236260</v>
      </c>
      <c r="N60" s="28">
        <f t="shared" si="6"/>
        <v>275637</v>
      </c>
      <c r="O60" s="28">
        <f t="shared" si="6"/>
        <v>323135</v>
      </c>
      <c r="P60" s="28">
        <f t="shared" si="6"/>
        <v>381908</v>
      </c>
      <c r="Q60" s="28">
        <f t="shared" si="6"/>
        <v>459351</v>
      </c>
      <c r="R60" s="28">
        <f t="shared" si="6"/>
        <v>602912</v>
      </c>
      <c r="S60" s="28">
        <f t="shared" si="6"/>
        <v>606032</v>
      </c>
      <c r="T60" s="28">
        <f t="shared" si="6"/>
        <v>614890</v>
      </c>
      <c r="U60" s="28">
        <f t="shared" si="6"/>
        <v>620790</v>
      </c>
      <c r="V60" s="28">
        <f t="shared" si="6"/>
        <v>555056</v>
      </c>
      <c r="W60" s="28">
        <f t="shared" ref="W60:Y60" si="7">W61+W62+W69</f>
        <v>568878</v>
      </c>
      <c r="X60" s="28">
        <f t="shared" si="7"/>
        <v>567265</v>
      </c>
      <c r="Y60" s="28">
        <f t="shared" si="7"/>
        <v>712342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5055</v>
      </c>
      <c r="E61" s="137">
        <v>9092</v>
      </c>
      <c r="F61" s="137">
        <v>13571</v>
      </c>
      <c r="G61" s="137">
        <v>18844</v>
      </c>
      <c r="H61" s="137">
        <v>21145</v>
      </c>
      <c r="I61" s="137">
        <v>25997</v>
      </c>
      <c r="J61" s="137">
        <v>24180</v>
      </c>
      <c r="K61" s="137">
        <v>25521</v>
      </c>
      <c r="L61" s="137">
        <v>26736</v>
      </c>
      <c r="M61" s="137">
        <v>26380</v>
      </c>
      <c r="N61" s="137">
        <v>25549</v>
      </c>
      <c r="O61" s="137">
        <v>23194</v>
      </c>
      <c r="P61" s="137">
        <v>26938</v>
      </c>
      <c r="Q61" s="137">
        <v>36340</v>
      </c>
      <c r="R61" s="137">
        <v>118955</v>
      </c>
      <c r="S61" s="137">
        <v>75082</v>
      </c>
      <c r="T61" s="137">
        <v>54148</v>
      </c>
      <c r="U61" s="137">
        <v>48612</v>
      </c>
      <c r="V61" s="137">
        <v>59394</v>
      </c>
      <c r="W61" s="137">
        <v>59341</v>
      </c>
      <c r="X61" s="137">
        <v>58406</v>
      </c>
      <c r="Y61" s="137">
        <v>45539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0</v>
      </c>
      <c r="G62" s="110">
        <f t="shared" si="8"/>
        <v>0</v>
      </c>
      <c r="H62" s="110">
        <f t="shared" si="8"/>
        <v>8987</v>
      </c>
      <c r="I62" s="110">
        <f t="shared" si="8"/>
        <v>29782</v>
      </c>
      <c r="J62" s="110">
        <f t="shared" si="8"/>
        <v>38183</v>
      </c>
      <c r="K62" s="110">
        <f t="shared" si="8"/>
        <v>49987</v>
      </c>
      <c r="L62" s="110">
        <f t="shared" ref="L62" si="9">SUM(L63:L68)</f>
        <v>68762</v>
      </c>
      <c r="M62" s="110">
        <f t="shared" ref="M62:V62" si="10">SUM(M63:M68)</f>
        <v>209394</v>
      </c>
      <c r="N62" s="110">
        <f t="shared" si="10"/>
        <v>249391</v>
      </c>
      <c r="O62" s="110">
        <f t="shared" si="10"/>
        <v>299207</v>
      </c>
      <c r="P62" s="110">
        <f t="shared" si="10"/>
        <v>353903</v>
      </c>
      <c r="Q62" s="110">
        <f t="shared" si="10"/>
        <v>421968</v>
      </c>
      <c r="R62" s="110">
        <f t="shared" si="10"/>
        <v>483012</v>
      </c>
      <c r="S62" s="110">
        <f t="shared" si="10"/>
        <v>529903</v>
      </c>
      <c r="T62" s="110">
        <f t="shared" si="10"/>
        <v>559500</v>
      </c>
      <c r="U62" s="110">
        <f t="shared" si="10"/>
        <v>570649</v>
      </c>
      <c r="V62" s="110">
        <f t="shared" si="10"/>
        <v>494339</v>
      </c>
      <c r="W62" s="110">
        <f t="shared" ref="W62:Y62" si="11">SUM(W63:W68)</f>
        <v>507914</v>
      </c>
      <c r="X62" s="110">
        <f t="shared" si="11"/>
        <v>507357</v>
      </c>
      <c r="Y62" s="110">
        <f t="shared" si="11"/>
        <v>665313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8987</v>
      </c>
      <c r="I63" s="84">
        <v>29782</v>
      </c>
      <c r="J63" s="84">
        <v>38183</v>
      </c>
      <c r="K63" s="84">
        <v>49987</v>
      </c>
      <c r="L63" s="84">
        <v>68762</v>
      </c>
      <c r="M63" s="84">
        <v>88319</v>
      </c>
      <c r="N63" s="84">
        <v>107453</v>
      </c>
      <c r="O63" s="84">
        <v>133117</v>
      </c>
      <c r="P63" s="84">
        <v>156252</v>
      </c>
      <c r="Q63" s="84">
        <v>180749</v>
      </c>
      <c r="R63" s="84">
        <v>246180</v>
      </c>
      <c r="S63" s="84">
        <v>289733</v>
      </c>
      <c r="T63" s="84">
        <v>356409</v>
      </c>
      <c r="U63" s="84">
        <v>382951</v>
      </c>
      <c r="V63" s="84">
        <v>295265</v>
      </c>
      <c r="W63" s="84">
        <v>315901</v>
      </c>
      <c r="X63" s="84">
        <v>325986</v>
      </c>
      <c r="Y63" s="84">
        <v>409547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116283</v>
      </c>
      <c r="N64" s="84">
        <v>137078</v>
      </c>
      <c r="O64" s="84">
        <v>165227</v>
      </c>
      <c r="P64" s="84">
        <v>190690</v>
      </c>
      <c r="Q64" s="84">
        <v>223158</v>
      </c>
      <c r="R64" s="84">
        <v>233572</v>
      </c>
      <c r="S64" s="84">
        <v>230907</v>
      </c>
      <c r="T64" s="84">
        <v>190310</v>
      </c>
      <c r="U64" s="84">
        <v>175496</v>
      </c>
      <c r="V64" s="84">
        <v>160128</v>
      </c>
      <c r="W64" s="84">
        <v>118829</v>
      </c>
      <c r="X64" s="84">
        <v>80269</v>
      </c>
      <c r="Y64" s="84">
        <v>58296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4792</v>
      </c>
      <c r="N65" s="84">
        <v>4860</v>
      </c>
      <c r="O65" s="84">
        <v>863</v>
      </c>
      <c r="P65" s="84">
        <v>6461</v>
      </c>
      <c r="Q65" s="84">
        <v>17252</v>
      </c>
      <c r="R65" s="84">
        <v>71</v>
      </c>
      <c r="S65" s="84">
        <v>81</v>
      </c>
      <c r="T65" s="84">
        <v>51</v>
      </c>
      <c r="U65" s="84">
        <v>165</v>
      </c>
      <c r="V65" s="84">
        <v>986</v>
      </c>
      <c r="W65" s="84">
        <v>2084</v>
      </c>
      <c r="X65" s="84">
        <v>2462</v>
      </c>
      <c r="Y65" s="84">
        <v>3461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500</v>
      </c>
      <c r="Q66" s="84">
        <v>809</v>
      </c>
      <c r="R66" s="84">
        <v>1920</v>
      </c>
      <c r="S66" s="84">
        <v>2312</v>
      </c>
      <c r="T66" s="84">
        <v>4401</v>
      </c>
      <c r="U66" s="84">
        <v>3997</v>
      </c>
      <c r="V66" s="84">
        <v>3274</v>
      </c>
      <c r="W66" s="84">
        <v>1203</v>
      </c>
      <c r="X66" s="84">
        <v>424</v>
      </c>
      <c r="Y66" s="84">
        <v>98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1269</v>
      </c>
      <c r="S67" s="84">
        <v>6870</v>
      </c>
      <c r="T67" s="84">
        <v>8329</v>
      </c>
      <c r="U67" s="84">
        <v>8040</v>
      </c>
      <c r="V67" s="84">
        <v>31745</v>
      </c>
      <c r="W67" s="84">
        <v>48261</v>
      </c>
      <c r="X67" s="84">
        <v>60512</v>
      </c>
      <c r="Y67" s="84">
        <v>100429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2941</v>
      </c>
      <c r="W68" s="84">
        <v>21636</v>
      </c>
      <c r="X68" s="84">
        <v>37704</v>
      </c>
      <c r="Y68" s="84">
        <v>93482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113</v>
      </c>
      <c r="C69" s="110">
        <f t="shared" si="12"/>
        <v>0</v>
      </c>
      <c r="D69" s="110">
        <f t="shared" si="12"/>
        <v>0</v>
      </c>
      <c r="E69" s="110">
        <f t="shared" si="12"/>
        <v>3</v>
      </c>
      <c r="F69" s="110">
        <f t="shared" si="12"/>
        <v>26</v>
      </c>
      <c r="G69" s="110">
        <f t="shared" si="12"/>
        <v>60</v>
      </c>
      <c r="H69" s="110">
        <f t="shared" si="12"/>
        <v>116</v>
      </c>
      <c r="I69" s="110">
        <f t="shared" si="12"/>
        <v>213</v>
      </c>
      <c r="J69" s="110">
        <f t="shared" si="12"/>
        <v>336</v>
      </c>
      <c r="K69" s="110">
        <f t="shared" si="12"/>
        <v>388</v>
      </c>
      <c r="L69" s="110">
        <f t="shared" ref="L69" si="13">SUM(L70:L74)</f>
        <v>516</v>
      </c>
      <c r="M69" s="110">
        <f t="shared" ref="M69:V69" si="14">SUM(M70:M74)</f>
        <v>486</v>
      </c>
      <c r="N69" s="110">
        <f t="shared" si="14"/>
        <v>697</v>
      </c>
      <c r="O69" s="110">
        <f t="shared" si="14"/>
        <v>734</v>
      </c>
      <c r="P69" s="110">
        <f t="shared" si="14"/>
        <v>1067</v>
      </c>
      <c r="Q69" s="110">
        <f t="shared" si="14"/>
        <v>1043</v>
      </c>
      <c r="R69" s="110">
        <f t="shared" si="14"/>
        <v>945</v>
      </c>
      <c r="S69" s="110">
        <f t="shared" si="14"/>
        <v>1047</v>
      </c>
      <c r="T69" s="110">
        <f t="shared" si="14"/>
        <v>1242</v>
      </c>
      <c r="U69" s="110">
        <f t="shared" si="14"/>
        <v>1529</v>
      </c>
      <c r="V69" s="110">
        <f t="shared" si="14"/>
        <v>1323</v>
      </c>
      <c r="W69" s="110">
        <f t="shared" ref="W69:Y69" si="15">SUM(W70:W74)</f>
        <v>1623</v>
      </c>
      <c r="X69" s="110">
        <f t="shared" si="15"/>
        <v>1502</v>
      </c>
      <c r="Y69" s="110">
        <f t="shared" si="15"/>
        <v>1490</v>
      </c>
      <c r="DA69" s="176" t="s">
        <v>848</v>
      </c>
    </row>
    <row r="70" spans="1:105" ht="11.45" customHeight="1" x14ac:dyDescent="0.25">
      <c r="A70" s="111" t="s">
        <v>110</v>
      </c>
      <c r="B70" s="102">
        <v>105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1</v>
      </c>
      <c r="L70" s="102">
        <v>2</v>
      </c>
      <c r="M70" s="102">
        <v>2</v>
      </c>
      <c r="N70" s="102">
        <v>0</v>
      </c>
      <c r="O70" s="102">
        <v>0</v>
      </c>
      <c r="P70" s="102">
        <v>0</v>
      </c>
      <c r="Q70" s="102">
        <v>1</v>
      </c>
      <c r="R70" s="102">
        <v>1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8</v>
      </c>
      <c r="C71" s="102">
        <v>0</v>
      </c>
      <c r="D71" s="102">
        <v>0</v>
      </c>
      <c r="E71" s="102">
        <v>3</v>
      </c>
      <c r="F71" s="102">
        <v>26</v>
      </c>
      <c r="G71" s="102">
        <v>60</v>
      </c>
      <c r="H71" s="102">
        <v>116</v>
      </c>
      <c r="I71" s="102">
        <v>213</v>
      </c>
      <c r="J71" s="102">
        <v>336</v>
      </c>
      <c r="K71" s="102">
        <v>387</v>
      </c>
      <c r="L71" s="102">
        <v>514</v>
      </c>
      <c r="M71" s="102">
        <v>484</v>
      </c>
      <c r="N71" s="102">
        <v>697</v>
      </c>
      <c r="O71" s="102">
        <v>734</v>
      </c>
      <c r="P71" s="102">
        <v>1067</v>
      </c>
      <c r="Q71" s="102">
        <v>1042</v>
      </c>
      <c r="R71" s="102">
        <v>944</v>
      </c>
      <c r="S71" s="102">
        <v>1047</v>
      </c>
      <c r="T71" s="102">
        <v>1231</v>
      </c>
      <c r="U71" s="102">
        <v>1503</v>
      </c>
      <c r="V71" s="102">
        <v>1295</v>
      </c>
      <c r="W71" s="102">
        <v>1479</v>
      </c>
      <c r="X71" s="102">
        <v>1427</v>
      </c>
      <c r="Y71" s="102">
        <v>1267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11</v>
      </c>
      <c r="U73" s="102">
        <v>2</v>
      </c>
      <c r="V73" s="102">
        <v>13</v>
      </c>
      <c r="W73" s="102">
        <v>114</v>
      </c>
      <c r="X73" s="102">
        <v>29</v>
      </c>
      <c r="Y73" s="102">
        <v>1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24</v>
      </c>
      <c r="V74" s="102">
        <v>15</v>
      </c>
      <c r="W74" s="102">
        <v>30</v>
      </c>
      <c r="X74" s="102">
        <v>46</v>
      </c>
      <c r="Y74" s="102">
        <v>222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1375</v>
      </c>
      <c r="D75" s="28">
        <f t="shared" si="16"/>
        <v>145</v>
      </c>
      <c r="E75" s="28">
        <f t="shared" si="16"/>
        <v>669</v>
      </c>
      <c r="F75" s="28">
        <f t="shared" si="16"/>
        <v>1235</v>
      </c>
      <c r="G75" s="28">
        <f t="shared" si="16"/>
        <v>1824</v>
      </c>
      <c r="H75" s="28">
        <f t="shared" si="16"/>
        <v>2063.0000000001164</v>
      </c>
      <c r="I75" s="28">
        <f t="shared" si="16"/>
        <v>2667</v>
      </c>
      <c r="J75" s="28">
        <f t="shared" si="16"/>
        <v>6791</v>
      </c>
      <c r="K75" s="28">
        <f t="shared" si="16"/>
        <v>4867</v>
      </c>
      <c r="L75" s="28">
        <f t="shared" ref="L75" si="17">L76+L82</f>
        <v>24029</v>
      </c>
      <c r="M75" s="28">
        <f t="shared" ref="M75:V75" si="18">M76+M82</f>
        <v>61186</v>
      </c>
      <c r="N75" s="28">
        <f t="shared" si="18"/>
        <v>62574</v>
      </c>
      <c r="O75" s="28">
        <f t="shared" si="18"/>
        <v>76024</v>
      </c>
      <c r="P75" s="28">
        <f t="shared" si="18"/>
        <v>76471</v>
      </c>
      <c r="Q75" s="28">
        <f t="shared" si="18"/>
        <v>85750</v>
      </c>
      <c r="R75" s="28">
        <f t="shared" si="18"/>
        <v>65558</v>
      </c>
      <c r="S75" s="28">
        <f t="shared" si="18"/>
        <v>77211</v>
      </c>
      <c r="T75" s="28">
        <f t="shared" si="18"/>
        <v>89616</v>
      </c>
      <c r="U75" s="28">
        <f t="shared" si="18"/>
        <v>95800</v>
      </c>
      <c r="V75" s="28">
        <f t="shared" si="18"/>
        <v>84090</v>
      </c>
      <c r="W75" s="28">
        <f t="shared" ref="W75:Y75" si="19">W76+W82</f>
        <v>83550</v>
      </c>
      <c r="X75" s="28">
        <f t="shared" si="19"/>
        <v>68093</v>
      </c>
      <c r="Y75" s="28">
        <f t="shared" si="19"/>
        <v>82806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263</v>
      </c>
      <c r="K76" s="137">
        <f t="shared" si="20"/>
        <v>1185</v>
      </c>
      <c r="L76" s="137">
        <f t="shared" ref="L76" si="21">SUM(L77:L81)</f>
        <v>20633</v>
      </c>
      <c r="M76" s="137">
        <f t="shared" ref="M76:V76" si="22">SUM(M77:M81)</f>
        <v>47819</v>
      </c>
      <c r="N76" s="137">
        <f t="shared" si="22"/>
        <v>56668</v>
      </c>
      <c r="O76" s="137">
        <f t="shared" si="22"/>
        <v>65258</v>
      </c>
      <c r="P76" s="137">
        <f t="shared" si="22"/>
        <v>65032</v>
      </c>
      <c r="Q76" s="137">
        <f t="shared" si="22"/>
        <v>64824</v>
      </c>
      <c r="R76" s="137">
        <f t="shared" si="22"/>
        <v>61518</v>
      </c>
      <c r="S76" s="137">
        <f t="shared" si="22"/>
        <v>73492</v>
      </c>
      <c r="T76" s="137">
        <f t="shared" si="22"/>
        <v>77142</v>
      </c>
      <c r="U76" s="137">
        <f t="shared" si="22"/>
        <v>81678</v>
      </c>
      <c r="V76" s="137">
        <f t="shared" si="22"/>
        <v>73214</v>
      </c>
      <c r="W76" s="137">
        <f t="shared" ref="W76:Y76" si="23">SUM(W77:W81)</f>
        <v>71032</v>
      </c>
      <c r="X76" s="137">
        <f t="shared" si="23"/>
        <v>55933</v>
      </c>
      <c r="Y76" s="137">
        <f t="shared" si="23"/>
        <v>68854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820</v>
      </c>
      <c r="S77" s="84">
        <v>4051</v>
      </c>
      <c r="T77" s="84">
        <v>6898</v>
      </c>
      <c r="U77" s="84">
        <v>5440</v>
      </c>
      <c r="V77" s="84">
        <v>3624</v>
      </c>
      <c r="W77" s="84">
        <v>3814</v>
      </c>
      <c r="X77" s="84">
        <v>3694</v>
      </c>
      <c r="Y77" s="84">
        <v>4676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19477</v>
      </c>
      <c r="M78" s="84">
        <v>45308</v>
      </c>
      <c r="N78" s="84">
        <v>55088</v>
      </c>
      <c r="O78" s="84">
        <v>65249</v>
      </c>
      <c r="P78" s="84">
        <v>65007</v>
      </c>
      <c r="Q78" s="84">
        <v>64813</v>
      </c>
      <c r="R78" s="84">
        <v>60388</v>
      </c>
      <c r="S78" s="84">
        <v>68874</v>
      </c>
      <c r="T78" s="84">
        <v>69394</v>
      </c>
      <c r="U78" s="84">
        <v>74995</v>
      </c>
      <c r="V78" s="84">
        <v>67871</v>
      </c>
      <c r="W78" s="84">
        <v>65808</v>
      </c>
      <c r="X78" s="84">
        <v>49885</v>
      </c>
      <c r="Y78" s="84">
        <v>60490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263</v>
      </c>
      <c r="K79" s="84">
        <v>1185</v>
      </c>
      <c r="L79" s="84">
        <v>1156</v>
      </c>
      <c r="M79" s="84">
        <v>2511</v>
      </c>
      <c r="N79" s="84">
        <v>1580</v>
      </c>
      <c r="O79" s="84">
        <v>9</v>
      </c>
      <c r="P79" s="84">
        <v>25</v>
      </c>
      <c r="Q79" s="84">
        <v>11</v>
      </c>
      <c r="R79" s="84">
        <v>4</v>
      </c>
      <c r="S79" s="84">
        <v>5</v>
      </c>
      <c r="T79" s="84">
        <v>9</v>
      </c>
      <c r="U79" s="84">
        <v>6</v>
      </c>
      <c r="V79" s="84">
        <v>759</v>
      </c>
      <c r="W79" s="84">
        <v>250</v>
      </c>
      <c r="X79" s="84">
        <v>246</v>
      </c>
      <c r="Y79" s="84">
        <v>308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306</v>
      </c>
      <c r="S80" s="84">
        <v>562</v>
      </c>
      <c r="T80" s="84">
        <v>841</v>
      </c>
      <c r="U80" s="84">
        <v>1237</v>
      </c>
      <c r="V80" s="84">
        <v>960</v>
      </c>
      <c r="W80" s="84">
        <v>655</v>
      </c>
      <c r="X80" s="84">
        <v>294</v>
      </c>
      <c r="Y80" s="84">
        <v>330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505</v>
      </c>
      <c r="X81" s="84">
        <v>1814</v>
      </c>
      <c r="Y81" s="84">
        <v>3050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1375</v>
      </c>
      <c r="D82" s="110">
        <f t="shared" si="24"/>
        <v>145</v>
      </c>
      <c r="E82" s="110">
        <f t="shared" si="24"/>
        <v>669</v>
      </c>
      <c r="F82" s="110">
        <f t="shared" si="24"/>
        <v>1235</v>
      </c>
      <c r="G82" s="110">
        <f t="shared" si="24"/>
        <v>1824</v>
      </c>
      <c r="H82" s="110">
        <f t="shared" si="24"/>
        <v>2063.0000000001164</v>
      </c>
      <c r="I82" s="110">
        <f t="shared" si="24"/>
        <v>2667</v>
      </c>
      <c r="J82" s="110">
        <f t="shared" si="24"/>
        <v>6528</v>
      </c>
      <c r="K82" s="110">
        <f t="shared" si="24"/>
        <v>3682</v>
      </c>
      <c r="L82" s="110">
        <f t="shared" ref="L82" si="25">SUM(L83:L84)</f>
        <v>3396</v>
      </c>
      <c r="M82" s="110">
        <f t="shared" ref="M82:V82" si="26">SUM(M83:M84)</f>
        <v>13367</v>
      </c>
      <c r="N82" s="110">
        <f t="shared" si="26"/>
        <v>5906</v>
      </c>
      <c r="O82" s="110">
        <f t="shared" si="26"/>
        <v>10766</v>
      </c>
      <c r="P82" s="110">
        <f t="shared" si="26"/>
        <v>11439</v>
      </c>
      <c r="Q82" s="110">
        <f t="shared" si="26"/>
        <v>20926</v>
      </c>
      <c r="R82" s="110">
        <f t="shared" si="26"/>
        <v>4040</v>
      </c>
      <c r="S82" s="110">
        <f t="shared" si="26"/>
        <v>3719</v>
      </c>
      <c r="T82" s="110">
        <f t="shared" si="26"/>
        <v>12474</v>
      </c>
      <c r="U82" s="110">
        <f t="shared" si="26"/>
        <v>14122</v>
      </c>
      <c r="V82" s="110">
        <f t="shared" si="26"/>
        <v>10876</v>
      </c>
      <c r="W82" s="110">
        <f t="shared" ref="W82:Y82" si="27">SUM(W83:W84)</f>
        <v>12518</v>
      </c>
      <c r="X82" s="110">
        <f t="shared" si="27"/>
        <v>12160</v>
      </c>
      <c r="Y82" s="110">
        <f t="shared" si="27"/>
        <v>13952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1375</v>
      </c>
      <c r="D83" s="102">
        <v>145</v>
      </c>
      <c r="E83" s="102">
        <v>669</v>
      </c>
      <c r="F83" s="102">
        <v>1235</v>
      </c>
      <c r="G83" s="102">
        <v>1824</v>
      </c>
      <c r="H83" s="102">
        <v>2063.0000000001164</v>
      </c>
      <c r="I83" s="102">
        <v>2587</v>
      </c>
      <c r="J83" s="102">
        <v>5584</v>
      </c>
      <c r="K83" s="102">
        <v>3399</v>
      </c>
      <c r="L83" s="102">
        <v>2121</v>
      </c>
      <c r="M83" s="102">
        <v>12097</v>
      </c>
      <c r="N83" s="102">
        <v>4631</v>
      </c>
      <c r="O83" s="102">
        <v>8901</v>
      </c>
      <c r="P83" s="102">
        <v>10006</v>
      </c>
      <c r="Q83" s="102">
        <v>19100</v>
      </c>
      <c r="R83" s="102">
        <v>1366</v>
      </c>
      <c r="S83" s="102">
        <v>1859</v>
      </c>
      <c r="T83" s="102">
        <v>11792</v>
      </c>
      <c r="U83" s="102">
        <v>11935</v>
      </c>
      <c r="V83" s="102">
        <v>8892</v>
      </c>
      <c r="W83" s="102">
        <v>10072</v>
      </c>
      <c r="X83" s="102">
        <v>11364</v>
      </c>
      <c r="Y83" s="102">
        <v>12202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80</v>
      </c>
      <c r="J84" s="86">
        <v>944</v>
      </c>
      <c r="K84" s="86">
        <v>283</v>
      </c>
      <c r="L84" s="86">
        <v>1275</v>
      </c>
      <c r="M84" s="86">
        <v>1270</v>
      </c>
      <c r="N84" s="86">
        <v>1275</v>
      </c>
      <c r="O84" s="86">
        <v>1865</v>
      </c>
      <c r="P84" s="86">
        <v>1433</v>
      </c>
      <c r="Q84" s="86">
        <v>1826</v>
      </c>
      <c r="R84" s="86">
        <v>2674</v>
      </c>
      <c r="S84" s="86">
        <v>1860</v>
      </c>
      <c r="T84" s="86">
        <v>682</v>
      </c>
      <c r="U84" s="86">
        <v>2187</v>
      </c>
      <c r="V84" s="86">
        <v>1984</v>
      </c>
      <c r="W84" s="86">
        <v>2446</v>
      </c>
      <c r="X84" s="86">
        <v>796</v>
      </c>
      <c r="Y84" s="86">
        <v>1750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3.8675761774471273</v>
      </c>
      <c r="C90" s="141">
        <v>3.8258970529902774</v>
      </c>
      <c r="D90" s="141">
        <v>3.7861887903523828</v>
      </c>
      <c r="E90" s="141">
        <v>3.7450150233789015</v>
      </c>
      <c r="F90" s="141">
        <v>3.6895669787870009</v>
      </c>
      <c r="G90" s="141">
        <v>3.6400746720867176</v>
      </c>
      <c r="H90" s="141">
        <v>3.5860045869873298</v>
      </c>
      <c r="I90" s="141">
        <v>3.5298384710309199</v>
      </c>
      <c r="J90" s="141">
        <v>3.477891793868702</v>
      </c>
      <c r="K90" s="141">
        <v>3.4186614687906913</v>
      </c>
      <c r="L90" s="141">
        <v>3.3543617188970769</v>
      </c>
      <c r="M90" s="141">
        <v>3.2867430457737723</v>
      </c>
      <c r="N90" s="141">
        <v>3.2214627521831325</v>
      </c>
      <c r="O90" s="141">
        <v>3.1839437511618569</v>
      </c>
      <c r="P90" s="141">
        <v>3.1296607258115872</v>
      </c>
      <c r="Q90" s="141">
        <v>3.0790723666564954</v>
      </c>
      <c r="R90" s="141">
        <v>2.9160348453535727</v>
      </c>
      <c r="S90" s="141">
        <v>2.8449956690870128</v>
      </c>
      <c r="T90" s="141">
        <v>2.7966892298103319</v>
      </c>
      <c r="U90" s="141">
        <v>2.755308925123594</v>
      </c>
      <c r="V90" s="141">
        <v>2.7099733690775438</v>
      </c>
      <c r="W90" s="141">
        <v>2.6681692745470165</v>
      </c>
      <c r="X90" s="141">
        <v>2.6466993763971383</v>
      </c>
      <c r="Y90" s="141">
        <v>2.61634538684164</v>
      </c>
      <c r="DA90" s="174" t="s">
        <v>864</v>
      </c>
    </row>
    <row r="91" spans="1:105" ht="11.45" customHeight="1" x14ac:dyDescent="0.25">
      <c r="A91" s="109" t="s">
        <v>20</v>
      </c>
      <c r="B91" s="130">
        <v>7.2224644638580031</v>
      </c>
      <c r="C91" s="130">
        <v>7.0695895797096568</v>
      </c>
      <c r="D91" s="130">
        <v>6.9978150472092571</v>
      </c>
      <c r="E91" s="130">
        <v>6.9188540579083089</v>
      </c>
      <c r="F91" s="130">
        <v>6.8354439930839463</v>
      </c>
      <c r="G91" s="130">
        <v>6.7466307946569604</v>
      </c>
      <c r="H91" s="130">
        <v>6.6419315120475355</v>
      </c>
      <c r="I91" s="130">
        <v>6.5490329645499621</v>
      </c>
      <c r="J91" s="130">
        <v>6.4491756816714076</v>
      </c>
      <c r="K91" s="130">
        <v>6.36397123390317</v>
      </c>
      <c r="L91" s="130">
        <v>6.2474306814827196</v>
      </c>
      <c r="M91" s="130">
        <v>6.123895794636808</v>
      </c>
      <c r="N91" s="130">
        <v>6.0091484459854083</v>
      </c>
      <c r="O91" s="130">
        <v>5.9011977240536346</v>
      </c>
      <c r="P91" s="130">
        <v>5.7965534531777081</v>
      </c>
      <c r="Q91" s="130">
        <v>5.6784534148791712</v>
      </c>
      <c r="R91" s="130">
        <v>5.5538690404495572</v>
      </c>
      <c r="S91" s="130">
        <v>5.463151710387578</v>
      </c>
      <c r="T91" s="130">
        <v>5.368108379409926</v>
      </c>
      <c r="U91" s="130">
        <v>5.2646856981510828</v>
      </c>
      <c r="V91" s="130">
        <v>5.1879057628362828</v>
      </c>
      <c r="W91" s="130">
        <v>5.0978059741591322</v>
      </c>
      <c r="X91" s="130">
        <v>4.9765523328890451</v>
      </c>
      <c r="Y91" s="130">
        <v>4.817600996902506</v>
      </c>
      <c r="DA91" s="176" t="s">
        <v>865</v>
      </c>
    </row>
    <row r="92" spans="1:105" ht="11.45" customHeight="1" x14ac:dyDescent="0.25">
      <c r="A92" s="111" t="s">
        <v>110</v>
      </c>
      <c r="B92" s="96">
        <v>7.3332436566571095</v>
      </c>
      <c r="C92" s="96">
        <v>7.235538601393281</v>
      </c>
      <c r="D92" s="96">
        <v>7.1967566265744924</v>
      </c>
      <c r="E92" s="96">
        <v>7.1556962614996067</v>
      </c>
      <c r="F92" s="96">
        <v>7.1067377317270735</v>
      </c>
      <c r="G92" s="96">
        <v>7.0551509349733248</v>
      </c>
      <c r="H92" s="96">
        <v>6.9928485586513522</v>
      </c>
      <c r="I92" s="96">
        <v>6.9407693296052972</v>
      </c>
      <c r="J92" s="96">
        <v>6.8685455262505259</v>
      </c>
      <c r="K92" s="96">
        <v>6.7729418986767644</v>
      </c>
      <c r="L92" s="96">
        <v>6.650119220467138</v>
      </c>
      <c r="M92" s="96">
        <v>6.5184602699779788</v>
      </c>
      <c r="N92" s="96">
        <v>6.375500129559927</v>
      </c>
      <c r="O92" s="96">
        <v>6.2205013241430684</v>
      </c>
      <c r="P92" s="96">
        <v>6.0871593776347401</v>
      </c>
      <c r="Q92" s="96">
        <v>5.9427679442928358</v>
      </c>
      <c r="R92" s="96">
        <v>5.7882714818620107</v>
      </c>
      <c r="S92" s="96">
        <v>5.646972950465611</v>
      </c>
      <c r="T92" s="96">
        <v>5.5316025167711311</v>
      </c>
      <c r="U92" s="96">
        <v>5.4273033034197642</v>
      </c>
      <c r="V92" s="96">
        <v>5.3596989387184957</v>
      </c>
      <c r="W92" s="96">
        <v>5.2579838606958971</v>
      </c>
      <c r="X92" s="96">
        <v>5.1617009937274352</v>
      </c>
      <c r="Y92" s="96">
        <v>5.0680541085356685</v>
      </c>
      <c r="DA92" s="171" t="s">
        <v>866</v>
      </c>
    </row>
    <row r="93" spans="1:105" ht="11.45" customHeight="1" x14ac:dyDescent="0.25">
      <c r="A93" s="111" t="s">
        <v>111</v>
      </c>
      <c r="B93" s="96">
        <v>7.0363554982900931</v>
      </c>
      <c r="C93" s="96">
        <v>6.7325508637853311</v>
      </c>
      <c r="D93" s="96">
        <v>6.6217342304154982</v>
      </c>
      <c r="E93" s="96">
        <v>6.5109056463752717</v>
      </c>
      <c r="F93" s="96">
        <v>6.4132015706521086</v>
      </c>
      <c r="G93" s="96">
        <v>6.3163632350899572</v>
      </c>
      <c r="H93" s="96">
        <v>6.2215653466965328</v>
      </c>
      <c r="I93" s="96">
        <v>6.1416564933043434</v>
      </c>
      <c r="J93" s="96">
        <v>6.0618764968589636</v>
      </c>
      <c r="K93" s="96">
        <v>6.0007200712855315</v>
      </c>
      <c r="L93" s="96">
        <v>5.8998914775867881</v>
      </c>
      <c r="M93" s="96">
        <v>5.7767224520444582</v>
      </c>
      <c r="N93" s="96">
        <v>5.6821860515335008</v>
      </c>
      <c r="O93" s="96">
        <v>5.5938606465799348</v>
      </c>
      <c r="P93" s="96">
        <v>5.4893267045402974</v>
      </c>
      <c r="Q93" s="96">
        <v>5.3715171370157613</v>
      </c>
      <c r="R93" s="96">
        <v>5.2476552761516011</v>
      </c>
      <c r="S93" s="96">
        <v>5.1727928266289966</v>
      </c>
      <c r="T93" s="96">
        <v>5.082175261523691</v>
      </c>
      <c r="U93" s="96">
        <v>4.9969435590075779</v>
      </c>
      <c r="V93" s="96">
        <v>4.9154940370106663</v>
      </c>
      <c r="W93" s="96">
        <v>4.889006114201341</v>
      </c>
      <c r="X93" s="96">
        <v>4.8298278157605505</v>
      </c>
      <c r="Y93" s="96">
        <v>4.7807312514931333</v>
      </c>
      <c r="DA93" s="171" t="s">
        <v>867</v>
      </c>
    </row>
    <row r="94" spans="1:105" ht="11.45" customHeight="1" x14ac:dyDescent="0.25">
      <c r="A94" s="111" t="s">
        <v>112</v>
      </c>
      <c r="B94" s="96">
        <v>7.9853718382634788</v>
      </c>
      <c r="C94" s="96">
        <v>7.6441368556869724</v>
      </c>
      <c r="D94" s="96">
        <v>7.6080558718200173</v>
      </c>
      <c r="E94" s="96">
        <v>7.5956636457707774</v>
      </c>
      <c r="F94" s="96">
        <v>7.5694045879826009</v>
      </c>
      <c r="G94" s="96">
        <v>7.5408188235410689</v>
      </c>
      <c r="H94" s="96">
        <v>7.5157953517179106</v>
      </c>
      <c r="I94" s="96">
        <v>7.485507972055073</v>
      </c>
      <c r="J94" s="96">
        <v>7.4608154950613157</v>
      </c>
      <c r="K94" s="96">
        <v>7.4284104671975291</v>
      </c>
      <c r="L94" s="96">
        <v>7.3718583958666155</v>
      </c>
      <c r="M94" s="96">
        <v>7.2235736613807848</v>
      </c>
      <c r="N94" s="96">
        <v>7.1394564625220136</v>
      </c>
      <c r="O94" s="96">
        <v>7.0787377226732735</v>
      </c>
      <c r="P94" s="96">
        <v>6.9445050335913248</v>
      </c>
      <c r="Q94" s="96">
        <v>6.4016407178582133</v>
      </c>
      <c r="R94" s="96">
        <v>6.3158944085485835</v>
      </c>
      <c r="S94" s="96">
        <v>6.3032889165298815</v>
      </c>
      <c r="T94" s="96">
        <v>6.2935298177128383</v>
      </c>
      <c r="U94" s="96">
        <v>6.2844064602708558</v>
      </c>
      <c r="V94" s="96">
        <v>6.2326740853656437</v>
      </c>
      <c r="W94" s="96">
        <v>6.0822315797513742</v>
      </c>
      <c r="X94" s="96">
        <v>5.9326241338969252</v>
      </c>
      <c r="Y94" s="96">
        <v>5.7243178286825875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8.9677818856312737</v>
      </c>
      <c r="G95" s="96">
        <v>8.9423848505829344</v>
      </c>
      <c r="H95" s="96">
        <v>8.9338207704793717</v>
      </c>
      <c r="I95" s="96">
        <v>8.9311862062221739</v>
      </c>
      <c r="J95" s="96">
        <v>8.9272852480350178</v>
      </c>
      <c r="K95" s="96">
        <v>8.9248689112282964</v>
      </c>
      <c r="L95" s="96">
        <v>8.9242460689595742</v>
      </c>
      <c r="M95" s="96">
        <v>8.7582929535477341</v>
      </c>
      <c r="N95" s="96">
        <v>8.2875837456479271</v>
      </c>
      <c r="O95" s="96">
        <v>7.6421505137757304</v>
      </c>
      <c r="P95" s="96">
        <v>6.1532532794301895</v>
      </c>
      <c r="Q95" s="96">
        <v>6.1194208862347885</v>
      </c>
      <c r="R95" s="96">
        <v>6.0890166017699103</v>
      </c>
      <c r="S95" s="96">
        <v>6.0712167838463564</v>
      </c>
      <c r="T95" s="96">
        <v>6.0605105703613269</v>
      </c>
      <c r="U95" s="96">
        <v>5.8558127440000707</v>
      </c>
      <c r="V95" s="96">
        <v>5.692840493882338</v>
      </c>
      <c r="W95" s="96">
        <v>5.6386904862587723</v>
      </c>
      <c r="X95" s="96">
        <v>5.6144287115521303</v>
      </c>
      <c r="Y95" s="96">
        <v>5.6036680770750111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3.3025380460809304</v>
      </c>
      <c r="N96" s="96">
        <v>2.4397635360030909</v>
      </c>
      <c r="O96" s="96">
        <v>2.6483700049395278</v>
      </c>
      <c r="P96" s="96">
        <v>2.9882060171046949</v>
      </c>
      <c r="Q96" s="96">
        <v>3.4981934079890289</v>
      </c>
      <c r="R96" s="96">
        <v>3.6599666836048512</v>
      </c>
      <c r="S96" s="96">
        <v>3.6177132829658225</v>
      </c>
      <c r="T96" s="96">
        <v>3.5438223509314479</v>
      </c>
      <c r="U96" s="96">
        <v>3.4334727839705699</v>
      </c>
      <c r="V96" s="96">
        <v>3.7008092607648821</v>
      </c>
      <c r="W96" s="96">
        <v>3.3611633565354837</v>
      </c>
      <c r="X96" s="96">
        <v>3.1191367998307333</v>
      </c>
      <c r="Y96" s="96">
        <v>2.8621412165080029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1.2236579000796759</v>
      </c>
      <c r="K97" s="96">
        <v>1.2227848345780585</v>
      </c>
      <c r="L97" s="96">
        <v>1.2057844804402047</v>
      </c>
      <c r="M97" s="96">
        <v>1.2037833190025795</v>
      </c>
      <c r="N97" s="96">
        <v>1.2037833190025797</v>
      </c>
      <c r="O97" s="96">
        <v>1.2303714418189724</v>
      </c>
      <c r="P97" s="96">
        <v>1.2362764792940049</v>
      </c>
      <c r="Q97" s="96">
        <v>1.4296462625245911</v>
      </c>
      <c r="R97" s="96">
        <v>1.4684410169527424</v>
      </c>
      <c r="S97" s="96">
        <v>1.4458629635259517</v>
      </c>
      <c r="T97" s="96">
        <v>1.5273574935889662</v>
      </c>
      <c r="U97" s="96">
        <v>1.6594419076858475</v>
      </c>
      <c r="V97" s="96">
        <v>1.6416739835393401</v>
      </c>
      <c r="W97" s="96">
        <v>1.6046141499472486</v>
      </c>
      <c r="X97" s="96">
        <v>1.5838924378891099</v>
      </c>
      <c r="Y97" s="96">
        <v>1.5272419749729047</v>
      </c>
      <c r="DA97" s="171" t="s">
        <v>871</v>
      </c>
    </row>
    <row r="98" spans="1:105" ht="11.45" customHeight="1" x14ac:dyDescent="0.25">
      <c r="A98" s="109" t="s">
        <v>21</v>
      </c>
      <c r="B98" s="130">
        <v>57.041257945080176</v>
      </c>
      <c r="C98" s="130">
        <v>55.28557724599407</v>
      </c>
      <c r="D98" s="130">
        <v>54.372273241063368</v>
      </c>
      <c r="E98" s="130">
        <v>53.599606540214587</v>
      </c>
      <c r="F98" s="130">
        <v>52.838579069677209</v>
      </c>
      <c r="G98" s="130">
        <v>52.031112136505335</v>
      </c>
      <c r="H98" s="130">
        <v>51.236899121033375</v>
      </c>
      <c r="I98" s="130">
        <v>50.409422946152944</v>
      </c>
      <c r="J98" s="130">
        <v>49.672658655273878</v>
      </c>
      <c r="K98" s="130">
        <v>48.936993844954628</v>
      </c>
      <c r="L98" s="130">
        <v>48.247729897245527</v>
      </c>
      <c r="M98" s="130">
        <v>47.636897491613041</v>
      </c>
      <c r="N98" s="130">
        <v>47.007506976036616</v>
      </c>
      <c r="O98" s="130">
        <v>46.568120932277871</v>
      </c>
      <c r="P98" s="130">
        <v>46.109091015836889</v>
      </c>
      <c r="Q98" s="130">
        <v>45.691211759305958</v>
      </c>
      <c r="R98" s="130">
        <v>45.036213436466788</v>
      </c>
      <c r="S98" s="130">
        <v>44.616617791187558</v>
      </c>
      <c r="T98" s="130">
        <v>44.106191354298304</v>
      </c>
      <c r="U98" s="130">
        <v>43.423283466865222</v>
      </c>
      <c r="V98" s="130">
        <v>42.758645537863678</v>
      </c>
      <c r="W98" s="130">
        <v>41.844604286491297</v>
      </c>
      <c r="X98" s="130">
        <v>40.734007230550354</v>
      </c>
      <c r="Y98" s="130">
        <v>39.513551667564712</v>
      </c>
      <c r="DA98" s="176" t="s">
        <v>872</v>
      </c>
    </row>
    <row r="99" spans="1:105" ht="11.45" customHeight="1" x14ac:dyDescent="0.25">
      <c r="A99" s="111" t="s">
        <v>110</v>
      </c>
      <c r="B99" s="97">
        <v>16.912617126500798</v>
      </c>
      <c r="C99" s="97">
        <v>16.912617126500795</v>
      </c>
      <c r="D99" s="97">
        <v>16.912617126500802</v>
      </c>
      <c r="E99" s="97">
        <v>16.912617126500795</v>
      </c>
      <c r="F99" s="97">
        <v>16.912617126500795</v>
      </c>
      <c r="G99" s="97">
        <v>16.912617126500798</v>
      </c>
      <c r="H99" s="97">
        <v>16.912617126500802</v>
      </c>
      <c r="I99" s="97">
        <v>16.912617126500795</v>
      </c>
      <c r="J99" s="97">
        <v>16.912617126500798</v>
      </c>
      <c r="K99" s="97">
        <v>16.856674184959662</v>
      </c>
      <c r="L99" s="97">
        <v>16.720930597419635</v>
      </c>
      <c r="M99" s="97">
        <v>16.564690310989178</v>
      </c>
      <c r="N99" s="97">
        <v>16.560945057487526</v>
      </c>
      <c r="O99" s="97">
        <v>16.547387291541135</v>
      </c>
      <c r="P99" s="97">
        <v>16.530520780186396</v>
      </c>
      <c r="Q99" s="97">
        <v>16.414208941392971</v>
      </c>
      <c r="R99" s="97">
        <v>16.292310793762692</v>
      </c>
      <c r="S99" s="97">
        <v>16.277102808116574</v>
      </c>
      <c r="T99" s="97">
        <v>16.277102808116581</v>
      </c>
      <c r="U99" s="97">
        <v>16.277102808116581</v>
      </c>
      <c r="V99" s="97">
        <v>16.277102808116574</v>
      </c>
      <c r="W99" s="97">
        <v>16.272131231824357</v>
      </c>
      <c r="X99" s="97">
        <v>16.267081257767224</v>
      </c>
      <c r="Y99" s="97">
        <v>16.261951016803078</v>
      </c>
      <c r="DA99" s="175" t="s">
        <v>873</v>
      </c>
    </row>
    <row r="100" spans="1:105" ht="11.45" customHeight="1" x14ac:dyDescent="0.25">
      <c r="A100" s="111" t="s">
        <v>111</v>
      </c>
      <c r="B100" s="97">
        <v>57.63763302900869</v>
      </c>
      <c r="C100" s="97">
        <v>55.238008966796805</v>
      </c>
      <c r="D100" s="97">
        <v>54.039040265753734</v>
      </c>
      <c r="E100" s="97">
        <v>53.111611682483577</v>
      </c>
      <c r="F100" s="97">
        <v>52.234446729042077</v>
      </c>
      <c r="G100" s="97">
        <v>51.405491445363225</v>
      </c>
      <c r="H100" s="97">
        <v>50.563660215980484</v>
      </c>
      <c r="I100" s="97">
        <v>49.742700038829597</v>
      </c>
      <c r="J100" s="97">
        <v>49.015313754805433</v>
      </c>
      <c r="K100" s="97">
        <v>48.329527675612709</v>
      </c>
      <c r="L100" s="97">
        <v>47.690022151468263</v>
      </c>
      <c r="M100" s="97">
        <v>47.148119587728111</v>
      </c>
      <c r="N100" s="97">
        <v>46.604500631885948</v>
      </c>
      <c r="O100" s="97">
        <v>46.2033905800917</v>
      </c>
      <c r="P100" s="97">
        <v>45.769772570318501</v>
      </c>
      <c r="Q100" s="97">
        <v>45.388719750271306</v>
      </c>
      <c r="R100" s="97">
        <v>44.858001914006977</v>
      </c>
      <c r="S100" s="97">
        <v>44.445552122097432</v>
      </c>
      <c r="T100" s="97">
        <v>43.938546777228879</v>
      </c>
      <c r="U100" s="97">
        <v>43.258117878914931</v>
      </c>
      <c r="V100" s="97">
        <v>42.572645662682675</v>
      </c>
      <c r="W100" s="97">
        <v>41.683369719188811</v>
      </c>
      <c r="X100" s="97">
        <v>40.616519772933621</v>
      </c>
      <c r="Y100" s="97">
        <v>39.607463341326365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37.777625533564013</v>
      </c>
      <c r="P102" s="97">
        <v>37.77762553356402</v>
      </c>
      <c r="Q102" s="97">
        <v>37.77762553356402</v>
      </c>
      <c r="R102" s="97">
        <v>37.043690846737825</v>
      </c>
      <c r="S102" s="97">
        <v>36.474201690829155</v>
      </c>
      <c r="T102" s="97">
        <v>34.427614331883994</v>
      </c>
      <c r="U102" s="97">
        <v>34.008775316416724</v>
      </c>
      <c r="V102" s="97">
        <v>33.785817141240223</v>
      </c>
      <c r="W102" s="97">
        <v>33.491764697429801</v>
      </c>
      <c r="X102" s="97">
        <v>33.458833853237778</v>
      </c>
      <c r="Y102" s="97">
        <v>33.457356988460567</v>
      </c>
      <c r="DA102" s="175" t="s">
        <v>876</v>
      </c>
    </row>
    <row r="103" spans="1:105" ht="11.45" customHeight="1" x14ac:dyDescent="0.25">
      <c r="A103" s="111" t="s">
        <v>115</v>
      </c>
      <c r="B103" s="97">
        <v>25.297341799565</v>
      </c>
      <c r="C103" s="97">
        <v>25.297341799565004</v>
      </c>
      <c r="D103" s="97">
        <v>25.297341799565</v>
      </c>
      <c r="E103" s="97">
        <v>25.297341799565</v>
      </c>
      <c r="F103" s="97">
        <v>25.297341799564997</v>
      </c>
      <c r="G103" s="97">
        <v>23.047713555419246</v>
      </c>
      <c r="H103" s="97">
        <v>23.047713555419243</v>
      </c>
      <c r="I103" s="97">
        <v>22.974437331316029</v>
      </c>
      <c r="J103" s="97">
        <v>22.883344259150356</v>
      </c>
      <c r="K103" s="97">
        <v>22.883344259150356</v>
      </c>
      <c r="L103" s="97">
        <v>22.883344259150356</v>
      </c>
      <c r="M103" s="97">
        <v>22.883344259150356</v>
      </c>
      <c r="N103" s="97">
        <v>22.883344259150356</v>
      </c>
      <c r="O103" s="97">
        <v>22.883344259150356</v>
      </c>
      <c r="P103" s="97">
        <v>22.10771834080855</v>
      </c>
      <c r="Q103" s="97">
        <v>22.017409692020642</v>
      </c>
      <c r="R103" s="97">
        <v>21.963881682619498</v>
      </c>
      <c r="S103" s="97">
        <v>21.903299944360082</v>
      </c>
      <c r="T103" s="97">
        <v>19.681840560716033</v>
      </c>
      <c r="U103" s="97">
        <v>19.574957391980007</v>
      </c>
      <c r="V103" s="97">
        <v>19.502939522714438</v>
      </c>
      <c r="W103" s="97">
        <v>19.333575210101714</v>
      </c>
      <c r="X103" s="97">
        <v>19.091445405986438</v>
      </c>
      <c r="Y103" s="97">
        <v>18.428992123053551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12.736840651917239</v>
      </c>
      <c r="C105" s="141">
        <v>12.113579861871292</v>
      </c>
      <c r="D105" s="141">
        <v>11.786771487759356</v>
      </c>
      <c r="E105" s="141">
        <v>11.231904700194059</v>
      </c>
      <c r="F105" s="141">
        <v>10.736440337146101</v>
      </c>
      <c r="G105" s="141">
        <v>10.316922663617694</v>
      </c>
      <c r="H105" s="141">
        <v>9.9683202678300145</v>
      </c>
      <c r="I105" s="141">
        <v>9.6113208441740188</v>
      </c>
      <c r="J105" s="141">
        <v>9.2185330723109544</v>
      </c>
      <c r="K105" s="141">
        <v>8.8585327405656109</v>
      </c>
      <c r="L105" s="141">
        <v>8.7019634889303514</v>
      </c>
      <c r="M105" s="141">
        <v>8.6705722856746856</v>
      </c>
      <c r="N105" s="141">
        <v>8.5318649977337806</v>
      </c>
      <c r="O105" s="141">
        <v>8.3838310475209852</v>
      </c>
      <c r="P105" s="141">
        <v>8.224327102167079</v>
      </c>
      <c r="Q105" s="141">
        <v>8.0400212668805739</v>
      </c>
      <c r="R105" s="141">
        <v>7.8942452150645694</v>
      </c>
      <c r="S105" s="141">
        <v>7.6959602517239469</v>
      </c>
      <c r="T105" s="141">
        <v>7.5154080369078784</v>
      </c>
      <c r="U105" s="141">
        <v>7.344284832610831</v>
      </c>
      <c r="V105" s="141">
        <v>7.2418444304416649</v>
      </c>
      <c r="W105" s="141">
        <v>7.186700705175201</v>
      </c>
      <c r="X105" s="141">
        <v>7.0951765227167076</v>
      </c>
      <c r="Y105" s="141">
        <v>7.0211181084640852</v>
      </c>
      <c r="DA105" s="174" t="s">
        <v>878</v>
      </c>
    </row>
    <row r="106" spans="1:105" ht="11.45" customHeight="1" x14ac:dyDescent="0.25">
      <c r="A106" s="111" t="s">
        <v>110</v>
      </c>
      <c r="B106" s="96">
        <v>11.576744653160128</v>
      </c>
      <c r="C106" s="96">
        <v>10.996310766629243</v>
      </c>
      <c r="D106" s="96">
        <v>10.485695400458514</v>
      </c>
      <c r="E106" s="96">
        <v>10.066356556311437</v>
      </c>
      <c r="F106" s="96">
        <v>9.700309436943968</v>
      </c>
      <c r="G106" s="96">
        <v>9.4143556934520998</v>
      </c>
      <c r="H106" s="96">
        <v>9.2107848042850371</v>
      </c>
      <c r="I106" s="96">
        <v>8.9668957324094674</v>
      </c>
      <c r="J106" s="96">
        <v>8.5467638863386117</v>
      </c>
      <c r="K106" s="96">
        <v>8.160956594766219</v>
      </c>
      <c r="L106" s="96">
        <v>7.9766121551221625</v>
      </c>
      <c r="M106" s="96">
        <v>7.9606658445836898</v>
      </c>
      <c r="N106" s="96">
        <v>7.8836690566580492</v>
      </c>
      <c r="O106" s="96">
        <v>7.7644905005452145</v>
      </c>
      <c r="P106" s="96">
        <v>7.630855428113275</v>
      </c>
      <c r="Q106" s="96">
        <v>7.4189741725050213</v>
      </c>
      <c r="R106" s="96">
        <v>7.106500055996916</v>
      </c>
      <c r="S106" s="96">
        <v>6.7713177402038296</v>
      </c>
      <c r="T106" s="96">
        <v>6.4930182975632933</v>
      </c>
      <c r="U106" s="96">
        <v>6.300945839839299</v>
      </c>
      <c r="V106" s="96">
        <v>6.1418568676986167</v>
      </c>
      <c r="W106" s="96">
        <v>6.0117947606835092</v>
      </c>
      <c r="X106" s="96">
        <v>5.9518608150599492</v>
      </c>
      <c r="Y106" s="96">
        <v>6.0048796796405641</v>
      </c>
      <c r="DA106" s="171" t="s">
        <v>879</v>
      </c>
    </row>
    <row r="107" spans="1:105" ht="11.45" customHeight="1" x14ac:dyDescent="0.25">
      <c r="A107" s="111" t="s">
        <v>111</v>
      </c>
      <c r="B107" s="96">
        <v>12.334585517824248</v>
      </c>
      <c r="C107" s="96">
        <v>11.553022260078682</v>
      </c>
      <c r="D107" s="96">
        <v>11.228146660084118</v>
      </c>
      <c r="E107" s="96">
        <v>10.668726704663214</v>
      </c>
      <c r="F107" s="96">
        <v>10.189423766377312</v>
      </c>
      <c r="G107" s="96">
        <v>9.8155367491722298</v>
      </c>
      <c r="H107" s="96">
        <v>9.5278014961616666</v>
      </c>
      <c r="I107" s="96">
        <v>9.2632309436491802</v>
      </c>
      <c r="J107" s="96">
        <v>8.9758100257987721</v>
      </c>
      <c r="K107" s="96">
        <v>8.7129304522568543</v>
      </c>
      <c r="L107" s="96">
        <v>8.6168188173135771</v>
      </c>
      <c r="M107" s="96">
        <v>8.5919303581655857</v>
      </c>
      <c r="N107" s="96">
        <v>8.4471544749677303</v>
      </c>
      <c r="O107" s="96">
        <v>8.3017676684841959</v>
      </c>
      <c r="P107" s="96">
        <v>8.1428477428300603</v>
      </c>
      <c r="Q107" s="96">
        <v>7.9681189006479602</v>
      </c>
      <c r="R107" s="96">
        <v>7.8181072691578697</v>
      </c>
      <c r="S107" s="96">
        <v>7.6135768144610623</v>
      </c>
      <c r="T107" s="96">
        <v>7.4376807493575905</v>
      </c>
      <c r="U107" s="96">
        <v>7.272774758675765</v>
      </c>
      <c r="V107" s="96">
        <v>7.1794791598619225</v>
      </c>
      <c r="W107" s="96">
        <v>7.1318913016331233</v>
      </c>
      <c r="X107" s="96">
        <v>7.057506594445802</v>
      </c>
      <c r="Y107" s="96">
        <v>6.9981503383512447</v>
      </c>
      <c r="DA107" s="171" t="s">
        <v>880</v>
      </c>
    </row>
    <row r="108" spans="1:105" ht="11.45" customHeight="1" x14ac:dyDescent="0.25">
      <c r="A108" s="111" t="s">
        <v>112</v>
      </c>
      <c r="B108" s="96">
        <v>19.274752802961292</v>
      </c>
      <c r="C108" s="96">
        <v>17.836031283586962</v>
      </c>
      <c r="D108" s="96">
        <v>17.422179661743868</v>
      </c>
      <c r="E108" s="96">
        <v>17.083132810204852</v>
      </c>
      <c r="F108" s="96">
        <v>16.348444851900844</v>
      </c>
      <c r="G108" s="96">
        <v>15.703809401510886</v>
      </c>
      <c r="H108" s="96">
        <v>14.995092818122972</v>
      </c>
      <c r="I108" s="96">
        <v>14.494510755411786</v>
      </c>
      <c r="J108" s="96">
        <v>13.550420994916575</v>
      </c>
      <c r="K108" s="96">
        <v>12.679084776409381</v>
      </c>
      <c r="L108" s="96">
        <v>12.092364593747519</v>
      </c>
      <c r="M108" s="96">
        <v>11.752497263461601</v>
      </c>
      <c r="N108" s="96">
        <v>11.540631036694515</v>
      </c>
      <c r="O108" s="96">
        <v>11.431639798076683</v>
      </c>
      <c r="P108" s="96">
        <v>11.342533604280579</v>
      </c>
      <c r="Q108" s="96">
        <v>11.263045925900688</v>
      </c>
      <c r="R108" s="96">
        <v>11.253491080659822</v>
      </c>
      <c r="S108" s="96">
        <v>11.249348968525158</v>
      </c>
      <c r="T108" s="96">
        <v>11.242662834868611</v>
      </c>
      <c r="U108" s="96">
        <v>11.236908863288273</v>
      </c>
      <c r="V108" s="96">
        <v>10.943049134981205</v>
      </c>
      <c r="W108" s="96">
        <v>10.828236153586452</v>
      </c>
      <c r="X108" s="96">
        <v>10.59939111072512</v>
      </c>
      <c r="Y108" s="96">
        <v>10.382070963107005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8.0091480861391222</v>
      </c>
      <c r="K109" s="96">
        <v>7.9188118619073098</v>
      </c>
      <c r="L109" s="96">
        <v>7.8384555727639205</v>
      </c>
      <c r="M109" s="96">
        <v>7.823266778576814</v>
      </c>
      <c r="N109" s="96">
        <v>7.6331102869293357</v>
      </c>
      <c r="O109" s="96">
        <v>7.6022221281967326</v>
      </c>
      <c r="P109" s="96">
        <v>7.2512630497500403</v>
      </c>
      <c r="Q109" s="96">
        <v>7.4898827631385219</v>
      </c>
      <c r="R109" s="96">
        <v>7.549320537129101</v>
      </c>
      <c r="S109" s="96">
        <v>7.2367745524929417</v>
      </c>
      <c r="T109" s="96">
        <v>7.021984647656403</v>
      </c>
      <c r="U109" s="96">
        <v>6.7751179651890379</v>
      </c>
      <c r="V109" s="96">
        <v>6.9042789603091901</v>
      </c>
      <c r="W109" s="96">
        <v>6.9425203216973896</v>
      </c>
      <c r="X109" s="96">
        <v>7.1627888447551458</v>
      </c>
      <c r="Y109" s="96">
        <v>7.325736077868485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1.3721216028622245</v>
      </c>
      <c r="K110" s="96">
        <v>1.3719636117496292</v>
      </c>
      <c r="L110" s="96">
        <v>1.3715806308298879</v>
      </c>
      <c r="M110" s="96">
        <v>1.3682436069795896</v>
      </c>
      <c r="N110" s="96">
        <v>1.3402872772151353</v>
      </c>
      <c r="O110" s="96">
        <v>1.3320367950480017</v>
      </c>
      <c r="P110" s="96">
        <v>1.3298474986213416</v>
      </c>
      <c r="Q110" s="96">
        <v>1.3373914308391102</v>
      </c>
      <c r="R110" s="96">
        <v>1.3524087830065121</v>
      </c>
      <c r="S110" s="96">
        <v>1.3588697411696689</v>
      </c>
      <c r="T110" s="96">
        <v>1.4064238307087846</v>
      </c>
      <c r="U110" s="96">
        <v>1.5070133825599854</v>
      </c>
      <c r="V110" s="96">
        <v>1.6751195319356376</v>
      </c>
      <c r="W110" s="96">
        <v>1.8023895670518364</v>
      </c>
      <c r="X110" s="96">
        <v>1.9135465209312907</v>
      </c>
      <c r="Y110" s="96">
        <v>2.0015764141481878</v>
      </c>
      <c r="DA110" s="171" t="s">
        <v>883</v>
      </c>
    </row>
    <row r="111" spans="1:105" ht="11.45" customHeight="1" x14ac:dyDescent="0.25">
      <c r="A111" s="109" t="s">
        <v>154</v>
      </c>
      <c r="B111" s="130">
        <v>34.312785757521169</v>
      </c>
      <c r="C111" s="130">
        <v>33.639362988207957</v>
      </c>
      <c r="D111" s="130">
        <v>33.584112737841586</v>
      </c>
      <c r="E111" s="130">
        <v>33.470702646650352</v>
      </c>
      <c r="F111" s="130">
        <v>33.315428686755943</v>
      </c>
      <c r="G111" s="130">
        <v>33.156446271034802</v>
      </c>
      <c r="H111" s="130">
        <v>32.982359088539425</v>
      </c>
      <c r="I111" s="130">
        <v>32.792088005913278</v>
      </c>
      <c r="J111" s="130">
        <v>32.491347525714851</v>
      </c>
      <c r="K111" s="130">
        <v>32.272940689252771</v>
      </c>
      <c r="L111" s="130">
        <v>32.070089499553511</v>
      </c>
      <c r="M111" s="130">
        <v>31.551792958066549</v>
      </c>
      <c r="N111" s="130">
        <v>31.254014643728159</v>
      </c>
      <c r="O111" s="130">
        <v>30.810160887745013</v>
      </c>
      <c r="P111" s="130">
        <v>30.360175950416306</v>
      </c>
      <c r="Q111" s="130">
        <v>29.677638938316996</v>
      </c>
      <c r="R111" s="130">
        <v>29.170556498520682</v>
      </c>
      <c r="S111" s="130">
        <v>29.028731674697205</v>
      </c>
      <c r="T111" s="130">
        <v>28.397210541608718</v>
      </c>
      <c r="U111" s="130">
        <v>27.562679453170546</v>
      </c>
      <c r="V111" s="130">
        <v>26.907380628955746</v>
      </c>
      <c r="W111" s="130">
        <v>26.155313124720138</v>
      </c>
      <c r="X111" s="130">
        <v>25.399942015113766</v>
      </c>
      <c r="Y111" s="130">
        <v>24.825261737595287</v>
      </c>
      <c r="DA111" s="176" t="s">
        <v>884</v>
      </c>
    </row>
    <row r="112" spans="1:105" ht="11.45" customHeight="1" x14ac:dyDescent="0.25">
      <c r="A112" s="128" t="s">
        <v>27</v>
      </c>
      <c r="B112" s="97">
        <v>33.80915576360777</v>
      </c>
      <c r="C112" s="97">
        <v>33.240049052301849</v>
      </c>
      <c r="D112" s="97">
        <v>33.203190601845144</v>
      </c>
      <c r="E112" s="97">
        <v>33.115373421245664</v>
      </c>
      <c r="F112" s="97">
        <v>32.998265084814449</v>
      </c>
      <c r="G112" s="97">
        <v>32.864931443114862</v>
      </c>
      <c r="H112" s="97">
        <v>32.706031064475631</v>
      </c>
      <c r="I112" s="97">
        <v>32.541320254776068</v>
      </c>
      <c r="J112" s="97">
        <v>32.253788940668592</v>
      </c>
      <c r="K112" s="97">
        <v>32.041690219458445</v>
      </c>
      <c r="L112" s="97">
        <v>31.867599187092939</v>
      </c>
      <c r="M112" s="97">
        <v>31.355073717255834</v>
      </c>
      <c r="N112" s="97">
        <v>31.080671454832689</v>
      </c>
      <c r="O112" s="97">
        <v>30.658181420473632</v>
      </c>
      <c r="P112" s="97">
        <v>30.212228449187592</v>
      </c>
      <c r="Q112" s="97">
        <v>29.499323260757237</v>
      </c>
      <c r="R112" s="97">
        <v>28.970571050042288</v>
      </c>
      <c r="S112" s="97">
        <v>28.886438949140491</v>
      </c>
      <c r="T112" s="97">
        <v>28.19751694440431</v>
      </c>
      <c r="U112" s="97">
        <v>27.313115634472023</v>
      </c>
      <c r="V112" s="97">
        <v>26.632404134048759</v>
      </c>
      <c r="W112" s="97">
        <v>25.836648687775707</v>
      </c>
      <c r="X112" s="97">
        <v>25.01904531738413</v>
      </c>
      <c r="Y112" s="97">
        <v>24.42843454106881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36.373519788561843</v>
      </c>
      <c r="D113" s="98">
        <v>36.053110598191701</v>
      </c>
      <c r="E113" s="98">
        <v>35.794958082941356</v>
      </c>
      <c r="F113" s="98">
        <v>35.136538693456536</v>
      </c>
      <c r="G113" s="98">
        <v>34.835197013933566</v>
      </c>
      <c r="H113" s="98">
        <v>34.52810107445017</v>
      </c>
      <c r="I113" s="98">
        <v>34.16563137078905</v>
      </c>
      <c r="J113" s="98">
        <v>33.870106699535341</v>
      </c>
      <c r="K113" s="98">
        <v>33.679985234329195</v>
      </c>
      <c r="L113" s="98">
        <v>33.246809467520464</v>
      </c>
      <c r="M113" s="98">
        <v>32.798950128043074</v>
      </c>
      <c r="N113" s="98">
        <v>32.331632468393003</v>
      </c>
      <c r="O113" s="98">
        <v>31.736363964001409</v>
      </c>
      <c r="P113" s="98">
        <v>31.276787066182653</v>
      </c>
      <c r="Q113" s="98">
        <v>30.836138286331511</v>
      </c>
      <c r="R113" s="98">
        <v>30.223589429610783</v>
      </c>
      <c r="S113" s="98">
        <v>29.774735818187072</v>
      </c>
      <c r="T113" s="98">
        <v>29.520395968136992</v>
      </c>
      <c r="U113" s="98">
        <v>28.949656699655346</v>
      </c>
      <c r="V113" s="98">
        <v>28.428599736353149</v>
      </c>
      <c r="W113" s="98">
        <v>27.879968230105813</v>
      </c>
      <c r="X113" s="98">
        <v>27.587571298645514</v>
      </c>
      <c r="Y113" s="98">
        <v>27.1649632663155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1.1278321072927928</v>
      </c>
      <c r="D117" s="150">
        <f>IF(TrRoad_act!D59=0,0,TrRoad_ene!D62/TrRoad_tech!D90)</f>
        <v>1.1285848633152349</v>
      </c>
      <c r="E117" s="150">
        <f>IF(TrRoad_act!E59=0,0,TrRoad_ene!E62/TrRoad_tech!E90)</f>
        <v>1.1298362009761937</v>
      </c>
      <c r="F117" s="150">
        <f>IF(TrRoad_act!F59=0,0,TrRoad_ene!F62/TrRoad_tech!F90)</f>
        <v>1.1320029976307229</v>
      </c>
      <c r="G117" s="150">
        <f>IF(TrRoad_act!G59=0,0,TrRoad_ene!G62/TrRoad_tech!G90)</f>
        <v>1.1283867672272092</v>
      </c>
      <c r="H117" s="150">
        <f>IF(TrRoad_act!H59=0,0,TrRoad_ene!H62/TrRoad_tech!H90)</f>
        <v>1.1385880428522268</v>
      </c>
      <c r="I117" s="150">
        <f>IF(TrRoad_act!I59=0,0,TrRoad_ene!I62/TrRoad_tech!I90)</f>
        <v>1.1436383161960784</v>
      </c>
      <c r="J117" s="150">
        <f>IF(TrRoad_act!J59=0,0,TrRoad_ene!J62/TrRoad_tech!J90)</f>
        <v>1.1487370767420699</v>
      </c>
      <c r="K117" s="150">
        <f>IF(TrRoad_act!K59=0,0,TrRoad_ene!K62/TrRoad_tech!K90)</f>
        <v>1.1543663140688805</v>
      </c>
      <c r="L117" s="150">
        <f>IF(TrRoad_act!L59=0,0,TrRoad_ene!L62/TrRoad_tech!L90)</f>
        <v>1.1607927682490515</v>
      </c>
      <c r="M117" s="150">
        <f>IF(TrRoad_act!M59=0,0,TrRoad_ene!M62/TrRoad_tech!M90)</f>
        <v>1.1674039073037057</v>
      </c>
      <c r="N117" s="150">
        <f>IF(TrRoad_act!N59=0,0,TrRoad_ene!N62/TrRoad_tech!N90)</f>
        <v>1.1754475958842299</v>
      </c>
      <c r="O117" s="150">
        <f>IF(TrRoad_act!O59=0,0,TrRoad_ene!O62/TrRoad_tech!O90)</f>
        <v>1.1822031834052695</v>
      </c>
      <c r="P117" s="150">
        <f>IF(TrRoad_act!P59=0,0,TrRoad_ene!P62/TrRoad_tech!P90)</f>
        <v>1.1907068015817757</v>
      </c>
      <c r="Q117" s="150">
        <f>IF(TrRoad_act!Q59=0,0,TrRoad_ene!Q62/TrRoad_tech!Q90)</f>
        <v>1.2009414072555038</v>
      </c>
      <c r="R117" s="150">
        <f>IF(TrRoad_act!R59=0,0,TrRoad_ene!R62/TrRoad_tech!R90)</f>
        <v>1.2014623870399181</v>
      </c>
      <c r="S117" s="150">
        <f>IF(TrRoad_act!S59=0,0,TrRoad_ene!S62/TrRoad_tech!S90)</f>
        <v>1.2502715145641543</v>
      </c>
      <c r="T117" s="150">
        <f>IF(TrRoad_act!T59=0,0,TrRoad_ene!T62/TrRoad_tech!T90)</f>
        <v>1.2637723434790986</v>
      </c>
      <c r="U117" s="150">
        <f>IF(TrRoad_act!U59=0,0,TrRoad_ene!U62/TrRoad_tech!U90)</f>
        <v>1.2767762399156788</v>
      </c>
      <c r="V117" s="150">
        <f>IF(TrRoad_act!V59=0,0,TrRoad_ene!V62/TrRoad_tech!V90)</f>
        <v>1.2417246324990561</v>
      </c>
      <c r="W117" s="150">
        <f>IF(TrRoad_act!W59=0,0,TrRoad_ene!W62/TrRoad_tech!W90)</f>
        <v>1.3090990701487262</v>
      </c>
      <c r="X117" s="150">
        <f>IF(TrRoad_act!X59=0,0,TrRoad_ene!X62/TrRoad_tech!X90)</f>
        <v>1.3196169943794092</v>
      </c>
      <c r="Y117" s="150">
        <f>IF(TrRoad_act!Y59=0,0,TrRoad_ene!Y62/TrRoad_tech!Y90)</f>
        <v>1.33162341546773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0.94132309011625392</v>
      </c>
      <c r="C118" s="151">
        <f>IF(TrRoad_act!C60=0,0,TrRoad_ene!C63/TrRoad_tech!C91)</f>
        <v>0.94150688800159299</v>
      </c>
      <c r="D118" s="151">
        <f>IF(TrRoad_act!D60=0,0,TrRoad_ene!D63/TrRoad_tech!D91)</f>
        <v>0.93966096979171232</v>
      </c>
      <c r="E118" s="151">
        <f>IF(TrRoad_act!E60=0,0,TrRoad_ene!E63/TrRoad_tech!E91)</f>
        <v>0.94265161509934692</v>
      </c>
      <c r="F118" s="151">
        <f>IF(TrRoad_act!F60=0,0,TrRoad_ene!F63/TrRoad_tech!F91)</f>
        <v>0.95481147404137068</v>
      </c>
      <c r="G118" s="151">
        <f>IF(TrRoad_act!G60=0,0,TrRoad_ene!G63/TrRoad_tech!G91)</f>
        <v>0.95834204006831125</v>
      </c>
      <c r="H118" s="151">
        <f>IF(TrRoad_act!H60=0,0,TrRoad_ene!H63/TrRoad_tech!H91)</f>
        <v>0.96491578299395975</v>
      </c>
      <c r="I118" s="151">
        <f>IF(TrRoad_act!I60=0,0,TrRoad_ene!I63/TrRoad_tech!I91)</f>
        <v>0.96883751981656829</v>
      </c>
      <c r="J118" s="151">
        <f>IF(TrRoad_act!J60=0,0,TrRoad_ene!J63/TrRoad_tech!J91)</f>
        <v>0.97742494894926468</v>
      </c>
      <c r="K118" s="151">
        <f>IF(TrRoad_act!K60=0,0,TrRoad_ene!K63/TrRoad_tech!K91)</f>
        <v>0.98673330309948681</v>
      </c>
      <c r="L118" s="151">
        <f>IF(TrRoad_act!L60=0,0,TrRoad_ene!L63/TrRoad_tech!L91)</f>
        <v>0.99224678853205084</v>
      </c>
      <c r="M118" s="151">
        <f>IF(TrRoad_act!M60=0,0,TrRoad_ene!M63/TrRoad_tech!M91)</f>
        <v>0.99220762506518634</v>
      </c>
      <c r="N118" s="151">
        <f>IF(TrRoad_act!N60=0,0,TrRoad_ene!N63/TrRoad_tech!N91)</f>
        <v>0.99567862452343869</v>
      </c>
      <c r="O118" s="151">
        <f>IF(TrRoad_act!O60=0,0,TrRoad_ene!O63/TrRoad_tech!O91)</f>
        <v>1.0019201668542022</v>
      </c>
      <c r="P118" s="151">
        <f>IF(TrRoad_act!P60=0,0,TrRoad_ene!P63/TrRoad_tech!P91)</f>
        <v>1.0030999292378833</v>
      </c>
      <c r="Q118" s="151">
        <f>IF(TrRoad_act!Q60=0,0,TrRoad_ene!Q63/TrRoad_tech!Q91)</f>
        <v>1.0131299131732812</v>
      </c>
      <c r="R118" s="151">
        <f>IF(TrRoad_act!R60=0,0,TrRoad_ene!R63/TrRoad_tech!R91)</f>
        <v>1.0414135708231278</v>
      </c>
      <c r="S118" s="151">
        <f>IF(TrRoad_act!S60=0,0,TrRoad_ene!S63/TrRoad_tech!S91)</f>
        <v>1.0495870682612214</v>
      </c>
      <c r="T118" s="151">
        <f>IF(TrRoad_act!T60=0,0,TrRoad_ene!T63/TrRoad_tech!T91)</f>
        <v>1.0606045727276741</v>
      </c>
      <c r="U118" s="151">
        <f>IF(TrRoad_act!U60=0,0,TrRoad_ene!U63/TrRoad_tech!U91)</f>
        <v>1.0687575083086114</v>
      </c>
      <c r="V118" s="151">
        <f>IF(TrRoad_act!V60=0,0,TrRoad_ene!V63/TrRoad_tech!V91)</f>
        <v>1.0573034436418762</v>
      </c>
      <c r="W118" s="151">
        <f>IF(TrRoad_act!W60=0,0,TrRoad_ene!W63/TrRoad_tech!W91)</f>
        <v>1.1032481322568832</v>
      </c>
      <c r="X118" s="151">
        <f>IF(TrRoad_act!X60=0,0,TrRoad_ene!X63/TrRoad_tech!X91)</f>
        <v>1.0976880083223104</v>
      </c>
      <c r="Y118" s="151">
        <f>IF(TrRoad_act!Y60=0,0,TrRoad_ene!Y63/TrRoad_tech!Y91)</f>
        <v>1.0972783153076955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0.8952785590381338</v>
      </c>
      <c r="C119" s="91">
        <f>IF(TrRoad_act!C61=0,0,TrRoad_ene!C64/TrRoad_tech!C92)</f>
        <v>0.90108048896339044</v>
      </c>
      <c r="D119" s="91">
        <f>IF(TrRoad_act!D61=0,0,TrRoad_ene!D64/TrRoad_tech!D92)</f>
        <v>0.90310523727803749</v>
      </c>
      <c r="E119" s="91">
        <f>IF(TrRoad_act!E61=0,0,TrRoad_ene!E64/TrRoad_tech!E92)</f>
        <v>0.90813848083167259</v>
      </c>
      <c r="F119" s="91">
        <f>IF(TrRoad_act!F61=0,0,TrRoad_ene!F64/TrRoad_tech!F92)</f>
        <v>0.92822661162434772</v>
      </c>
      <c r="G119" s="91">
        <f>IF(TrRoad_act!G61=0,0,TrRoad_ene!G64/TrRoad_tech!G92)</f>
        <v>0.93203791866535557</v>
      </c>
      <c r="H119" s="91">
        <f>IF(TrRoad_act!H61=0,0,TrRoad_ene!H64/TrRoad_tech!H92)</f>
        <v>0.93634604791769438</v>
      </c>
      <c r="I119" s="91">
        <f>IF(TrRoad_act!I61=0,0,TrRoad_ene!I64/TrRoad_tech!I92)</f>
        <v>0.94131512280355922</v>
      </c>
      <c r="J119" s="91">
        <f>IF(TrRoad_act!J61=0,0,TrRoad_ene!J64/TrRoad_tech!J92)</f>
        <v>0.94669810788603148</v>
      </c>
      <c r="K119" s="91">
        <f>IF(TrRoad_act!K61=0,0,TrRoad_ene!K64/TrRoad_tech!K92)</f>
        <v>0.96381953337638326</v>
      </c>
      <c r="L119" s="91">
        <f>IF(TrRoad_act!L61=0,0,TrRoad_ene!L64/TrRoad_tech!L92)</f>
        <v>0.97234546123718713</v>
      </c>
      <c r="M119" s="91">
        <f>IF(TrRoad_act!M61=0,0,TrRoad_ene!M64/TrRoad_tech!M92)</f>
        <v>0.97320122250303231</v>
      </c>
      <c r="N119" s="91">
        <f>IF(TrRoad_act!N61=0,0,TrRoad_ene!N64/TrRoad_tech!N92)</f>
        <v>0.98599530576104666</v>
      </c>
      <c r="O119" s="91">
        <f>IF(TrRoad_act!O61=0,0,TrRoad_ene!O64/TrRoad_tech!O92)</f>
        <v>0.99450973531844522</v>
      </c>
      <c r="P119" s="91">
        <f>IF(TrRoad_act!P61=0,0,TrRoad_ene!P64/TrRoad_tech!P92)</f>
        <v>0.99520081868553345</v>
      </c>
      <c r="Q119" s="91">
        <f>IF(TrRoad_act!Q61=0,0,TrRoad_ene!Q64/TrRoad_tech!Q92)</f>
        <v>1.0022348537460013</v>
      </c>
      <c r="R119" s="91">
        <f>IF(TrRoad_act!R61=0,0,TrRoad_ene!R64/TrRoad_tech!R92)</f>
        <v>1.0557187441771316</v>
      </c>
      <c r="S119" s="91">
        <f>IF(TrRoad_act!S61=0,0,TrRoad_ene!S64/TrRoad_tech!S92)</f>
        <v>1.0591215610497611</v>
      </c>
      <c r="T119" s="91">
        <f>IF(TrRoad_act!T61=0,0,TrRoad_ene!T64/TrRoad_tech!T92)</f>
        <v>1.0632221452658492</v>
      </c>
      <c r="U119" s="91">
        <f>IF(TrRoad_act!U61=0,0,TrRoad_ene!U64/TrRoad_tech!U92)</f>
        <v>1.0682213467144479</v>
      </c>
      <c r="V119" s="91">
        <f>IF(TrRoad_act!V61=0,0,TrRoad_ene!V64/TrRoad_tech!V92)</f>
        <v>1.0432110756245496</v>
      </c>
      <c r="W119" s="91">
        <f>IF(TrRoad_act!W61=0,0,TrRoad_ene!W64/TrRoad_tech!W92)</f>
        <v>1.1118207228228552</v>
      </c>
      <c r="X119" s="91">
        <f>IF(TrRoad_act!X61=0,0,TrRoad_ene!X64/TrRoad_tech!X92)</f>
        <v>1.0900775104689395</v>
      </c>
      <c r="Y119" s="91">
        <f>IF(TrRoad_act!Y61=0,0,TrRoad_ene!Y64/TrRoad_tech!Y92)</f>
        <v>1.0680950923865522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0.99247762075045398</v>
      </c>
      <c r="C120" s="91">
        <f>IF(TrRoad_act!C62=0,0,TrRoad_ene!C65/TrRoad_tech!C93)</f>
        <v>1.0017982053877994</v>
      </c>
      <c r="D120" s="91">
        <f>IF(TrRoad_act!D62=0,0,TrRoad_ene!D65/TrRoad_tech!D93)</f>
        <v>1.0028395317700276</v>
      </c>
      <c r="E120" s="91">
        <f>IF(TrRoad_act!E62=0,0,TrRoad_ene!E65/TrRoad_tech!E93)</f>
        <v>1.0068442799269912</v>
      </c>
      <c r="F120" s="91">
        <f>IF(TrRoad_act!F62=0,0,TrRoad_ene!F65/TrRoad_tech!F93)</f>
        <v>1.0143401419586671</v>
      </c>
      <c r="G120" s="91">
        <f>IF(TrRoad_act!G62=0,0,TrRoad_ene!G65/TrRoad_tech!G93)</f>
        <v>1.0159507923708675</v>
      </c>
      <c r="H120" s="91">
        <f>IF(TrRoad_act!H62=0,0,TrRoad_ene!H65/TrRoad_tech!H93)</f>
        <v>1.0206367375095422</v>
      </c>
      <c r="I120" s="91">
        <f>IF(TrRoad_act!I62=0,0,TrRoad_ene!I65/TrRoad_tech!I93)</f>
        <v>1.0223722738112393</v>
      </c>
      <c r="J120" s="91">
        <f>IF(TrRoad_act!J62=0,0,TrRoad_ene!J65/TrRoad_tech!J93)</f>
        <v>1.0296426913620005</v>
      </c>
      <c r="K120" s="91">
        <f>IF(TrRoad_act!K62=0,0,TrRoad_ene!K65/TrRoad_tech!K93)</f>
        <v>1.0338039245374278</v>
      </c>
      <c r="L120" s="91">
        <f>IF(TrRoad_act!L62=0,0,TrRoad_ene!L65/TrRoad_tech!L93)</f>
        <v>1.0377585808372707</v>
      </c>
      <c r="M120" s="91">
        <f>IF(TrRoad_act!M62=0,0,TrRoad_ene!M65/TrRoad_tech!M93)</f>
        <v>1.039141984078761</v>
      </c>
      <c r="N120" s="91">
        <f>IF(TrRoad_act!N62=0,0,TrRoad_ene!N65/TrRoad_tech!N93)</f>
        <v>1.0388787962970767</v>
      </c>
      <c r="O120" s="91">
        <f>IF(TrRoad_act!O62=0,0,TrRoad_ene!O65/TrRoad_tech!O93)</f>
        <v>1.0432087550481244</v>
      </c>
      <c r="P120" s="91">
        <f>IF(TrRoad_act!P62=0,0,TrRoad_ene!P65/TrRoad_tech!P93)</f>
        <v>1.04600758810998</v>
      </c>
      <c r="Q120" s="91">
        <f>IF(TrRoad_act!Q62=0,0,TrRoad_ene!Q65/TrRoad_tech!Q93)</f>
        <v>1.0573553959614943</v>
      </c>
      <c r="R120" s="91">
        <f>IF(TrRoad_act!R62=0,0,TrRoad_ene!R65/TrRoad_tech!R93)</f>
        <v>1.0775375122460626</v>
      </c>
      <c r="S120" s="91">
        <f>IF(TrRoad_act!S62=0,0,TrRoad_ene!S65/TrRoad_tech!S93)</f>
        <v>1.0889203452191152</v>
      </c>
      <c r="T120" s="91">
        <f>IF(TrRoad_act!T62=0,0,TrRoad_ene!T65/TrRoad_tech!T93)</f>
        <v>1.10300986627182</v>
      </c>
      <c r="U120" s="91">
        <f>IF(TrRoad_act!U62=0,0,TrRoad_ene!U65/TrRoad_tech!U93)</f>
        <v>1.1052542833997607</v>
      </c>
      <c r="V120" s="91">
        <f>IF(TrRoad_act!V62=0,0,TrRoad_ene!V65/TrRoad_tech!V93)</f>
        <v>1.0987382606478211</v>
      </c>
      <c r="W120" s="91">
        <f>IF(TrRoad_act!W62=0,0,TrRoad_ene!W65/TrRoad_tech!W93)</f>
        <v>1.1199284088785344</v>
      </c>
      <c r="X120" s="91">
        <f>IF(TrRoad_act!X62=0,0,TrRoad_ene!X65/TrRoad_tech!X93)</f>
        <v>1.1245879298314214</v>
      </c>
      <c r="Y120" s="91">
        <f>IF(TrRoad_act!Y62=0,0,TrRoad_ene!Y65/TrRoad_tech!Y93)</f>
        <v>1.1376740054697645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0.85675133830243277</v>
      </c>
      <c r="C121" s="91">
        <f>IF(TrRoad_act!C63=0,0,TrRoad_ene!C66/TrRoad_tech!C94)</f>
        <v>0.93260231323006826</v>
      </c>
      <c r="D121" s="91">
        <f>IF(TrRoad_act!D63=0,0,TrRoad_ene!D66/TrRoad_tech!D94)</f>
        <v>0.76758448490082032</v>
      </c>
      <c r="E121" s="91">
        <f>IF(TrRoad_act!E63=0,0,TrRoad_ene!E66/TrRoad_tech!E94)</f>
        <v>0.72099363598257815</v>
      </c>
      <c r="F121" s="91">
        <f>IF(TrRoad_act!F63=0,0,TrRoad_ene!F66/TrRoad_tech!F94)</f>
        <v>0.72474432472262862</v>
      </c>
      <c r="G121" s="91">
        <f>IF(TrRoad_act!G63=0,0,TrRoad_ene!G66/TrRoad_tech!G94)</f>
        <v>0.79663711848753294</v>
      </c>
      <c r="H121" s="91">
        <f>IF(TrRoad_act!H63=0,0,TrRoad_ene!H66/TrRoad_tech!H94)</f>
        <v>0.85111529857286794</v>
      </c>
      <c r="I121" s="91">
        <f>IF(TrRoad_act!I63=0,0,TrRoad_ene!I66/TrRoad_tech!I94)</f>
        <v>0.79499817235979708</v>
      </c>
      <c r="J121" s="91">
        <f>IF(TrRoad_act!J63=0,0,TrRoad_ene!J66/TrRoad_tech!J94)</f>
        <v>0.82838392106690639</v>
      </c>
      <c r="K121" s="91">
        <f>IF(TrRoad_act!K63=0,0,TrRoad_ene!K66/TrRoad_tech!K94)</f>
        <v>0.88430850848119602</v>
      </c>
      <c r="L121" s="91">
        <f>IF(TrRoad_act!L63=0,0,TrRoad_ene!L66/TrRoad_tech!L94)</f>
        <v>0.9362720932720473</v>
      </c>
      <c r="M121" s="91">
        <f>IF(TrRoad_act!M63=0,0,TrRoad_ene!M66/TrRoad_tech!M94)</f>
        <v>0.92986932229113128</v>
      </c>
      <c r="N121" s="91">
        <f>IF(TrRoad_act!N63=0,0,TrRoad_ene!N66/TrRoad_tech!N94)</f>
        <v>0.89367511656252197</v>
      </c>
      <c r="O121" s="91">
        <f>IF(TrRoad_act!O63=0,0,TrRoad_ene!O66/TrRoad_tech!O94)</f>
        <v>0.91819226143633403</v>
      </c>
      <c r="P121" s="91">
        <f>IF(TrRoad_act!P63=0,0,TrRoad_ene!P66/TrRoad_tech!P94)</f>
        <v>0.93159944684905527</v>
      </c>
      <c r="Q121" s="91">
        <f>IF(TrRoad_act!Q63=0,0,TrRoad_ene!Q66/TrRoad_tech!Q94)</f>
        <v>1.1114823977265891</v>
      </c>
      <c r="R121" s="91">
        <f>IF(TrRoad_act!R63=0,0,TrRoad_ene!R66/TrRoad_tech!R94)</f>
        <v>1.2929438264912851</v>
      </c>
      <c r="S121" s="91">
        <f>IF(TrRoad_act!S63=0,0,TrRoad_ene!S66/TrRoad_tech!S94)</f>
        <v>1.2004984506950083</v>
      </c>
      <c r="T121" s="91">
        <f>IF(TrRoad_act!T63=0,0,TrRoad_ene!T66/TrRoad_tech!T94)</f>
        <v>1.1526113607853958</v>
      </c>
      <c r="U121" s="91">
        <f>IF(TrRoad_act!U63=0,0,TrRoad_ene!U66/TrRoad_tech!U94)</f>
        <v>1.1897468529155539</v>
      </c>
      <c r="V121" s="91">
        <f>IF(TrRoad_act!V63=0,0,TrRoad_ene!V66/TrRoad_tech!V94)</f>
        <v>1.1654868486381185</v>
      </c>
      <c r="W121" s="91">
        <f>IF(TrRoad_act!W63=0,0,TrRoad_ene!W66/TrRoad_tech!W94)</f>
        <v>1.1647143173868069</v>
      </c>
      <c r="X121" s="91">
        <f>IF(TrRoad_act!X63=0,0,TrRoad_ene!X66/TrRoad_tech!X94)</f>
        <v>1.2102766751033653</v>
      </c>
      <c r="Y121" s="91">
        <f>IF(TrRoad_act!Y63=0,0,TrRoad_ene!Y66/TrRoad_tech!Y94)</f>
        <v>1.3040097905711756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0.7443902292137009</v>
      </c>
      <c r="G122" s="91">
        <f>IF(TrRoad_act!G64=0,0,TrRoad_ene!G67/TrRoad_tech!G95)</f>
        <v>0.73136715305644839</v>
      </c>
      <c r="H122" s="91">
        <f>IF(TrRoad_act!H64=0,0,TrRoad_ene!H67/TrRoad_tech!H95)</f>
        <v>0.68269946932162962</v>
      </c>
      <c r="I122" s="91">
        <f>IF(TrRoad_act!I64=0,0,TrRoad_ene!I67/TrRoad_tech!I95)</f>
        <v>0.68218431007551172</v>
      </c>
      <c r="J122" s="91">
        <f>IF(TrRoad_act!J64=0,0,TrRoad_ene!J67/TrRoad_tech!J95)</f>
        <v>0.44329650645728991</v>
      </c>
      <c r="K122" s="91">
        <f>IF(TrRoad_act!K64=0,0,TrRoad_ene!K67/TrRoad_tech!K95)</f>
        <v>0.33323957384577307</v>
      </c>
      <c r="L122" s="91">
        <f>IF(TrRoad_act!L64=0,0,TrRoad_ene!L67/TrRoad_tech!L95)</f>
        <v>0.28211452137777587</v>
      </c>
      <c r="M122" s="91">
        <f>IF(TrRoad_act!M64=0,0,TrRoad_ene!M67/TrRoad_tech!M95)</f>
        <v>0.33364737130474492</v>
      </c>
      <c r="N122" s="91">
        <f>IF(TrRoad_act!N64=0,0,TrRoad_ene!N67/TrRoad_tech!N95)</f>
        <v>0.74427966343582885</v>
      </c>
      <c r="O122" s="91">
        <f>IF(TrRoad_act!O64=0,0,TrRoad_ene!O67/TrRoad_tech!O95)</f>
        <v>1.0564567793334625</v>
      </c>
      <c r="P122" s="91">
        <f>IF(TrRoad_act!P64=0,0,TrRoad_ene!P67/TrRoad_tech!P95)</f>
        <v>1.1416357380864448</v>
      </c>
      <c r="Q122" s="91">
        <f>IF(TrRoad_act!Q64=0,0,TrRoad_ene!Q67/TrRoad_tech!Q95)</f>
        <v>1.1567711247897421</v>
      </c>
      <c r="R122" s="91">
        <f>IF(TrRoad_act!R64=0,0,TrRoad_ene!R67/TrRoad_tech!R95)</f>
        <v>1.1244044951371002</v>
      </c>
      <c r="S122" s="91">
        <f>IF(TrRoad_act!S64=0,0,TrRoad_ene!S67/TrRoad_tech!S95)</f>
        <v>1.1371109715583294</v>
      </c>
      <c r="T122" s="91">
        <f>IF(TrRoad_act!T64=0,0,TrRoad_ene!T67/TrRoad_tech!T95)</f>
        <v>1.1010586984851605</v>
      </c>
      <c r="U122" s="91">
        <f>IF(TrRoad_act!U64=0,0,TrRoad_ene!U67/TrRoad_tech!U95)</f>
        <v>1.5552343462907008</v>
      </c>
      <c r="V122" s="91">
        <f>IF(TrRoad_act!V64=0,0,TrRoad_ene!V67/TrRoad_tech!V95)</f>
        <v>2.2944640423162426</v>
      </c>
      <c r="W122" s="91">
        <f>IF(TrRoad_act!W64=0,0,TrRoad_ene!W67/TrRoad_tech!W95)</f>
        <v>2.9499435774630172</v>
      </c>
      <c r="X122" s="91">
        <f>IF(TrRoad_act!X64=0,0,TrRoad_ene!X67/TrRoad_tech!X95)</f>
        <v>2.4064009991472508</v>
      </c>
      <c r="Y122" s="91">
        <f>IF(TrRoad_act!Y64=0,0,TrRoad_ene!Y67/TrRoad_tech!Y95)</f>
        <v>2.6141674208036481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1.0112968699721117</v>
      </c>
      <c r="N123" s="91">
        <f>IF(TrRoad_act!N65=0,0,TrRoad_ene!N68/TrRoad_tech!N96)</f>
        <v>1.0302521642564419</v>
      </c>
      <c r="O123" s="91">
        <f>IF(TrRoad_act!O65=0,0,TrRoad_ene!O68/TrRoad_tech!O96)</f>
        <v>1.0356843348014342</v>
      </c>
      <c r="P123" s="91">
        <f>IF(TrRoad_act!P65=0,0,TrRoad_ene!P68/TrRoad_tech!P96)</f>
        <v>1.0403664516090008</v>
      </c>
      <c r="Q123" s="91">
        <f>IF(TrRoad_act!Q65=0,0,TrRoad_ene!Q68/TrRoad_tech!Q96)</f>
        <v>1.0484876093861351</v>
      </c>
      <c r="R123" s="91">
        <f>IF(TrRoad_act!R65=0,0,TrRoad_ene!R68/TrRoad_tech!R96)</f>
        <v>1.0845325475422951</v>
      </c>
      <c r="S123" s="91">
        <f>IF(TrRoad_act!S65=0,0,TrRoad_ene!S68/TrRoad_tech!S96)</f>
        <v>1.0865511577136522</v>
      </c>
      <c r="T123" s="91">
        <f>IF(TrRoad_act!T65=0,0,TrRoad_ene!T68/TrRoad_tech!T96)</f>
        <v>1.0871621323524627</v>
      </c>
      <c r="U123" s="91">
        <f>IF(TrRoad_act!U65=0,0,TrRoad_ene!U68/TrRoad_tech!U96)</f>
        <v>1.0879221674910238</v>
      </c>
      <c r="V123" s="91">
        <f>IF(TrRoad_act!V65=0,0,TrRoad_ene!V68/TrRoad_tech!V96)</f>
        <v>1.0771971159848175</v>
      </c>
      <c r="W123" s="91">
        <f>IF(TrRoad_act!W65=0,0,TrRoad_ene!W68/TrRoad_tech!W96)</f>
        <v>1.1114237473355879</v>
      </c>
      <c r="X123" s="91">
        <f>IF(TrRoad_act!X65=0,0,TrRoad_ene!X68/TrRoad_tech!X96)</f>
        <v>1.1000102887150205</v>
      </c>
      <c r="Y123" s="91">
        <f>IF(TrRoad_act!Y65=0,0,TrRoad_ene!Y68/TrRoad_tech!Y96)</f>
        <v>1.0903108792752616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1.0483207520776441</v>
      </c>
      <c r="L124" s="91">
        <f>IF(TrRoad_act!L66=0,0,TrRoad_ene!L69/TrRoad_tech!L97)</f>
        <v>1.0548721191110406</v>
      </c>
      <c r="M124" s="91">
        <f>IF(TrRoad_act!M66=0,0,TrRoad_ene!M69/TrRoad_tech!M97)</f>
        <v>1.0598655069820961</v>
      </c>
      <c r="N124" s="91">
        <f>IF(TrRoad_act!N66=0,0,TrRoad_ene!N69/TrRoad_tech!N97)</f>
        <v>1.0640861752263642</v>
      </c>
      <c r="O124" s="91">
        <f>IF(TrRoad_act!O66=0,0,TrRoad_ene!O69/TrRoad_tech!O97)</f>
        <v>1.0686883019597939</v>
      </c>
      <c r="P124" s="91">
        <f>IF(TrRoad_act!P66=0,0,TrRoad_ene!P69/TrRoad_tech!P97)</f>
        <v>1.0755615732777359</v>
      </c>
      <c r="Q124" s="91">
        <f>IF(TrRoad_act!Q66=0,0,TrRoad_ene!Q69/TrRoad_tech!Q97)</f>
        <v>1.0810063344178102</v>
      </c>
      <c r="R124" s="91">
        <f>IF(TrRoad_act!R66=0,0,TrRoad_ene!R69/TrRoad_tech!R97)</f>
        <v>1.085272532704828</v>
      </c>
      <c r="S124" s="91">
        <f>IF(TrRoad_act!S66=0,0,TrRoad_ene!S69/TrRoad_tech!S97)</f>
        <v>1.0885638974444283</v>
      </c>
      <c r="T124" s="91">
        <f>IF(TrRoad_act!T66=0,0,TrRoad_ene!T69/TrRoad_tech!T97)</f>
        <v>1.0927667503306413</v>
      </c>
      <c r="U124" s="91">
        <f>IF(TrRoad_act!U66=0,0,TrRoad_ene!U69/TrRoad_tech!U97)</f>
        <v>1.0953363814295212</v>
      </c>
      <c r="V124" s="91">
        <f>IF(TrRoad_act!V66=0,0,TrRoad_ene!V69/TrRoad_tech!V97)</f>
        <v>1.0973311184517058</v>
      </c>
      <c r="W124" s="91">
        <f>IF(TrRoad_act!W66=0,0,TrRoad_ene!W69/TrRoad_tech!W97)</f>
        <v>1.0984152003536702</v>
      </c>
      <c r="X124" s="91">
        <f>IF(TrRoad_act!X66=0,0,TrRoad_ene!X69/TrRoad_tech!X97)</f>
        <v>1.0992920019953825</v>
      </c>
      <c r="Y124" s="91">
        <f>IF(TrRoad_act!Y66=0,0,TrRoad_ene!Y69/TrRoad_tech!Y97)</f>
        <v>1.1000665416476998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1.0388918675251668</v>
      </c>
      <c r="C125" s="151">
        <f>IF(TrRoad_act!C67=0,0,TrRoad_ene!C70/TrRoad_tech!C98)</f>
        <v>1.050959173400136</v>
      </c>
      <c r="D125" s="151">
        <f>IF(TrRoad_act!D67=0,0,TrRoad_ene!D70/TrRoad_tech!D98)</f>
        <v>1.0465359118601889</v>
      </c>
      <c r="E125" s="151">
        <f>IF(TrRoad_act!E67=0,0,TrRoad_ene!E70/TrRoad_tech!E98)</f>
        <v>1.0602761329304566</v>
      </c>
      <c r="F125" s="151">
        <f>IF(TrRoad_act!F67=0,0,TrRoad_ene!F70/TrRoad_tech!F98)</f>
        <v>1.0746547934118578</v>
      </c>
      <c r="G125" s="151">
        <f>IF(TrRoad_act!G67=0,0,TrRoad_ene!G70/TrRoad_tech!G98)</f>
        <v>1.0806645105293478</v>
      </c>
      <c r="H125" s="151">
        <f>IF(TrRoad_act!H67=0,0,TrRoad_ene!H70/TrRoad_tech!H98)</f>
        <v>1.0932175979639358</v>
      </c>
      <c r="I125" s="151">
        <f>IF(TrRoad_act!I67=0,0,TrRoad_ene!I70/TrRoad_tech!I98)</f>
        <v>1.1019231607988913</v>
      </c>
      <c r="J125" s="151">
        <f>IF(TrRoad_act!J67=0,0,TrRoad_ene!J70/TrRoad_tech!J98)</f>
        <v>1.1182628785539799</v>
      </c>
      <c r="K125" s="151">
        <f>IF(TrRoad_act!K67=0,0,TrRoad_ene!K70/TrRoad_tech!K98)</f>
        <v>1.1265457604059772</v>
      </c>
      <c r="L125" s="151">
        <f>IF(TrRoad_act!L67=0,0,TrRoad_ene!L70/TrRoad_tech!L98)</f>
        <v>1.1398713234699929</v>
      </c>
      <c r="M125" s="151">
        <f>IF(TrRoad_act!M67=0,0,TrRoad_ene!M70/TrRoad_tech!M98)</f>
        <v>1.1412444802770951</v>
      </c>
      <c r="N125" s="151">
        <f>IF(TrRoad_act!N67=0,0,TrRoad_ene!N70/TrRoad_tech!N98)</f>
        <v>1.1441227523763453</v>
      </c>
      <c r="O125" s="151">
        <f>IF(TrRoad_act!O67=0,0,TrRoad_ene!O70/TrRoad_tech!O98)</f>
        <v>1.1589318180586035</v>
      </c>
      <c r="P125" s="151">
        <f>IF(TrRoad_act!P67=0,0,TrRoad_ene!P70/TrRoad_tech!P98)</f>
        <v>1.1731582836901246</v>
      </c>
      <c r="Q125" s="151">
        <f>IF(TrRoad_act!Q67=0,0,TrRoad_ene!Q70/TrRoad_tech!Q98)</f>
        <v>1.2030366858815715</v>
      </c>
      <c r="R125" s="151">
        <f>IF(TrRoad_act!R67=0,0,TrRoad_ene!R70/TrRoad_tech!R98)</f>
        <v>1.270571216696561</v>
      </c>
      <c r="S125" s="151">
        <f>IF(TrRoad_act!S67=0,0,TrRoad_ene!S70/TrRoad_tech!S98)</f>
        <v>1.3125462188214225</v>
      </c>
      <c r="T125" s="151">
        <f>IF(TrRoad_act!T67=0,0,TrRoad_ene!T70/TrRoad_tech!T98)</f>
        <v>1.3606859853554374</v>
      </c>
      <c r="U125" s="151">
        <f>IF(TrRoad_act!U67=0,0,TrRoad_ene!U70/TrRoad_tech!U98)</f>
        <v>1.3674869711106798</v>
      </c>
      <c r="V125" s="151">
        <f>IF(TrRoad_act!V67=0,0,TrRoad_ene!V70/TrRoad_tech!V98)</f>
        <v>1.3691333094515001</v>
      </c>
      <c r="W125" s="151">
        <f>IF(TrRoad_act!W67=0,0,TrRoad_ene!W70/TrRoad_tech!W98)</f>
        <v>1.4359449492248009</v>
      </c>
      <c r="X125" s="151">
        <f>IF(TrRoad_act!X67=0,0,TrRoad_ene!X70/TrRoad_tech!X98)</f>
        <v>1.4602748369916945</v>
      </c>
      <c r="Y125" s="151">
        <f>IF(TrRoad_act!Y67=0,0,TrRoad_ene!Y70/TrRoad_tech!Y98)</f>
        <v>1.4955696493892352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1.1000000000067298</v>
      </c>
      <c r="E126" s="93">
        <f>IF(TrRoad_act!E68=0,0,TrRoad_ene!E71/TrRoad_tech!E99)</f>
        <v>1.1000000000067303</v>
      </c>
      <c r="F126" s="93">
        <f>IF(TrRoad_act!F68=0,0,TrRoad_ene!F71/TrRoad_tech!F99)</f>
        <v>1.1000000000067303</v>
      </c>
      <c r="G126" s="93">
        <f>IF(TrRoad_act!G68=0,0,TrRoad_ene!G71/TrRoad_tech!G99)</f>
        <v>1.10000000000673</v>
      </c>
      <c r="H126" s="93">
        <f>IF(TrRoad_act!H68=0,0,TrRoad_ene!H71/TrRoad_tech!H99)</f>
        <v>1.1000000000067298</v>
      </c>
      <c r="I126" s="93">
        <f>IF(TrRoad_act!I68=0,0,TrRoad_ene!I71/TrRoad_tech!I99)</f>
        <v>1.1000000000067303</v>
      </c>
      <c r="J126" s="93">
        <f>IF(TrRoad_act!J68=0,0,TrRoad_ene!J71/TrRoad_tech!J99)</f>
        <v>1.10000000000673</v>
      </c>
      <c r="K126" s="93">
        <f>IF(TrRoad_act!K68=0,0,TrRoad_ene!K71/TrRoad_tech!K99)</f>
        <v>1.1007652523512523</v>
      </c>
      <c r="L126" s="93">
        <f>IF(TrRoad_act!L68=0,0,TrRoad_ene!L71/TrRoad_tech!L99)</f>
        <v>1.1027225069855457</v>
      </c>
      <c r="M126" s="93">
        <f>IF(TrRoad_act!M68=0,0,TrRoad_ene!M71/TrRoad_tech!M99)</f>
        <v>1.104942477191287</v>
      </c>
      <c r="N126" s="93">
        <f>IF(TrRoad_act!N68=0,0,TrRoad_ene!N71/TrRoad_tech!N99)</f>
        <v>1.1049968101919703</v>
      </c>
      <c r="O126" s="93">
        <f>IF(TrRoad_act!O68=0,0,TrRoad_ene!O71/TrRoad_tech!O99)</f>
        <v>1.1051937005702619</v>
      </c>
      <c r="P126" s="93">
        <f>IF(TrRoad_act!P68=0,0,TrRoad_ene!P71/TrRoad_tech!P99)</f>
        <v>1.1054390924597737</v>
      </c>
      <c r="Q126" s="93">
        <f>IF(TrRoad_act!Q68=0,0,TrRoad_ene!Q71/TrRoad_tech!Q99)</f>
        <v>1.1074547438858726</v>
      </c>
      <c r="R126" s="93">
        <f>IF(TrRoad_act!R68=0,0,TrRoad_ene!R71/TrRoad_tech!R99)</f>
        <v>1.1096168626184202</v>
      </c>
      <c r="S126" s="93">
        <f>IF(TrRoad_act!S68=0,0,TrRoad_ene!S71/TrRoad_tech!S99)</f>
        <v>1.1098618437303138</v>
      </c>
      <c r="T126" s="93">
        <f>IF(TrRoad_act!T68=0,0,TrRoad_ene!T71/TrRoad_tech!T99)</f>
        <v>1.1098618437303134</v>
      </c>
      <c r="U126" s="93">
        <f>IF(TrRoad_act!U68=0,0,TrRoad_ene!U71/TrRoad_tech!U99)</f>
        <v>1.1098618437303134</v>
      </c>
      <c r="V126" s="93">
        <f>IF(TrRoad_act!V68=0,0,TrRoad_ene!V71/TrRoad_tech!V99)</f>
        <v>1.1098618437303138</v>
      </c>
      <c r="W126" s="93">
        <f>IF(TrRoad_act!W68=0,0,TrRoad_ene!W71/TrRoad_tech!W99)</f>
        <v>1.1099420287543764</v>
      </c>
      <c r="X126" s="93">
        <f>IF(TrRoad_act!X68=0,0,TrRoad_ene!X71/TrRoad_tech!X99)</f>
        <v>1.1100235284098907</v>
      </c>
      <c r="Y126" s="93">
        <f>IF(TrRoad_act!Y68=0,0,TrRoad_ene!Y71/TrRoad_tech!Y99)</f>
        <v>1.1101063752940952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1.0377840941915204</v>
      </c>
      <c r="C127" s="93">
        <f>IF(TrRoad_act!C69=0,0,TrRoad_ene!C72/TrRoad_tech!C100)</f>
        <v>1.0614487635925238</v>
      </c>
      <c r="D127" s="93">
        <f>IF(TrRoad_act!D69=0,0,TrRoad_ene!D72/TrRoad_tech!D100)</f>
        <v>1.0617299550720289</v>
      </c>
      <c r="E127" s="93">
        <f>IF(TrRoad_act!E69=0,0,TrRoad_ene!E72/TrRoad_tech!E100)</f>
        <v>1.0789418320862425</v>
      </c>
      <c r="F127" s="93">
        <f>IF(TrRoad_act!F69=0,0,TrRoad_ene!F72/TrRoad_tech!F100)</f>
        <v>1.0959262380904713</v>
      </c>
      <c r="G127" s="93">
        <f>IF(TrRoad_act!G69=0,0,TrRoad_ene!G72/TrRoad_tech!G100)</f>
        <v>1.1033689787480137</v>
      </c>
      <c r="H127" s="93">
        <f>IF(TrRoad_act!H69=0,0,TrRoad_ene!H72/TrRoad_tech!H100)</f>
        <v>1.1167673741111419</v>
      </c>
      <c r="I127" s="93">
        <f>IF(TrRoad_act!I69=0,0,TrRoad_ene!I72/TrRoad_tech!I100)</f>
        <v>1.1252893700197775</v>
      </c>
      <c r="J127" s="93">
        <f>IF(TrRoad_act!J69=0,0,TrRoad_ene!J72/TrRoad_tech!J100)</f>
        <v>1.1412079331757594</v>
      </c>
      <c r="K127" s="93">
        <f>IF(TrRoad_act!K69=0,0,TrRoad_ene!K72/TrRoad_tech!K100)</f>
        <v>1.1481536266499708</v>
      </c>
      <c r="L127" s="93">
        <f>IF(TrRoad_act!L69=0,0,TrRoad_ene!L72/TrRoad_tech!L100)</f>
        <v>1.1600943898963338</v>
      </c>
      <c r="M127" s="93">
        <f>IF(TrRoad_act!M69=0,0,TrRoad_ene!M72/TrRoad_tech!M100)</f>
        <v>1.1598132133864181</v>
      </c>
      <c r="N127" s="93">
        <f>IF(TrRoad_act!N69=0,0,TrRoad_ene!N72/TrRoad_tech!N100)</f>
        <v>1.1605623585241915</v>
      </c>
      <c r="O127" s="93">
        <f>IF(TrRoad_act!O69=0,0,TrRoad_ene!O72/TrRoad_tech!O100)</f>
        <v>1.1744267515477069</v>
      </c>
      <c r="P127" s="93">
        <f>IF(TrRoad_act!P69=0,0,TrRoad_ene!P72/TrRoad_tech!P100)</f>
        <v>1.1878274609448856</v>
      </c>
      <c r="Q127" s="93">
        <f>IF(TrRoad_act!Q69=0,0,TrRoad_ene!Q72/TrRoad_tech!Q100)</f>
        <v>1.2171033659689123</v>
      </c>
      <c r="R127" s="93">
        <f>IF(TrRoad_act!R69=0,0,TrRoad_ene!R72/TrRoad_tech!R100)</f>
        <v>1.2825978589335358</v>
      </c>
      <c r="S127" s="93">
        <f>IF(TrRoad_act!S69=0,0,TrRoad_ene!S72/TrRoad_tech!S100)</f>
        <v>1.3246486557175181</v>
      </c>
      <c r="T127" s="93">
        <f>IF(TrRoad_act!T69=0,0,TrRoad_ene!T72/TrRoad_tech!T100)</f>
        <v>1.3738386436233907</v>
      </c>
      <c r="U127" s="93">
        <f>IF(TrRoad_act!U69=0,0,TrRoad_ene!U72/TrRoad_tech!U100)</f>
        <v>1.3817839135648244</v>
      </c>
      <c r="V127" s="93">
        <f>IF(TrRoad_act!V69=0,0,TrRoad_ene!V72/TrRoad_tech!V100)</f>
        <v>1.3834154883775549</v>
      </c>
      <c r="W127" s="93">
        <f>IF(TrRoad_act!W69=0,0,TrRoad_ene!W72/TrRoad_tech!W100)</f>
        <v>1.4384642109434909</v>
      </c>
      <c r="X127" s="93">
        <f>IF(TrRoad_act!X69=0,0,TrRoad_ene!X72/TrRoad_tech!X100)</f>
        <v>1.4666980097286664</v>
      </c>
      <c r="Y127" s="93">
        <f>IF(TrRoad_act!Y69=0,0,TrRoad_ene!Y72/TrRoad_tech!Y100)</f>
        <v>1.5019781994625756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0.99169952858795163</v>
      </c>
      <c r="P129" s="93">
        <f>IF(TrRoad_act!P71=0,0,TrRoad_ene!P74/TrRoad_tech!P102)</f>
        <v>1.3315664455619278</v>
      </c>
      <c r="Q129" s="93">
        <f>IF(TrRoad_act!Q71=0,0,TrRoad_ene!Q74/TrRoad_tech!Q102)</f>
        <v>1.3451072167206897</v>
      </c>
      <c r="R129" s="93">
        <f>IF(TrRoad_act!R71=0,0,TrRoad_ene!R74/TrRoad_tech!R102)</f>
        <v>1.3183050940909022</v>
      </c>
      <c r="S129" s="93">
        <f>IF(TrRoad_act!S71=0,0,TrRoad_ene!S74/TrRoad_tech!S102)</f>
        <v>1.3415532981945772</v>
      </c>
      <c r="T129" s="93">
        <f>IF(TrRoad_act!T71=0,0,TrRoad_ene!T74/TrRoad_tech!T102)</f>
        <v>1.3432322683828142</v>
      </c>
      <c r="U129" s="93">
        <f>IF(TrRoad_act!U71=0,0,TrRoad_ene!U74/TrRoad_tech!U102)</f>
        <v>1.9094836107817514</v>
      </c>
      <c r="V129" s="93">
        <f>IF(TrRoad_act!V71=0,0,TrRoad_ene!V74/TrRoad_tech!V102)</f>
        <v>2.8276886329793003</v>
      </c>
      <c r="W129" s="93">
        <f>IF(TrRoad_act!W71=0,0,TrRoad_ene!W74/TrRoad_tech!W102)</f>
        <v>3.6566825642059464</v>
      </c>
      <c r="X129" s="93">
        <f>IF(TrRoad_act!X71=0,0,TrRoad_ene!X74/TrRoad_tech!X102)</f>
        <v>2.9844413412232496</v>
      </c>
      <c r="Y129" s="93">
        <f>IF(TrRoad_act!Y71=0,0,TrRoad_ene!Y74/TrRoad_tech!Y102)</f>
        <v>3.2419646152460304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1.1000000000067303</v>
      </c>
      <c r="D130" s="93">
        <f>IF(TrRoad_act!D72=0,0,TrRoad_ene!D75/TrRoad_tech!D103)</f>
        <v>1.1000000000067303</v>
      </c>
      <c r="E130" s="93">
        <f>IF(TrRoad_act!E72=0,0,TrRoad_ene!E75/TrRoad_tech!E103)</f>
        <v>1.1000000000067303</v>
      </c>
      <c r="F130" s="93">
        <f>IF(TrRoad_act!F72=0,0,TrRoad_ene!F75/TrRoad_tech!F103)</f>
        <v>1.1000000000067303</v>
      </c>
      <c r="G130" s="93">
        <f>IF(TrRoad_act!G72=0,0,TrRoad_ene!G75/TrRoad_tech!G103)</f>
        <v>1.1308421272397093</v>
      </c>
      <c r="H130" s="93">
        <f>IF(TrRoad_act!H72=0,0,TrRoad_ene!H75/TrRoad_tech!H103)</f>
        <v>1.1308421272397096</v>
      </c>
      <c r="I130" s="93">
        <f>IF(TrRoad_act!I72=0,0,TrRoad_ene!I75/TrRoad_tech!I103)</f>
        <v>1.1319483094134841</v>
      </c>
      <c r="J130" s="93">
        <f>IF(TrRoad_act!J72=0,0,TrRoad_ene!J75/TrRoad_tech!J103)</f>
        <v>1.1333333333400337</v>
      </c>
      <c r="K130" s="93">
        <f>IF(TrRoad_act!K72=0,0,TrRoad_ene!K75/TrRoad_tech!K103)</f>
        <v>1.1333333333400333</v>
      </c>
      <c r="L130" s="93">
        <f>IF(TrRoad_act!L72=0,0,TrRoad_ene!L75/TrRoad_tech!L103)</f>
        <v>1.1333333333400333</v>
      </c>
      <c r="M130" s="93">
        <f>IF(TrRoad_act!M72=0,0,TrRoad_ene!M75/TrRoad_tech!M103)</f>
        <v>1.1333333333400333</v>
      </c>
      <c r="N130" s="93">
        <f>IF(TrRoad_act!N72=0,0,TrRoad_ene!N75/TrRoad_tech!N103)</f>
        <v>1.1333333333400333</v>
      </c>
      <c r="O130" s="93">
        <f>IF(TrRoad_act!O72=0,0,TrRoad_ene!O75/TrRoad_tech!O103)</f>
        <v>1.1333333333400333</v>
      </c>
      <c r="P130" s="93">
        <f>IF(TrRoad_act!P72=0,0,TrRoad_ene!P75/TrRoad_tech!P103)</f>
        <v>1.160748087021706</v>
      </c>
      <c r="Q130" s="93">
        <f>IF(TrRoad_act!Q72=0,0,TrRoad_ene!Q75/TrRoad_tech!Q103)</f>
        <v>1.1640656154262887</v>
      </c>
      <c r="R130" s="93">
        <f>IF(TrRoad_act!R72=0,0,TrRoad_ene!R75/TrRoad_tech!R103)</f>
        <v>1.1660448680354809</v>
      </c>
      <c r="S130" s="93">
        <f>IF(TrRoad_act!S72=0,0,TrRoad_ene!S75/TrRoad_tech!S103)</f>
        <v>1.1682966095588667</v>
      </c>
      <c r="T130" s="93">
        <f>IF(TrRoad_act!T72=0,0,TrRoad_ene!T75/TrRoad_tech!T103)</f>
        <v>1.3402704049142131</v>
      </c>
      <c r="U130" s="93">
        <f>IF(TrRoad_act!U72=0,0,TrRoad_ene!U75/TrRoad_tech!U103)</f>
        <v>1.3451366054438896</v>
      </c>
      <c r="V130" s="93">
        <f>IF(TrRoad_act!V72=0,0,TrRoad_ene!V75/TrRoad_tech!V103)</f>
        <v>1.3471196500385363</v>
      </c>
      <c r="W130" s="93">
        <f>IF(TrRoad_act!W72=0,0,TrRoad_ene!W75/TrRoad_tech!W103)</f>
        <v>1.3503879541054606</v>
      </c>
      <c r="X130" s="93">
        <f>IF(TrRoad_act!X72=0,0,TrRoad_ene!X75/TrRoad_tech!X103)</f>
        <v>1.3537156849076226</v>
      </c>
      <c r="Y130" s="93">
        <f>IF(TrRoad_act!Y72=0,0,TrRoad_ene!Y75/TrRoad_tech!Y103)</f>
        <v>1.3609517814354408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1.0776954166916959</v>
      </c>
      <c r="C132" s="150">
        <f>IF(TrRoad_act!C74=0,0,TrRoad_ene!C77/TrRoad_tech!C105)</f>
        <v>1.0627380879288961</v>
      </c>
      <c r="D132" s="150">
        <f>IF(TrRoad_act!D74=0,0,TrRoad_ene!D77/TrRoad_tech!D105)</f>
        <v>1.0605260590168184</v>
      </c>
      <c r="E132" s="150">
        <f>IF(TrRoad_act!E74=0,0,TrRoad_ene!E77/TrRoad_tech!E105)</f>
        <v>1.0588184914734857</v>
      </c>
      <c r="F132" s="150">
        <f>IF(TrRoad_act!F74=0,0,TrRoad_ene!F77/TrRoad_tech!F105)</f>
        <v>1.0591377659315921</v>
      </c>
      <c r="G132" s="150">
        <f>IF(TrRoad_act!G74=0,0,TrRoad_ene!G77/TrRoad_tech!G105)</f>
        <v>1.0626579857657712</v>
      </c>
      <c r="H132" s="150">
        <f>IF(TrRoad_act!H74=0,0,TrRoad_ene!H77/TrRoad_tech!H105)</f>
        <v>1.0689709762777331</v>
      </c>
      <c r="I132" s="150">
        <f>IF(TrRoad_act!I74=0,0,TrRoad_ene!I77/TrRoad_tech!I105)</f>
        <v>1.0796335087764091</v>
      </c>
      <c r="J132" s="150">
        <f>IF(TrRoad_act!J74=0,0,TrRoad_ene!J77/TrRoad_tech!J105)</f>
        <v>1.0928221699371476</v>
      </c>
      <c r="K132" s="150">
        <f>IF(TrRoad_act!K74=0,0,TrRoad_ene!K77/TrRoad_tech!K105)</f>
        <v>1.107989873662093</v>
      </c>
      <c r="L132" s="150">
        <f>IF(TrRoad_act!L74=0,0,TrRoad_ene!L77/TrRoad_tech!L105)</f>
        <v>1.1173883233963946</v>
      </c>
      <c r="M132" s="150">
        <f>IF(TrRoad_act!M74=0,0,TrRoad_ene!M77/TrRoad_tech!M105)</f>
        <v>1.1225222491048537</v>
      </c>
      <c r="N132" s="150">
        <f>IF(TrRoad_act!N74=0,0,TrRoad_ene!N77/TrRoad_tech!N105)</f>
        <v>1.1337878254503084</v>
      </c>
      <c r="O132" s="150">
        <f>IF(TrRoad_act!O74=0,0,TrRoad_ene!O77/TrRoad_tech!O105)</f>
        <v>1.1467809889819334</v>
      </c>
      <c r="P132" s="150">
        <f>IF(TrRoad_act!P74=0,0,TrRoad_ene!P77/TrRoad_tech!P105)</f>
        <v>1.1607462254492327</v>
      </c>
      <c r="Q132" s="150">
        <f>IF(TrRoad_act!Q74=0,0,TrRoad_ene!Q77/TrRoad_tech!Q105)</f>
        <v>1.1775682409517594</v>
      </c>
      <c r="R132" s="150">
        <f>IF(TrRoad_act!R74=0,0,TrRoad_ene!R77/TrRoad_tech!R105)</f>
        <v>1.1897993274457794</v>
      </c>
      <c r="S132" s="150">
        <f>IF(TrRoad_act!S74=0,0,TrRoad_ene!S77/TrRoad_tech!S105)</f>
        <v>1.2039019805133764</v>
      </c>
      <c r="T132" s="150">
        <f>IF(TrRoad_act!T74=0,0,TrRoad_ene!T77/TrRoad_tech!T105)</f>
        <v>1.2194369417691027</v>
      </c>
      <c r="U132" s="150">
        <f>IF(TrRoad_act!U74=0,0,TrRoad_ene!U77/TrRoad_tech!U105)</f>
        <v>1.2373057989144274</v>
      </c>
      <c r="V132" s="150">
        <f>IF(TrRoad_act!V74=0,0,TrRoad_ene!V77/TrRoad_tech!V105)</f>
        <v>1.2563364516097322</v>
      </c>
      <c r="W132" s="150">
        <f>IF(TrRoad_act!W74=0,0,TrRoad_ene!W77/TrRoad_tech!W105)</f>
        <v>1.269593021893781</v>
      </c>
      <c r="X132" s="150">
        <f>IF(TrRoad_act!X74=0,0,TrRoad_ene!X77/TrRoad_tech!X105)</f>
        <v>1.2795570961587497</v>
      </c>
      <c r="Y132" s="150">
        <f>IF(TrRoad_act!Y74=0,0,TrRoad_ene!Y77/TrRoad_tech!Y105)</f>
        <v>1.2966136464536155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1.1001987463721914</v>
      </c>
      <c r="D133" s="91">
        <f>IF(TrRoad_act!D75=0,0,TrRoad_ene!D78/TrRoad_tech!D106)</f>
        <v>1.1006617910492942</v>
      </c>
      <c r="E133" s="91">
        <f>IF(TrRoad_act!E75=0,0,TrRoad_ene!E78/TrRoad_tech!E106)</f>
        <v>1.1013737423137124</v>
      </c>
      <c r="F133" s="91">
        <f>IF(TrRoad_act!F75=0,0,TrRoad_ene!F78/TrRoad_tech!F106)</f>
        <v>1.1023342312844222</v>
      </c>
      <c r="G133" s="91">
        <f>IF(TrRoad_act!G75=0,0,TrRoad_ene!G78/TrRoad_tech!G106)</f>
        <v>1.1033704984766264</v>
      </c>
      <c r="H133" s="91">
        <f>IF(TrRoad_act!H75=0,0,TrRoad_ene!H78/TrRoad_tech!H106)</f>
        <v>1.1040790037823982</v>
      </c>
      <c r="I133" s="91">
        <f>IF(TrRoad_act!I75=0,0,TrRoad_ene!I78/TrRoad_tech!I106)</f>
        <v>1.1053086985066529</v>
      </c>
      <c r="J133" s="91">
        <f>IF(TrRoad_act!J75=0,0,TrRoad_ene!J78/TrRoad_tech!J106)</f>
        <v>1.1107793722500516</v>
      </c>
      <c r="K133" s="91">
        <f>IF(TrRoad_act!K75=0,0,TrRoad_ene!K78/TrRoad_tech!K106)</f>
        <v>1.117190832278292</v>
      </c>
      <c r="L133" s="91">
        <f>IF(TrRoad_act!L75=0,0,TrRoad_ene!L78/TrRoad_tech!L106)</f>
        <v>1.1223102077840652</v>
      </c>
      <c r="M133" s="91">
        <f>IF(TrRoad_act!M75=0,0,TrRoad_ene!M78/TrRoad_tech!M106)</f>
        <v>1.1273471443728897</v>
      </c>
      <c r="N133" s="91">
        <f>IF(TrRoad_act!N75=0,0,TrRoad_ene!N78/TrRoad_tech!N106)</f>
        <v>1.1365117766409132</v>
      </c>
      <c r="O133" s="91">
        <f>IF(TrRoad_act!O75=0,0,TrRoad_ene!O78/TrRoad_tech!O106)</f>
        <v>1.147265346045597</v>
      </c>
      <c r="P133" s="91">
        <f>IF(TrRoad_act!P75=0,0,TrRoad_ene!P78/TrRoad_tech!P106)</f>
        <v>1.1592356172784517</v>
      </c>
      <c r="Q133" s="91">
        <f>IF(TrRoad_act!Q75=0,0,TrRoad_ene!Q78/TrRoad_tech!Q106)</f>
        <v>1.1771955933316429</v>
      </c>
      <c r="R133" s="91">
        <f>IF(TrRoad_act!R75=0,0,TrRoad_ene!R78/TrRoad_tech!R106)</f>
        <v>1.2030177189738476</v>
      </c>
      <c r="S133" s="91">
        <f>IF(TrRoad_act!S75=0,0,TrRoad_ene!S78/TrRoad_tech!S106)</f>
        <v>1.23523420255087</v>
      </c>
      <c r="T133" s="91">
        <f>IF(TrRoad_act!T75=0,0,TrRoad_ene!T78/TrRoad_tech!T106)</f>
        <v>1.2747435583753688</v>
      </c>
      <c r="U133" s="91">
        <f>IF(TrRoad_act!U75=0,0,TrRoad_ene!U78/TrRoad_tech!U106)</f>
        <v>1.3018330811326499</v>
      </c>
      <c r="V133" s="91">
        <f>IF(TrRoad_act!V75=0,0,TrRoad_ene!V78/TrRoad_tech!V106)</f>
        <v>1.3210978691518009</v>
      </c>
      <c r="W133" s="91">
        <f>IF(TrRoad_act!W75=0,0,TrRoad_ene!W78/TrRoad_tech!W106)</f>
        <v>1.3350116282782425</v>
      </c>
      <c r="X133" s="91">
        <f>IF(TrRoad_act!X75=0,0,TrRoad_ene!X78/TrRoad_tech!X106)</f>
        <v>1.3427638518457297</v>
      </c>
      <c r="Y133" s="91">
        <f>IF(TrRoad_act!Y75=0,0,TrRoad_ene!Y78/TrRoad_tech!Y106)</f>
        <v>1.3481964245680067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</v>
      </c>
      <c r="C134" s="91">
        <f>IF(TrRoad_act!C76=0,0,TrRoad_ene!C79/TrRoad_tech!C107)</f>
        <v>1.1003015299483101</v>
      </c>
      <c r="D134" s="91">
        <f>IF(TrRoad_act!D76=0,0,TrRoad_ene!D79/TrRoad_tech!D107)</f>
        <v>1.1006133030523206</v>
      </c>
      <c r="E134" s="91">
        <f>IF(TrRoad_act!E76=0,0,TrRoad_ene!E79/TrRoad_tech!E107)</f>
        <v>1.1016905770846277</v>
      </c>
      <c r="F134" s="91">
        <f>IF(TrRoad_act!F76=0,0,TrRoad_ene!F79/TrRoad_tech!F107)</f>
        <v>1.1032580682834572</v>
      </c>
      <c r="G134" s="91">
        <f>IF(TrRoad_act!G76=0,0,TrRoad_ene!G79/TrRoad_tech!G107)</f>
        <v>1.1051496330614714</v>
      </c>
      <c r="H134" s="91">
        <f>IF(TrRoad_act!H76=0,0,TrRoad_ene!H79/TrRoad_tech!H107)</f>
        <v>1.107576229488286</v>
      </c>
      <c r="I134" s="91">
        <f>IF(TrRoad_act!I76=0,0,TrRoad_ene!I79/TrRoad_tech!I107)</f>
        <v>1.1110080821637391</v>
      </c>
      <c r="J134" s="91">
        <f>IF(TrRoad_act!J76=0,0,TrRoad_ene!J79/TrRoad_tech!J107)</f>
        <v>1.1157065888194144</v>
      </c>
      <c r="K134" s="91">
        <f>IF(TrRoad_act!K76=0,0,TrRoad_ene!K79/TrRoad_tech!K107)</f>
        <v>1.1220555490734807</v>
      </c>
      <c r="L134" s="91">
        <f>IF(TrRoad_act!L76=0,0,TrRoad_ene!L79/TrRoad_tech!L107)</f>
        <v>1.1257318194771524</v>
      </c>
      <c r="M134" s="91">
        <f>IF(TrRoad_act!M76=0,0,TrRoad_ene!M79/TrRoad_tech!M107)</f>
        <v>1.1302786304181522</v>
      </c>
      <c r="N134" s="91">
        <f>IF(TrRoad_act!N76=0,0,TrRoad_ene!N79/TrRoad_tech!N107)</f>
        <v>1.1430777882755911</v>
      </c>
      <c r="O134" s="91">
        <f>IF(TrRoad_act!O76=0,0,TrRoad_ene!O79/TrRoad_tech!O107)</f>
        <v>1.15685764161145</v>
      </c>
      <c r="P134" s="91">
        <f>IF(TrRoad_act!P76=0,0,TrRoad_ene!P79/TrRoad_tech!P107)</f>
        <v>1.1714518679229569</v>
      </c>
      <c r="Q134" s="91">
        <f>IF(TrRoad_act!Q76=0,0,TrRoad_ene!Q79/TrRoad_tech!Q107)</f>
        <v>1.1880280241641312</v>
      </c>
      <c r="R134" s="91">
        <f>IF(TrRoad_act!R76=0,0,TrRoad_ene!R79/TrRoad_tech!R107)</f>
        <v>1.2019453148249442</v>
      </c>
      <c r="S134" s="91">
        <f>IF(TrRoad_act!S76=0,0,TrRoad_ene!S79/TrRoad_tech!S107)</f>
        <v>1.2182841633531678</v>
      </c>
      <c r="T134" s="91">
        <f>IF(TrRoad_act!T76=0,0,TrRoad_ene!T79/TrRoad_tech!T107)</f>
        <v>1.2345588656078956</v>
      </c>
      <c r="U134" s="91">
        <f>IF(TrRoad_act!U76=0,0,TrRoad_ene!U79/TrRoad_tech!U107)</f>
        <v>1.2511131637818316</v>
      </c>
      <c r="V134" s="91">
        <f>IF(TrRoad_act!V76=0,0,TrRoad_ene!V79/TrRoad_tech!V107)</f>
        <v>1.2653114458717389</v>
      </c>
      <c r="W134" s="91">
        <f>IF(TrRoad_act!W76=0,0,TrRoad_ene!W79/TrRoad_tech!W107)</f>
        <v>1.2749782192638184</v>
      </c>
      <c r="X134" s="91">
        <f>IF(TrRoad_act!X76=0,0,TrRoad_ene!X79/TrRoad_tech!X107)</f>
        <v>1.2864748996312516</v>
      </c>
      <c r="Y134" s="91">
        <f>IF(TrRoad_act!Y76=0,0,TrRoad_ene!Y79/TrRoad_tech!Y107)</f>
        <v>1.299381903086154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</v>
      </c>
      <c r="C135" s="91">
        <f>IF(TrRoad_act!C77=0,0,TrRoad_ene!C80/TrRoad_tech!C108)</f>
        <v>1.1000047679155505</v>
      </c>
      <c r="D135" s="91">
        <f>IF(TrRoad_act!D77=0,0,TrRoad_ene!D80/TrRoad_tech!D108)</f>
        <v>1.1000078379437166</v>
      </c>
      <c r="E135" s="91">
        <f>IF(TrRoad_act!E77=0,0,TrRoad_ene!E80/TrRoad_tech!E108)</f>
        <v>1.1000114379089487</v>
      </c>
      <c r="F135" s="91">
        <f>IF(TrRoad_act!F77=0,0,TrRoad_ene!F80/TrRoad_tech!F108)</f>
        <v>1.1000258465283941</v>
      </c>
      <c r="G135" s="91">
        <f>IF(TrRoad_act!G77=0,0,TrRoad_ene!G80/TrRoad_tech!G108)</f>
        <v>1.1000429708797925</v>
      </c>
      <c r="H135" s="91">
        <f>IF(TrRoad_act!H77=0,0,TrRoad_ene!H80/TrRoad_tech!H108)</f>
        <v>1.1003762671485122</v>
      </c>
      <c r="I135" s="91">
        <f>IF(TrRoad_act!I77=0,0,TrRoad_ene!I80/TrRoad_tech!I108)</f>
        <v>1.1005731437410946</v>
      </c>
      <c r="J135" s="91">
        <f>IF(TrRoad_act!J77=0,0,TrRoad_ene!J80/TrRoad_tech!J108)</f>
        <v>1.1022719449235394</v>
      </c>
      <c r="K135" s="91">
        <f>IF(TrRoad_act!K77=0,0,TrRoad_ene!K80/TrRoad_tech!K108)</f>
        <v>1.1052389042796964</v>
      </c>
      <c r="L135" s="91">
        <f>IF(TrRoad_act!L77=0,0,TrRoad_ene!L80/TrRoad_tech!L108)</f>
        <v>1.1093495285003891</v>
      </c>
      <c r="M135" s="91">
        <f>IF(TrRoad_act!M77=0,0,TrRoad_ene!M80/TrRoad_tech!M108)</f>
        <v>1.1181821436980008</v>
      </c>
      <c r="N135" s="91">
        <f>IF(TrRoad_act!N77=0,0,TrRoad_ene!N80/TrRoad_tech!N108)</f>
        <v>1.1255769493363854</v>
      </c>
      <c r="O135" s="91">
        <f>IF(TrRoad_act!O77=0,0,TrRoad_ene!O80/TrRoad_tech!O108)</f>
        <v>1.1289674590047698</v>
      </c>
      <c r="P135" s="91">
        <f>IF(TrRoad_act!P77=0,0,TrRoad_ene!P80/TrRoad_tech!P108)</f>
        <v>1.1327567228098925</v>
      </c>
      <c r="Q135" s="91">
        <f>IF(TrRoad_act!Q77=0,0,TrRoad_ene!Q80/TrRoad_tech!Q108)</f>
        <v>1.1401283962672668</v>
      </c>
      <c r="R135" s="91">
        <f>IF(TrRoad_act!R77=0,0,TrRoad_ene!R80/TrRoad_tech!R108)</f>
        <v>1.1412013029994421</v>
      </c>
      <c r="S135" s="91">
        <f>IF(TrRoad_act!S77=0,0,TrRoad_ene!S80/TrRoad_tech!S108)</f>
        <v>1.1413358741388988</v>
      </c>
      <c r="T135" s="91">
        <f>IF(TrRoad_act!T77=0,0,TrRoad_ene!T80/TrRoad_tech!T108)</f>
        <v>1.1415806756196134</v>
      </c>
      <c r="U135" s="91">
        <f>IF(TrRoad_act!U77=0,0,TrRoad_ene!U80/TrRoad_tech!U108)</f>
        <v>1.1417574637458427</v>
      </c>
      <c r="V135" s="91">
        <f>IF(TrRoad_act!V77=0,0,TrRoad_ene!V80/TrRoad_tech!V108)</f>
        <v>1.1575284816889648</v>
      </c>
      <c r="W135" s="91">
        <f>IF(TrRoad_act!W77=0,0,TrRoad_ene!W80/TrRoad_tech!W108)</f>
        <v>1.1634258144354799</v>
      </c>
      <c r="X135" s="91">
        <f>IF(TrRoad_act!X77=0,0,TrRoad_ene!X80/TrRoad_tech!X108)</f>
        <v>1.1681300432462118</v>
      </c>
      <c r="Y135" s="91">
        <f>IF(TrRoad_act!Y77=0,0,TrRoad_ene!Y80/TrRoad_tech!Y108)</f>
        <v>1.1752572436045516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1.169333333339637</v>
      </c>
      <c r="K136" s="91">
        <f>IF(TrRoad_act!K78=0,0,TrRoad_ene!K81/TrRoad_tech!K109)</f>
        <v>1.1730255516932699</v>
      </c>
      <c r="L136" s="91">
        <f>IF(TrRoad_act!L78=0,0,TrRoad_ene!L81/TrRoad_tech!L109)</f>
        <v>1.178075333457014</v>
      </c>
      <c r="M136" s="91">
        <f>IF(TrRoad_act!M78=0,0,TrRoad_ene!M81/TrRoad_tech!M109)</f>
        <v>1.1789119134870596</v>
      </c>
      <c r="N136" s="91">
        <f>IF(TrRoad_act!N78=0,0,TrRoad_ene!N81/TrRoad_tech!N109)</f>
        <v>1.2145595105919591</v>
      </c>
      <c r="O136" s="91">
        <f>IF(TrRoad_act!O78=0,0,TrRoad_ene!O81/TrRoad_tech!O109)</f>
        <v>1.2248280123086002</v>
      </c>
      <c r="P136" s="91">
        <f>IF(TrRoad_act!P78=0,0,TrRoad_ene!P81/TrRoad_tech!P109)</f>
        <v>1.3217440371488922</v>
      </c>
      <c r="Q136" s="91">
        <f>IF(TrRoad_act!Q78=0,0,TrRoad_ene!Q81/TrRoad_tech!Q109)</f>
        <v>1.3613252205246744</v>
      </c>
      <c r="R136" s="91">
        <f>IF(TrRoad_act!R78=0,0,TrRoad_ene!R81/TrRoad_tech!R109)</f>
        <v>1.3578698618645175</v>
      </c>
      <c r="S136" s="91">
        <f>IF(TrRoad_act!S78=0,0,TrRoad_ene!S81/TrRoad_tech!S109)</f>
        <v>1.3785121657522323</v>
      </c>
      <c r="T136" s="91">
        <f>IF(TrRoad_act!T78=0,0,TrRoad_ene!T81/TrRoad_tech!T109)</f>
        <v>1.3399364704706056</v>
      </c>
      <c r="U136" s="91">
        <f>IF(TrRoad_act!U78=0,0,TrRoad_ene!U81/TrRoad_tech!U109)</f>
        <v>1.9004769029506938</v>
      </c>
      <c r="V136" s="91">
        <f>IF(TrRoad_act!V78=0,0,TrRoad_ene!V81/TrRoad_tech!V109)</f>
        <v>2.8110538053659497</v>
      </c>
      <c r="W136" s="91">
        <f>IF(TrRoad_act!W78=0,0,TrRoad_ene!W81/TrRoad_tech!W109)</f>
        <v>3.6287368687778194</v>
      </c>
      <c r="X136" s="91">
        <f>IF(TrRoad_act!X78=0,0,TrRoad_ene!X81/TrRoad_tech!X109)</f>
        <v>2.9628856180877881</v>
      </c>
      <c r="Y136" s="91">
        <f>IF(TrRoad_act!Y78=0,0,TrRoad_ene!Y81/TrRoad_tech!Y109)</f>
        <v>3.2221154868287214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1.1693333333396367</v>
      </c>
      <c r="K137" s="91">
        <f>IF(TrRoad_act!K79=0,0,TrRoad_ene!K82/TrRoad_tech!K110)</f>
        <v>1.1700786904684302</v>
      </c>
      <c r="L137" s="91">
        <f>IF(TrRoad_act!L79=0,0,TrRoad_ene!L82/TrRoad_tech!L110)</f>
        <v>1.1705883457499615</v>
      </c>
      <c r="M137" s="91">
        <f>IF(TrRoad_act!M79=0,0,TrRoad_ene!M82/TrRoad_tech!M110)</f>
        <v>1.1809322456436218</v>
      </c>
      <c r="N137" s="91">
        <f>IF(TrRoad_act!N79=0,0,TrRoad_ene!N82/TrRoad_tech!N110)</f>
        <v>1.2240905524957797</v>
      </c>
      <c r="O137" s="91">
        <f>IF(TrRoad_act!O79=0,0,TrRoad_ene!O82/TrRoad_tech!O110)</f>
        <v>1.2328756686818911</v>
      </c>
      <c r="P137" s="91">
        <f>IF(TrRoad_act!P79=0,0,TrRoad_ene!P82/TrRoad_tech!P110)</f>
        <v>1.2414826549237836</v>
      </c>
      <c r="Q137" s="91">
        <f>IF(TrRoad_act!Q79=0,0,TrRoad_ene!Q82/TrRoad_tech!Q110)</f>
        <v>1.2509683026708522</v>
      </c>
      <c r="R137" s="91">
        <f>IF(TrRoad_act!R79=0,0,TrRoad_ene!R82/TrRoad_tech!R110)</f>
        <v>1.2736847048283362</v>
      </c>
      <c r="S137" s="91">
        <f>IF(TrRoad_act!S79=0,0,TrRoad_ene!S82/TrRoad_tech!S110)</f>
        <v>1.2925402749758053</v>
      </c>
      <c r="T137" s="91">
        <f>IF(TrRoad_act!T79=0,0,TrRoad_ene!T82/TrRoad_tech!T110)</f>
        <v>1.3075876698604014</v>
      </c>
      <c r="U137" s="91">
        <f>IF(TrRoad_act!U79=0,0,TrRoad_ene!U82/TrRoad_tech!U110)</f>
        <v>1.3242334598267651</v>
      </c>
      <c r="V137" s="91">
        <f>IF(TrRoad_act!V79=0,0,TrRoad_ene!V82/TrRoad_tech!V110)</f>
        <v>1.3343414836459941</v>
      </c>
      <c r="W137" s="91">
        <f>IF(TrRoad_act!W79=0,0,TrRoad_ene!W82/TrRoad_tech!W110)</f>
        <v>1.3426674719804088</v>
      </c>
      <c r="X137" s="91">
        <f>IF(TrRoad_act!X79=0,0,TrRoad_ene!X82/TrRoad_tech!X110)</f>
        <v>1.3514981605879386</v>
      </c>
      <c r="Y137" s="91">
        <f>IF(TrRoad_act!Y79=0,0,TrRoad_ene!Y82/TrRoad_tech!Y110)</f>
        <v>1.3618887073567945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0.88581222194385967</v>
      </c>
      <c r="C138" s="151">
        <f>IF(TrRoad_act!C80=0,0,TrRoad_ene!C83/TrRoad_tech!C111)</f>
        <v>0.99501914124938107</v>
      </c>
      <c r="D138" s="151">
        <f>IF(TrRoad_act!D80=0,0,TrRoad_ene!D83/TrRoad_tech!D111)</f>
        <v>0.98855166731843858</v>
      </c>
      <c r="E138" s="151">
        <f>IF(TrRoad_act!E80=0,0,TrRoad_ene!E83/TrRoad_tech!E111)</f>
        <v>1.0607727250867034</v>
      </c>
      <c r="F138" s="151">
        <f>IF(TrRoad_act!F80=0,0,TrRoad_ene!F83/TrRoad_tech!F111)</f>
        <v>1.1222766371227502</v>
      </c>
      <c r="G138" s="151">
        <f>IF(TrRoad_act!G80=0,0,TrRoad_ene!G83/TrRoad_tech!G111)</f>
        <v>1.1485074956431272</v>
      </c>
      <c r="H138" s="151">
        <f>IF(TrRoad_act!H80=0,0,TrRoad_ene!H83/TrRoad_tech!H111)</f>
        <v>1.1954667310079445</v>
      </c>
      <c r="I138" s="151">
        <f>IF(TrRoad_act!I80=0,0,TrRoad_ene!I83/TrRoad_tech!I111)</f>
        <v>1.2205808777279372</v>
      </c>
      <c r="J138" s="151">
        <f>IF(TrRoad_act!J80=0,0,TrRoad_ene!J83/TrRoad_tech!J111)</f>
        <v>1.2840173339193055</v>
      </c>
      <c r="K138" s="151">
        <f>IF(TrRoad_act!K80=0,0,TrRoad_ene!K83/TrRoad_tech!K111)</f>
        <v>1.2867114722207222</v>
      </c>
      <c r="L138" s="151">
        <f>IF(TrRoad_act!L80=0,0,TrRoad_ene!L83/TrRoad_tech!L111)</f>
        <v>1.3114008568718114</v>
      </c>
      <c r="M138" s="151">
        <f>IF(TrRoad_act!M80=0,0,TrRoad_ene!M83/TrRoad_tech!M111)</f>
        <v>1.2780232773871709</v>
      </c>
      <c r="N138" s="151">
        <f>IF(TrRoad_act!N80=0,0,TrRoad_ene!N83/TrRoad_tech!N111)</f>
        <v>1.2310556078183446</v>
      </c>
      <c r="O138" s="151">
        <f>IF(TrRoad_act!O80=0,0,TrRoad_ene!O83/TrRoad_tech!O111)</f>
        <v>1.2559201450092969</v>
      </c>
      <c r="P138" s="151">
        <f>IF(TrRoad_act!P80=0,0,TrRoad_ene!P83/TrRoad_tech!P111)</f>
        <v>1.2698554066064558</v>
      </c>
      <c r="Q138" s="151">
        <f>IF(TrRoad_act!Q80=0,0,TrRoad_ene!Q83/TrRoad_tech!Q111)</f>
        <v>1.35662365950815</v>
      </c>
      <c r="R138" s="151">
        <f>IF(TrRoad_act!R80=0,0,TrRoad_ene!R83/TrRoad_tech!R111)</f>
        <v>1.5857648995375828</v>
      </c>
      <c r="S138" s="151">
        <f>IF(TrRoad_act!S80=0,0,TrRoad_ene!S83/TrRoad_tech!S111)</f>
        <v>1.6849867310481428</v>
      </c>
      <c r="T138" s="151">
        <f>IF(TrRoad_act!T80=0,0,TrRoad_ene!T83/TrRoad_tech!T111)</f>
        <v>1.8591817025974888</v>
      </c>
      <c r="U138" s="151">
        <f>IF(TrRoad_act!U80=0,0,TrRoad_ene!U83/TrRoad_tech!U111)</f>
        <v>1.8054537875441863</v>
      </c>
      <c r="V138" s="151">
        <f>IF(TrRoad_act!V80=0,0,TrRoad_ene!V83/TrRoad_tech!V111)</f>
        <v>1.7562491419387964</v>
      </c>
      <c r="W138" s="151">
        <f>IF(TrRoad_act!W80=0,0,TrRoad_ene!W83/TrRoad_tech!W111)</f>
        <v>1.920938419538089</v>
      </c>
      <c r="X138" s="151">
        <f>IF(TrRoad_act!X80=0,0,TrRoad_ene!X83/TrRoad_tech!X111)</f>
        <v>1.9825781861616634</v>
      </c>
      <c r="Y138" s="151">
        <f>IF(TrRoad_act!Y80=0,0,TrRoad_ene!Y83/TrRoad_tech!Y111)</f>
        <v>2.0754397380401537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0.86794629932455325</v>
      </c>
      <c r="C139" s="93">
        <f>IF(TrRoad_act!C81=0,0,TrRoad_ene!C84/TrRoad_tech!C112)</f>
        <v>0.96995288234085952</v>
      </c>
      <c r="D139" s="93">
        <f>IF(TrRoad_act!D81=0,0,TrRoad_ene!D84/TrRoad_tech!D112)</f>
        <v>0.96544381435706372</v>
      </c>
      <c r="E139" s="93">
        <f>IF(TrRoad_act!E81=0,0,TrRoad_ene!E84/TrRoad_tech!E112)</f>
        <v>1.0351075673497943</v>
      </c>
      <c r="F139" s="93">
        <f>IF(TrRoad_act!F81=0,0,TrRoad_ene!F84/TrRoad_tech!F112)</f>
        <v>1.0977502105424073</v>
      </c>
      <c r="G139" s="93">
        <f>IF(TrRoad_act!G81=0,0,TrRoad_ene!G84/TrRoad_tech!G112)</f>
        <v>1.1228853745892693</v>
      </c>
      <c r="H139" s="93">
        <f>IF(TrRoad_act!H81=0,0,TrRoad_ene!H84/TrRoad_tech!H112)</f>
        <v>1.1700262779308448</v>
      </c>
      <c r="I139" s="93">
        <f>IF(TrRoad_act!I81=0,0,TrRoad_ene!I84/TrRoad_tech!I112)</f>
        <v>1.1953457694425498</v>
      </c>
      <c r="J139" s="93">
        <f>IF(TrRoad_act!J81=0,0,TrRoad_ene!J84/TrRoad_tech!J112)</f>
        <v>1.2548718471166227</v>
      </c>
      <c r="K139" s="93">
        <f>IF(TrRoad_act!K81=0,0,TrRoad_ene!K84/TrRoad_tech!K112)</f>
        <v>1.2586129270784836</v>
      </c>
      <c r="L139" s="93">
        <f>IF(TrRoad_act!L81=0,0,TrRoad_ene!L84/TrRoad_tech!L112)</f>
        <v>1.284390280126295</v>
      </c>
      <c r="M139" s="93">
        <f>IF(TrRoad_act!M81=0,0,TrRoad_ene!M84/TrRoad_tech!M112)</f>
        <v>1.2531276421090465</v>
      </c>
      <c r="N139" s="93">
        <f>IF(TrRoad_act!N81=0,0,TrRoad_ene!N84/TrRoad_tech!N112)</f>
        <v>1.2084792686529868</v>
      </c>
      <c r="O139" s="93">
        <f>IF(TrRoad_act!O81=0,0,TrRoad_ene!O84/TrRoad_tech!O112)</f>
        <v>1.2342262871399092</v>
      </c>
      <c r="P139" s="93">
        <f>IF(TrRoad_act!P81=0,0,TrRoad_ene!P84/TrRoad_tech!P112)</f>
        <v>1.2487455515419517</v>
      </c>
      <c r="Q139" s="93">
        <f>IF(TrRoad_act!Q81=0,0,TrRoad_ene!Q84/TrRoad_tech!Q112)</f>
        <v>1.3344350041749224</v>
      </c>
      <c r="R139" s="93">
        <f>IF(TrRoad_act!R81=0,0,TrRoad_ene!R84/TrRoad_tech!R112)</f>
        <v>1.5583452349800837</v>
      </c>
      <c r="S139" s="93">
        <f>IF(TrRoad_act!S81=0,0,TrRoad_ene!S84/TrRoad_tech!S112)</f>
        <v>1.6529954538108058</v>
      </c>
      <c r="T139" s="93">
        <f>IF(TrRoad_act!T81=0,0,TrRoad_ene!T84/TrRoad_tech!T112)</f>
        <v>1.8141093223002693</v>
      </c>
      <c r="U139" s="93">
        <f>IF(TrRoad_act!U81=0,0,TrRoad_ene!U84/TrRoad_tech!U112)</f>
        <v>1.7509008182798476</v>
      </c>
      <c r="V139" s="93">
        <f>IF(TrRoad_act!V81=0,0,TrRoad_ene!V84/TrRoad_tech!V112)</f>
        <v>1.690673208371263</v>
      </c>
      <c r="W139" s="93">
        <f>IF(TrRoad_act!W81=0,0,TrRoad_ene!W84/TrRoad_tech!W112)</f>
        <v>1.8419554153400906</v>
      </c>
      <c r="X139" s="93">
        <f>IF(TrRoad_act!X81=0,0,TrRoad_ene!X84/TrRoad_tech!X112)</f>
        <v>1.8963911399095528</v>
      </c>
      <c r="Y139" s="93">
        <f>IF(TrRoad_act!Y81=0,0,TrRoad_ene!Y84/TrRoad_tech!Y112)</f>
        <v>1.9762667291751606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0.8679462993245538</v>
      </c>
      <c r="C140" s="94">
        <f>IF(TrRoad_act!C82=0,0,TrRoad_ene!C85/TrRoad_tech!C113)</f>
        <v>0.96913411421914408</v>
      </c>
      <c r="D140" s="94">
        <f>IF(TrRoad_act!D82=0,0,TrRoad_ene!D85/TrRoad_tech!D113)</f>
        <v>0.96517924145808687</v>
      </c>
      <c r="E140" s="94">
        <f>IF(TrRoad_act!E82=0,0,TrRoad_ene!E85/TrRoad_tech!E113)</f>
        <v>1.0351106535580352</v>
      </c>
      <c r="F140" s="94">
        <f>IF(TrRoad_act!F82=0,0,TrRoad_ene!F85/TrRoad_tech!F113)</f>
        <v>1.1006314339123966</v>
      </c>
      <c r="G140" s="94">
        <f>IF(TrRoad_act!G82=0,0,TrRoad_ene!G85/TrRoad_tech!G113)</f>
        <v>1.1264283012176242</v>
      </c>
      <c r="H140" s="94">
        <f>IF(TrRoad_act!H82=0,0,TrRoad_ene!H85/TrRoad_tech!H113)</f>
        <v>1.1745571457476214</v>
      </c>
      <c r="I140" s="94">
        <f>IF(TrRoad_act!I82=0,0,TrRoad_ene!I85/TrRoad_tech!I113)</f>
        <v>1.2017329908780274</v>
      </c>
      <c r="J140" s="94">
        <f>IF(TrRoad_act!J82=0,0,TrRoad_ene!J85/TrRoad_tech!J113)</f>
        <v>1.2593187739741918</v>
      </c>
      <c r="K140" s="94">
        <f>IF(TrRoad_act!K82=0,0,TrRoad_ene!K85/TrRoad_tech!K113)</f>
        <v>1.2605600012278848</v>
      </c>
      <c r="L140" s="94">
        <f>IF(TrRoad_act!L82=0,0,TrRoad_ene!L85/TrRoad_tech!L113)</f>
        <v>1.2909876227203034</v>
      </c>
      <c r="M140" s="94">
        <f>IF(TrRoad_act!M82=0,0,TrRoad_ene!M85/TrRoad_tech!M113)</f>
        <v>1.2542698267069361</v>
      </c>
      <c r="N140" s="94">
        <f>IF(TrRoad_act!N82=0,0,TrRoad_ene!N85/TrRoad_tech!N113)</f>
        <v>1.2123777097903801</v>
      </c>
      <c r="O140" s="94">
        <f>IF(TrRoad_act!O82=0,0,TrRoad_ene!O85/TrRoad_tech!O113)</f>
        <v>1.240696538198534</v>
      </c>
      <c r="P140" s="94">
        <f>IF(TrRoad_act!P82=0,0,TrRoad_ene!P85/TrRoad_tech!P113)</f>
        <v>1.2543328095362909</v>
      </c>
      <c r="Q140" s="94">
        <f>IF(TrRoad_act!Q82=0,0,TrRoad_ene!Q85/TrRoad_tech!Q113)</f>
        <v>1.3327508802353767</v>
      </c>
      <c r="R140" s="94">
        <f>IF(TrRoad_act!R82=0,0,TrRoad_ene!R85/TrRoad_tech!R113)</f>
        <v>1.561782586746683</v>
      </c>
      <c r="S140" s="94">
        <f>IF(TrRoad_act!S82=0,0,TrRoad_ene!S85/TrRoad_tech!S113)</f>
        <v>1.6758135878613272</v>
      </c>
      <c r="T140" s="94">
        <f>IF(TrRoad_act!T82=0,0,TrRoad_ene!T85/TrRoad_tech!T113)</f>
        <v>1.8348163973352125</v>
      </c>
      <c r="U140" s="94">
        <f>IF(TrRoad_act!U82=0,0,TrRoad_ene!U85/TrRoad_tech!U113)</f>
        <v>1.779117405685249</v>
      </c>
      <c r="V140" s="94">
        <f>IF(TrRoad_act!V82=0,0,TrRoad_ene!V85/TrRoad_tech!V113)</f>
        <v>1.728331525191878</v>
      </c>
      <c r="W140" s="94">
        <f>IF(TrRoad_act!W82=0,0,TrRoad_ene!W85/TrRoad_tech!W113)</f>
        <v>1.8893284003882354</v>
      </c>
      <c r="X140" s="94">
        <f>IF(TrRoad_act!X82=0,0,TrRoad_ene!X85/TrRoad_tech!X113)</f>
        <v>1.932339184463185</v>
      </c>
      <c r="Y140" s="94">
        <f>IF(TrRoad_act!Y82=0,0,TrRoad_ene!Y85/TrRoad_tech!Y113)</f>
        <v>2.0223177686540574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3.4291998277597293</v>
      </c>
      <c r="C144" s="141">
        <v>3.4291998277597293</v>
      </c>
      <c r="D144" s="141">
        <v>3.4291998277597293</v>
      </c>
      <c r="E144" s="141">
        <v>3.3809012386363531</v>
      </c>
      <c r="F144" s="141">
        <v>3.3326026495129768</v>
      </c>
      <c r="G144" s="141">
        <v>3.2843040603896001</v>
      </c>
      <c r="H144" s="141">
        <v>3.2360054712662234</v>
      </c>
      <c r="I144" s="141">
        <v>3.2360054712662234</v>
      </c>
      <c r="J144" s="141">
        <v>3.1394082930194704</v>
      </c>
      <c r="K144" s="141">
        <v>2.9751930899999905</v>
      </c>
      <c r="L144" s="141">
        <v>2.8669836909800623</v>
      </c>
      <c r="M144" s="141">
        <v>2.6982894293847863</v>
      </c>
      <c r="N144" s="141">
        <v>2.75882672600186</v>
      </c>
      <c r="O144" s="141">
        <v>2.6737370721440339</v>
      </c>
      <c r="P144" s="141">
        <v>2.6162391167196879</v>
      </c>
      <c r="Q144" s="141">
        <v>2.5463595938658994</v>
      </c>
      <c r="R144" s="141">
        <v>2.5030176099252293</v>
      </c>
      <c r="S144" s="141">
        <v>2.4683440227726932</v>
      </c>
      <c r="T144" s="141">
        <v>2.4406051530506643</v>
      </c>
      <c r="U144" s="141">
        <v>2.4184140572730413</v>
      </c>
      <c r="V144" s="141">
        <v>2.400661180650943</v>
      </c>
      <c r="W144" s="141">
        <v>2.3864588793532642</v>
      </c>
      <c r="X144" s="141">
        <v>2.3750970383151211</v>
      </c>
      <c r="Y144" s="141">
        <v>2.3660075654846069</v>
      </c>
      <c r="DA144" s="174" t="s">
        <v>887</v>
      </c>
    </row>
    <row r="145" spans="1:105" ht="11.45" customHeight="1" x14ac:dyDescent="0.25">
      <c r="A145" s="109" t="s">
        <v>20</v>
      </c>
      <c r="B145" s="130">
        <v>6.4847834401277176</v>
      </c>
      <c r="C145" s="130">
        <v>6.4852040567408338</v>
      </c>
      <c r="D145" s="130">
        <v>6.4525499570175544</v>
      </c>
      <c r="E145" s="130">
        <v>6.3299465459566315</v>
      </c>
      <c r="F145" s="130">
        <v>6.2760008944011316</v>
      </c>
      <c r="G145" s="130">
        <v>6.1676997766655566</v>
      </c>
      <c r="H145" s="130">
        <v>6.1289822412566961</v>
      </c>
      <c r="I145" s="130">
        <v>6.1092819058190155</v>
      </c>
      <c r="J145" s="130">
        <v>5.95903240620083</v>
      </c>
      <c r="K145" s="130">
        <v>5.7186351379022939</v>
      </c>
      <c r="L145" s="130">
        <v>5.4992369905907585</v>
      </c>
      <c r="M145" s="130">
        <v>5.2496854175082506</v>
      </c>
      <c r="N145" s="130">
        <v>5.2871394658620936</v>
      </c>
      <c r="O145" s="130">
        <v>5.1185631983095563</v>
      </c>
      <c r="P145" s="130">
        <v>5.0235061105331003</v>
      </c>
      <c r="Q145" s="130">
        <v>4.9073477310469213</v>
      </c>
      <c r="R145" s="130">
        <v>4.8130004890947315</v>
      </c>
      <c r="S145" s="130">
        <v>4.8195948788805989</v>
      </c>
      <c r="T145" s="130">
        <v>4.9749597406046249</v>
      </c>
      <c r="U145" s="130">
        <v>4.9895435032948612</v>
      </c>
      <c r="V145" s="130">
        <v>4.689320213729947</v>
      </c>
      <c r="W145" s="130">
        <v>4.3616149042936652</v>
      </c>
      <c r="X145" s="130">
        <v>4.1387305183281962</v>
      </c>
      <c r="Y145" s="130">
        <v>3.8286532416970616</v>
      </c>
      <c r="DA145" s="176" t="s">
        <v>888</v>
      </c>
    </row>
    <row r="146" spans="1:105" ht="11.45" customHeight="1" x14ac:dyDescent="0.25">
      <c r="A146" s="111" t="s">
        <v>110</v>
      </c>
      <c r="B146" s="96">
        <v>6.8442588575701118</v>
      </c>
      <c r="C146" s="96">
        <v>6.8442588575701118</v>
      </c>
      <c r="D146" s="96">
        <v>6.8442588575701118</v>
      </c>
      <c r="E146" s="96">
        <v>6.7478608454916591</v>
      </c>
      <c r="F146" s="96">
        <v>6.6514628334132091</v>
      </c>
      <c r="G146" s="96">
        <v>6.5550648213347555</v>
      </c>
      <c r="H146" s="96">
        <v>6.4586668092563038</v>
      </c>
      <c r="I146" s="96">
        <v>6.4586668092563038</v>
      </c>
      <c r="J146" s="96">
        <v>6.2658707850993984</v>
      </c>
      <c r="K146" s="96">
        <v>5.9381175440326599</v>
      </c>
      <c r="L146" s="96">
        <v>5.7215385702731814</v>
      </c>
      <c r="M146" s="96">
        <v>5.3850757673959313</v>
      </c>
      <c r="N146" s="96">
        <v>5.5130920070472103</v>
      </c>
      <c r="O146" s="96">
        <v>5.3396909363942102</v>
      </c>
      <c r="P146" s="96">
        <v>5.2352008908412451</v>
      </c>
      <c r="Q146" s="96">
        <v>5.113876272706201</v>
      </c>
      <c r="R146" s="96">
        <v>5.0776632581594416</v>
      </c>
      <c r="S146" s="96">
        <v>5.043632469779058</v>
      </c>
      <c r="T146" s="96">
        <v>5.1314774393887728</v>
      </c>
      <c r="U146" s="96">
        <v>5.1799119516028904</v>
      </c>
      <c r="V146" s="96">
        <v>4.9387896657375521</v>
      </c>
      <c r="W146" s="96">
        <v>4.7227029058925458</v>
      </c>
      <c r="X146" s="96">
        <v>4.6154469229317634</v>
      </c>
      <c r="Y146" s="96">
        <v>4.56302164066126</v>
      </c>
      <c r="DA146" s="171" t="s">
        <v>889</v>
      </c>
    </row>
    <row r="147" spans="1:105" ht="11.45" customHeight="1" x14ac:dyDescent="0.25">
      <c r="A147" s="111" t="s">
        <v>111</v>
      </c>
      <c r="B147" s="96">
        <v>6.2462002396839109</v>
      </c>
      <c r="C147" s="96">
        <v>6.2388089996767562</v>
      </c>
      <c r="D147" s="96">
        <v>6.2306067682026569</v>
      </c>
      <c r="E147" s="96">
        <v>6.1361213225204896</v>
      </c>
      <c r="F147" s="96">
        <v>6.1139646452917482</v>
      </c>
      <c r="G147" s="96">
        <v>6.0207574694497019</v>
      </c>
      <c r="H147" s="96">
        <v>6.0153248226291947</v>
      </c>
      <c r="I147" s="96">
        <v>6.0040334390414696</v>
      </c>
      <c r="J147" s="96">
        <v>5.8750347076760754</v>
      </c>
      <c r="K147" s="96">
        <v>5.6456917938612952</v>
      </c>
      <c r="L147" s="96">
        <v>5.4288328859896975</v>
      </c>
      <c r="M147" s="96">
        <v>5.2010771097484367</v>
      </c>
      <c r="N147" s="96">
        <v>5.1783101429640555</v>
      </c>
      <c r="O147" s="96">
        <v>5.0014427636029284</v>
      </c>
      <c r="P147" s="96">
        <v>4.889836758356795</v>
      </c>
      <c r="Q147" s="96">
        <v>4.7369536745997962</v>
      </c>
      <c r="R147" s="96">
        <v>4.6106800637581227</v>
      </c>
      <c r="S147" s="96">
        <v>4.6594088265420091</v>
      </c>
      <c r="T147" s="96">
        <v>4.8193823067334334</v>
      </c>
      <c r="U147" s="96">
        <v>4.8302930440261811</v>
      </c>
      <c r="V147" s="96">
        <v>4.6519243705238118</v>
      </c>
      <c r="W147" s="96">
        <v>4.5275956909428796</v>
      </c>
      <c r="X147" s="96">
        <v>4.4967312611086321</v>
      </c>
      <c r="Y147" s="96">
        <v>4.5902044079102051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7.283569324376062</v>
      </c>
      <c r="D148" s="96">
        <v>7.2739935349009741</v>
      </c>
      <c r="E148" s="96">
        <v>0</v>
      </c>
      <c r="F148" s="96">
        <v>0</v>
      </c>
      <c r="G148" s="96">
        <v>7.0290025574214496</v>
      </c>
      <c r="H148" s="96">
        <v>7.0226601514054838</v>
      </c>
      <c r="I148" s="96">
        <v>7.0094778957644506</v>
      </c>
      <c r="J148" s="96">
        <v>6.858876843110794</v>
      </c>
      <c r="K148" s="96">
        <v>6.591127820515152</v>
      </c>
      <c r="L148" s="96">
        <v>5.4769946227472355</v>
      </c>
      <c r="M148" s="96">
        <v>5.5374190259824161</v>
      </c>
      <c r="N148" s="96">
        <v>6.0454335064064004</v>
      </c>
      <c r="O148" s="96">
        <v>5.9032344408181361</v>
      </c>
      <c r="P148" s="96">
        <v>5.8481330566790017</v>
      </c>
      <c r="Q148" s="96">
        <v>5.8361473555459673</v>
      </c>
      <c r="R148" s="96">
        <v>5.3366291549738785</v>
      </c>
      <c r="S148" s="96">
        <v>5.2768624697082451</v>
      </c>
      <c r="T148" s="96">
        <v>5.8088207213440741</v>
      </c>
      <c r="U148" s="96">
        <v>6.177057311724762</v>
      </c>
      <c r="V148" s="96">
        <v>4.8019017647627305</v>
      </c>
      <c r="W148" s="96">
        <v>4.5592001162014917</v>
      </c>
      <c r="X148" s="96">
        <v>4.6363048936831115</v>
      </c>
      <c r="Y148" s="96">
        <v>4.5629886518384355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8.9677818856312737</v>
      </c>
      <c r="G149" s="96">
        <v>8.8006593327116409</v>
      </c>
      <c r="H149" s="96">
        <v>8.4177820151517118</v>
      </c>
      <c r="I149" s="96">
        <v>8.3089652273734469</v>
      </c>
      <c r="J149" s="96">
        <v>0</v>
      </c>
      <c r="K149" s="96">
        <v>0</v>
      </c>
      <c r="L149" s="96">
        <v>0</v>
      </c>
      <c r="M149" s="96">
        <v>7.2852128975871357</v>
      </c>
      <c r="N149" s="96">
        <v>7.334087023984698</v>
      </c>
      <c r="O149" s="96">
        <v>6.9286426565353443</v>
      </c>
      <c r="P149" s="96">
        <v>6.1306296595326835</v>
      </c>
      <c r="Q149" s="96">
        <v>6.0904243188725387</v>
      </c>
      <c r="R149" s="96">
        <v>6.0690621634531405</v>
      </c>
      <c r="S149" s="96">
        <v>6.0556571564542079</v>
      </c>
      <c r="T149" s="96">
        <v>6.0476918775716584</v>
      </c>
      <c r="U149" s="96">
        <v>5.3666599636994334</v>
      </c>
      <c r="V149" s="96">
        <v>5.0377855508396214</v>
      </c>
      <c r="W149" s="96">
        <v>4.9335631896802354</v>
      </c>
      <c r="X149" s="96">
        <v>4.776216696825311</v>
      </c>
      <c r="Y149" s="96">
        <v>4.8557251748072368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3.3025380460809304</v>
      </c>
      <c r="N150" s="96">
        <v>2.4091518745362723</v>
      </c>
      <c r="O150" s="96">
        <v>2.9134669966879496</v>
      </c>
      <c r="P150" s="96">
        <v>3.1323610243016593</v>
      </c>
      <c r="Q150" s="96">
        <v>3.6887586514175359</v>
      </c>
      <c r="R150" s="96">
        <v>3.7459205291659696</v>
      </c>
      <c r="S150" s="96">
        <v>3.5434082786122936</v>
      </c>
      <c r="T150" s="96">
        <v>3.399434720927724</v>
      </c>
      <c r="U150" s="96">
        <v>3.058046965667172</v>
      </c>
      <c r="V150" s="96">
        <v>4.0094893129511195</v>
      </c>
      <c r="W150" s="96">
        <v>2.8837863930305203</v>
      </c>
      <c r="X150" s="96">
        <v>2.6743417931668332</v>
      </c>
      <c r="Y150" s="96">
        <v>2.5401480061306971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1.2236579000796759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1.251753631714712</v>
      </c>
      <c r="P151" s="96">
        <v>1.231229463838412</v>
      </c>
      <c r="Q151" s="96">
        <v>1.5788056743420533</v>
      </c>
      <c r="R151" s="96">
        <v>1.4475633367384662</v>
      </c>
      <c r="S151" s="96">
        <v>1.4231806612120879</v>
      </c>
      <c r="T151" s="96">
        <v>1.649922262509558</v>
      </c>
      <c r="U151" s="96">
        <v>1.7234776757196941</v>
      </c>
      <c r="V151" s="96">
        <v>1.5953807392512502</v>
      </c>
      <c r="W151" s="96">
        <v>1.5954191523315295</v>
      </c>
      <c r="X151" s="96">
        <v>1.574079975198865</v>
      </c>
      <c r="Y151" s="96">
        <v>1.492453148872755</v>
      </c>
      <c r="DA151" s="171" t="s">
        <v>894</v>
      </c>
    </row>
    <row r="152" spans="1:105" ht="11.45" customHeight="1" x14ac:dyDescent="0.25">
      <c r="A152" s="109" t="s">
        <v>21</v>
      </c>
      <c r="B152" s="130">
        <v>46.591787614218987</v>
      </c>
      <c r="C152" s="130">
        <v>46.591787614218987</v>
      </c>
      <c r="D152" s="130">
        <v>46.591787614218987</v>
      </c>
      <c r="E152" s="130">
        <v>46.425980540858781</v>
      </c>
      <c r="F152" s="130">
        <v>46.258377723021745</v>
      </c>
      <c r="G152" s="130">
        <v>45.698058835587879</v>
      </c>
      <c r="H152" s="130">
        <v>45.917598792126483</v>
      </c>
      <c r="I152" s="130">
        <v>45.917598792126483</v>
      </c>
      <c r="J152" s="130">
        <v>45.56708277081254</v>
      </c>
      <c r="K152" s="130">
        <v>44.920813240382472</v>
      </c>
      <c r="L152" s="130">
        <v>44.476136411572028</v>
      </c>
      <c r="M152" s="130">
        <v>43.775171952586518</v>
      </c>
      <c r="N152" s="130">
        <v>44.08332828517905</v>
      </c>
      <c r="O152" s="130">
        <v>43.702692066787748</v>
      </c>
      <c r="P152" s="130">
        <v>43.445239879860651</v>
      </c>
      <c r="Q152" s="130">
        <v>43.173588871557286</v>
      </c>
      <c r="R152" s="130">
        <v>42.546613246900506</v>
      </c>
      <c r="S152" s="130">
        <v>41.701907882202889</v>
      </c>
      <c r="T152" s="130">
        <v>40.190469155486959</v>
      </c>
      <c r="U152" s="130">
        <v>38.842450454855282</v>
      </c>
      <c r="V152" s="130">
        <v>37.623733506759557</v>
      </c>
      <c r="W152" s="130">
        <v>35.831579715579295</v>
      </c>
      <c r="X152" s="130">
        <v>34.241940457180199</v>
      </c>
      <c r="Y152" s="130">
        <v>30.887762075307101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12.396637874999961</v>
      </c>
      <c r="L153" s="97">
        <v>11.945765379083593</v>
      </c>
      <c r="M153" s="97">
        <v>11.242872622436611</v>
      </c>
      <c r="N153" s="97">
        <v>0</v>
      </c>
      <c r="O153" s="97">
        <v>0</v>
      </c>
      <c r="P153" s="97">
        <v>0</v>
      </c>
      <c r="Q153" s="97">
        <v>9.8163337641862007</v>
      </c>
      <c r="R153" s="97">
        <v>9.5097675960908834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46.591787614218987</v>
      </c>
      <c r="C154" s="97">
        <v>46.591787614218987</v>
      </c>
      <c r="D154" s="97">
        <v>46.591787614218987</v>
      </c>
      <c r="E154" s="97">
        <v>46.425980540858781</v>
      </c>
      <c r="F154" s="97">
        <v>46.258377723021745</v>
      </c>
      <c r="G154" s="97">
        <v>46.088933115977703</v>
      </c>
      <c r="H154" s="97">
        <v>45.917598792126483</v>
      </c>
      <c r="I154" s="97">
        <v>45.917598792126483</v>
      </c>
      <c r="J154" s="97">
        <v>45.56708277081254</v>
      </c>
      <c r="K154" s="97">
        <v>44.946874278335507</v>
      </c>
      <c r="L154" s="97">
        <v>44.526727968387718</v>
      </c>
      <c r="M154" s="97">
        <v>43.841496721863074</v>
      </c>
      <c r="N154" s="97">
        <v>44.08332828517905</v>
      </c>
      <c r="O154" s="97">
        <v>43.73536706605185</v>
      </c>
      <c r="P154" s="97">
        <v>43.49638345204815</v>
      </c>
      <c r="Q154" s="97">
        <v>43.199999999908329</v>
      </c>
      <c r="R154" s="97">
        <v>42.591502145729002</v>
      </c>
      <c r="S154" s="97">
        <v>41.714776298123667</v>
      </c>
      <c r="T154" s="97">
        <v>40.613634544722515</v>
      </c>
      <c r="U154" s="97">
        <v>39.330301220989966</v>
      </c>
      <c r="V154" s="97">
        <v>37.904329538901564</v>
      </c>
      <c r="W154" s="97">
        <v>36.371891190893926</v>
      </c>
      <c r="X154" s="97">
        <v>34.765374575380811</v>
      </c>
      <c r="Y154" s="97">
        <v>33.113227430604454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37.77762553356402</v>
      </c>
      <c r="P156" s="97">
        <v>0</v>
      </c>
      <c r="Q156" s="97">
        <v>0</v>
      </c>
      <c r="R156" s="97">
        <v>35.071919648470697</v>
      </c>
      <c r="S156" s="97">
        <v>34.450555510843309</v>
      </c>
      <c r="T156" s="97">
        <v>34.048950692037614</v>
      </c>
      <c r="U156" s="97">
        <v>33.776428275212652</v>
      </c>
      <c r="V156" s="97">
        <v>33.580348971286931</v>
      </c>
      <c r="W156" s="97">
        <v>33.42978493977698</v>
      </c>
      <c r="X156" s="97">
        <v>33.306430984049797</v>
      </c>
      <c r="Y156" s="97">
        <v>33.199404562115589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22.883344259150356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19.322521664754536</v>
      </c>
      <c r="Q157" s="97">
        <v>0</v>
      </c>
      <c r="R157" s="97">
        <v>0</v>
      </c>
      <c r="S157" s="97">
        <v>0</v>
      </c>
      <c r="T157" s="97">
        <v>19.681840560716029</v>
      </c>
      <c r="U157" s="97">
        <v>19.518023487427737</v>
      </c>
      <c r="V157" s="97">
        <v>19.274895460210949</v>
      </c>
      <c r="W157" s="97">
        <v>18.963377368060588</v>
      </c>
      <c r="X157" s="97">
        <v>18.593881501713142</v>
      </c>
      <c r="Y157" s="97">
        <v>18.176157356169451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9.0699871674693942</v>
      </c>
      <c r="D159" s="141">
        <v>8.8475056453443592</v>
      </c>
      <c r="E159" s="141">
        <v>8.7324169309898352</v>
      </c>
      <c r="F159" s="141">
        <v>8.8177314846162833</v>
      </c>
      <c r="G159" s="141">
        <v>8.7577202521180268</v>
      </c>
      <c r="H159" s="141">
        <v>8.8000759892647782</v>
      </c>
      <c r="I159" s="141">
        <v>8.6996824555590759</v>
      </c>
      <c r="J159" s="141">
        <v>8.5823165412185265</v>
      </c>
      <c r="K159" s="141">
        <v>8.4250033515946505</v>
      </c>
      <c r="L159" s="141">
        <v>8.5685156076298981</v>
      </c>
      <c r="M159" s="141">
        <v>8.6269538052594044</v>
      </c>
      <c r="N159" s="141">
        <v>7.8108331335274261</v>
      </c>
      <c r="O159" s="141">
        <v>7.6590665768425605</v>
      </c>
      <c r="P159" s="141">
        <v>7.3864207968462567</v>
      </c>
      <c r="Q159" s="141">
        <v>7.1008430846750432</v>
      </c>
      <c r="R159" s="141">
        <v>6.7321829982666985</v>
      </c>
      <c r="S159" s="141">
        <v>6.3904141717440837</v>
      </c>
      <c r="T159" s="141">
        <v>6.4349703558505924</v>
      </c>
      <c r="U159" s="141">
        <v>6.4312285572084527</v>
      </c>
      <c r="V159" s="141">
        <v>6.7298688524909682</v>
      </c>
      <c r="W159" s="141">
        <v>6.7019369809488838</v>
      </c>
      <c r="X159" s="141">
        <v>6.5371984391186029</v>
      </c>
      <c r="Y159" s="141">
        <v>6.6853229088803348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8.323731629732638</v>
      </c>
      <c r="D160" s="96">
        <v>8.323731629732638</v>
      </c>
      <c r="E160" s="96">
        <v>8.2064959729758389</v>
      </c>
      <c r="F160" s="96">
        <v>8.0892603162190451</v>
      </c>
      <c r="G160" s="96">
        <v>7.9720246594622441</v>
      </c>
      <c r="H160" s="96">
        <v>7.8547890027054468</v>
      </c>
      <c r="I160" s="96">
        <v>7.8547890027054468</v>
      </c>
      <c r="J160" s="96">
        <v>7.6203176891918494</v>
      </c>
      <c r="K160" s="96">
        <v>7.2217164562187381</v>
      </c>
      <c r="L160" s="96">
        <v>6.9590586810826167</v>
      </c>
      <c r="M160" s="96">
        <v>6.5495853836596654</v>
      </c>
      <c r="N160" s="96">
        <v>6.6965281796294693</v>
      </c>
      <c r="O160" s="96">
        <v>6.4975000991128553</v>
      </c>
      <c r="P160" s="96">
        <v>6.3841750610376007</v>
      </c>
      <c r="Q160" s="96">
        <v>6.2209093877108304</v>
      </c>
      <c r="R160" s="96">
        <v>5.9891911401309317</v>
      </c>
      <c r="S160" s="96">
        <v>5.9384877807257475</v>
      </c>
      <c r="T160" s="96">
        <v>6.1480099752843458</v>
      </c>
      <c r="U160" s="96">
        <v>6.0645456620407545</v>
      </c>
      <c r="V160" s="96">
        <v>5.8399237621100246</v>
      </c>
      <c r="W160" s="96">
        <v>5.6626843677086791</v>
      </c>
      <c r="X160" s="96">
        <v>5.7600619105608795</v>
      </c>
      <c r="Y160" s="96">
        <v>6.3397697071016772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8.8469620478671764</v>
      </c>
      <c r="D161" s="96">
        <v>8.8353308486169748</v>
      </c>
      <c r="E161" s="96">
        <v>8.7013454754360904</v>
      </c>
      <c r="F161" s="96">
        <v>8.6699261320069745</v>
      </c>
      <c r="G161" s="96">
        <v>8.5377534132546895</v>
      </c>
      <c r="H161" s="96">
        <v>8.530049631933128</v>
      </c>
      <c r="I161" s="96">
        <v>8.5140378511471386</v>
      </c>
      <c r="J161" s="96">
        <v>8.3311108083939782</v>
      </c>
      <c r="K161" s="96">
        <v>8.0058903929955001</v>
      </c>
      <c r="L161" s="96">
        <v>7.6983729601359059</v>
      </c>
      <c r="M161" s="96">
        <v>7.3754031899933397</v>
      </c>
      <c r="N161" s="96">
        <v>7.3430646997601317</v>
      </c>
      <c r="O161" s="96">
        <v>7.2398329349598542</v>
      </c>
      <c r="P161" s="96">
        <v>7.1018039044072161</v>
      </c>
      <c r="Q161" s="96">
        <v>6.9793621443401186</v>
      </c>
      <c r="R161" s="96">
        <v>6.7622362631261241</v>
      </c>
      <c r="S161" s="96">
        <v>6.4010014383883744</v>
      </c>
      <c r="T161" s="96">
        <v>6.4446208160100467</v>
      </c>
      <c r="U161" s="96">
        <v>6.4253153106623895</v>
      </c>
      <c r="V161" s="96">
        <v>6.7659543608579469</v>
      </c>
      <c r="W161" s="96">
        <v>6.7959091246050107</v>
      </c>
      <c r="X161" s="96">
        <v>6.7439475318870903</v>
      </c>
      <c r="Y161" s="96">
        <v>6.9409543432433916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11.66177521404855</v>
      </c>
      <c r="D162" s="96">
        <v>11.646443348670159</v>
      </c>
      <c r="E162" s="96">
        <v>11.469828224116458</v>
      </c>
      <c r="F162" s="96">
        <v>11.428412276081318</v>
      </c>
      <c r="G162" s="96">
        <v>11.254186533145031</v>
      </c>
      <c r="H162" s="96">
        <v>11.24403166127103</v>
      </c>
      <c r="I162" s="96">
        <v>11.222925456983887</v>
      </c>
      <c r="J162" s="96">
        <v>10.981797028760068</v>
      </c>
      <c r="K162" s="96">
        <v>10.55310214356941</v>
      </c>
      <c r="L162" s="96">
        <v>10.147742749349511</v>
      </c>
      <c r="M162" s="96">
        <v>9.7220145909198568</v>
      </c>
      <c r="N162" s="96">
        <v>9.6793870537131976</v>
      </c>
      <c r="O162" s="96">
        <v>7.334824411813778</v>
      </c>
      <c r="P162" s="96">
        <v>6.9819051966043038</v>
      </c>
      <c r="Q162" s="96">
        <v>8.85587094882586</v>
      </c>
      <c r="R162" s="96">
        <v>8.5260048843708045</v>
      </c>
      <c r="S162" s="96">
        <v>5.6355542401619063</v>
      </c>
      <c r="T162" s="96">
        <v>6.8974595153126614</v>
      </c>
      <c r="U162" s="96">
        <v>6.8038208055699325</v>
      </c>
      <c r="V162" s="96">
        <v>7.5284121528880421</v>
      </c>
      <c r="W162" s="96">
        <v>5.4885348670343754</v>
      </c>
      <c r="X162" s="96">
        <v>8.8068904303218254</v>
      </c>
      <c r="Y162" s="96">
        <v>7.0197369588392045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8.0091480861391222</v>
      </c>
      <c r="K163" s="96">
        <v>7.6619439232599404</v>
      </c>
      <c r="L163" s="96">
        <v>7.5076854285663348</v>
      </c>
      <c r="M163" s="96">
        <v>0</v>
      </c>
      <c r="N163" s="96">
        <v>7.5239653203891041</v>
      </c>
      <c r="O163" s="96">
        <v>7.5191855441194999</v>
      </c>
      <c r="P163" s="96">
        <v>6.7911574795944176</v>
      </c>
      <c r="Q163" s="96">
        <v>7.8187827999213066</v>
      </c>
      <c r="R163" s="96">
        <v>7.3639744617377199</v>
      </c>
      <c r="S163" s="96">
        <v>6.8954082830255201</v>
      </c>
      <c r="T163" s="96">
        <v>6.7288284339165259</v>
      </c>
      <c r="U163" s="96">
        <v>6.3825110610806828</v>
      </c>
      <c r="V163" s="96">
        <v>7.3307711269615261</v>
      </c>
      <c r="W163" s="96">
        <v>7.515798312124371</v>
      </c>
      <c r="X163" s="96">
        <v>10.212512721074463</v>
      </c>
      <c r="Y163" s="96">
        <v>9.3610706403782853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1.3721216028622247</v>
      </c>
      <c r="K164" s="96">
        <v>1.3690194250502927</v>
      </c>
      <c r="L164" s="96">
        <v>1.3498356828825111</v>
      </c>
      <c r="M164" s="96">
        <v>1.3566283477464831</v>
      </c>
      <c r="N164" s="96">
        <v>1.3327601031814273</v>
      </c>
      <c r="O164" s="96">
        <v>1.3098239721196385</v>
      </c>
      <c r="P164" s="96">
        <v>1.3210182316517647</v>
      </c>
      <c r="Q164" s="96">
        <v>1.3939461911348712</v>
      </c>
      <c r="R164" s="96">
        <v>1.3977525424733896</v>
      </c>
      <c r="S164" s="96">
        <v>1.3701565464248187</v>
      </c>
      <c r="T164" s="96">
        <v>1.5290247755404023</v>
      </c>
      <c r="U164" s="96">
        <v>1.7091628635050817</v>
      </c>
      <c r="V164" s="96">
        <v>2.1193045948246736</v>
      </c>
      <c r="W164" s="96">
        <v>2.0858770421324162</v>
      </c>
      <c r="X164" s="96">
        <v>2.0458105581255883</v>
      </c>
      <c r="Y164" s="96">
        <v>1.9632500252261513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32.204599100834734</v>
      </c>
      <c r="D165" s="130">
        <v>32.536170046893488</v>
      </c>
      <c r="E165" s="130">
        <v>32.008157394183627</v>
      </c>
      <c r="F165" s="130">
        <v>31.99609480094994</v>
      </c>
      <c r="G165" s="130">
        <v>31.505744934162408</v>
      </c>
      <c r="H165" s="130">
        <v>31.209394518188343</v>
      </c>
      <c r="I165" s="130">
        <v>30.883953011725421</v>
      </c>
      <c r="J165" s="130">
        <v>30.312239980604492</v>
      </c>
      <c r="K165" s="130">
        <v>29.823076928642994</v>
      </c>
      <c r="L165" s="130">
        <v>29.731023398174159</v>
      </c>
      <c r="M165" s="130">
        <v>28.895276078143421</v>
      </c>
      <c r="N165" s="130">
        <v>28.535325915309414</v>
      </c>
      <c r="O165" s="130">
        <v>27.926303466103409</v>
      </c>
      <c r="P165" s="130">
        <v>27.271943182009132</v>
      </c>
      <c r="Q165" s="130">
        <v>26.597339166019616</v>
      </c>
      <c r="R165" s="130">
        <v>26.490088173751069</v>
      </c>
      <c r="S165" s="130">
        <v>25.144232814523846</v>
      </c>
      <c r="T165" s="130">
        <v>22.094864723159663</v>
      </c>
      <c r="U165" s="130">
        <v>20.724768458640927</v>
      </c>
      <c r="V165" s="130">
        <v>20.341398717366843</v>
      </c>
      <c r="W165" s="130">
        <v>20.866322796512428</v>
      </c>
      <c r="X165" s="130">
        <v>20.071055720181104</v>
      </c>
      <c r="Y165" s="130">
        <v>20.147106520532791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32.149484536018456</v>
      </c>
      <c r="D166" s="97">
        <v>31.985175202073769</v>
      </c>
      <c r="E166" s="97">
        <v>31.780579497470978</v>
      </c>
      <c r="F166" s="97">
        <v>31.536217303748952</v>
      </c>
      <c r="G166" s="97">
        <v>31.25270516709838</v>
      </c>
      <c r="H166" s="97">
        <v>30.930752453596899</v>
      </c>
      <c r="I166" s="97">
        <v>30.571156979829169</v>
      </c>
      <c r="J166" s="97">
        <v>30.174800168222379</v>
      </c>
      <c r="K166" s="97">
        <v>29.742641780267991</v>
      </c>
      <c r="L166" s="97">
        <v>29.275714285639253</v>
      </c>
      <c r="M166" s="97">
        <v>28.775116926117732</v>
      </c>
      <c r="N166" s="97">
        <v>28.242009535524133</v>
      </c>
      <c r="O166" s="97">
        <v>27.677606177564872</v>
      </c>
      <c r="P166" s="97">
        <v>27.083168662049438</v>
      </c>
      <c r="Q166" s="97">
        <v>26.459999999943847</v>
      </c>
      <c r="R166" s="97">
        <v>25.124049910945242</v>
      </c>
      <c r="S166" s="97">
        <v>23.520909804146914</v>
      </c>
      <c r="T166" s="97">
        <v>21.837612692008669</v>
      </c>
      <c r="U166" s="97">
        <v>19.780249554950817</v>
      </c>
      <c r="V166" s="97">
        <v>19.218860765659731</v>
      </c>
      <c r="W166" s="97">
        <v>19.848791620961325</v>
      </c>
      <c r="X166" s="97">
        <v>19.739437201235184</v>
      </c>
      <c r="Y166" s="97">
        <v>19.542042829222833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112.21588182236793</v>
      </c>
      <c r="C171" s="152">
        <v>111.00658186551567</v>
      </c>
      <c r="D171" s="152">
        <v>109.85446552621018</v>
      </c>
      <c r="E171" s="152">
        <v>108.65982827618771</v>
      </c>
      <c r="F171" s="152">
        <v>107.05102965562294</v>
      </c>
      <c r="G171" s="152">
        <v>105.61503393505221</v>
      </c>
      <c r="H171" s="152">
        <v>104.04621615325398</v>
      </c>
      <c r="I171" s="152">
        <v>102.41658303384993</v>
      </c>
      <c r="J171" s="152">
        <v>100.90937492260652</v>
      </c>
      <c r="K171" s="152">
        <v>99.190835234102778</v>
      </c>
      <c r="L171" s="152">
        <v>97.325208597620474</v>
      </c>
      <c r="M171" s="152">
        <v>95.36328498343623</v>
      </c>
      <c r="N171" s="152">
        <v>93.469208338323568</v>
      </c>
      <c r="O171" s="152">
        <v>92.380612382735734</v>
      </c>
      <c r="P171" s="152">
        <v>90.805616240917729</v>
      </c>
      <c r="Q171" s="152">
        <v>89.337819080091691</v>
      </c>
      <c r="R171" s="152">
        <v>84.607363005347537</v>
      </c>
      <c r="S171" s="152">
        <v>82.546195120621192</v>
      </c>
      <c r="T171" s="152">
        <v>81.144606778873396</v>
      </c>
      <c r="U171" s="152">
        <v>79.943976935412735</v>
      </c>
      <c r="V171" s="152">
        <v>78.628587356461267</v>
      </c>
      <c r="W171" s="152">
        <v>77.415661452406994</v>
      </c>
      <c r="X171" s="152">
        <v>76.792722577259809</v>
      </c>
      <c r="Y171" s="152">
        <v>75.912016018806057</v>
      </c>
      <c r="DA171" s="174" t="s">
        <v>910</v>
      </c>
    </row>
    <row r="172" spans="1:105" ht="11.45" customHeight="1" x14ac:dyDescent="0.25">
      <c r="A172" s="109" t="s">
        <v>20</v>
      </c>
      <c r="B172" s="116">
        <v>217.58517721573156</v>
      </c>
      <c r="C172" s="116">
        <v>212.95525429029726</v>
      </c>
      <c r="D172" s="116">
        <v>211.66021904928382</v>
      </c>
      <c r="E172" s="116">
        <v>209.95540338609061</v>
      </c>
      <c r="F172" s="116">
        <v>207.67682020015582</v>
      </c>
      <c r="G172" s="116">
        <v>205.34045083432346</v>
      </c>
      <c r="H172" s="116">
        <v>202.45177759116987</v>
      </c>
      <c r="I172" s="116">
        <v>199.95465072296224</v>
      </c>
      <c r="J172" s="116">
        <v>197.14824873866144</v>
      </c>
      <c r="K172" s="116">
        <v>194.12798267853313</v>
      </c>
      <c r="L172" s="116">
        <v>190.64520977164025</v>
      </c>
      <c r="M172" s="116">
        <v>186.39748525495546</v>
      </c>
      <c r="N172" s="116">
        <v>182.03815755870295</v>
      </c>
      <c r="O172" s="116">
        <v>178.58044640659213</v>
      </c>
      <c r="P172" s="116">
        <v>174.52477073981359</v>
      </c>
      <c r="Q172" s="116">
        <v>169.95390851241038</v>
      </c>
      <c r="R172" s="116">
        <v>165.64917672632228</v>
      </c>
      <c r="S172" s="116">
        <v>161.94020743618393</v>
      </c>
      <c r="T172" s="116">
        <v>158.05810649592144</v>
      </c>
      <c r="U172" s="116">
        <v>154.24129578966935</v>
      </c>
      <c r="V172" s="116">
        <v>146.6793414593555</v>
      </c>
      <c r="W172" s="116">
        <v>142.66042221528389</v>
      </c>
      <c r="X172" s="116">
        <v>135.49997453758124</v>
      </c>
      <c r="Y172" s="116">
        <v>124.55866382374195</v>
      </c>
      <c r="DA172" s="176" t="s">
        <v>911</v>
      </c>
    </row>
    <row r="173" spans="1:105" ht="11.45" customHeight="1" x14ac:dyDescent="0.25">
      <c r="A173" s="111" t="s">
        <v>110</v>
      </c>
      <c r="B173" s="87">
        <v>212.77057407392547</v>
      </c>
      <c r="C173" s="87">
        <v>209.93570840305179</v>
      </c>
      <c r="D173" s="87">
        <v>208.81046786390465</v>
      </c>
      <c r="E173" s="87">
        <v>207.61912091599066</v>
      </c>
      <c r="F173" s="87">
        <v>206.19861247890077</v>
      </c>
      <c r="G173" s="87">
        <v>204.701846126406</v>
      </c>
      <c r="H173" s="87">
        <v>202.89417233335507</v>
      </c>
      <c r="I173" s="87">
        <v>201.38311829229681</v>
      </c>
      <c r="J173" s="87">
        <v>199.28757901648854</v>
      </c>
      <c r="K173" s="87">
        <v>196.51368526976256</v>
      </c>
      <c r="L173" s="87">
        <v>192.95004372510508</v>
      </c>
      <c r="M173" s="87">
        <v>189.13002194632256</v>
      </c>
      <c r="N173" s="87">
        <v>184.98210152111963</v>
      </c>
      <c r="O173" s="87">
        <v>180.48488496138083</v>
      </c>
      <c r="P173" s="87">
        <v>176.61603185420825</v>
      </c>
      <c r="Q173" s="87">
        <v>172.42658314611515</v>
      </c>
      <c r="R173" s="87">
        <v>167.94394182900086</v>
      </c>
      <c r="S173" s="87">
        <v>163.8442321986353</v>
      </c>
      <c r="T173" s="87">
        <v>160.49681398131639</v>
      </c>
      <c r="U173" s="87">
        <v>157.47062195235202</v>
      </c>
      <c r="V173" s="87">
        <v>155.50911349022232</v>
      </c>
      <c r="W173" s="87">
        <v>152.55789891777377</v>
      </c>
      <c r="X173" s="87">
        <v>149.76429736332852</v>
      </c>
      <c r="Y173" s="87">
        <v>147.04717756540677</v>
      </c>
      <c r="DA173" s="171" t="s">
        <v>912</v>
      </c>
    </row>
    <row r="174" spans="1:105" ht="11.45" customHeight="1" x14ac:dyDescent="0.25">
      <c r="A174" s="111" t="s">
        <v>111</v>
      </c>
      <c r="B174" s="87">
        <v>218.29721581378553</v>
      </c>
      <c r="C174" s="87">
        <v>208.87192371763851</v>
      </c>
      <c r="D174" s="87">
        <v>205.43392765044575</v>
      </c>
      <c r="E174" s="87">
        <v>201.99556082340794</v>
      </c>
      <c r="F174" s="87">
        <v>198.96437120980633</v>
      </c>
      <c r="G174" s="87">
        <v>195.96004048171903</v>
      </c>
      <c r="H174" s="87">
        <v>193.01901297019842</v>
      </c>
      <c r="I174" s="87">
        <v>190.5399056796947</v>
      </c>
      <c r="J174" s="87">
        <v>188.06479607133392</v>
      </c>
      <c r="K174" s="87">
        <v>186.16746762693572</v>
      </c>
      <c r="L174" s="87">
        <v>183.0393423802503</v>
      </c>
      <c r="M174" s="87">
        <v>179.21812337604825</v>
      </c>
      <c r="N174" s="87">
        <v>176.28520831375306</v>
      </c>
      <c r="O174" s="87">
        <v>173.54498434529748</v>
      </c>
      <c r="P174" s="87">
        <v>170.30190367507868</v>
      </c>
      <c r="Q174" s="87">
        <v>166.64695750399878</v>
      </c>
      <c r="R174" s="87">
        <v>162.80424384651923</v>
      </c>
      <c r="S174" s="87">
        <v>160.48169713838942</v>
      </c>
      <c r="T174" s="87">
        <v>157.67036076246018</v>
      </c>
      <c r="U174" s="87">
        <v>155.02611640004019</v>
      </c>
      <c r="V174" s="87">
        <v>152.49921111709787</v>
      </c>
      <c r="W174" s="87">
        <v>151.67744482013188</v>
      </c>
      <c r="X174" s="87">
        <v>149.84148616378471</v>
      </c>
      <c r="Y174" s="87">
        <v>148.31830512379827</v>
      </c>
      <c r="DA174" s="171" t="s">
        <v>913</v>
      </c>
    </row>
    <row r="175" spans="1:105" ht="11.45" customHeight="1" x14ac:dyDescent="0.25">
      <c r="A175" s="111" t="s">
        <v>112</v>
      </c>
      <c r="B175" s="87">
        <v>210.96320686650608</v>
      </c>
      <c r="C175" s="87">
        <v>201.94821950243229</v>
      </c>
      <c r="D175" s="87">
        <v>200.99500652529849</v>
      </c>
      <c r="E175" s="87">
        <v>200.66761992383366</v>
      </c>
      <c r="F175" s="87">
        <v>199.97388954377269</v>
      </c>
      <c r="G175" s="87">
        <v>199.21869058003506</v>
      </c>
      <c r="H175" s="87">
        <v>198.55760278479278</v>
      </c>
      <c r="I175" s="87">
        <v>197.75744934539517</v>
      </c>
      <c r="J175" s="87">
        <v>197.10510600590035</v>
      </c>
      <c r="K175" s="87">
        <v>196.24900703703511</v>
      </c>
      <c r="L175" s="87">
        <v>194.75497437774857</v>
      </c>
      <c r="M175" s="87">
        <v>190.83748327650989</v>
      </c>
      <c r="N175" s="87">
        <v>188.61521556208206</v>
      </c>
      <c r="O175" s="87">
        <v>187.01110490389021</v>
      </c>
      <c r="P175" s="87">
        <v>183.46485068697945</v>
      </c>
      <c r="Q175" s="87">
        <v>169.12307684600654</v>
      </c>
      <c r="R175" s="87">
        <v>166.85777013827774</v>
      </c>
      <c r="S175" s="87">
        <v>166.52474932543933</v>
      </c>
      <c r="T175" s="87">
        <v>166.2669265434487</v>
      </c>
      <c r="U175" s="87">
        <v>166.02589922720935</v>
      </c>
      <c r="V175" s="87">
        <v>164.65919672044205</v>
      </c>
      <c r="W175" s="87">
        <v>160.68470009383029</v>
      </c>
      <c r="X175" s="87">
        <v>156.7322646671758</v>
      </c>
      <c r="Y175" s="87">
        <v>151.22908121515931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210.63479460504934</v>
      </c>
      <c r="G176" s="87">
        <v>210.03827036647976</v>
      </c>
      <c r="H176" s="87">
        <v>209.83711769833948</v>
      </c>
      <c r="I176" s="87">
        <v>209.77523719006373</v>
      </c>
      <c r="J176" s="87">
        <v>209.68361168701364</v>
      </c>
      <c r="K176" s="87">
        <v>209.62685689374686</v>
      </c>
      <c r="L176" s="87">
        <v>209.61222760692692</v>
      </c>
      <c r="M176" s="87">
        <v>205.71432946169563</v>
      </c>
      <c r="N176" s="87">
        <v>194.65833606342375</v>
      </c>
      <c r="O176" s="87">
        <v>179.49843387573765</v>
      </c>
      <c r="P176" s="87">
        <v>144.52729305808577</v>
      </c>
      <c r="Q176" s="87">
        <v>143.73263956599664</v>
      </c>
      <c r="R176" s="87">
        <v>143.0185053135084</v>
      </c>
      <c r="S176" s="87">
        <v>142.6004241157105</v>
      </c>
      <c r="T176" s="87">
        <v>142.3489571300972</v>
      </c>
      <c r="U176" s="87">
        <v>137.54102522881098</v>
      </c>
      <c r="V176" s="87">
        <v>133.71314149260269</v>
      </c>
      <c r="W176" s="87">
        <v>132.44126892934077</v>
      </c>
      <c r="X176" s="87">
        <v>131.87140962664347</v>
      </c>
      <c r="Y176" s="87">
        <v>131.61866440359788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70.784615682644855</v>
      </c>
      <c r="N177" s="87">
        <v>43.868544438411931</v>
      </c>
      <c r="O177" s="87">
        <v>48.90105236860061</v>
      </c>
      <c r="P177" s="87">
        <v>54.565832196881196</v>
      </c>
      <c r="Q177" s="87">
        <v>64.198101453517054</v>
      </c>
      <c r="R177" s="87">
        <v>68.019023793077253</v>
      </c>
      <c r="S177" s="87">
        <v>67.644261810513825</v>
      </c>
      <c r="T177" s="87">
        <v>66.647099126963013</v>
      </c>
      <c r="U177" s="87">
        <v>62.672244051804228</v>
      </c>
      <c r="V177" s="87">
        <v>54.598312366952335</v>
      </c>
      <c r="W177" s="87">
        <v>47.139284401545083</v>
      </c>
      <c r="X177" s="87">
        <v>41.883332923746288</v>
      </c>
      <c r="Y177" s="87">
        <v>35.360254157801087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1769.6587102446613</v>
      </c>
      <c r="C179" s="116">
        <v>1715.1901421682423</v>
      </c>
      <c r="D179" s="116">
        <v>1686.8556270181193</v>
      </c>
      <c r="E179" s="116">
        <v>1662.8842700296466</v>
      </c>
      <c r="F179" s="116">
        <v>1639.274010710531</v>
      </c>
      <c r="G179" s="116">
        <v>1600.6076245062657</v>
      </c>
      <c r="H179" s="116">
        <v>1589.5831908679738</v>
      </c>
      <c r="I179" s="116">
        <v>1563.9114144529626</v>
      </c>
      <c r="J179" s="116">
        <v>1541.0539005810438</v>
      </c>
      <c r="K179" s="116">
        <v>1518.2087674568641</v>
      </c>
      <c r="L179" s="116">
        <v>1496.8062038132484</v>
      </c>
      <c r="M179" s="116">
        <v>1477.8460378562909</v>
      </c>
      <c r="N179" s="116">
        <v>1458.3697338358718</v>
      </c>
      <c r="O179" s="116">
        <v>1443.0743282261647</v>
      </c>
      <c r="P179" s="116">
        <v>1429.1510816803832</v>
      </c>
      <c r="Q179" s="116">
        <v>1417.5162262242925</v>
      </c>
      <c r="R179" s="116">
        <v>1396.6711104780968</v>
      </c>
      <c r="S179" s="116">
        <v>1383.7022673309693</v>
      </c>
      <c r="T179" s="116">
        <v>1353.8359927623881</v>
      </c>
      <c r="U179" s="116">
        <v>1330.3822122702054</v>
      </c>
      <c r="V179" s="116">
        <v>1315.0457544737733</v>
      </c>
      <c r="W179" s="116">
        <v>1264.2668061173683</v>
      </c>
      <c r="X179" s="116">
        <v>1236.9580179576863</v>
      </c>
      <c r="Y179" s="116">
        <v>1118.1807539596532</v>
      </c>
      <c r="DA179" s="176" t="s">
        <v>918</v>
      </c>
    </row>
    <row r="180" spans="1:105" ht="11.45" customHeight="1" x14ac:dyDescent="0.25">
      <c r="A180" s="111" t="s">
        <v>110</v>
      </c>
      <c r="B180" s="101">
        <v>490.71153551966842</v>
      </c>
      <c r="C180" s="101">
        <v>490.71153551966836</v>
      </c>
      <c r="D180" s="101">
        <v>490.71153551966859</v>
      </c>
      <c r="E180" s="101">
        <v>490.71153551966836</v>
      </c>
      <c r="F180" s="101">
        <v>490.71153551966836</v>
      </c>
      <c r="G180" s="101">
        <v>490.71153551966853</v>
      </c>
      <c r="H180" s="101">
        <v>490.71153551966859</v>
      </c>
      <c r="I180" s="101">
        <v>490.7115355196683</v>
      </c>
      <c r="J180" s="101">
        <v>490.71153551966853</v>
      </c>
      <c r="K180" s="101">
        <v>489.08837769969256</v>
      </c>
      <c r="L180" s="101">
        <v>485.14984212116627</v>
      </c>
      <c r="M180" s="101">
        <v>480.61660458076301</v>
      </c>
      <c r="N180" s="101">
        <v>480.50793783315322</v>
      </c>
      <c r="O180" s="101">
        <v>480.11456570771526</v>
      </c>
      <c r="P180" s="101">
        <v>479.62519190921694</v>
      </c>
      <c r="Q180" s="101">
        <v>476.25045927106106</v>
      </c>
      <c r="R180" s="101">
        <v>472.71364254108676</v>
      </c>
      <c r="S180" s="101">
        <v>472.27239007656573</v>
      </c>
      <c r="T180" s="101">
        <v>472.2723900765659</v>
      </c>
      <c r="U180" s="101">
        <v>472.27239007656601</v>
      </c>
      <c r="V180" s="101">
        <v>472.27239007656573</v>
      </c>
      <c r="W180" s="101">
        <v>472.12814215691748</v>
      </c>
      <c r="X180" s="101">
        <v>471.98161956343733</v>
      </c>
      <c r="Y180" s="101">
        <v>471.83276806385732</v>
      </c>
      <c r="DA180" s="175" t="s">
        <v>919</v>
      </c>
    </row>
    <row r="181" spans="1:105" ht="11.45" customHeight="1" x14ac:dyDescent="0.25">
      <c r="A181" s="111" t="s">
        <v>111</v>
      </c>
      <c r="B181" s="101">
        <v>1788.1607629669752</v>
      </c>
      <c r="C181" s="101">
        <v>1713.7143749315899</v>
      </c>
      <c r="D181" s="101">
        <v>1676.517344544314</v>
      </c>
      <c r="E181" s="101">
        <v>1647.7446258203665</v>
      </c>
      <c r="F181" s="101">
        <v>1620.5312953977866</v>
      </c>
      <c r="G181" s="101">
        <v>1594.8136308333403</v>
      </c>
      <c r="H181" s="101">
        <v>1568.6965005086988</v>
      </c>
      <c r="I181" s="101">
        <v>1543.2268776322564</v>
      </c>
      <c r="J181" s="101">
        <v>1520.6603088080694</v>
      </c>
      <c r="K181" s="101">
        <v>1499.384352559412</v>
      </c>
      <c r="L181" s="101">
        <v>1479.544212951316</v>
      </c>
      <c r="M181" s="101">
        <v>1462.7321259361597</v>
      </c>
      <c r="N181" s="101">
        <v>1445.8667892497488</v>
      </c>
      <c r="O181" s="101">
        <v>1433.4226755941943</v>
      </c>
      <c r="P181" s="101">
        <v>1419.9700289388045</v>
      </c>
      <c r="Q181" s="101">
        <v>1408.1481746117304</v>
      </c>
      <c r="R181" s="101">
        <v>1391.6830846845123</v>
      </c>
      <c r="S181" s="101">
        <v>1378.8871647997498</v>
      </c>
      <c r="T181" s="101">
        <v>1363.157735663543</v>
      </c>
      <c r="U181" s="101">
        <v>1342.0479816016182</v>
      </c>
      <c r="V181" s="101">
        <v>1320.781762696452</v>
      </c>
      <c r="W181" s="101">
        <v>1293.1926986416211</v>
      </c>
      <c r="X181" s="101">
        <v>1260.0945453412101</v>
      </c>
      <c r="Y181" s="101">
        <v>1228.7893889044176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887.31890409582377</v>
      </c>
      <c r="P183" s="101">
        <v>887.31890409582411</v>
      </c>
      <c r="Q183" s="101">
        <v>887.31890409582411</v>
      </c>
      <c r="R183" s="101">
        <v>870.08028433625407</v>
      </c>
      <c r="S183" s="101">
        <v>856.70415265570728</v>
      </c>
      <c r="T183" s="101">
        <v>808.63401519134607</v>
      </c>
      <c r="U183" s="101">
        <v>798.79634617567979</v>
      </c>
      <c r="V183" s="101">
        <v>793.5595161509591</v>
      </c>
      <c r="W183" s="101">
        <v>786.65282764146696</v>
      </c>
      <c r="X183" s="101">
        <v>785.87934968548871</v>
      </c>
      <c r="Y183" s="101">
        <v>785.84466116239844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387.30630539286113</v>
      </c>
      <c r="C186" s="152">
        <v>367.44739835407285</v>
      </c>
      <c r="D186" s="152">
        <v>361.09531494389955</v>
      </c>
      <c r="E186" s="152">
        <v>345.21802036074297</v>
      </c>
      <c r="F186" s="152">
        <v>326.7672248859854</v>
      </c>
      <c r="G186" s="152">
        <v>311.59459645058195</v>
      </c>
      <c r="H186" s="152">
        <v>300.54869993826821</v>
      </c>
      <c r="I186" s="152">
        <v>291.43624211705981</v>
      </c>
      <c r="J186" s="152">
        <v>275.91326487446946</v>
      </c>
      <c r="K186" s="152">
        <v>260.137024297192</v>
      </c>
      <c r="L186" s="152">
        <v>241.44985506543372</v>
      </c>
      <c r="M186" s="152">
        <v>229.99365112867898</v>
      </c>
      <c r="N186" s="152">
        <v>247.72567067570714</v>
      </c>
      <c r="O186" s="152">
        <v>244.76699403926716</v>
      </c>
      <c r="P186" s="152">
        <v>244.21035607150682</v>
      </c>
      <c r="Q186" s="152">
        <v>243.82466825973742</v>
      </c>
      <c r="R186" s="152">
        <v>243.29179406767201</v>
      </c>
      <c r="S186" s="152">
        <v>236.49436376495711</v>
      </c>
      <c r="T186" s="152">
        <v>229.9567480623017</v>
      </c>
      <c r="U186" s="152">
        <v>223.87682711106206</v>
      </c>
      <c r="V186" s="152">
        <v>221.68167814278422</v>
      </c>
      <c r="W186" s="152">
        <v>220.58607518998161</v>
      </c>
      <c r="X186" s="152">
        <v>216.98514695962322</v>
      </c>
      <c r="Y186" s="152">
        <v>213.77920963217426</v>
      </c>
      <c r="DA186" s="174" t="s">
        <v>924</v>
      </c>
    </row>
    <row r="187" spans="1:105" ht="11.45" customHeight="1" x14ac:dyDescent="0.25">
      <c r="A187" s="111" t="s">
        <v>110</v>
      </c>
      <c r="B187" s="87">
        <v>335.89373558098623</v>
      </c>
      <c r="C187" s="87">
        <v>319.05272264982261</v>
      </c>
      <c r="D187" s="87">
        <v>304.23746085329316</v>
      </c>
      <c r="E187" s="87">
        <v>292.07054389565553</v>
      </c>
      <c r="F187" s="87">
        <v>281.44986096563724</v>
      </c>
      <c r="G187" s="87">
        <v>273.15304921220263</v>
      </c>
      <c r="H187" s="87">
        <v>267.24653676276347</v>
      </c>
      <c r="I187" s="87">
        <v>260.17021143349206</v>
      </c>
      <c r="J187" s="87">
        <v>247.98028590250493</v>
      </c>
      <c r="K187" s="87">
        <v>236.78627098180274</v>
      </c>
      <c r="L187" s="87">
        <v>231.43760481348372</v>
      </c>
      <c r="M187" s="87">
        <v>230.97493020365374</v>
      </c>
      <c r="N187" s="87">
        <v>228.74090505246235</v>
      </c>
      <c r="O187" s="87">
        <v>225.28299597584115</v>
      </c>
      <c r="P187" s="87">
        <v>221.40563795952289</v>
      </c>
      <c r="Q187" s="87">
        <v>215.25800418352711</v>
      </c>
      <c r="R187" s="87">
        <v>206.19171643072389</v>
      </c>
      <c r="S187" s="87">
        <v>196.46656108476975</v>
      </c>
      <c r="T187" s="87">
        <v>188.39183522708936</v>
      </c>
      <c r="U187" s="87">
        <v>182.81894429271753</v>
      </c>
      <c r="V187" s="87">
        <v>178.20305349240635</v>
      </c>
      <c r="W187" s="87">
        <v>174.42936336692594</v>
      </c>
      <c r="X187" s="87">
        <v>172.69040846321644</v>
      </c>
      <c r="Y187" s="87">
        <v>174.22872558204347</v>
      </c>
      <c r="DA187" s="171" t="s">
        <v>925</v>
      </c>
    </row>
    <row r="188" spans="1:105" ht="11.45" customHeight="1" x14ac:dyDescent="0.25">
      <c r="A188" s="111" t="s">
        <v>111</v>
      </c>
      <c r="B188" s="87">
        <v>382.67050000705677</v>
      </c>
      <c r="C188" s="87">
        <v>358.42313456486596</v>
      </c>
      <c r="D188" s="87">
        <v>348.34413287402185</v>
      </c>
      <c r="E188" s="87">
        <v>330.98858300609203</v>
      </c>
      <c r="F188" s="87">
        <v>316.11859853975778</v>
      </c>
      <c r="G188" s="87">
        <v>304.51905742722812</v>
      </c>
      <c r="H188" s="87">
        <v>295.59230484360086</v>
      </c>
      <c r="I188" s="87">
        <v>287.38421828318957</v>
      </c>
      <c r="J188" s="87">
        <v>278.46721769266594</v>
      </c>
      <c r="K188" s="87">
        <v>270.31159238174172</v>
      </c>
      <c r="L188" s="87">
        <v>267.32980695027408</v>
      </c>
      <c r="M188" s="87">
        <v>266.55766271463648</v>
      </c>
      <c r="N188" s="87">
        <v>262.06610849644017</v>
      </c>
      <c r="O188" s="87">
        <v>257.55560087937539</v>
      </c>
      <c r="P188" s="87">
        <v>252.62523922893544</v>
      </c>
      <c r="Q188" s="87">
        <v>247.20441878005568</v>
      </c>
      <c r="R188" s="87">
        <v>242.55042972252036</v>
      </c>
      <c r="S188" s="87">
        <v>236.20503844428112</v>
      </c>
      <c r="T188" s="87">
        <v>230.74800585205082</v>
      </c>
      <c r="U188" s="87">
        <v>225.6319313948116</v>
      </c>
      <c r="V188" s="87">
        <v>222.73751119763836</v>
      </c>
      <c r="W188" s="87">
        <v>221.26113653743073</v>
      </c>
      <c r="X188" s="87">
        <v>218.95341139732636</v>
      </c>
      <c r="Y188" s="87">
        <v>217.11193174927263</v>
      </c>
      <c r="DA188" s="171" t="s">
        <v>926</v>
      </c>
    </row>
    <row r="189" spans="1:105" ht="11.45" customHeight="1" x14ac:dyDescent="0.25">
      <c r="A189" s="111" t="s">
        <v>112</v>
      </c>
      <c r="B189" s="87">
        <v>509.21406607361598</v>
      </c>
      <c r="C189" s="87">
        <v>471.20490235994919</v>
      </c>
      <c r="D189" s="87">
        <v>460.2714772071501</v>
      </c>
      <c r="E189" s="87">
        <v>451.31429743802141</v>
      </c>
      <c r="F189" s="87">
        <v>431.90479079647167</v>
      </c>
      <c r="G189" s="87">
        <v>414.87435506617095</v>
      </c>
      <c r="H189" s="87">
        <v>396.15097859488793</v>
      </c>
      <c r="I189" s="87">
        <v>382.92624725008346</v>
      </c>
      <c r="J189" s="87">
        <v>357.98461554177055</v>
      </c>
      <c r="K189" s="87">
        <v>334.96503841520473</v>
      </c>
      <c r="L189" s="87">
        <v>319.46464923175438</v>
      </c>
      <c r="M189" s="87">
        <v>310.48579347419115</v>
      </c>
      <c r="N189" s="87">
        <v>304.88856149416972</v>
      </c>
      <c r="O189" s="87">
        <v>302.00915378656691</v>
      </c>
      <c r="P189" s="87">
        <v>299.65508327167623</v>
      </c>
      <c r="Q189" s="87">
        <v>297.55512150695989</v>
      </c>
      <c r="R189" s="87">
        <v>297.30269484055634</v>
      </c>
      <c r="S189" s="87">
        <v>297.19326558956737</v>
      </c>
      <c r="T189" s="87">
        <v>297.01662657684608</v>
      </c>
      <c r="U189" s="87">
        <v>296.86461408182487</v>
      </c>
      <c r="V189" s="87">
        <v>289.10121972672113</v>
      </c>
      <c r="W189" s="87">
        <v>286.06800909664366</v>
      </c>
      <c r="X189" s="87">
        <v>280.02221873204269</v>
      </c>
      <c r="Y189" s="87">
        <v>274.2809012096028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188.11845377153529</v>
      </c>
      <c r="K190" s="87">
        <v>185.99664123426206</v>
      </c>
      <c r="L190" s="87">
        <v>184.10923689338918</v>
      </c>
      <c r="M190" s="87">
        <v>183.75248328533974</v>
      </c>
      <c r="N190" s="87">
        <v>179.28609749766133</v>
      </c>
      <c r="O190" s="87">
        <v>178.5605980315342</v>
      </c>
      <c r="P190" s="87">
        <v>170.31728944685037</v>
      </c>
      <c r="Q190" s="87">
        <v>175.92197686669397</v>
      </c>
      <c r="R190" s="87">
        <v>177.31804821142043</v>
      </c>
      <c r="S190" s="87">
        <v>169.97698437667751</v>
      </c>
      <c r="T190" s="87">
        <v>164.93201026095193</v>
      </c>
      <c r="U190" s="87">
        <v>159.13361846022596</v>
      </c>
      <c r="V190" s="87">
        <v>162.16734519723636</v>
      </c>
      <c r="W190" s="87">
        <v>163.06555630497155</v>
      </c>
      <c r="X190" s="87">
        <v>168.23921192058893</v>
      </c>
      <c r="Y190" s="87">
        <v>172.06650805869896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1064.5263161450594</v>
      </c>
      <c r="C192" s="116">
        <v>1043.6339215464056</v>
      </c>
      <c r="D192" s="116">
        <v>1041.9198273919924</v>
      </c>
      <c r="E192" s="116">
        <v>1038.4013714017781</v>
      </c>
      <c r="F192" s="116">
        <v>1033.5841228785096</v>
      </c>
      <c r="G192" s="116">
        <v>1028.6518225244827</v>
      </c>
      <c r="H192" s="116">
        <v>1023.2509090463559</v>
      </c>
      <c r="I192" s="116">
        <v>1017.3479032079987</v>
      </c>
      <c r="J192" s="116">
        <v>1008.0176740111124</v>
      </c>
      <c r="K192" s="116">
        <v>1001.2417792562277</v>
      </c>
      <c r="L192" s="116">
        <v>994.94848581097415</v>
      </c>
      <c r="M192" s="116">
        <v>978.8687564681328</v>
      </c>
      <c r="N192" s="116">
        <v>969.63042606177544</v>
      </c>
      <c r="O192" s="116">
        <v>955.86022369164812</v>
      </c>
      <c r="P192" s="116">
        <v>941.899806398794</v>
      </c>
      <c r="Q192" s="116">
        <v>920.72464981846679</v>
      </c>
      <c r="R192" s="116">
        <v>904.99282887472748</v>
      </c>
      <c r="S192" s="116">
        <v>900.59282887736094</v>
      </c>
      <c r="T192" s="116">
        <v>881.00039851845065</v>
      </c>
      <c r="U192" s="116">
        <v>855.10974913890004</v>
      </c>
      <c r="V192" s="116">
        <v>834.77963522028142</v>
      </c>
      <c r="W192" s="116">
        <v>811.447351580185</v>
      </c>
      <c r="X192" s="116">
        <v>788.01257626598829</v>
      </c>
      <c r="Y192" s="116">
        <v>770.18358729636282</v>
      </c>
      <c r="DA192" s="176" t="s">
        <v>930</v>
      </c>
    </row>
    <row r="193" spans="1:105" ht="11.45" customHeight="1" x14ac:dyDescent="0.25">
      <c r="A193" s="128" t="s">
        <v>27</v>
      </c>
      <c r="B193" s="101">
        <v>980.95656132293595</v>
      </c>
      <c r="C193" s="101">
        <v>964.44420098918931</v>
      </c>
      <c r="D193" s="101">
        <v>963.37477059381058</v>
      </c>
      <c r="E193" s="101">
        <v>960.8267968996945</v>
      </c>
      <c r="F193" s="101">
        <v>957.42895426171083</v>
      </c>
      <c r="G193" s="101">
        <v>953.56034211461088</v>
      </c>
      <c r="H193" s="101">
        <v>948.94992326497379</v>
      </c>
      <c r="I193" s="101">
        <v>944.17091752388649</v>
      </c>
      <c r="J193" s="101">
        <v>935.82833330996345</v>
      </c>
      <c r="K193" s="101">
        <v>929.6743898730424</v>
      </c>
      <c r="L193" s="101">
        <v>924.62322143628876</v>
      </c>
      <c r="M193" s="101">
        <v>909.75253889108865</v>
      </c>
      <c r="N193" s="101">
        <v>901.79088786235798</v>
      </c>
      <c r="O193" s="101">
        <v>889.5325406206864</v>
      </c>
      <c r="P193" s="101">
        <v>876.59342743243621</v>
      </c>
      <c r="Q193" s="101">
        <v>855.90882273299917</v>
      </c>
      <c r="R193" s="101">
        <v>840.56732902515728</v>
      </c>
      <c r="S193" s="101">
        <v>838.12627616437157</v>
      </c>
      <c r="T193" s="101">
        <v>818.13753212382551</v>
      </c>
      <c r="U193" s="101">
        <v>792.47704909116385</v>
      </c>
      <c r="V193" s="101">
        <v>772.72652892505687</v>
      </c>
      <c r="W193" s="101">
        <v>749.63806343103681</v>
      </c>
      <c r="X193" s="101">
        <v>725.91569081832949</v>
      </c>
      <c r="Y193" s="101">
        <v>708.77940027426996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1055.3603628697026</v>
      </c>
      <c r="D194" s="88">
        <v>1046.0638427258875</v>
      </c>
      <c r="E194" s="88">
        <v>1038.573670376496</v>
      </c>
      <c r="F194" s="88">
        <v>1019.4699451982234</v>
      </c>
      <c r="G194" s="88">
        <v>1010.7266598055038</v>
      </c>
      <c r="H194" s="88">
        <v>1001.8164172990603</v>
      </c>
      <c r="I194" s="88">
        <v>991.29953138291182</v>
      </c>
      <c r="J194" s="88">
        <v>982.72502371622897</v>
      </c>
      <c r="K194" s="88">
        <v>977.20873990109021</v>
      </c>
      <c r="L194" s="88">
        <v>964.64035121879988</v>
      </c>
      <c r="M194" s="88">
        <v>951.64592566490876</v>
      </c>
      <c r="N194" s="88">
        <v>938.0869262133682</v>
      </c>
      <c r="O194" s="88">
        <v>920.81549390625401</v>
      </c>
      <c r="P194" s="88">
        <v>907.48108897464624</v>
      </c>
      <c r="Q194" s="88">
        <v>894.69587437608448</v>
      </c>
      <c r="R194" s="88">
        <v>876.9230608715884</v>
      </c>
      <c r="S194" s="88">
        <v>863.89978699044843</v>
      </c>
      <c r="T194" s="88">
        <v>856.5202373070141</v>
      </c>
      <c r="U194" s="88">
        <v>839.96050910391102</v>
      </c>
      <c r="V194" s="88">
        <v>824.8422893368122</v>
      </c>
      <c r="W194" s="88">
        <v>808.92400733164254</v>
      </c>
      <c r="X194" s="88">
        <v>800.4402495462615</v>
      </c>
      <c r="Y194" s="88">
        <v>788.17847864962937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1.1275000000068987</v>
      </c>
      <c r="C198" s="150">
        <f>IF(TrRoad_act!C59=0,0,TrRoad_emi!C56/TrRoad_tech!C171)</f>
        <v>1.1278321072927928</v>
      </c>
      <c r="D198" s="150">
        <f>IF(TrRoad_act!D59=0,0,TrRoad_emi!D56/TrRoad_tech!D171)</f>
        <v>1.1285848633152351</v>
      </c>
      <c r="E198" s="150">
        <f>IF(TrRoad_act!E59=0,0,TrRoad_emi!E56/TrRoad_tech!E171)</f>
        <v>1.1298362009761937</v>
      </c>
      <c r="F198" s="150">
        <f>IF(TrRoad_act!F59=0,0,TrRoad_emi!F56/TrRoad_tech!F171)</f>
        <v>1.1320029976307229</v>
      </c>
      <c r="G198" s="150">
        <f>IF(TrRoad_act!G59=0,0,TrRoad_emi!G56/TrRoad_tech!G171)</f>
        <v>1.128410299278136</v>
      </c>
      <c r="H198" s="150">
        <f>IF(TrRoad_act!H59=0,0,TrRoad_emi!H56/TrRoad_tech!H171)</f>
        <v>1.1386136113971412</v>
      </c>
      <c r="I198" s="150">
        <f>IF(TrRoad_act!I59=0,0,TrRoad_emi!I56/TrRoad_tech!I171)</f>
        <v>1.1436655211292253</v>
      </c>
      <c r="J198" s="150">
        <f>IF(TrRoad_act!J59=0,0,TrRoad_emi!J56/TrRoad_tech!J171)</f>
        <v>1.1487669243546617</v>
      </c>
      <c r="K198" s="150">
        <f>IF(TrRoad_act!K59=0,0,TrRoad_emi!K56/TrRoad_tech!K171)</f>
        <v>1.1380151226544093</v>
      </c>
      <c r="L198" s="150">
        <f>IF(TrRoad_act!L59=0,0,TrRoad_emi!L56/TrRoad_tech!L171)</f>
        <v>1.1108639636571691</v>
      </c>
      <c r="M198" s="150">
        <f>IF(TrRoad_act!M59=0,0,TrRoad_emi!M56/TrRoad_tech!M171)</f>
        <v>1.1157732638151221</v>
      </c>
      <c r="N198" s="150">
        <f>IF(TrRoad_act!N59=0,0,TrRoad_emi!N56/TrRoad_tech!N171)</f>
        <v>1.123721251144477</v>
      </c>
      <c r="O198" s="150">
        <f>IF(TrRoad_act!O59=0,0,TrRoad_emi!O56/TrRoad_tech!O171)</f>
        <v>1.1303518967972985</v>
      </c>
      <c r="P198" s="150">
        <f>IF(TrRoad_act!P59=0,0,TrRoad_emi!P56/TrRoad_tech!P171)</f>
        <v>1.1552503790143134</v>
      </c>
      <c r="Q198" s="150">
        <f>IF(TrRoad_act!Q59=0,0,TrRoad_emi!Q56/TrRoad_tech!Q171)</f>
        <v>1.1657831687048554</v>
      </c>
      <c r="R198" s="150">
        <f>IF(TrRoad_act!R59=0,0,TrRoad_emi!R56/TrRoad_tech!R171)</f>
        <v>1.1668903436940932</v>
      </c>
      <c r="S198" s="150">
        <f>IF(TrRoad_act!S59=0,0,TrRoad_emi!S56/TrRoad_tech!S171)</f>
        <v>1.1722895298887988</v>
      </c>
      <c r="T198" s="150">
        <f>IF(TrRoad_act!T59=0,0,TrRoad_emi!T56/TrRoad_tech!T171)</f>
        <v>1.1814002393616345</v>
      </c>
      <c r="U198" s="150">
        <f>IF(TrRoad_act!U59=0,0,TrRoad_emi!U56/TrRoad_tech!U171)</f>
        <v>1.19213737383895</v>
      </c>
      <c r="V198" s="150">
        <f>IF(TrRoad_act!V59=0,0,TrRoad_emi!V56/TrRoad_tech!V171)</f>
        <v>1.1436586702412206</v>
      </c>
      <c r="W198" s="150">
        <f>IF(TrRoad_act!W59=0,0,TrRoad_emi!W56/TrRoad_tech!W171)</f>
        <v>1.2036125303969782</v>
      </c>
      <c r="X198" s="150">
        <f>IF(TrRoad_act!X59=0,0,TrRoad_emi!X56/TrRoad_tech!X171)</f>
        <v>1.2213027027542416</v>
      </c>
      <c r="Y198" s="150">
        <f>IF(TrRoad_act!Y59=0,0,TrRoad_emi!Y56/TrRoad_tech!Y171)</f>
        <v>1.23165330170249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0.94134389176912292</v>
      </c>
      <c r="C199" s="151">
        <f>IF(TrRoad_act!C60=0,0,TrRoad_emi!C57/TrRoad_tech!C172)</f>
        <v>0.94243309529308539</v>
      </c>
      <c r="D199" s="151">
        <f>IF(TrRoad_act!D60=0,0,TrRoad_emi!D57/TrRoad_tech!D172)</f>
        <v>0.93802306368098076</v>
      </c>
      <c r="E199" s="151">
        <f>IF(TrRoad_act!E60=0,0,TrRoad_emi!E57/TrRoad_tech!E172)</f>
        <v>0.93851366295797467</v>
      </c>
      <c r="F199" s="151">
        <f>IF(TrRoad_act!F60=0,0,TrRoad_emi!F57/TrRoad_tech!F172)</f>
        <v>0.95189245241315878</v>
      </c>
      <c r="G199" s="151">
        <f>IF(TrRoad_act!G60=0,0,TrRoad_emi!G57/TrRoad_tech!G172)</f>
        <v>0.95447630861976518</v>
      </c>
      <c r="H199" s="151">
        <f>IF(TrRoad_act!H60=0,0,TrRoad_emi!H57/TrRoad_tech!H172)</f>
        <v>0.96168263116992125</v>
      </c>
      <c r="I199" s="151">
        <f>IF(TrRoad_act!I60=0,0,TrRoad_emi!I57/TrRoad_tech!I172)</f>
        <v>0.96590607431961695</v>
      </c>
      <c r="J199" s="151">
        <f>IF(TrRoad_act!J60=0,0,TrRoad_emi!J57/TrRoad_tech!J172)</f>
        <v>0.97517511032725668</v>
      </c>
      <c r="K199" s="151">
        <f>IF(TrRoad_act!K60=0,0,TrRoad_emi!K57/TrRoad_tech!K172)</f>
        <v>0.97192957903794708</v>
      </c>
      <c r="L199" s="151">
        <f>IF(TrRoad_act!L60=0,0,TrRoad_emi!L57/TrRoad_tech!L172)</f>
        <v>0.95110571564254687</v>
      </c>
      <c r="M199" s="151">
        <f>IF(TrRoad_act!M60=0,0,TrRoad_emi!M57/TrRoad_tech!M172)</f>
        <v>0.95444886836831444</v>
      </c>
      <c r="N199" s="151">
        <f>IF(TrRoad_act!N60=0,0,TrRoad_emi!N57/TrRoad_tech!N172)</f>
        <v>0.96129722860522837</v>
      </c>
      <c r="O199" s="151">
        <f>IF(TrRoad_act!O60=0,0,TrRoad_emi!O57/TrRoad_tech!O172)</f>
        <v>0.96746890812951836</v>
      </c>
      <c r="P199" s="151">
        <f>IF(TrRoad_act!P60=0,0,TrRoad_emi!P57/TrRoad_tech!P172)</f>
        <v>0.96669287880540511</v>
      </c>
      <c r="Q199" s="151">
        <f>IF(TrRoad_act!Q60=0,0,TrRoad_emi!Q57/TrRoad_tech!Q172)</f>
        <v>1.0006482461292709</v>
      </c>
      <c r="R199" s="151">
        <f>IF(TrRoad_act!R60=0,0,TrRoad_emi!R57/TrRoad_tech!R172)</f>
        <v>1.0105766374170033</v>
      </c>
      <c r="S199" s="151">
        <f>IF(TrRoad_act!S60=0,0,TrRoad_emi!S57/TrRoad_tech!S172)</f>
        <v>1.0139415732884913</v>
      </c>
      <c r="T199" s="151">
        <f>IF(TrRoad_act!T60=0,0,TrRoad_emi!T57/TrRoad_tech!T172)</f>
        <v>1.027869185918449</v>
      </c>
      <c r="U199" s="151">
        <f>IF(TrRoad_act!U60=0,0,TrRoad_emi!U57/TrRoad_tech!U172)</f>
        <v>1.0348089345860632</v>
      </c>
      <c r="V199" s="151">
        <f>IF(TrRoad_act!V60=0,0,TrRoad_emi!V57/TrRoad_tech!V172)</f>
        <v>1.0198932102406</v>
      </c>
      <c r="W199" s="151">
        <f>IF(TrRoad_act!W60=0,0,TrRoad_emi!W57/TrRoad_tech!W172)</f>
        <v>1.0681042375826935</v>
      </c>
      <c r="X199" s="151">
        <f>IF(TrRoad_act!X60=0,0,TrRoad_emi!X57/TrRoad_tech!X172)</f>
        <v>1.084620955684314</v>
      </c>
      <c r="Y199" s="151">
        <f>IF(TrRoad_act!Y60=0,0,TrRoad_emi!Y57/TrRoad_tech!Y172)</f>
        <v>1.1298924832760067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0.89527855903813369</v>
      </c>
      <c r="C200" s="91">
        <f>IF(TrRoad_act!C61=0,0,TrRoad_emi!C58/TrRoad_tech!C173)</f>
        <v>0.90108048896339055</v>
      </c>
      <c r="D200" s="91">
        <f>IF(TrRoad_act!D61=0,0,TrRoad_emi!D58/TrRoad_tech!D173)</f>
        <v>0.9031052372780376</v>
      </c>
      <c r="E200" s="91">
        <f>IF(TrRoad_act!E61=0,0,TrRoad_emi!E58/TrRoad_tech!E173)</f>
        <v>0.90813848083167259</v>
      </c>
      <c r="F200" s="91">
        <f>IF(TrRoad_act!F61=0,0,TrRoad_emi!F58/TrRoad_tech!F173)</f>
        <v>0.92822661162434761</v>
      </c>
      <c r="G200" s="91">
        <f>IF(TrRoad_act!G61=0,0,TrRoad_emi!G58/TrRoad_tech!G173)</f>
        <v>0.93205735594023742</v>
      </c>
      <c r="H200" s="91">
        <f>IF(TrRoad_act!H61=0,0,TrRoad_emi!H58/TrRoad_tech!H173)</f>
        <v>0.93636707484322035</v>
      </c>
      <c r="I200" s="91">
        <f>IF(TrRoad_act!I61=0,0,TrRoad_emi!I58/TrRoad_tech!I173)</f>
        <v>0.94133751486110329</v>
      </c>
      <c r="J200" s="91">
        <f>IF(TrRoad_act!J61=0,0,TrRoad_emi!J58/TrRoad_tech!J173)</f>
        <v>0.94672270592411834</v>
      </c>
      <c r="K200" s="91">
        <f>IF(TrRoad_act!K61=0,0,TrRoad_emi!K58/TrRoad_tech!K173)</f>
        <v>0.95016736985846639</v>
      </c>
      <c r="L200" s="91">
        <f>IF(TrRoad_act!L61=0,0,TrRoad_emi!L58/TrRoad_tech!L173)</f>
        <v>0.93052227982372449</v>
      </c>
      <c r="M200" s="91">
        <f>IF(TrRoad_act!M61=0,0,TrRoad_emi!M58/TrRoad_tech!M173)</f>
        <v>0.93015955967550201</v>
      </c>
      <c r="N200" s="91">
        <f>IF(TrRoad_act!N61=0,0,TrRoad_emi!N58/TrRoad_tech!N173)</f>
        <v>0.94260593368171741</v>
      </c>
      <c r="O200" s="91">
        <f>IF(TrRoad_act!O61=0,0,TrRoad_emi!O58/TrRoad_tech!O173)</f>
        <v>0.95089066031995051</v>
      </c>
      <c r="P200" s="91">
        <f>IF(TrRoad_act!P61=0,0,TrRoad_emi!P58/TrRoad_tech!P173)</f>
        <v>0.96556610028136947</v>
      </c>
      <c r="Q200" s="91">
        <f>IF(TrRoad_act!Q61=0,0,TrRoad_emi!Q58/TrRoad_tech!Q173)</f>
        <v>0.97289386187171678</v>
      </c>
      <c r="R200" s="91">
        <f>IF(TrRoad_act!R61=0,0,TrRoad_emi!R58/TrRoad_tech!R173)</f>
        <v>1.0253404696856481</v>
      </c>
      <c r="S200" s="91">
        <f>IF(TrRoad_act!S61=0,0,TrRoad_emi!S58/TrRoad_tech!S173)</f>
        <v>0.99306198888401975</v>
      </c>
      <c r="T200" s="91">
        <f>IF(TrRoad_act!T61=0,0,TrRoad_emi!T58/TrRoad_tech!T173)</f>
        <v>0.9939218114662276</v>
      </c>
      <c r="U200" s="91">
        <f>IF(TrRoad_act!U61=0,0,TrRoad_emi!U58/TrRoad_tech!U173)</f>
        <v>0.99740780814888252</v>
      </c>
      <c r="V200" s="91">
        <f>IF(TrRoad_act!V61=0,0,TrRoad_emi!V58/TrRoad_tech!V173)</f>
        <v>0.96082284292656384</v>
      </c>
      <c r="W200" s="91">
        <f>IF(TrRoad_act!W61=0,0,TrRoad_emi!W58/TrRoad_tech!W173)</f>
        <v>1.0222307723376363</v>
      </c>
      <c r="X200" s="91">
        <f>IF(TrRoad_act!X61=0,0,TrRoad_emi!X58/TrRoad_tech!X173)</f>
        <v>1.0088644018815649</v>
      </c>
      <c r="Y200" s="91">
        <f>IF(TrRoad_act!Y61=0,0,TrRoad_emi!Y58/TrRoad_tech!Y173)</f>
        <v>0.98790906782609278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0.99247762075045409</v>
      </c>
      <c r="C201" s="91">
        <f>IF(TrRoad_act!C62=0,0,TrRoad_emi!C59/TrRoad_tech!C174)</f>
        <v>1.0017982053877992</v>
      </c>
      <c r="D201" s="91">
        <f>IF(TrRoad_act!D62=0,0,TrRoad_emi!D59/TrRoad_tech!D174)</f>
        <v>1.0028395317700276</v>
      </c>
      <c r="E201" s="91">
        <f>IF(TrRoad_act!E62=0,0,TrRoad_emi!E59/TrRoad_tech!E174)</f>
        <v>1.0068442799269912</v>
      </c>
      <c r="F201" s="91">
        <f>IF(TrRoad_act!F62=0,0,TrRoad_emi!F59/TrRoad_tech!F174)</f>
        <v>1.0143401419586668</v>
      </c>
      <c r="G201" s="91">
        <f>IF(TrRoad_act!G62=0,0,TrRoad_emi!G59/TrRoad_tech!G174)</f>
        <v>1.0159507923708677</v>
      </c>
      <c r="H201" s="91">
        <f>IF(TrRoad_act!H62=0,0,TrRoad_emi!H59/TrRoad_tech!H174)</f>
        <v>1.0206367375095422</v>
      </c>
      <c r="I201" s="91">
        <f>IF(TrRoad_act!I62=0,0,TrRoad_emi!I59/TrRoad_tech!I174)</f>
        <v>1.0223722738112395</v>
      </c>
      <c r="J201" s="91">
        <f>IF(TrRoad_act!J62=0,0,TrRoad_emi!J59/TrRoad_tech!J174)</f>
        <v>1.0296426913620005</v>
      </c>
      <c r="K201" s="91">
        <f>IF(TrRoad_act!K62=0,0,TrRoad_emi!K59/TrRoad_tech!K174)</f>
        <v>1.0172620219092963</v>
      </c>
      <c r="L201" s="91">
        <f>IF(TrRoad_act!L62=0,0,TrRoad_emi!L59/TrRoad_tech!L174)</f>
        <v>0.99326602712952239</v>
      </c>
      <c r="M201" s="91">
        <f>IF(TrRoad_act!M62=0,0,TrRoad_emi!M59/TrRoad_tech!M174)</f>
        <v>0.99568200729851875</v>
      </c>
      <c r="N201" s="91">
        <f>IF(TrRoad_act!N62=0,0,TrRoad_emi!N59/TrRoad_tech!N174)</f>
        <v>0.99408299914369669</v>
      </c>
      <c r="O201" s="91">
        <f>IF(TrRoad_act!O62=0,0,TrRoad_emi!O59/TrRoad_tech!O174)</f>
        <v>0.99760278700273508</v>
      </c>
      <c r="P201" s="91">
        <f>IF(TrRoad_act!P62=0,0,TrRoad_emi!P59/TrRoad_tech!P174)</f>
        <v>0.98801758860497635</v>
      </c>
      <c r="Q201" s="91">
        <f>IF(TrRoad_act!Q62=0,0,TrRoad_emi!Q59/TrRoad_tech!Q174)</f>
        <v>1.0246768141302325</v>
      </c>
      <c r="R201" s="91">
        <f>IF(TrRoad_act!R62=0,0,TrRoad_emi!R59/TrRoad_tech!R174)</f>
        <v>1.0173195594140065</v>
      </c>
      <c r="S201" s="91">
        <f>IF(TrRoad_act!S62=0,0,TrRoad_emi!S59/TrRoad_tech!S174)</f>
        <v>1.0288114604941787</v>
      </c>
      <c r="T201" s="91">
        <f>IF(TrRoad_act!T62=0,0,TrRoad_emi!T59/TrRoad_tech!T174)</f>
        <v>1.0434581046293356</v>
      </c>
      <c r="U201" s="91">
        <f>IF(TrRoad_act!U62=0,0,TrRoad_emi!U59/TrRoad_tech!U174)</f>
        <v>1.044444472671997</v>
      </c>
      <c r="V201" s="91">
        <f>IF(TrRoad_act!V62=0,0,TrRoad_emi!V59/TrRoad_tech!V174)</f>
        <v>0.98817047250152668</v>
      </c>
      <c r="W201" s="91">
        <f>IF(TrRoad_act!W62=0,0,TrRoad_emi!W59/TrRoad_tech!W174)</f>
        <v>1.0073843292493805</v>
      </c>
      <c r="X201" s="91">
        <f>IF(TrRoad_act!X62=0,0,TrRoad_emi!X59/TrRoad_tech!X174)</f>
        <v>1.0044432045578653</v>
      </c>
      <c r="Y201" s="91">
        <f>IF(TrRoad_act!Y62=0,0,TrRoad_emi!Y59/TrRoad_tech!Y174)</f>
        <v>1.0160673717810207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0.85675133830243266</v>
      </c>
      <c r="C202" s="91">
        <f>IF(TrRoad_act!C63=0,0,TrRoad_emi!C60/TrRoad_tech!C175)</f>
        <v>0.93260231323006837</v>
      </c>
      <c r="D202" s="91">
        <f>IF(TrRoad_act!D63=0,0,TrRoad_emi!D60/TrRoad_tech!D175)</f>
        <v>0.76758448490082032</v>
      </c>
      <c r="E202" s="91">
        <f>IF(TrRoad_act!E63=0,0,TrRoad_emi!E60/TrRoad_tech!E175)</f>
        <v>0.72099363598257815</v>
      </c>
      <c r="F202" s="91">
        <f>IF(TrRoad_act!F63=0,0,TrRoad_emi!F60/TrRoad_tech!F175)</f>
        <v>0.72474432472262862</v>
      </c>
      <c r="G202" s="91">
        <f>IF(TrRoad_act!G63=0,0,TrRoad_emi!G60/TrRoad_tech!G175)</f>
        <v>0.79663711848753294</v>
      </c>
      <c r="H202" s="91">
        <f>IF(TrRoad_act!H63=0,0,TrRoad_emi!H60/TrRoad_tech!H175)</f>
        <v>0.85111529857286816</v>
      </c>
      <c r="I202" s="91">
        <f>IF(TrRoad_act!I63=0,0,TrRoad_emi!I60/TrRoad_tech!I175)</f>
        <v>0.79499817235979708</v>
      </c>
      <c r="J202" s="91">
        <f>IF(TrRoad_act!J63=0,0,TrRoad_emi!J60/TrRoad_tech!J175)</f>
        <v>0.82838392106690639</v>
      </c>
      <c r="K202" s="91">
        <f>IF(TrRoad_act!K63=0,0,TrRoad_emi!K60/TrRoad_tech!K175)</f>
        <v>0.88430850848119624</v>
      </c>
      <c r="L202" s="91">
        <f>IF(TrRoad_act!L63=0,0,TrRoad_emi!L60/TrRoad_tech!L175)</f>
        <v>0.93627209327204719</v>
      </c>
      <c r="M202" s="91">
        <f>IF(TrRoad_act!M63=0,0,TrRoad_emi!M60/TrRoad_tech!M175)</f>
        <v>0.92986932229113106</v>
      </c>
      <c r="N202" s="91">
        <f>IF(TrRoad_act!N63=0,0,TrRoad_emi!N60/TrRoad_tech!N175)</f>
        <v>0.89367511656252185</v>
      </c>
      <c r="O202" s="91">
        <f>IF(TrRoad_act!O63=0,0,TrRoad_emi!O60/TrRoad_tech!O175)</f>
        <v>0.91819226143633403</v>
      </c>
      <c r="P202" s="91">
        <f>IF(TrRoad_act!P63=0,0,TrRoad_emi!P60/TrRoad_tech!P175)</f>
        <v>0.93159944684905505</v>
      </c>
      <c r="Q202" s="91">
        <f>IF(TrRoad_act!Q63=0,0,TrRoad_emi!Q60/TrRoad_tech!Q175)</f>
        <v>1.1114823977265889</v>
      </c>
      <c r="R202" s="91">
        <f>IF(TrRoad_act!R63=0,0,TrRoad_emi!R60/TrRoad_tech!R175)</f>
        <v>1.2929438264912851</v>
      </c>
      <c r="S202" s="91">
        <f>IF(TrRoad_act!S63=0,0,TrRoad_emi!S60/TrRoad_tech!S175)</f>
        <v>1.2004984506950083</v>
      </c>
      <c r="T202" s="91">
        <f>IF(TrRoad_act!T63=0,0,TrRoad_emi!T60/TrRoad_tech!T175)</f>
        <v>1.1526113607853961</v>
      </c>
      <c r="U202" s="91">
        <f>IF(TrRoad_act!U63=0,0,TrRoad_emi!U60/TrRoad_tech!U175)</f>
        <v>1.1897468529155542</v>
      </c>
      <c r="V202" s="91">
        <f>IF(TrRoad_act!V63=0,0,TrRoad_emi!V60/TrRoad_tech!V175)</f>
        <v>1.1654868486381185</v>
      </c>
      <c r="W202" s="91">
        <f>IF(TrRoad_act!W63=0,0,TrRoad_emi!W60/TrRoad_tech!W175)</f>
        <v>1.1647143173868069</v>
      </c>
      <c r="X202" s="91">
        <f>IF(TrRoad_act!X63=0,0,TrRoad_emi!X60/TrRoad_tech!X175)</f>
        <v>1.2102766751033651</v>
      </c>
      <c r="Y202" s="91">
        <f>IF(TrRoad_act!Y63=0,0,TrRoad_emi!Y60/TrRoad_tech!Y175)</f>
        <v>1.3040097905711761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0.7443902292137009</v>
      </c>
      <c r="G203" s="91">
        <f>IF(TrRoad_act!G64=0,0,TrRoad_emi!G61/TrRoad_tech!G176)</f>
        <v>0.73136715305644828</v>
      </c>
      <c r="H203" s="91">
        <f>IF(TrRoad_act!H64=0,0,TrRoad_emi!H61/TrRoad_tech!H176)</f>
        <v>0.6826994693216295</v>
      </c>
      <c r="I203" s="91">
        <f>IF(TrRoad_act!I64=0,0,TrRoad_emi!I61/TrRoad_tech!I176)</f>
        <v>0.68218431007551161</v>
      </c>
      <c r="J203" s="91">
        <f>IF(TrRoad_act!J64=0,0,TrRoad_emi!J61/TrRoad_tech!J176)</f>
        <v>0.44329650645728991</v>
      </c>
      <c r="K203" s="91">
        <f>IF(TrRoad_act!K64=0,0,TrRoad_emi!K61/TrRoad_tech!K176)</f>
        <v>0.33323957384577296</v>
      </c>
      <c r="L203" s="91">
        <f>IF(TrRoad_act!L64=0,0,TrRoad_emi!L61/TrRoad_tech!L176)</f>
        <v>0.28211452137777582</v>
      </c>
      <c r="M203" s="91">
        <f>IF(TrRoad_act!M64=0,0,TrRoad_emi!M61/TrRoad_tech!M176)</f>
        <v>0.33364737130474492</v>
      </c>
      <c r="N203" s="91">
        <f>IF(TrRoad_act!N64=0,0,TrRoad_emi!N61/TrRoad_tech!N176)</f>
        <v>0.74427966343582908</v>
      </c>
      <c r="O203" s="91">
        <f>IF(TrRoad_act!O64=0,0,TrRoad_emi!O61/TrRoad_tech!O176)</f>
        <v>1.0564567793334627</v>
      </c>
      <c r="P203" s="91">
        <f>IF(TrRoad_act!P64=0,0,TrRoad_emi!P61/TrRoad_tech!P176)</f>
        <v>1.1416357380864448</v>
      </c>
      <c r="Q203" s="91">
        <f>IF(TrRoad_act!Q64=0,0,TrRoad_emi!Q61/TrRoad_tech!Q176)</f>
        <v>1.1567711247897423</v>
      </c>
      <c r="R203" s="91">
        <f>IF(TrRoad_act!R64=0,0,TrRoad_emi!R61/TrRoad_tech!R176)</f>
        <v>1.1244044951371004</v>
      </c>
      <c r="S203" s="91">
        <f>IF(TrRoad_act!S64=0,0,TrRoad_emi!S61/TrRoad_tech!S176)</f>
        <v>1.1371109715583292</v>
      </c>
      <c r="T203" s="91">
        <f>IF(TrRoad_act!T64=0,0,TrRoad_emi!T61/TrRoad_tech!T176)</f>
        <v>1.1010554998017108</v>
      </c>
      <c r="U203" s="91">
        <f>IF(TrRoad_act!U64=0,0,TrRoad_emi!U61/TrRoad_tech!U176)</f>
        <v>1.5552032035968502</v>
      </c>
      <c r="V203" s="91">
        <f>IF(TrRoad_act!V64=0,0,TrRoad_emi!V61/TrRoad_tech!V176)</f>
        <v>2.2942697106235479</v>
      </c>
      <c r="W203" s="91">
        <f>IF(TrRoad_act!W64=0,0,TrRoad_emi!W61/TrRoad_tech!W176)</f>
        <v>2.9485391383701658</v>
      </c>
      <c r="X203" s="91">
        <f>IF(TrRoad_act!X64=0,0,TrRoad_emi!X61/TrRoad_tech!X176)</f>
        <v>2.4039396027059063</v>
      </c>
      <c r="Y203" s="91">
        <f>IF(TrRoad_act!Y64=0,0,TrRoad_emi!Y61/TrRoad_tech!Y176)</f>
        <v>2.6117367195965415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0.94998042898602553</v>
      </c>
      <c r="N204" s="91">
        <f>IF(TrRoad_act!N65=0,0,TrRoad_emi!N62/TrRoad_tech!N177)</f>
        <v>0.96434565948152617</v>
      </c>
      <c r="O204" s="91">
        <f>IF(TrRoad_act!O65=0,0,TrRoad_emi!O62/TrRoad_tech!O177)</f>
        <v>0.97235693382407273</v>
      </c>
      <c r="P204" s="91">
        <f>IF(TrRoad_act!P65=0,0,TrRoad_emi!P62/TrRoad_tech!P177)</f>
        <v>0.98972795229208133</v>
      </c>
      <c r="Q204" s="91">
        <f>IF(TrRoad_act!Q65=0,0,TrRoad_emi!Q62/TrRoad_tech!Q177)</f>
        <v>0.99926130696208137</v>
      </c>
      <c r="R204" s="91">
        <f>IF(TrRoad_act!R65=0,0,TrRoad_emi!R62/TrRoad_tech!R177)</f>
        <v>1.0525000203763872</v>
      </c>
      <c r="S204" s="91">
        <f>IF(TrRoad_act!S65=0,0,TrRoad_emi!S62/TrRoad_tech!S177)</f>
        <v>1.0173183503675347</v>
      </c>
      <c r="T204" s="91">
        <f>IF(TrRoad_act!T65=0,0,TrRoad_emi!T62/TrRoad_tech!T177)</f>
        <v>1.0143388030371849</v>
      </c>
      <c r="U204" s="91">
        <f>IF(TrRoad_act!U65=0,0,TrRoad_emi!U62/TrRoad_tech!U177)</f>
        <v>1.0134905989992828</v>
      </c>
      <c r="V204" s="91">
        <f>IF(TrRoad_act!V65=0,0,TrRoad_emi!V62/TrRoad_tech!V177)</f>
        <v>0.97624808591024748</v>
      </c>
      <c r="W204" s="91">
        <f>IF(TrRoad_act!W65=0,0,TrRoad_emi!W62/TrRoad_tech!W177)</f>
        <v>1.0365730636899115</v>
      </c>
      <c r="X204" s="91">
        <f>IF(TrRoad_act!X65=0,0,TrRoad_emi!X62/TrRoad_tech!X177)</f>
        <v>1.0207551308590279</v>
      </c>
      <c r="Y204" s="91">
        <f>IF(TrRoad_act!Y65=0,0,TrRoad_emi!Y62/TrRoad_tech!Y177)</f>
        <v>0.99754694426478885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1.0385490349836322</v>
      </c>
      <c r="C206" s="151">
        <f>IF(TrRoad_act!C67=0,0,TrRoad_emi!C64/TrRoad_tech!C179)</f>
        <v>1.0506117225996154</v>
      </c>
      <c r="D206" s="151">
        <f>IF(TrRoad_act!D67=0,0,TrRoad_emi!D64/TrRoad_tech!D179)</f>
        <v>1.0462060379936573</v>
      </c>
      <c r="E206" s="151">
        <f>IF(TrRoad_act!E67=0,0,TrRoad_emi!E64/TrRoad_tech!E179)</f>
        <v>1.0599403805725069</v>
      </c>
      <c r="F206" s="151">
        <f>IF(TrRoad_act!F67=0,0,TrRoad_emi!F64/TrRoad_tech!F179)</f>
        <v>1.0743210899717011</v>
      </c>
      <c r="G206" s="151">
        <f>IF(TrRoad_act!G67=0,0,TrRoad_emi!G64/TrRoad_tech!G179)</f>
        <v>1.0889365908089319</v>
      </c>
      <c r="H206" s="151">
        <f>IF(TrRoad_act!H67=0,0,TrRoad_emi!H64/TrRoad_tech!H179)</f>
        <v>1.0922987064517278</v>
      </c>
      <c r="I206" s="151">
        <f>IF(TrRoad_act!I67=0,0,TrRoad_emi!I64/TrRoad_tech!I179)</f>
        <v>1.1010316307717563</v>
      </c>
      <c r="J206" s="151">
        <f>IF(TrRoad_act!J67=0,0,TrRoad_emi!J64/TrRoad_tech!J179)</f>
        <v>1.1174266717513091</v>
      </c>
      <c r="K206" s="151">
        <f>IF(TrRoad_act!K67=0,0,TrRoad_emi!K64/TrRoad_tech!K179)</f>
        <v>1.1077168631541834</v>
      </c>
      <c r="L206" s="151">
        <f>IF(TrRoad_act!L67=0,0,TrRoad_emi!L64/TrRoad_tech!L179)</f>
        <v>1.0902652125305017</v>
      </c>
      <c r="M206" s="151">
        <f>IF(TrRoad_act!M67=0,0,TrRoad_emi!M64/TrRoad_tech!M179)</f>
        <v>1.092793078916497</v>
      </c>
      <c r="N206" s="151">
        <f>IF(TrRoad_act!N67=0,0,TrRoad_emi!N64/TrRoad_tech!N179)</f>
        <v>1.0940527535142885</v>
      </c>
      <c r="O206" s="151">
        <f>IF(TrRoad_act!O67=0,0,TrRoad_emi!O64/TrRoad_tech!O179)</f>
        <v>1.1087553239164298</v>
      </c>
      <c r="P206" s="151">
        <f>IF(TrRoad_act!P67=0,0,TrRoad_emi!P64/TrRoad_tech!P179)</f>
        <v>1.1083855514320069</v>
      </c>
      <c r="Q206" s="151">
        <f>IF(TrRoad_act!Q67=0,0,TrRoad_emi!Q64/TrRoad_tech!Q179)</f>
        <v>1.1650808856839638</v>
      </c>
      <c r="R206" s="151">
        <f>IF(TrRoad_act!R67=0,0,TrRoad_emi!R64/TrRoad_tech!R179)</f>
        <v>1.1992824722778508</v>
      </c>
      <c r="S206" s="151">
        <f>IF(TrRoad_act!S67=0,0,TrRoad_emi!S64/TrRoad_tech!S179)</f>
        <v>1.2397011854869371</v>
      </c>
      <c r="T206" s="151">
        <f>IF(TrRoad_act!T67=0,0,TrRoad_emi!T64/TrRoad_tech!T179)</f>
        <v>1.2997123024625032</v>
      </c>
      <c r="U206" s="151">
        <f>IF(TrRoad_act!U67=0,0,TrRoad_emi!U64/TrRoad_tech!U179)</f>
        <v>1.305851802950069</v>
      </c>
      <c r="V206" s="151">
        <f>IF(TrRoad_act!V67=0,0,TrRoad_emi!V64/TrRoad_tech!V179)</f>
        <v>1.2387130756500084</v>
      </c>
      <c r="W206" s="151">
        <f>IF(TrRoad_act!W67=0,0,TrRoad_emi!W64/TrRoad_tech!W179)</f>
        <v>1.3179747286828398</v>
      </c>
      <c r="X206" s="151">
        <f>IF(TrRoad_act!X67=0,0,TrRoad_emi!X64/TrRoad_tech!X179)</f>
        <v>1.3225047721751915</v>
      </c>
      <c r="Y206" s="151">
        <f>IF(TrRoad_act!Y67=0,0,TrRoad_emi!Y64/TrRoad_tech!Y179)</f>
        <v>1.4454139679961002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</v>
      </c>
      <c r="E207" s="93">
        <f>IF(TrRoad_act!E68=0,0,TrRoad_emi!E65/TrRoad_tech!E180)</f>
        <v>1.1000000000067303</v>
      </c>
      <c r="F207" s="93">
        <f>IF(TrRoad_act!F68=0,0,TrRoad_emi!F65/TrRoad_tech!F180)</f>
        <v>1.1000000000067305</v>
      </c>
      <c r="G207" s="93">
        <f>IF(TrRoad_act!G68=0,0,TrRoad_emi!G65/TrRoad_tech!G180)</f>
        <v>1.1000229400630757</v>
      </c>
      <c r="H207" s="93">
        <f>IF(TrRoad_act!H68=0,0,TrRoad_emi!H65/TrRoad_tech!H180)</f>
        <v>1.1000247020045972</v>
      </c>
      <c r="I207" s="93">
        <f>IF(TrRoad_act!I68=0,0,TrRoad_emi!I65/TrRoad_tech!I180)</f>
        <v>1.100026166869136</v>
      </c>
      <c r="J207" s="93">
        <f>IF(TrRoad_act!J68=0,0,TrRoad_emi!J65/TrRoad_tech!J180)</f>
        <v>1.1000285812848274</v>
      </c>
      <c r="K207" s="93">
        <f>IF(TrRoad_act!K68=0,0,TrRoad_emi!K65/TrRoad_tech!K180)</f>
        <v>1.0851733010579474</v>
      </c>
      <c r="L207" s="93">
        <f>IF(TrRoad_act!L68=0,0,TrRoad_emi!L65/TrRoad_tech!L180)</f>
        <v>1.0552914597940635</v>
      </c>
      <c r="M207" s="93">
        <f>IF(TrRoad_act!M68=0,0,TrRoad_emi!M65/TrRoad_tech!M180)</f>
        <v>1.0560743084637909</v>
      </c>
      <c r="N207" s="93">
        <f>IF(TrRoad_act!N68=0,0,TrRoad_emi!N65/TrRoad_tech!N180)</f>
        <v>1.0563706986235335</v>
      </c>
      <c r="O207" s="93">
        <f>IF(TrRoad_act!O68=0,0,TrRoad_emi!O65/TrRoad_tech!O180)</f>
        <v>1.0567200404329862</v>
      </c>
      <c r="P207" s="93">
        <f>IF(TrRoad_act!P68=0,0,TrRoad_emi!P65/TrRoad_tech!P180)</f>
        <v>1.0725217398984399</v>
      </c>
      <c r="Q207" s="93">
        <f>IF(TrRoad_act!Q68=0,0,TrRoad_emi!Q65/TrRoad_tech!Q180)</f>
        <v>1.0750333802503504</v>
      </c>
      <c r="R207" s="93">
        <f>IF(TrRoad_act!R68=0,0,TrRoad_emi!R65/TrRoad_tech!R180)</f>
        <v>1.0776876714215029</v>
      </c>
      <c r="S207" s="93">
        <f>IF(TrRoad_act!S68=0,0,TrRoad_emi!S65/TrRoad_tech!S180)</f>
        <v>1.0406374966334269</v>
      </c>
      <c r="T207" s="93">
        <f>IF(TrRoad_act!T68=0,0,TrRoad_emi!T65/TrRoad_tech!T180)</f>
        <v>1.0375215556875519</v>
      </c>
      <c r="U207" s="93">
        <f>IF(TrRoad_act!U68=0,0,TrRoad_emi!U65/TrRoad_tech!U180)</f>
        <v>1.0362879119649751</v>
      </c>
      <c r="V207" s="93">
        <f>IF(TrRoad_act!V68=0,0,TrRoad_emi!V65/TrRoad_tech!V180)</f>
        <v>1.0222098258593133</v>
      </c>
      <c r="W207" s="93">
        <f>IF(TrRoad_act!W68=0,0,TrRoad_emi!W65/TrRoad_tech!W180)</f>
        <v>1.0205034624852602</v>
      </c>
      <c r="X207" s="93">
        <f>IF(TrRoad_act!X68=0,0,TrRoad_emi!X65/TrRoad_tech!X180)</f>
        <v>1.0273243987778042</v>
      </c>
      <c r="Y207" s="93">
        <f>IF(TrRoad_act!Y68=0,0,TrRoad_emi!Y65/TrRoad_tech!Y180)</f>
        <v>1.0267664014391837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1.0377840941915202</v>
      </c>
      <c r="C208" s="93">
        <f>IF(TrRoad_act!C69=0,0,TrRoad_emi!C66/TrRoad_tech!C181)</f>
        <v>1.0614487635925236</v>
      </c>
      <c r="D208" s="93">
        <f>IF(TrRoad_act!D69=0,0,TrRoad_emi!D66/TrRoad_tech!D181)</f>
        <v>1.0617299550720289</v>
      </c>
      <c r="E208" s="93">
        <f>IF(TrRoad_act!E69=0,0,TrRoad_emi!E66/TrRoad_tech!E181)</f>
        <v>1.0789418320862427</v>
      </c>
      <c r="F208" s="93">
        <f>IF(TrRoad_act!F69=0,0,TrRoad_emi!F66/TrRoad_tech!F181)</f>
        <v>1.0959262380904711</v>
      </c>
      <c r="G208" s="93">
        <f>IF(TrRoad_act!G69=0,0,TrRoad_emi!G66/TrRoad_tech!G181)</f>
        <v>1.1033689787480139</v>
      </c>
      <c r="H208" s="93">
        <f>IF(TrRoad_act!H69=0,0,TrRoad_emi!H66/TrRoad_tech!H181)</f>
        <v>1.1167673741111424</v>
      </c>
      <c r="I208" s="93">
        <f>IF(TrRoad_act!I69=0,0,TrRoad_emi!I66/TrRoad_tech!I181)</f>
        <v>1.1252893700197775</v>
      </c>
      <c r="J208" s="93">
        <f>IF(TrRoad_act!J69=0,0,TrRoad_emi!J66/TrRoad_tech!J181)</f>
        <v>1.1412079331757596</v>
      </c>
      <c r="K208" s="93">
        <f>IF(TrRoad_act!K69=0,0,TrRoad_emi!K66/TrRoad_tech!K181)</f>
        <v>1.129782013771176</v>
      </c>
      <c r="L208" s="93">
        <f>IF(TrRoad_act!L69=0,0,TrRoad_emi!L66/TrRoad_tech!L181)</f>
        <v>1.11035684698257</v>
      </c>
      <c r="M208" s="93">
        <f>IF(TrRoad_act!M69=0,0,TrRoad_emi!M66/TrRoad_tech!M181)</f>
        <v>1.1113064105668993</v>
      </c>
      <c r="N208" s="93">
        <f>IF(TrRoad_act!N69=0,0,TrRoad_emi!N66/TrRoad_tech!N181)</f>
        <v>1.1105196430682576</v>
      </c>
      <c r="O208" s="93">
        <f>IF(TrRoad_act!O69=0,0,TrRoad_emi!O66/TrRoad_tech!O181)</f>
        <v>1.1230843249781901</v>
      </c>
      <c r="P208" s="93">
        <f>IF(TrRoad_act!P69=0,0,TrRoad_emi!P66/TrRoad_tech!P181)</f>
        <v>1.1219750573340423</v>
      </c>
      <c r="Q208" s="93">
        <f>IF(TrRoad_act!Q69=0,0,TrRoad_emi!Q66/TrRoad_tech!Q181)</f>
        <v>1.1794876200297222</v>
      </c>
      <c r="R208" s="93">
        <f>IF(TrRoad_act!R69=0,0,TrRoad_emi!R66/TrRoad_tech!R181)</f>
        <v>1.2109201525947906</v>
      </c>
      <c r="S208" s="93">
        <f>IF(TrRoad_act!S69=0,0,TrRoad_emi!S66/TrRoad_tech!S181)</f>
        <v>1.2515274639819147</v>
      </c>
      <c r="T208" s="93">
        <f>IF(TrRoad_act!T69=0,0,TrRoad_emi!T66/TrRoad_tech!T181)</f>
        <v>1.2996647727070523</v>
      </c>
      <c r="U208" s="93">
        <f>IF(TrRoad_act!U69=0,0,TrRoad_emi!U66/TrRoad_tech!U181)</f>
        <v>1.3057597628218103</v>
      </c>
      <c r="V208" s="93">
        <f>IF(TrRoad_act!V69=0,0,TrRoad_emi!V66/TrRoad_tech!V181)</f>
        <v>1.2442001755813614</v>
      </c>
      <c r="W208" s="93">
        <f>IF(TrRoad_act!W69=0,0,TrRoad_emi!W66/TrRoad_tech!W181)</f>
        <v>1.2939097649479421</v>
      </c>
      <c r="X208" s="93">
        <f>IF(TrRoad_act!X69=0,0,TrRoad_emi!X66/TrRoad_tech!X181)</f>
        <v>1.3100041445681736</v>
      </c>
      <c r="Y208" s="93">
        <f>IF(TrRoad_act!Y69=0,0,TrRoad_emi!Y66/TrRoad_tech!Y181)</f>
        <v>1.3414308793758298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0.99169952858795163</v>
      </c>
      <c r="P210" s="93">
        <f>IF(TrRoad_act!P71=0,0,TrRoad_emi!P68/TrRoad_tech!P183)</f>
        <v>1.3315664455619278</v>
      </c>
      <c r="Q210" s="93">
        <f>IF(TrRoad_act!Q71=0,0,TrRoad_emi!Q68/TrRoad_tech!Q183)</f>
        <v>1.3451072167206897</v>
      </c>
      <c r="R210" s="93">
        <f>IF(TrRoad_act!R71=0,0,TrRoad_emi!R68/TrRoad_tech!R183)</f>
        <v>1.3183050940909022</v>
      </c>
      <c r="S210" s="93">
        <f>IF(TrRoad_act!S71=0,0,TrRoad_emi!S68/TrRoad_tech!S183)</f>
        <v>1.3415532981945772</v>
      </c>
      <c r="T210" s="93">
        <f>IF(TrRoad_act!T71=0,0,TrRoad_emi!T68/TrRoad_tech!T183)</f>
        <v>1.3432283661614057</v>
      </c>
      <c r="U210" s="93">
        <f>IF(TrRoad_act!U71=0,0,TrRoad_emi!U68/TrRoad_tech!U183)</f>
        <v>1.909445374445442</v>
      </c>
      <c r="V210" s="93">
        <f>IF(TrRoad_act!V71=0,0,TrRoad_emi!V68/TrRoad_tech!V183)</f>
        <v>2.827449139351017</v>
      </c>
      <c r="W210" s="93">
        <f>IF(TrRoad_act!W71=0,0,TrRoad_emi!W68/TrRoad_tech!W183)</f>
        <v>3.6549416536398756</v>
      </c>
      <c r="X210" s="93">
        <f>IF(TrRoad_act!X71=0,0,TrRoad_emi!X68/TrRoad_tech!X183)</f>
        <v>2.9813886940130421</v>
      </c>
      <c r="Y210" s="93">
        <f>IF(TrRoad_act!Y71=0,0,TrRoad_emi!Y68/TrRoad_tech!Y183)</f>
        <v>3.2389501765987712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1.0878519411926524</v>
      </c>
      <c r="C213" s="150">
        <f>IF(TrRoad_act!C74=0,0,TrRoad_emi!C71/TrRoad_tech!C186)</f>
        <v>1.0754641027848149</v>
      </c>
      <c r="D213" s="150">
        <f>IF(TrRoad_act!D74=0,0,TrRoad_emi!D71/TrRoad_tech!D186)</f>
        <v>1.0627819338578248</v>
      </c>
      <c r="E213" s="150">
        <f>IF(TrRoad_act!E74=0,0,TrRoad_emi!E71/TrRoad_tech!E186)</f>
        <v>1.0585782583796981</v>
      </c>
      <c r="F213" s="150">
        <f>IF(TrRoad_act!F74=0,0,TrRoad_emi!F71/TrRoad_tech!F186)</f>
        <v>1.0701606690399399</v>
      </c>
      <c r="G213" s="150">
        <f>IF(TrRoad_act!G74=0,0,TrRoad_emi!G71/TrRoad_tech!G186)</f>
        <v>1.0825735866906925</v>
      </c>
      <c r="H213" s="150">
        <f>IF(TrRoad_act!H74=0,0,TrRoad_emi!H71/TrRoad_tech!H186)</f>
        <v>1.0914697740183192</v>
      </c>
      <c r="I213" s="150">
        <f>IF(TrRoad_act!I74=0,0,TrRoad_emi!I71/TrRoad_tech!I186)</f>
        <v>1.0973081430828882</v>
      </c>
      <c r="J213" s="150">
        <f>IF(TrRoad_act!J74=0,0,TrRoad_emi!J71/TrRoad_tech!J186)</f>
        <v>1.1260284732029027</v>
      </c>
      <c r="K213" s="150">
        <f>IF(TrRoad_act!K74=0,0,TrRoad_emi!K71/TrRoad_tech!K186)</f>
        <v>1.146108434990476</v>
      </c>
      <c r="L213" s="150">
        <f>IF(TrRoad_act!L74=0,0,TrRoad_emi!L71/TrRoad_tech!L186)</f>
        <v>1.1909214789580205</v>
      </c>
      <c r="M213" s="150">
        <f>IF(TrRoad_act!M74=0,0,TrRoad_emi!M71/TrRoad_tech!M186)</f>
        <v>1.2528668129965204</v>
      </c>
      <c r="N213" s="150">
        <f>IF(TrRoad_act!N74=0,0,TrRoad_emi!N71/TrRoad_tech!N186)</f>
        <v>1.1546968317424191</v>
      </c>
      <c r="O213" s="150">
        <f>IF(TrRoad_act!O74=0,0,TrRoad_emi!O71/TrRoad_tech!O186)</f>
        <v>1.1612518001685597</v>
      </c>
      <c r="P213" s="150">
        <f>IF(TrRoad_act!P74=0,0,TrRoad_emi!P71/TrRoad_tech!P186)</f>
        <v>1.1427841366002385</v>
      </c>
      <c r="Q213" s="150">
        <f>IF(TrRoad_act!Q74=0,0,TrRoad_emi!Q71/TrRoad_tech!Q186)</f>
        <v>1.1642353834213723</v>
      </c>
      <c r="R213" s="150">
        <f>IF(TrRoad_act!R74=0,0,TrRoad_emi!R71/TrRoad_tech!R186)</f>
        <v>1.1284504235109825</v>
      </c>
      <c r="S213" s="150">
        <f>IF(TrRoad_act!S74=0,0,TrRoad_emi!S71/TrRoad_tech!S186)</f>
        <v>1.144550573713035</v>
      </c>
      <c r="T213" s="150">
        <f>IF(TrRoad_act!T74=0,0,TrRoad_emi!T71/TrRoad_tech!T186)</f>
        <v>1.1651580715430516</v>
      </c>
      <c r="U213" s="150">
        <f>IF(TrRoad_act!U74=0,0,TrRoad_emi!U71/TrRoad_tech!U186)</f>
        <v>1.1844554158714637</v>
      </c>
      <c r="V213" s="150">
        <f>IF(TrRoad_act!V74=0,0,TrRoad_emi!V71/TrRoad_tech!V186)</f>
        <v>1.1409006740497243</v>
      </c>
      <c r="W213" s="150">
        <f>IF(TrRoad_act!W74=0,0,TrRoad_emi!W71/TrRoad_tech!W186)</f>
        <v>1.1492387135739079</v>
      </c>
      <c r="X213" s="150">
        <f>IF(TrRoad_act!X74=0,0,TrRoad_emi!X71/TrRoad_tech!X186)</f>
        <v>1.1543916355395301</v>
      </c>
      <c r="Y213" s="150">
        <f>IF(TrRoad_act!Y74=0,0,TrRoad_emi!Y71/TrRoad_tech!Y186)</f>
        <v>1.1742240417275742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1.1001987463721914</v>
      </c>
      <c r="D214" s="91">
        <f>IF(TrRoad_act!D75=0,0,TrRoad_emi!D72/TrRoad_tech!D187)</f>
        <v>1.1006617910492944</v>
      </c>
      <c r="E214" s="91">
        <f>IF(TrRoad_act!E75=0,0,TrRoad_emi!E72/TrRoad_tech!E187)</f>
        <v>1.1013737423137127</v>
      </c>
      <c r="F214" s="91">
        <f>IF(TrRoad_act!F75=0,0,TrRoad_emi!F72/TrRoad_tech!F187)</f>
        <v>1.1023342312844222</v>
      </c>
      <c r="G214" s="91">
        <f>IF(TrRoad_act!G75=0,0,TrRoad_emi!G72/TrRoad_tech!G187)</f>
        <v>1.103393508823358</v>
      </c>
      <c r="H214" s="91">
        <f>IF(TrRoad_act!H75=0,0,TrRoad_emi!H72/TrRoad_tech!H187)</f>
        <v>1.1041037973798498</v>
      </c>
      <c r="I214" s="91">
        <f>IF(TrRoad_act!I75=0,0,TrRoad_emi!I72/TrRoad_tech!I187)</f>
        <v>1.1053349916526796</v>
      </c>
      <c r="J214" s="91">
        <f>IF(TrRoad_act!J75=0,0,TrRoad_emi!J72/TrRoad_tech!J187)</f>
        <v>1.1108082336083636</v>
      </c>
      <c r="K214" s="91">
        <f>IF(TrRoad_act!K75=0,0,TrRoad_emi!K72/TrRoad_tech!K187)</f>
        <v>1.101366218442597</v>
      </c>
      <c r="L214" s="91">
        <f>IF(TrRoad_act!L75=0,0,TrRoad_emi!L72/TrRoad_tech!L187)</f>
        <v>1.0740366411418036</v>
      </c>
      <c r="M214" s="91">
        <f>IF(TrRoad_act!M75=0,0,TrRoad_emi!M72/TrRoad_tech!M187)</f>
        <v>1.0774880869080026</v>
      </c>
      <c r="N214" s="91">
        <f>IF(TrRoad_act!N75=0,0,TrRoad_emi!N72/TrRoad_tech!N187)</f>
        <v>1.0864988282413772</v>
      </c>
      <c r="O214" s="91">
        <f>IF(TrRoad_act!O75=0,0,TrRoad_emi!O72/TrRoad_tech!O187)</f>
        <v>1.0969464286985353</v>
      </c>
      <c r="P214" s="91">
        <f>IF(TrRoad_act!P75=0,0,TrRoad_emi!P72/TrRoad_tech!P187)</f>
        <v>1.124716331886888</v>
      </c>
      <c r="Q214" s="91">
        <f>IF(TrRoad_act!Q75=0,0,TrRoad_emi!Q72/TrRoad_tech!Q187)</f>
        <v>1.1427325269063546</v>
      </c>
      <c r="R214" s="91">
        <f>IF(TrRoad_act!R75=0,0,TrRoad_emi!R72/TrRoad_tech!R187)</f>
        <v>1.1684009209993163</v>
      </c>
      <c r="S214" s="91">
        <f>IF(TrRoad_act!S75=0,0,TrRoad_emi!S72/TrRoad_tech!S187)</f>
        <v>1.1581901256989902</v>
      </c>
      <c r="T214" s="91">
        <f>IF(TrRoad_act!T75=0,0,TrRoad_emi!T72/TrRoad_tech!T187)</f>
        <v>1.1916563554820896</v>
      </c>
      <c r="U214" s="91">
        <f>IF(TrRoad_act!U75=0,0,TrRoad_emi!U72/TrRoad_tech!U187)</f>
        <v>1.2155331701823036</v>
      </c>
      <c r="V214" s="91">
        <f>IF(TrRoad_act!V75=0,0,TrRoad_emi!V72/TrRoad_tech!V187)</f>
        <v>1.2167633569867247</v>
      </c>
      <c r="W214" s="91">
        <f>IF(TrRoad_act!W75=0,0,TrRoad_emi!W72/TrRoad_tech!W187)</f>
        <v>1.2274370677223176</v>
      </c>
      <c r="X214" s="91">
        <f>IF(TrRoad_act!X75=0,0,TrRoad_emi!X72/TrRoad_tech!X187)</f>
        <v>1.2427250697776215</v>
      </c>
      <c r="Y214" s="91">
        <f>IF(TrRoad_act!Y75=0,0,TrRoad_emi!Y72/TrRoad_tech!Y187)</f>
        <v>1.2469821109892594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1.1003015299483101</v>
      </c>
      <c r="D215" s="91">
        <f>IF(TrRoad_act!D76=0,0,TrRoad_emi!D73/TrRoad_tech!D188)</f>
        <v>1.1006133030523204</v>
      </c>
      <c r="E215" s="91">
        <f>IF(TrRoad_act!E76=0,0,TrRoad_emi!E73/TrRoad_tech!E188)</f>
        <v>1.1016905770846279</v>
      </c>
      <c r="F215" s="91">
        <f>IF(TrRoad_act!F76=0,0,TrRoad_emi!F73/TrRoad_tech!F188)</f>
        <v>1.103258068283457</v>
      </c>
      <c r="G215" s="91">
        <f>IF(TrRoad_act!G76=0,0,TrRoad_emi!G73/TrRoad_tech!G188)</f>
        <v>1.1051496330614716</v>
      </c>
      <c r="H215" s="91">
        <f>IF(TrRoad_act!H76=0,0,TrRoad_emi!H73/TrRoad_tech!H188)</f>
        <v>1.107576229488286</v>
      </c>
      <c r="I215" s="91">
        <f>IF(TrRoad_act!I76=0,0,TrRoad_emi!I73/TrRoad_tech!I188)</f>
        <v>1.1110080821637394</v>
      </c>
      <c r="J215" s="91">
        <f>IF(TrRoad_act!J76=0,0,TrRoad_emi!J73/TrRoad_tech!J188)</f>
        <v>1.1157065888194146</v>
      </c>
      <c r="K215" s="91">
        <f>IF(TrRoad_act!K76=0,0,TrRoad_emi!K73/TrRoad_tech!K188)</f>
        <v>1.1041015316862539</v>
      </c>
      <c r="L215" s="91">
        <f>IF(TrRoad_act!L76=0,0,TrRoad_emi!L73/TrRoad_tech!L188)</f>
        <v>1.0774675272193153</v>
      </c>
      <c r="M215" s="91">
        <f>IF(TrRoad_act!M76=0,0,TrRoad_emi!M73/TrRoad_tech!M188)</f>
        <v>1.0830070508017</v>
      </c>
      <c r="N215" s="91">
        <f>IF(TrRoad_act!N76=0,0,TrRoad_emi!N73/TrRoad_tech!N188)</f>
        <v>1.0937889964390077</v>
      </c>
      <c r="O215" s="91">
        <f>IF(TrRoad_act!O76=0,0,TrRoad_emi!O73/TrRoad_tech!O188)</f>
        <v>1.106283284004604</v>
      </c>
      <c r="P215" s="91">
        <f>IF(TrRoad_act!P76=0,0,TrRoad_emi!P73/TrRoad_tech!P188)</f>
        <v>1.1065073168382618</v>
      </c>
      <c r="Q215" s="91">
        <f>IF(TrRoad_act!Q76=0,0,TrRoad_emi!Q73/TrRoad_tech!Q188)</f>
        <v>1.1513108795278413</v>
      </c>
      <c r="R215" s="91">
        <f>IF(TrRoad_act!R76=0,0,TrRoad_emi!R73/TrRoad_tech!R188)</f>
        <v>1.1347748586206214</v>
      </c>
      <c r="S215" s="91">
        <f>IF(TrRoad_act!S76=0,0,TrRoad_emi!S73/TrRoad_tech!S188)</f>
        <v>1.1510343386449378</v>
      </c>
      <c r="T215" s="91">
        <f>IF(TrRoad_act!T76=0,0,TrRoad_emi!T73/TrRoad_tech!T188)</f>
        <v>1.1679047426064435</v>
      </c>
      <c r="U215" s="91">
        <f>IF(TrRoad_act!U76=0,0,TrRoad_emi!U73/TrRoad_tech!U188)</f>
        <v>1.1822783663680045</v>
      </c>
      <c r="V215" s="91">
        <f>IF(TrRoad_act!V76=0,0,TrRoad_emi!V73/TrRoad_tech!V188)</f>
        <v>1.1379811317314628</v>
      </c>
      <c r="W215" s="91">
        <f>IF(TrRoad_act!W76=0,0,TrRoad_emi!W73/TrRoad_tech!W188)</f>
        <v>1.1468528416979862</v>
      </c>
      <c r="X215" s="91">
        <f>IF(TrRoad_act!X76=0,0,TrRoad_emi!X73/TrRoad_tech!X188)</f>
        <v>1.1490350700834702</v>
      </c>
      <c r="Y215" s="91">
        <f>IF(TrRoad_act!Y76=0,0,TrRoad_emi!Y73/TrRoad_tech!Y188)</f>
        <v>1.1604902185168702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1.1000047679155502</v>
      </c>
      <c r="D216" s="91">
        <f>IF(TrRoad_act!D77=0,0,TrRoad_emi!D74/TrRoad_tech!D189)</f>
        <v>1.1000078379437168</v>
      </c>
      <c r="E216" s="91">
        <f>IF(TrRoad_act!E77=0,0,TrRoad_emi!E74/TrRoad_tech!E189)</f>
        <v>1.100011437908949</v>
      </c>
      <c r="F216" s="91">
        <f>IF(TrRoad_act!F77=0,0,TrRoad_emi!F74/TrRoad_tech!F189)</f>
        <v>1.1000258465283941</v>
      </c>
      <c r="G216" s="91">
        <f>IF(TrRoad_act!G77=0,0,TrRoad_emi!G74/TrRoad_tech!G189)</f>
        <v>1.1000429708797923</v>
      </c>
      <c r="H216" s="91">
        <f>IF(TrRoad_act!H77=0,0,TrRoad_emi!H74/TrRoad_tech!H189)</f>
        <v>1.1003762671485122</v>
      </c>
      <c r="I216" s="91">
        <f>IF(TrRoad_act!I77=0,0,TrRoad_emi!I74/TrRoad_tech!I189)</f>
        <v>1.1005731437410946</v>
      </c>
      <c r="J216" s="91">
        <f>IF(TrRoad_act!J77=0,0,TrRoad_emi!J74/TrRoad_tech!J189)</f>
        <v>1.1022719449235394</v>
      </c>
      <c r="K216" s="91">
        <f>IF(TrRoad_act!K77=0,0,TrRoad_emi!K74/TrRoad_tech!K189)</f>
        <v>1.1052389042796966</v>
      </c>
      <c r="L216" s="91">
        <f>IF(TrRoad_act!L77=0,0,TrRoad_emi!L74/TrRoad_tech!L189)</f>
        <v>1.1093495285003891</v>
      </c>
      <c r="M216" s="91">
        <f>IF(TrRoad_act!M77=0,0,TrRoad_emi!M74/TrRoad_tech!M189)</f>
        <v>1.1181821436980008</v>
      </c>
      <c r="N216" s="91">
        <f>IF(TrRoad_act!N77=0,0,TrRoad_emi!N74/TrRoad_tech!N189)</f>
        <v>1.1255769493363852</v>
      </c>
      <c r="O216" s="91">
        <f>IF(TrRoad_act!O77=0,0,TrRoad_emi!O74/TrRoad_tech!O189)</f>
        <v>1.1289674590047698</v>
      </c>
      <c r="P216" s="91">
        <f>IF(TrRoad_act!P77=0,0,TrRoad_emi!P74/TrRoad_tech!P189)</f>
        <v>1.1327567228098925</v>
      </c>
      <c r="Q216" s="91">
        <f>IF(TrRoad_act!Q77=0,0,TrRoad_emi!Q74/TrRoad_tech!Q189)</f>
        <v>1.1401283962672673</v>
      </c>
      <c r="R216" s="91">
        <f>IF(TrRoad_act!R77=0,0,TrRoad_emi!R74/TrRoad_tech!R189)</f>
        <v>1.1412013029994421</v>
      </c>
      <c r="S216" s="91">
        <f>IF(TrRoad_act!S77=0,0,TrRoad_emi!S74/TrRoad_tech!S189)</f>
        <v>1.141335874138899</v>
      </c>
      <c r="T216" s="91">
        <f>IF(TrRoad_act!T77=0,0,TrRoad_emi!T74/TrRoad_tech!T189)</f>
        <v>1.1415806756196138</v>
      </c>
      <c r="U216" s="91">
        <f>IF(TrRoad_act!U77=0,0,TrRoad_emi!U74/TrRoad_tech!U189)</f>
        <v>1.1417574637458427</v>
      </c>
      <c r="V216" s="91">
        <f>IF(TrRoad_act!V77=0,0,TrRoad_emi!V74/TrRoad_tech!V189)</f>
        <v>1.1575284816889642</v>
      </c>
      <c r="W216" s="91">
        <f>IF(TrRoad_act!W77=0,0,TrRoad_emi!W74/TrRoad_tech!W189)</f>
        <v>1.1634258144354803</v>
      </c>
      <c r="X216" s="91">
        <f>IF(TrRoad_act!X77=0,0,TrRoad_emi!X74/TrRoad_tech!X189)</f>
        <v>1.1681300432462116</v>
      </c>
      <c r="Y216" s="91">
        <f>IF(TrRoad_act!Y77=0,0,TrRoad_emi!Y74/TrRoad_tech!Y189)</f>
        <v>1.1752572436045516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1.169333333339637</v>
      </c>
      <c r="K217" s="91">
        <f>IF(TrRoad_act!K78=0,0,TrRoad_emi!K75/TrRoad_tech!K190)</f>
        <v>1.1730255516932699</v>
      </c>
      <c r="L217" s="91">
        <f>IF(TrRoad_act!L78=0,0,TrRoad_emi!L75/TrRoad_tech!L190)</f>
        <v>1.1780753334570142</v>
      </c>
      <c r="M217" s="91">
        <f>IF(TrRoad_act!M78=0,0,TrRoad_emi!M75/TrRoad_tech!M190)</f>
        <v>1.1789119134870598</v>
      </c>
      <c r="N217" s="91">
        <f>IF(TrRoad_act!N78=0,0,TrRoad_emi!N75/TrRoad_tech!N190)</f>
        <v>1.2145595105919591</v>
      </c>
      <c r="O217" s="91">
        <f>IF(TrRoad_act!O78=0,0,TrRoad_emi!O75/TrRoad_tech!O190)</f>
        <v>1.2248280123086002</v>
      </c>
      <c r="P217" s="91">
        <f>IF(TrRoad_act!P78=0,0,TrRoad_emi!P75/TrRoad_tech!P190)</f>
        <v>1.3217440371488924</v>
      </c>
      <c r="Q217" s="91">
        <f>IF(TrRoad_act!Q78=0,0,TrRoad_emi!Q75/TrRoad_tech!Q190)</f>
        <v>1.3613252205246742</v>
      </c>
      <c r="R217" s="91">
        <f>IF(TrRoad_act!R78=0,0,TrRoad_emi!R75/TrRoad_tech!R190)</f>
        <v>1.3578698618645175</v>
      </c>
      <c r="S217" s="91">
        <f>IF(TrRoad_act!S78=0,0,TrRoad_emi!S75/TrRoad_tech!S190)</f>
        <v>1.3785121657522323</v>
      </c>
      <c r="T217" s="91">
        <f>IF(TrRoad_act!T78=0,0,TrRoad_emi!T75/TrRoad_tech!T190)</f>
        <v>1.3399325778238127</v>
      </c>
      <c r="U217" s="91">
        <f>IF(TrRoad_act!U78=0,0,TrRoad_emi!U75/TrRoad_tech!U190)</f>
        <v>1.9004388469686482</v>
      </c>
      <c r="V217" s="91">
        <f>IF(TrRoad_act!V78=0,0,TrRoad_emi!V75/TrRoad_tech!V190)</f>
        <v>2.8108157206393303</v>
      </c>
      <c r="W217" s="91">
        <f>IF(TrRoad_act!W78=0,0,TrRoad_emi!W75/TrRoad_tech!W190)</f>
        <v>3.6270092628821953</v>
      </c>
      <c r="X217" s="91">
        <f>IF(TrRoad_act!X78=0,0,TrRoad_emi!X75/TrRoad_tech!X190)</f>
        <v>2.9598550192312163</v>
      </c>
      <c r="Y217" s="91">
        <f>IF(TrRoad_act!Y78=0,0,TrRoad_emi!Y75/TrRoad_tech!Y190)</f>
        <v>3.2191195042680998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0.88581222194385967</v>
      </c>
      <c r="C219" s="151">
        <f>IF(TrRoad_act!C80=0,0,TrRoad_emi!C77/TrRoad_tech!C192)</f>
        <v>0.99501914124938073</v>
      </c>
      <c r="D219" s="151">
        <f>IF(TrRoad_act!D80=0,0,TrRoad_emi!D77/TrRoad_tech!D192)</f>
        <v>0.98855166731843835</v>
      </c>
      <c r="E219" s="151">
        <f>IF(TrRoad_act!E80=0,0,TrRoad_emi!E77/TrRoad_tech!E192)</f>
        <v>1.0607727250867036</v>
      </c>
      <c r="F219" s="151">
        <f>IF(TrRoad_act!F80=0,0,TrRoad_emi!F77/TrRoad_tech!F192)</f>
        <v>1.1222766371227502</v>
      </c>
      <c r="G219" s="151">
        <f>IF(TrRoad_act!G80=0,0,TrRoad_emi!G77/TrRoad_tech!G192)</f>
        <v>1.1485074956431272</v>
      </c>
      <c r="H219" s="151">
        <f>IF(TrRoad_act!H80=0,0,TrRoad_emi!H77/TrRoad_tech!H192)</f>
        <v>1.1954667310079445</v>
      </c>
      <c r="I219" s="151">
        <f>IF(TrRoad_act!I80=0,0,TrRoad_emi!I77/TrRoad_tech!I192)</f>
        <v>1.2205808777279372</v>
      </c>
      <c r="J219" s="151">
        <f>IF(TrRoad_act!J80=0,0,TrRoad_emi!J77/TrRoad_tech!J192)</f>
        <v>1.2840173339193055</v>
      </c>
      <c r="K219" s="151">
        <f>IF(TrRoad_act!K80=0,0,TrRoad_emi!K77/TrRoad_tech!K192)</f>
        <v>1.2661227944465503</v>
      </c>
      <c r="L219" s="151">
        <f>IF(TrRoad_act!L80=0,0,TrRoad_emi!L77/TrRoad_tech!L192)</f>
        <v>1.2551762453540909</v>
      </c>
      <c r="M219" s="151">
        <f>IF(TrRoad_act!M80=0,0,TrRoad_emi!M77/TrRoad_tech!M192)</f>
        <v>1.2245725817066413</v>
      </c>
      <c r="N219" s="151">
        <f>IF(TrRoad_act!N80=0,0,TrRoad_emi!N77/TrRoad_tech!N192)</f>
        <v>1.1779732680026502</v>
      </c>
      <c r="O219" s="151">
        <f>IF(TrRoad_act!O80=0,0,TrRoad_emi!O77/TrRoad_tech!O192)</f>
        <v>1.2010150709062593</v>
      </c>
      <c r="P219" s="151">
        <f>IF(TrRoad_act!P80=0,0,TrRoad_emi!P77/TrRoad_tech!P192)</f>
        <v>1.1994554255378755</v>
      </c>
      <c r="Q219" s="151">
        <f>IF(TrRoad_act!Q80=0,0,TrRoad_emi!Q77/TrRoad_tech!Q192)</f>
        <v>1.3146959051875227</v>
      </c>
      <c r="R219" s="151">
        <f>IF(TrRoad_act!R80=0,0,TrRoad_emi!R77/TrRoad_tech!R192)</f>
        <v>1.4971447681381311</v>
      </c>
      <c r="S219" s="151">
        <f>IF(TrRoad_act!S80=0,0,TrRoad_emi!S77/TrRoad_tech!S192)</f>
        <v>1.59197471816373</v>
      </c>
      <c r="T219" s="151">
        <f>IF(TrRoad_act!T80=0,0,TrRoad_emi!T77/TrRoad_tech!T192)</f>
        <v>1.758804045979258</v>
      </c>
      <c r="U219" s="151">
        <f>IF(TrRoad_act!U80=0,0,TrRoad_emi!U77/TrRoad_tech!U192)</f>
        <v>1.7061198109677069</v>
      </c>
      <c r="V219" s="151">
        <f>IF(TrRoad_act!V80=0,0,TrRoad_emi!V77/TrRoad_tech!V192)</f>
        <v>1.5795149823915462</v>
      </c>
      <c r="W219" s="151">
        <f>IF(TrRoad_act!W80=0,0,TrRoad_emi!W77/TrRoad_tech!W192)</f>
        <v>1.727899074578813</v>
      </c>
      <c r="X219" s="151">
        <f>IF(TrRoad_act!X80=0,0,TrRoad_emi!X77/TrRoad_tech!X192)</f>
        <v>1.7707705496121189</v>
      </c>
      <c r="Y219" s="151">
        <f>IF(TrRoad_act!Y80=0,0,TrRoad_emi!Y77/TrRoad_tech!Y192)</f>
        <v>1.8535947817930469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0.92806379191846167</v>
      </c>
      <c r="C220" s="93">
        <f>IF(TrRoad_act!C81=0,0,TrRoad_emi!C78/TrRoad_tech!C193)</f>
        <v>1.0371357659662002</v>
      </c>
      <c r="D220" s="93">
        <f>IF(TrRoad_act!D81=0,0,TrRoad_emi!D78/TrRoad_tech!D193)</f>
        <v>1.0323143815852587</v>
      </c>
      <c r="E220" s="93">
        <f>IF(TrRoad_act!E81=0,0,TrRoad_emi!E78/TrRoad_tech!E193)</f>
        <v>1.1068033295904725</v>
      </c>
      <c r="F220" s="93">
        <f>IF(TrRoad_act!F81=0,0,TrRoad_emi!F78/TrRoad_tech!F193)</f>
        <v>1.1737848571600635</v>
      </c>
      <c r="G220" s="93">
        <f>IF(TrRoad_act!G81=0,0,TrRoad_emi!G78/TrRoad_tech!G193)</f>
        <v>1.2006609849504311</v>
      </c>
      <c r="H220" s="93">
        <f>IF(TrRoad_act!H81=0,0,TrRoad_emi!H78/TrRoad_tech!H193)</f>
        <v>1.2510670590862281</v>
      </c>
      <c r="I220" s="93">
        <f>IF(TrRoad_act!I81=0,0,TrRoad_emi!I78/TrRoad_tech!I193)</f>
        <v>1.2781402816117304</v>
      </c>
      <c r="J220" s="93">
        <f>IF(TrRoad_act!J81=0,0,TrRoad_emi!J78/TrRoad_tech!J193)</f>
        <v>1.3417893776528389</v>
      </c>
      <c r="K220" s="93">
        <f>IF(TrRoad_act!K81=0,0,TrRoad_emi!K78/TrRoad_tech!K193)</f>
        <v>1.3242555931142872</v>
      </c>
      <c r="L220" s="93">
        <f>IF(TrRoad_act!L81=0,0,TrRoad_emi!L78/TrRoad_tech!L193)</f>
        <v>1.314471674808152</v>
      </c>
      <c r="M220" s="93">
        <f>IF(TrRoad_act!M81=0,0,TrRoad_emi!M78/TrRoad_tech!M193)</f>
        <v>1.2838847806503679</v>
      </c>
      <c r="N220" s="93">
        <f>IF(TrRoad_act!N81=0,0,TrRoad_emi!N78/TrRoad_tech!N193)</f>
        <v>1.2364653262323604</v>
      </c>
      <c r="O220" s="93">
        <f>IF(TrRoad_act!O81=0,0,TrRoad_emi!O78/TrRoad_tech!O193)</f>
        <v>1.2620198792253892</v>
      </c>
      <c r="P220" s="93">
        <f>IF(TrRoad_act!P81=0,0,TrRoad_emi!P78/TrRoad_tech!P193)</f>
        <v>1.2612139576241388</v>
      </c>
      <c r="Q220" s="93">
        <f>IF(TrRoad_act!Q81=0,0,TrRoad_emi!Q78/TrRoad_tech!Q193)</f>
        <v>1.3827648218330912</v>
      </c>
      <c r="R220" s="93">
        <f>IF(TrRoad_act!R81=0,0,TrRoad_emi!R78/TrRoad_tech!R193)</f>
        <v>1.5731627232763936</v>
      </c>
      <c r="S220" s="93">
        <f>IF(TrRoad_act!S81=0,0,TrRoad_emi!S78/TrRoad_tech!S193)</f>
        <v>1.6699224903656091</v>
      </c>
      <c r="T220" s="93">
        <f>IF(TrRoad_act!T81=0,0,TrRoad_emi!T78/TrRoad_tech!T193)</f>
        <v>1.8350337147915305</v>
      </c>
      <c r="U220" s="93">
        <f>IF(TrRoad_act!U81=0,0,TrRoad_emi!U78/TrRoad_tech!U193)</f>
        <v>1.7691704150456784</v>
      </c>
      <c r="V220" s="93">
        <f>IF(TrRoad_act!V81=0,0,TrRoad_emi!V78/TrRoad_tech!V193)</f>
        <v>1.625856713378707</v>
      </c>
      <c r="W220" s="93">
        <f>IF(TrRoad_act!W81=0,0,TrRoad_emi!W78/TrRoad_tech!W193)</f>
        <v>1.7716136449953932</v>
      </c>
      <c r="X220" s="93">
        <f>IF(TrRoad_act!X81=0,0,TrRoad_emi!X78/TrRoad_tech!X193)</f>
        <v>1.8111101228062023</v>
      </c>
      <c r="Y220" s="93">
        <f>IF(TrRoad_act!Y81=0,0,TrRoad_emi!Y78/TrRoad_tech!Y193)</f>
        <v>1.8872750693867117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0.92806379191846233</v>
      </c>
      <c r="C221" s="94">
        <f>IF(TrRoad_act!C82=0,0,TrRoad_emi!C79/TrRoad_tech!C194)</f>
        <v>1.036260286632591</v>
      </c>
      <c r="D221" s="94">
        <f>IF(TrRoad_act!D82=0,0,TrRoad_emi!D79/TrRoad_tech!D194)</f>
        <v>1.0320314832906818</v>
      </c>
      <c r="E221" s="94">
        <f>IF(TrRoad_act!E82=0,0,TrRoad_emi!E79/TrRoad_tech!E194)</f>
        <v>1.1068066295620549</v>
      </c>
      <c r="F221" s="94">
        <f>IF(TrRoad_act!F82=0,0,TrRoad_emi!F79/TrRoad_tech!F194)</f>
        <v>1.1768656457851168</v>
      </c>
      <c r="G221" s="94">
        <f>IF(TrRoad_act!G82=0,0,TrRoad_emi!G79/TrRoad_tech!G194)</f>
        <v>1.2044493090941697</v>
      </c>
      <c r="H221" s="94">
        <f>IF(TrRoad_act!H82=0,0,TrRoad_emi!H79/TrRoad_tech!H194)</f>
        <v>1.2559117532452919</v>
      </c>
      <c r="I221" s="94">
        <f>IF(TrRoad_act!I82=0,0,TrRoad_emi!I79/TrRoad_tech!I194)</f>
        <v>1.2849699079951205</v>
      </c>
      <c r="J221" s="94">
        <f>IF(TrRoad_act!J82=0,0,TrRoad_emi!J79/TrRoad_tech!J194)</f>
        <v>1.3465443167602833</v>
      </c>
      <c r="K221" s="94">
        <f>IF(TrRoad_act!K82=0,0,TrRoad_emi!K79/TrRoad_tech!K194)</f>
        <v>1.3263042164655012</v>
      </c>
      <c r="L221" s="94">
        <f>IF(TrRoad_act!L82=0,0,TrRoad_emi!L79/TrRoad_tech!L194)</f>
        <v>1.3212235321703683</v>
      </c>
      <c r="M221" s="94">
        <f>IF(TrRoad_act!M82=0,0,TrRoad_emi!M79/TrRoad_tech!M194)</f>
        <v>1.2850549993676372</v>
      </c>
      <c r="N221" s="94">
        <f>IF(TrRoad_act!N82=0,0,TrRoad_emi!N79/TrRoad_tech!N194)</f>
        <v>1.2404540477750285</v>
      </c>
      <c r="O221" s="94">
        <f>IF(TrRoad_act!O82=0,0,TrRoad_emi!O79/TrRoad_tech!O194)</f>
        <v>1.268635834131427</v>
      </c>
      <c r="P221" s="94">
        <f>IF(TrRoad_act!P82=0,0,TrRoad_emi!P79/TrRoad_tech!P194)</f>
        <v>1.266857002965607</v>
      </c>
      <c r="Q221" s="94">
        <f>IF(TrRoad_act!Q82=0,0,TrRoad_emi!Q79/TrRoad_tech!Q194)</f>
        <v>1.3810197032383869</v>
      </c>
      <c r="R221" s="94">
        <f>IF(TrRoad_act!R82=0,0,TrRoad_emi!R79/TrRoad_tech!R194)</f>
        <v>1.576632759019835</v>
      </c>
      <c r="S221" s="94">
        <f>IF(TrRoad_act!S82=0,0,TrRoad_emi!S79/TrRoad_tech!S194)</f>
        <v>1.6929742871211886</v>
      </c>
      <c r="T221" s="94">
        <f>IF(TrRoad_act!T82=0,0,TrRoad_emi!T79/TrRoad_tech!T194)</f>
        <v>1.8559796304299867</v>
      </c>
      <c r="U221" s="94">
        <f>IF(TrRoad_act!U82=0,0,TrRoad_emi!U79/TrRoad_tech!U194)</f>
        <v>1.797681425566668</v>
      </c>
      <c r="V221" s="94">
        <f>IF(TrRoad_act!V82=0,0,TrRoad_emi!V79/TrRoad_tech!V194)</f>
        <v>1.6620712975539205</v>
      </c>
      <c r="W221" s="94">
        <f>IF(TrRoad_act!W82=0,0,TrRoad_emi!W79/TrRoad_tech!W194)</f>
        <v>1.8171775202208753</v>
      </c>
      <c r="X221" s="94">
        <f>IF(TrRoad_act!X82=0,0,TrRoad_emi!X79/TrRoad_tech!X194)</f>
        <v>1.8454415779664899</v>
      </c>
      <c r="Y221" s="94">
        <f>IF(TrRoad_act!Y82=0,0,TrRoad_emi!Y79/TrRoad_tech!Y194)</f>
        <v>1.9312524219600351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99.496600703330529</v>
      </c>
      <c r="C225" s="152">
        <v>99.496600703330529</v>
      </c>
      <c r="D225" s="152">
        <v>99.496600703330529</v>
      </c>
      <c r="E225" s="152">
        <v>98.095240130044203</v>
      </c>
      <c r="F225" s="152">
        <v>96.693879556757864</v>
      </c>
      <c r="G225" s="152">
        <v>95.29251898347151</v>
      </c>
      <c r="H225" s="152">
        <v>93.891158410185156</v>
      </c>
      <c r="I225" s="152">
        <v>93.891158410185156</v>
      </c>
      <c r="J225" s="152">
        <v>91.088437263612477</v>
      </c>
      <c r="K225" s="152">
        <v>86.323811314438899</v>
      </c>
      <c r="L225" s="152">
        <v>83.184167109549591</v>
      </c>
      <c r="M225" s="152">
        <v>78.289583407831202</v>
      </c>
      <c r="N225" s="152">
        <v>80.046044253422409</v>
      </c>
      <c r="O225" s="152">
        <v>77.577208449412808</v>
      </c>
      <c r="P225" s="152">
        <v>75.908932641802195</v>
      </c>
      <c r="Q225" s="152">
        <v>73.881411548852398</v>
      </c>
      <c r="R225" s="152">
        <v>72.623864515598214</v>
      </c>
      <c r="S225" s="152">
        <v>71.617826888994855</v>
      </c>
      <c r="T225" s="152">
        <v>70.81299678771218</v>
      </c>
      <c r="U225" s="152">
        <v>70.169132706686042</v>
      </c>
      <c r="V225" s="152">
        <v>69.654041441865132</v>
      </c>
      <c r="W225" s="152">
        <v>69.241968430008384</v>
      </c>
      <c r="X225" s="152">
        <v>68.912310020523009</v>
      </c>
      <c r="Y225" s="152">
        <v>68.648583292934703</v>
      </c>
      <c r="DA225" s="174" t="s">
        <v>933</v>
      </c>
    </row>
    <row r="226" spans="1:105" ht="11.45" customHeight="1" x14ac:dyDescent="0.25">
      <c r="A226" s="109" t="s">
        <v>20</v>
      </c>
      <c r="B226" s="116">
        <v>195.36167482534415</v>
      </c>
      <c r="C226" s="116">
        <v>195.35197389555262</v>
      </c>
      <c r="D226" s="116">
        <v>195.1677956783733</v>
      </c>
      <c r="E226" s="116">
        <v>192.08476856794655</v>
      </c>
      <c r="F226" s="116">
        <v>190.67962675742956</v>
      </c>
      <c r="G226" s="116">
        <v>187.72010671671222</v>
      </c>
      <c r="H226" s="116">
        <v>186.81664321838466</v>
      </c>
      <c r="I226" s="116">
        <v>186.52819985157902</v>
      </c>
      <c r="J226" s="116">
        <v>182.16480075093159</v>
      </c>
      <c r="K226" s="116">
        <v>174.44250801785424</v>
      </c>
      <c r="L226" s="116">
        <v>167.81349695685114</v>
      </c>
      <c r="M226" s="116">
        <v>159.78850604546949</v>
      </c>
      <c r="N226" s="116">
        <v>160.16597622321035</v>
      </c>
      <c r="O226" s="116">
        <v>154.89657246844126</v>
      </c>
      <c r="P226" s="116">
        <v>151.24957603387836</v>
      </c>
      <c r="Q226" s="116">
        <v>146.87501444241045</v>
      </c>
      <c r="R226" s="116">
        <v>143.5521008499318</v>
      </c>
      <c r="S226" s="116">
        <v>142.86372332664419</v>
      </c>
      <c r="T226" s="116">
        <v>146.48227288209907</v>
      </c>
      <c r="U226" s="116">
        <v>146.18036089360493</v>
      </c>
      <c r="V226" s="116">
        <v>132.58267059691363</v>
      </c>
      <c r="W226" s="116">
        <v>122.05835744653741</v>
      </c>
      <c r="X226" s="116">
        <v>112.68803025443523</v>
      </c>
      <c r="Y226" s="116">
        <v>98.989503766883871</v>
      </c>
      <c r="DA226" s="176" t="s">
        <v>934</v>
      </c>
    </row>
    <row r="227" spans="1:105" ht="11.45" customHeight="1" x14ac:dyDescent="0.25">
      <c r="A227" s="111" t="s">
        <v>110</v>
      </c>
      <c r="B227" s="87">
        <v>198.5829128851806</v>
      </c>
      <c r="C227" s="87">
        <v>198.5829128851806</v>
      </c>
      <c r="D227" s="87">
        <v>198.5829128851806</v>
      </c>
      <c r="E227" s="87">
        <v>195.78597045017807</v>
      </c>
      <c r="F227" s="87">
        <v>192.98902801517559</v>
      </c>
      <c r="G227" s="87">
        <v>190.192085580173</v>
      </c>
      <c r="H227" s="87">
        <v>187.39514314517047</v>
      </c>
      <c r="I227" s="87">
        <v>187.39514314517047</v>
      </c>
      <c r="J227" s="87">
        <v>181.80125827516537</v>
      </c>
      <c r="K227" s="87">
        <v>172.29165399615667</v>
      </c>
      <c r="L227" s="87">
        <v>166.00771816411691</v>
      </c>
      <c r="M227" s="87">
        <v>156.24541009492768</v>
      </c>
      <c r="N227" s="87">
        <v>159.95974035267946</v>
      </c>
      <c r="O227" s="87">
        <v>154.92859082659228</v>
      </c>
      <c r="P227" s="87">
        <v>151.89686189213469</v>
      </c>
      <c r="Q227" s="87">
        <v>148.37668584746461</v>
      </c>
      <c r="R227" s="87">
        <v>147.32598246778531</v>
      </c>
      <c r="S227" s="87">
        <v>146.33859534158375</v>
      </c>
      <c r="T227" s="87">
        <v>148.88737532060409</v>
      </c>
      <c r="U227" s="87">
        <v>150.2926796376689</v>
      </c>
      <c r="V227" s="87">
        <v>143.29663128749419</v>
      </c>
      <c r="W227" s="87">
        <v>137.02697680788901</v>
      </c>
      <c r="X227" s="87">
        <v>133.91499551612981</v>
      </c>
      <c r="Y227" s="87">
        <v>132.39390090548551</v>
      </c>
      <c r="DA227" s="171" t="s">
        <v>935</v>
      </c>
    </row>
    <row r="228" spans="1:105" ht="11.45" customHeight="1" x14ac:dyDescent="0.25">
      <c r="A228" s="111" t="s">
        <v>111</v>
      </c>
      <c r="B228" s="87">
        <v>193.7832905215987</v>
      </c>
      <c r="C228" s="87">
        <v>193.55398330206364</v>
      </c>
      <c r="D228" s="87">
        <v>193.29951573079165</v>
      </c>
      <c r="E228" s="87">
        <v>190.3681815006843</v>
      </c>
      <c r="F228" s="87">
        <v>189.68078858088455</v>
      </c>
      <c r="G228" s="87">
        <v>186.7891116346118</v>
      </c>
      <c r="H228" s="87">
        <v>186.62056817831478</v>
      </c>
      <c r="I228" s="87">
        <v>186.2702621711091</v>
      </c>
      <c r="J228" s="87">
        <v>182.26818127746762</v>
      </c>
      <c r="K228" s="87">
        <v>175.15300360281006</v>
      </c>
      <c r="L228" s="87">
        <v>168.42513207552696</v>
      </c>
      <c r="M228" s="87">
        <v>161.35919405533213</v>
      </c>
      <c r="N228" s="87">
        <v>160.65286739762377</v>
      </c>
      <c r="O228" s="87">
        <v>155.16570056925681</v>
      </c>
      <c r="P228" s="87">
        <v>151.70321488057181</v>
      </c>
      <c r="Q228" s="87">
        <v>146.96014134807493</v>
      </c>
      <c r="R228" s="87">
        <v>143.04260510588401</v>
      </c>
      <c r="S228" s="87">
        <v>144.55437540349868</v>
      </c>
      <c r="T228" s="87">
        <v>149.51742272797171</v>
      </c>
      <c r="U228" s="87">
        <v>149.85591949296051</v>
      </c>
      <c r="V228" s="87">
        <v>144.3221762329124</v>
      </c>
      <c r="W228" s="87">
        <v>140.4649799038018</v>
      </c>
      <c r="X228" s="87">
        <v>139.50743603011131</v>
      </c>
      <c r="Y228" s="87">
        <v>142.4073645094349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192.42249117844847</v>
      </c>
      <c r="D229" s="87">
        <v>192.16951119243666</v>
      </c>
      <c r="E229" s="87">
        <v>0</v>
      </c>
      <c r="F229" s="87">
        <v>0</v>
      </c>
      <c r="G229" s="87">
        <v>185.69716609577054</v>
      </c>
      <c r="H229" s="87">
        <v>185.52960792321727</v>
      </c>
      <c r="I229" s="87">
        <v>185.18134976065551</v>
      </c>
      <c r="J229" s="87">
        <v>181.20266452610591</v>
      </c>
      <c r="K229" s="87">
        <v>174.12908128086622</v>
      </c>
      <c r="L229" s="87">
        <v>144.6951216559294</v>
      </c>
      <c r="M229" s="87">
        <v>146.29145632107389</v>
      </c>
      <c r="N229" s="87">
        <v>159.71254253916686</v>
      </c>
      <c r="O229" s="87">
        <v>155.95582694751764</v>
      </c>
      <c r="P229" s="87">
        <v>154.50011956955004</v>
      </c>
      <c r="Q229" s="87">
        <v>154.1834728311411</v>
      </c>
      <c r="R229" s="87">
        <v>140.98684734954165</v>
      </c>
      <c r="S229" s="87">
        <v>139.40788874338099</v>
      </c>
      <c r="T229" s="87">
        <v>153.46153846153848</v>
      </c>
      <c r="U229" s="87">
        <v>163.18987341772149</v>
      </c>
      <c r="V229" s="87">
        <v>126.8600405679513</v>
      </c>
      <c r="W229" s="87">
        <v>120.44817658349329</v>
      </c>
      <c r="X229" s="87">
        <v>122.4851851851852</v>
      </c>
      <c r="Y229" s="87">
        <v>120.5482648002333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210.63479460504934</v>
      </c>
      <c r="G230" s="87">
        <v>206.70942877244573</v>
      </c>
      <c r="H230" s="87">
        <v>197.71642624721866</v>
      </c>
      <c r="I230" s="87">
        <v>195.16054319435571</v>
      </c>
      <c r="J230" s="87">
        <v>0</v>
      </c>
      <c r="K230" s="87">
        <v>0</v>
      </c>
      <c r="L230" s="87">
        <v>0</v>
      </c>
      <c r="M230" s="87">
        <v>171.11470170745599</v>
      </c>
      <c r="N230" s="87">
        <v>172.26265464682734</v>
      </c>
      <c r="O230" s="87">
        <v>162.73959842728402</v>
      </c>
      <c r="P230" s="87">
        <v>143.9959106503614</v>
      </c>
      <c r="Q230" s="87">
        <v>143.05156969961362</v>
      </c>
      <c r="R230" s="87">
        <v>142.5498165039549</v>
      </c>
      <c r="S230" s="87">
        <v>142.23496039662433</v>
      </c>
      <c r="T230" s="87">
        <v>142.0478723404255</v>
      </c>
      <c r="U230" s="87">
        <v>126.0518301610542</v>
      </c>
      <c r="V230" s="87">
        <v>118.32724505327241</v>
      </c>
      <c r="W230" s="87">
        <v>115.8792756539235</v>
      </c>
      <c r="X230" s="87">
        <v>112.1835294117647</v>
      </c>
      <c r="Y230" s="87">
        <v>114.0510204081633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70.784615682644855</v>
      </c>
      <c r="N231" s="87">
        <v>43.011935819505283</v>
      </c>
      <c r="O231" s="87">
        <v>55.842658098610436</v>
      </c>
      <c r="P231" s="87">
        <v>56.911146055323243</v>
      </c>
      <c r="Q231" s="87">
        <v>67.828254970148834</v>
      </c>
      <c r="R231" s="87">
        <v>70.104410920088355</v>
      </c>
      <c r="S231" s="87">
        <v>66.564800258771086</v>
      </c>
      <c r="T231" s="87">
        <v>64.697047496790759</v>
      </c>
      <c r="U231" s="87">
        <v>49.602633522028057</v>
      </c>
      <c r="V231" s="87">
        <v>41.301869743518452</v>
      </c>
      <c r="W231" s="87">
        <v>37.264490977426057</v>
      </c>
      <c r="X231" s="87">
        <v>32.821373853169668</v>
      </c>
      <c r="Y231" s="87">
        <v>28.94885460974735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1445.4723781996015</v>
      </c>
      <c r="C233" s="116">
        <v>1445.4723781996015</v>
      </c>
      <c r="D233" s="116">
        <v>1445.4723781996015</v>
      </c>
      <c r="E233" s="116">
        <v>1440.3283483839443</v>
      </c>
      <c r="F233" s="116">
        <v>1435.1286070540386</v>
      </c>
      <c r="G233" s="116">
        <v>1405.7870069254036</v>
      </c>
      <c r="H233" s="116">
        <v>1424.5562174355048</v>
      </c>
      <c r="I233" s="116">
        <v>1424.5562174355048</v>
      </c>
      <c r="J233" s="116">
        <v>1413.681742493249</v>
      </c>
      <c r="K233" s="116">
        <v>1393.6118086638937</v>
      </c>
      <c r="L233" s="116">
        <v>1379.7987396353324</v>
      </c>
      <c r="M233" s="116">
        <v>1358.04319410175</v>
      </c>
      <c r="N233" s="116">
        <v>1367.6494643851127</v>
      </c>
      <c r="O233" s="116">
        <v>1354.2791019562358</v>
      </c>
      <c r="P233" s="116">
        <v>1346.5850269492594</v>
      </c>
      <c r="Q233" s="116">
        <v>1339.4099305607606</v>
      </c>
      <c r="R233" s="116">
        <v>1319.46318387669</v>
      </c>
      <c r="S233" s="116">
        <v>1293.3079051103816</v>
      </c>
      <c r="T233" s="116">
        <v>1233.6432151129789</v>
      </c>
      <c r="U233" s="116">
        <v>1190.0367968617072</v>
      </c>
      <c r="V233" s="116">
        <v>1157.1211013151467</v>
      </c>
      <c r="W233" s="116">
        <v>1082.5930276458546</v>
      </c>
      <c r="X233" s="116">
        <v>1039.8152717754713</v>
      </c>
      <c r="Y233" s="116">
        <v>874.08242559588462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359.68254714349536</v>
      </c>
      <c r="L234" s="101">
        <v>346.60069628978999</v>
      </c>
      <c r="M234" s="101">
        <v>326.20659753262998</v>
      </c>
      <c r="N234" s="101">
        <v>0</v>
      </c>
      <c r="O234" s="101">
        <v>0</v>
      </c>
      <c r="P234" s="101">
        <v>0</v>
      </c>
      <c r="Q234" s="101">
        <v>284.81625159299091</v>
      </c>
      <c r="R234" s="101">
        <v>275.92138015120128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1445.4723781996015</v>
      </c>
      <c r="C235" s="101">
        <v>1445.4723781996015</v>
      </c>
      <c r="D235" s="101">
        <v>1445.4723781996015</v>
      </c>
      <c r="E235" s="101">
        <v>1440.3283483839443</v>
      </c>
      <c r="F235" s="101">
        <v>1435.1286070540386</v>
      </c>
      <c r="G235" s="101">
        <v>1429.8717257095179</v>
      </c>
      <c r="H235" s="101">
        <v>1424.5562174355048</v>
      </c>
      <c r="I235" s="101">
        <v>1424.5562174355048</v>
      </c>
      <c r="J235" s="101">
        <v>1413.681742493249</v>
      </c>
      <c r="K235" s="101">
        <v>1394.4402776234454</v>
      </c>
      <c r="L235" s="101">
        <v>1381.4055795161187</v>
      </c>
      <c r="M235" s="101">
        <v>1360.1468365004639</v>
      </c>
      <c r="N235" s="101">
        <v>1367.6494643851127</v>
      </c>
      <c r="O235" s="101">
        <v>1356.8542501062013</v>
      </c>
      <c r="P235" s="101">
        <v>1349.4399775364309</v>
      </c>
      <c r="Q235" s="101">
        <v>1340.2449215971562</v>
      </c>
      <c r="R235" s="101">
        <v>1321.3667697715</v>
      </c>
      <c r="S235" s="101">
        <v>1294.1670622509328</v>
      </c>
      <c r="T235" s="101">
        <v>1260.0050334787659</v>
      </c>
      <c r="U235" s="101">
        <v>1220.1906591766224</v>
      </c>
      <c r="V235" s="101">
        <v>1175.9510456288356</v>
      </c>
      <c r="W235" s="101">
        <v>1128.4083902218372</v>
      </c>
      <c r="X235" s="101">
        <v>1078.5675167170346</v>
      </c>
      <c r="Y235" s="101">
        <v>1027.3109930938297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887.318904095824</v>
      </c>
      <c r="P237" s="101">
        <v>0</v>
      </c>
      <c r="Q237" s="101">
        <v>0</v>
      </c>
      <c r="R237" s="101">
        <v>823.7674249634581</v>
      </c>
      <c r="S237" s="101">
        <v>809.17285640980106</v>
      </c>
      <c r="T237" s="101">
        <v>799.73998330914355</v>
      </c>
      <c r="U237" s="101">
        <v>793.33899095392462</v>
      </c>
      <c r="V237" s="101">
        <v>788.73349045944099</v>
      </c>
      <c r="W237" s="101">
        <v>785.1970503166649</v>
      </c>
      <c r="X237" s="101">
        <v>782.29971901895055</v>
      </c>
      <c r="Y237" s="101">
        <v>779.78588798593375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275.12454829984642</v>
      </c>
      <c r="D240" s="152">
        <v>271.04901802765625</v>
      </c>
      <c r="E240" s="152">
        <v>268.39505554466297</v>
      </c>
      <c r="F240" s="152">
        <v>268.37066630444718</v>
      </c>
      <c r="G240" s="152">
        <v>264.5031272172892</v>
      </c>
      <c r="H240" s="152">
        <v>265.32568445528602</v>
      </c>
      <c r="I240" s="152">
        <v>263.79337487174899</v>
      </c>
      <c r="J240" s="152">
        <v>256.87112672907625</v>
      </c>
      <c r="K240" s="152">
        <v>247.4061298595783</v>
      </c>
      <c r="L240" s="152">
        <v>237.74713077340797</v>
      </c>
      <c r="M240" s="152">
        <v>228.8366371235054</v>
      </c>
      <c r="N240" s="152">
        <v>226.79025946297477</v>
      </c>
      <c r="O240" s="152">
        <v>223.60740484085724</v>
      </c>
      <c r="P240" s="152">
        <v>219.32985282364345</v>
      </c>
      <c r="Q240" s="152">
        <v>215.34280221588133</v>
      </c>
      <c r="R240" s="152">
        <v>207.47833833621138</v>
      </c>
      <c r="S240" s="152">
        <v>196.37535594114351</v>
      </c>
      <c r="T240" s="152">
        <v>196.89747378208162</v>
      </c>
      <c r="U240" s="152">
        <v>196.04400927108978</v>
      </c>
      <c r="V240" s="152">
        <v>206.00948214653437</v>
      </c>
      <c r="W240" s="152">
        <v>205.70690716722547</v>
      </c>
      <c r="X240" s="152">
        <v>199.9210251464248</v>
      </c>
      <c r="Y240" s="152">
        <v>203.55490756855377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241.50911114043674</v>
      </c>
      <c r="D241" s="87">
        <v>241.50911114043674</v>
      </c>
      <c r="E241" s="87">
        <v>238.10757436381084</v>
      </c>
      <c r="F241" s="87">
        <v>234.70603758718505</v>
      </c>
      <c r="G241" s="87">
        <v>231.30450081055912</v>
      </c>
      <c r="H241" s="87">
        <v>227.90296403393324</v>
      </c>
      <c r="I241" s="87">
        <v>227.90296403393324</v>
      </c>
      <c r="J241" s="87">
        <v>221.09989048068147</v>
      </c>
      <c r="K241" s="87">
        <v>209.53466544015353</v>
      </c>
      <c r="L241" s="87">
        <v>201.91377511967994</v>
      </c>
      <c r="M241" s="87">
        <v>190.03310230424259</v>
      </c>
      <c r="N241" s="87">
        <v>194.29657758453556</v>
      </c>
      <c r="O241" s="87">
        <v>188.52187256571233</v>
      </c>
      <c r="P241" s="87">
        <v>185.23380052867694</v>
      </c>
      <c r="Q241" s="87">
        <v>180.49672473156122</v>
      </c>
      <c r="R241" s="87">
        <v>173.77353007591628</v>
      </c>
      <c r="S241" s="87">
        <v>172.30239623757393</v>
      </c>
      <c r="T241" s="87">
        <v>178.38158298012709</v>
      </c>
      <c r="U241" s="87">
        <v>175.95990566037739</v>
      </c>
      <c r="V241" s="87">
        <v>169.44260815391161</v>
      </c>
      <c r="W241" s="87">
        <v>164.30009149130831</v>
      </c>
      <c r="X241" s="87">
        <v>167.12545454545449</v>
      </c>
      <c r="Y241" s="87">
        <v>183.94540032117459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274.46981380189629</v>
      </c>
      <c r="D242" s="87">
        <v>274.10896528969261</v>
      </c>
      <c r="E242" s="87">
        <v>269.95217788287863</v>
      </c>
      <c r="F242" s="87">
        <v>268.97741826549719</v>
      </c>
      <c r="G242" s="87">
        <v>264.8768669904552</v>
      </c>
      <c r="H242" s="87">
        <v>264.6378634304242</v>
      </c>
      <c r="I242" s="87">
        <v>264.14111093310487</v>
      </c>
      <c r="J242" s="87">
        <v>258.46594796844676</v>
      </c>
      <c r="K242" s="87">
        <v>248.3762486596863</v>
      </c>
      <c r="L242" s="87">
        <v>238.83577000937285</v>
      </c>
      <c r="M242" s="87">
        <v>228.8158951421531</v>
      </c>
      <c r="N242" s="87">
        <v>227.81261974152187</v>
      </c>
      <c r="O242" s="87">
        <v>224.60993806278631</v>
      </c>
      <c r="P242" s="87">
        <v>220.32769946946348</v>
      </c>
      <c r="Q242" s="87">
        <v>216.52904328609102</v>
      </c>
      <c r="R242" s="87">
        <v>209.79288912764235</v>
      </c>
      <c r="S242" s="87">
        <v>198.58587201283135</v>
      </c>
      <c r="T242" s="87">
        <v>199.93912778460913</v>
      </c>
      <c r="U242" s="87">
        <v>199.34019015726841</v>
      </c>
      <c r="V242" s="87">
        <v>209.9082400906768</v>
      </c>
      <c r="W242" s="87">
        <v>210.8375623126613</v>
      </c>
      <c r="X242" s="87">
        <v>209.22549609140111</v>
      </c>
      <c r="Y242" s="87">
        <v>215.33747244419951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308.08903414158618</v>
      </c>
      <c r="D243" s="87">
        <v>307.68398606705915</v>
      </c>
      <c r="E243" s="87">
        <v>303.01804266309131</v>
      </c>
      <c r="F243" s="87">
        <v>301.92388682540775</v>
      </c>
      <c r="G243" s="87">
        <v>297.32106779669095</v>
      </c>
      <c r="H243" s="87">
        <v>297.0527892018743</v>
      </c>
      <c r="I243" s="87">
        <v>296.49519055382393</v>
      </c>
      <c r="J243" s="87">
        <v>290.1248890180799</v>
      </c>
      <c r="K243" s="87">
        <v>278.79932402513435</v>
      </c>
      <c r="L243" s="87">
        <v>268.09025255418197</v>
      </c>
      <c r="M243" s="87">
        <v>256.84306464925118</v>
      </c>
      <c r="N243" s="87">
        <v>255.71690019102931</v>
      </c>
      <c r="O243" s="87">
        <v>193.77658436697999</v>
      </c>
      <c r="P243" s="87">
        <v>184.45291467277173</v>
      </c>
      <c r="Q243" s="87">
        <v>233.96066868271333</v>
      </c>
      <c r="R243" s="87">
        <v>225.24603344676609</v>
      </c>
      <c r="S243" s="87">
        <v>148.8840618889993</v>
      </c>
      <c r="T243" s="87">
        <v>182.22196887686675</v>
      </c>
      <c r="U243" s="87">
        <v>179.74815514667685</v>
      </c>
      <c r="V243" s="87">
        <v>198.89092237080058</v>
      </c>
      <c r="W243" s="87">
        <v>145</v>
      </c>
      <c r="X243" s="87">
        <v>232.66666666666671</v>
      </c>
      <c r="Y243" s="87">
        <v>185.45238095238099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188.11845377153529</v>
      </c>
      <c r="K244" s="87">
        <v>179.96334044844548</v>
      </c>
      <c r="L244" s="87">
        <v>176.34012494652379</v>
      </c>
      <c r="M244" s="87">
        <v>0</v>
      </c>
      <c r="N244" s="87">
        <v>176.72250619910264</v>
      </c>
      <c r="O244" s="87">
        <v>176.61023906263054</v>
      </c>
      <c r="P244" s="87">
        <v>159.51035374052475</v>
      </c>
      <c r="Q244" s="87">
        <v>183.6471638278461</v>
      </c>
      <c r="R244" s="87">
        <v>172.96464923062359</v>
      </c>
      <c r="S244" s="87">
        <v>161.95899119047272</v>
      </c>
      <c r="T244" s="87">
        <v>158.04637235675281</v>
      </c>
      <c r="U244" s="87">
        <v>149.91208791208791</v>
      </c>
      <c r="V244" s="87">
        <v>172.18477102997377</v>
      </c>
      <c r="W244" s="87">
        <v>176.530679933665</v>
      </c>
      <c r="X244" s="87">
        <v>239.87096774193549</v>
      </c>
      <c r="Y244" s="87">
        <v>219.87234042553189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999.1215369689279</v>
      </c>
      <c r="D246" s="116">
        <v>1009.4082563347926</v>
      </c>
      <c r="E246" s="116">
        <v>993.02709253074295</v>
      </c>
      <c r="F246" s="116">
        <v>992.65286037049361</v>
      </c>
      <c r="G246" s="116">
        <v>977.44015391750224</v>
      </c>
      <c r="H246" s="116">
        <v>968.2461228984447</v>
      </c>
      <c r="I246" s="116">
        <v>958.14956441893571</v>
      </c>
      <c r="J246" s="116">
        <v>940.41263185939022</v>
      </c>
      <c r="K246" s="116">
        <v>925.236745372683</v>
      </c>
      <c r="L246" s="116">
        <v>922.38085933735408</v>
      </c>
      <c r="M246" s="116">
        <v>896.45247736022429</v>
      </c>
      <c r="N246" s="116">
        <v>885.28531583783138</v>
      </c>
      <c r="O246" s="116">
        <v>866.39088887744379</v>
      </c>
      <c r="P246" s="116">
        <v>846.08989240396943</v>
      </c>
      <c r="Q246" s="116">
        <v>825.16085058635576</v>
      </c>
      <c r="R246" s="116">
        <v>821.83347563902987</v>
      </c>
      <c r="S246" s="116">
        <v>780.07940595355694</v>
      </c>
      <c r="T246" s="116">
        <v>685.47523700587328</v>
      </c>
      <c r="U246" s="116">
        <v>642.96911291734625</v>
      </c>
      <c r="V246" s="116">
        <v>631.07537799054785</v>
      </c>
      <c r="W246" s="116">
        <v>647.3607213076873</v>
      </c>
      <c r="X246" s="116">
        <v>622.68820602137396</v>
      </c>
      <c r="Y246" s="116">
        <v>625.04762034903513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932.80199065793636</v>
      </c>
      <c r="D247" s="101">
        <v>928.03463354477435</v>
      </c>
      <c r="E247" s="101">
        <v>922.09838656327963</v>
      </c>
      <c r="F247" s="101">
        <v>915.00833382883923</v>
      </c>
      <c r="G247" s="101">
        <v>906.78236413570005</v>
      </c>
      <c r="H247" s="101">
        <v>897.44105940294617</v>
      </c>
      <c r="I247" s="101">
        <v>887.00756789902107</v>
      </c>
      <c r="J247" s="101">
        <v>875.50746367609236</v>
      </c>
      <c r="K247" s="101">
        <v>862.96859375698841</v>
      </c>
      <c r="L247" s="101">
        <v>849.42091475782308</v>
      </c>
      <c r="M247" s="101">
        <v>834.89632065564922</v>
      </c>
      <c r="N247" s="101">
        <v>819.42846347669388</v>
      </c>
      <c r="O247" s="101">
        <v>803.05256870150436</v>
      </c>
      <c r="P247" s="101">
        <v>785.8052471410814</v>
      </c>
      <c r="Q247" s="101">
        <v>767.72430503837074</v>
      </c>
      <c r="R247" s="101">
        <v>728.96234911831868</v>
      </c>
      <c r="S247" s="101">
        <v>682.44800201425596</v>
      </c>
      <c r="T247" s="101">
        <v>633.60793755499014</v>
      </c>
      <c r="U247" s="101">
        <v>573.91452543810988</v>
      </c>
      <c r="V247" s="101">
        <v>557.62609693789261</v>
      </c>
      <c r="W247" s="101">
        <v>575.90324085738132</v>
      </c>
      <c r="X247" s="101">
        <v>572.73037442173109</v>
      </c>
      <c r="Y247" s="101">
        <v>567.00307067751373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8604</v>
      </c>
      <c r="C4" s="28">
        <f t="shared" ref="C4:V4" si="1">SUM(C5,C6,C9)</f>
        <v>8914</v>
      </c>
      <c r="D4" s="28">
        <f t="shared" si="1"/>
        <v>9150</v>
      </c>
      <c r="E4" s="28">
        <f t="shared" si="1"/>
        <v>9165</v>
      </c>
      <c r="F4" s="28">
        <f t="shared" si="1"/>
        <v>10135</v>
      </c>
      <c r="G4" s="28">
        <f t="shared" si="1"/>
        <v>9440</v>
      </c>
      <c r="H4" s="28">
        <f t="shared" si="1"/>
        <v>9914</v>
      </c>
      <c r="I4" s="28">
        <f t="shared" si="1"/>
        <v>10373</v>
      </c>
      <c r="J4" s="28">
        <f t="shared" si="1"/>
        <v>11139</v>
      </c>
      <c r="K4" s="28">
        <f t="shared" si="1"/>
        <v>11237</v>
      </c>
      <c r="L4" s="28">
        <f t="shared" si="1"/>
        <v>11568</v>
      </c>
      <c r="M4" s="28">
        <f t="shared" si="1"/>
        <v>11801.840179717587</v>
      </c>
      <c r="N4" s="28">
        <f t="shared" si="1"/>
        <v>12075.553181966081</v>
      </c>
      <c r="O4" s="28">
        <f t="shared" si="1"/>
        <v>12125.514532573296</v>
      </c>
      <c r="P4" s="28">
        <f t="shared" si="1"/>
        <v>12201.917278338889</v>
      </c>
      <c r="Q4" s="28">
        <f t="shared" si="1"/>
        <v>11772.308747385583</v>
      </c>
      <c r="R4" s="28">
        <f t="shared" si="1"/>
        <v>11292.377757983049</v>
      </c>
      <c r="S4" s="28">
        <f t="shared" si="1"/>
        <v>11760.436738466306</v>
      </c>
      <c r="T4" s="28">
        <f t="shared" si="1"/>
        <v>13221.755435622703</v>
      </c>
      <c r="U4" s="28">
        <f t="shared" si="1"/>
        <v>13472.108011195696</v>
      </c>
      <c r="V4" s="28">
        <f t="shared" si="1"/>
        <v>8798.9088570117183</v>
      </c>
      <c r="W4" s="28">
        <f t="shared" ref="W4:Y4" si="2">SUM(W5,W6,W9)</f>
        <v>8820.2088570117194</v>
      </c>
      <c r="X4" s="28">
        <f t="shared" si="2"/>
        <v>12615.55152955246</v>
      </c>
      <c r="Y4" s="28">
        <f t="shared" si="2"/>
        <v>13622.955074930676</v>
      </c>
      <c r="DA4" s="173" t="s">
        <v>376</v>
      </c>
    </row>
    <row r="5" spans="1:105" ht="11.45" customHeight="1" x14ac:dyDescent="0.25">
      <c r="A5" s="107" t="s">
        <v>23</v>
      </c>
      <c r="B5" s="108">
        <v>870</v>
      </c>
      <c r="C5" s="108">
        <v>876</v>
      </c>
      <c r="D5" s="108">
        <v>890</v>
      </c>
      <c r="E5" s="108">
        <v>900</v>
      </c>
      <c r="F5" s="108">
        <v>910</v>
      </c>
      <c r="G5" s="108">
        <v>930</v>
      </c>
      <c r="H5" s="108">
        <v>950</v>
      </c>
      <c r="I5" s="108">
        <v>970</v>
      </c>
      <c r="J5" s="108">
        <v>1000</v>
      </c>
      <c r="K5" s="108">
        <v>1000</v>
      </c>
      <c r="L5" s="108">
        <v>1070</v>
      </c>
      <c r="M5" s="108">
        <v>1132.8401797175866</v>
      </c>
      <c r="N5" s="108">
        <v>1218.5531819660803</v>
      </c>
      <c r="O5" s="108">
        <v>1239.5145325732949</v>
      </c>
      <c r="P5" s="108">
        <v>1227.917278338889</v>
      </c>
      <c r="Q5" s="108">
        <v>1242.308747385583</v>
      </c>
      <c r="R5" s="108">
        <v>1267.3777579830498</v>
      </c>
      <c r="S5" s="108">
        <v>1396.4367384663055</v>
      </c>
      <c r="T5" s="108">
        <v>1424.7554356227033</v>
      </c>
      <c r="U5" s="108">
        <v>1472.1080111956962</v>
      </c>
      <c r="V5" s="108">
        <v>945.9088570117184</v>
      </c>
      <c r="W5" s="108">
        <v>945.9088570117184</v>
      </c>
      <c r="X5" s="108">
        <v>1167.2515295524606</v>
      </c>
      <c r="Y5" s="108">
        <v>1285.955074930677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6869</v>
      </c>
      <c r="C6" s="110">
        <f t="shared" ref="C6:V6" si="4">SUM(C7:C8)</f>
        <v>7149</v>
      </c>
      <c r="D6" s="110">
        <f t="shared" si="4"/>
        <v>7351</v>
      </c>
      <c r="E6" s="110">
        <f t="shared" si="4"/>
        <v>7387</v>
      </c>
      <c r="F6" s="110">
        <f t="shared" si="4"/>
        <v>8285</v>
      </c>
      <c r="G6" s="110">
        <f t="shared" si="4"/>
        <v>7528</v>
      </c>
      <c r="H6" s="110">
        <f t="shared" si="4"/>
        <v>7964</v>
      </c>
      <c r="I6" s="110">
        <f t="shared" si="4"/>
        <v>8385</v>
      </c>
      <c r="J6" s="110">
        <f t="shared" si="4"/>
        <v>9060</v>
      </c>
      <c r="K6" s="110">
        <f t="shared" si="4"/>
        <v>9176</v>
      </c>
      <c r="L6" s="110">
        <f t="shared" si="4"/>
        <v>9437</v>
      </c>
      <c r="M6" s="110">
        <f t="shared" si="4"/>
        <v>9764</v>
      </c>
      <c r="N6" s="110">
        <f t="shared" si="4"/>
        <v>9952</v>
      </c>
      <c r="O6" s="110">
        <f t="shared" si="4"/>
        <v>9981</v>
      </c>
      <c r="P6" s="110">
        <f t="shared" si="4"/>
        <v>10064</v>
      </c>
      <c r="Q6" s="110">
        <f t="shared" si="4"/>
        <v>9330</v>
      </c>
      <c r="R6" s="110">
        <f t="shared" si="4"/>
        <v>8525</v>
      </c>
      <c r="S6" s="110">
        <f t="shared" si="4"/>
        <v>8800</v>
      </c>
      <c r="T6" s="110">
        <f t="shared" si="4"/>
        <v>10233</v>
      </c>
      <c r="U6" s="110">
        <f t="shared" si="4"/>
        <v>10436</v>
      </c>
      <c r="V6" s="110">
        <f t="shared" si="4"/>
        <v>6858</v>
      </c>
      <c r="W6" s="110">
        <f t="shared" ref="W6:Y6" si="5">SUM(W7:W8)</f>
        <v>6524.3</v>
      </c>
      <c r="X6" s="110">
        <f t="shared" si="5"/>
        <v>9993.5032179450209</v>
      </c>
      <c r="Y6" s="110">
        <f t="shared" si="5"/>
        <v>10769.271350312949</v>
      </c>
      <c r="DA6" s="176" t="s">
        <v>378</v>
      </c>
    </row>
    <row r="7" spans="1:105" ht="11.45" customHeight="1" x14ac:dyDescent="0.25">
      <c r="A7" s="111" t="s">
        <v>90</v>
      </c>
      <c r="B7" s="84">
        <v>502.13144569112376</v>
      </c>
      <c r="C7" s="84">
        <v>507.24088661168827</v>
      </c>
      <c r="D7" s="84">
        <v>493.86079824654422</v>
      </c>
      <c r="E7" s="84">
        <v>526.96535117684778</v>
      </c>
      <c r="F7" s="84">
        <v>489.21053987058548</v>
      </c>
      <c r="G7" s="84">
        <v>444.6652076159848</v>
      </c>
      <c r="H7" s="84">
        <v>470.89980962762337</v>
      </c>
      <c r="I7" s="84">
        <v>505.15088332431378</v>
      </c>
      <c r="J7" s="84">
        <v>585.55812630381172</v>
      </c>
      <c r="K7" s="84">
        <v>558.75869546523495</v>
      </c>
      <c r="L7" s="84">
        <v>501.79454994225665</v>
      </c>
      <c r="M7" s="84">
        <v>532.89191883773049</v>
      </c>
      <c r="N7" s="84">
        <v>638.41491425311199</v>
      </c>
      <c r="O7" s="84">
        <v>505.32735482638407</v>
      </c>
      <c r="P7" s="84">
        <v>435.17701676224397</v>
      </c>
      <c r="Q7" s="84">
        <v>407.48302065834338</v>
      </c>
      <c r="R7" s="84">
        <v>386.4792828446183</v>
      </c>
      <c r="S7" s="84">
        <v>429.18910562568004</v>
      </c>
      <c r="T7" s="84">
        <v>449.95553508356045</v>
      </c>
      <c r="U7" s="84">
        <v>457.74409849107269</v>
      </c>
      <c r="V7" s="84">
        <v>313.22591280964627</v>
      </c>
      <c r="W7" s="84">
        <v>280.54254097971921</v>
      </c>
      <c r="X7" s="84">
        <v>419.71565194799587</v>
      </c>
      <c r="Y7" s="84">
        <v>457.55633525300948</v>
      </c>
      <c r="DA7" s="171" t="s">
        <v>1031</v>
      </c>
    </row>
    <row r="8" spans="1:105" ht="11.45" customHeight="1" x14ac:dyDescent="0.25">
      <c r="A8" s="111" t="s">
        <v>93</v>
      </c>
      <c r="B8" s="84">
        <v>6366.8685543088759</v>
      </c>
      <c r="C8" s="84">
        <v>6641.7591133883116</v>
      </c>
      <c r="D8" s="84">
        <v>6857.1392017534554</v>
      </c>
      <c r="E8" s="84">
        <v>6860.0346488231526</v>
      </c>
      <c r="F8" s="84">
        <v>7795.7894601294147</v>
      </c>
      <c r="G8" s="84">
        <v>7083.3347923840156</v>
      </c>
      <c r="H8" s="84">
        <v>7493.1001903723763</v>
      </c>
      <c r="I8" s="84">
        <v>7879.8491166756867</v>
      </c>
      <c r="J8" s="84">
        <v>8474.4418736961888</v>
      </c>
      <c r="K8" s="84">
        <v>8617.2413045347657</v>
      </c>
      <c r="L8" s="84">
        <v>8935.2054500577433</v>
      </c>
      <c r="M8" s="84">
        <v>9231.1080811622687</v>
      </c>
      <c r="N8" s="84">
        <v>9313.5850857468886</v>
      </c>
      <c r="O8" s="84">
        <v>9475.6726451736158</v>
      </c>
      <c r="P8" s="84">
        <v>9628.8229832377565</v>
      </c>
      <c r="Q8" s="84">
        <v>8922.5169793416571</v>
      </c>
      <c r="R8" s="84">
        <v>8138.520717155382</v>
      </c>
      <c r="S8" s="84">
        <v>8370.8108943743191</v>
      </c>
      <c r="T8" s="84">
        <v>9783.0444649164401</v>
      </c>
      <c r="U8" s="84">
        <v>9978.2559015089282</v>
      </c>
      <c r="V8" s="84">
        <v>6544.7740871903534</v>
      </c>
      <c r="W8" s="84">
        <v>6243.7574590202812</v>
      </c>
      <c r="X8" s="84">
        <v>9573.787565997025</v>
      </c>
      <c r="Y8" s="84">
        <v>10311.715015059939</v>
      </c>
      <c r="DA8" s="171" t="s">
        <v>1032</v>
      </c>
    </row>
    <row r="9" spans="1:105" ht="11.45" customHeight="1" x14ac:dyDescent="0.25">
      <c r="A9" s="112" t="s">
        <v>25</v>
      </c>
      <c r="B9" s="113">
        <v>865</v>
      </c>
      <c r="C9" s="113">
        <v>889</v>
      </c>
      <c r="D9" s="113">
        <v>909</v>
      </c>
      <c r="E9" s="113">
        <v>878</v>
      </c>
      <c r="F9" s="113">
        <v>940</v>
      </c>
      <c r="G9" s="113">
        <v>982</v>
      </c>
      <c r="H9" s="113">
        <v>1000</v>
      </c>
      <c r="I9" s="113">
        <v>1018</v>
      </c>
      <c r="J9" s="113">
        <v>1079</v>
      </c>
      <c r="K9" s="113">
        <v>1061</v>
      </c>
      <c r="L9" s="113">
        <v>1061</v>
      </c>
      <c r="M9" s="113">
        <v>905</v>
      </c>
      <c r="N9" s="113">
        <v>905</v>
      </c>
      <c r="O9" s="113">
        <v>905</v>
      </c>
      <c r="P9" s="113">
        <v>910</v>
      </c>
      <c r="Q9" s="113">
        <v>1200</v>
      </c>
      <c r="R9" s="113">
        <v>1500</v>
      </c>
      <c r="S9" s="113">
        <v>1564</v>
      </c>
      <c r="T9" s="113">
        <v>1564</v>
      </c>
      <c r="U9" s="113">
        <v>1564</v>
      </c>
      <c r="V9" s="113">
        <v>995</v>
      </c>
      <c r="W9" s="113">
        <v>1350</v>
      </c>
      <c r="X9" s="113">
        <v>1454.7967820549777</v>
      </c>
      <c r="Y9" s="113">
        <v>1567.7286496870504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7674</v>
      </c>
      <c r="C10" s="28">
        <f t="shared" ref="C10:V10" si="7">SUM(C11:C12)</f>
        <v>7081</v>
      </c>
      <c r="D10" s="28">
        <f t="shared" si="7"/>
        <v>7297</v>
      </c>
      <c r="E10" s="28">
        <f t="shared" si="7"/>
        <v>7293</v>
      </c>
      <c r="F10" s="28">
        <f t="shared" si="7"/>
        <v>7691</v>
      </c>
      <c r="G10" s="28">
        <f t="shared" si="7"/>
        <v>8130.0000000000009</v>
      </c>
      <c r="H10" s="28">
        <f t="shared" si="7"/>
        <v>8572</v>
      </c>
      <c r="I10" s="28">
        <f t="shared" si="7"/>
        <v>9258</v>
      </c>
      <c r="J10" s="28">
        <f t="shared" si="7"/>
        <v>8927</v>
      </c>
      <c r="K10" s="28">
        <f t="shared" si="7"/>
        <v>6374</v>
      </c>
      <c r="L10" s="28">
        <f t="shared" si="7"/>
        <v>7476</v>
      </c>
      <c r="M10" s="28">
        <f t="shared" si="7"/>
        <v>7593</v>
      </c>
      <c r="N10" s="28">
        <f t="shared" si="7"/>
        <v>14552</v>
      </c>
      <c r="O10" s="28">
        <f t="shared" si="7"/>
        <v>13666</v>
      </c>
      <c r="P10" s="28">
        <f t="shared" si="7"/>
        <v>13864</v>
      </c>
      <c r="Q10" s="28">
        <f t="shared" si="7"/>
        <v>13864</v>
      </c>
      <c r="R10" s="28">
        <f t="shared" si="7"/>
        <v>17831</v>
      </c>
      <c r="S10" s="28">
        <f t="shared" si="7"/>
        <v>13227</v>
      </c>
      <c r="T10" s="28">
        <f t="shared" si="7"/>
        <v>11806</v>
      </c>
      <c r="U10" s="28">
        <f t="shared" si="7"/>
        <v>14700</v>
      </c>
      <c r="V10" s="28">
        <f t="shared" si="7"/>
        <v>13383.6</v>
      </c>
      <c r="W10" s="28">
        <f t="shared" ref="W10:Y10" si="8">SUM(W11:W12)</f>
        <v>12106</v>
      </c>
      <c r="X10" s="28">
        <f t="shared" si="8"/>
        <v>10160.1</v>
      </c>
      <c r="Y10" s="28">
        <f t="shared" si="8"/>
        <v>11909</v>
      </c>
      <c r="DA10" s="173" t="s">
        <v>384</v>
      </c>
    </row>
    <row r="11" spans="1:105" ht="11.45" customHeight="1" x14ac:dyDescent="0.25">
      <c r="A11" s="83" t="s">
        <v>90</v>
      </c>
      <c r="B11" s="84">
        <v>3208.2701568470166</v>
      </c>
      <c r="C11" s="84">
        <v>2766.6286004988847</v>
      </c>
      <c r="D11" s="84">
        <v>2412.4916935470669</v>
      </c>
      <c r="E11" s="84">
        <v>2270.5733258796599</v>
      </c>
      <c r="F11" s="84">
        <v>1990.4858793108299</v>
      </c>
      <c r="G11" s="84">
        <v>2037.5044413277237</v>
      </c>
      <c r="H11" s="84">
        <v>2077.1354702545841</v>
      </c>
      <c r="I11" s="84">
        <v>2320.6655256656227</v>
      </c>
      <c r="J11" s="84">
        <v>2053.2299278220103</v>
      </c>
      <c r="K11" s="84">
        <v>1224.9337099696033</v>
      </c>
      <c r="L11" s="84">
        <v>1274.8714586971798</v>
      </c>
      <c r="M11" s="84">
        <v>1307.9588551981417</v>
      </c>
      <c r="N11" s="84">
        <v>2902.2900052463724</v>
      </c>
      <c r="O11" s="84">
        <v>2161.4331528207194</v>
      </c>
      <c r="P11" s="84">
        <v>1886.0124459048545</v>
      </c>
      <c r="Q11" s="84">
        <v>1888.2909455129973</v>
      </c>
      <c r="R11" s="84">
        <v>2491.3238458843189</v>
      </c>
      <c r="S11" s="84">
        <v>1962.289061567667</v>
      </c>
      <c r="T11" s="84">
        <v>1726.4543182121861</v>
      </c>
      <c r="U11" s="84">
        <v>2153.6243882118447</v>
      </c>
      <c r="V11" s="84">
        <v>1955.4627100427565</v>
      </c>
      <c r="W11" s="84">
        <v>1752.9798716475177</v>
      </c>
      <c r="X11" s="84">
        <v>2873.8313085944937</v>
      </c>
      <c r="Y11" s="84">
        <v>3320.4874198501907</v>
      </c>
      <c r="DA11" s="171" t="s">
        <v>1033</v>
      </c>
    </row>
    <row r="12" spans="1:105" ht="11.45" customHeight="1" x14ac:dyDescent="0.25">
      <c r="A12" s="85" t="s">
        <v>93</v>
      </c>
      <c r="B12" s="86">
        <v>4465.7298431529834</v>
      </c>
      <c r="C12" s="86">
        <v>4314.3713995011149</v>
      </c>
      <c r="D12" s="86">
        <v>4884.5083064529335</v>
      </c>
      <c r="E12" s="86">
        <v>5022.4266741203401</v>
      </c>
      <c r="F12" s="86">
        <v>5700.5141206891703</v>
      </c>
      <c r="G12" s="86">
        <v>6092.4955586722772</v>
      </c>
      <c r="H12" s="86">
        <v>6494.8645297454159</v>
      </c>
      <c r="I12" s="86">
        <v>6937.3344743343769</v>
      </c>
      <c r="J12" s="86">
        <v>6873.7700721779893</v>
      </c>
      <c r="K12" s="86">
        <v>5149.0662900303969</v>
      </c>
      <c r="L12" s="86">
        <v>6201.1285413028199</v>
      </c>
      <c r="M12" s="86">
        <v>6285.0411448018585</v>
      </c>
      <c r="N12" s="86">
        <v>11649.709994753628</v>
      </c>
      <c r="O12" s="86">
        <v>11504.566847179281</v>
      </c>
      <c r="P12" s="86">
        <v>11977.987554095145</v>
      </c>
      <c r="Q12" s="86">
        <v>11975.709054487003</v>
      </c>
      <c r="R12" s="86">
        <v>15339.676154115681</v>
      </c>
      <c r="S12" s="86">
        <v>11264.710938432334</v>
      </c>
      <c r="T12" s="86">
        <v>10079.545681787815</v>
      </c>
      <c r="U12" s="86">
        <v>12546.375611788155</v>
      </c>
      <c r="V12" s="86">
        <v>11428.137289957243</v>
      </c>
      <c r="W12" s="86">
        <v>10353.020128352482</v>
      </c>
      <c r="X12" s="86">
        <v>7286.2686914055066</v>
      </c>
      <c r="Y12" s="86">
        <v>8588.5125801498089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92.229978994551857</v>
      </c>
      <c r="C14" s="62">
        <f t="shared" ref="C14:V14" si="10">C15+C21</f>
        <v>93.914631091924065</v>
      </c>
      <c r="D14" s="62">
        <f t="shared" si="10"/>
        <v>93.674140093972724</v>
      </c>
      <c r="E14" s="62">
        <f t="shared" si="10"/>
        <v>96.647724434812645</v>
      </c>
      <c r="F14" s="62">
        <f t="shared" si="10"/>
        <v>105.0337582721446</v>
      </c>
      <c r="G14" s="62">
        <f t="shared" si="10"/>
        <v>105.21929722197976</v>
      </c>
      <c r="H14" s="62">
        <f t="shared" si="10"/>
        <v>110.93675438216718</v>
      </c>
      <c r="I14" s="62">
        <f t="shared" si="10"/>
        <v>112.67699413707891</v>
      </c>
      <c r="J14" s="62">
        <f t="shared" si="10"/>
        <v>117.99293728651767</v>
      </c>
      <c r="K14" s="62">
        <f t="shared" si="10"/>
        <v>112.10772474583585</v>
      </c>
      <c r="L14" s="62">
        <f t="shared" si="10"/>
        <v>115.62411267094259</v>
      </c>
      <c r="M14" s="62">
        <f t="shared" si="10"/>
        <v>113.47778690720753</v>
      </c>
      <c r="N14" s="62">
        <f t="shared" si="10"/>
        <v>111.78384085755809</v>
      </c>
      <c r="O14" s="62">
        <f t="shared" si="10"/>
        <v>115.53949267305012</v>
      </c>
      <c r="P14" s="62">
        <f t="shared" si="10"/>
        <v>111.53995159944546</v>
      </c>
      <c r="Q14" s="62">
        <f t="shared" si="10"/>
        <v>115.45895364839527</v>
      </c>
      <c r="R14" s="62">
        <f t="shared" si="10"/>
        <v>118.53156762420184</v>
      </c>
      <c r="S14" s="62">
        <f t="shared" si="10"/>
        <v>123.47762083507536</v>
      </c>
      <c r="T14" s="62">
        <f t="shared" si="10"/>
        <v>123.2697469212692</v>
      </c>
      <c r="U14" s="62">
        <f t="shared" si="10"/>
        <v>124.44448607124011</v>
      </c>
      <c r="V14" s="62">
        <f t="shared" si="10"/>
        <v>106.36843054264344</v>
      </c>
      <c r="W14" s="62">
        <f t="shared" ref="W14:Y14" si="11">W15+W21</f>
        <v>110.32485503207336</v>
      </c>
      <c r="X14" s="62">
        <f t="shared" si="11"/>
        <v>116.51242369814217</v>
      </c>
      <c r="Y14" s="62">
        <f t="shared" si="11"/>
        <v>120.15965336061095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78.036227616932905</v>
      </c>
      <c r="C15" s="29">
        <f t="shared" ref="C15:V15" si="13">SUM(C16,C17,C20)</f>
        <v>80.952275481479489</v>
      </c>
      <c r="D15" s="29">
        <f t="shared" si="13"/>
        <v>80.818960600949723</v>
      </c>
      <c r="E15" s="29">
        <f t="shared" si="13"/>
        <v>84.387757585537273</v>
      </c>
      <c r="F15" s="29">
        <f t="shared" si="13"/>
        <v>90.315476626053254</v>
      </c>
      <c r="G15" s="29">
        <f t="shared" si="13"/>
        <v>88.858006214359165</v>
      </c>
      <c r="H15" s="29">
        <f t="shared" si="13"/>
        <v>92.317070344611935</v>
      </c>
      <c r="I15" s="29">
        <f t="shared" si="13"/>
        <v>93.004001603004937</v>
      </c>
      <c r="J15" s="29">
        <f t="shared" si="13"/>
        <v>99.481770894335952</v>
      </c>
      <c r="K15" s="29">
        <f t="shared" si="13"/>
        <v>99.291774240977702</v>
      </c>
      <c r="L15" s="29">
        <f t="shared" si="13"/>
        <v>101.94338262546704</v>
      </c>
      <c r="M15" s="29">
        <f t="shared" si="13"/>
        <v>100.54741424976544</v>
      </c>
      <c r="N15" s="29">
        <f t="shared" si="13"/>
        <v>98.745226771514353</v>
      </c>
      <c r="O15" s="29">
        <f t="shared" si="13"/>
        <v>102.26685101372388</v>
      </c>
      <c r="P15" s="29">
        <f t="shared" si="13"/>
        <v>98.208947616576864</v>
      </c>
      <c r="Q15" s="29">
        <f t="shared" si="13"/>
        <v>101.94972976615368</v>
      </c>
      <c r="R15" s="29">
        <f t="shared" si="13"/>
        <v>103.82148908464873</v>
      </c>
      <c r="S15" s="29">
        <f t="shared" si="13"/>
        <v>107.75987503265786</v>
      </c>
      <c r="T15" s="29">
        <f t="shared" si="13"/>
        <v>104.00988452828294</v>
      </c>
      <c r="U15" s="29">
        <f t="shared" si="13"/>
        <v>104.51054866997289</v>
      </c>
      <c r="V15" s="29">
        <f t="shared" si="13"/>
        <v>86.642340117897447</v>
      </c>
      <c r="W15" s="29">
        <f t="shared" ref="W15:Y15" si="14">SUM(W16,W17,W20)</f>
        <v>89.272893248896438</v>
      </c>
      <c r="X15" s="29">
        <f t="shared" si="14"/>
        <v>106.75421074441795</v>
      </c>
      <c r="Y15" s="29">
        <f t="shared" si="14"/>
        <v>110.89008392823577</v>
      </c>
      <c r="DA15" s="173" t="s">
        <v>1036</v>
      </c>
    </row>
    <row r="16" spans="1:105" ht="11.45" customHeight="1" x14ac:dyDescent="0.25">
      <c r="A16" s="107" t="s">
        <v>23</v>
      </c>
      <c r="B16" s="115">
        <v>11.469928047913655</v>
      </c>
      <c r="C16" s="115">
        <v>11.40480729629356</v>
      </c>
      <c r="D16" s="115">
        <v>11.531979846354567</v>
      </c>
      <c r="E16" s="115">
        <v>11.673154968717629</v>
      </c>
      <c r="F16" s="115">
        <v>11.518702765172392</v>
      </c>
      <c r="G16" s="115">
        <v>11.98583492759041</v>
      </c>
      <c r="H16" s="115">
        <v>12.116991836434071</v>
      </c>
      <c r="I16" s="115">
        <v>12.275932435482712</v>
      </c>
      <c r="J16" s="115">
        <v>12.421153608606145</v>
      </c>
      <c r="K16" s="115">
        <v>12.434644869653768</v>
      </c>
      <c r="L16" s="115">
        <v>13.279758327579898</v>
      </c>
      <c r="M16" s="115">
        <v>14.002989122162836</v>
      </c>
      <c r="N16" s="115">
        <v>15.068523986528591</v>
      </c>
      <c r="O16" s="115">
        <v>15.328658457860154</v>
      </c>
      <c r="P16" s="115">
        <v>15.186112814758426</v>
      </c>
      <c r="Q16" s="115">
        <v>15.232421709608666</v>
      </c>
      <c r="R16" s="115">
        <v>15.381003679293283</v>
      </c>
      <c r="S16" s="115">
        <v>16.940888196777006</v>
      </c>
      <c r="T16" s="115">
        <v>17.376978529817947</v>
      </c>
      <c r="U16" s="115">
        <v>17.966106738292737</v>
      </c>
      <c r="V16" s="115">
        <v>11.592381105421126</v>
      </c>
      <c r="W16" s="115">
        <v>10.998481604406971</v>
      </c>
      <c r="X16" s="115">
        <v>14.298901743990697</v>
      </c>
      <c r="Y16" s="115">
        <v>15.753027345074495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63.578438061890928</v>
      </c>
      <c r="C17" s="116">
        <f t="shared" ref="C17:V17" si="16">SUM(C18:C19)</f>
        <v>66.476706474391634</v>
      </c>
      <c r="D17" s="116">
        <f t="shared" si="16"/>
        <v>66.147135540745865</v>
      </c>
      <c r="E17" s="116">
        <f t="shared" si="16"/>
        <v>69.681836832705599</v>
      </c>
      <c r="F17" s="116">
        <f t="shared" si="16"/>
        <v>75.549849217296341</v>
      </c>
      <c r="G17" s="116">
        <f t="shared" si="16"/>
        <v>73.480171286768751</v>
      </c>
      <c r="H17" s="116">
        <f t="shared" si="16"/>
        <v>76.789325820005828</v>
      </c>
      <c r="I17" s="116">
        <f t="shared" si="16"/>
        <v>77.290314065481411</v>
      </c>
      <c r="J17" s="116">
        <f t="shared" si="16"/>
        <v>83.402617285729804</v>
      </c>
      <c r="K17" s="116">
        <f t="shared" si="16"/>
        <v>83.288057206375484</v>
      </c>
      <c r="L17" s="116">
        <f t="shared" si="16"/>
        <v>85.146624297887143</v>
      </c>
      <c r="M17" s="116">
        <f t="shared" si="16"/>
        <v>83.544425127602608</v>
      </c>
      <c r="N17" s="116">
        <f t="shared" si="16"/>
        <v>80.676702784985764</v>
      </c>
      <c r="O17" s="116">
        <f t="shared" si="16"/>
        <v>83.938192555863722</v>
      </c>
      <c r="P17" s="116">
        <f t="shared" si="16"/>
        <v>80.005834801818438</v>
      </c>
      <c r="Q17" s="116">
        <f t="shared" si="16"/>
        <v>82.739308056545028</v>
      </c>
      <c r="R17" s="116">
        <f t="shared" si="16"/>
        <v>83.468485405355452</v>
      </c>
      <c r="S17" s="116">
        <f t="shared" si="16"/>
        <v>85.634986835880852</v>
      </c>
      <c r="T17" s="116">
        <f t="shared" si="16"/>
        <v>81.460874072859752</v>
      </c>
      <c r="U17" s="116">
        <f t="shared" si="16"/>
        <v>81.373799524193188</v>
      </c>
      <c r="V17" s="116">
        <f t="shared" si="16"/>
        <v>70.122467110285143</v>
      </c>
      <c r="W17" s="116">
        <f t="shared" ref="W17:Y17" si="17">SUM(W18:W19)</f>
        <v>73.01667358705626</v>
      </c>
      <c r="X17" s="116">
        <f t="shared" si="17"/>
        <v>87.238660574416542</v>
      </c>
      <c r="Y17" s="116">
        <f t="shared" si="17"/>
        <v>89.924915355065764</v>
      </c>
      <c r="DA17" s="176" t="s">
        <v>1038</v>
      </c>
    </row>
    <row r="18" spans="1:105" ht="11.45" customHeight="1" x14ac:dyDescent="0.25">
      <c r="A18" s="111" t="s">
        <v>92</v>
      </c>
      <c r="B18" s="87">
        <v>4.5293958590326264</v>
      </c>
      <c r="C18" s="87">
        <v>4.434323579308205</v>
      </c>
      <c r="D18" s="87">
        <v>4.7463173604133075</v>
      </c>
      <c r="E18" s="87">
        <v>5.1168133041979962</v>
      </c>
      <c r="F18" s="87">
        <v>4.8833448014700966</v>
      </c>
      <c r="G18" s="87">
        <v>4.9100153451365793</v>
      </c>
      <c r="H18" s="87">
        <v>6.414854148783693</v>
      </c>
      <c r="I18" s="87">
        <v>6.7310168003844923</v>
      </c>
      <c r="J18" s="87">
        <v>6.9076147875031166</v>
      </c>
      <c r="K18" s="87">
        <v>6.6000852789027658</v>
      </c>
      <c r="L18" s="87">
        <v>5.7808726565458324</v>
      </c>
      <c r="M18" s="87">
        <v>5.751323548647699</v>
      </c>
      <c r="N18" s="87">
        <v>6.4762789262600631</v>
      </c>
      <c r="O18" s="87">
        <v>5.0660619056055882</v>
      </c>
      <c r="P18" s="87">
        <v>4.1634889044679824</v>
      </c>
      <c r="Q18" s="87">
        <v>6.0101166403431963</v>
      </c>
      <c r="R18" s="87">
        <v>6.4924887938097191</v>
      </c>
      <c r="S18" s="87">
        <v>7.2704662092550292</v>
      </c>
      <c r="T18" s="87">
        <v>5.694777255213034</v>
      </c>
      <c r="U18" s="87">
        <v>5.5217500581326924</v>
      </c>
      <c r="V18" s="87">
        <v>4.0407975710027246</v>
      </c>
      <c r="W18" s="87">
        <v>4.0396399956793694</v>
      </c>
      <c r="X18" s="87">
        <v>3.9451360043602928</v>
      </c>
      <c r="Y18" s="87">
        <v>4.2467160872887861</v>
      </c>
      <c r="DA18" s="171" t="s">
        <v>1039</v>
      </c>
    </row>
    <row r="19" spans="1:105" ht="11.45" customHeight="1" x14ac:dyDescent="0.25">
      <c r="A19" s="111" t="s">
        <v>93</v>
      </c>
      <c r="B19" s="87">
        <v>59.049042202858303</v>
      </c>
      <c r="C19" s="87">
        <v>62.042382895083428</v>
      </c>
      <c r="D19" s="87">
        <v>61.400818180332557</v>
      </c>
      <c r="E19" s="87">
        <v>64.565023528507609</v>
      </c>
      <c r="F19" s="87">
        <v>70.666504415826239</v>
      </c>
      <c r="G19" s="87">
        <v>68.570155941632166</v>
      </c>
      <c r="H19" s="87">
        <v>70.374471671222139</v>
      </c>
      <c r="I19" s="87">
        <v>70.559297265096916</v>
      </c>
      <c r="J19" s="87">
        <v>76.495002498226683</v>
      </c>
      <c r="K19" s="87">
        <v>76.687971927472717</v>
      </c>
      <c r="L19" s="87">
        <v>79.365751641341305</v>
      </c>
      <c r="M19" s="87">
        <v>77.793101578954904</v>
      </c>
      <c r="N19" s="87">
        <v>74.200423858725699</v>
      </c>
      <c r="O19" s="87">
        <v>78.872130650258129</v>
      </c>
      <c r="P19" s="87">
        <v>75.842345897350455</v>
      </c>
      <c r="Q19" s="87">
        <v>76.729191416201829</v>
      </c>
      <c r="R19" s="87">
        <v>76.975996611545739</v>
      </c>
      <c r="S19" s="87">
        <v>78.364520626625819</v>
      </c>
      <c r="T19" s="87">
        <v>75.766096817646712</v>
      </c>
      <c r="U19" s="87">
        <v>75.852049466060492</v>
      </c>
      <c r="V19" s="87">
        <v>66.081669539282416</v>
      </c>
      <c r="W19" s="87">
        <v>68.977033591376895</v>
      </c>
      <c r="X19" s="87">
        <v>83.293524570056249</v>
      </c>
      <c r="Y19" s="87">
        <v>85.678199267776975</v>
      </c>
      <c r="DA19" s="171" t="s">
        <v>1040</v>
      </c>
    </row>
    <row r="20" spans="1:105" ht="11.45" customHeight="1" x14ac:dyDescent="0.25">
      <c r="A20" s="112" t="s">
        <v>25</v>
      </c>
      <c r="B20" s="117">
        <v>2.9878615071283097</v>
      </c>
      <c r="C20" s="117">
        <v>3.0707617107942968</v>
      </c>
      <c r="D20" s="117">
        <v>3.1398452138492869</v>
      </c>
      <c r="E20" s="117">
        <v>3.0327657841140532</v>
      </c>
      <c r="F20" s="117">
        <v>3.2469246435845212</v>
      </c>
      <c r="G20" s="117">
        <v>3.3919999999999995</v>
      </c>
      <c r="H20" s="117">
        <v>3.4107526881720434</v>
      </c>
      <c r="I20" s="117">
        <v>3.4377551020408168</v>
      </c>
      <c r="J20" s="117">
        <v>3.6579999999999999</v>
      </c>
      <c r="K20" s="117">
        <v>3.5690721649484543</v>
      </c>
      <c r="L20" s="117">
        <v>3.5169999999999999</v>
      </c>
      <c r="M20" s="117">
        <v>3</v>
      </c>
      <c r="N20" s="117">
        <v>3</v>
      </c>
      <c r="O20" s="117">
        <v>3</v>
      </c>
      <c r="P20" s="117">
        <v>3.0170000000000003</v>
      </c>
      <c r="Q20" s="117">
        <v>3.9779999999999998</v>
      </c>
      <c r="R20" s="117">
        <v>4.9719999999999995</v>
      </c>
      <c r="S20" s="117">
        <v>5.1840000000000002</v>
      </c>
      <c r="T20" s="117">
        <v>5.1720319256052338</v>
      </c>
      <c r="U20" s="117">
        <v>5.1706424074869695</v>
      </c>
      <c r="V20" s="117">
        <v>4.9274919021911723</v>
      </c>
      <c r="W20" s="117">
        <v>5.2577380574331984</v>
      </c>
      <c r="X20" s="117">
        <v>5.2166484260107104</v>
      </c>
      <c r="Y20" s="117">
        <v>5.212141228095498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14.193751377618955</v>
      </c>
      <c r="C21" s="29">
        <f t="shared" ref="C21:V21" si="19">SUM(C22:C23)</f>
        <v>12.962355610444579</v>
      </c>
      <c r="D21" s="29">
        <f t="shared" si="19"/>
        <v>12.855179493022996</v>
      </c>
      <c r="E21" s="29">
        <f t="shared" si="19"/>
        <v>12.259966849275376</v>
      </c>
      <c r="F21" s="29">
        <f t="shared" si="19"/>
        <v>14.718281646091338</v>
      </c>
      <c r="G21" s="29">
        <f t="shared" si="19"/>
        <v>16.361291007620586</v>
      </c>
      <c r="H21" s="29">
        <f t="shared" si="19"/>
        <v>18.619684037555238</v>
      </c>
      <c r="I21" s="29">
        <f t="shared" si="19"/>
        <v>19.672992534073973</v>
      </c>
      <c r="J21" s="29">
        <f t="shared" si="19"/>
        <v>18.511166392181728</v>
      </c>
      <c r="K21" s="29">
        <f t="shared" si="19"/>
        <v>12.815950504858153</v>
      </c>
      <c r="L21" s="29">
        <f t="shared" si="19"/>
        <v>13.680730045475549</v>
      </c>
      <c r="M21" s="29">
        <f t="shared" si="19"/>
        <v>12.930372657442085</v>
      </c>
      <c r="N21" s="29">
        <f t="shared" si="19"/>
        <v>13.038614086043733</v>
      </c>
      <c r="O21" s="29">
        <f t="shared" si="19"/>
        <v>13.272641659326244</v>
      </c>
      <c r="P21" s="29">
        <f t="shared" si="19"/>
        <v>13.331003982868602</v>
      </c>
      <c r="Q21" s="29">
        <f t="shared" si="19"/>
        <v>13.509223882241585</v>
      </c>
      <c r="R21" s="29">
        <f t="shared" si="19"/>
        <v>14.710078539553104</v>
      </c>
      <c r="S21" s="29">
        <f t="shared" si="19"/>
        <v>15.7177458024175</v>
      </c>
      <c r="T21" s="29">
        <f t="shared" si="19"/>
        <v>19.25986239298626</v>
      </c>
      <c r="U21" s="29">
        <f t="shared" si="19"/>
        <v>19.933937401267215</v>
      </c>
      <c r="V21" s="29">
        <f t="shared" si="19"/>
        <v>19.726090424745983</v>
      </c>
      <c r="W21" s="29">
        <f t="shared" ref="W21:Y21" si="20">SUM(W22:W23)</f>
        <v>21.051961783176917</v>
      </c>
      <c r="X21" s="29">
        <f t="shared" si="20"/>
        <v>9.7582129537242306</v>
      </c>
      <c r="Y21" s="29">
        <f t="shared" si="20"/>
        <v>9.2695694323751763</v>
      </c>
      <c r="DA21" s="173" t="s">
        <v>1042</v>
      </c>
    </row>
    <row r="22" spans="1:105" ht="11.45" customHeight="1" x14ac:dyDescent="0.25">
      <c r="A22" s="83" t="s">
        <v>92</v>
      </c>
      <c r="B22" s="87">
        <v>5.5981552897091573</v>
      </c>
      <c r="C22" s="87">
        <v>4.7363614699754804</v>
      </c>
      <c r="D22" s="87">
        <v>3.920812673684011</v>
      </c>
      <c r="E22" s="87">
        <v>3.4739965933820853</v>
      </c>
      <c r="F22" s="87">
        <v>3.4833486485395335</v>
      </c>
      <c r="G22" s="87">
        <v>3.7680421822002588</v>
      </c>
      <c r="H22" s="87">
        <v>4.2820483192336098</v>
      </c>
      <c r="I22" s="87">
        <v>4.6868488181161725</v>
      </c>
      <c r="J22" s="87">
        <v>3.9665764888741979</v>
      </c>
      <c r="K22" s="87">
        <v>2.2568650715151182</v>
      </c>
      <c r="L22" s="87">
        <v>2.0746072181605375</v>
      </c>
      <c r="M22" s="87">
        <v>1.9569696366355225</v>
      </c>
      <c r="N22" s="87">
        <v>2.36580202412406</v>
      </c>
      <c r="O22" s="87">
        <v>1.9101458120338826</v>
      </c>
      <c r="P22" s="87">
        <v>1.6607309085765896</v>
      </c>
      <c r="Q22" s="87">
        <v>1.6117176356359078</v>
      </c>
      <c r="R22" s="87">
        <v>1.7472904353855456</v>
      </c>
      <c r="S22" s="87">
        <v>1.9992441745210467</v>
      </c>
      <c r="T22" s="87">
        <v>2.6472452277739325</v>
      </c>
      <c r="U22" s="87">
        <v>2.7965553120099895</v>
      </c>
      <c r="V22" s="87">
        <v>2.8222042106308125</v>
      </c>
      <c r="W22" s="87">
        <v>2.9861266408607992</v>
      </c>
      <c r="X22" s="87">
        <v>2.7908174282856577</v>
      </c>
      <c r="Y22" s="87">
        <v>2.6972805405950813</v>
      </c>
      <c r="DA22" s="171" t="s">
        <v>1043</v>
      </c>
    </row>
    <row r="23" spans="1:105" ht="11.45" customHeight="1" x14ac:dyDescent="0.25">
      <c r="A23" s="85" t="s">
        <v>93</v>
      </c>
      <c r="B23" s="88">
        <v>8.5955960879097972</v>
      </c>
      <c r="C23" s="88">
        <v>8.2259941404690977</v>
      </c>
      <c r="D23" s="88">
        <v>8.9343668193389849</v>
      </c>
      <c r="E23" s="88">
        <v>8.7859702558932895</v>
      </c>
      <c r="F23" s="88">
        <v>11.234932997551805</v>
      </c>
      <c r="G23" s="88">
        <v>12.593248825420329</v>
      </c>
      <c r="H23" s="88">
        <v>14.337635718321629</v>
      </c>
      <c r="I23" s="88">
        <v>14.986143715957802</v>
      </c>
      <c r="J23" s="88">
        <v>14.54458990330753</v>
      </c>
      <c r="K23" s="88">
        <v>10.559085433343034</v>
      </c>
      <c r="L23" s="88">
        <v>11.606122827315012</v>
      </c>
      <c r="M23" s="88">
        <v>10.973403020806563</v>
      </c>
      <c r="N23" s="88">
        <v>10.672812061919673</v>
      </c>
      <c r="O23" s="88">
        <v>11.362495847292362</v>
      </c>
      <c r="P23" s="88">
        <v>11.670273074292012</v>
      </c>
      <c r="Q23" s="88">
        <v>11.897506246605678</v>
      </c>
      <c r="R23" s="88">
        <v>12.962788104167558</v>
      </c>
      <c r="S23" s="88">
        <v>13.718501627896453</v>
      </c>
      <c r="T23" s="88">
        <v>16.612617165212328</v>
      </c>
      <c r="U23" s="88">
        <v>17.137382089257226</v>
      </c>
      <c r="V23" s="88">
        <v>16.903886214115172</v>
      </c>
      <c r="W23" s="88">
        <v>18.065835142316118</v>
      </c>
      <c r="X23" s="88">
        <v>6.9673955254385733</v>
      </c>
      <c r="Y23" s="88">
        <v>6.5722888917800955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605.73677999999995</v>
      </c>
      <c r="C25" s="62">
        <f t="shared" ref="C25:V25" si="22">C26+C32</f>
        <v>620.0036970000001</v>
      </c>
      <c r="D25" s="62">
        <f t="shared" si="22"/>
        <v>619.8589770000001</v>
      </c>
      <c r="E25" s="62">
        <f t="shared" si="22"/>
        <v>640.92804899999999</v>
      </c>
      <c r="F25" s="62">
        <f t="shared" si="22"/>
        <v>689.18794099999991</v>
      </c>
      <c r="G25" s="62">
        <f t="shared" si="22"/>
        <v>688.17417899999998</v>
      </c>
      <c r="H25" s="62">
        <f t="shared" si="22"/>
        <v>722.76118399999996</v>
      </c>
      <c r="I25" s="62">
        <f t="shared" si="22"/>
        <v>732.87256799999989</v>
      </c>
      <c r="J25" s="62">
        <f t="shared" si="22"/>
        <v>770.42403599999989</v>
      </c>
      <c r="K25" s="62">
        <f t="shared" si="22"/>
        <v>762.48845800000015</v>
      </c>
      <c r="L25" s="62">
        <f t="shared" si="22"/>
        <v>777.79098299999987</v>
      </c>
      <c r="M25" s="62">
        <f t="shared" si="22"/>
        <v>763.48181699999998</v>
      </c>
      <c r="N25" s="62">
        <f t="shared" si="22"/>
        <v>748.85870399999999</v>
      </c>
      <c r="O25" s="62">
        <f t="shared" si="22"/>
        <v>778.35111899999993</v>
      </c>
      <c r="P25" s="62">
        <f t="shared" si="22"/>
        <v>754.16667699999994</v>
      </c>
      <c r="Q25" s="62">
        <f t="shared" si="22"/>
        <v>766.45806999999991</v>
      </c>
      <c r="R25" s="62">
        <f t="shared" si="22"/>
        <v>780.88316000000009</v>
      </c>
      <c r="S25" s="62">
        <f t="shared" si="22"/>
        <v>815.01671799999986</v>
      </c>
      <c r="T25" s="62">
        <f t="shared" si="22"/>
        <v>816.32274200000006</v>
      </c>
      <c r="U25" s="62">
        <f t="shared" si="22"/>
        <v>822.59915999999998</v>
      </c>
      <c r="V25" s="62">
        <f t="shared" si="22"/>
        <v>768.20675999999992</v>
      </c>
      <c r="W25" s="62">
        <f t="shared" ref="W25:Y25" si="23">W26+W32</f>
        <v>755.65578099999993</v>
      </c>
      <c r="X25" s="62">
        <f t="shared" si="23"/>
        <v>832.28659600000003</v>
      </c>
      <c r="Y25" s="62">
        <f t="shared" si="23"/>
        <v>851.55204900000001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534.76802199999997</v>
      </c>
      <c r="C26" s="29">
        <f t="shared" ref="C26:V26" si="25">SUM(C27,C28,C31)</f>
        <v>553.68202600000006</v>
      </c>
      <c r="D26" s="29">
        <f t="shared" si="25"/>
        <v>552.79451900000004</v>
      </c>
      <c r="E26" s="29">
        <f t="shared" si="25"/>
        <v>577.40465099999994</v>
      </c>
      <c r="F26" s="29">
        <f t="shared" si="25"/>
        <v>615.59653199999991</v>
      </c>
      <c r="G26" s="29">
        <f t="shared" si="25"/>
        <v>606.36772299999996</v>
      </c>
      <c r="H26" s="29">
        <f t="shared" si="25"/>
        <v>629.66276299999993</v>
      </c>
      <c r="I26" s="29">
        <f t="shared" si="25"/>
        <v>634.5076039999999</v>
      </c>
      <c r="J26" s="29">
        <f t="shared" si="25"/>
        <v>677.0659179999999</v>
      </c>
      <c r="K26" s="29">
        <f t="shared" si="25"/>
        <v>676.22721500000011</v>
      </c>
      <c r="L26" s="29">
        <f t="shared" si="25"/>
        <v>698.6266149999999</v>
      </c>
      <c r="M26" s="29">
        <f t="shared" si="25"/>
        <v>691.41432399999997</v>
      </c>
      <c r="N26" s="29">
        <f t="shared" si="25"/>
        <v>681.49793499999998</v>
      </c>
      <c r="O26" s="29">
        <f t="shared" si="25"/>
        <v>711.98790899999995</v>
      </c>
      <c r="P26" s="29">
        <f t="shared" si="25"/>
        <v>687.5116559999999</v>
      </c>
      <c r="Q26" s="29">
        <f t="shared" si="25"/>
        <v>698.91194899999994</v>
      </c>
      <c r="R26" s="29">
        <f t="shared" si="25"/>
        <v>707.33276600000011</v>
      </c>
      <c r="S26" s="29">
        <f t="shared" si="25"/>
        <v>736.42798799999991</v>
      </c>
      <c r="T26" s="29">
        <f t="shared" si="25"/>
        <v>720.02342900000008</v>
      </c>
      <c r="U26" s="29">
        <f t="shared" si="25"/>
        <v>722.92947200000003</v>
      </c>
      <c r="V26" s="29">
        <f t="shared" si="25"/>
        <v>669.57630599999993</v>
      </c>
      <c r="W26" s="29">
        <f t="shared" ref="W26:Y26" si="26">SUM(W27,W28,W31)</f>
        <v>650.39597099999992</v>
      </c>
      <c r="X26" s="29">
        <f t="shared" si="26"/>
        <v>732.30113000000006</v>
      </c>
      <c r="Y26" s="29">
        <f t="shared" si="26"/>
        <v>756.33206600000005</v>
      </c>
      <c r="DA26" s="173" t="s">
        <v>1046</v>
      </c>
    </row>
    <row r="27" spans="1:105" ht="11.45" customHeight="1" x14ac:dyDescent="0.25">
      <c r="A27" s="107" t="s">
        <v>23</v>
      </c>
      <c r="B27" s="115">
        <v>104.272074</v>
      </c>
      <c r="C27" s="115">
        <v>103.68006699999999</v>
      </c>
      <c r="D27" s="115">
        <v>104.836181</v>
      </c>
      <c r="E27" s="115">
        <v>106.119591</v>
      </c>
      <c r="F27" s="115">
        <v>104.71548</v>
      </c>
      <c r="G27" s="115">
        <v>108.962136</v>
      </c>
      <c r="H27" s="115">
        <v>110.154472</v>
      </c>
      <c r="I27" s="115">
        <v>111.599386</v>
      </c>
      <c r="J27" s="115">
        <v>112.919579</v>
      </c>
      <c r="K27" s="115">
        <v>113.042227</v>
      </c>
      <c r="L27" s="115">
        <v>120.725076</v>
      </c>
      <c r="M27" s="115">
        <v>127.299902</v>
      </c>
      <c r="N27" s="115">
        <v>136.986582</v>
      </c>
      <c r="O27" s="115">
        <v>139.35144099999999</v>
      </c>
      <c r="P27" s="115">
        <v>138.05557199999998</v>
      </c>
      <c r="Q27" s="115">
        <v>138.476561</v>
      </c>
      <c r="R27" s="115">
        <v>139.82730699999999</v>
      </c>
      <c r="S27" s="115">
        <v>154.00807499999999</v>
      </c>
      <c r="T27" s="115">
        <v>157.972533</v>
      </c>
      <c r="U27" s="115">
        <v>163.32824399999998</v>
      </c>
      <c r="V27" s="115">
        <v>152.901037</v>
      </c>
      <c r="W27" s="115">
        <v>142.47382999999999</v>
      </c>
      <c r="X27" s="115">
        <v>132.04662300000001</v>
      </c>
      <c r="Y27" s="115">
        <v>143.20934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423.85625499999998</v>
      </c>
      <c r="C28" s="116">
        <f t="shared" ref="C28:V28" si="28">SUM(C29:C30)</f>
        <v>443.178044</v>
      </c>
      <c r="D28" s="116">
        <f t="shared" si="28"/>
        <v>440.98090400000001</v>
      </c>
      <c r="E28" s="116">
        <f t="shared" si="28"/>
        <v>464.54557999999997</v>
      </c>
      <c r="F28" s="116">
        <f t="shared" si="28"/>
        <v>503.665663</v>
      </c>
      <c r="G28" s="116">
        <f t="shared" si="28"/>
        <v>489.86780899999997</v>
      </c>
      <c r="H28" s="116">
        <f t="shared" si="28"/>
        <v>511.92883999999998</v>
      </c>
      <c r="I28" s="116">
        <f t="shared" si="28"/>
        <v>515.26876199999992</v>
      </c>
      <c r="J28" s="116">
        <f t="shared" si="28"/>
        <v>556.01744999999994</v>
      </c>
      <c r="K28" s="116">
        <f t="shared" si="28"/>
        <v>555.25371600000005</v>
      </c>
      <c r="L28" s="116">
        <f t="shared" si="28"/>
        <v>570.08598299999994</v>
      </c>
      <c r="M28" s="116">
        <f t="shared" si="28"/>
        <v>556.96283500000004</v>
      </c>
      <c r="N28" s="116">
        <f t="shared" si="28"/>
        <v>537.84468600000002</v>
      </c>
      <c r="O28" s="116">
        <f t="shared" si="28"/>
        <v>565.96980099999996</v>
      </c>
      <c r="P28" s="116">
        <f t="shared" si="28"/>
        <v>542.75163899999995</v>
      </c>
      <c r="Q28" s="116">
        <f t="shared" si="28"/>
        <v>551.59538799999996</v>
      </c>
      <c r="R28" s="116">
        <f t="shared" si="28"/>
        <v>556.45657000000006</v>
      </c>
      <c r="S28" s="116">
        <f t="shared" si="28"/>
        <v>570.89991299999997</v>
      </c>
      <c r="T28" s="116">
        <f t="shared" si="28"/>
        <v>550.55749100000003</v>
      </c>
      <c r="U28" s="116">
        <f t="shared" si="28"/>
        <v>548.11091099999999</v>
      </c>
      <c r="V28" s="116">
        <f t="shared" si="28"/>
        <v>505.72528599999998</v>
      </c>
      <c r="W28" s="116">
        <f t="shared" ref="W28:Y28" si="29">SUM(W29:W30)</f>
        <v>496.23827799999998</v>
      </c>
      <c r="X28" s="116">
        <f t="shared" si="29"/>
        <v>588.66195400000004</v>
      </c>
      <c r="Y28" s="116">
        <f t="shared" si="29"/>
        <v>601.54018900000005</v>
      </c>
      <c r="DA28" s="176" t="s">
        <v>1048</v>
      </c>
    </row>
    <row r="29" spans="1:105" ht="11.45" customHeight="1" x14ac:dyDescent="0.25">
      <c r="A29" s="111" t="s">
        <v>92</v>
      </c>
      <c r="B29" s="87">
        <v>30.195973000000002</v>
      </c>
      <c r="C29" s="87">
        <v>29.562158</v>
      </c>
      <c r="D29" s="87">
        <v>31.642116000000001</v>
      </c>
      <c r="E29" s="87">
        <v>34.112088999999997</v>
      </c>
      <c r="F29" s="87">
        <v>32.555633</v>
      </c>
      <c r="G29" s="87">
        <v>32.733435999999998</v>
      </c>
      <c r="H29" s="87">
        <v>42.765695000000001</v>
      </c>
      <c r="I29" s="87">
        <v>44.873445999999994</v>
      </c>
      <c r="J29" s="87">
        <v>46.050765999999996</v>
      </c>
      <c r="K29" s="87">
        <v>44.000568999999999</v>
      </c>
      <c r="L29" s="87">
        <v>40.980971999999994</v>
      </c>
      <c r="M29" s="87">
        <v>38.342157</v>
      </c>
      <c r="N29" s="87">
        <v>43.175193</v>
      </c>
      <c r="O29" s="87">
        <v>40.155595999999996</v>
      </c>
      <c r="P29" s="87">
        <v>37.135998999999998</v>
      </c>
      <c r="Q29" s="87">
        <v>40.067444999999999</v>
      </c>
      <c r="R29" s="87">
        <v>43.283258999999994</v>
      </c>
      <c r="S29" s="87">
        <v>48.469774999999998</v>
      </c>
      <c r="T29" s="87">
        <v>45.450177999999994</v>
      </c>
      <c r="U29" s="87">
        <v>42.430580999999997</v>
      </c>
      <c r="V29" s="87">
        <v>39.410983999999999</v>
      </c>
      <c r="W29" s="87">
        <v>36.391386999999995</v>
      </c>
      <c r="X29" s="87">
        <v>33.371789999999997</v>
      </c>
      <c r="Y29" s="87">
        <v>30.352193</v>
      </c>
      <c r="DA29" s="171" t="s">
        <v>1049</v>
      </c>
    </row>
    <row r="30" spans="1:105" ht="11.45" customHeight="1" x14ac:dyDescent="0.25">
      <c r="A30" s="111" t="s">
        <v>93</v>
      </c>
      <c r="B30" s="87">
        <v>393.660282</v>
      </c>
      <c r="C30" s="87">
        <v>413.61588599999999</v>
      </c>
      <c r="D30" s="87">
        <v>409.33878800000002</v>
      </c>
      <c r="E30" s="87">
        <v>430.433491</v>
      </c>
      <c r="F30" s="87">
        <v>471.11002999999999</v>
      </c>
      <c r="G30" s="87">
        <v>457.13437299999998</v>
      </c>
      <c r="H30" s="87">
        <v>469.16314499999999</v>
      </c>
      <c r="I30" s="87">
        <v>470.39531599999998</v>
      </c>
      <c r="J30" s="87">
        <v>509.96668399999999</v>
      </c>
      <c r="K30" s="87">
        <v>511.25314700000001</v>
      </c>
      <c r="L30" s="87">
        <v>529.10501099999999</v>
      </c>
      <c r="M30" s="87">
        <v>518.620678</v>
      </c>
      <c r="N30" s="87">
        <v>494.66949299999999</v>
      </c>
      <c r="O30" s="87">
        <v>525.81420500000002</v>
      </c>
      <c r="P30" s="87">
        <v>505.61563999999998</v>
      </c>
      <c r="Q30" s="87">
        <v>511.52794299999999</v>
      </c>
      <c r="R30" s="87">
        <v>513.17331100000001</v>
      </c>
      <c r="S30" s="87">
        <v>522.43013799999994</v>
      </c>
      <c r="T30" s="87">
        <v>505.10731299999998</v>
      </c>
      <c r="U30" s="87">
        <v>505.68032999999997</v>
      </c>
      <c r="V30" s="87">
        <v>466.314302</v>
      </c>
      <c r="W30" s="87">
        <v>459.84689099999997</v>
      </c>
      <c r="X30" s="87">
        <v>555.290164</v>
      </c>
      <c r="Y30" s="87">
        <v>571.187996</v>
      </c>
      <c r="DA30" s="171" t="s">
        <v>1050</v>
      </c>
    </row>
    <row r="31" spans="1:105" ht="11.45" customHeight="1" x14ac:dyDescent="0.25">
      <c r="A31" s="112" t="s">
        <v>25</v>
      </c>
      <c r="B31" s="117">
        <v>6.6396930000000003</v>
      </c>
      <c r="C31" s="117">
        <v>6.8239150000000004</v>
      </c>
      <c r="D31" s="117">
        <v>6.9774340000000006</v>
      </c>
      <c r="E31" s="117">
        <v>6.7394800000000004</v>
      </c>
      <c r="F31" s="117">
        <v>7.2153890000000001</v>
      </c>
      <c r="G31" s="117">
        <v>7.5377780000000003</v>
      </c>
      <c r="H31" s="117">
        <v>7.5794509999999997</v>
      </c>
      <c r="I31" s="117">
        <v>7.639456</v>
      </c>
      <c r="J31" s="117">
        <v>8.1288889999999991</v>
      </c>
      <c r="K31" s="117">
        <v>7.9312719999999999</v>
      </c>
      <c r="L31" s="117">
        <v>7.8155559999999999</v>
      </c>
      <c r="M31" s="117">
        <v>7.1515870000000001</v>
      </c>
      <c r="N31" s="117">
        <v>6.6666670000000003</v>
      </c>
      <c r="O31" s="117">
        <v>6.6666670000000003</v>
      </c>
      <c r="P31" s="117">
        <v>6.7044449999999998</v>
      </c>
      <c r="Q31" s="117">
        <v>8.84</v>
      </c>
      <c r="R31" s="117">
        <v>11.048888999999999</v>
      </c>
      <c r="S31" s="117">
        <v>11.52</v>
      </c>
      <c r="T31" s="117">
        <v>11.493404999999999</v>
      </c>
      <c r="U31" s="117">
        <v>11.490316999999999</v>
      </c>
      <c r="V31" s="117">
        <v>10.949983</v>
      </c>
      <c r="W31" s="117">
        <v>11.683862999999999</v>
      </c>
      <c r="X31" s="117">
        <v>11.592552999999999</v>
      </c>
      <c r="Y31" s="117">
        <v>11.582536999999999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70.968758000000008</v>
      </c>
      <c r="C32" s="29">
        <f t="shared" ref="C32:V32" si="31">SUM(C33:C34)</f>
        <v>66.321670999999995</v>
      </c>
      <c r="D32" s="29">
        <f t="shared" si="31"/>
        <v>67.064458000000002</v>
      </c>
      <c r="E32" s="29">
        <f t="shared" si="31"/>
        <v>63.523398</v>
      </c>
      <c r="F32" s="29">
        <f t="shared" si="31"/>
        <v>73.591408999999999</v>
      </c>
      <c r="G32" s="29">
        <f t="shared" si="31"/>
        <v>81.806455999999997</v>
      </c>
      <c r="H32" s="29">
        <f t="shared" si="31"/>
        <v>93.098420999999988</v>
      </c>
      <c r="I32" s="29">
        <f t="shared" si="31"/>
        <v>98.364964000000001</v>
      </c>
      <c r="J32" s="29">
        <f t="shared" si="31"/>
        <v>93.35811799999999</v>
      </c>
      <c r="K32" s="29">
        <f t="shared" si="31"/>
        <v>86.261242999999993</v>
      </c>
      <c r="L32" s="29">
        <f t="shared" si="31"/>
        <v>79.164367999999996</v>
      </c>
      <c r="M32" s="29">
        <f t="shared" si="31"/>
        <v>72.067492999999999</v>
      </c>
      <c r="N32" s="29">
        <f t="shared" si="31"/>
        <v>67.360768999999991</v>
      </c>
      <c r="O32" s="29">
        <f t="shared" si="31"/>
        <v>66.363209999999995</v>
      </c>
      <c r="P32" s="29">
        <f t="shared" si="31"/>
        <v>66.655021000000005</v>
      </c>
      <c r="Q32" s="29">
        <f t="shared" si="31"/>
        <v>67.546120999999999</v>
      </c>
      <c r="R32" s="29">
        <f t="shared" si="31"/>
        <v>73.550393999999997</v>
      </c>
      <c r="S32" s="29">
        <f t="shared" si="31"/>
        <v>78.588729999999998</v>
      </c>
      <c r="T32" s="29">
        <f t="shared" si="31"/>
        <v>96.299312999999998</v>
      </c>
      <c r="U32" s="29">
        <f t="shared" si="31"/>
        <v>99.669687999999994</v>
      </c>
      <c r="V32" s="29">
        <f t="shared" si="31"/>
        <v>98.630453999999986</v>
      </c>
      <c r="W32" s="29">
        <f t="shared" ref="W32:Y32" si="32">SUM(W33:W34)</f>
        <v>105.25981</v>
      </c>
      <c r="X32" s="29">
        <f t="shared" si="32"/>
        <v>99.985466000000002</v>
      </c>
      <c r="Y32" s="29">
        <f t="shared" si="32"/>
        <v>95.219982999999999</v>
      </c>
      <c r="DA32" s="173" t="s">
        <v>1052</v>
      </c>
    </row>
    <row r="33" spans="1:105" ht="11.45" customHeight="1" x14ac:dyDescent="0.25">
      <c r="A33" s="83" t="s">
        <v>92</v>
      </c>
      <c r="B33" s="87">
        <v>27.990777000000001</v>
      </c>
      <c r="C33" s="87">
        <v>25.191700000000001</v>
      </c>
      <c r="D33" s="87">
        <v>22.392623</v>
      </c>
      <c r="E33" s="87">
        <v>19.593546</v>
      </c>
      <c r="F33" s="87">
        <v>17.416744000000001</v>
      </c>
      <c r="G33" s="87">
        <v>18.840211</v>
      </c>
      <c r="H33" s="87">
        <v>21.410242</v>
      </c>
      <c r="I33" s="87">
        <v>23.434245000000001</v>
      </c>
      <c r="J33" s="87">
        <v>20.635168</v>
      </c>
      <c r="K33" s="87">
        <v>17.836091</v>
      </c>
      <c r="L33" s="87">
        <v>15.037013999999999</v>
      </c>
      <c r="M33" s="87">
        <v>12.237936999999999</v>
      </c>
      <c r="N33" s="87">
        <v>11.829010999999999</v>
      </c>
      <c r="O33" s="87">
        <v>9.5507299999999997</v>
      </c>
      <c r="P33" s="87">
        <v>8.3036549999999991</v>
      </c>
      <c r="Q33" s="87">
        <v>8.0585889999999996</v>
      </c>
      <c r="R33" s="87">
        <v>8.7364529999999991</v>
      </c>
      <c r="S33" s="87">
        <v>9.9962209999999985</v>
      </c>
      <c r="T33" s="87">
        <v>13.236227</v>
      </c>
      <c r="U33" s="87">
        <v>13.982776999999999</v>
      </c>
      <c r="V33" s="87">
        <v>14.111021999999998</v>
      </c>
      <c r="W33" s="87">
        <v>14.930634</v>
      </c>
      <c r="X33" s="87">
        <v>13.954087999999999</v>
      </c>
      <c r="Y33" s="87">
        <v>13.486402999999999</v>
      </c>
      <c r="DA33" s="171" t="s">
        <v>1053</v>
      </c>
    </row>
    <row r="34" spans="1:105" ht="11.45" customHeight="1" x14ac:dyDescent="0.25">
      <c r="A34" s="85" t="s">
        <v>93</v>
      </c>
      <c r="B34" s="88">
        <v>42.977981</v>
      </c>
      <c r="C34" s="88">
        <v>41.129970999999998</v>
      </c>
      <c r="D34" s="88">
        <v>44.671834999999994</v>
      </c>
      <c r="E34" s="88">
        <v>43.929851999999997</v>
      </c>
      <c r="F34" s="88">
        <v>56.174664999999997</v>
      </c>
      <c r="G34" s="88">
        <v>62.966245000000001</v>
      </c>
      <c r="H34" s="88">
        <v>71.688178999999991</v>
      </c>
      <c r="I34" s="88">
        <v>74.930718999999996</v>
      </c>
      <c r="J34" s="88">
        <v>72.722949999999997</v>
      </c>
      <c r="K34" s="88">
        <v>68.425151999999997</v>
      </c>
      <c r="L34" s="88">
        <v>64.127353999999997</v>
      </c>
      <c r="M34" s="88">
        <v>59.829555999999997</v>
      </c>
      <c r="N34" s="88">
        <v>55.531757999999996</v>
      </c>
      <c r="O34" s="88">
        <v>56.812480000000001</v>
      </c>
      <c r="P34" s="88">
        <v>58.351365999999999</v>
      </c>
      <c r="Q34" s="88">
        <v>59.487531999999995</v>
      </c>
      <c r="R34" s="88">
        <v>64.813941</v>
      </c>
      <c r="S34" s="88">
        <v>68.592508999999993</v>
      </c>
      <c r="T34" s="88">
        <v>83.063085999999998</v>
      </c>
      <c r="U34" s="88">
        <v>85.686910999999995</v>
      </c>
      <c r="V34" s="88">
        <v>84.519431999999995</v>
      </c>
      <c r="W34" s="88">
        <v>90.329176000000004</v>
      </c>
      <c r="X34" s="88">
        <v>86.031378000000004</v>
      </c>
      <c r="Y34" s="88">
        <v>81.733580000000003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35.367978999999956</v>
      </c>
      <c r="D36" s="54">
        <f t="shared" ref="D36:V36" si="34">D37+D43</f>
        <v>20.479332000000007</v>
      </c>
      <c r="E36" s="54">
        <f t="shared" si="34"/>
        <v>41.736108999999956</v>
      </c>
      <c r="F36" s="54">
        <f t="shared" si="34"/>
        <v>68.832718999999969</v>
      </c>
      <c r="G36" s="54">
        <f t="shared" si="34"/>
        <v>19.976940999999989</v>
      </c>
      <c r="H36" s="54">
        <f t="shared" si="34"/>
        <v>53.419647999999953</v>
      </c>
      <c r="I36" s="54">
        <f t="shared" si="34"/>
        <v>28.944026999999956</v>
      </c>
      <c r="J36" s="54">
        <f t="shared" si="34"/>
        <v>59.012288999999981</v>
      </c>
      <c r="K36" s="54">
        <f t="shared" si="34"/>
        <v>16.682710999999998</v>
      </c>
      <c r="L36" s="54">
        <f t="shared" si="34"/>
        <v>40.887565999999957</v>
      </c>
      <c r="M36" s="54">
        <f t="shared" si="34"/>
        <v>11.364092999999997</v>
      </c>
      <c r="N36" s="54">
        <f t="shared" si="34"/>
        <v>19.559867000000004</v>
      </c>
      <c r="O36" s="54">
        <f t="shared" si="34"/>
        <v>51.629862000000017</v>
      </c>
      <c r="P36" s="54">
        <f t="shared" si="34"/>
        <v>5.3027669999999993</v>
      </c>
      <c r="Q36" s="54">
        <f t="shared" si="34"/>
        <v>31.124036000000071</v>
      </c>
      <c r="R36" s="54">
        <f t="shared" si="34"/>
        <v>33.257732999999988</v>
      </c>
      <c r="S36" s="54">
        <f t="shared" si="34"/>
        <v>52.966200999999913</v>
      </c>
      <c r="T36" s="54">
        <f t="shared" si="34"/>
        <v>27.678086000000022</v>
      </c>
      <c r="U36" s="54">
        <f t="shared" si="34"/>
        <v>27.143252000000018</v>
      </c>
      <c r="V36" s="54">
        <f t="shared" si="34"/>
        <v>1.3394339999999954</v>
      </c>
      <c r="W36" s="54">
        <f t="shared" ref="W36:Y36" si="35">W37+W43</f>
        <v>15.287058999999957</v>
      </c>
      <c r="X36" s="54">
        <f t="shared" si="35"/>
        <v>107.395651</v>
      </c>
      <c r="Y36" s="54">
        <f t="shared" si="35"/>
        <v>43.059084999999968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35.367978999999956</v>
      </c>
      <c r="D37" s="28">
        <f t="shared" ref="D37:V37" si="37">SUM(D38,D39,D42)</f>
        <v>15.566468000000008</v>
      </c>
      <c r="E37" s="28">
        <f t="shared" si="37"/>
        <v>41.107091999999952</v>
      </c>
      <c r="F37" s="28">
        <f t="shared" si="37"/>
        <v>55.216905999999966</v>
      </c>
      <c r="G37" s="28">
        <f t="shared" si="37"/>
        <v>9.3832259999999934</v>
      </c>
      <c r="H37" s="28">
        <f t="shared" si="37"/>
        <v>39.749014999999972</v>
      </c>
      <c r="I37" s="28">
        <f t="shared" si="37"/>
        <v>21.298815999999956</v>
      </c>
      <c r="J37" s="28">
        <f t="shared" si="37"/>
        <v>59.012288999999981</v>
      </c>
      <c r="K37" s="28">
        <f t="shared" si="37"/>
        <v>16.682710999999998</v>
      </c>
      <c r="L37" s="28">
        <f t="shared" si="37"/>
        <v>40.887565999999957</v>
      </c>
      <c r="M37" s="28">
        <f t="shared" si="37"/>
        <v>11.364092999999997</v>
      </c>
      <c r="N37" s="28">
        <f t="shared" si="37"/>
        <v>18.961125000000003</v>
      </c>
      <c r="O37" s="28">
        <f t="shared" si="37"/>
        <v>48.97814000000001</v>
      </c>
      <c r="P37" s="28">
        <f t="shared" si="37"/>
        <v>2.3928809999999991</v>
      </c>
      <c r="Q37" s="28">
        <f t="shared" si="37"/>
        <v>27.854268000000072</v>
      </c>
      <c r="R37" s="28">
        <f t="shared" si="37"/>
        <v>24.874791999999985</v>
      </c>
      <c r="S37" s="28">
        <f t="shared" si="37"/>
        <v>45.549196999999921</v>
      </c>
      <c r="T37" s="28">
        <f t="shared" si="37"/>
        <v>7.5888350000000173</v>
      </c>
      <c r="U37" s="28">
        <f t="shared" si="37"/>
        <v>21.394209000000025</v>
      </c>
      <c r="V37" s="28">
        <f t="shared" si="37"/>
        <v>0</v>
      </c>
      <c r="W37" s="28">
        <f t="shared" ref="W37:Y37" si="38">SUM(W38,W39,W42)</f>
        <v>6.2790349999999506</v>
      </c>
      <c r="X37" s="28">
        <f t="shared" si="38"/>
        <v>107.364529</v>
      </c>
      <c r="Y37" s="28">
        <f t="shared" si="38"/>
        <v>42.519101999999968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2.863995999999986</v>
      </c>
      <c r="D38" s="108">
        <v>4.6121169999999978</v>
      </c>
      <c r="E38" s="108">
        <v>4.739412999999999</v>
      </c>
      <c r="F38" s="108">
        <v>2.0518919999999952</v>
      </c>
      <c r="G38" s="108">
        <v>7.702658999999997</v>
      </c>
      <c r="H38" s="108">
        <v>4.6483389999999929</v>
      </c>
      <c r="I38" s="108">
        <v>4.9009169999999926</v>
      </c>
      <c r="J38" s="108">
        <v>4.7761959999999988</v>
      </c>
      <c r="K38" s="108">
        <v>3.5786509999999936</v>
      </c>
      <c r="L38" s="108">
        <v>11.138852</v>
      </c>
      <c r="M38" s="108">
        <v>10.030829000000011</v>
      </c>
      <c r="N38" s="108">
        <v>13.142683000000005</v>
      </c>
      <c r="O38" s="108">
        <v>5.8208620000000053</v>
      </c>
      <c r="P38" s="108">
        <v>2.1601339999999993</v>
      </c>
      <c r="Q38" s="108">
        <v>3.8769920000000297</v>
      </c>
      <c r="R38" s="108">
        <v>4.8067489999999964</v>
      </c>
      <c r="S38" s="108">
        <v>17.63677100000001</v>
      </c>
      <c r="T38" s="108">
        <v>7.4204610000000173</v>
      </c>
      <c r="U38" s="108">
        <v>8.8117139999999949</v>
      </c>
      <c r="V38" s="108">
        <v>0</v>
      </c>
      <c r="W38" s="108">
        <v>0</v>
      </c>
      <c r="X38" s="108">
        <v>0</v>
      </c>
      <c r="Y38" s="108">
        <v>14.618719999999996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32.124791999999971</v>
      </c>
      <c r="D39" s="110">
        <f t="shared" ref="D39:V39" si="40">SUM(D40:D41)</f>
        <v>10.60586300000001</v>
      </c>
      <c r="E39" s="110">
        <f t="shared" si="40"/>
        <v>36.367678999999953</v>
      </c>
      <c r="F39" s="110">
        <f t="shared" si="40"/>
        <v>52.494135999999969</v>
      </c>
      <c r="G39" s="110">
        <f t="shared" si="40"/>
        <v>1.1632089999999948</v>
      </c>
      <c r="H39" s="110">
        <f t="shared" si="40"/>
        <v>34.864033999999982</v>
      </c>
      <c r="I39" s="110">
        <f t="shared" si="40"/>
        <v>16.142924999999963</v>
      </c>
      <c r="J39" s="110">
        <f t="shared" si="40"/>
        <v>53.551690999999984</v>
      </c>
      <c r="K39" s="110">
        <f t="shared" si="40"/>
        <v>13.104060000000004</v>
      </c>
      <c r="L39" s="110">
        <f t="shared" si="40"/>
        <v>29.669460999999956</v>
      </c>
      <c r="M39" s="110">
        <f t="shared" si="40"/>
        <v>1.3332639999999856</v>
      </c>
      <c r="N39" s="110">
        <f t="shared" si="40"/>
        <v>5.8184419999999974</v>
      </c>
      <c r="O39" s="110">
        <f t="shared" si="40"/>
        <v>42.962309000000005</v>
      </c>
      <c r="P39" s="110">
        <f t="shared" si="40"/>
        <v>0</v>
      </c>
      <c r="Q39" s="110">
        <f t="shared" si="40"/>
        <v>21.646752000000042</v>
      </c>
      <c r="R39" s="110">
        <f t="shared" si="40"/>
        <v>17.664184999999989</v>
      </c>
      <c r="S39" s="110">
        <f t="shared" si="40"/>
        <v>27.24634599999991</v>
      </c>
      <c r="T39" s="110">
        <f t="shared" si="40"/>
        <v>0</v>
      </c>
      <c r="U39" s="110">
        <f t="shared" si="40"/>
        <v>12.390614000000028</v>
      </c>
      <c r="V39" s="110">
        <f t="shared" si="40"/>
        <v>0</v>
      </c>
      <c r="W39" s="110">
        <f t="shared" ref="W39:Y39" si="41">SUM(W40:W41)</f>
        <v>5.350185999999951</v>
      </c>
      <c r="X39" s="110">
        <f t="shared" si="41"/>
        <v>107.26087000000001</v>
      </c>
      <c r="Y39" s="110">
        <f t="shared" si="41"/>
        <v>27.715428999999972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0.3515909999999991</v>
      </c>
      <c r="D40" s="84">
        <v>3.0653639999999989</v>
      </c>
      <c r="E40" s="84">
        <v>3.4553789999999935</v>
      </c>
      <c r="F40" s="84">
        <v>0</v>
      </c>
      <c r="G40" s="84">
        <v>1.1632089999999948</v>
      </c>
      <c r="H40" s="84">
        <v>11.017665000000001</v>
      </c>
      <c r="I40" s="84">
        <v>3.0931569999999908</v>
      </c>
      <c r="J40" s="84">
        <v>2.1627259999999993</v>
      </c>
      <c r="K40" s="84">
        <v>0</v>
      </c>
      <c r="L40" s="84">
        <v>0</v>
      </c>
      <c r="M40" s="84">
        <v>0</v>
      </c>
      <c r="N40" s="84">
        <v>5.8184419999999974</v>
      </c>
      <c r="O40" s="84">
        <v>0</v>
      </c>
      <c r="P40" s="84">
        <v>0</v>
      </c>
      <c r="Q40" s="84">
        <v>3.9168519999999987</v>
      </c>
      <c r="R40" s="84">
        <v>4.2012199999999922</v>
      </c>
      <c r="S40" s="84">
        <v>6.1719220000000021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31.773200999999972</v>
      </c>
      <c r="D41" s="84">
        <v>7.5404990000000112</v>
      </c>
      <c r="E41" s="84">
        <v>32.912299999999959</v>
      </c>
      <c r="F41" s="84">
        <v>52.494135999999969</v>
      </c>
      <c r="G41" s="84">
        <v>0</v>
      </c>
      <c r="H41" s="84">
        <v>23.846368999999981</v>
      </c>
      <c r="I41" s="84">
        <v>13.049767999999972</v>
      </c>
      <c r="J41" s="84">
        <v>51.388964999999985</v>
      </c>
      <c r="K41" s="84">
        <v>13.104060000000004</v>
      </c>
      <c r="L41" s="84">
        <v>29.669460999999956</v>
      </c>
      <c r="M41" s="84">
        <v>1.3332639999999856</v>
      </c>
      <c r="N41" s="84">
        <v>0</v>
      </c>
      <c r="O41" s="84">
        <v>42.962309000000005</v>
      </c>
      <c r="P41" s="84">
        <v>0</v>
      </c>
      <c r="Q41" s="84">
        <v>17.729900000000043</v>
      </c>
      <c r="R41" s="84">
        <v>13.462964999999997</v>
      </c>
      <c r="S41" s="84">
        <v>21.074423999999908</v>
      </c>
      <c r="T41" s="84">
        <v>0</v>
      </c>
      <c r="U41" s="84">
        <v>12.390614000000028</v>
      </c>
      <c r="V41" s="84">
        <v>0</v>
      </c>
      <c r="W41" s="84">
        <v>5.350185999999951</v>
      </c>
      <c r="X41" s="84">
        <v>107.26087000000001</v>
      </c>
      <c r="Y41" s="84">
        <v>27.715428999999972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0.3791910000000005</v>
      </c>
      <c r="D42" s="113">
        <v>0.34848800000000058</v>
      </c>
      <c r="E42" s="113">
        <v>0</v>
      </c>
      <c r="F42" s="113">
        <v>0.67087800000000009</v>
      </c>
      <c r="G42" s="113">
        <v>0.51735800000000065</v>
      </c>
      <c r="H42" s="113">
        <v>0.2366419999999998</v>
      </c>
      <c r="I42" s="113">
        <v>0.2549740000000007</v>
      </c>
      <c r="J42" s="113">
        <v>0.68440199999999951</v>
      </c>
      <c r="K42" s="113">
        <v>0</v>
      </c>
      <c r="L42" s="113">
        <v>7.9252999999999574E-2</v>
      </c>
      <c r="M42" s="113">
        <v>0</v>
      </c>
      <c r="N42" s="113">
        <v>0</v>
      </c>
      <c r="O42" s="113">
        <v>0.19496900000000039</v>
      </c>
      <c r="P42" s="113">
        <v>0.23274699999999982</v>
      </c>
      <c r="Q42" s="113">
        <v>2.3305240000000005</v>
      </c>
      <c r="R42" s="113">
        <v>2.4038579999999996</v>
      </c>
      <c r="S42" s="113">
        <v>0.66608000000000089</v>
      </c>
      <c r="T42" s="113">
        <v>0.16837400000000002</v>
      </c>
      <c r="U42" s="113">
        <v>0.19188100000000041</v>
      </c>
      <c r="V42" s="113">
        <v>0</v>
      </c>
      <c r="W42" s="113">
        <v>0.92884899999999959</v>
      </c>
      <c r="X42" s="113">
        <v>0.10365900000000039</v>
      </c>
      <c r="Y42" s="113">
        <v>0.18495300000000015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4.912863999999999</v>
      </c>
      <c r="E43" s="28">
        <f t="shared" si="43"/>
        <v>0.6290170000000046</v>
      </c>
      <c r="F43" s="28">
        <f t="shared" si="43"/>
        <v>13.615813000000003</v>
      </c>
      <c r="G43" s="28">
        <f t="shared" si="43"/>
        <v>10.593714999999996</v>
      </c>
      <c r="H43" s="28">
        <f t="shared" si="43"/>
        <v>13.670632999999984</v>
      </c>
      <c r="I43" s="28">
        <f t="shared" si="43"/>
        <v>7.6452109999999998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0.59874200000000144</v>
      </c>
      <c r="O43" s="28">
        <f t="shared" si="43"/>
        <v>2.6517220000000066</v>
      </c>
      <c r="P43" s="28">
        <f t="shared" si="43"/>
        <v>2.9098860000000002</v>
      </c>
      <c r="Q43" s="28">
        <f t="shared" si="43"/>
        <v>3.2697679999999991</v>
      </c>
      <c r="R43" s="28">
        <f t="shared" si="43"/>
        <v>8.3829410000000006</v>
      </c>
      <c r="S43" s="28">
        <f t="shared" si="43"/>
        <v>7.4170039999999879</v>
      </c>
      <c r="T43" s="28">
        <f t="shared" si="43"/>
        <v>20.089251000000004</v>
      </c>
      <c r="U43" s="28">
        <f t="shared" si="43"/>
        <v>5.7490429999999915</v>
      </c>
      <c r="V43" s="28">
        <f t="shared" si="43"/>
        <v>1.3394339999999954</v>
      </c>
      <c r="W43" s="28">
        <f t="shared" ref="W43:Y43" si="44">SUM(W44:W45)</f>
        <v>9.008024000000006</v>
      </c>
      <c r="X43" s="28">
        <f t="shared" si="44"/>
        <v>3.1121999999999872E-2</v>
      </c>
      <c r="Y43" s="28">
        <f t="shared" si="44"/>
        <v>0.53998300000000121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2.4311349999999976</v>
      </c>
      <c r="H44" s="84">
        <v>3.5776989999999991</v>
      </c>
      <c r="I44" s="84">
        <v>3.0316709999999993</v>
      </c>
      <c r="J44" s="84">
        <v>0</v>
      </c>
      <c r="K44" s="84">
        <v>0</v>
      </c>
      <c r="L44" s="84">
        <v>0</v>
      </c>
      <c r="M44" s="84">
        <v>0</v>
      </c>
      <c r="N44" s="84">
        <v>0.59874200000000144</v>
      </c>
      <c r="O44" s="84">
        <v>0</v>
      </c>
      <c r="P44" s="84">
        <v>0</v>
      </c>
      <c r="Q44" s="84">
        <v>0.76260200000000111</v>
      </c>
      <c r="R44" s="84">
        <v>1.6855320000000003</v>
      </c>
      <c r="S44" s="84">
        <v>2.267436</v>
      </c>
      <c r="T44" s="84">
        <v>4.2476740000000017</v>
      </c>
      <c r="U44" s="84">
        <v>1.7542179999999998</v>
      </c>
      <c r="V44" s="84">
        <v>1.1359130000000004</v>
      </c>
      <c r="W44" s="84">
        <v>1.8272800000000018</v>
      </c>
      <c r="X44" s="84">
        <v>3.1121999999999872E-2</v>
      </c>
      <c r="Y44" s="84">
        <v>0.53998300000000121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4.912863999999999</v>
      </c>
      <c r="E45" s="86">
        <v>0.6290170000000046</v>
      </c>
      <c r="F45" s="86">
        <v>13.615813000000003</v>
      </c>
      <c r="G45" s="86">
        <v>8.1625799999999984</v>
      </c>
      <c r="H45" s="86">
        <v>10.092933999999985</v>
      </c>
      <c r="I45" s="86">
        <v>4.6135400000000004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2.6517220000000066</v>
      </c>
      <c r="P45" s="86">
        <v>2.9098860000000002</v>
      </c>
      <c r="Q45" s="86">
        <v>2.507165999999998</v>
      </c>
      <c r="R45" s="86">
        <v>6.6974090000000004</v>
      </c>
      <c r="S45" s="86">
        <v>5.1495679999999879</v>
      </c>
      <c r="T45" s="86">
        <v>15.841577000000001</v>
      </c>
      <c r="U45" s="86">
        <v>3.9948249999999916</v>
      </c>
      <c r="V45" s="86">
        <v>0.20352099999999496</v>
      </c>
      <c r="W45" s="86">
        <v>7.1807440000000042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110.25648295347682</v>
      </c>
      <c r="C50" s="29">
        <f t="shared" si="45"/>
        <v>110.11426111226945</v>
      </c>
      <c r="D50" s="29">
        <f t="shared" si="45"/>
        <v>113.21600688703334</v>
      </c>
      <c r="E50" s="29">
        <f t="shared" si="45"/>
        <v>108.60580091502202</v>
      </c>
      <c r="F50" s="29">
        <f t="shared" si="45"/>
        <v>112.21775468188541</v>
      </c>
      <c r="G50" s="29">
        <f t="shared" si="45"/>
        <v>106.23690989900386</v>
      </c>
      <c r="H50" s="29">
        <f t="shared" si="45"/>
        <v>107.39075625983216</v>
      </c>
      <c r="I50" s="29">
        <f t="shared" si="45"/>
        <v>111.532835374955</v>
      </c>
      <c r="J50" s="29">
        <f t="shared" si="45"/>
        <v>111.97026248991115</v>
      </c>
      <c r="K50" s="29">
        <f t="shared" ref="K50:V50" si="46">IF(K4=0,0,K4/K15)</f>
        <v>113.17150978416591</v>
      </c>
      <c r="L50" s="29">
        <f t="shared" si="46"/>
        <v>113.47475139705767</v>
      </c>
      <c r="M50" s="29">
        <f t="shared" si="46"/>
        <v>117.37586956141061</v>
      </c>
      <c r="N50" s="29">
        <f t="shared" si="46"/>
        <v>122.2899939245427</v>
      </c>
      <c r="O50" s="29">
        <f t="shared" si="46"/>
        <v>118.56739903867863</v>
      </c>
      <c r="P50" s="29">
        <f t="shared" si="46"/>
        <v>124.24445607519478</v>
      </c>
      <c r="Q50" s="29">
        <f t="shared" si="46"/>
        <v>115.47170134132004</v>
      </c>
      <c r="R50" s="29">
        <f t="shared" si="46"/>
        <v>108.7672490304588</v>
      </c>
      <c r="S50" s="29">
        <f t="shared" si="46"/>
        <v>109.13558256171113</v>
      </c>
      <c r="T50" s="29">
        <f t="shared" si="46"/>
        <v>127.12018185182554</v>
      </c>
      <c r="U50" s="29">
        <f t="shared" si="46"/>
        <v>128.90668150387762</v>
      </c>
      <c r="V50" s="29">
        <f t="shared" si="46"/>
        <v>101.5543768212945</v>
      </c>
      <c r="W50" s="29">
        <f t="shared" ref="W50:Y50" si="47">IF(W4=0,0,W4/W15)</f>
        <v>98.800526520638471</v>
      </c>
      <c r="X50" s="29">
        <f t="shared" si="47"/>
        <v>118.17380730541453</v>
      </c>
      <c r="Y50" s="29">
        <f t="shared" si="47"/>
        <v>122.85097632126406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75.850519407421245</v>
      </c>
      <c r="C51" s="115">
        <f t="shared" si="48"/>
        <v>76.809715170258997</v>
      </c>
      <c r="D51" s="115">
        <f t="shared" si="48"/>
        <v>77.176687078701619</v>
      </c>
      <c r="E51" s="115">
        <f t="shared" si="48"/>
        <v>77.09997874712279</v>
      </c>
      <c r="F51" s="115">
        <f t="shared" si="48"/>
        <v>79.001951743337713</v>
      </c>
      <c r="G51" s="115">
        <f t="shared" si="48"/>
        <v>77.59159087526028</v>
      </c>
      <c r="H51" s="115">
        <f t="shared" si="48"/>
        <v>78.402297601908515</v>
      </c>
      <c r="I51" s="115">
        <f t="shared" si="48"/>
        <v>79.016401002361647</v>
      </c>
      <c r="J51" s="115">
        <f t="shared" si="48"/>
        <v>80.50782008743036</v>
      </c>
      <c r="K51" s="115">
        <f t="shared" ref="K51:V51" si="49">IF(K5=0,0,K5/K16)</f>
        <v>80.420471230381352</v>
      </c>
      <c r="L51" s="115">
        <f t="shared" si="49"/>
        <v>80.573755455909463</v>
      </c>
      <c r="M51" s="115">
        <f t="shared" si="49"/>
        <v>80.899882863196382</v>
      </c>
      <c r="N51" s="115">
        <f t="shared" si="49"/>
        <v>80.867454772310737</v>
      </c>
      <c r="O51" s="115">
        <f t="shared" si="49"/>
        <v>80.862557932308988</v>
      </c>
      <c r="P51" s="115">
        <f t="shared" si="49"/>
        <v>80.857905727234794</v>
      </c>
      <c r="Q51" s="115">
        <f t="shared" si="49"/>
        <v>81.556877236528337</v>
      </c>
      <c r="R51" s="115">
        <f t="shared" si="49"/>
        <v>82.398898303968323</v>
      </c>
      <c r="S51" s="115">
        <f t="shared" si="49"/>
        <v>82.429960120507545</v>
      </c>
      <c r="T51" s="115">
        <f t="shared" si="49"/>
        <v>81.9909763471193</v>
      </c>
      <c r="U51" s="115">
        <f t="shared" si="49"/>
        <v>81.938064414259742</v>
      </c>
      <c r="V51" s="115">
        <f t="shared" si="49"/>
        <v>81.597460298244357</v>
      </c>
      <c r="W51" s="115">
        <f t="shared" ref="W51:Y51" si="50">IF(W5=0,0,W5/W16)</f>
        <v>86.003585861588675</v>
      </c>
      <c r="X51" s="115">
        <f t="shared" si="50"/>
        <v>81.6322505358157</v>
      </c>
      <c r="Y51" s="115">
        <f t="shared" si="50"/>
        <v>81.632250535815714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108.03977274989546</v>
      </c>
      <c r="C52" s="116">
        <f t="shared" si="51"/>
        <v>107.54142885754968</v>
      </c>
      <c r="D52" s="116">
        <f t="shared" si="51"/>
        <v>111.13104051908445</v>
      </c>
      <c r="E52" s="116">
        <f t="shared" si="51"/>
        <v>106.01040867701217</v>
      </c>
      <c r="F52" s="116">
        <f t="shared" si="51"/>
        <v>109.66269404682328</v>
      </c>
      <c r="G52" s="116">
        <f t="shared" si="51"/>
        <v>102.44940734583635</v>
      </c>
      <c r="H52" s="116">
        <f t="shared" si="51"/>
        <v>103.71233130328055</v>
      </c>
      <c r="I52" s="116">
        <f t="shared" si="51"/>
        <v>108.48707372176173</v>
      </c>
      <c r="J52" s="116">
        <f t="shared" si="51"/>
        <v>108.62968447334526</v>
      </c>
      <c r="K52" s="116">
        <f t="shared" ref="K52:V52" si="52">IF(K6=0,0,K6/K17)</f>
        <v>110.17185786028398</v>
      </c>
      <c r="L52" s="116">
        <f t="shared" si="52"/>
        <v>110.83234453293731</v>
      </c>
      <c r="M52" s="116">
        <f t="shared" si="52"/>
        <v>116.87195148074613</v>
      </c>
      <c r="N52" s="116">
        <f t="shared" si="52"/>
        <v>123.35655345909977</v>
      </c>
      <c r="O52" s="116">
        <f t="shared" si="52"/>
        <v>118.90892210190617</v>
      </c>
      <c r="P52" s="116">
        <f t="shared" si="52"/>
        <v>125.79082544328701</v>
      </c>
      <c r="Q52" s="116">
        <f t="shared" si="52"/>
        <v>112.76381467468603</v>
      </c>
      <c r="R52" s="116">
        <f t="shared" si="52"/>
        <v>102.13435596200509</v>
      </c>
      <c r="S52" s="116">
        <f t="shared" si="52"/>
        <v>102.76173705573365</v>
      </c>
      <c r="T52" s="116">
        <f t="shared" si="52"/>
        <v>125.61858826665008</v>
      </c>
      <c r="U52" s="116">
        <f t="shared" si="52"/>
        <v>128.24766768936826</v>
      </c>
      <c r="V52" s="116">
        <f t="shared" si="52"/>
        <v>97.800323956287471</v>
      </c>
      <c r="W52" s="116">
        <f t="shared" ref="W52:Y52" si="53">IF(W6=0,0,W6/W17)</f>
        <v>89.353563775008368</v>
      </c>
      <c r="X52" s="116">
        <f t="shared" si="53"/>
        <v>114.55360676268451</v>
      </c>
      <c r="Y52" s="116">
        <f t="shared" si="53"/>
        <v>119.75848192673645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110.86057861111026</v>
      </c>
      <c r="C53" s="87">
        <f t="shared" si="54"/>
        <v>114.38968707169144</v>
      </c>
      <c r="D53" s="87">
        <f t="shared" si="54"/>
        <v>104.05136461493149</v>
      </c>
      <c r="E53" s="87">
        <f t="shared" si="54"/>
        <v>102.98701942955563</v>
      </c>
      <c r="F53" s="87">
        <f t="shared" si="54"/>
        <v>100.17939747431147</v>
      </c>
      <c r="G53" s="87">
        <f t="shared" si="54"/>
        <v>90.562895705902477</v>
      </c>
      <c r="H53" s="87">
        <f t="shared" si="54"/>
        <v>73.407718820374072</v>
      </c>
      <c r="I53" s="87">
        <f t="shared" si="54"/>
        <v>75.048227972846291</v>
      </c>
      <c r="J53" s="87">
        <f t="shared" si="54"/>
        <v>84.769945099308643</v>
      </c>
      <c r="K53" s="87">
        <f t="shared" ref="K53:V53" si="55">IF(K7=0,0,K7/K18)</f>
        <v>84.659314516936973</v>
      </c>
      <c r="L53" s="87">
        <f t="shared" si="55"/>
        <v>86.802560747305449</v>
      </c>
      <c r="M53" s="87">
        <f t="shared" si="55"/>
        <v>92.655527780736421</v>
      </c>
      <c r="N53" s="87">
        <f t="shared" si="55"/>
        <v>98.577427180361639</v>
      </c>
      <c r="O53" s="87">
        <f t="shared" si="55"/>
        <v>99.747568079900532</v>
      </c>
      <c r="P53" s="87">
        <f t="shared" si="55"/>
        <v>104.52219922941084</v>
      </c>
      <c r="Q53" s="87">
        <f t="shared" si="55"/>
        <v>67.799519550601403</v>
      </c>
      <c r="R53" s="87">
        <f t="shared" si="55"/>
        <v>59.527138993772006</v>
      </c>
      <c r="S53" s="87">
        <f t="shared" si="55"/>
        <v>59.03185480448812</v>
      </c>
      <c r="T53" s="87">
        <f t="shared" si="55"/>
        <v>79.011963930927834</v>
      </c>
      <c r="U53" s="87">
        <f t="shared" si="55"/>
        <v>82.898373463479345</v>
      </c>
      <c r="V53" s="87">
        <f t="shared" si="55"/>
        <v>77.515863466508478</v>
      </c>
      <c r="W53" s="87">
        <f t="shared" ref="W53:Y53" si="56">IF(W7=0,0,W7/W18)</f>
        <v>69.447411472253918</v>
      </c>
      <c r="X53" s="87">
        <f t="shared" si="56"/>
        <v>106.38813249634802</v>
      </c>
      <c r="Y53" s="87">
        <f t="shared" si="56"/>
        <v>107.74356605155711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107.82340096958734</v>
      </c>
      <c r="C54" s="87">
        <f t="shared" si="57"/>
        <v>107.05196679211753</v>
      </c>
      <c r="D54" s="87">
        <f t="shared" si="57"/>
        <v>111.67830340003323</v>
      </c>
      <c r="E54" s="87">
        <f t="shared" si="57"/>
        <v>106.25001392269638</v>
      </c>
      <c r="F54" s="87">
        <f t="shared" si="57"/>
        <v>110.31802866965492</v>
      </c>
      <c r="G54" s="87">
        <f t="shared" si="57"/>
        <v>103.30054956289504</v>
      </c>
      <c r="H54" s="87">
        <f t="shared" si="57"/>
        <v>106.47469192207791</v>
      </c>
      <c r="I54" s="87">
        <f t="shared" si="57"/>
        <v>111.6769784011661</v>
      </c>
      <c r="J54" s="87">
        <f t="shared" si="57"/>
        <v>110.78425513997001</v>
      </c>
      <c r="K54" s="87">
        <f t="shared" ref="K54:V54" si="58">IF(K8=0,0,K8/K19)</f>
        <v>112.3675732706099</v>
      </c>
      <c r="L54" s="87">
        <f t="shared" si="58"/>
        <v>112.58263501915138</v>
      </c>
      <c r="M54" s="87">
        <f t="shared" si="58"/>
        <v>118.66229644788361</v>
      </c>
      <c r="N54" s="87">
        <f t="shared" si="58"/>
        <v>125.51929761856266</v>
      </c>
      <c r="O54" s="87">
        <f t="shared" si="58"/>
        <v>120.13968136846071</v>
      </c>
      <c r="P54" s="87">
        <f t="shared" si="58"/>
        <v>126.95840126398488</v>
      </c>
      <c r="Q54" s="87">
        <f t="shared" si="58"/>
        <v>116.28582048966587</v>
      </c>
      <c r="R54" s="87">
        <f t="shared" si="58"/>
        <v>105.72803309356145</v>
      </c>
      <c r="S54" s="87">
        <f t="shared" si="58"/>
        <v>106.81888726478317</v>
      </c>
      <c r="T54" s="87">
        <f t="shared" si="58"/>
        <v>129.12166359133161</v>
      </c>
      <c r="U54" s="87">
        <f t="shared" si="58"/>
        <v>131.54892941915347</v>
      </c>
      <c r="V54" s="87">
        <f t="shared" si="58"/>
        <v>99.040689087006129</v>
      </c>
      <c r="W54" s="87">
        <f t="shared" ref="W54:Y54" si="59">IF(W8=0,0,W8/W19)</f>
        <v>90.519367591372315</v>
      </c>
      <c r="X54" s="87">
        <f t="shared" si="59"/>
        <v>114.94035839418387</v>
      </c>
      <c r="Y54" s="87">
        <f t="shared" si="59"/>
        <v>120.35401190951627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289.50471698113205</v>
      </c>
      <c r="C55" s="117">
        <f t="shared" si="60"/>
        <v>289.50471698113211</v>
      </c>
      <c r="D55" s="117">
        <f t="shared" si="60"/>
        <v>289.50471698113211</v>
      </c>
      <c r="E55" s="117">
        <f t="shared" si="60"/>
        <v>289.50471698113205</v>
      </c>
      <c r="F55" s="117">
        <f t="shared" si="60"/>
        <v>289.50471698113211</v>
      </c>
      <c r="G55" s="117">
        <f t="shared" si="60"/>
        <v>289.50471698113211</v>
      </c>
      <c r="H55" s="117">
        <f t="shared" si="60"/>
        <v>293.1904161412358</v>
      </c>
      <c r="I55" s="117">
        <f t="shared" si="60"/>
        <v>296.12347877708515</v>
      </c>
      <c r="J55" s="117">
        <f t="shared" si="60"/>
        <v>294.96992892290871</v>
      </c>
      <c r="K55" s="117">
        <f t="shared" ref="K55:V55" si="61">IF(K9=0,0,K9/K20)</f>
        <v>297.27614095898321</v>
      </c>
      <c r="L55" s="117">
        <f t="shared" si="61"/>
        <v>301.67756610747796</v>
      </c>
      <c r="M55" s="117">
        <f t="shared" si="61"/>
        <v>301.66666666666669</v>
      </c>
      <c r="N55" s="117">
        <f t="shared" si="61"/>
        <v>301.66666666666669</v>
      </c>
      <c r="O55" s="117">
        <f t="shared" si="61"/>
        <v>301.66666666666669</v>
      </c>
      <c r="P55" s="117">
        <f t="shared" si="61"/>
        <v>301.62412993039442</v>
      </c>
      <c r="Q55" s="117">
        <f t="shared" si="61"/>
        <v>301.65912518853696</v>
      </c>
      <c r="R55" s="117">
        <f t="shared" si="61"/>
        <v>301.68946098149638</v>
      </c>
      <c r="S55" s="117">
        <f t="shared" si="61"/>
        <v>301.69753086419752</v>
      </c>
      <c r="T55" s="117">
        <f t="shared" si="61"/>
        <v>302.39565851422697</v>
      </c>
      <c r="U55" s="117">
        <f t="shared" si="61"/>
        <v>302.47692196531801</v>
      </c>
      <c r="V55" s="117">
        <f t="shared" si="61"/>
        <v>201.9282871997294</v>
      </c>
      <c r="W55" s="117">
        <f t="shared" ref="W55:Y55" si="62">IF(W9=0,0,W9/W20)</f>
        <v>256.76440805022975</v>
      </c>
      <c r="X55" s="117">
        <f t="shared" si="62"/>
        <v>278.87575762269529</v>
      </c>
      <c r="Y55" s="117">
        <f t="shared" si="62"/>
        <v>300.78399281208544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540.66044950600906</v>
      </c>
      <c r="C56" s="29">
        <f t="shared" si="63"/>
        <v>546.27416596211856</v>
      </c>
      <c r="D56" s="29">
        <f t="shared" si="63"/>
        <v>567.63112517879381</v>
      </c>
      <c r="E56" s="29">
        <f t="shared" si="63"/>
        <v>594.86294617762792</v>
      </c>
      <c r="F56" s="29">
        <f t="shared" si="63"/>
        <v>522.54741313789589</v>
      </c>
      <c r="G56" s="29">
        <f t="shared" si="63"/>
        <v>496.90455332731977</v>
      </c>
      <c r="H56" s="29">
        <f t="shared" si="63"/>
        <v>460.37301077239454</v>
      </c>
      <c r="I56" s="29">
        <f t="shared" si="63"/>
        <v>470.59439401326358</v>
      </c>
      <c r="J56" s="29">
        <f t="shared" si="63"/>
        <v>482.24946018368445</v>
      </c>
      <c r="K56" s="29">
        <f t="shared" ref="K56:V56" si="64">IF(K10=0,0,K10/K21)</f>
        <v>497.3489869193707</v>
      </c>
      <c r="L56" s="29">
        <f t="shared" si="64"/>
        <v>546.46206563168323</v>
      </c>
      <c r="M56" s="29">
        <f t="shared" si="64"/>
        <v>587.22205470465258</v>
      </c>
      <c r="N56" s="29">
        <f t="shared" si="64"/>
        <v>1116.0695380635711</v>
      </c>
      <c r="O56" s="29">
        <f t="shared" si="64"/>
        <v>1029.6367784778818</v>
      </c>
      <c r="P56" s="29">
        <f t="shared" si="64"/>
        <v>1039.9816861367935</v>
      </c>
      <c r="Q56" s="29">
        <f t="shared" si="64"/>
        <v>1026.2617690587526</v>
      </c>
      <c r="R56" s="29">
        <f t="shared" si="64"/>
        <v>1212.1621208245235</v>
      </c>
      <c r="S56" s="29">
        <f t="shared" si="64"/>
        <v>841.53288685745213</v>
      </c>
      <c r="T56" s="29">
        <f t="shared" si="64"/>
        <v>612.98464958396141</v>
      </c>
      <c r="U56" s="29">
        <f t="shared" si="64"/>
        <v>737.43584642066298</v>
      </c>
      <c r="V56" s="29">
        <f t="shared" si="64"/>
        <v>678.47199885135592</v>
      </c>
      <c r="W56" s="29">
        <f t="shared" ref="W56:Y56" si="65">IF(W10=0,0,W10/W21)</f>
        <v>575.0532954925925</v>
      </c>
      <c r="X56" s="29">
        <f t="shared" si="65"/>
        <v>1041.1844923021883</v>
      </c>
      <c r="Y56" s="29">
        <f t="shared" si="65"/>
        <v>1284.7414420788812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573.09416956414884</v>
      </c>
      <c r="C57" s="87">
        <f t="shared" si="66"/>
        <v>584.12530758831781</v>
      </c>
      <c r="D57" s="87">
        <f t="shared" si="66"/>
        <v>615.30399290417517</v>
      </c>
      <c r="E57" s="87">
        <f t="shared" si="66"/>
        <v>653.59112044181916</v>
      </c>
      <c r="F57" s="87">
        <f t="shared" si="66"/>
        <v>571.42884050535179</v>
      </c>
      <c r="G57" s="87">
        <f t="shared" si="66"/>
        <v>540.73291720369525</v>
      </c>
      <c r="H57" s="87">
        <f t="shared" si="66"/>
        <v>485.07987659194481</v>
      </c>
      <c r="I57" s="87">
        <f t="shared" si="66"/>
        <v>495.14409696670964</v>
      </c>
      <c r="J57" s="87">
        <f t="shared" si="66"/>
        <v>517.63275801716918</v>
      </c>
      <c r="K57" s="87">
        <f t="shared" ref="K57:V57" si="67">IF(K11=0,0,K11/K22)</f>
        <v>542.75894710323087</v>
      </c>
      <c r="L57" s="87">
        <f t="shared" si="67"/>
        <v>614.51220623224867</v>
      </c>
      <c r="M57" s="87">
        <f t="shared" si="67"/>
        <v>668.35929935367903</v>
      </c>
      <c r="N57" s="87">
        <f t="shared" si="67"/>
        <v>1226.7679102696463</v>
      </c>
      <c r="O57" s="87">
        <f t="shared" si="67"/>
        <v>1131.5540097534604</v>
      </c>
      <c r="P57" s="87">
        <f t="shared" si="67"/>
        <v>1135.6520410168998</v>
      </c>
      <c r="Q57" s="87">
        <f t="shared" si="67"/>
        <v>1171.6015906024177</v>
      </c>
      <c r="R57" s="87">
        <f t="shared" si="67"/>
        <v>1425.8212575487485</v>
      </c>
      <c r="S57" s="87">
        <f t="shared" si="67"/>
        <v>981.51545797939718</v>
      </c>
      <c r="T57" s="87">
        <f t="shared" si="67"/>
        <v>652.17015035058193</v>
      </c>
      <c r="U57" s="87">
        <f t="shared" si="67"/>
        <v>770.09897818325419</v>
      </c>
      <c r="V57" s="87">
        <f t="shared" si="67"/>
        <v>692.88490984345742</v>
      </c>
      <c r="W57" s="87">
        <f t="shared" ref="W57:Y57" si="68">IF(W11=0,0,W11/W22)</f>
        <v>587.0413691303437</v>
      </c>
      <c r="X57" s="87">
        <f t="shared" si="68"/>
        <v>1029.7453640168178</v>
      </c>
      <c r="Y57" s="87">
        <f t="shared" si="68"/>
        <v>1231.0500779861839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519.53695793527231</v>
      </c>
      <c r="C58" s="88">
        <f t="shared" si="69"/>
        <v>524.48024224523488</v>
      </c>
      <c r="D58" s="88">
        <f t="shared" si="69"/>
        <v>546.71006969180132</v>
      </c>
      <c r="E58" s="88">
        <f t="shared" si="69"/>
        <v>571.64166595618622</v>
      </c>
      <c r="F58" s="88">
        <f t="shared" si="69"/>
        <v>507.39191074226829</v>
      </c>
      <c r="G58" s="88">
        <f t="shared" si="69"/>
        <v>483.79061218691726</v>
      </c>
      <c r="H58" s="88">
        <f t="shared" si="69"/>
        <v>452.99410986190884</v>
      </c>
      <c r="I58" s="88">
        <f t="shared" si="69"/>
        <v>462.91658520178515</v>
      </c>
      <c r="J58" s="88">
        <f t="shared" si="69"/>
        <v>472.59978575366029</v>
      </c>
      <c r="K58" s="88">
        <f t="shared" ref="K58:V58" si="70">IF(K12=0,0,K12/K23)</f>
        <v>487.64320759929575</v>
      </c>
      <c r="L58" s="88">
        <f t="shared" si="70"/>
        <v>534.29802816737924</v>
      </c>
      <c r="M58" s="88">
        <f t="shared" si="70"/>
        <v>572.75223856126058</v>
      </c>
      <c r="N58" s="88">
        <f t="shared" si="70"/>
        <v>1091.5314471168758</v>
      </c>
      <c r="O58" s="88">
        <f t="shared" si="70"/>
        <v>1012.5035029095984</v>
      </c>
      <c r="P58" s="88">
        <f t="shared" si="70"/>
        <v>1026.3673761397224</v>
      </c>
      <c r="Q58" s="88">
        <f t="shared" si="70"/>
        <v>1006.5730419686593</v>
      </c>
      <c r="R58" s="88">
        <f t="shared" si="70"/>
        <v>1183.3624086768764</v>
      </c>
      <c r="S58" s="88">
        <f t="shared" si="70"/>
        <v>821.13274787427531</v>
      </c>
      <c r="T58" s="88">
        <f t="shared" si="70"/>
        <v>606.74038181623189</v>
      </c>
      <c r="U58" s="88">
        <f t="shared" si="70"/>
        <v>732.10572924396672</v>
      </c>
      <c r="V58" s="88">
        <f t="shared" si="70"/>
        <v>676.0656777501531</v>
      </c>
      <c r="W58" s="88">
        <f t="shared" ref="W58:Y58" si="71">IF(W12=0,0,W12/W23)</f>
        <v>573.07177037735221</v>
      </c>
      <c r="X58" s="88">
        <f t="shared" si="71"/>
        <v>1045.7664797129285</v>
      </c>
      <c r="Y58" s="88">
        <f t="shared" si="71"/>
        <v>1306.7764855697969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338.57869549275335</v>
      </c>
      <c r="C61" s="29">
        <f t="shared" ref="C61" si="73">IF(C26=0,0,(C62*C27+C64*C29+C65*C30+C66*C31)/(C27+C29+C30+C31))</f>
        <v>337.93835539822987</v>
      </c>
      <c r="D61" s="29">
        <f t="shared" ref="D61" si="74">IF(D26=0,0,(D62*D27+D64*D29+D65*D30+D66*D31)/(D27+D29+D30+D31))</f>
        <v>338.20111866919575</v>
      </c>
      <c r="E61" s="29">
        <f t="shared" ref="E61" si="75">IF(E26=0,0,(E62*E27+E64*E29+E65*E30+E66*E31)/(E27+E29+E30+E31))</f>
        <v>337.50426232711447</v>
      </c>
      <c r="F61" s="29">
        <f t="shared" ref="F61" si="76">IF(F26=0,0,(F62*F27+F64*F29+F65*F30+F66*F31)/(F27+F29+F30+F31))</f>
        <v>336.42135917685778</v>
      </c>
      <c r="G61" s="29">
        <f t="shared" ref="G61" si="77">IF(G26=0,0,(G62*G27+G64*G29+G65*G30+G66*G31)/(G27+G29+G30+G31))</f>
        <v>337.35916540531298</v>
      </c>
      <c r="H61" s="29">
        <f t="shared" ref="H61" si="78">IF(H26=0,0,(H62*H27+H64*H29+H65*H30+H66*H31)/(H27+H29+H30+H31))</f>
        <v>336.88431748662902</v>
      </c>
      <c r="I61" s="29">
        <f t="shared" ref="I61" si="79">IF(I26=0,0,(I62*I27+I64*I29+I65*I30+I66*I31)/(I27+I29+I30+I31))</f>
        <v>336.96027006163348</v>
      </c>
      <c r="J61" s="29">
        <f t="shared" ref="J61" si="80">IF(J26=0,0,(J62*J27+J64*J29+J65*J30+J66*J31)/(J27+J29+J30+J31))</f>
        <v>336.22367835682439</v>
      </c>
      <c r="K61" s="29">
        <f t="shared" ref="K61" si="81">IF(K26=0,0,(K62*K27+K64*K29+K65*K30+K66*K31)/(K27+K29+K30+K31))</f>
        <v>336.18817343812458</v>
      </c>
      <c r="L61" s="29">
        <f t="shared" ref="L61" si="82">IF(L26=0,0,(L62*L27+L64*L29+L65*L30+L66*L31)/(L27+L29+L30+L31))</f>
        <v>336.50916136368494</v>
      </c>
      <c r="M61" s="29">
        <f t="shared" ref="M61" si="83">IF(M26=0,0,(M62*M27+M64*M29+M65*M30+M66*M31)/(M27+M29+M30+M31))</f>
        <v>337.21163798162797</v>
      </c>
      <c r="N61" s="29">
        <f t="shared" ref="N61" si="84">IF(N26=0,0,(N62*N27+N64*N29+N65*N30+N66*N31)/(N27+N29+N30+N31))</f>
        <v>338.42841481243818</v>
      </c>
      <c r="O61" s="29">
        <f t="shared" ref="O61" si="85">IF(O26=0,0,(O62*O27+O64*O29+O65*O30+O66*O31)/(O27+O29+O30+O31))</f>
        <v>337.90496046190583</v>
      </c>
      <c r="P61" s="29">
        <f t="shared" ref="P61" si="86">IF(P26=0,0,(P62*P27+P64*P29+P65*P30+P66*P31)/(P27+P29+P30+P31))</f>
        <v>338.40479713990487</v>
      </c>
      <c r="Q61" s="29">
        <f t="shared" ref="Q61" si="87">IF(Q26=0,0,(Q62*Q27+Q64*Q29+Q65*Q30+Q66*Q31)/(Q27+Q29+Q30+Q31))</f>
        <v>338.88610560870518</v>
      </c>
      <c r="R61" s="29">
        <f t="shared" ref="R61" si="88">IF(R26=0,0,(R62*R27+R64*R29+R65*R30+R66*R31)/(R27+R29+R30+R31))</f>
        <v>339.56351887705421</v>
      </c>
      <c r="S61" s="29">
        <f t="shared" ref="S61" si="89">IF(S26=0,0,(S62*S27+S64*S29+S65*S30+S66*S31)/(S27+S29+S30+S31))</f>
        <v>340.48461797462267</v>
      </c>
      <c r="T61" s="29">
        <f t="shared" ref="T61" si="90">IF(T26=0,0,(T62*T27+T64*T29+T65*T30+T66*T31)/(T27+T29+T30+T31))</f>
        <v>341.38294285976627</v>
      </c>
      <c r="U61" s="29">
        <f t="shared" ref="U61" si="91">IF(U26=0,0,(U62*U27+U64*U29+U65*U30+U66*U31)/(U27+U29+U30+U31))</f>
        <v>341.88862982196969</v>
      </c>
      <c r="V61" s="29">
        <f t="shared" ref="V61" si="92">IF(V26=0,0,(V62*V27+V64*V29+V65*V30+V66*V31)/(V27+V29+V30+V31))</f>
        <v>342.19325676079109</v>
      </c>
      <c r="W61" s="29">
        <f t="shared" ref="W61:Y61" si="93">IF(W26=0,0,(W62*W27+W64*W29+W65*W30+W66*W31)/(W27+W29+W30+W31))</f>
        <v>341.8359801616914</v>
      </c>
      <c r="X61" s="29">
        <f t="shared" si="93"/>
        <v>338.22466470862884</v>
      </c>
      <c r="Y61" s="29">
        <f t="shared" si="93"/>
        <v>338.82315548948316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319.99999999999994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2100.0000000000005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2100.0000000000005</v>
      </c>
      <c r="Y67" s="29">
        <f t="shared" si="137"/>
        <v>2100.0000000000005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0.32564506987958625</v>
      </c>
      <c r="C72" s="30">
        <f t="shared" ref="C72:J72" si="138">IF(C50=0,0,C50/C61)</f>
        <v>0.32584126469607072</v>
      </c>
      <c r="D72" s="30">
        <f t="shared" si="138"/>
        <v>0.33475940982257124</v>
      </c>
      <c r="E72" s="30">
        <f t="shared" si="138"/>
        <v>0.32179090173907066</v>
      </c>
      <c r="F72" s="30">
        <f t="shared" si="138"/>
        <v>0.33356310953756113</v>
      </c>
      <c r="G72" s="30">
        <f t="shared" si="138"/>
        <v>0.31490743632640839</v>
      </c>
      <c r="H72" s="30">
        <f t="shared" si="138"/>
        <v>0.31877635937770987</v>
      </c>
      <c r="I72" s="30">
        <f t="shared" si="138"/>
        <v>0.33099699069731425</v>
      </c>
      <c r="J72" s="30">
        <f t="shared" si="138"/>
        <v>0.33302313221105256</v>
      </c>
      <c r="K72" s="30">
        <f t="shared" ref="K72:V72" si="139">IF(K50=0,0,K50/K61)</f>
        <v>0.33663144252453936</v>
      </c>
      <c r="L72" s="30">
        <f t="shared" si="139"/>
        <v>0.33721147720676448</v>
      </c>
      <c r="M72" s="30">
        <f t="shared" si="139"/>
        <v>0.34807775397065477</v>
      </c>
      <c r="N72" s="30">
        <f t="shared" si="139"/>
        <v>0.36134670899994475</v>
      </c>
      <c r="O72" s="30">
        <f t="shared" si="139"/>
        <v>0.35088978533076459</v>
      </c>
      <c r="P72" s="30">
        <f t="shared" si="139"/>
        <v>0.36714744331425381</v>
      </c>
      <c r="Q72" s="30">
        <f t="shared" si="139"/>
        <v>0.34073896636721196</v>
      </c>
      <c r="R72" s="30">
        <f t="shared" si="139"/>
        <v>0.3203148836192859</v>
      </c>
      <c r="S72" s="30">
        <f t="shared" si="139"/>
        <v>0.32053014086482268</v>
      </c>
      <c r="T72" s="30">
        <f t="shared" si="139"/>
        <v>0.37236828760962476</v>
      </c>
      <c r="U72" s="30">
        <f t="shared" si="139"/>
        <v>0.3770429030383452</v>
      </c>
      <c r="V72" s="30">
        <f t="shared" si="139"/>
        <v>0.29677492123196836</v>
      </c>
      <c r="W72" s="30">
        <f t="shared" ref="W72:Y72" si="140">IF(W50=0,0,W50/W61)</f>
        <v>0.28902904391136636</v>
      </c>
      <c r="X72" s="30">
        <f t="shared" si="140"/>
        <v>0.34939441039055502</v>
      </c>
      <c r="Y72" s="30">
        <f t="shared" si="140"/>
        <v>0.36258140664496963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0.18962629851855312</v>
      </c>
      <c r="C73" s="118">
        <f t="shared" si="141"/>
        <v>0.19202428792564749</v>
      </c>
      <c r="D73" s="118">
        <f t="shared" si="141"/>
        <v>0.19294171769675406</v>
      </c>
      <c r="E73" s="118">
        <f t="shared" si="141"/>
        <v>0.19274994686780697</v>
      </c>
      <c r="F73" s="118">
        <f t="shared" si="141"/>
        <v>0.19750487935834429</v>
      </c>
      <c r="G73" s="118">
        <f t="shared" si="141"/>
        <v>0.19397897718815071</v>
      </c>
      <c r="H73" s="118">
        <f t="shared" si="141"/>
        <v>0.19600574400477128</v>
      </c>
      <c r="I73" s="118">
        <f t="shared" si="141"/>
        <v>0.19754100250590412</v>
      </c>
      <c r="J73" s="118">
        <f t="shared" si="141"/>
        <v>0.2012695502185759</v>
      </c>
      <c r="K73" s="118">
        <f t="shared" ref="K73:V73" si="142">IF(K51=0,0,K51/K62)</f>
        <v>0.20105117807595338</v>
      </c>
      <c r="L73" s="118">
        <f t="shared" si="142"/>
        <v>0.20143438863977367</v>
      </c>
      <c r="M73" s="118">
        <f t="shared" si="142"/>
        <v>0.20224970715799095</v>
      </c>
      <c r="N73" s="118">
        <f t="shared" si="142"/>
        <v>0.20216863693077683</v>
      </c>
      <c r="O73" s="118">
        <f t="shared" si="142"/>
        <v>0.20215639483077247</v>
      </c>
      <c r="P73" s="118">
        <f t="shared" si="142"/>
        <v>0.20214476431808698</v>
      </c>
      <c r="Q73" s="118">
        <f t="shared" si="142"/>
        <v>0.20389219309132084</v>
      </c>
      <c r="R73" s="118">
        <f t="shared" si="142"/>
        <v>0.20599724575992082</v>
      </c>
      <c r="S73" s="118">
        <f t="shared" si="142"/>
        <v>0.20607490030126885</v>
      </c>
      <c r="T73" s="118">
        <f t="shared" si="142"/>
        <v>0.20497744086779826</v>
      </c>
      <c r="U73" s="118">
        <f t="shared" si="142"/>
        <v>0.20484516103564934</v>
      </c>
      <c r="V73" s="118">
        <f t="shared" si="142"/>
        <v>0.2039936507456109</v>
      </c>
      <c r="W73" s="118">
        <f t="shared" ref="W73:Y73" si="143">IF(W51=0,0,W51/W62)</f>
        <v>0.21500896465397168</v>
      </c>
      <c r="X73" s="118">
        <f t="shared" si="143"/>
        <v>0.20408062633953925</v>
      </c>
      <c r="Y73" s="118">
        <f t="shared" si="143"/>
        <v>0.20408062633953927</v>
      </c>
      <c r="DA73" s="203"/>
    </row>
    <row r="74" spans="1:105" ht="11.45" customHeight="1" x14ac:dyDescent="0.25">
      <c r="A74" s="109" t="s">
        <v>24</v>
      </c>
      <c r="B74" s="119">
        <f t="shared" si="141"/>
        <v>0.33762428984342324</v>
      </c>
      <c r="C74" s="119">
        <f t="shared" si="141"/>
        <v>0.3360669651798428</v>
      </c>
      <c r="D74" s="119">
        <f t="shared" si="141"/>
        <v>0.34728450162213892</v>
      </c>
      <c r="E74" s="119">
        <f t="shared" si="141"/>
        <v>0.33128252711566303</v>
      </c>
      <c r="F74" s="119">
        <f t="shared" si="141"/>
        <v>0.34269591889632267</v>
      </c>
      <c r="G74" s="119">
        <f t="shared" si="141"/>
        <v>0.32015439795573858</v>
      </c>
      <c r="H74" s="119">
        <f t="shared" si="141"/>
        <v>0.3241010353227517</v>
      </c>
      <c r="I74" s="119">
        <f t="shared" si="141"/>
        <v>0.33902210538050542</v>
      </c>
      <c r="J74" s="119">
        <f t="shared" si="141"/>
        <v>0.33946776397920392</v>
      </c>
      <c r="K74" s="119">
        <f t="shared" ref="K74:V74" si="144">IF(K52=0,0,K52/K63)</f>
        <v>0.34428705581338748</v>
      </c>
      <c r="L74" s="119">
        <f t="shared" si="144"/>
        <v>0.34635107666542903</v>
      </c>
      <c r="M74" s="119">
        <f t="shared" si="144"/>
        <v>0.36522484837733166</v>
      </c>
      <c r="N74" s="119">
        <f t="shared" si="144"/>
        <v>0.38548922955968679</v>
      </c>
      <c r="O74" s="119">
        <f t="shared" si="144"/>
        <v>0.37159038156845681</v>
      </c>
      <c r="P74" s="119">
        <f t="shared" si="144"/>
        <v>0.3930963295102719</v>
      </c>
      <c r="Q74" s="119">
        <f t="shared" si="144"/>
        <v>0.35238692085839385</v>
      </c>
      <c r="R74" s="119">
        <f t="shared" si="144"/>
        <v>0.31916986238126588</v>
      </c>
      <c r="S74" s="119">
        <f t="shared" si="144"/>
        <v>0.32113042829916766</v>
      </c>
      <c r="T74" s="119">
        <f t="shared" si="144"/>
        <v>0.39255808833328154</v>
      </c>
      <c r="U74" s="119">
        <f t="shared" si="144"/>
        <v>0.4007739615292758</v>
      </c>
      <c r="V74" s="119">
        <f t="shared" si="144"/>
        <v>0.30562601236339837</v>
      </c>
      <c r="W74" s="119">
        <f t="shared" ref="W74:Y74" si="145">IF(W52=0,0,W52/W63)</f>
        <v>0.27922988679690114</v>
      </c>
      <c r="X74" s="119">
        <f t="shared" si="145"/>
        <v>0.35798002113338917</v>
      </c>
      <c r="Y74" s="119">
        <f t="shared" si="145"/>
        <v>0.37424525602105141</v>
      </c>
      <c r="DA74" s="176"/>
    </row>
    <row r="75" spans="1:105" ht="11.45" customHeight="1" x14ac:dyDescent="0.25">
      <c r="A75" s="111" t="s">
        <v>92</v>
      </c>
      <c r="B75" s="120">
        <f t="shared" si="141"/>
        <v>0.34643930815971957</v>
      </c>
      <c r="C75" s="120">
        <f t="shared" si="141"/>
        <v>0.35746777209903574</v>
      </c>
      <c r="D75" s="120">
        <f t="shared" si="141"/>
        <v>0.32516051442166088</v>
      </c>
      <c r="E75" s="120">
        <f t="shared" si="141"/>
        <v>0.32183443571736137</v>
      </c>
      <c r="F75" s="120">
        <f t="shared" si="141"/>
        <v>0.31306061710722333</v>
      </c>
      <c r="G75" s="120">
        <f t="shared" si="141"/>
        <v>0.28300904908094526</v>
      </c>
      <c r="H75" s="120">
        <f t="shared" si="141"/>
        <v>0.22939912131366896</v>
      </c>
      <c r="I75" s="120">
        <f t="shared" si="141"/>
        <v>0.23452571241514467</v>
      </c>
      <c r="J75" s="120">
        <f t="shared" si="141"/>
        <v>0.26490607843533953</v>
      </c>
      <c r="K75" s="120">
        <f t="shared" ref="K75:V75" si="146">IF(K53=0,0,K53/K64)</f>
        <v>0.26456035786542803</v>
      </c>
      <c r="L75" s="120">
        <f t="shared" si="146"/>
        <v>0.27125800233532954</v>
      </c>
      <c r="M75" s="120">
        <f t="shared" si="146"/>
        <v>0.28954852431480133</v>
      </c>
      <c r="N75" s="120">
        <f t="shared" si="146"/>
        <v>0.30805445993863012</v>
      </c>
      <c r="O75" s="120">
        <f t="shared" si="146"/>
        <v>0.31171115024968915</v>
      </c>
      <c r="P75" s="120">
        <f t="shared" si="146"/>
        <v>0.3266318725919089</v>
      </c>
      <c r="Q75" s="120">
        <f t="shared" si="146"/>
        <v>0.21187349859562937</v>
      </c>
      <c r="R75" s="120">
        <f t="shared" si="146"/>
        <v>0.18602230935553751</v>
      </c>
      <c r="S75" s="120">
        <f t="shared" si="146"/>
        <v>0.18447454626402537</v>
      </c>
      <c r="T75" s="120">
        <f t="shared" si="146"/>
        <v>0.24691238728414949</v>
      </c>
      <c r="U75" s="120">
        <f t="shared" si="146"/>
        <v>0.25905741707337293</v>
      </c>
      <c r="V75" s="120">
        <f t="shared" si="146"/>
        <v>0.242237073332839</v>
      </c>
      <c r="W75" s="120">
        <f t="shared" ref="W75:Y75" si="147">IF(W53=0,0,W53/W64)</f>
        <v>0.21702316085079348</v>
      </c>
      <c r="X75" s="120">
        <f t="shared" si="147"/>
        <v>0.33246291405108758</v>
      </c>
      <c r="Y75" s="120">
        <f t="shared" si="147"/>
        <v>0.33669864391111598</v>
      </c>
      <c r="DA75" s="171"/>
    </row>
    <row r="76" spans="1:105" ht="11.45" customHeight="1" x14ac:dyDescent="0.25">
      <c r="A76" s="111" t="s">
        <v>93</v>
      </c>
      <c r="B76" s="120">
        <f t="shared" si="141"/>
        <v>0.33694812802996044</v>
      </c>
      <c r="C76" s="120">
        <f t="shared" si="141"/>
        <v>0.33453739622536727</v>
      </c>
      <c r="D76" s="120">
        <f t="shared" si="141"/>
        <v>0.34899469812510386</v>
      </c>
      <c r="E76" s="120">
        <f t="shared" si="141"/>
        <v>0.3320312935084262</v>
      </c>
      <c r="F76" s="120">
        <f t="shared" si="141"/>
        <v>0.34474383959267163</v>
      </c>
      <c r="G76" s="120">
        <f t="shared" si="141"/>
        <v>0.32281421738404703</v>
      </c>
      <c r="H76" s="120">
        <f t="shared" si="141"/>
        <v>0.33273341225649344</v>
      </c>
      <c r="I76" s="120">
        <f t="shared" si="141"/>
        <v>0.34899055750364405</v>
      </c>
      <c r="J76" s="120">
        <f t="shared" si="141"/>
        <v>0.34620079731240627</v>
      </c>
      <c r="K76" s="120">
        <f t="shared" ref="K76:V76" si="148">IF(K54=0,0,K54/K65)</f>
        <v>0.3511486664706559</v>
      </c>
      <c r="L76" s="120">
        <f t="shared" si="148"/>
        <v>0.35182073443484807</v>
      </c>
      <c r="M76" s="120">
        <f t="shared" si="148"/>
        <v>0.37081967639963626</v>
      </c>
      <c r="N76" s="120">
        <f t="shared" si="148"/>
        <v>0.39224780505800833</v>
      </c>
      <c r="O76" s="120">
        <f t="shared" si="148"/>
        <v>0.37543650427643971</v>
      </c>
      <c r="P76" s="120">
        <f t="shared" si="148"/>
        <v>0.39674500394995277</v>
      </c>
      <c r="Q76" s="120">
        <f t="shared" si="148"/>
        <v>0.36339318903020584</v>
      </c>
      <c r="R76" s="120">
        <f t="shared" si="148"/>
        <v>0.33040010341737952</v>
      </c>
      <c r="S76" s="120">
        <f t="shared" si="148"/>
        <v>0.33380902270244739</v>
      </c>
      <c r="T76" s="120">
        <f t="shared" si="148"/>
        <v>0.4035051987229113</v>
      </c>
      <c r="U76" s="120">
        <f t="shared" si="148"/>
        <v>0.41109040443485456</v>
      </c>
      <c r="V76" s="120">
        <f t="shared" si="148"/>
        <v>0.30950215339689413</v>
      </c>
      <c r="W76" s="120">
        <f t="shared" ref="W76:Y76" si="149">IF(W54=0,0,W54/W65)</f>
        <v>0.28287302372303846</v>
      </c>
      <c r="X76" s="120">
        <f t="shared" si="149"/>
        <v>0.35918861998182461</v>
      </c>
      <c r="Y76" s="120">
        <f t="shared" si="149"/>
        <v>0.37610628721723838</v>
      </c>
      <c r="DA76" s="171"/>
    </row>
    <row r="77" spans="1:105" ht="11.45" customHeight="1" x14ac:dyDescent="0.25">
      <c r="A77" s="112" t="s">
        <v>25</v>
      </c>
      <c r="B77" s="121">
        <f t="shared" si="141"/>
        <v>0.51697270889487867</v>
      </c>
      <c r="C77" s="121">
        <f t="shared" si="141"/>
        <v>0.51697270889487879</v>
      </c>
      <c r="D77" s="121">
        <f t="shared" si="141"/>
        <v>0.51697270889487879</v>
      </c>
      <c r="E77" s="121">
        <f t="shared" si="141"/>
        <v>0.51697270889487867</v>
      </c>
      <c r="F77" s="121">
        <f t="shared" si="141"/>
        <v>0.51697270889487879</v>
      </c>
      <c r="G77" s="121">
        <f t="shared" si="141"/>
        <v>0.51697270889487879</v>
      </c>
      <c r="H77" s="121">
        <f t="shared" si="141"/>
        <v>0.52355431453792112</v>
      </c>
      <c r="I77" s="121">
        <f t="shared" si="141"/>
        <v>0.52879192638765204</v>
      </c>
      <c r="J77" s="121">
        <f t="shared" si="141"/>
        <v>0.52673201593376551</v>
      </c>
      <c r="K77" s="121">
        <f t="shared" ref="K77:V77" si="150">IF(K55=0,0,K55/K66)</f>
        <v>0.53085025171247002</v>
      </c>
      <c r="L77" s="121">
        <f t="shared" si="150"/>
        <v>0.53870993947763923</v>
      </c>
      <c r="M77" s="121">
        <f t="shared" si="150"/>
        <v>0.53869047619047628</v>
      </c>
      <c r="N77" s="121">
        <f t="shared" si="150"/>
        <v>0.53869047619047628</v>
      </c>
      <c r="O77" s="121">
        <f t="shared" si="150"/>
        <v>0.53869047619047628</v>
      </c>
      <c r="P77" s="121">
        <f t="shared" si="150"/>
        <v>0.53861451773284719</v>
      </c>
      <c r="Q77" s="121">
        <f t="shared" si="150"/>
        <v>0.53867700926524453</v>
      </c>
      <c r="R77" s="121">
        <f t="shared" si="150"/>
        <v>0.53873118032410072</v>
      </c>
      <c r="S77" s="121">
        <f t="shared" si="150"/>
        <v>0.53874559082892415</v>
      </c>
      <c r="T77" s="121">
        <f t="shared" si="150"/>
        <v>0.53999224734683382</v>
      </c>
      <c r="U77" s="121">
        <f t="shared" si="150"/>
        <v>0.54013736065235363</v>
      </c>
      <c r="V77" s="121">
        <f t="shared" si="150"/>
        <v>0.36058622714237393</v>
      </c>
      <c r="W77" s="121">
        <f t="shared" ref="W77:Y77" si="151">IF(W55=0,0,W55/W66)</f>
        <v>0.45850787151826738</v>
      </c>
      <c r="X77" s="121">
        <f t="shared" si="151"/>
        <v>0.49799242432624158</v>
      </c>
      <c r="Y77" s="121">
        <f t="shared" si="151"/>
        <v>0.53711427287872404</v>
      </c>
      <c r="DA77" s="204"/>
    </row>
    <row r="78" spans="1:105" ht="11.45" customHeight="1" x14ac:dyDescent="0.25">
      <c r="A78" s="27" t="s">
        <v>34</v>
      </c>
      <c r="B78" s="30">
        <f t="shared" si="141"/>
        <v>0.25745735690762334</v>
      </c>
      <c r="C78" s="30">
        <f t="shared" si="141"/>
        <v>0.26013055522005646</v>
      </c>
      <c r="D78" s="30">
        <f t="shared" si="141"/>
        <v>0.2703005357994257</v>
      </c>
      <c r="E78" s="30">
        <f t="shared" si="141"/>
        <v>0.28326806960839424</v>
      </c>
      <c r="F78" s="30">
        <f t="shared" si="141"/>
        <v>0.24883210149423612</v>
      </c>
      <c r="G78" s="30">
        <f t="shared" si="141"/>
        <v>0.23662121587015228</v>
      </c>
      <c r="H78" s="30">
        <f t="shared" si="141"/>
        <v>0.21922524322494977</v>
      </c>
      <c r="I78" s="30">
        <f t="shared" si="141"/>
        <v>0.22409256857774457</v>
      </c>
      <c r="J78" s="30">
        <f t="shared" si="141"/>
        <v>0.22964260008746878</v>
      </c>
      <c r="K78" s="30">
        <f t="shared" ref="K78:V78" si="152">IF(K56=0,0,K56/K67)</f>
        <v>0.23683285091398604</v>
      </c>
      <c r="L78" s="30">
        <f t="shared" si="152"/>
        <v>0.26022003125318249</v>
      </c>
      <c r="M78" s="30">
        <f t="shared" si="152"/>
        <v>0.2796295498593584</v>
      </c>
      <c r="N78" s="30">
        <f t="shared" si="152"/>
        <v>0.5314616847921767</v>
      </c>
      <c r="O78" s="30">
        <f t="shared" si="152"/>
        <v>0.49030322784661023</v>
      </c>
      <c r="P78" s="30">
        <f t="shared" si="152"/>
        <v>0.49522937435085407</v>
      </c>
      <c r="Q78" s="30">
        <f t="shared" si="152"/>
        <v>0.48869608050416791</v>
      </c>
      <c r="R78" s="30">
        <f t="shared" si="152"/>
        <v>0.57722005753548744</v>
      </c>
      <c r="S78" s="30">
        <f t="shared" si="152"/>
        <v>0.40072994612259627</v>
      </c>
      <c r="T78" s="30">
        <f t="shared" si="152"/>
        <v>0.29189745218283875</v>
      </c>
      <c r="U78" s="30">
        <f t="shared" si="152"/>
        <v>0.35115992686698239</v>
      </c>
      <c r="V78" s="30">
        <f t="shared" si="152"/>
        <v>0.32308190421493138</v>
      </c>
      <c r="W78" s="30">
        <f t="shared" ref="W78:Y78" si="153">IF(W56=0,0,W56/W67)</f>
        <v>0.27383490261552024</v>
      </c>
      <c r="X78" s="30">
        <f t="shared" si="153"/>
        <v>0.49580213919151817</v>
      </c>
      <c r="Y78" s="30">
        <f t="shared" si="153"/>
        <v>0.61178163908518135</v>
      </c>
      <c r="DA78" s="173"/>
    </row>
    <row r="79" spans="1:105" ht="11.45" customHeight="1" x14ac:dyDescent="0.25">
      <c r="A79" s="83" t="s">
        <v>92</v>
      </c>
      <c r="B79" s="120">
        <f t="shared" si="141"/>
        <v>0.27290198550673755</v>
      </c>
      <c r="C79" s="120">
        <f t="shared" si="141"/>
        <v>0.27815490837538942</v>
      </c>
      <c r="D79" s="120">
        <f t="shared" si="141"/>
        <v>0.29300190138294058</v>
      </c>
      <c r="E79" s="120">
        <f t="shared" si="141"/>
        <v>0.31123386687705673</v>
      </c>
      <c r="F79" s="120">
        <f t="shared" si="141"/>
        <v>0.27210897166921516</v>
      </c>
      <c r="G79" s="120">
        <f t="shared" si="141"/>
        <v>0.257491865335093</v>
      </c>
      <c r="H79" s="120">
        <f t="shared" si="141"/>
        <v>0.23099041742473561</v>
      </c>
      <c r="I79" s="120">
        <f t="shared" si="141"/>
        <v>0.23578290331748078</v>
      </c>
      <c r="J79" s="120">
        <f t="shared" si="141"/>
        <v>0.24649178953198533</v>
      </c>
      <c r="K79" s="120">
        <f t="shared" ref="K79:V79" si="154">IF(K57=0,0,K57/K68)</f>
        <v>0.25845664147772901</v>
      </c>
      <c r="L79" s="120">
        <f t="shared" si="154"/>
        <v>0.29262486011059463</v>
      </c>
      <c r="M79" s="120">
        <f t="shared" si="154"/>
        <v>0.31826633302556145</v>
      </c>
      <c r="N79" s="120">
        <f t="shared" si="154"/>
        <v>0.5841751953664982</v>
      </c>
      <c r="O79" s="120">
        <f t="shared" si="154"/>
        <v>0.53883524273974304</v>
      </c>
      <c r="P79" s="120">
        <f t="shared" si="154"/>
        <v>0.54078668619852377</v>
      </c>
      <c r="Q79" s="120">
        <f t="shared" si="154"/>
        <v>0.55790551933448462</v>
      </c>
      <c r="R79" s="120">
        <f t="shared" si="154"/>
        <v>0.67896250359464216</v>
      </c>
      <c r="S79" s="120">
        <f t="shared" si="154"/>
        <v>0.46738831332352249</v>
      </c>
      <c r="T79" s="120">
        <f t="shared" si="154"/>
        <v>0.31055721445265805</v>
      </c>
      <c r="U79" s="120">
        <f t="shared" si="154"/>
        <v>0.36671379913488295</v>
      </c>
      <c r="V79" s="120">
        <f t="shared" si="154"/>
        <v>0.32994519516355114</v>
      </c>
      <c r="W79" s="120">
        <f t="shared" ref="W79:Y79" si="155">IF(W57=0,0,W57/W68)</f>
        <v>0.27954350910968745</v>
      </c>
      <c r="X79" s="120">
        <f t="shared" si="155"/>
        <v>0.49035493524610374</v>
      </c>
      <c r="Y79" s="120">
        <f t="shared" si="155"/>
        <v>0.58621432285056374</v>
      </c>
      <c r="DA79" s="171"/>
    </row>
    <row r="80" spans="1:105" ht="11.45" customHeight="1" x14ac:dyDescent="0.25">
      <c r="A80" s="85" t="s">
        <v>93</v>
      </c>
      <c r="B80" s="122">
        <f t="shared" si="141"/>
        <v>0.24739855139774872</v>
      </c>
      <c r="C80" s="122">
        <f t="shared" si="141"/>
        <v>0.24975249630725471</v>
      </c>
      <c r="D80" s="122">
        <f t="shared" si="141"/>
        <v>0.2603381284246673</v>
      </c>
      <c r="E80" s="122">
        <f t="shared" si="141"/>
        <v>0.27221031712199345</v>
      </c>
      <c r="F80" s="122">
        <f t="shared" si="141"/>
        <v>0.24161519559155634</v>
      </c>
      <c r="G80" s="122">
        <f t="shared" si="141"/>
        <v>0.23037648199377012</v>
      </c>
      <c r="H80" s="122">
        <f t="shared" si="141"/>
        <v>0.21571148088662326</v>
      </c>
      <c r="I80" s="122">
        <f t="shared" si="141"/>
        <v>0.22043646914370721</v>
      </c>
      <c r="J80" s="122">
        <f t="shared" si="141"/>
        <v>0.22504751702555251</v>
      </c>
      <c r="K80" s="122">
        <f t="shared" ref="K80:V80" si="156">IF(K58=0,0,K58/K69)</f>
        <v>0.23221105123775987</v>
      </c>
      <c r="L80" s="122">
        <f t="shared" si="156"/>
        <v>0.25442763246065681</v>
      </c>
      <c r="M80" s="122">
        <f t="shared" si="156"/>
        <v>0.27273916121964792</v>
      </c>
      <c r="N80" s="122">
        <f t="shared" si="156"/>
        <v>0.51977687957946472</v>
      </c>
      <c r="O80" s="122">
        <f t="shared" si="156"/>
        <v>0.48214452519504686</v>
      </c>
      <c r="P80" s="122">
        <f t="shared" si="156"/>
        <v>0.48874636959034401</v>
      </c>
      <c r="Q80" s="122">
        <f t="shared" si="156"/>
        <v>0.479320496175552</v>
      </c>
      <c r="R80" s="122">
        <f t="shared" si="156"/>
        <v>0.56350590889375063</v>
      </c>
      <c r="S80" s="122">
        <f t="shared" si="156"/>
        <v>0.39101559422584536</v>
      </c>
      <c r="T80" s="122">
        <f t="shared" si="156"/>
        <v>0.28892399134106278</v>
      </c>
      <c r="U80" s="122">
        <f t="shared" si="156"/>
        <v>0.34862177583046033</v>
      </c>
      <c r="V80" s="122">
        <f t="shared" si="156"/>
        <v>0.3219360370238824</v>
      </c>
      <c r="W80" s="122">
        <f t="shared" ref="W80:Y80" si="157">IF(W58=0,0,W58/W69)</f>
        <v>0.27289131922731058</v>
      </c>
      <c r="X80" s="122">
        <f t="shared" si="157"/>
        <v>0.49798403795853735</v>
      </c>
      <c r="Y80" s="122">
        <f t="shared" si="157"/>
        <v>0.62227451693799851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152260.82027667508</v>
      </c>
      <c r="C82" s="54">
        <f t="shared" si="158"/>
        <v>151474.3082119461</v>
      </c>
      <c r="D82" s="54">
        <f t="shared" si="158"/>
        <v>151121.69633702459</v>
      </c>
      <c r="E82" s="54">
        <f t="shared" si="158"/>
        <v>150793.40744348147</v>
      </c>
      <c r="F82" s="54">
        <f t="shared" si="158"/>
        <v>152402.19978275071</v>
      </c>
      <c r="G82" s="54">
        <f t="shared" si="158"/>
        <v>152896.31670702333</v>
      </c>
      <c r="H82" s="54">
        <f t="shared" si="158"/>
        <v>153490.19404750876</v>
      </c>
      <c r="I82" s="54">
        <f t="shared" si="158"/>
        <v>153747.04833689303</v>
      </c>
      <c r="J82" s="54">
        <f t="shared" si="158"/>
        <v>153153.23999901488</v>
      </c>
      <c r="K82" s="54">
        <f t="shared" ref="K82:V82" si="159">IF(K14=0,0,K14/K25*1000000)</f>
        <v>147028.7498382511</v>
      </c>
      <c r="L82" s="54">
        <f t="shared" si="159"/>
        <v>148657.0495134457</v>
      </c>
      <c r="M82" s="54">
        <f t="shared" si="159"/>
        <v>148631.94431152713</v>
      </c>
      <c r="N82" s="54">
        <f t="shared" si="159"/>
        <v>149272.27294076839</v>
      </c>
      <c r="O82" s="54">
        <f t="shared" si="159"/>
        <v>148441.35230574539</v>
      </c>
      <c r="P82" s="54">
        <f t="shared" si="159"/>
        <v>147898.27633745407</v>
      </c>
      <c r="Q82" s="54">
        <f t="shared" si="159"/>
        <v>150639.62161478095</v>
      </c>
      <c r="R82" s="54">
        <f t="shared" si="159"/>
        <v>151791.68113217069</v>
      </c>
      <c r="S82" s="54">
        <f t="shared" si="159"/>
        <v>151503.17546624286</v>
      </c>
      <c r="T82" s="54">
        <f t="shared" si="159"/>
        <v>151006.14080560455</v>
      </c>
      <c r="U82" s="54">
        <f t="shared" si="159"/>
        <v>151282.04856328823</v>
      </c>
      <c r="V82" s="54">
        <f t="shared" si="159"/>
        <v>138463.28369024437</v>
      </c>
      <c r="W82" s="54">
        <f t="shared" ref="W82:Y82" si="160">IF(W14=0,0,W14/W25*1000000)</f>
        <v>145998.82354644933</v>
      </c>
      <c r="X82" s="54">
        <f t="shared" si="160"/>
        <v>139990.74868933987</v>
      </c>
      <c r="Y82" s="54">
        <f t="shared" si="160"/>
        <v>141106.64580247042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145925.38148612951</v>
      </c>
      <c r="C83" s="28">
        <f t="shared" si="161"/>
        <v>146207.15804395551</v>
      </c>
      <c r="D83" s="28">
        <f t="shared" si="161"/>
        <v>146200.72707513534</v>
      </c>
      <c r="E83" s="28">
        <f t="shared" si="161"/>
        <v>146150.11749452862</v>
      </c>
      <c r="F83" s="28">
        <f t="shared" si="161"/>
        <v>146712.12706905449</v>
      </c>
      <c r="G83" s="28">
        <f t="shared" si="161"/>
        <v>146541.45140630973</v>
      </c>
      <c r="H83" s="28">
        <f t="shared" si="161"/>
        <v>146613.51404166161</v>
      </c>
      <c r="I83" s="28">
        <f t="shared" si="161"/>
        <v>146576.65411209941</v>
      </c>
      <c r="J83" s="28">
        <f t="shared" si="161"/>
        <v>146930.70238743868</v>
      </c>
      <c r="K83" s="28">
        <f t="shared" ref="K83:V83" si="162">IF(K15=0,0,K15/K26*1000000)</f>
        <v>146831.97014035835</v>
      </c>
      <c r="L83" s="28">
        <f t="shared" si="162"/>
        <v>145919.69506553517</v>
      </c>
      <c r="M83" s="28">
        <f t="shared" si="162"/>
        <v>145422.81054878095</v>
      </c>
      <c r="N83" s="28">
        <f t="shared" si="162"/>
        <v>144894.38881647435</v>
      </c>
      <c r="O83" s="28">
        <f t="shared" si="162"/>
        <v>143635.65689951048</v>
      </c>
      <c r="P83" s="28">
        <f t="shared" si="162"/>
        <v>142846.95649811192</v>
      </c>
      <c r="Q83" s="28">
        <f t="shared" si="162"/>
        <v>145869.20414227128</v>
      </c>
      <c r="R83" s="28">
        <f t="shared" si="162"/>
        <v>146778.84876133213</v>
      </c>
      <c r="S83" s="28">
        <f t="shared" si="162"/>
        <v>146327.78328443685</v>
      </c>
      <c r="T83" s="28">
        <f t="shared" si="162"/>
        <v>144453.47239983067</v>
      </c>
      <c r="U83" s="28">
        <f t="shared" si="162"/>
        <v>144565.34519313785</v>
      </c>
      <c r="V83" s="28">
        <f t="shared" si="162"/>
        <v>129398.75461766632</v>
      </c>
      <c r="W83" s="28">
        <f t="shared" ref="W83:Y83" si="163">IF(W15=0,0,W15/W26*1000000)</f>
        <v>137259.29622786122</v>
      </c>
      <c r="X83" s="28">
        <f t="shared" si="163"/>
        <v>145779.11513589765</v>
      </c>
      <c r="Y83" s="28">
        <f t="shared" si="163"/>
        <v>146615.60564884971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109999.99911686474</v>
      </c>
      <c r="C84" s="108">
        <f t="shared" si="161"/>
        <v>109999.99928909731</v>
      </c>
      <c r="D84" s="108">
        <f t="shared" si="161"/>
        <v>109999.99939290585</v>
      </c>
      <c r="E84" s="108">
        <f t="shared" si="161"/>
        <v>109999.99961098257</v>
      </c>
      <c r="F84" s="108">
        <f t="shared" si="161"/>
        <v>109999.99966740728</v>
      </c>
      <c r="G84" s="108">
        <f t="shared" si="161"/>
        <v>109999.99970256099</v>
      </c>
      <c r="H84" s="108">
        <f t="shared" si="161"/>
        <v>109999.99924137507</v>
      </c>
      <c r="I84" s="108">
        <f t="shared" si="161"/>
        <v>109999.99978030984</v>
      </c>
      <c r="J84" s="108">
        <f t="shared" si="161"/>
        <v>109999.99927918741</v>
      </c>
      <c r="K84" s="108">
        <f t="shared" ref="K84:V84" si="164">IF(K16=0,0,K16/K27*1000000)</f>
        <v>109999.99911231197</v>
      </c>
      <c r="L84" s="108">
        <f t="shared" si="164"/>
        <v>109999.99973145511</v>
      </c>
      <c r="M84" s="108">
        <f t="shared" si="164"/>
        <v>109999.99923144352</v>
      </c>
      <c r="N84" s="108">
        <f t="shared" si="164"/>
        <v>109999.99975565921</v>
      </c>
      <c r="O84" s="108">
        <f t="shared" si="164"/>
        <v>109999.99962583922</v>
      </c>
      <c r="P84" s="108">
        <f t="shared" si="164"/>
        <v>109999.99923768689</v>
      </c>
      <c r="Q84" s="108">
        <f t="shared" si="164"/>
        <v>109999.999997174</v>
      </c>
      <c r="R84" s="108">
        <f t="shared" si="164"/>
        <v>109999.99935129468</v>
      </c>
      <c r="S84" s="108">
        <f t="shared" si="164"/>
        <v>109999.99965441428</v>
      </c>
      <c r="T84" s="108">
        <f t="shared" si="164"/>
        <v>109999.99936582614</v>
      </c>
      <c r="U84" s="108">
        <f t="shared" si="164"/>
        <v>109999.99937728308</v>
      </c>
      <c r="V84" s="108">
        <f t="shared" si="164"/>
        <v>75816.235997281867</v>
      </c>
      <c r="W84" s="108">
        <f t="shared" ref="W84:Y84" si="165">IF(W16=0,0,W16/W27*1000000)</f>
        <v>77196.504118735145</v>
      </c>
      <c r="X84" s="108">
        <f t="shared" si="165"/>
        <v>108286.76583414554</v>
      </c>
      <c r="Y84" s="108">
        <f t="shared" si="165"/>
        <v>109999.99961646702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149999.9995561961</v>
      </c>
      <c r="C85" s="110">
        <f t="shared" si="161"/>
        <v>149999.99971657357</v>
      </c>
      <c r="D85" s="110">
        <f t="shared" si="161"/>
        <v>149999.99986563105</v>
      </c>
      <c r="E85" s="110">
        <f t="shared" si="161"/>
        <v>149999.99963987517</v>
      </c>
      <c r="F85" s="110">
        <f t="shared" si="161"/>
        <v>149999.99953797989</v>
      </c>
      <c r="G85" s="110">
        <f t="shared" si="161"/>
        <v>149999.99987092183</v>
      </c>
      <c r="H85" s="110">
        <f t="shared" si="161"/>
        <v>149999.99964840003</v>
      </c>
      <c r="I85" s="110">
        <f t="shared" si="161"/>
        <v>149999.99954486164</v>
      </c>
      <c r="J85" s="110">
        <f t="shared" si="161"/>
        <v>149999.99961463406</v>
      </c>
      <c r="K85" s="110">
        <f t="shared" ref="K85:V85" si="166">IF(K17=0,0,K17/K28*1000000)</f>
        <v>149999.9996512864</v>
      </c>
      <c r="L85" s="110">
        <f t="shared" si="166"/>
        <v>149357.51244016667</v>
      </c>
      <c r="M85" s="110">
        <f t="shared" si="166"/>
        <v>149999.99978024137</v>
      </c>
      <c r="N85" s="110">
        <f t="shared" si="166"/>
        <v>149999.99978615716</v>
      </c>
      <c r="O85" s="110">
        <f t="shared" si="166"/>
        <v>148308.60658564314</v>
      </c>
      <c r="P85" s="110">
        <f t="shared" si="166"/>
        <v>147407.81796481769</v>
      </c>
      <c r="Q85" s="110">
        <f t="shared" si="166"/>
        <v>149999.99973992718</v>
      </c>
      <c r="R85" s="110">
        <f t="shared" si="166"/>
        <v>149999.99982991567</v>
      </c>
      <c r="S85" s="110">
        <f t="shared" si="166"/>
        <v>149999.99980010657</v>
      </c>
      <c r="T85" s="110">
        <f t="shared" si="166"/>
        <v>147960.70420347754</v>
      </c>
      <c r="U85" s="110">
        <f t="shared" si="166"/>
        <v>148462.28726906914</v>
      </c>
      <c r="V85" s="110">
        <f t="shared" si="166"/>
        <v>138657.22962937856</v>
      </c>
      <c r="W85" s="110">
        <f t="shared" ref="W85:Y85" si="167">IF(W17=0,0,W17/W28*1000000)</f>
        <v>147140.3493526073</v>
      </c>
      <c r="X85" s="110">
        <f t="shared" si="167"/>
        <v>148198.23156843008</v>
      </c>
      <c r="Y85" s="110">
        <f t="shared" si="167"/>
        <v>149491.11796596146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149999.99698743361</v>
      </c>
      <c r="C86" s="84">
        <f t="shared" si="161"/>
        <v>149999.99591735506</v>
      </c>
      <c r="D86" s="84">
        <f t="shared" si="161"/>
        <v>149999.99874892397</v>
      </c>
      <c r="E86" s="84">
        <f t="shared" si="161"/>
        <v>149999.99865730875</v>
      </c>
      <c r="F86" s="84">
        <f t="shared" si="161"/>
        <v>149999.99543765889</v>
      </c>
      <c r="G86" s="84">
        <f t="shared" si="161"/>
        <v>149999.99832393334</v>
      </c>
      <c r="H86" s="84">
        <f t="shared" si="161"/>
        <v>149999.99763323602</v>
      </c>
      <c r="I86" s="84">
        <f t="shared" si="161"/>
        <v>149999.99778007896</v>
      </c>
      <c r="J86" s="84">
        <f t="shared" si="161"/>
        <v>149999.99755711158</v>
      </c>
      <c r="K86" s="84">
        <f t="shared" ref="K86:V86" si="168">IF(K18=0,0,K18/K29*1000000)</f>
        <v>149999.99838417466</v>
      </c>
      <c r="L86" s="84">
        <f t="shared" si="168"/>
        <v>141062.36075966753</v>
      </c>
      <c r="M86" s="84">
        <f t="shared" si="168"/>
        <v>149999.9999647307</v>
      </c>
      <c r="N86" s="84">
        <f t="shared" si="168"/>
        <v>149999.99945014869</v>
      </c>
      <c r="O86" s="84">
        <f t="shared" si="168"/>
        <v>126160.79476458498</v>
      </c>
      <c r="P86" s="84">
        <f t="shared" si="168"/>
        <v>112114.63314795928</v>
      </c>
      <c r="Q86" s="84">
        <f t="shared" si="168"/>
        <v>149999.99726319453</v>
      </c>
      <c r="R86" s="84">
        <f t="shared" si="168"/>
        <v>149999.99870180109</v>
      </c>
      <c r="S86" s="84">
        <f t="shared" si="168"/>
        <v>149999.99915937363</v>
      </c>
      <c r="T86" s="84">
        <f t="shared" si="168"/>
        <v>125297.13866495826</v>
      </c>
      <c r="U86" s="84">
        <f t="shared" si="168"/>
        <v>130136.09354377432</v>
      </c>
      <c r="V86" s="84">
        <f t="shared" si="168"/>
        <v>102529.73056959767</v>
      </c>
      <c r="W86" s="84">
        <f t="shared" ref="W86:Y86" si="169">IF(W18=0,0,W18/W29*1000000)</f>
        <v>111005.38695267015</v>
      </c>
      <c r="X86" s="84">
        <f t="shared" si="169"/>
        <v>118217.69237911102</v>
      </c>
      <c r="Y86" s="84">
        <f t="shared" si="169"/>
        <v>139914.63770966357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149999.9997532347</v>
      </c>
      <c r="C87" s="84">
        <f t="shared" si="161"/>
        <v>149999.99998811321</v>
      </c>
      <c r="D87" s="84">
        <f t="shared" si="161"/>
        <v>149999.99995195313</v>
      </c>
      <c r="E87" s="84">
        <f t="shared" si="161"/>
        <v>149999.9997177441</v>
      </c>
      <c r="F87" s="84">
        <f t="shared" si="161"/>
        <v>149999.99982132885</v>
      </c>
      <c r="G87" s="84">
        <f t="shared" si="161"/>
        <v>149999.99998169503</v>
      </c>
      <c r="H87" s="84">
        <f t="shared" si="161"/>
        <v>149999.99983208856</v>
      </c>
      <c r="I87" s="84">
        <f t="shared" si="161"/>
        <v>149999.99971321339</v>
      </c>
      <c r="J87" s="84">
        <f t="shared" si="161"/>
        <v>149999.99980043143</v>
      </c>
      <c r="K87" s="84">
        <f t="shared" ref="K87:V87" si="170">IF(K19=0,0,K19/K30*1000000)</f>
        <v>149999.99976033933</v>
      </c>
      <c r="L87" s="84">
        <f t="shared" si="170"/>
        <v>149999.99998363521</v>
      </c>
      <c r="M87" s="84">
        <f t="shared" si="170"/>
        <v>149999.99976660186</v>
      </c>
      <c r="N87" s="84">
        <f t="shared" si="170"/>
        <v>149999.99981548428</v>
      </c>
      <c r="O87" s="84">
        <f t="shared" si="170"/>
        <v>149999.99981030967</v>
      </c>
      <c r="P87" s="84">
        <f t="shared" si="170"/>
        <v>149999.99979698108</v>
      </c>
      <c r="Q87" s="84">
        <f t="shared" si="170"/>
        <v>149999.99993392703</v>
      </c>
      <c r="R87" s="84">
        <f t="shared" si="170"/>
        <v>149999.99992506573</v>
      </c>
      <c r="S87" s="84">
        <f t="shared" si="170"/>
        <v>149999.99985955216</v>
      </c>
      <c r="T87" s="84">
        <f t="shared" si="170"/>
        <v>149999.99973796995</v>
      </c>
      <c r="U87" s="84">
        <f t="shared" si="170"/>
        <v>149999.99993288348</v>
      </c>
      <c r="V87" s="84">
        <f t="shared" si="170"/>
        <v>141710.57858586207</v>
      </c>
      <c r="W87" s="84">
        <f t="shared" ref="W87:Y87" si="171">IF(W19=0,0,W19/W30*1000000)</f>
        <v>149999.99987251605</v>
      </c>
      <c r="X87" s="84">
        <f t="shared" si="171"/>
        <v>149999.99994607549</v>
      </c>
      <c r="Y87" s="84">
        <f t="shared" si="171"/>
        <v>149999.99976851224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449999.94836030965</v>
      </c>
      <c r="C88" s="113">
        <f t="shared" si="161"/>
        <v>449999.99425466126</v>
      </c>
      <c r="D88" s="113">
        <f t="shared" si="161"/>
        <v>449999.98765295191</v>
      </c>
      <c r="E88" s="113">
        <f t="shared" si="161"/>
        <v>449999.96796697268</v>
      </c>
      <c r="F88" s="113">
        <f t="shared" si="161"/>
        <v>449999.94367379515</v>
      </c>
      <c r="G88" s="113">
        <f t="shared" si="161"/>
        <v>449999.98673349083</v>
      </c>
      <c r="H88" s="113">
        <f t="shared" si="161"/>
        <v>449999.96545555128</v>
      </c>
      <c r="I88" s="113">
        <f t="shared" si="161"/>
        <v>449999.98717720434</v>
      </c>
      <c r="J88" s="113">
        <f t="shared" si="161"/>
        <v>449999.99384909798</v>
      </c>
      <c r="K88" s="113">
        <f t="shared" ref="K88:V88" si="172">IF(K20=0,0,K20/K31*1000000)</f>
        <v>449999.9703639535</v>
      </c>
      <c r="L88" s="113">
        <f t="shared" si="172"/>
        <v>449999.97441000998</v>
      </c>
      <c r="M88" s="113">
        <f t="shared" si="172"/>
        <v>419487.31099824415</v>
      </c>
      <c r="N88" s="113">
        <f t="shared" si="172"/>
        <v>449999.97750000108</v>
      </c>
      <c r="O88" s="113">
        <f t="shared" si="172"/>
        <v>449999.97750000108</v>
      </c>
      <c r="P88" s="113">
        <f t="shared" si="172"/>
        <v>449999.96271130576</v>
      </c>
      <c r="Q88" s="113">
        <f t="shared" si="172"/>
        <v>449999.99999999994</v>
      </c>
      <c r="R88" s="113">
        <f t="shared" si="172"/>
        <v>449999.99547465815</v>
      </c>
      <c r="S88" s="113">
        <f t="shared" si="172"/>
        <v>450000</v>
      </c>
      <c r="T88" s="113">
        <f t="shared" si="172"/>
        <v>449999.97177557339</v>
      </c>
      <c r="U88" s="113">
        <f t="shared" si="172"/>
        <v>449999.97889413929</v>
      </c>
      <c r="V88" s="113">
        <f t="shared" si="172"/>
        <v>449999.95910415321</v>
      </c>
      <c r="W88" s="113">
        <f t="shared" ref="W88:Y88" si="173">IF(W20=0,0,W20/W31*1000000)</f>
        <v>449999.97495975427</v>
      </c>
      <c r="X88" s="113">
        <f t="shared" si="173"/>
        <v>449999.96342571918</v>
      </c>
      <c r="Y88" s="113">
        <f t="shared" si="173"/>
        <v>449999.96357408562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199999.99686649375</v>
      </c>
      <c r="C89" s="28">
        <f t="shared" si="161"/>
        <v>195446.75842749167</v>
      </c>
      <c r="D89" s="28">
        <f t="shared" si="161"/>
        <v>191683.93924875971</v>
      </c>
      <c r="E89" s="28">
        <f t="shared" si="161"/>
        <v>192999.22918599812</v>
      </c>
      <c r="F89" s="28">
        <f t="shared" si="161"/>
        <v>199999.99790860558</v>
      </c>
      <c r="G89" s="28">
        <f t="shared" si="161"/>
        <v>199999.99764835904</v>
      </c>
      <c r="H89" s="28">
        <f t="shared" si="161"/>
        <v>199999.99825512874</v>
      </c>
      <c r="I89" s="28">
        <f t="shared" si="161"/>
        <v>199999.99729653713</v>
      </c>
      <c r="J89" s="28">
        <f t="shared" si="161"/>
        <v>198281.27203872864</v>
      </c>
      <c r="K89" s="28">
        <f t="shared" ref="K89:V89" si="174">IF(K21=0,0,K21/K32*1000000)</f>
        <v>148571.36367555187</v>
      </c>
      <c r="L89" s="28">
        <f t="shared" si="174"/>
        <v>172814.23942493356</v>
      </c>
      <c r="M89" s="28">
        <f t="shared" si="174"/>
        <v>179420.32002475907</v>
      </c>
      <c r="N89" s="28">
        <f t="shared" si="174"/>
        <v>193563.9138271081</v>
      </c>
      <c r="O89" s="28">
        <f t="shared" si="174"/>
        <v>199999.99486652686</v>
      </c>
      <c r="P89" s="28">
        <f t="shared" si="174"/>
        <v>199999.99674245997</v>
      </c>
      <c r="Q89" s="28">
        <f t="shared" si="174"/>
        <v>199999.99529568228</v>
      </c>
      <c r="R89" s="28">
        <f t="shared" si="174"/>
        <v>199999.99645893267</v>
      </c>
      <c r="S89" s="28">
        <f t="shared" si="174"/>
        <v>199999.99748586724</v>
      </c>
      <c r="T89" s="28">
        <f t="shared" si="174"/>
        <v>199999.99785030927</v>
      </c>
      <c r="U89" s="28">
        <f t="shared" si="174"/>
        <v>199999.99800608604</v>
      </c>
      <c r="V89" s="28">
        <f t="shared" si="174"/>
        <v>199999.99619535348</v>
      </c>
      <c r="W89" s="28">
        <f t="shared" ref="W89:Y89" si="175">IF(W21=0,0,W21/W32*1000000)</f>
        <v>199999.99794011519</v>
      </c>
      <c r="X89" s="28">
        <f t="shared" si="175"/>
        <v>97596.314185546027</v>
      </c>
      <c r="Y89" s="28">
        <f t="shared" si="175"/>
        <v>97348.992725352364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199999.99605974343</v>
      </c>
      <c r="C90" s="84">
        <f t="shared" si="161"/>
        <v>188012.77682631504</v>
      </c>
      <c r="D90" s="84">
        <f t="shared" si="161"/>
        <v>175093.94382623292</v>
      </c>
      <c r="E90" s="84">
        <f t="shared" si="161"/>
        <v>177303.10753255614</v>
      </c>
      <c r="F90" s="84">
        <f t="shared" si="161"/>
        <v>199999.99130374388</v>
      </c>
      <c r="G90" s="84">
        <f t="shared" si="161"/>
        <v>199999.99905522601</v>
      </c>
      <c r="H90" s="84">
        <f t="shared" si="161"/>
        <v>199999.99622767503</v>
      </c>
      <c r="I90" s="84">
        <f t="shared" si="161"/>
        <v>199999.99223854544</v>
      </c>
      <c r="J90" s="84">
        <f t="shared" si="161"/>
        <v>192224.09475290912</v>
      </c>
      <c r="K90" s="84">
        <f t="shared" ref="K90:V90" si="176">IF(K22=0,0,K22/K33*1000000)</f>
        <v>126533.61498969243</v>
      </c>
      <c r="L90" s="84">
        <f t="shared" si="176"/>
        <v>137966.70124537608</v>
      </c>
      <c r="M90" s="84">
        <f t="shared" si="176"/>
        <v>159910.09241472013</v>
      </c>
      <c r="N90" s="84">
        <f t="shared" si="176"/>
        <v>199999.98513181365</v>
      </c>
      <c r="O90" s="84">
        <f t="shared" si="176"/>
        <v>199999.98031918844</v>
      </c>
      <c r="P90" s="84">
        <f t="shared" si="176"/>
        <v>199999.98898997967</v>
      </c>
      <c r="Q90" s="84">
        <f t="shared" si="176"/>
        <v>199999.97960386216</v>
      </c>
      <c r="R90" s="84">
        <f t="shared" si="176"/>
        <v>199999.98115774742</v>
      </c>
      <c r="S90" s="84">
        <f t="shared" si="176"/>
        <v>199999.99745114151</v>
      </c>
      <c r="T90" s="84">
        <f t="shared" si="176"/>
        <v>199999.98698828093</v>
      </c>
      <c r="U90" s="84">
        <f t="shared" si="176"/>
        <v>199999.99370725785</v>
      </c>
      <c r="V90" s="84">
        <f t="shared" si="176"/>
        <v>199999.9865800516</v>
      </c>
      <c r="W90" s="84">
        <f t="shared" ref="W90:Y90" si="177">IF(W22=0,0,W22/W33*1000000)</f>
        <v>199999.98934143045</v>
      </c>
      <c r="X90" s="84">
        <f t="shared" si="177"/>
        <v>199999.9876943343</v>
      </c>
      <c r="Y90" s="84">
        <f t="shared" si="177"/>
        <v>199999.9955951992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199999.99739191556</v>
      </c>
      <c r="C91" s="86">
        <f t="shared" si="161"/>
        <v>199999.99855261503</v>
      </c>
      <c r="D91" s="86">
        <f t="shared" si="161"/>
        <v>199999.99595581839</v>
      </c>
      <c r="E91" s="86">
        <f t="shared" si="161"/>
        <v>199999.99671961769</v>
      </c>
      <c r="F91" s="86">
        <f t="shared" si="161"/>
        <v>199999.99995641818</v>
      </c>
      <c r="G91" s="86">
        <f t="shared" si="161"/>
        <v>199999.99722740857</v>
      </c>
      <c r="H91" s="86">
        <f t="shared" si="161"/>
        <v>199999.99886064383</v>
      </c>
      <c r="I91" s="86">
        <f t="shared" si="161"/>
        <v>199999.99887840127</v>
      </c>
      <c r="J91" s="86">
        <f t="shared" si="161"/>
        <v>199999.99867039954</v>
      </c>
      <c r="K91" s="86">
        <f t="shared" ref="K91:V91" si="178">IF(K23=0,0,K23/K34*1000000)</f>
        <v>154315.84913896918</v>
      </c>
      <c r="L91" s="86">
        <f t="shared" si="178"/>
        <v>180985.52494954044</v>
      </c>
      <c r="M91" s="86">
        <f t="shared" si="178"/>
        <v>183411.07229354273</v>
      </c>
      <c r="N91" s="86">
        <f t="shared" si="178"/>
        <v>192192.9441153236</v>
      </c>
      <c r="O91" s="86">
        <f t="shared" si="178"/>
        <v>199999.99731207584</v>
      </c>
      <c r="P91" s="86">
        <f t="shared" si="178"/>
        <v>199999.9978456719</v>
      </c>
      <c r="Q91" s="86">
        <f t="shared" si="178"/>
        <v>199999.99742140385</v>
      </c>
      <c r="R91" s="86">
        <f t="shared" si="178"/>
        <v>199999.99852142239</v>
      </c>
      <c r="S91" s="86">
        <f t="shared" si="178"/>
        <v>199999.99749092798</v>
      </c>
      <c r="T91" s="86">
        <f t="shared" si="178"/>
        <v>199999.99958118974</v>
      </c>
      <c r="U91" s="86">
        <f t="shared" si="178"/>
        <v>199999.99870758821</v>
      </c>
      <c r="V91" s="86">
        <f t="shared" si="178"/>
        <v>199999.99780068535</v>
      </c>
      <c r="W91" s="86">
        <f t="shared" ref="W91:Y91" si="179">IF(W23=0,0,W23/W34*1000000)</f>
        <v>199999.99936140364</v>
      </c>
      <c r="X91" s="86">
        <f t="shared" si="179"/>
        <v>80986.678202906071</v>
      </c>
      <c r="Y91" s="86">
        <f t="shared" si="179"/>
        <v>80411.122231279907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16089219.336305043</v>
      </c>
      <c r="C94" s="28">
        <f t="shared" si="180"/>
        <v>16099493.177334964</v>
      </c>
      <c r="D94" s="28">
        <f t="shared" si="180"/>
        <v>16552262.523427803</v>
      </c>
      <c r="E94" s="28">
        <f t="shared" si="180"/>
        <v>15872750.564317849</v>
      </c>
      <c r="F94" s="28">
        <f t="shared" si="180"/>
        <v>16463705.484292757</v>
      </c>
      <c r="G94" s="28">
        <f t="shared" si="180"/>
        <v>15568110.969521377</v>
      </c>
      <c r="H94" s="28">
        <f t="shared" si="180"/>
        <v>15744936.150845561</v>
      </c>
      <c r="I94" s="28">
        <f t="shared" si="180"/>
        <v>16348109.832896505</v>
      </c>
      <c r="J94" s="28">
        <f t="shared" si="180"/>
        <v>16451869.314148525</v>
      </c>
      <c r="K94" s="28">
        <f t="shared" ref="K94:V94" si="181">IF(K4=0,0,K4/K26*1000000)</f>
        <v>16617195.74536792</v>
      </c>
      <c r="L94" s="28">
        <f t="shared" si="181"/>
        <v>16558201.121496068</v>
      </c>
      <c r="M94" s="28">
        <f t="shared" si="181"/>
        <v>17069128.84222744</v>
      </c>
      <c r="N94" s="28">
        <f t="shared" si="181"/>
        <v>17719133.928066973</v>
      </c>
      <c r="O94" s="28">
        <f t="shared" si="181"/>
        <v>17030506.247786991</v>
      </c>
      <c r="P94" s="28">
        <f t="shared" si="181"/>
        <v>17747942.412104927</v>
      </c>
      <c r="Q94" s="28">
        <f t="shared" si="181"/>
        <v>16843765.175612394</v>
      </c>
      <c r="R94" s="28">
        <f t="shared" si="181"/>
        <v>15964731.595627861</v>
      </c>
      <c r="S94" s="28">
        <f t="shared" si="181"/>
        <v>15969567.873710833</v>
      </c>
      <c r="T94" s="28">
        <f t="shared" si="181"/>
        <v>18362951.680594131</v>
      </c>
      <c r="U94" s="28">
        <f t="shared" si="181"/>
        <v>18635438.909309946</v>
      </c>
      <c r="V94" s="28">
        <f t="shared" si="181"/>
        <v>13141009.886648705</v>
      </c>
      <c r="W94" s="28">
        <f t="shared" ref="W94:Y94" si="182">IF(W4=0,0,W4/W26*1000000)</f>
        <v>13561290.737164976</v>
      </c>
      <c r="X94" s="28">
        <f t="shared" si="182"/>
        <v>17227273.061223406</v>
      </c>
      <c r="Y94" s="28">
        <f t="shared" si="182"/>
        <v>18011870.297894619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8343557.067830069</v>
      </c>
      <c r="C95" s="108">
        <f t="shared" si="180"/>
        <v>8449068.6141242553</v>
      </c>
      <c r="D95" s="108">
        <f t="shared" si="180"/>
        <v>8489435.531803662</v>
      </c>
      <c r="E95" s="108">
        <f t="shared" si="180"/>
        <v>8480997.6321902703</v>
      </c>
      <c r="F95" s="108">
        <f t="shared" si="180"/>
        <v>8690214.6654916741</v>
      </c>
      <c r="G95" s="108">
        <f t="shared" si="180"/>
        <v>8535074.973199863</v>
      </c>
      <c r="H95" s="108">
        <f t="shared" si="180"/>
        <v>8624252.6767319981</v>
      </c>
      <c r="I95" s="108">
        <f t="shared" si="180"/>
        <v>8691804.0929006562</v>
      </c>
      <c r="J95" s="108">
        <f t="shared" si="180"/>
        <v>8855860.1515862904</v>
      </c>
      <c r="K95" s="108">
        <f t="shared" ref="K95:V95" si="183">IF(K5=0,0,K5/K27*1000000)</f>
        <v>8846251.7639536597</v>
      </c>
      <c r="L95" s="108">
        <f t="shared" si="183"/>
        <v>8863113.0785123724</v>
      </c>
      <c r="M95" s="108">
        <f t="shared" si="183"/>
        <v>8898987.0527754724</v>
      </c>
      <c r="N95" s="108">
        <f t="shared" si="183"/>
        <v>8895420.0051949639</v>
      </c>
      <c r="O95" s="108">
        <f t="shared" si="183"/>
        <v>8894881.3422983903</v>
      </c>
      <c r="P95" s="108">
        <f t="shared" si="183"/>
        <v>8894369.5683567841</v>
      </c>
      <c r="Q95" s="108">
        <f t="shared" si="183"/>
        <v>8971256.4957876373</v>
      </c>
      <c r="R95" s="108">
        <f t="shared" si="183"/>
        <v>9063878.7599839121</v>
      </c>
      <c r="S95" s="108">
        <f t="shared" si="183"/>
        <v>9067295.5847692117</v>
      </c>
      <c r="T95" s="108">
        <f t="shared" si="183"/>
        <v>9019007.3461865894</v>
      </c>
      <c r="U95" s="108">
        <f t="shared" si="183"/>
        <v>9013187.0345443524</v>
      </c>
      <c r="V95" s="108">
        <f t="shared" si="183"/>
        <v>6186412.3067505313</v>
      </c>
      <c r="W95" s="108">
        <f t="shared" ref="W95:Y95" si="184">IF(W5=0,0,W5/W27*1000000)</f>
        <v>6639176.170190122</v>
      </c>
      <c r="X95" s="108">
        <f t="shared" si="184"/>
        <v>8839692.3982861768</v>
      </c>
      <c r="Y95" s="108">
        <f t="shared" si="184"/>
        <v>8979547.5276310686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16205965.864535844</v>
      </c>
      <c r="C96" s="110">
        <f t="shared" si="180"/>
        <v>16131214.298152369</v>
      </c>
      <c r="D96" s="110">
        <f t="shared" si="180"/>
        <v>16669656.062930109</v>
      </c>
      <c r="E96" s="110">
        <f t="shared" si="180"/>
        <v>15901561.263374846</v>
      </c>
      <c r="F96" s="110">
        <f t="shared" si="180"/>
        <v>16449404.056357125</v>
      </c>
      <c r="G96" s="110">
        <f t="shared" si="180"/>
        <v>15367411.088651471</v>
      </c>
      <c r="H96" s="110">
        <f t="shared" si="180"/>
        <v>15556849.65902683</v>
      </c>
      <c r="I96" s="110">
        <f t="shared" si="180"/>
        <v>16273061.008887634</v>
      </c>
      <c r="J96" s="110">
        <f t="shared" si="180"/>
        <v>16294452.62913961</v>
      </c>
      <c r="K96" s="110">
        <f t="shared" ref="K96:V96" si="185">IF(K6=0,0,K6/K28*1000000)</f>
        <v>16525778.640624171</v>
      </c>
      <c r="L96" s="110">
        <f t="shared" si="185"/>
        <v>16553643.277351025</v>
      </c>
      <c r="M96" s="110">
        <f t="shared" si="185"/>
        <v>17530792.696428299</v>
      </c>
      <c r="N96" s="110">
        <f t="shared" si="185"/>
        <v>18503482.992486048</v>
      </c>
      <c r="O96" s="110">
        <f t="shared" si="185"/>
        <v>17635216.547534488</v>
      </c>
      <c r="P96" s="110">
        <f t="shared" si="185"/>
        <v>18542551.09858821</v>
      </c>
      <c r="Q96" s="110">
        <f t="shared" si="185"/>
        <v>16914572.171876103</v>
      </c>
      <c r="R96" s="110">
        <f t="shared" si="185"/>
        <v>15320153.376929307</v>
      </c>
      <c r="S96" s="110">
        <f t="shared" si="185"/>
        <v>15414260.53781865</v>
      </c>
      <c r="T96" s="110">
        <f t="shared" si="185"/>
        <v>18586614.780980248</v>
      </c>
      <c r="U96" s="110">
        <f t="shared" si="185"/>
        <v>19039942.082087103</v>
      </c>
      <c r="V96" s="110">
        <f t="shared" si="185"/>
        <v>13560721.976634564</v>
      </c>
      <c r="W96" s="110">
        <f t="shared" ref="W96:Y96" si="186">IF(W6=0,0,W6/W28*1000000)</f>
        <v>13147514.589755207</v>
      </c>
      <c r="X96" s="110">
        <f t="shared" si="186"/>
        <v>16976641.942015197</v>
      </c>
      <c r="Y96" s="110">
        <f t="shared" si="186"/>
        <v>17902829.349134222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16629086.457691684</v>
      </c>
      <c r="C97" s="84">
        <f t="shared" si="180"/>
        <v>17158452.593741238</v>
      </c>
      <c r="D97" s="84">
        <f t="shared" si="180"/>
        <v>15607704.562063554</v>
      </c>
      <c r="E97" s="84">
        <f t="shared" si="180"/>
        <v>15448052.776153574</v>
      </c>
      <c r="F97" s="84">
        <f t="shared" si="180"/>
        <v>15026909.164094135</v>
      </c>
      <c r="G97" s="84">
        <f t="shared" si="180"/>
        <v>13584434.204095922</v>
      </c>
      <c r="H97" s="84">
        <f t="shared" si="180"/>
        <v>11011157.649317365</v>
      </c>
      <c r="I97" s="84">
        <f t="shared" si="180"/>
        <v>11257234.029325802</v>
      </c>
      <c r="J97" s="84">
        <f t="shared" si="180"/>
        <v>12715491.557812778</v>
      </c>
      <c r="K97" s="84">
        <f t="shared" ref="K97:V97" si="187">IF(K7=0,0,K7/K29*1000000)</f>
        <v>12698897.040745882</v>
      </c>
      <c r="L97" s="84">
        <f t="shared" si="187"/>
        <v>12244574.138999356</v>
      </c>
      <c r="M97" s="84">
        <f t="shared" si="187"/>
        <v>13898329.163842568</v>
      </c>
      <c r="N97" s="84">
        <f t="shared" si="187"/>
        <v>14786614.022851316</v>
      </c>
      <c r="O97" s="84">
        <f t="shared" si="187"/>
        <v>12584232.464794798</v>
      </c>
      <c r="P97" s="84">
        <f t="shared" si="187"/>
        <v>11718468.022423308</v>
      </c>
      <c r="Q97" s="84">
        <f t="shared" si="187"/>
        <v>10169927.747036114</v>
      </c>
      <c r="R97" s="84">
        <f t="shared" si="187"/>
        <v>8929070.7717877328</v>
      </c>
      <c r="S97" s="84">
        <f t="shared" si="187"/>
        <v>8854778.171049485</v>
      </c>
      <c r="T97" s="84">
        <f t="shared" si="187"/>
        <v>9899973.0008441433</v>
      </c>
      <c r="U97" s="84">
        <f t="shared" si="187"/>
        <v>10788070.483670084</v>
      </c>
      <c r="V97" s="84">
        <f t="shared" si="187"/>
        <v>7947680.5960908327</v>
      </c>
      <c r="W97" s="84">
        <f t="shared" ref="W97:Y97" si="188">IF(W7=0,0,W7/W29*1000000)</f>
        <v>7709036.7833388504</v>
      </c>
      <c r="X97" s="84">
        <f t="shared" si="188"/>
        <v>12576959.520241374</v>
      </c>
      <c r="Y97" s="84">
        <f t="shared" si="188"/>
        <v>15074902.009650819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16173510.118831029</v>
      </c>
      <c r="C98" s="84">
        <f t="shared" si="180"/>
        <v>16057795.017545125</v>
      </c>
      <c r="D98" s="84">
        <f t="shared" si="180"/>
        <v>16751745.504639192</v>
      </c>
      <c r="E98" s="84">
        <f t="shared" si="180"/>
        <v>15937502.058414763</v>
      </c>
      <c r="F98" s="84">
        <f t="shared" si="180"/>
        <v>16547704.28073759</v>
      </c>
      <c r="G98" s="84">
        <f t="shared" si="180"/>
        <v>15495082.432543343</v>
      </c>
      <c r="H98" s="84">
        <f t="shared" si="180"/>
        <v>15971203.770433368</v>
      </c>
      <c r="I98" s="84">
        <f t="shared" si="180"/>
        <v>16751546.728147453</v>
      </c>
      <c r="J98" s="84">
        <f t="shared" si="180"/>
        <v>16617638.248886451</v>
      </c>
      <c r="K98" s="84">
        <f t="shared" ref="K98:V98" si="189">IF(K8=0,0,K8/K30*1000000)</f>
        <v>16855135.963661391</v>
      </c>
      <c r="L98" s="84">
        <f t="shared" si="189"/>
        <v>16887395.251030315</v>
      </c>
      <c r="M98" s="84">
        <f t="shared" si="189"/>
        <v>17799344.439486984</v>
      </c>
      <c r="N98" s="84">
        <f t="shared" si="189"/>
        <v>18827894.619624116</v>
      </c>
      <c r="O98" s="84">
        <f t="shared" si="189"/>
        <v>18020952.182479773</v>
      </c>
      <c r="P98" s="84">
        <f t="shared" si="189"/>
        <v>19043760.163822774</v>
      </c>
      <c r="Q98" s="84">
        <f t="shared" si="189"/>
        <v>17442873.065766532</v>
      </c>
      <c r="R98" s="84">
        <f t="shared" si="189"/>
        <v>15859204.956111565</v>
      </c>
      <c r="S98" s="84">
        <f t="shared" si="189"/>
        <v>16022833.074714996</v>
      </c>
      <c r="T98" s="84">
        <f t="shared" si="189"/>
        <v>19368249.504865989</v>
      </c>
      <c r="U98" s="84">
        <f t="shared" si="189"/>
        <v>19732339.404043913</v>
      </c>
      <c r="V98" s="84">
        <f t="shared" si="189"/>
        <v>14035113.354062114</v>
      </c>
      <c r="W98" s="84">
        <f t="shared" ref="W98:Y98" si="190">IF(W8=0,0,W8/W30*1000000)</f>
        <v>13577905.127166079</v>
      </c>
      <c r="X98" s="84">
        <f t="shared" si="190"/>
        <v>17241053.752929479</v>
      </c>
      <c r="Y98" s="84">
        <f t="shared" si="190"/>
        <v>18053101.758566964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130277107.69157548</v>
      </c>
      <c r="C99" s="113">
        <f t="shared" si="180"/>
        <v>130277120.9782068</v>
      </c>
      <c r="D99" s="113">
        <f t="shared" si="180"/>
        <v>130277119.06698076</v>
      </c>
      <c r="E99" s="113">
        <f t="shared" si="180"/>
        <v>130277113.36779691</v>
      </c>
      <c r="F99" s="113">
        <f t="shared" si="180"/>
        <v>130277106.33480746</v>
      </c>
      <c r="G99" s="113">
        <f t="shared" si="180"/>
        <v>130277118.8007925</v>
      </c>
      <c r="H99" s="113">
        <f t="shared" si="180"/>
        <v>131935677.13545479</v>
      </c>
      <c r="I99" s="113">
        <f t="shared" si="180"/>
        <v>133255561.65255745</v>
      </c>
      <c r="J99" s="113">
        <f t="shared" si="180"/>
        <v>132736466.20097779</v>
      </c>
      <c r="K99" s="113">
        <f t="shared" ref="K99:V99" si="191">IF(K9=0,0,K9/K31*1000000)</f>
        <v>133774254.62145291</v>
      </c>
      <c r="L99" s="113">
        <f t="shared" si="191"/>
        <v>135754897.02843919</v>
      </c>
      <c r="M99" s="113">
        <f t="shared" si="191"/>
        <v>126545338.81780365</v>
      </c>
      <c r="N99" s="113">
        <f t="shared" si="191"/>
        <v>135749993.21250033</v>
      </c>
      <c r="O99" s="113">
        <f t="shared" si="191"/>
        <v>135749993.21250033</v>
      </c>
      <c r="P99" s="113">
        <f t="shared" si="191"/>
        <v>135730847.22150752</v>
      </c>
      <c r="Q99" s="113">
        <f t="shared" si="191"/>
        <v>135746606.33484164</v>
      </c>
      <c r="R99" s="113">
        <f t="shared" si="191"/>
        <v>135760256.07642543</v>
      </c>
      <c r="S99" s="113">
        <f t="shared" si="191"/>
        <v>135763888.8888889</v>
      </c>
      <c r="T99" s="113">
        <f t="shared" si="191"/>
        <v>136078037.79645807</v>
      </c>
      <c r="U99" s="113">
        <f t="shared" si="191"/>
        <v>136114608.50035733</v>
      </c>
      <c r="V99" s="113">
        <f t="shared" si="191"/>
        <v>90867720.981849924</v>
      </c>
      <c r="W99" s="113">
        <f t="shared" ref="W99:Y99" si="192">IF(W9=0,0,W9/W31*1000000)</f>
        <v>115543977.19315951</v>
      </c>
      <c r="X99" s="113">
        <f t="shared" si="192"/>
        <v>125494080.7305326</v>
      </c>
      <c r="Y99" s="113">
        <f t="shared" si="192"/>
        <v>135352785.80910647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108132088.20703892</v>
      </c>
      <c r="C100" s="28">
        <f t="shared" si="180"/>
        <v>106767514.94997767</v>
      </c>
      <c r="D100" s="28">
        <f t="shared" si="180"/>
        <v>108805770.11447702</v>
      </c>
      <c r="E100" s="28">
        <f t="shared" si="180"/>
        <v>114808090.08359408</v>
      </c>
      <c r="F100" s="28">
        <f t="shared" si="180"/>
        <v>104509481.53472643</v>
      </c>
      <c r="G100" s="28">
        <f t="shared" si="180"/>
        <v>99380909.496922851</v>
      </c>
      <c r="H100" s="28">
        <f t="shared" si="180"/>
        <v>92074601.351187274</v>
      </c>
      <c r="I100" s="28">
        <f t="shared" si="180"/>
        <v>94118877.530418247</v>
      </c>
      <c r="J100" s="28">
        <f t="shared" si="180"/>
        <v>95621036.405211166</v>
      </c>
      <c r="K100" s="28">
        <f t="shared" ref="K100:V100" si="193">IF(K10=0,0,K10/K32*1000000)</f>
        <v>73891817.209265128</v>
      </c>
      <c r="L100" s="28">
        <f t="shared" si="193"/>
        <v>94436426.246717468</v>
      </c>
      <c r="M100" s="28">
        <f t="shared" si="193"/>
        <v>105359568.98070535</v>
      </c>
      <c r="N100" s="28">
        <f t="shared" si="193"/>
        <v>216030787.89079744</v>
      </c>
      <c r="O100" s="28">
        <f t="shared" si="193"/>
        <v>205927350.40996361</v>
      </c>
      <c r="P100" s="28">
        <f t="shared" si="193"/>
        <v>207996333.83957675</v>
      </c>
      <c r="Q100" s="28">
        <f t="shared" si="193"/>
        <v>205252348.9838891</v>
      </c>
      <c r="R100" s="28">
        <f t="shared" si="193"/>
        <v>242432419.87255704</v>
      </c>
      <c r="S100" s="28">
        <f t="shared" si="193"/>
        <v>168306575.25576505</v>
      </c>
      <c r="T100" s="28">
        <f t="shared" si="193"/>
        <v>122596928.59906489</v>
      </c>
      <c r="U100" s="28">
        <f t="shared" si="193"/>
        <v>147487167.81374896</v>
      </c>
      <c r="V100" s="28">
        <f t="shared" si="193"/>
        <v>135694397.18892506</v>
      </c>
      <c r="W100" s="28">
        <f t="shared" ref="W100:Y100" si="194">IF(W10=0,0,W10/W32*1000000)</f>
        <v>115010657.91397496</v>
      </c>
      <c r="X100" s="28">
        <f t="shared" si="194"/>
        <v>101615768.83584259</v>
      </c>
      <c r="Y100" s="28">
        <f t="shared" si="194"/>
        <v>125068285.29889572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114618831.65469171</v>
      </c>
      <c r="C101" s="84">
        <f t="shared" si="180"/>
        <v>109823021.09420502</v>
      </c>
      <c r="D101" s="84">
        <f t="shared" si="180"/>
        <v>107736002.76962046</v>
      </c>
      <c r="E101" s="84">
        <f t="shared" si="180"/>
        <v>115883736.71001972</v>
      </c>
      <c r="F101" s="84">
        <f t="shared" si="180"/>
        <v>114285763.13177881</v>
      </c>
      <c r="G101" s="84">
        <f t="shared" si="180"/>
        <v>108146582.92986865</v>
      </c>
      <c r="H101" s="84">
        <f t="shared" si="180"/>
        <v>97015973.488510042</v>
      </c>
      <c r="I101" s="84">
        <f t="shared" si="180"/>
        <v>99028815.550303519</v>
      </c>
      <c r="J101" s="84">
        <f t="shared" si="180"/>
        <v>99501488.324302003</v>
      </c>
      <c r="K101" s="84">
        <f t="shared" ref="K101:V101" si="195">IF(K11=0,0,K11/K33*1000000)</f>
        <v>68677251.644971058</v>
      </c>
      <c r="L101" s="84">
        <f t="shared" si="195"/>
        <v>84782221.968881592</v>
      </c>
      <c r="M101" s="84">
        <f t="shared" si="195"/>
        <v>106877397.3258844</v>
      </c>
      <c r="N101" s="84">
        <f t="shared" si="195"/>
        <v>245353563.81411535</v>
      </c>
      <c r="O101" s="84">
        <f t="shared" si="195"/>
        <v>226310779.68079084</v>
      </c>
      <c r="P101" s="84">
        <f t="shared" si="195"/>
        <v>227130395.69982794</v>
      </c>
      <c r="Q101" s="84">
        <f t="shared" si="195"/>
        <v>234320294.22433597</v>
      </c>
      <c r="R101" s="84">
        <f t="shared" si="195"/>
        <v>285164224.64406544</v>
      </c>
      <c r="S101" s="84">
        <f t="shared" si="195"/>
        <v>196303089.0941354</v>
      </c>
      <c r="T101" s="84">
        <f t="shared" si="195"/>
        <v>130434021.58426158</v>
      </c>
      <c r="U101" s="84">
        <f t="shared" si="195"/>
        <v>154019790.79061654</v>
      </c>
      <c r="V101" s="84">
        <f t="shared" si="195"/>
        <v>138576972.67021173</v>
      </c>
      <c r="W101" s="84">
        <f t="shared" ref="W101:Y101" si="196">IF(W11=0,0,W11/W33*1000000)</f>
        <v>117408267.56904748</v>
      </c>
      <c r="X101" s="84">
        <f t="shared" si="196"/>
        <v>205949060.13166136</v>
      </c>
      <c r="Y101" s="84">
        <f t="shared" si="196"/>
        <v>246210010.17470637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103907390.23205821</v>
      </c>
      <c r="C102" s="86">
        <f t="shared" si="180"/>
        <v>104896047.68992215</v>
      </c>
      <c r="D102" s="86">
        <f t="shared" si="180"/>
        <v>109342011.72736545</v>
      </c>
      <c r="E102" s="86">
        <f t="shared" si="180"/>
        <v>114328331.31603403</v>
      </c>
      <c r="F102" s="86">
        <f t="shared" si="180"/>
        <v>101478382.1263406</v>
      </c>
      <c r="G102" s="86">
        <f t="shared" si="180"/>
        <v>96758121.096029744</v>
      </c>
      <c r="H102" s="86">
        <f t="shared" si="180"/>
        <v>90598821.45626013</v>
      </c>
      <c r="I102" s="86">
        <f t="shared" si="180"/>
        <v>92583316.521150395</v>
      </c>
      <c r="J102" s="86">
        <f t="shared" si="180"/>
        <v>94519956.522363156</v>
      </c>
      <c r="K102" s="86">
        <f t="shared" ref="K102:V102" si="197">IF(K12=0,0,K12/K34*1000000)</f>
        <v>75251075.657535955</v>
      </c>
      <c r="L102" s="86">
        <f t="shared" si="197"/>
        <v>96700209.107377484</v>
      </c>
      <c r="M102" s="86">
        <f t="shared" si="197"/>
        <v>105049102.2330478</v>
      </c>
      <c r="N102" s="86">
        <f t="shared" si="197"/>
        <v>209784642.41585201</v>
      </c>
      <c r="O102" s="86">
        <f t="shared" si="197"/>
        <v>202500697.86038706</v>
      </c>
      <c r="P102" s="86">
        <f t="shared" si="197"/>
        <v>205273473.01681241</v>
      </c>
      <c r="Q102" s="86">
        <f t="shared" si="197"/>
        <v>201314605.79818648</v>
      </c>
      <c r="R102" s="86">
        <f t="shared" si="197"/>
        <v>236672479.98568213</v>
      </c>
      <c r="S102" s="86">
        <f t="shared" si="197"/>
        <v>164226547.51457387</v>
      </c>
      <c r="T102" s="86">
        <f t="shared" si="197"/>
        <v>121348076.10913728</v>
      </c>
      <c r="U102" s="86">
        <f t="shared" si="197"/>
        <v>146421144.90261129</v>
      </c>
      <c r="V102" s="86">
        <f t="shared" si="197"/>
        <v>135213134.06314945</v>
      </c>
      <c r="W102" s="86">
        <f t="shared" ref="W102:Y102" si="198">IF(W12=0,0,W12/W34*1000000)</f>
        <v>114614353.7095089</v>
      </c>
      <c r="X102" s="86">
        <f t="shared" si="198"/>
        <v>84693153.36789684</v>
      </c>
      <c r="Y102" s="86">
        <f t="shared" si="198"/>
        <v>105079363.71011533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0.10111576011157601</v>
      </c>
      <c r="C106" s="123">
        <f t="shared" si="199"/>
        <v>9.8272380525016828E-2</v>
      </c>
      <c r="D106" s="123">
        <f t="shared" si="199"/>
        <v>9.7267759562841533E-2</v>
      </c>
      <c r="E106" s="123">
        <f t="shared" si="199"/>
        <v>9.8199672667757767E-2</v>
      </c>
      <c r="F106" s="123">
        <f t="shared" si="199"/>
        <v>8.9787863838184503E-2</v>
      </c>
      <c r="G106" s="123">
        <f t="shared" si="199"/>
        <v>9.8516949152542374E-2</v>
      </c>
      <c r="H106" s="123">
        <f t="shared" si="199"/>
        <v>9.5824087149485579E-2</v>
      </c>
      <c r="I106" s="123">
        <f t="shared" si="199"/>
        <v>9.3512002313699022E-2</v>
      </c>
      <c r="J106" s="123">
        <f t="shared" si="199"/>
        <v>8.9774665589370681E-2</v>
      </c>
      <c r="K106" s="123">
        <f t="shared" ref="K106:V106" si="202">IF(K5=0,0,K5/K$4)</f>
        <v>8.8991723769689418E-2</v>
      </c>
      <c r="L106" s="123">
        <f t="shared" si="202"/>
        <v>9.249654218533887E-2</v>
      </c>
      <c r="M106" s="123">
        <f t="shared" si="202"/>
        <v>9.5988435910567896E-2</v>
      </c>
      <c r="N106" s="123">
        <f t="shared" si="202"/>
        <v>0.10091075444774626</v>
      </c>
      <c r="O106" s="123">
        <f t="shared" si="202"/>
        <v>0.10222366475612504</v>
      </c>
      <c r="P106" s="123">
        <f t="shared" si="202"/>
        <v>0.10063314234384416</v>
      </c>
      <c r="Q106" s="123">
        <f t="shared" si="202"/>
        <v>0.10552804671058914</v>
      </c>
      <c r="R106" s="123">
        <f t="shared" si="202"/>
        <v>0.11223302878679275</v>
      </c>
      <c r="S106" s="123">
        <f t="shared" si="202"/>
        <v>0.11874021088849603</v>
      </c>
      <c r="T106" s="123">
        <f t="shared" si="202"/>
        <v>0.10775841699386281</v>
      </c>
      <c r="U106" s="123">
        <f t="shared" si="202"/>
        <v>0.10927079934130082</v>
      </c>
      <c r="V106" s="123">
        <f t="shared" si="202"/>
        <v>0.10750297251436328</v>
      </c>
      <c r="W106" s="123">
        <f t="shared" ref="W106:Y106" si="203">IF(W5=0,0,W5/W$4)</f>
        <v>0.10724336263984928</v>
      </c>
      <c r="X106" s="123">
        <f t="shared" si="203"/>
        <v>9.2524811683272409E-2</v>
      </c>
      <c r="Y106" s="123">
        <f t="shared" si="203"/>
        <v>9.4396191417905034E-2</v>
      </c>
      <c r="DA106" s="203"/>
    </row>
    <row r="107" spans="1:105" ht="11.45" customHeight="1" x14ac:dyDescent="0.25">
      <c r="A107" s="109" t="s">
        <v>24</v>
      </c>
      <c r="B107" s="124">
        <f t="shared" si="199"/>
        <v>0.79834960483496054</v>
      </c>
      <c r="C107" s="124">
        <f t="shared" si="199"/>
        <v>0.80199685887368188</v>
      </c>
      <c r="D107" s="124">
        <f t="shared" si="199"/>
        <v>0.80338797814207652</v>
      </c>
      <c r="E107" s="124">
        <f t="shared" si="199"/>
        <v>0.80600109110747409</v>
      </c>
      <c r="F107" s="124">
        <f t="shared" si="199"/>
        <v>0.8174642328564381</v>
      </c>
      <c r="G107" s="124">
        <f t="shared" si="199"/>
        <v>0.7974576271186441</v>
      </c>
      <c r="H107" s="124">
        <f t="shared" si="199"/>
        <v>0.8033084526931612</v>
      </c>
      <c r="I107" s="124">
        <f t="shared" si="199"/>
        <v>0.80834859731996533</v>
      </c>
      <c r="J107" s="124">
        <f t="shared" si="199"/>
        <v>0.81335847023969832</v>
      </c>
      <c r="K107" s="124">
        <f t="shared" ref="K107:V107" si="204">IF(K6=0,0,K6/K$4)</f>
        <v>0.81658805731067008</v>
      </c>
      <c r="L107" s="124">
        <f t="shared" si="204"/>
        <v>0.81578492392807744</v>
      </c>
      <c r="M107" s="124">
        <f t="shared" si="204"/>
        <v>0.82732860734550706</v>
      </c>
      <c r="N107" s="124">
        <f t="shared" si="204"/>
        <v>0.8241444387709338</v>
      </c>
      <c r="O107" s="124">
        <f t="shared" si="204"/>
        <v>0.82314032721560859</v>
      </c>
      <c r="P107" s="124">
        <f t="shared" si="204"/>
        <v>0.82478841401964209</v>
      </c>
      <c r="Q107" s="124">
        <f t="shared" si="204"/>
        <v>0.79253782755842384</v>
      </c>
      <c r="R107" s="124">
        <f t="shared" si="204"/>
        <v>0.75493400793941068</v>
      </c>
      <c r="S107" s="124">
        <f t="shared" si="204"/>
        <v>0.74827153070062091</v>
      </c>
      <c r="T107" s="124">
        <f t="shared" si="204"/>
        <v>0.77395169271016384</v>
      </c>
      <c r="U107" s="124">
        <f t="shared" si="204"/>
        <v>0.77463749483951538</v>
      </c>
      <c r="V107" s="124">
        <f t="shared" si="204"/>
        <v>0.77941482420686314</v>
      </c>
      <c r="W107" s="124">
        <f t="shared" ref="W107:Y107" si="205">IF(W6=0,0,W6/W$4)</f>
        <v>0.73969903726411623</v>
      </c>
      <c r="X107" s="124">
        <f t="shared" si="205"/>
        <v>0.79215745697164486</v>
      </c>
      <c r="Y107" s="124">
        <f t="shared" si="205"/>
        <v>0.79052388348037994</v>
      </c>
      <c r="DA107" s="176"/>
    </row>
    <row r="108" spans="1:105" ht="11.45" customHeight="1" x14ac:dyDescent="0.25">
      <c r="A108" s="111" t="s">
        <v>92</v>
      </c>
      <c r="B108" s="125">
        <f t="shared" si="199"/>
        <v>5.8360233111474168E-2</v>
      </c>
      <c r="C108" s="125">
        <f t="shared" si="199"/>
        <v>5.6903846377797648E-2</v>
      </c>
      <c r="D108" s="125">
        <f t="shared" si="199"/>
        <v>5.3973857731862758E-2</v>
      </c>
      <c r="E108" s="125">
        <f t="shared" si="199"/>
        <v>5.7497583325351639E-2</v>
      </c>
      <c r="F108" s="125">
        <f t="shared" si="199"/>
        <v>4.8269416859455891E-2</v>
      </c>
      <c r="G108" s="125">
        <f t="shared" si="199"/>
        <v>4.7104365213557708E-2</v>
      </c>
      <c r="H108" s="125">
        <f t="shared" si="199"/>
        <v>4.7498467785719527E-2</v>
      </c>
      <c r="I108" s="125">
        <f t="shared" si="199"/>
        <v>4.8698629453804473E-2</v>
      </c>
      <c r="J108" s="125">
        <f t="shared" si="199"/>
        <v>5.2568284972063173E-2</v>
      </c>
      <c r="K108" s="125">
        <f t="shared" ref="K108:V108" si="206">IF(K7=0,0,K7/K$4)</f>
        <v>4.9724899480754203E-2</v>
      </c>
      <c r="L108" s="125">
        <f t="shared" si="206"/>
        <v>4.3377813791688855E-2</v>
      </c>
      <c r="M108" s="125">
        <f t="shared" si="206"/>
        <v>4.5153290565105954E-2</v>
      </c>
      <c r="N108" s="125">
        <f t="shared" si="206"/>
        <v>5.2868378337030231E-2</v>
      </c>
      <c r="O108" s="125">
        <f t="shared" si="206"/>
        <v>4.1674714377596206E-2</v>
      </c>
      <c r="P108" s="125">
        <f t="shared" si="206"/>
        <v>3.5664642435724404E-2</v>
      </c>
      <c r="Q108" s="125">
        <f t="shared" si="206"/>
        <v>3.461368788419162E-2</v>
      </c>
      <c r="R108" s="125">
        <f t="shared" si="206"/>
        <v>3.4224792256121621E-2</v>
      </c>
      <c r="S108" s="125">
        <f t="shared" si="206"/>
        <v>3.6494316934836145E-2</v>
      </c>
      <c r="T108" s="125">
        <f t="shared" si="206"/>
        <v>3.4031451971291808E-2</v>
      </c>
      <c r="U108" s="125">
        <f t="shared" si="206"/>
        <v>3.3977169579599169E-2</v>
      </c>
      <c r="V108" s="125">
        <f t="shared" si="206"/>
        <v>3.559826768293449E-2</v>
      </c>
      <c r="W108" s="125">
        <f t="shared" ref="W108:Y108" si="207">IF(W7=0,0,W7/W$4)</f>
        <v>3.1806791146073474E-2</v>
      </c>
      <c r="X108" s="125">
        <f t="shared" si="207"/>
        <v>3.3269702950742525E-2</v>
      </c>
      <c r="Y108" s="125">
        <f t="shared" si="207"/>
        <v>3.3587157319120639E-2</v>
      </c>
      <c r="DA108" s="171"/>
    </row>
    <row r="109" spans="1:105" ht="11.45" customHeight="1" x14ac:dyDescent="0.25">
      <c r="A109" s="111" t="s">
        <v>93</v>
      </c>
      <c r="B109" s="125">
        <f t="shared" si="199"/>
        <v>0.73998937172348622</v>
      </c>
      <c r="C109" s="125">
        <f t="shared" si="199"/>
        <v>0.74509301249588422</v>
      </c>
      <c r="D109" s="125">
        <f t="shared" si="199"/>
        <v>0.74941412041021371</v>
      </c>
      <c r="E109" s="125">
        <f t="shared" si="199"/>
        <v>0.74850350778212249</v>
      </c>
      <c r="F109" s="125">
        <f t="shared" si="199"/>
        <v>0.76919481599698225</v>
      </c>
      <c r="G109" s="125">
        <f t="shared" si="199"/>
        <v>0.75035326190508644</v>
      </c>
      <c r="H109" s="125">
        <f t="shared" si="199"/>
        <v>0.75580998490744167</v>
      </c>
      <c r="I109" s="125">
        <f t="shared" si="199"/>
        <v>0.7596499678661609</v>
      </c>
      <c r="J109" s="125">
        <f t="shared" si="199"/>
        <v>0.7607901852676352</v>
      </c>
      <c r="K109" s="125">
        <f t="shared" ref="K109:V109" si="208">IF(K8=0,0,K8/K$4)</f>
        <v>0.76686315782991599</v>
      </c>
      <c r="L109" s="125">
        <f t="shared" si="208"/>
        <v>0.77240711013638863</v>
      </c>
      <c r="M109" s="125">
        <f t="shared" si="208"/>
        <v>0.78217531678040109</v>
      </c>
      <c r="N109" s="125">
        <f t="shared" si="208"/>
        <v>0.77127606043390362</v>
      </c>
      <c r="O109" s="125">
        <f t="shared" si="208"/>
        <v>0.78146561283801241</v>
      </c>
      <c r="P109" s="125">
        <f t="shared" si="208"/>
        <v>0.78912377158391767</v>
      </c>
      <c r="Q109" s="125">
        <f t="shared" si="208"/>
        <v>0.75792413967423233</v>
      </c>
      <c r="R109" s="125">
        <f t="shared" si="208"/>
        <v>0.72070921568328905</v>
      </c>
      <c r="S109" s="125">
        <f t="shared" si="208"/>
        <v>0.71177721376578462</v>
      </c>
      <c r="T109" s="125">
        <f t="shared" si="208"/>
        <v>0.73992024073887208</v>
      </c>
      <c r="U109" s="125">
        <f t="shared" si="208"/>
        <v>0.74066032525991632</v>
      </c>
      <c r="V109" s="125">
        <f t="shared" si="208"/>
        <v>0.74381655652392864</v>
      </c>
      <c r="W109" s="125">
        <f t="shared" ref="W109:Y109" si="209">IF(W8=0,0,W8/W$4)</f>
        <v>0.7078922461180428</v>
      </c>
      <c r="X109" s="125">
        <f t="shared" si="209"/>
        <v>0.75888775402090225</v>
      </c>
      <c r="Y109" s="125">
        <f t="shared" si="209"/>
        <v>0.75693672616125929</v>
      </c>
      <c r="DA109" s="171"/>
    </row>
    <row r="110" spans="1:105" ht="11.45" customHeight="1" x14ac:dyDescent="0.25">
      <c r="A110" s="112" t="s">
        <v>25</v>
      </c>
      <c r="B110" s="126">
        <f t="shared" si="199"/>
        <v>0.10053463505346351</v>
      </c>
      <c r="C110" s="126">
        <f t="shared" si="199"/>
        <v>9.973076060130133E-2</v>
      </c>
      <c r="D110" s="126">
        <f t="shared" si="199"/>
        <v>9.9344262295081961E-2</v>
      </c>
      <c r="E110" s="126">
        <f t="shared" si="199"/>
        <v>9.5799236224768144E-2</v>
      </c>
      <c r="F110" s="126">
        <f t="shared" si="199"/>
        <v>9.274790330537741E-2</v>
      </c>
      <c r="G110" s="126">
        <f t="shared" si="199"/>
        <v>0.10402542372881356</v>
      </c>
      <c r="H110" s="126">
        <f t="shared" si="199"/>
        <v>0.10086746015735323</v>
      </c>
      <c r="I110" s="126">
        <f t="shared" si="199"/>
        <v>9.8139400366335686E-2</v>
      </c>
      <c r="J110" s="126">
        <f t="shared" si="199"/>
        <v>9.6866864170930961E-2</v>
      </c>
      <c r="K110" s="126">
        <f t="shared" ref="K110:V110" si="210">IF(K9=0,0,K9/K$4)</f>
        <v>9.4420218919640475E-2</v>
      </c>
      <c r="L110" s="126">
        <f t="shared" si="210"/>
        <v>9.1718533886583672E-2</v>
      </c>
      <c r="M110" s="126">
        <f t="shared" si="210"/>
        <v>7.6682956743925015E-2</v>
      </c>
      <c r="N110" s="126">
        <f t="shared" si="210"/>
        <v>7.4944806781319845E-2</v>
      </c>
      <c r="O110" s="126">
        <f t="shared" si="210"/>
        <v>7.4636008028266282E-2</v>
      </c>
      <c r="P110" s="126">
        <f t="shared" si="210"/>
        <v>7.4578443636513739E-2</v>
      </c>
      <c r="Q110" s="126">
        <f t="shared" si="210"/>
        <v>0.10193412573098699</v>
      </c>
      <c r="R110" s="126">
        <f t="shared" si="210"/>
        <v>0.13283296327379659</v>
      </c>
      <c r="S110" s="126">
        <f t="shared" si="210"/>
        <v>0.13298825841088308</v>
      </c>
      <c r="T110" s="126">
        <f t="shared" si="210"/>
        <v>0.11828989029597343</v>
      </c>
      <c r="U110" s="126">
        <f t="shared" si="210"/>
        <v>0.11609170581918379</v>
      </c>
      <c r="V110" s="126">
        <f t="shared" si="210"/>
        <v>0.11308220327877354</v>
      </c>
      <c r="W110" s="126">
        <f t="shared" ref="W110:Y110" si="211">IF(W9=0,0,W9/W$4)</f>
        <v>0.15305760009603436</v>
      </c>
      <c r="X110" s="126">
        <f t="shared" si="211"/>
        <v>0.11531773134508271</v>
      </c>
      <c r="Y110" s="126">
        <f t="shared" si="211"/>
        <v>0.115079925101715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0.41807012729306964</v>
      </c>
      <c r="C112" s="125">
        <f t="shared" si="212"/>
        <v>0.39071156623342534</v>
      </c>
      <c r="D112" s="125">
        <f t="shared" si="212"/>
        <v>0.33061418302686951</v>
      </c>
      <c r="E112" s="125">
        <f t="shared" si="212"/>
        <v>0.31133598325512957</v>
      </c>
      <c r="F112" s="125">
        <f t="shared" si="212"/>
        <v>0.25880716152786765</v>
      </c>
      <c r="G112" s="125">
        <f t="shared" si="212"/>
        <v>0.25061555243883438</v>
      </c>
      <c r="H112" s="125">
        <f t="shared" si="212"/>
        <v>0.24231631710856091</v>
      </c>
      <c r="I112" s="125">
        <f t="shared" si="212"/>
        <v>0.25066596734344598</v>
      </c>
      <c r="J112" s="125">
        <f t="shared" si="212"/>
        <v>0.23000223230895153</v>
      </c>
      <c r="K112" s="125">
        <f t="shared" ref="K112:V112" si="215">IF(K11=0,0,K11/K$10)</f>
        <v>0.19217660965949221</v>
      </c>
      <c r="L112" s="125">
        <f t="shared" si="215"/>
        <v>0.17052855252771265</v>
      </c>
      <c r="M112" s="125">
        <f t="shared" si="215"/>
        <v>0.17225850852076144</v>
      </c>
      <c r="N112" s="125">
        <f t="shared" si="215"/>
        <v>0.19944268865079526</v>
      </c>
      <c r="O112" s="125">
        <f t="shared" si="215"/>
        <v>0.15816136051666321</v>
      </c>
      <c r="P112" s="125">
        <f t="shared" si="215"/>
        <v>0.13603667382464329</v>
      </c>
      <c r="Q112" s="125">
        <f t="shared" si="215"/>
        <v>0.13620102030532294</v>
      </c>
      <c r="R112" s="125">
        <f t="shared" si="215"/>
        <v>0.13971868352219835</v>
      </c>
      <c r="S112" s="125">
        <f t="shared" si="215"/>
        <v>0.14835480922111341</v>
      </c>
      <c r="T112" s="125">
        <f t="shared" si="215"/>
        <v>0.14623533103609912</v>
      </c>
      <c r="U112" s="125">
        <f t="shared" si="215"/>
        <v>0.14650506042257447</v>
      </c>
      <c r="V112" s="125">
        <f t="shared" si="215"/>
        <v>0.1461088728027404</v>
      </c>
      <c r="W112" s="125">
        <f t="shared" ref="W112:Y112" si="216">IF(W11=0,0,W11/W$10)</f>
        <v>0.14480256663204344</v>
      </c>
      <c r="X112" s="125">
        <f t="shared" si="216"/>
        <v>0.28285462826099089</v>
      </c>
      <c r="Y112" s="125">
        <f t="shared" si="216"/>
        <v>0.27882168274835761</v>
      </c>
      <c r="DA112" s="171"/>
    </row>
    <row r="113" spans="1:105" ht="11.45" customHeight="1" x14ac:dyDescent="0.25">
      <c r="A113" s="85" t="s">
        <v>93</v>
      </c>
      <c r="B113" s="127">
        <f t="shared" si="212"/>
        <v>0.58192987270693031</v>
      </c>
      <c r="C113" s="127">
        <f t="shared" si="212"/>
        <v>0.6092884337665746</v>
      </c>
      <c r="D113" s="127">
        <f t="shared" si="212"/>
        <v>0.66938581697313049</v>
      </c>
      <c r="E113" s="127">
        <f t="shared" si="212"/>
        <v>0.68866401674487043</v>
      </c>
      <c r="F113" s="127">
        <f t="shared" si="212"/>
        <v>0.74119283847213235</v>
      </c>
      <c r="G113" s="127">
        <f t="shared" si="212"/>
        <v>0.74938444756116562</v>
      </c>
      <c r="H113" s="127">
        <f t="shared" si="212"/>
        <v>0.75768368289143906</v>
      </c>
      <c r="I113" s="127">
        <f t="shared" si="212"/>
        <v>0.74933403265655396</v>
      </c>
      <c r="J113" s="127">
        <f t="shared" si="212"/>
        <v>0.76999776769104844</v>
      </c>
      <c r="K113" s="127">
        <f t="shared" ref="K113:V113" si="217">IF(K12=0,0,K12/K$10)</f>
        <v>0.80782339034050787</v>
      </c>
      <c r="L113" s="127">
        <f t="shared" si="217"/>
        <v>0.82947144747228729</v>
      </c>
      <c r="M113" s="127">
        <f t="shared" si="217"/>
        <v>0.82774149147923859</v>
      </c>
      <c r="N113" s="127">
        <f t="shared" si="217"/>
        <v>0.80055731134920483</v>
      </c>
      <c r="O113" s="127">
        <f t="shared" si="217"/>
        <v>0.84183863948333681</v>
      </c>
      <c r="P113" s="127">
        <f t="shared" si="217"/>
        <v>0.86396332617535665</v>
      </c>
      <c r="Q113" s="127">
        <f t="shared" si="217"/>
        <v>0.863798979694677</v>
      </c>
      <c r="R113" s="127">
        <f t="shared" si="217"/>
        <v>0.86028131647780159</v>
      </c>
      <c r="S113" s="127">
        <f t="shared" si="217"/>
        <v>0.85164519077888667</v>
      </c>
      <c r="T113" s="127">
        <f t="shared" si="217"/>
        <v>0.85376466896390102</v>
      </c>
      <c r="U113" s="127">
        <f t="shared" si="217"/>
        <v>0.8534949395774255</v>
      </c>
      <c r="V113" s="127">
        <f t="shared" si="217"/>
        <v>0.85389112719725957</v>
      </c>
      <c r="W113" s="127">
        <f t="shared" ref="W113:Y113" si="218">IF(W12=0,0,W12/W$10)</f>
        <v>0.85519743336795651</v>
      </c>
      <c r="X113" s="127">
        <f t="shared" si="218"/>
        <v>0.71714537173900905</v>
      </c>
      <c r="Y113" s="127">
        <f t="shared" si="218"/>
        <v>0.72117831725164239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0.14698209278154317</v>
      </c>
      <c r="C117" s="123">
        <f t="shared" si="219"/>
        <v>0.14088309721328077</v>
      </c>
      <c r="D117" s="123">
        <f t="shared" si="219"/>
        <v>0.14268903931213206</v>
      </c>
      <c r="E117" s="123">
        <f t="shared" si="219"/>
        <v>0.13832758806140172</v>
      </c>
      <c r="F117" s="123">
        <f t="shared" si="219"/>
        <v>0.12753852601437304</v>
      </c>
      <c r="G117" s="123">
        <f t="shared" si="219"/>
        <v>0.13488750691385126</v>
      </c>
      <c r="H117" s="123">
        <f t="shared" si="219"/>
        <v>0.13125407675094486</v>
      </c>
      <c r="I117" s="123">
        <f t="shared" si="219"/>
        <v>0.13199359408086028</v>
      </c>
      <c r="J117" s="123">
        <f t="shared" si="219"/>
        <v>0.12485858963848974</v>
      </c>
      <c r="K117" s="123">
        <f t="shared" ref="K117:V117" si="222">IF(K16=0,0,K16/K$15)</f>
        <v>0.12523338377935836</v>
      </c>
      <c r="L117" s="123">
        <f t="shared" si="222"/>
        <v>0.13026601615103175</v>
      </c>
      <c r="M117" s="123">
        <f t="shared" si="222"/>
        <v>0.13926752096656234</v>
      </c>
      <c r="N117" s="123">
        <f t="shared" si="222"/>
        <v>0.15260002411453777</v>
      </c>
      <c r="O117" s="123">
        <f t="shared" si="222"/>
        <v>0.14988882815804211</v>
      </c>
      <c r="P117" s="123">
        <f t="shared" si="222"/>
        <v>0.15463064398212872</v>
      </c>
      <c r="Q117" s="123">
        <f t="shared" si="222"/>
        <v>0.14941110432119734</v>
      </c>
      <c r="R117" s="123">
        <f t="shared" si="222"/>
        <v>0.14814855590014409</v>
      </c>
      <c r="S117" s="123">
        <f t="shared" si="222"/>
        <v>0.15720961249855642</v>
      </c>
      <c r="T117" s="123">
        <f t="shared" si="222"/>
        <v>0.16707045304999549</v>
      </c>
      <c r="U117" s="123">
        <f t="shared" si="222"/>
        <v>0.17190711336734768</v>
      </c>
      <c r="V117" s="123">
        <f t="shared" si="222"/>
        <v>0.13379579879360301</v>
      </c>
      <c r="W117" s="123">
        <f t="shared" ref="W117:Y117" si="223">IF(W16=0,0,W16/W$15)</f>
        <v>0.12320068504717058</v>
      </c>
      <c r="X117" s="123">
        <f t="shared" si="223"/>
        <v>0.13394227397946801</v>
      </c>
      <c r="Y117" s="123">
        <f t="shared" si="223"/>
        <v>0.14205983787756271</v>
      </c>
      <c r="DA117" s="203"/>
    </row>
    <row r="118" spans="1:105" ht="11.45" customHeight="1" x14ac:dyDescent="0.25">
      <c r="A118" s="109" t="s">
        <v>24</v>
      </c>
      <c r="B118" s="124">
        <f t="shared" si="219"/>
        <v>0.81472977363779164</v>
      </c>
      <c r="C118" s="124">
        <f t="shared" si="219"/>
        <v>0.82118391458434514</v>
      </c>
      <c r="D118" s="124">
        <f t="shared" si="219"/>
        <v>0.81846060687853683</v>
      </c>
      <c r="E118" s="124">
        <f t="shared" si="219"/>
        <v>0.82573395509502157</v>
      </c>
      <c r="F118" s="124">
        <f t="shared" si="219"/>
        <v>0.83651055211840097</v>
      </c>
      <c r="G118" s="124">
        <f t="shared" si="219"/>
        <v>0.82693923054616769</v>
      </c>
      <c r="H118" s="124">
        <f t="shared" si="219"/>
        <v>0.83179985601100281</v>
      </c>
      <c r="I118" s="124">
        <f t="shared" si="219"/>
        <v>0.83104288776090873</v>
      </c>
      <c r="J118" s="124">
        <f t="shared" si="219"/>
        <v>0.83837085463944405</v>
      </c>
      <c r="K118" s="124">
        <f t="shared" ref="K118:V118" si="224">IF(K17=0,0,K17/K$15)</f>
        <v>0.83882132072933102</v>
      </c>
      <c r="L118" s="124">
        <f t="shared" si="224"/>
        <v>0.83523444195205854</v>
      </c>
      <c r="M118" s="124">
        <f t="shared" si="224"/>
        <v>0.83089580921567563</v>
      </c>
      <c r="N118" s="124">
        <f t="shared" si="224"/>
        <v>0.81701876052867672</v>
      </c>
      <c r="O118" s="124">
        <f t="shared" si="224"/>
        <v>0.82077615301364359</v>
      </c>
      <c r="P118" s="124">
        <f t="shared" si="224"/>
        <v>0.8146491408723141</v>
      </c>
      <c r="Q118" s="124">
        <f t="shared" si="224"/>
        <v>0.81156966522939888</v>
      </c>
      <c r="R118" s="124">
        <f t="shared" si="224"/>
        <v>0.80396155113226242</v>
      </c>
      <c r="S118" s="124">
        <f t="shared" si="224"/>
        <v>0.79468342748103771</v>
      </c>
      <c r="T118" s="124">
        <f t="shared" si="224"/>
        <v>0.78320319691065965</v>
      </c>
      <c r="U118" s="124">
        <f t="shared" si="224"/>
        <v>0.77861804918045407</v>
      </c>
      <c r="V118" s="124">
        <f t="shared" si="224"/>
        <v>0.80933256205761406</v>
      </c>
      <c r="W118" s="124">
        <f t="shared" ref="W118:Y118" si="225">IF(W17=0,0,W17/W$15)</f>
        <v>0.81790419162827865</v>
      </c>
      <c r="X118" s="124">
        <f t="shared" si="225"/>
        <v>0.81719175258834609</v>
      </c>
      <c r="Y118" s="124">
        <f t="shared" si="225"/>
        <v>0.81093739105889817</v>
      </c>
      <c r="DA118" s="176"/>
    </row>
    <row r="119" spans="1:105" ht="11.45" customHeight="1" x14ac:dyDescent="0.25">
      <c r="A119" s="111" t="s">
        <v>92</v>
      </c>
      <c r="B119" s="125">
        <f t="shared" si="219"/>
        <v>5.8042219586352778E-2</v>
      </c>
      <c r="C119" s="125">
        <f t="shared" si="219"/>
        <v>5.4777009700273382E-2</v>
      </c>
      <c r="D119" s="125">
        <f t="shared" si="219"/>
        <v>5.8727770378644691E-2</v>
      </c>
      <c r="E119" s="125">
        <f t="shared" si="219"/>
        <v>6.063454523023061E-2</v>
      </c>
      <c r="F119" s="125">
        <f t="shared" si="219"/>
        <v>5.4069855841976489E-2</v>
      </c>
      <c r="G119" s="125">
        <f t="shared" si="219"/>
        <v>5.525687053220351E-2</v>
      </c>
      <c r="H119" s="125">
        <f t="shared" si="219"/>
        <v>6.9487193699253852E-2</v>
      </c>
      <c r="I119" s="125">
        <f t="shared" si="219"/>
        <v>7.2373410652977907E-2</v>
      </c>
      <c r="J119" s="125">
        <f t="shared" si="219"/>
        <v>6.9435985360976379E-2</v>
      </c>
      <c r="K119" s="125">
        <f t="shared" ref="K119:V119" si="226">IF(K18=0,0,K18/K$15)</f>
        <v>6.6471621938032716E-2</v>
      </c>
      <c r="L119" s="125">
        <f t="shared" si="226"/>
        <v>5.6706698440489853E-2</v>
      </c>
      <c r="M119" s="125">
        <f t="shared" si="226"/>
        <v>5.7200113912040419E-2</v>
      </c>
      <c r="N119" s="125">
        <f t="shared" si="226"/>
        <v>6.5585741589772872E-2</v>
      </c>
      <c r="O119" s="125">
        <f t="shared" si="226"/>
        <v>4.9537673795448531E-2</v>
      </c>
      <c r="P119" s="125">
        <f t="shared" si="226"/>
        <v>4.2394191216903132E-2</v>
      </c>
      <c r="Q119" s="125">
        <f t="shared" si="226"/>
        <v>5.8951766268815521E-2</v>
      </c>
      <c r="R119" s="125">
        <f t="shared" si="226"/>
        <v>6.253511533162659E-2</v>
      </c>
      <c r="S119" s="125">
        <f t="shared" si="226"/>
        <v>6.74691410606372E-2</v>
      </c>
      <c r="T119" s="125">
        <f t="shared" si="226"/>
        <v>5.4752269758212055E-2</v>
      </c>
      <c r="U119" s="125">
        <f t="shared" si="226"/>
        <v>5.2834380150174796E-2</v>
      </c>
      <c r="V119" s="125">
        <f t="shared" si="226"/>
        <v>4.6637678131780158E-2</v>
      </c>
      <c r="W119" s="125">
        <f t="shared" ref="W119:Y119" si="227">IF(W18=0,0,W18/W$15)</f>
        <v>4.525046571994356E-2</v>
      </c>
      <c r="X119" s="125">
        <f t="shared" si="227"/>
        <v>3.695531985904902E-2</v>
      </c>
      <c r="Y119" s="125">
        <f t="shared" si="227"/>
        <v>3.8296626144111445E-2</v>
      </c>
      <c r="DA119" s="171"/>
    </row>
    <row r="120" spans="1:105" ht="11.45" customHeight="1" x14ac:dyDescent="0.25">
      <c r="A120" s="111" t="s">
        <v>93</v>
      </c>
      <c r="B120" s="125">
        <f t="shared" si="219"/>
        <v>0.75668755405143884</v>
      </c>
      <c r="C120" s="125">
        <f t="shared" si="219"/>
        <v>0.76640690488407182</v>
      </c>
      <c r="D120" s="125">
        <f t="shared" si="219"/>
        <v>0.75973283649989209</v>
      </c>
      <c r="E120" s="125">
        <f t="shared" si="219"/>
        <v>0.76509940986479097</v>
      </c>
      <c r="F120" s="125">
        <f t="shared" si="219"/>
        <v>0.78244069627642443</v>
      </c>
      <c r="G120" s="125">
        <f t="shared" si="219"/>
        <v>0.77168236001396406</v>
      </c>
      <c r="H120" s="125">
        <f t="shared" si="219"/>
        <v>0.76231266231174899</v>
      </c>
      <c r="I120" s="125">
        <f t="shared" si="219"/>
        <v>0.75866947710793087</v>
      </c>
      <c r="J120" s="125">
        <f t="shared" si="219"/>
        <v>0.76893486927846766</v>
      </c>
      <c r="K120" s="125">
        <f t="shared" ref="K120:V120" si="228">IF(K19=0,0,K19/K$15)</f>
        <v>0.77234969879129822</v>
      </c>
      <c r="L120" s="125">
        <f t="shared" si="228"/>
        <v>0.77852774351156862</v>
      </c>
      <c r="M120" s="125">
        <f t="shared" si="228"/>
        <v>0.77369569530363513</v>
      </c>
      <c r="N120" s="125">
        <f t="shared" si="228"/>
        <v>0.7514330189389038</v>
      </c>
      <c r="O120" s="125">
        <f t="shared" si="228"/>
        <v>0.77123847921819499</v>
      </c>
      <c r="P120" s="125">
        <f t="shared" si="228"/>
        <v>0.77225494965541097</v>
      </c>
      <c r="Q120" s="125">
        <f t="shared" si="228"/>
        <v>0.7526178989605834</v>
      </c>
      <c r="R120" s="125">
        <f t="shared" si="228"/>
        <v>0.74142643580063594</v>
      </c>
      <c r="S120" s="125">
        <f t="shared" si="228"/>
        <v>0.72721428642040054</v>
      </c>
      <c r="T120" s="125">
        <f t="shared" si="228"/>
        <v>0.72845092715244752</v>
      </c>
      <c r="U120" s="125">
        <f t="shared" si="228"/>
        <v>0.72578366903027924</v>
      </c>
      <c r="V120" s="125">
        <f t="shared" si="228"/>
        <v>0.76269488392583396</v>
      </c>
      <c r="W120" s="125">
        <f t="shared" ref="W120:Y120" si="229">IF(W19=0,0,W19/W$15)</f>
        <v>0.77265372590833514</v>
      </c>
      <c r="X120" s="125">
        <f t="shared" si="229"/>
        <v>0.78023643272929699</v>
      </c>
      <c r="Y120" s="125">
        <f t="shared" si="229"/>
        <v>0.77264076491478662</v>
      </c>
      <c r="DA120" s="171"/>
    </row>
    <row r="121" spans="1:105" ht="11.45" customHeight="1" x14ac:dyDescent="0.25">
      <c r="A121" s="112" t="s">
        <v>25</v>
      </c>
      <c r="B121" s="126">
        <f t="shared" si="219"/>
        <v>3.8288133580665046E-2</v>
      </c>
      <c r="C121" s="126">
        <f t="shared" si="219"/>
        <v>3.7932988202374063E-2</v>
      </c>
      <c r="D121" s="126">
        <f t="shared" si="219"/>
        <v>3.8850353809331099E-2</v>
      </c>
      <c r="E121" s="126">
        <f t="shared" si="219"/>
        <v>3.5938456843576813E-2</v>
      </c>
      <c r="F121" s="126">
        <f t="shared" si="219"/>
        <v>3.5950921867226052E-2</v>
      </c>
      <c r="G121" s="126">
        <f t="shared" si="219"/>
        <v>3.8173262539981045E-2</v>
      </c>
      <c r="H121" s="126">
        <f t="shared" si="219"/>
        <v>3.6946067238052376E-2</v>
      </c>
      <c r="I121" s="126">
        <f t="shared" si="219"/>
        <v>3.6963518158230985E-2</v>
      </c>
      <c r="J121" s="126">
        <f t="shared" si="219"/>
        <v>3.677055572206616E-2</v>
      </c>
      <c r="K121" s="126">
        <f t="shared" ref="K121:V121" si="230">IF(K20=0,0,K20/K$15)</f>
        <v>3.5945295491310689E-2</v>
      </c>
      <c r="L121" s="126">
        <f t="shared" si="230"/>
        <v>3.4499541896909736E-2</v>
      </c>
      <c r="M121" s="126">
        <f t="shared" si="230"/>
        <v>2.9836669817762108E-2</v>
      </c>
      <c r="N121" s="126">
        <f t="shared" si="230"/>
        <v>3.0381215356785514E-2</v>
      </c>
      <c r="O121" s="126">
        <f t="shared" si="230"/>
        <v>2.9335018828314269E-2</v>
      </c>
      <c r="P121" s="126">
        <f t="shared" si="230"/>
        <v>3.0720215145557221E-2</v>
      </c>
      <c r="Q121" s="126">
        <f t="shared" si="230"/>
        <v>3.901923044940387E-2</v>
      </c>
      <c r="R121" s="126">
        <f t="shared" si="230"/>
        <v>4.7889892967593453E-2</v>
      </c>
      <c r="S121" s="126">
        <f t="shared" si="230"/>
        <v>4.8106960020405834E-2</v>
      </c>
      <c r="T121" s="126">
        <f t="shared" si="230"/>
        <v>4.9726350039344835E-2</v>
      </c>
      <c r="U121" s="126">
        <f t="shared" si="230"/>
        <v>4.9474837452198314E-2</v>
      </c>
      <c r="V121" s="126">
        <f t="shared" si="230"/>
        <v>5.6871639148782814E-2</v>
      </c>
      <c r="W121" s="126">
        <f t="shared" ref="W121:Y121" si="231">IF(W20=0,0,W20/W$15)</f>
        <v>5.8895123324550623E-2</v>
      </c>
      <c r="X121" s="126">
        <f t="shared" si="231"/>
        <v>4.8865973432185981E-2</v>
      </c>
      <c r="Y121" s="126">
        <f t="shared" si="231"/>
        <v>4.7002771063539062E-2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0.39440984562660875</v>
      </c>
      <c r="C123" s="125">
        <f t="shared" si="232"/>
        <v>0.3653935760070568</v>
      </c>
      <c r="D123" s="125">
        <f t="shared" si="232"/>
        <v>0.3049986719992504</v>
      </c>
      <c r="E123" s="125">
        <f t="shared" si="232"/>
        <v>0.28336101035929112</v>
      </c>
      <c r="F123" s="125">
        <f t="shared" si="232"/>
        <v>0.23666816088307355</v>
      </c>
      <c r="G123" s="125">
        <f t="shared" si="232"/>
        <v>0.2303022530706911</v>
      </c>
      <c r="H123" s="125">
        <f t="shared" si="232"/>
        <v>0.22997427403155021</v>
      </c>
      <c r="I123" s="125">
        <f t="shared" si="232"/>
        <v>0.23823771650390591</v>
      </c>
      <c r="J123" s="125">
        <f t="shared" si="232"/>
        <v>0.21428020281582574</v>
      </c>
      <c r="K123" s="125">
        <f t="shared" ref="K123:V123" si="235">IF(K22=0,0,K22/K$21)</f>
        <v>0.17609814197234974</v>
      </c>
      <c r="L123" s="125">
        <f t="shared" si="235"/>
        <v>0.15164448178309356</v>
      </c>
      <c r="M123" s="125">
        <f t="shared" si="235"/>
        <v>0.15134673133408783</v>
      </c>
      <c r="N123" s="125">
        <f t="shared" si="235"/>
        <v>0.18144581997072576</v>
      </c>
      <c r="O123" s="125">
        <f t="shared" si="235"/>
        <v>0.14391602373229798</v>
      </c>
      <c r="P123" s="125">
        <f t="shared" si="235"/>
        <v>0.12457658183215313</v>
      </c>
      <c r="Q123" s="125">
        <f t="shared" si="235"/>
        <v>0.11930497633950497</v>
      </c>
      <c r="R123" s="125">
        <f t="shared" si="235"/>
        <v>0.11878185630942449</v>
      </c>
      <c r="S123" s="125">
        <f t="shared" si="235"/>
        <v>0.12719662219079461</v>
      </c>
      <c r="T123" s="125">
        <f t="shared" si="235"/>
        <v>0.13744881317210048</v>
      </c>
      <c r="U123" s="125">
        <f t="shared" si="235"/>
        <v>0.14029116554927129</v>
      </c>
      <c r="V123" s="125">
        <f t="shared" si="235"/>
        <v>0.1430696174387609</v>
      </c>
      <c r="W123" s="125">
        <f t="shared" ref="W123:Y123" si="236">IF(W22=0,0,W22/W$21)</f>
        <v>0.14184552829879626</v>
      </c>
      <c r="X123" s="125">
        <f t="shared" si="236"/>
        <v>0.28599677436026233</v>
      </c>
      <c r="Y123" s="125">
        <f t="shared" si="236"/>
        <v>0.29098228998366182</v>
      </c>
      <c r="DA123" s="171"/>
    </row>
    <row r="124" spans="1:105" ht="11.45" customHeight="1" x14ac:dyDescent="0.25">
      <c r="A124" s="85" t="s">
        <v>93</v>
      </c>
      <c r="B124" s="127">
        <f t="shared" si="232"/>
        <v>0.60559015437339125</v>
      </c>
      <c r="C124" s="127">
        <f t="shared" si="232"/>
        <v>0.63460642399294309</v>
      </c>
      <c r="D124" s="127">
        <f t="shared" si="232"/>
        <v>0.69500132800074954</v>
      </c>
      <c r="E124" s="127">
        <f t="shared" si="232"/>
        <v>0.71663898964070882</v>
      </c>
      <c r="F124" s="127">
        <f t="shared" si="232"/>
        <v>0.76333183911692648</v>
      </c>
      <c r="G124" s="127">
        <f t="shared" si="232"/>
        <v>0.76969774692930892</v>
      </c>
      <c r="H124" s="127">
        <f t="shared" si="232"/>
        <v>0.77002572596844976</v>
      </c>
      <c r="I124" s="127">
        <f t="shared" si="232"/>
        <v>0.76176228349609409</v>
      </c>
      <c r="J124" s="127">
        <f t="shared" si="232"/>
        <v>0.78571979718417428</v>
      </c>
      <c r="K124" s="127">
        <f t="shared" ref="K124:V124" si="237">IF(K23=0,0,K23/K$21)</f>
        <v>0.82390185802765026</v>
      </c>
      <c r="L124" s="127">
        <f t="shared" si="237"/>
        <v>0.84835551821690647</v>
      </c>
      <c r="M124" s="127">
        <f t="shared" si="237"/>
        <v>0.84865326866591217</v>
      </c>
      <c r="N124" s="127">
        <f t="shared" si="237"/>
        <v>0.81855418002927427</v>
      </c>
      <c r="O124" s="127">
        <f t="shared" si="237"/>
        <v>0.85608397626770205</v>
      </c>
      <c r="P124" s="127">
        <f t="shared" si="237"/>
        <v>0.87542341816784686</v>
      </c>
      <c r="Q124" s="127">
        <f t="shared" si="237"/>
        <v>0.88069502366049512</v>
      </c>
      <c r="R124" s="127">
        <f t="shared" si="237"/>
        <v>0.88121814369057549</v>
      </c>
      <c r="S124" s="127">
        <f t="shared" si="237"/>
        <v>0.87280337780920536</v>
      </c>
      <c r="T124" s="127">
        <f t="shared" si="237"/>
        <v>0.86255118682789955</v>
      </c>
      <c r="U124" s="127">
        <f t="shared" si="237"/>
        <v>0.85970883445072876</v>
      </c>
      <c r="V124" s="127">
        <f t="shared" si="237"/>
        <v>0.8569303825612391</v>
      </c>
      <c r="W124" s="127">
        <f t="shared" ref="W124:Y124" si="238">IF(W23=0,0,W23/W$21)</f>
        <v>0.85815447170120374</v>
      </c>
      <c r="X124" s="127">
        <f t="shared" si="238"/>
        <v>0.71400322563973773</v>
      </c>
      <c r="Y124" s="127">
        <f t="shared" si="238"/>
        <v>0.70901771001633818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177.84608770421323</v>
      </c>
      <c r="C4" s="146">
        <f t="shared" ref="C4:V4" si="0">SUM(C5,C8)</f>
        <v>173.41358555460019</v>
      </c>
      <c r="D4" s="146">
        <f t="shared" si="0"/>
        <v>168.19432502149616</v>
      </c>
      <c r="E4" s="146">
        <f t="shared" si="0"/>
        <v>169.93551160791057</v>
      </c>
      <c r="F4" s="146">
        <f t="shared" si="0"/>
        <v>183.24307824591571</v>
      </c>
      <c r="G4" s="146">
        <f t="shared" si="0"/>
        <v>185.62914875322443</v>
      </c>
      <c r="H4" s="146">
        <f t="shared" si="0"/>
        <v>200.31384350816856</v>
      </c>
      <c r="I4" s="146">
        <f t="shared" si="0"/>
        <v>202.33018056749788</v>
      </c>
      <c r="J4" s="146">
        <f t="shared" si="0"/>
        <v>201.98194325021498</v>
      </c>
      <c r="K4" s="146">
        <f t="shared" si="0"/>
        <v>180.67067927773002</v>
      </c>
      <c r="L4" s="146">
        <f t="shared" si="0"/>
        <v>180.9802235597592</v>
      </c>
      <c r="M4" s="146">
        <f t="shared" si="0"/>
        <v>173.16276870163375</v>
      </c>
      <c r="N4" s="146">
        <f t="shared" si="0"/>
        <v>170.69793637145315</v>
      </c>
      <c r="O4" s="146">
        <f t="shared" si="0"/>
        <v>165.7552020636285</v>
      </c>
      <c r="P4" s="146">
        <f t="shared" si="0"/>
        <v>154.48555460017195</v>
      </c>
      <c r="Q4" s="146">
        <f t="shared" si="0"/>
        <v>156.7882201203783</v>
      </c>
      <c r="R4" s="146">
        <f t="shared" si="0"/>
        <v>158.16104901117794</v>
      </c>
      <c r="S4" s="146">
        <f t="shared" si="0"/>
        <v>163.36457437661224</v>
      </c>
      <c r="T4" s="146">
        <f t="shared" si="0"/>
        <v>163.84178847807388</v>
      </c>
      <c r="U4" s="146">
        <f t="shared" si="0"/>
        <v>164.17566638005161</v>
      </c>
      <c r="V4" s="146">
        <f t="shared" si="0"/>
        <v>145.42003439380909</v>
      </c>
      <c r="W4" s="146">
        <f t="shared" ref="W4:Y4" si="1">SUM(W5,W8)</f>
        <v>151.32381771281169</v>
      </c>
      <c r="X4" s="146">
        <f t="shared" si="1"/>
        <v>146.28271711092006</v>
      </c>
      <c r="Y4" s="146">
        <f t="shared" si="1"/>
        <v>148.42330180567492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54.028374892519338</v>
      </c>
      <c r="C5" s="101">
        <f t="shared" ref="C5:V5" si="2">SUM(C6:C7)</f>
        <v>47.618228718830601</v>
      </c>
      <c r="D5" s="101">
        <f t="shared" si="2"/>
        <v>43.34479793637145</v>
      </c>
      <c r="E5" s="101">
        <f t="shared" si="2"/>
        <v>41.818572656921752</v>
      </c>
      <c r="F5" s="101">
        <f t="shared" si="2"/>
        <v>40.801117798796213</v>
      </c>
      <c r="G5" s="101">
        <f t="shared" si="2"/>
        <v>42.32734307824591</v>
      </c>
      <c r="H5" s="101">
        <f t="shared" si="2"/>
        <v>50.97592433361995</v>
      </c>
      <c r="I5" s="101">
        <f t="shared" si="2"/>
        <v>54.333619948409279</v>
      </c>
      <c r="J5" s="101">
        <f t="shared" si="2"/>
        <v>50.365434221840069</v>
      </c>
      <c r="K5" s="101">
        <f t="shared" si="2"/>
        <v>37.850386930352528</v>
      </c>
      <c r="L5" s="101">
        <f t="shared" si="2"/>
        <v>33.576956147893377</v>
      </c>
      <c r="M5" s="101">
        <f t="shared" si="2"/>
        <v>32.457695614789337</v>
      </c>
      <c r="N5" s="101">
        <f t="shared" si="2"/>
        <v>37.138177128116943</v>
      </c>
      <c r="O5" s="101">
        <f t="shared" si="2"/>
        <v>28.48950988822012</v>
      </c>
      <c r="P5" s="101">
        <f t="shared" si="2"/>
        <v>22.791659501289772</v>
      </c>
      <c r="Q5" s="101">
        <f t="shared" si="2"/>
        <v>23.159673258813413</v>
      </c>
      <c r="R5" s="101">
        <f t="shared" si="2"/>
        <v>23.973602751504725</v>
      </c>
      <c r="S5" s="101">
        <f t="shared" si="2"/>
        <v>26.313843508168524</v>
      </c>
      <c r="T5" s="101">
        <f t="shared" si="2"/>
        <v>26.008598452278584</v>
      </c>
      <c r="U5" s="101">
        <f t="shared" si="2"/>
        <v>26.110318142734304</v>
      </c>
      <c r="V5" s="101">
        <f t="shared" si="2"/>
        <v>23.064058469475494</v>
      </c>
      <c r="W5" s="101">
        <f t="shared" ref="W5:Y5" si="3">SUM(W6:W7)</f>
        <v>23.782975064488387</v>
      </c>
      <c r="X5" s="101">
        <f t="shared" si="3"/>
        <v>22.447807394668956</v>
      </c>
      <c r="Y5" s="101">
        <f t="shared" si="3"/>
        <v>22.447377472055027</v>
      </c>
      <c r="DA5" s="175"/>
    </row>
    <row r="6" spans="1:105" ht="11.45" customHeight="1" x14ac:dyDescent="0.25">
      <c r="A6" s="164" t="s">
        <v>175</v>
      </c>
      <c r="B6" s="165">
        <v>54.028374892519338</v>
      </c>
      <c r="C6" s="165">
        <v>47.618228718830601</v>
      </c>
      <c r="D6" s="165">
        <v>43.34479793637145</v>
      </c>
      <c r="E6" s="165">
        <v>41.818572656921752</v>
      </c>
      <c r="F6" s="165">
        <v>40.801117798796213</v>
      </c>
      <c r="G6" s="165">
        <v>42.32734307824591</v>
      </c>
      <c r="H6" s="165">
        <v>50.97592433361995</v>
      </c>
      <c r="I6" s="165">
        <v>54.333619948409279</v>
      </c>
      <c r="J6" s="165">
        <v>50.365434221840069</v>
      </c>
      <c r="K6" s="165">
        <v>37.850386930352528</v>
      </c>
      <c r="L6" s="165">
        <v>33.576956147893377</v>
      </c>
      <c r="M6" s="165">
        <v>32.457695614789337</v>
      </c>
      <c r="N6" s="165">
        <v>37.138177128116943</v>
      </c>
      <c r="O6" s="165">
        <v>28.48950988822012</v>
      </c>
      <c r="P6" s="165">
        <v>22.791659501289772</v>
      </c>
      <c r="Q6" s="165">
        <v>23.159673258813413</v>
      </c>
      <c r="R6" s="165">
        <v>23.973602751504725</v>
      </c>
      <c r="S6" s="165">
        <v>26.313843508168524</v>
      </c>
      <c r="T6" s="165">
        <v>26.008598452278584</v>
      </c>
      <c r="U6" s="165">
        <v>26.110318142734304</v>
      </c>
      <c r="V6" s="165">
        <v>23.064058469475494</v>
      </c>
      <c r="W6" s="165">
        <v>23.782975064488387</v>
      </c>
      <c r="X6" s="165">
        <v>22.447807394668956</v>
      </c>
      <c r="Y6" s="165">
        <v>22.447377472055027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123.81771281169389</v>
      </c>
      <c r="C8" s="88">
        <v>125.7953568357696</v>
      </c>
      <c r="D8" s="88">
        <v>124.84952708512471</v>
      </c>
      <c r="E8" s="88">
        <v>128.11693895098881</v>
      </c>
      <c r="F8" s="88">
        <v>142.4419604471195</v>
      </c>
      <c r="G8" s="88">
        <v>143.30180567497851</v>
      </c>
      <c r="H8" s="88">
        <v>149.3379191745486</v>
      </c>
      <c r="I8" s="88">
        <v>147.9965606190886</v>
      </c>
      <c r="J8" s="88">
        <v>151.61650902837491</v>
      </c>
      <c r="K8" s="88">
        <v>142.82029234737749</v>
      </c>
      <c r="L8" s="88">
        <v>147.40326741186581</v>
      </c>
      <c r="M8" s="88">
        <v>140.70507308684441</v>
      </c>
      <c r="N8" s="88">
        <v>133.5597592433362</v>
      </c>
      <c r="O8" s="88">
        <v>137.26569217540839</v>
      </c>
      <c r="P8" s="88">
        <v>131.69389509888219</v>
      </c>
      <c r="Q8" s="88">
        <v>133.6285468615649</v>
      </c>
      <c r="R8" s="88">
        <v>134.18744625967321</v>
      </c>
      <c r="S8" s="88">
        <v>137.05073086844371</v>
      </c>
      <c r="T8" s="88">
        <v>137.83319002579529</v>
      </c>
      <c r="U8" s="88">
        <v>138.06534823731729</v>
      </c>
      <c r="V8" s="88">
        <v>122.35597592433361</v>
      </c>
      <c r="W8" s="88">
        <v>127.54084264832331</v>
      </c>
      <c r="X8" s="88">
        <v>123.8349097162511</v>
      </c>
      <c r="Y8" s="88">
        <v>125.9759243336199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177.84608770421323</v>
      </c>
      <c r="C10" s="62">
        <f t="shared" ref="C10:V10" si="5">SUM(C11,C17)</f>
        <v>173.41358555460022</v>
      </c>
      <c r="D10" s="62">
        <f t="shared" si="5"/>
        <v>168.19432502149616</v>
      </c>
      <c r="E10" s="62">
        <f t="shared" si="5"/>
        <v>169.9355116079106</v>
      </c>
      <c r="F10" s="62">
        <f t="shared" si="5"/>
        <v>183.24307824591571</v>
      </c>
      <c r="G10" s="62">
        <f t="shared" si="5"/>
        <v>185.6291487532244</v>
      </c>
      <c r="H10" s="62">
        <f t="shared" si="5"/>
        <v>200.31384350816859</v>
      </c>
      <c r="I10" s="62">
        <f t="shared" si="5"/>
        <v>202.33018056749785</v>
      </c>
      <c r="J10" s="62">
        <f t="shared" si="5"/>
        <v>201.98194325021498</v>
      </c>
      <c r="K10" s="62">
        <f t="shared" si="5"/>
        <v>180.67067927773002</v>
      </c>
      <c r="L10" s="62">
        <f t="shared" si="5"/>
        <v>180.98022355975917</v>
      </c>
      <c r="M10" s="62">
        <f t="shared" si="5"/>
        <v>173.16276870163372</v>
      </c>
      <c r="N10" s="62">
        <f t="shared" si="5"/>
        <v>170.69793637145312</v>
      </c>
      <c r="O10" s="62">
        <f t="shared" si="5"/>
        <v>165.7552020636285</v>
      </c>
      <c r="P10" s="62">
        <f t="shared" si="5"/>
        <v>154.48555460017198</v>
      </c>
      <c r="Q10" s="62">
        <f t="shared" si="5"/>
        <v>156.7882201203783</v>
      </c>
      <c r="R10" s="62">
        <f t="shared" si="5"/>
        <v>158.16104901117791</v>
      </c>
      <c r="S10" s="62">
        <f t="shared" si="5"/>
        <v>163.36457437661224</v>
      </c>
      <c r="T10" s="62">
        <f t="shared" si="5"/>
        <v>163.84178847807388</v>
      </c>
      <c r="U10" s="62">
        <f t="shared" si="5"/>
        <v>164.17566638005161</v>
      </c>
      <c r="V10" s="62">
        <f t="shared" si="5"/>
        <v>145.42003439380909</v>
      </c>
      <c r="W10" s="62">
        <f t="shared" ref="W10:Y10" si="6">SUM(W11,W17)</f>
        <v>151.32381771281172</v>
      </c>
      <c r="X10" s="62">
        <f t="shared" si="6"/>
        <v>146.28271711092006</v>
      </c>
      <c r="Y10" s="62">
        <f t="shared" si="6"/>
        <v>148.42330180567492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122.67149287162427</v>
      </c>
      <c r="C11" s="29">
        <f t="shared" ref="C11:V11" si="8">SUM(C12,C13,C16)</f>
        <v>124.75549089071257</v>
      </c>
      <c r="D11" s="29">
        <f t="shared" si="8"/>
        <v>124.44581877195661</v>
      </c>
      <c r="E11" s="29">
        <f t="shared" si="8"/>
        <v>128.84321164696766</v>
      </c>
      <c r="F11" s="29">
        <f t="shared" si="8"/>
        <v>137.02765332493701</v>
      </c>
      <c r="G11" s="29">
        <f t="shared" si="8"/>
        <v>135.04690180753053</v>
      </c>
      <c r="H11" s="29">
        <f t="shared" si="8"/>
        <v>142.98143611456916</v>
      </c>
      <c r="I11" s="29">
        <f t="shared" si="8"/>
        <v>142.46533889786036</v>
      </c>
      <c r="J11" s="29">
        <f t="shared" si="8"/>
        <v>147.028424854826</v>
      </c>
      <c r="K11" s="29">
        <f t="shared" si="8"/>
        <v>144.66157017338978</v>
      </c>
      <c r="L11" s="29">
        <f t="shared" si="8"/>
        <v>144.39334689152238</v>
      </c>
      <c r="M11" s="29">
        <f t="shared" si="8"/>
        <v>138.91561718549505</v>
      </c>
      <c r="N11" s="29">
        <f t="shared" si="8"/>
        <v>134.78371564187339</v>
      </c>
      <c r="O11" s="29">
        <f t="shared" si="8"/>
        <v>131.68944850692222</v>
      </c>
      <c r="P11" s="29">
        <f t="shared" si="8"/>
        <v>121.27240046569807</v>
      </c>
      <c r="Q11" s="29">
        <f t="shared" si="8"/>
        <v>123.35516241726222</v>
      </c>
      <c r="R11" s="29">
        <f t="shared" si="8"/>
        <v>122.91216101721812</v>
      </c>
      <c r="S11" s="29">
        <f t="shared" si="8"/>
        <v>125.75175538503504</v>
      </c>
      <c r="T11" s="29">
        <f t="shared" si="8"/>
        <v>117.59950076277993</v>
      </c>
      <c r="U11" s="29">
        <f t="shared" si="8"/>
        <v>116.5951268262487</v>
      </c>
      <c r="V11" s="29">
        <f t="shared" si="8"/>
        <v>98.560290892463286</v>
      </c>
      <c r="W11" s="29">
        <f t="shared" ref="W11:Y11" si="9">SUM(W12,W13,W16)</f>
        <v>101.73254608914756</v>
      </c>
      <c r="X11" s="29">
        <f t="shared" si="9"/>
        <v>118.54207991256166</v>
      </c>
      <c r="Y11" s="29">
        <f t="shared" si="9"/>
        <v>121.99346378512364</v>
      </c>
      <c r="DA11" s="173" t="s">
        <v>395</v>
      </c>
    </row>
    <row r="12" spans="1:105" ht="11.45" customHeight="1" x14ac:dyDescent="0.25">
      <c r="A12" s="107" t="s">
        <v>23</v>
      </c>
      <c r="B12" s="115">
        <v>5.2546348921872115</v>
      </c>
      <c r="C12" s="115">
        <v>5.1666908096310804</v>
      </c>
      <c r="D12" s="115">
        <v>5.1678632789339884</v>
      </c>
      <c r="E12" s="115">
        <v>5.2259918376143162</v>
      </c>
      <c r="F12" s="115">
        <v>5.1035592838660433</v>
      </c>
      <c r="G12" s="115">
        <v>5.2748187161024953</v>
      </c>
      <c r="H12" s="115">
        <v>5.3073819041150809</v>
      </c>
      <c r="I12" s="115">
        <v>5.2652621816315941</v>
      </c>
      <c r="J12" s="115">
        <v>5.2695434371627279</v>
      </c>
      <c r="K12" s="115">
        <v>5.2486407475266823</v>
      </c>
      <c r="L12" s="115">
        <v>5.5096958394803943</v>
      </c>
      <c r="M12" s="115">
        <v>5.7419757347067106</v>
      </c>
      <c r="N12" s="115">
        <v>6.1562704732919862</v>
      </c>
      <c r="O12" s="115">
        <v>6.1847051816054153</v>
      </c>
      <c r="P12" s="115">
        <v>6.0467144103555936</v>
      </c>
      <c r="Q12" s="115">
        <v>6.0312024746598212</v>
      </c>
      <c r="R12" s="115">
        <v>6.0644471943736633</v>
      </c>
      <c r="S12" s="115">
        <v>6.65842344413627</v>
      </c>
      <c r="T12" s="115">
        <v>6.8136687731275547</v>
      </c>
      <c r="U12" s="115">
        <v>7.0321701095885327</v>
      </c>
      <c r="V12" s="115">
        <v>4.5313699677241059</v>
      </c>
      <c r="W12" s="115">
        <v>4.2949262807017998</v>
      </c>
      <c r="X12" s="115">
        <v>5.5795637638661848</v>
      </c>
      <c r="Y12" s="115">
        <v>6.1435235400865187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109.68594648912256</v>
      </c>
      <c r="C13" s="116">
        <f t="shared" ref="C13:V13" si="11">SUM(C14:C15)</f>
        <v>111.68251394504824</v>
      </c>
      <c r="D13" s="116">
        <f t="shared" si="11"/>
        <v>111.22323225020665</v>
      </c>
      <c r="E13" s="116">
        <f t="shared" si="11"/>
        <v>115.80114503911614</v>
      </c>
      <c r="F13" s="116">
        <f t="shared" si="11"/>
        <v>123.57068008518684</v>
      </c>
      <c r="G13" s="116">
        <f t="shared" si="11"/>
        <v>121.19200858653564</v>
      </c>
      <c r="H13" s="116">
        <f t="shared" si="11"/>
        <v>129.14267154522531</v>
      </c>
      <c r="I13" s="116">
        <f t="shared" si="11"/>
        <v>128.67116339993271</v>
      </c>
      <c r="J13" s="116">
        <f t="shared" si="11"/>
        <v>132.72246855147415</v>
      </c>
      <c r="K13" s="116">
        <f t="shared" si="11"/>
        <v>130.65056373798905</v>
      </c>
      <c r="L13" s="116">
        <f t="shared" si="11"/>
        <v>130.31654490616083</v>
      </c>
      <c r="M13" s="116">
        <f t="shared" si="11"/>
        <v>125.93942369653909</v>
      </c>
      <c r="N13" s="116">
        <f t="shared" si="11"/>
        <v>121.42989764182525</v>
      </c>
      <c r="O13" s="116">
        <f t="shared" si="11"/>
        <v>118.35233372078045</v>
      </c>
      <c r="P13" s="116">
        <f t="shared" si="11"/>
        <v>108.11454258270234</v>
      </c>
      <c r="Q13" s="116">
        <f t="shared" si="11"/>
        <v>108.24282954627249</v>
      </c>
      <c r="R13" s="116">
        <f t="shared" si="11"/>
        <v>105.75536337436355</v>
      </c>
      <c r="S13" s="116">
        <f t="shared" si="11"/>
        <v>107.71432062460373</v>
      </c>
      <c r="T13" s="116">
        <f t="shared" si="11"/>
        <v>99.592958875239944</v>
      </c>
      <c r="U13" s="116">
        <f t="shared" si="11"/>
        <v>98.513623678867361</v>
      </c>
      <c r="V13" s="116">
        <f t="shared" si="11"/>
        <v>83.619384168848072</v>
      </c>
      <c r="W13" s="116">
        <f t="shared" ref="W13:Y13" si="12">SUM(W14:W15)</f>
        <v>86.425653546439591</v>
      </c>
      <c r="X13" s="116">
        <f t="shared" si="12"/>
        <v>102.10694127204324</v>
      </c>
      <c r="Y13" s="116">
        <f t="shared" si="12"/>
        <v>105.05615103502275</v>
      </c>
      <c r="DA13" s="176" t="s">
        <v>397</v>
      </c>
    </row>
    <row r="14" spans="1:105" ht="11.45" customHeight="1" x14ac:dyDescent="0.25">
      <c r="A14" s="111" t="s">
        <v>95</v>
      </c>
      <c r="B14" s="87">
        <v>18.227759782577181</v>
      </c>
      <c r="C14" s="87">
        <v>17.502801923499131</v>
      </c>
      <c r="D14" s="87">
        <v>18.476276520009023</v>
      </c>
      <c r="E14" s="87">
        <v>19.808935132708374</v>
      </c>
      <c r="F14" s="87">
        <v>18.82533831227148</v>
      </c>
      <c r="G14" s="87">
        <v>18.791643878281082</v>
      </c>
      <c r="H14" s="87">
        <v>24.397379202258094</v>
      </c>
      <c r="I14" s="87">
        <v>25.383568948095629</v>
      </c>
      <c r="J14" s="87">
        <v>25.981868684905155</v>
      </c>
      <c r="K14" s="87">
        <v>24.050394972212317</v>
      </c>
      <c r="L14" s="87">
        <v>20.94152607473945</v>
      </c>
      <c r="M14" s="87">
        <v>20.686959991463429</v>
      </c>
      <c r="N14" s="87">
        <v>23.244123964667374</v>
      </c>
      <c r="O14" s="87">
        <v>17.556662261787743</v>
      </c>
      <c r="P14" s="87">
        <v>13.39182960496022</v>
      </c>
      <c r="Q14" s="87">
        <v>14.075909489398585</v>
      </c>
      <c r="R14" s="87">
        <v>14.382828967693275</v>
      </c>
      <c r="S14" s="87">
        <v>15.448098308274954</v>
      </c>
      <c r="T14" s="87">
        <v>11.727332768164626</v>
      </c>
      <c r="U14" s="87">
        <v>11.107250286067082</v>
      </c>
      <c r="V14" s="87">
        <v>7.986424463718758</v>
      </c>
      <c r="W14" s="87">
        <v>7.8794257527684008</v>
      </c>
      <c r="X14" s="87">
        <v>7.6192783807303535</v>
      </c>
      <c r="Y14" s="87">
        <v>8.141043162963653</v>
      </c>
      <c r="DA14" s="171" t="s">
        <v>1108</v>
      </c>
    </row>
    <row r="15" spans="1:105" ht="11.45" customHeight="1" x14ac:dyDescent="0.25">
      <c r="A15" s="111" t="s">
        <v>93</v>
      </c>
      <c r="B15" s="87">
        <v>91.458186706545376</v>
      </c>
      <c r="C15" s="87">
        <v>94.179712021549108</v>
      </c>
      <c r="D15" s="87">
        <v>92.746955730197627</v>
      </c>
      <c r="E15" s="87">
        <v>95.992209906407766</v>
      </c>
      <c r="F15" s="87">
        <v>104.74534177291535</v>
      </c>
      <c r="G15" s="87">
        <v>102.40036470825456</v>
      </c>
      <c r="H15" s="87">
        <v>104.74529234296722</v>
      </c>
      <c r="I15" s="87">
        <v>103.28759445183707</v>
      </c>
      <c r="J15" s="87">
        <v>106.74059986656899</v>
      </c>
      <c r="K15" s="87">
        <v>106.60016876577674</v>
      </c>
      <c r="L15" s="87">
        <v>109.37501883142137</v>
      </c>
      <c r="M15" s="87">
        <v>105.25246370507567</v>
      </c>
      <c r="N15" s="87">
        <v>98.185773677157883</v>
      </c>
      <c r="O15" s="87">
        <v>100.79567145899271</v>
      </c>
      <c r="P15" s="87">
        <v>94.72271297774212</v>
      </c>
      <c r="Q15" s="87">
        <v>94.166920056873906</v>
      </c>
      <c r="R15" s="87">
        <v>91.372534406670283</v>
      </c>
      <c r="S15" s="87">
        <v>92.266222316328779</v>
      </c>
      <c r="T15" s="87">
        <v>87.865626107075315</v>
      </c>
      <c r="U15" s="87">
        <v>87.406373392800276</v>
      </c>
      <c r="V15" s="87">
        <v>75.632959705129309</v>
      </c>
      <c r="W15" s="87">
        <v>78.546227793671193</v>
      </c>
      <c r="X15" s="87">
        <v>94.487662891312894</v>
      </c>
      <c r="Y15" s="87">
        <v>96.915107872059096</v>
      </c>
      <c r="DA15" s="171" t="s">
        <v>1109</v>
      </c>
    </row>
    <row r="16" spans="1:105" ht="11.45" customHeight="1" x14ac:dyDescent="0.25">
      <c r="A16" s="112" t="s">
        <v>25</v>
      </c>
      <c r="B16" s="117">
        <v>7.7309114903144973</v>
      </c>
      <c r="C16" s="117">
        <v>7.9062861360332413</v>
      </c>
      <c r="D16" s="117">
        <v>8.0547232428159639</v>
      </c>
      <c r="E16" s="117">
        <v>7.8160747702371944</v>
      </c>
      <c r="F16" s="117">
        <v>8.3534139558841201</v>
      </c>
      <c r="G16" s="117">
        <v>8.5800745048923996</v>
      </c>
      <c r="H16" s="117">
        <v>8.5313826652287492</v>
      </c>
      <c r="I16" s="117">
        <v>8.5289133162960802</v>
      </c>
      <c r="J16" s="117">
        <v>9.0364128661891261</v>
      </c>
      <c r="K16" s="117">
        <v>8.7623656878740466</v>
      </c>
      <c r="L16" s="117">
        <v>8.5671061458811568</v>
      </c>
      <c r="M16" s="117">
        <v>7.2342177542492472</v>
      </c>
      <c r="N16" s="117">
        <v>7.1975475267561535</v>
      </c>
      <c r="O16" s="117">
        <v>7.152409604536361</v>
      </c>
      <c r="P16" s="117">
        <v>7.1111434726401432</v>
      </c>
      <c r="Q16" s="117">
        <v>9.0811303963299075</v>
      </c>
      <c r="R16" s="117">
        <v>11.092350448480921</v>
      </c>
      <c r="S16" s="117">
        <v>11.379011316295031</v>
      </c>
      <c r="T16" s="117">
        <v>11.192873114412425</v>
      </c>
      <c r="U16" s="117">
        <v>11.049333037792808</v>
      </c>
      <c r="V16" s="117">
        <v>10.409536755891116</v>
      </c>
      <c r="W16" s="117">
        <v>11.011966262006165</v>
      </c>
      <c r="X16" s="117">
        <v>10.855574876652232</v>
      </c>
      <c r="Y16" s="117">
        <v>10.793789210014371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55.174594832588951</v>
      </c>
      <c r="C17" s="29">
        <f t="shared" si="13"/>
        <v>48.658094663887638</v>
      </c>
      <c r="D17" s="29">
        <f t="shared" si="13"/>
        <v>43.748506249539545</v>
      </c>
      <c r="E17" s="29">
        <f t="shared" si="13"/>
        <v>41.092299960942924</v>
      </c>
      <c r="F17" s="29">
        <f t="shared" si="13"/>
        <v>46.215424920978705</v>
      </c>
      <c r="G17" s="29">
        <f t="shared" si="13"/>
        <v>50.582246945693875</v>
      </c>
      <c r="H17" s="29">
        <f t="shared" si="13"/>
        <v>57.332407393599425</v>
      </c>
      <c r="I17" s="29">
        <f t="shared" si="13"/>
        <v>59.864841669637499</v>
      </c>
      <c r="J17" s="29">
        <f t="shared" si="13"/>
        <v>54.953518395388983</v>
      </c>
      <c r="K17" s="29">
        <f t="shared" si="13"/>
        <v>36.009109104340226</v>
      </c>
      <c r="L17" s="29">
        <f t="shared" si="13"/>
        <v>36.586876668236798</v>
      </c>
      <c r="M17" s="29">
        <f t="shared" si="13"/>
        <v>34.247151516138679</v>
      </c>
      <c r="N17" s="29">
        <f t="shared" si="13"/>
        <v>35.914220729579739</v>
      </c>
      <c r="O17" s="29">
        <f t="shared" si="13"/>
        <v>34.065753556706284</v>
      </c>
      <c r="P17" s="29">
        <f t="shared" si="13"/>
        <v>33.213154134473911</v>
      </c>
      <c r="Q17" s="29">
        <f t="shared" si="13"/>
        <v>33.433057703116077</v>
      </c>
      <c r="R17" s="29">
        <f t="shared" si="13"/>
        <v>35.248887993959791</v>
      </c>
      <c r="S17" s="29">
        <f t="shared" si="13"/>
        <v>37.6128189915772</v>
      </c>
      <c r="T17" s="29">
        <f t="shared" si="13"/>
        <v>46.242287715293955</v>
      </c>
      <c r="U17" s="29">
        <f t="shared" si="13"/>
        <v>47.580539553802893</v>
      </c>
      <c r="V17" s="29">
        <f t="shared" si="13"/>
        <v>46.859743501345804</v>
      </c>
      <c r="W17" s="29">
        <f t="shared" si="13"/>
        <v>49.591271623664142</v>
      </c>
      <c r="X17" s="29">
        <f t="shared" ref="X17:Y17" si="14">SUM(X18:X19)</f>
        <v>27.740637198358399</v>
      </c>
      <c r="Y17" s="29">
        <f t="shared" si="14"/>
        <v>26.429838020551287</v>
      </c>
      <c r="DA17" s="173" t="s">
        <v>402</v>
      </c>
    </row>
    <row r="18" spans="1:105" ht="11.45" customHeight="1" x14ac:dyDescent="0.25">
      <c r="A18" s="83" t="s">
        <v>95</v>
      </c>
      <c r="B18" s="87">
        <v>35.800615109942157</v>
      </c>
      <c r="C18" s="87">
        <v>30.115426795331466</v>
      </c>
      <c r="D18" s="87">
        <v>24.86852141636243</v>
      </c>
      <c r="E18" s="87">
        <v>22.009637524213378</v>
      </c>
      <c r="F18" s="87">
        <v>21.975779486524733</v>
      </c>
      <c r="G18" s="87">
        <v>23.535699199964828</v>
      </c>
      <c r="H18" s="87">
        <v>26.578545131361857</v>
      </c>
      <c r="I18" s="87">
        <v>28.950051000313646</v>
      </c>
      <c r="J18" s="87">
        <v>24.383565536934913</v>
      </c>
      <c r="K18" s="87">
        <v>13.799991958140208</v>
      </c>
      <c r="L18" s="87">
        <v>12.635430073153927</v>
      </c>
      <c r="M18" s="87">
        <v>11.77073562332591</v>
      </c>
      <c r="N18" s="87">
        <v>13.894053163449568</v>
      </c>
      <c r="O18" s="87">
        <v>10.932847626432373</v>
      </c>
      <c r="P18" s="87">
        <v>9.3998298963295497</v>
      </c>
      <c r="Q18" s="87">
        <v>9.0837637694148281</v>
      </c>
      <c r="R18" s="87">
        <v>9.5907737838114482</v>
      </c>
      <c r="S18" s="87">
        <v>10.865745199893571</v>
      </c>
      <c r="T18" s="87">
        <v>14.281265684113956</v>
      </c>
      <c r="U18" s="87">
        <v>15.003067856667222</v>
      </c>
      <c r="V18" s="87">
        <v>15.077634005756739</v>
      </c>
      <c r="W18" s="87">
        <v>15.903549311719985</v>
      </c>
      <c r="X18" s="87">
        <v>14.828529013938601</v>
      </c>
      <c r="Y18" s="87">
        <v>14.306334309091373</v>
      </c>
      <c r="DA18" s="171" t="s">
        <v>1110</v>
      </c>
    </row>
    <row r="19" spans="1:105" ht="11.45" customHeight="1" x14ac:dyDescent="0.25">
      <c r="A19" s="85" t="s">
        <v>93</v>
      </c>
      <c r="B19" s="88">
        <v>19.373979722646791</v>
      </c>
      <c r="C19" s="88">
        <v>18.542667868556169</v>
      </c>
      <c r="D19" s="88">
        <v>18.879984833177115</v>
      </c>
      <c r="E19" s="88">
        <v>19.082662436729549</v>
      </c>
      <c r="F19" s="88">
        <v>24.239645434453973</v>
      </c>
      <c r="G19" s="88">
        <v>27.046547745729047</v>
      </c>
      <c r="H19" s="88">
        <v>30.753862262237568</v>
      </c>
      <c r="I19" s="88">
        <v>30.914790669323857</v>
      </c>
      <c r="J19" s="88">
        <v>30.569952858454073</v>
      </c>
      <c r="K19" s="88">
        <v>22.209117146200022</v>
      </c>
      <c r="L19" s="88">
        <v>23.951446595082874</v>
      </c>
      <c r="M19" s="88">
        <v>22.476415892812771</v>
      </c>
      <c r="N19" s="88">
        <v>22.020167566130173</v>
      </c>
      <c r="O19" s="88">
        <v>23.132905930273914</v>
      </c>
      <c r="P19" s="88">
        <v>23.813324238144361</v>
      </c>
      <c r="Q19" s="88">
        <v>24.349293933701251</v>
      </c>
      <c r="R19" s="88">
        <v>25.658114210148344</v>
      </c>
      <c r="S19" s="88">
        <v>26.747073791683626</v>
      </c>
      <c r="T19" s="88">
        <v>31.961022031179997</v>
      </c>
      <c r="U19" s="88">
        <v>32.577471697135671</v>
      </c>
      <c r="V19" s="88">
        <v>31.782109495589069</v>
      </c>
      <c r="W19" s="88">
        <v>33.687722311944157</v>
      </c>
      <c r="X19" s="88">
        <v>12.912108184419797</v>
      </c>
      <c r="Y19" s="88">
        <v>12.123503711459914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192.82893658115094</v>
      </c>
      <c r="C23" s="62">
        <f>IF(C10=0,0,C10/TrRail_act!C14*100)</f>
        <v>184.65023344963387</v>
      </c>
      <c r="D23" s="62">
        <f>IF(D10=0,0,D10/TrRail_act!D14*100)</f>
        <v>179.5525689937113</v>
      </c>
      <c r="E23" s="62">
        <f>IF(E10=0,0,E10/TrRail_act!E14*100)</f>
        <v>175.82981141219668</v>
      </c>
      <c r="F23" s="62">
        <f>IF(F10=0,0,F10/TrRail_act!F14*100)</f>
        <v>174.46112684183802</v>
      </c>
      <c r="G23" s="62">
        <f>IF(G10=0,0,G10/TrRail_act!G14*100)</f>
        <v>176.42120186528621</v>
      </c>
      <c r="H23" s="62">
        <f>IF(H10=0,0,H10/TrRail_act!H14*100)</f>
        <v>180.56580492530486</v>
      </c>
      <c r="I23" s="62">
        <f>IF(I10=0,0,I10/TrRail_act!I14*100)</f>
        <v>179.56654072733781</v>
      </c>
      <c r="J23" s="62">
        <f>IF(J10=0,0,J10/TrRail_act!J14*100)</f>
        <v>171.18138415331595</v>
      </c>
      <c r="K23" s="62">
        <f>IF(K10=0,0,K10/TrRail_act!K14*100)</f>
        <v>161.15810011070701</v>
      </c>
      <c r="L23" s="62">
        <f>IF(L10=0,0,L10/TrRail_act!L14*100)</f>
        <v>156.52463779316957</v>
      </c>
      <c r="M23" s="62">
        <f>IF(M10=0,0,M10/TrRail_act!M14*100)</f>
        <v>152.59618064567252</v>
      </c>
      <c r="N23" s="62">
        <f>IF(N10=0,0,N10/TrRail_act!N14*100)</f>
        <v>152.70358851684747</v>
      </c>
      <c r="O23" s="62">
        <f>IF(O10=0,0,O10/TrRail_act!O14*100)</f>
        <v>143.46194381576277</v>
      </c>
      <c r="P23" s="62">
        <f>IF(P10=0,0,P10/TrRail_act!P14*100)</f>
        <v>138.50244005390087</v>
      </c>
      <c r="Q23" s="62">
        <f>IF(Q10=0,0,Q10/TrRail_act!Q14*100)</f>
        <v>135.79563573548586</v>
      </c>
      <c r="R23" s="62">
        <f>IF(R10=0,0,R10/TrRail_act!R14*100)</f>
        <v>133.43369380941564</v>
      </c>
      <c r="S23" s="62">
        <f>IF(S10=0,0,S10/TrRail_act!S14*100)</f>
        <v>132.30298192642735</v>
      </c>
      <c r="T23" s="62">
        <f>IF(T10=0,0,T10/TrRail_act!T14*100)</f>
        <v>132.91321883115208</v>
      </c>
      <c r="U23" s="62">
        <f>IF(U10=0,0,U10/TrRail_act!U14*100)</f>
        <v>131.92683064002273</v>
      </c>
      <c r="V23" s="62">
        <f>IF(V10=0,0,V10/TrRail_act!V14*100)</f>
        <v>136.71352830152904</v>
      </c>
      <c r="W23" s="62">
        <f>IF(W10=0,0,W10/TrRail_act!W14*100)</f>
        <v>137.16203630525436</v>
      </c>
      <c r="X23" s="62">
        <f>IF(X10=0,0,X10/TrRail_act!X14*100)</f>
        <v>125.55117511751889</v>
      </c>
      <c r="Y23" s="62">
        <f>IF(Y10=0,0,Y10/TrRail_act!Y14*100)</f>
        <v>123.5217459892648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157.19813299253596</v>
      </c>
      <c r="C24" s="29">
        <f>IF(C11=0,0,C11/TrRail_act!C15*100)</f>
        <v>154.10992482756646</v>
      </c>
      <c r="D24" s="29">
        <f>IF(D11=0,0,D11/TrRail_act!D15*100)</f>
        <v>153.98096912730429</v>
      </c>
      <c r="E24" s="29">
        <f>IF(E11=0,0,E11/TrRail_act!E15*100)</f>
        <v>152.67998028786269</v>
      </c>
      <c r="F24" s="29">
        <f>IF(F11=0,0,F11/TrRail_act!F15*100)</f>
        <v>151.72112072473826</v>
      </c>
      <c r="G24" s="29">
        <f>IF(G11=0,0,G11/TrRail_act!G15*100)</f>
        <v>151.98056715536273</v>
      </c>
      <c r="H24" s="29">
        <f>IF(H11=0,0,H11/TrRail_act!H15*100)</f>
        <v>154.88082061186665</v>
      </c>
      <c r="I24" s="29">
        <f>IF(I11=0,0,I11/TrRail_act!I15*100)</f>
        <v>153.18194533820719</v>
      </c>
      <c r="J24" s="29">
        <f>IF(J11=0,0,J11/TrRail_act!J15*100)</f>
        <v>147.79433813154722</v>
      </c>
      <c r="K24" s="29">
        <f>IF(K11=0,0,K11/TrRail_act!K15*100)</f>
        <v>145.69340842102503</v>
      </c>
      <c r="L24" s="29">
        <f>IF(L11=0,0,L11/TrRail_act!L15*100)</f>
        <v>141.64072563887115</v>
      </c>
      <c r="M24" s="29">
        <f>IF(M11=0,0,M11/TrRail_act!M15*100)</f>
        <v>138.15931341647519</v>
      </c>
      <c r="N24" s="29">
        <f>IF(N11=0,0,N11/TrRail_act!N15*100)</f>
        <v>136.49643638344986</v>
      </c>
      <c r="O24" s="29">
        <f>IF(O11=0,0,O11/TrRail_act!O15*100)</f>
        <v>128.77041504802952</v>
      </c>
      <c r="P24" s="29">
        <f>IF(P11=0,0,P11/TrRail_act!P15*100)</f>
        <v>123.48406475056075</v>
      </c>
      <c r="Q24" s="29">
        <f>IF(Q11=0,0,Q11/TrRail_act!Q15*100)</f>
        <v>120.99606610062339</v>
      </c>
      <c r="R24" s="29">
        <f>IF(R11=0,0,R11/TrRail_act!R15*100)</f>
        <v>118.38797738395392</v>
      </c>
      <c r="S24" s="29">
        <f>IF(S11=0,0,S11/TrRail_act!S15*100)</f>
        <v>116.69627061735599</v>
      </c>
      <c r="T24" s="29">
        <f>IF(T11=0,0,T11/TrRail_act!T15*100)</f>
        <v>113.06569687691714</v>
      </c>
      <c r="U24" s="29">
        <f>IF(U11=0,0,U11/TrRail_act!U15*100)</f>
        <v>111.56302240306566</v>
      </c>
      <c r="V24" s="29">
        <f>IF(V11=0,0,V11/TrRail_act!V15*100)</f>
        <v>113.75534266312364</v>
      </c>
      <c r="W24" s="29">
        <f>IF(W11=0,0,W11/TrRail_act!W15*100)</f>
        <v>113.95681531852351</v>
      </c>
      <c r="X24" s="29">
        <f>IF(X11=0,0,X11/TrRail_act!X15*100)</f>
        <v>111.04206483842145</v>
      </c>
      <c r="Y24" s="29">
        <f>IF(Y11=0,0,Y11/TrRail_act!Y15*100)</f>
        <v>110.01296009846435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45.812274237788387</v>
      </c>
      <c r="C25" s="115">
        <f>IF(C12=0,0,C12/TrRail_act!C16*100)</f>
        <v>45.302745372209834</v>
      </c>
      <c r="D25" s="115">
        <f>IF(D12=0,0,D12/TrRail_act!D16*100)</f>
        <v>44.813322150988917</v>
      </c>
      <c r="E25" s="115">
        <f>IF(E12=0,0,E12/TrRail_act!E16*100)</f>
        <v>44.769317734744554</v>
      </c>
      <c r="F25" s="115">
        <f>IF(F12=0,0,F12/TrRail_act!F16*100)</f>
        <v>44.306719149807506</v>
      </c>
      <c r="G25" s="115">
        <f>IF(G12=0,0,G12/TrRail_act!G16*100)</f>
        <v>44.008771587203277</v>
      </c>
      <c r="H25" s="115">
        <f>IF(H12=0,0,H12/TrRail_act!H16*100)</f>
        <v>43.801151108780466</v>
      </c>
      <c r="I25" s="115">
        <f>IF(I12=0,0,I12/TrRail_act!I16*100)</f>
        <v>42.89093483777026</v>
      </c>
      <c r="J25" s="115">
        <f>IF(J12=0,0,J12/TrRail_act!J16*100)</f>
        <v>42.423945498199636</v>
      </c>
      <c r="K25" s="115">
        <f>IF(K12=0,0,K12/TrRail_act!K16*100)</f>
        <v>42.209816223507687</v>
      </c>
      <c r="L25" s="115">
        <f>IF(L12=0,0,L12/TrRail_act!L16*100)</f>
        <v>41.489428523993936</v>
      </c>
      <c r="M25" s="115">
        <f>IF(M12=0,0,M12/TrRail_act!M16*100)</f>
        <v>41.005357389150298</v>
      </c>
      <c r="N25" s="115">
        <f>IF(N12=0,0,N12/TrRail_act!N16*100)</f>
        <v>40.855165899432173</v>
      </c>
      <c r="O25" s="115">
        <f>IF(O12=0,0,O12/TrRail_act!O16*100)</f>
        <v>40.347335017005697</v>
      </c>
      <c r="P25" s="115">
        <f>IF(P12=0,0,P12/TrRail_act!P16*100)</f>
        <v>39.817394247718042</v>
      </c>
      <c r="Q25" s="115">
        <f>IF(Q12=0,0,Q12/TrRail_act!Q16*100)</f>
        <v>39.594508277402255</v>
      </c>
      <c r="R25" s="115">
        <f>IF(R12=0,0,R12/TrRail_act!R16*100)</f>
        <v>39.428162952317223</v>
      </c>
      <c r="S25" s="115">
        <f>IF(S12=0,0,S12/TrRail_act!S16*100)</f>
        <v>39.303862741996205</v>
      </c>
      <c r="T25" s="115">
        <f>IF(T12=0,0,T12/TrRail_act!T16*100)</f>
        <v>39.210894813708094</v>
      </c>
      <c r="U25" s="115">
        <f>IF(U12=0,0,U12/TrRail_act!U16*100)</f>
        <v>39.141313207275189</v>
      </c>
      <c r="V25" s="115">
        <f>IF(V12=0,0,V12/TrRail_act!V16*100)</f>
        <v>39.089208045489734</v>
      </c>
      <c r="W25" s="115">
        <f>IF(W12=0,0,W12/TrRail_act!W16*100)</f>
        <v>39.050174698486288</v>
      </c>
      <c r="X25" s="115">
        <f>IF(X12=0,0,X12/TrRail_act!X16*100)</f>
        <v>39.020925269390503</v>
      </c>
      <c r="Y25" s="115">
        <f>IF(Y12=0,0,Y12/TrRail_act!Y16*100)</f>
        <v>38.999002575891659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172.52066869328863</v>
      </c>
      <c r="C26" s="116">
        <f>IF(C13=0,0,C13/TrRail_act!C17*100)</f>
        <v>168.00247766196259</v>
      </c>
      <c r="D26" s="116">
        <f>IF(D13=0,0,D13/TrRail_act!D17*100)</f>
        <v>168.14519833847444</v>
      </c>
      <c r="E26" s="116">
        <f>IF(E13=0,0,E13/TrRail_act!E17*100)</f>
        <v>166.18555179183244</v>
      </c>
      <c r="F26" s="116">
        <f>IF(F13=0,0,F13/TrRail_act!F17*100)</f>
        <v>163.56178253880171</v>
      </c>
      <c r="G26" s="116">
        <f>IF(G13=0,0,G13/TrRail_act!G17*100)</f>
        <v>164.93158149232315</v>
      </c>
      <c r="H26" s="116">
        <f>IF(H13=0,0,H13/TrRail_act!H17*100)</f>
        <v>168.17789473492152</v>
      </c>
      <c r="I26" s="116">
        <f>IF(I13=0,0,I13/TrRail_act!I17*100)</f>
        <v>166.47773392526358</v>
      </c>
      <c r="J26" s="116">
        <f>IF(J13=0,0,J13/TrRail_act!J17*100)</f>
        <v>159.13465652616034</v>
      </c>
      <c r="K26" s="116">
        <f>IF(K13=0,0,K13/TrRail_act!K17*100)</f>
        <v>156.86590385252509</v>
      </c>
      <c r="L26" s="116">
        <f>IF(L13=0,0,L13/TrRail_act!L17*100)</f>
        <v>153.04957299334126</v>
      </c>
      <c r="M26" s="116">
        <f>IF(M13=0,0,M13/TrRail_act!M17*100)</f>
        <v>150.74545489323071</v>
      </c>
      <c r="N26" s="116">
        <f>IF(N13=0,0,N13/TrRail_act!N17*100)</f>
        <v>150.51420478282586</v>
      </c>
      <c r="O26" s="116">
        <f>IF(O13=0,0,O13/TrRail_act!O17*100)</f>
        <v>140.99938313779265</v>
      </c>
      <c r="P26" s="116">
        <f>IF(P13=0,0,P13/TrRail_act!P17*100)</f>
        <v>135.13332227644605</v>
      </c>
      <c r="Q26" s="116">
        <f>IF(Q13=0,0,Q13/TrRail_act!Q17*100)</f>
        <v>130.82394824029475</v>
      </c>
      <c r="R26" s="116">
        <f>IF(R13=0,0,R13/TrRail_act!R17*100)</f>
        <v>126.70094929933657</v>
      </c>
      <c r="S26" s="116">
        <f>IF(S13=0,0,S13/TrRail_act!S17*100)</f>
        <v>125.78307605866495</v>
      </c>
      <c r="T26" s="116">
        <f>IF(T13=0,0,T13/TrRail_act!T17*100)</f>
        <v>122.25864257994898</v>
      </c>
      <c r="U26" s="116">
        <f>IF(U13=0,0,U13/TrRail_act!U17*100)</f>
        <v>121.06307466886604</v>
      </c>
      <c r="V26" s="116">
        <f>IF(V13=0,0,V13/TrRail_act!V17*100)</f>
        <v>119.24763576463396</v>
      </c>
      <c r="W26" s="116">
        <f>IF(W13=0,0,W13/TrRail_act!W17*100)</f>
        <v>118.36427120087316</v>
      </c>
      <c r="X26" s="116">
        <f>IF(X13=0,0,X13/TrRail_act!X17*100)</f>
        <v>117.04322441418473</v>
      </c>
      <c r="Y26" s="116">
        <f>IF(Y13=0,0,Y13/TrRail_act!Y17*100)</f>
        <v>116.82652201585265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402.43247333365571</v>
      </c>
      <c r="C27" s="87">
        <f>IF(C14=0,0,C14/TrRail_act!C18*100)</f>
        <v>394.71187906024954</v>
      </c>
      <c r="D27" s="87">
        <f>IF(D14=0,0,D14/TrRail_act!D18*100)</f>
        <v>389.27604534223804</v>
      </c>
      <c r="E27" s="87">
        <f>IF(E14=0,0,E14/TrRail_act!E18*100)</f>
        <v>387.13421723744534</v>
      </c>
      <c r="F27" s="87">
        <f>IF(F14=0,0,F14/TrRail_act!F18*100)</f>
        <v>385.50090312288097</v>
      </c>
      <c r="G27" s="87">
        <f>IF(G14=0,0,G14/TrRail_act!G18*100)</f>
        <v>382.72067513789744</v>
      </c>
      <c r="H27" s="87">
        <f>IF(H14=0,0,H14/TrRail_act!H18*100)</f>
        <v>380.32632755779849</v>
      </c>
      <c r="I27" s="87">
        <f>IF(I14=0,0,I14/TrRail_act!I18*100)</f>
        <v>377.11343918567633</v>
      </c>
      <c r="J27" s="87">
        <f>IF(J14=0,0,J14/TrRail_act!J18*100)</f>
        <v>376.13372320515248</v>
      </c>
      <c r="K27" s="87">
        <f>IF(K14=0,0,K14/TrRail_act!K18*100)</f>
        <v>364.39521545410372</v>
      </c>
      <c r="L27" s="87">
        <f>IF(L14=0,0,L14/TrRail_act!L18*100)</f>
        <v>362.25544686625841</v>
      </c>
      <c r="M27" s="87">
        <f>IF(M14=0,0,M14/TrRail_act!M18*100)</f>
        <v>359.69042284758132</v>
      </c>
      <c r="N27" s="87">
        <f>IF(N14=0,0,N14/TrRail_act!N18*100)</f>
        <v>358.91171812283949</v>
      </c>
      <c r="O27" s="87">
        <f>IF(O14=0,0,O14/TrRail_act!O18*100)</f>
        <v>346.55443594878557</v>
      </c>
      <c r="P27" s="87">
        <f>IF(P14=0,0,P14/TrRail_act!P18*100)</f>
        <v>321.64922045520501</v>
      </c>
      <c r="Q27" s="87">
        <f>IF(Q14=0,0,Q14/TrRail_act!Q18*100)</f>
        <v>234.20359922656689</v>
      </c>
      <c r="R27" s="87">
        <f>IF(R14=0,0,R14/TrRail_act!R18*100)</f>
        <v>221.5302856033671</v>
      </c>
      <c r="S27" s="87">
        <f>IF(S14=0,0,S14/TrRail_act!S18*100)</f>
        <v>212.47741016401545</v>
      </c>
      <c r="T27" s="87">
        <f>IF(T14=0,0,T14/TrRail_act!T18*100)</f>
        <v>205.9313690878665</v>
      </c>
      <c r="U27" s="87">
        <f>IF(U14=0,0,U14/TrRail_act!U18*100)</f>
        <v>201.15452834935553</v>
      </c>
      <c r="V27" s="87">
        <f>IF(V14=0,0,V14/TrRail_act!V18*100)</f>
        <v>197.64475511048491</v>
      </c>
      <c r="W27" s="87">
        <f>IF(W14=0,0,W14/TrRail_act!W18*100)</f>
        <v>195.05267204988331</v>
      </c>
      <c r="X27" s="87">
        <f>IF(X14=0,0,X14/TrRail_act!X18*100)</f>
        <v>193.13094332639685</v>
      </c>
      <c r="Y27" s="87">
        <f>IF(Y14=0,0,Y14/TrRail_act!Y18*100)</f>
        <v>191.702082164883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154.88513156970106</v>
      </c>
      <c r="C28" s="87">
        <f>IF(C15=0,0,C15/TrRail_act!C19*100)</f>
        <v>151.7989922805051</v>
      </c>
      <c r="D28" s="87">
        <f>IF(D15=0,0,D15/TrRail_act!D19*100)</f>
        <v>151.05166100197934</v>
      </c>
      <c r="E28" s="87">
        <f>IF(E15=0,0,E15/TrRail_act!E19*100)</f>
        <v>148.67524963268076</v>
      </c>
      <c r="F28" s="87">
        <f>IF(F15=0,0,F15/TrRail_act!F19*100)</f>
        <v>148.22488056938178</v>
      </c>
      <c r="G28" s="87">
        <f>IF(G15=0,0,G15/TrRail_act!G19*100)</f>
        <v>149.33663676573684</v>
      </c>
      <c r="H28" s="87">
        <f>IF(H15=0,0,H15/TrRail_act!H19*100)</f>
        <v>148.83989869553812</v>
      </c>
      <c r="I28" s="87">
        <f>IF(I15=0,0,I15/TrRail_act!I19*100)</f>
        <v>146.38410309526938</v>
      </c>
      <c r="J28" s="87">
        <f>IF(J15=0,0,J15/TrRail_act!J19*100)</f>
        <v>139.53931156358018</v>
      </c>
      <c r="K28" s="87">
        <f>IF(K15=0,0,K15/TrRail_act!K19*100)</f>
        <v>139.00506961716675</v>
      </c>
      <c r="L28" s="87">
        <f>IF(L15=0,0,L15/TrRail_act!L19*100)</f>
        <v>137.81135637156666</v>
      </c>
      <c r="M28" s="87">
        <f>IF(M15=0,0,M15/TrRail_act!M19*100)</f>
        <v>135.29793975144611</v>
      </c>
      <c r="N28" s="87">
        <f>IF(N15=0,0,N15/TrRail_act!N19*100)</f>
        <v>132.32508464385489</v>
      </c>
      <c r="O28" s="87">
        <f>IF(O15=0,0,O15/TrRail_act!O19*100)</f>
        <v>127.79630856677362</v>
      </c>
      <c r="P28" s="87">
        <f>IF(P15=0,0,P15/TrRail_act!P19*100)</f>
        <v>124.89422875440255</v>
      </c>
      <c r="Q28" s="87">
        <f>IF(Q15=0,0,Q15/TrRail_act!Q19*100)</f>
        <v>122.72632920902905</v>
      </c>
      <c r="R28" s="87">
        <f>IF(R15=0,0,R15/TrRail_act!R19*100)</f>
        <v>118.70263254631924</v>
      </c>
      <c r="S28" s="87">
        <f>IF(S15=0,0,S15/TrRail_act!S19*100)</f>
        <v>117.73979037776388</v>
      </c>
      <c r="T28" s="87">
        <f>IF(T15=0,0,T15/TrRail_act!T19*100)</f>
        <v>115.96958243546538</v>
      </c>
      <c r="U28" s="87">
        <f>IF(U15=0,0,U15/TrRail_act!U19*100)</f>
        <v>115.23271158534708</v>
      </c>
      <c r="V28" s="87">
        <f>IF(V15=0,0,V15/TrRail_act!V19*100)</f>
        <v>114.45376642635989</v>
      </c>
      <c r="W28" s="87">
        <f>IF(W15=0,0,W15/TrRail_act!W19*100)</f>
        <v>113.87301497913442</v>
      </c>
      <c r="X28" s="87">
        <f>IF(X15=0,0,X15/TrRail_act!X19*100)</f>
        <v>113.439386049562</v>
      </c>
      <c r="Y28" s="87">
        <f>IF(Y15=0,0,Y15/TrRail_act!Y19*100)</f>
        <v>113.11524833658386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258.74397029013647</v>
      </c>
      <c r="C29" s="117">
        <f>IF(C16=0,0,C16/TrRail_act!C20*100)</f>
        <v>257.46986841216557</v>
      </c>
      <c r="D29" s="117">
        <f>IF(D16=0,0,D16/TrRail_act!D20*100)</f>
        <v>256.53249425443153</v>
      </c>
      <c r="E29" s="117">
        <f>IF(E16=0,0,E16/TrRail_act!E20*100)</f>
        <v>257.72101529167264</v>
      </c>
      <c r="F29" s="117">
        <f>IF(F16=0,0,F16/TrRail_act!F20*100)</f>
        <v>257.27156841749689</v>
      </c>
      <c r="G29" s="117">
        <f>IF(G16=0,0,G16/TrRail_act!G20*100)</f>
        <v>252.95030969612031</v>
      </c>
      <c r="H29" s="117">
        <f>IF(H16=0,0,H16/TrRail_act!H20*100)</f>
        <v>250.13196338785423</v>
      </c>
      <c r="I29" s="117">
        <f>IF(I16=0,0,I16/TrRail_act!I20*100)</f>
        <v>248.09543039389007</v>
      </c>
      <c r="J29" s="117">
        <f>IF(J16=0,0,J16/TrRail_act!J20*100)</f>
        <v>247.03151629822653</v>
      </c>
      <c r="K29" s="117">
        <f>IF(K16=0,0,K16/TrRail_act!K20*100)</f>
        <v>245.50822406810582</v>
      </c>
      <c r="L29" s="117">
        <f>IF(L16=0,0,L16/TrRail_act!L20*100)</f>
        <v>243.59130355078639</v>
      </c>
      <c r="M29" s="117">
        <f>IF(M16=0,0,M16/TrRail_act!M20*100)</f>
        <v>241.14059180830822</v>
      </c>
      <c r="N29" s="117">
        <f>IF(N16=0,0,N16/TrRail_act!N20*100)</f>
        <v>239.91825089187179</v>
      </c>
      <c r="O29" s="117">
        <f>IF(O16=0,0,O16/TrRail_act!O20*100)</f>
        <v>238.41365348454536</v>
      </c>
      <c r="P29" s="117">
        <f>IF(P16=0,0,P16/TrRail_act!P20*100)</f>
        <v>235.70246843354798</v>
      </c>
      <c r="Q29" s="117">
        <f>IF(Q16=0,0,Q16/TrRail_act!Q20*100)</f>
        <v>228.283820923326</v>
      </c>
      <c r="R29" s="117">
        <f>IF(R16=0,0,R16/TrRail_act!R20*100)</f>
        <v>223.09634852133792</v>
      </c>
      <c r="S29" s="117">
        <f>IF(S16=0,0,S16/TrRail_act!S20*100)</f>
        <v>219.50253310754303</v>
      </c>
      <c r="T29" s="117">
        <f>IF(T16=0,0,T16/TrRail_act!T20*100)</f>
        <v>216.41152404724627</v>
      </c>
      <c r="U29" s="117">
        <f>IF(U16=0,0,U16/TrRail_act!U20*100)</f>
        <v>213.69362193358472</v>
      </c>
      <c r="V29" s="117">
        <f>IF(V16=0,0,V16/TrRail_act!V20*100)</f>
        <v>211.25426408640408</v>
      </c>
      <c r="W29" s="117">
        <f>IF(W16=0,0,W16/TrRail_act!W20*100)</f>
        <v>209.44303694319362</v>
      </c>
      <c r="X29" s="117">
        <f>IF(X16=0,0,X16/TrRail_act!X20*100)</f>
        <v>208.09481471906929</v>
      </c>
      <c r="Y29" s="117">
        <f>IF(Y16=0,0,Y16/TrRail_act!Y20*100)</f>
        <v>207.08934654018174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388.72454057205459</v>
      </c>
      <c r="C30" s="29">
        <f>IF(C17=0,0,C17/TrRail_act!C21*100)</f>
        <v>375.38003219631452</v>
      </c>
      <c r="D30" s="29">
        <f>IF(D17=0,0,D17/TrRail_act!D21*100)</f>
        <v>340.31812837217524</v>
      </c>
      <c r="E30" s="29">
        <f>IF(E17=0,0,E17/TrRail_act!E21*100)</f>
        <v>335.17464171097396</v>
      </c>
      <c r="F30" s="29">
        <f>IF(F17=0,0,F17/TrRail_act!F21*100)</f>
        <v>314.00013963757726</v>
      </c>
      <c r="G30" s="29">
        <f>IF(G17=0,0,G17/TrRail_act!G21*100)</f>
        <v>309.15804212598027</v>
      </c>
      <c r="H30" s="29">
        <f>IF(H17=0,0,H17/TrRail_act!H21*100)</f>
        <v>307.91289088451771</v>
      </c>
      <c r="I30" s="29">
        <f>IF(I17=0,0,I17/TrRail_act!I21*100)</f>
        <v>304.29962074122955</v>
      </c>
      <c r="J30" s="29">
        <f>IF(J17=0,0,J17/TrRail_act!J21*100)</f>
        <v>296.86685987868839</v>
      </c>
      <c r="K30" s="29">
        <f>IF(K17=0,0,K17/TrRail_act!K21*100)</f>
        <v>280.97103754177442</v>
      </c>
      <c r="L30" s="29">
        <f>IF(L17=0,0,L17/TrRail_act!L21*100)</f>
        <v>267.43365702429531</v>
      </c>
      <c r="M30" s="29">
        <f>IF(M17=0,0,M17/TrRail_act!M21*100)</f>
        <v>264.85819414050462</v>
      </c>
      <c r="N30" s="29">
        <f>IF(N17=0,0,N17/TrRail_act!N21*100)</f>
        <v>275.44507792451338</v>
      </c>
      <c r="O30" s="29">
        <f>IF(O17=0,0,O17/TrRail_act!O21*100)</f>
        <v>256.66144262072663</v>
      </c>
      <c r="P30" s="29">
        <f>IF(P17=0,0,P17/TrRail_act!P21*100)</f>
        <v>249.1421814677683</v>
      </c>
      <c r="Q30" s="29">
        <f>IF(Q17=0,0,Q17/TrRail_act!Q21*100)</f>
        <v>247.48318626257401</v>
      </c>
      <c r="R30" s="29">
        <f>IF(R17=0,0,R17/TrRail_act!R21*100)</f>
        <v>239.62406386329639</v>
      </c>
      <c r="S30" s="29">
        <f>IF(S17=0,0,S17/TrRail_act!S21*100)</f>
        <v>239.3016114676704</v>
      </c>
      <c r="T30" s="29">
        <f>IF(T17=0,0,T17/TrRail_act!T21*100)</f>
        <v>240.09666721260538</v>
      </c>
      <c r="U30" s="29">
        <f>IF(U17=0,0,U17/TrRail_act!U21*100)</f>
        <v>238.69112557149981</v>
      </c>
      <c r="V30" s="29">
        <f>IF(V17=0,0,V17/TrRail_act!V21*100)</f>
        <v>237.55210734794767</v>
      </c>
      <c r="W30" s="29">
        <f>IF(W17=0,0,W17/TrRail_act!W21*100)</f>
        <v>235.56603481625933</v>
      </c>
      <c r="X30" s="29">
        <f>IF(X17=0,0,X17/TrRail_act!X21*100)</f>
        <v>284.27989151201257</v>
      </c>
      <c r="Y30" s="29">
        <f>IF(Y17=0,0,Y17/TrRail_act!Y21*100)</f>
        <v>285.12476456826181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639.50736014331108</v>
      </c>
      <c r="C31" s="87">
        <f>IF(C18=0,0,C18/TrRail_act!C22*100)</f>
        <v>635.83463775384882</v>
      </c>
      <c r="D31" s="87">
        <f>IF(D18=0,0,D18/TrRail_act!D22*100)</f>
        <v>634.26956312594939</v>
      </c>
      <c r="E31" s="87">
        <f>IF(E18=0,0,E18/TrRail_act!E22*100)</f>
        <v>633.55380273375715</v>
      </c>
      <c r="F31" s="87">
        <f>IF(F18=0,0,F18/TrRail_act!F22*100)</f>
        <v>630.8808478226415</v>
      </c>
      <c r="G31" s="87">
        <f>IF(G18=0,0,G18/TrRail_act!G22*100)</f>
        <v>624.61347463530035</v>
      </c>
      <c r="H31" s="87">
        <f>IF(H18=0,0,H18/TrRail_act!H22*100)</f>
        <v>620.69699241784406</v>
      </c>
      <c r="I31" s="87">
        <f>IF(I18=0,0,I18/TrRail_act!I22*100)</f>
        <v>617.68689633026827</v>
      </c>
      <c r="J31" s="87">
        <f>IF(J18=0,0,J18/TrRail_act!J22*100)</f>
        <v>614.7257113364152</v>
      </c>
      <c r="K31" s="87">
        <f>IF(K18=0,0,K18/TrRail_act!K22*100)</f>
        <v>611.46730180354803</v>
      </c>
      <c r="L31" s="87">
        <f>IF(L18=0,0,L18/TrRail_act!L22*100)</f>
        <v>609.05167795363229</v>
      </c>
      <c r="M31" s="87">
        <f>IF(M18=0,0,M18/TrRail_act!M22*100)</f>
        <v>601.47768278931972</v>
      </c>
      <c r="N31" s="87">
        <f>IF(N18=0,0,N18/TrRail_act!N22*100)</f>
        <v>587.28722952183</v>
      </c>
      <c r="O31" s="87">
        <f>IF(O18=0,0,O18/TrRail_act!O22*100)</f>
        <v>572.3567047895317</v>
      </c>
      <c r="P31" s="87">
        <f>IF(P18=0,0,P18/TrRail_act!P22*100)</f>
        <v>566.00559716120017</v>
      </c>
      <c r="Q31" s="87">
        <f>IF(Q18=0,0,Q18/TrRail_act!Q22*100)</f>
        <v>563.60764246590895</v>
      </c>
      <c r="R31" s="87">
        <f>IF(R18=0,0,R18/TrRail_act!R22*100)</f>
        <v>548.89408134917255</v>
      </c>
      <c r="S31" s="87">
        <f>IF(S18=0,0,S18/TrRail_act!S22*100)</f>
        <v>543.4926527919805</v>
      </c>
      <c r="T31" s="87">
        <f>IF(T18=0,0,T18/TrRail_act!T22*100)</f>
        <v>539.47649179910195</v>
      </c>
      <c r="U31" s="87">
        <f>IF(U18=0,0,U18/TrRail_act!U22*100)</f>
        <v>536.48385899022162</v>
      </c>
      <c r="V31" s="87">
        <f>IF(V18=0,0,V18/TrRail_act!V22*100)</f>
        <v>534.25028383706581</v>
      </c>
      <c r="W31" s="87">
        <f>IF(W18=0,0,W18/TrRail_act!W22*100)</f>
        <v>532.58120717664974</v>
      </c>
      <c r="X31" s="87">
        <f>IF(X18=0,0,X18/TrRail_act!X22*100)</f>
        <v>531.33282255039751</v>
      </c>
      <c r="Y31" s="87">
        <f>IF(Y18=0,0,Y18/TrRail_act!Y22*100)</f>
        <v>530.39845480570852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225.3942545054835</v>
      </c>
      <c r="C32" s="88">
        <f>IF(C19=0,0,C19/TrRail_act!C23*100)</f>
        <v>225.41552488267089</v>
      </c>
      <c r="D32" s="88">
        <f>IF(D19=0,0,D19/TrRail_act!D23*100)</f>
        <v>211.31866661563782</v>
      </c>
      <c r="E32" s="88">
        <f>IF(E19=0,0,E19/TrRail_act!E23*100)</f>
        <v>217.19470793711869</v>
      </c>
      <c r="F32" s="88">
        <f>IF(F19=0,0,F19/TrRail_act!F23*100)</f>
        <v>215.75246990557054</v>
      </c>
      <c r="G32" s="88">
        <f>IF(G19=0,0,G19/TrRail_act!G23*100)</f>
        <v>214.77021633316537</v>
      </c>
      <c r="H32" s="88">
        <f>IF(H19=0,0,H19/TrRail_act!H23*100)</f>
        <v>214.4974448118956</v>
      </c>
      <c r="I32" s="88">
        <f>IF(I19=0,0,I19/TrRail_act!I23*100)</f>
        <v>206.28916454607759</v>
      </c>
      <c r="J32" s="88">
        <f>IF(J19=0,0,J19/TrRail_act!J23*100)</f>
        <v>210.18091992750016</v>
      </c>
      <c r="K32" s="88">
        <f>IF(K19=0,0,K19/TrRail_act!K23*100)</f>
        <v>210.33182548243249</v>
      </c>
      <c r="L32" s="88">
        <f>IF(L19=0,0,L19/TrRail_act!L23*100)</f>
        <v>206.36906011982865</v>
      </c>
      <c r="M32" s="88">
        <f>IF(M19=0,0,M19/TrRail_act!M23*100)</f>
        <v>204.82630456746605</v>
      </c>
      <c r="N32" s="88">
        <f>IF(N19=0,0,N19/TrRail_act!N23*100)</f>
        <v>206.32020350754212</v>
      </c>
      <c r="O32" s="88">
        <f>IF(O19=0,0,O19/TrRail_act!O23*100)</f>
        <v>203.59000558654898</v>
      </c>
      <c r="P32" s="88">
        <f>IF(P19=0,0,P19/TrRail_act!P23*100)</f>
        <v>204.05113133643633</v>
      </c>
      <c r="Q32" s="88">
        <f>IF(Q19=0,0,Q19/TrRail_act!Q23*100)</f>
        <v>204.65880352572228</v>
      </c>
      <c r="R32" s="88">
        <f>IF(R19=0,0,R19/TrRail_act!R23*100)</f>
        <v>197.93669389611651</v>
      </c>
      <c r="S32" s="88">
        <f>IF(S19=0,0,S19/TrRail_act!S23*100)</f>
        <v>194.97081034924167</v>
      </c>
      <c r="T32" s="88">
        <f>IF(T19=0,0,T19/TrRail_act!T23*100)</f>
        <v>192.39004735574125</v>
      </c>
      <c r="U32" s="88">
        <f>IF(U19=0,0,U19/TrRail_act!U23*100)</f>
        <v>190.09596405951203</v>
      </c>
      <c r="V32" s="88">
        <f>IF(V19=0,0,V19/TrRail_act!V23*100)</f>
        <v>188.01658442926694</v>
      </c>
      <c r="W32" s="88">
        <f>IF(W19=0,0,W19/TrRail_act!W23*100)</f>
        <v>186.47199006613567</v>
      </c>
      <c r="X32" s="88">
        <f>IF(X19=0,0,X19/TrRail_act!X23*100)</f>
        <v>185.32187726786222</v>
      </c>
      <c r="Y32" s="88">
        <f>IF(Y19=0,0,Y19/TrRail_act!Y23*100)</f>
        <v>184.46395024757166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14.257495684754099</v>
      </c>
      <c r="C35" s="29">
        <f>IF(C11=0,0,C11/TrRail_act!C4*1000)</f>
        <v>13.995455563239013</v>
      </c>
      <c r="D35" s="29">
        <f>IF(D11=0,0,D11/TrRail_act!D4*1000)</f>
        <v>13.600635931361378</v>
      </c>
      <c r="E35" s="29">
        <f>IF(E11=0,0,E11/TrRail_act!E4*1000)</f>
        <v>14.058179121327623</v>
      </c>
      <c r="F35" s="29">
        <f>IF(F11=0,0,F11/TrRail_act!F4*1000)</f>
        <v>13.520242064621314</v>
      </c>
      <c r="G35" s="29">
        <f>IF(G11=0,0,G11/TrRail_act!G4*1000)</f>
        <v>14.305815869441794</v>
      </c>
      <c r="H35" s="29">
        <f>IF(H11=0,0,H11/TrRail_act!H4*1000)</f>
        <v>14.422174310527453</v>
      </c>
      <c r="I35" s="29">
        <f>IF(I11=0,0,I11/TrRail_act!I4*1000)</f>
        <v>13.734246495503745</v>
      </c>
      <c r="J35" s="29">
        <f>IF(J11=0,0,J11/TrRail_act!J4*1000)</f>
        <v>13.19942767347392</v>
      </c>
      <c r="K35" s="29">
        <f>IF(K11=0,0,K11/TrRail_act!K4*1000)</f>
        <v>12.873682492959846</v>
      </c>
      <c r="L35" s="29">
        <f>IF(L11=0,0,L11/TrRail_act!L4*1000)</f>
        <v>12.482135796293429</v>
      </c>
      <c r="M35" s="29">
        <f>IF(M11=0,0,M11/TrRail_act!M4*1000)</f>
        <v>11.770674324520401</v>
      </c>
      <c r="N35" s="29">
        <f>IF(N11=0,0,N11/TrRail_act!N4*1000)</f>
        <v>11.161701133755313</v>
      </c>
      <c r="O35" s="29">
        <f>IF(O11=0,0,O11/TrRail_act!O4*1000)</f>
        <v>10.860524570166415</v>
      </c>
      <c r="P35" s="29">
        <f>IF(P11=0,0,P11/TrRail_act!P4*1000)</f>
        <v>9.9387987723030626</v>
      </c>
      <c r="Q35" s="29">
        <f>IF(Q11=0,0,Q11/TrRail_act!Q4*1000)</f>
        <v>10.478417196172941</v>
      </c>
      <c r="R35" s="29">
        <f>IF(R11=0,0,R11/TrRail_act!R4*1000)</f>
        <v>10.884524380202073</v>
      </c>
      <c r="S35" s="29">
        <f>IF(S11=0,0,S11/TrRail_act!S4*1000)</f>
        <v>10.692779373892069</v>
      </c>
      <c r="T35" s="29">
        <f>IF(T11=0,0,T11/TrRail_act!T4*1000)</f>
        <v>8.8943938900834283</v>
      </c>
      <c r="U35" s="29">
        <f>IF(U11=0,0,U11/TrRail_act!U4*1000)</f>
        <v>8.6545570098870126</v>
      </c>
      <c r="V35" s="29">
        <f>IF(V11=0,0,V11/TrRail_act!V4*1000)</f>
        <v>11.201421959715161</v>
      </c>
      <c r="W35" s="29">
        <f>IF(W11=0,0,W11/TrRail_act!W4*1000)</f>
        <v>11.534029152640098</v>
      </c>
      <c r="X35" s="29">
        <f>IF(X11=0,0,X11/TrRail_act!X4*1000)</f>
        <v>9.39650396059751</v>
      </c>
      <c r="Y35" s="29">
        <f>IF(Y11=0,0,Y11/TrRail_act!Y4*1000)</f>
        <v>8.9549927393961131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6.0398102209048412</v>
      </c>
      <c r="C36" s="115">
        <f>IF(C12=0,0,C12/TrRail_act!C5*1000)</f>
        <v>5.8980488694418733</v>
      </c>
      <c r="D36" s="115">
        <f>IF(D12=0,0,D12/TrRail_act!D5*1000)</f>
        <v>5.806587953858414</v>
      </c>
      <c r="E36" s="115">
        <f>IF(E12=0,0,E12/TrRail_act!E5*1000)</f>
        <v>5.8066575973492398</v>
      </c>
      <c r="F36" s="115">
        <f>IF(F12=0,0,F12/TrRail_act!F5*1000)</f>
        <v>5.6083069053473</v>
      </c>
      <c r="G36" s="115">
        <f>IF(G12=0,0,G12/TrRail_act!G5*1000)</f>
        <v>5.6718480818306407</v>
      </c>
      <c r="H36" s="115">
        <f>IF(H12=0,0,H12/TrRail_act!H5*1000)</f>
        <v>5.5867177938053487</v>
      </c>
      <c r="I36" s="115">
        <f>IF(I12=0,0,I12/TrRail_act!I5*1000)</f>
        <v>5.4281053418882417</v>
      </c>
      <c r="J36" s="115">
        <f>IF(J12=0,0,J12/TrRail_act!J5*1000)</f>
        <v>5.2695434371627279</v>
      </c>
      <c r="K36" s="115">
        <f>IF(K12=0,0,K12/TrRail_act!K5*1000)</f>
        <v>5.2486407475266823</v>
      </c>
      <c r="L36" s="115">
        <f>IF(L12=0,0,L12/TrRail_act!L5*1000)</f>
        <v>5.1492484481125178</v>
      </c>
      <c r="M36" s="115">
        <f>IF(M12=0,0,M12/TrRail_act!M5*1000)</f>
        <v>5.0686547295119482</v>
      </c>
      <c r="N36" s="115">
        <f>IF(N12=0,0,N12/TrRail_act!N5*1000)</f>
        <v>5.0521147245778169</v>
      </c>
      <c r="O36" s="115">
        <f>IF(O12=0,0,O12/TrRail_act!O5*1000)</f>
        <v>4.98961893473379</v>
      </c>
      <c r="P36" s="115">
        <f>IF(P12=0,0,P12/TrRail_act!P5*1000)</f>
        <v>4.9243662557916865</v>
      </c>
      <c r="Q36" s="115">
        <f>IF(Q12=0,0,Q12/TrRail_act!Q5*1000)</f>
        <v>4.8548337821434338</v>
      </c>
      <c r="R36" s="115">
        <f>IF(R12=0,0,R12/TrRail_act!R5*1000)</f>
        <v>4.7850352084644765</v>
      </c>
      <c r="S36" s="115">
        <f>IF(S12=0,0,S12/TrRail_act!S5*1000)</f>
        <v>4.7681525848776785</v>
      </c>
      <c r="T36" s="115">
        <f>IF(T12=0,0,T12/TrRail_act!T5*1000)</f>
        <v>4.7823427114349446</v>
      </c>
      <c r="U36" s="115">
        <f>IF(U12=0,0,U12/TrRail_act!U5*1000)</f>
        <v>4.7769389583558919</v>
      </c>
      <c r="V36" s="115">
        <f>IF(V12=0,0,V12/TrRail_act!V5*1000)</f>
        <v>4.7904932215556677</v>
      </c>
      <c r="W36" s="115">
        <f>IF(W12=0,0,W12/TrRail_act!W5*1000)</f>
        <v>4.5405286660177575</v>
      </c>
      <c r="X36" s="115">
        <f>IF(X12=0,0,X12/TrRail_act!X5*1000)</f>
        <v>4.7800869158042243</v>
      </c>
      <c r="Y36" s="115">
        <f>IF(Y12=0,0,Y12/TrRail_act!Y5*1000)</f>
        <v>4.7774013726083728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15.968255421330989</v>
      </c>
      <c r="C37" s="116">
        <f>IF(C13=0,0,C13/TrRail_act!C6*1000)</f>
        <v>15.622116931745454</v>
      </c>
      <c r="D37" s="116">
        <f>IF(D13=0,0,D13/TrRail_act!D6*1000)</f>
        <v>15.130353999483969</v>
      </c>
      <c r="E37" s="116">
        <f>IF(E13=0,0,E13/TrRail_act!E6*1000)</f>
        <v>15.67634290498391</v>
      </c>
      <c r="F37" s="116">
        <f>IF(F13=0,0,F13/TrRail_act!F6*1000)</f>
        <v>14.914988543776323</v>
      </c>
      <c r="G37" s="116">
        <f>IF(G13=0,0,G13/TrRail_act!G6*1000)</f>
        <v>16.098832171431408</v>
      </c>
      <c r="H37" s="116">
        <f>IF(H13=0,0,H13/TrRail_act!H6*1000)</f>
        <v>16.21580506594994</v>
      </c>
      <c r="I37" s="116">
        <f>IF(I13=0,0,I13/TrRail_act!I6*1000)</f>
        <v>15.345398139526859</v>
      </c>
      <c r="J37" s="116">
        <f>IF(J13=0,0,J13/TrRail_act!J6*1000)</f>
        <v>14.649279089566683</v>
      </c>
      <c r="K37" s="116">
        <f>IF(K13=0,0,K13/TrRail_act!K6*1000)</f>
        <v>14.238291601786077</v>
      </c>
      <c r="L37" s="116">
        <f>IF(L13=0,0,L13/TrRail_act!L6*1000)</f>
        <v>13.809107227525784</v>
      </c>
      <c r="M37" s="116">
        <f>IF(M13=0,0,M13/TrRail_act!M6*1000)</f>
        <v>12.898343270845871</v>
      </c>
      <c r="N37" s="116">
        <f>IF(N13=0,0,N13/TrRail_act!N6*1000)</f>
        <v>12.201557238929388</v>
      </c>
      <c r="O37" s="116">
        <f>IF(O13=0,0,O13/TrRail_act!O6*1000)</f>
        <v>11.857763122009864</v>
      </c>
      <c r="P37" s="116">
        <f>IF(P13=0,0,P13/TrRail_act!P6*1000)</f>
        <v>10.74270097204912</v>
      </c>
      <c r="Q37" s="116">
        <f>IF(Q13=0,0,Q13/TrRail_act!Q6*1000)</f>
        <v>11.601589447617629</v>
      </c>
      <c r="R37" s="116">
        <f>IF(R13=0,0,R13/TrRail_act!R6*1000)</f>
        <v>12.405321216934141</v>
      </c>
      <c r="S37" s="116">
        <f>IF(S13=0,0,S13/TrRail_act!S6*1000)</f>
        <v>12.240263707341333</v>
      </c>
      <c r="T37" s="116">
        <f>IF(T13=0,0,T13/TrRail_act!T6*1000)</f>
        <v>9.7325279854627134</v>
      </c>
      <c r="U37" s="116">
        <f>IF(U13=0,0,U13/TrRail_act!U6*1000)</f>
        <v>9.4397876273349333</v>
      </c>
      <c r="V37" s="116">
        <f>IF(V13=0,0,V13/TrRail_act!V6*1000)</f>
        <v>12.192969403448247</v>
      </c>
      <c r="W37" s="116">
        <f>IF(W13=0,0,W13/TrRail_act!W6*1000)</f>
        <v>13.246731993691213</v>
      </c>
      <c r="X37" s="116">
        <f>IF(X13=0,0,X13/TrRail_act!X6*1000)</f>
        <v>10.217332105191401</v>
      </c>
      <c r="Y37" s="116">
        <f>IF(Y13=0,0,Y13/TrRail_act!Y6*1000)</f>
        <v>9.7551772647988741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36.300773311436124</v>
      </c>
      <c r="C38" s="87">
        <f>IF(C14=0,0,C14/TrRail_act!C7*1000)</f>
        <v>34.50589726789547</v>
      </c>
      <c r="D38" s="87">
        <f>IF(D14=0,0,D14/TrRail_act!D7*1000)</f>
        <v>37.411911586441271</v>
      </c>
      <c r="E38" s="87">
        <f>IF(E14=0,0,E14/TrRail_act!E7*1000)</f>
        <v>37.590583685378895</v>
      </c>
      <c r="F38" s="87">
        <f>IF(F14=0,0,F14/TrRail_act!F7*1000)</f>
        <v>38.481056269252676</v>
      </c>
      <c r="G38" s="87">
        <f>IF(G14=0,0,G14/TrRail_act!G7*1000)</f>
        <v>42.260207356968763</v>
      </c>
      <c r="H38" s="87">
        <f>IF(H14=0,0,H14/TrRail_act!H7*1000)</f>
        <v>51.810127554629879</v>
      </c>
      <c r="I38" s="87">
        <f>IF(I14=0,0,I14/TrRail_act!I7*1000)</f>
        <v>50.24947948432871</v>
      </c>
      <c r="J38" s="87">
        <f>IF(J14=0,0,J14/TrRail_act!J7*1000)</f>
        <v>44.371117943335804</v>
      </c>
      <c r="K38" s="87">
        <f>IF(K14=0,0,K14/TrRail_act!K7*1000)</f>
        <v>43.042542634951609</v>
      </c>
      <c r="L38" s="87">
        <f>IF(L14=0,0,L14/TrRail_act!L7*1000)</f>
        <v>41.733267284687066</v>
      </c>
      <c r="M38" s="87">
        <f>IF(M14=0,0,M14/TrRail_act!M7*1000)</f>
        <v>38.820179590230865</v>
      </c>
      <c r="N38" s="87">
        <f>IF(N14=0,0,N14/TrRail_act!N7*1000)</f>
        <v>36.409118029237945</v>
      </c>
      <c r="O38" s="87">
        <f>IF(O14=0,0,O14/TrRail_act!O7*1000)</f>
        <v>34.743146386404725</v>
      </c>
      <c r="P38" s="87">
        <f>IF(P14=0,0,P14/TrRail_act!P7*1000)</f>
        <v>30.773292451418122</v>
      </c>
      <c r="Q38" s="87">
        <f>IF(Q14=0,0,Q14/TrRail_act!Q7*1000)</f>
        <v>34.543548505793126</v>
      </c>
      <c r="R38" s="87">
        <f>IF(R14=0,0,R14/TrRail_act!R7*1000)</f>
        <v>37.215006356435943</v>
      </c>
      <c r="S38" s="87">
        <f>IF(S14=0,0,S14/TrRail_act!S7*1000)</f>
        <v>35.993686945418673</v>
      </c>
      <c r="T38" s="87">
        <f>IF(T14=0,0,T14/TrRail_act!T7*1000)</f>
        <v>26.063314825067689</v>
      </c>
      <c r="U38" s="87">
        <f>IF(U14=0,0,U14/TrRail_act!U7*1000)</f>
        <v>24.265196040061465</v>
      </c>
      <c r="V38" s="87">
        <f>IF(V14=0,0,V14/TrRail_act!V7*1000)</f>
        <v>25.497330000830008</v>
      </c>
      <c r="W38" s="87">
        <f>IF(W14=0,0,W14/TrRail_act!W7*1000)</f>
        <v>28.086384778763428</v>
      </c>
      <c r="X38" s="87">
        <f>IF(X14=0,0,X14/TrRail_act!X7*1000)</f>
        <v>18.153429221349139</v>
      </c>
      <c r="Y38" s="87">
        <f>IF(Y14=0,0,Y14/TrRail_act!Y7*1000)</f>
        <v>17.79243895390935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14.364704709452443</v>
      </c>
      <c r="C39" s="87">
        <f>IF(C15=0,0,C15/TrRail_act!C8*1000)</f>
        <v>14.179934925930048</v>
      </c>
      <c r="D39" s="87">
        <f>IF(D15=0,0,D15/TrRail_act!D8*1000)</f>
        <v>13.525604920851116</v>
      </c>
      <c r="E39" s="87">
        <f>IF(E15=0,0,E15/TrRail_act!E8*1000)</f>
        <v>13.992962837713268</v>
      </c>
      <c r="F39" s="87">
        <f>IF(F15=0,0,F15/TrRail_act!F8*1000)</f>
        <v>13.43614297289867</v>
      </c>
      <c r="G39" s="87">
        <f>IF(G15=0,0,G15/TrRail_act!G8*1000)</f>
        <v>14.456519098653247</v>
      </c>
      <c r="H39" s="87">
        <f>IF(H15=0,0,H15/TrRail_act!H8*1000)</f>
        <v>13.978899211510718</v>
      </c>
      <c r="I39" s="87">
        <f>IF(I15=0,0,I15/TrRail_act!I8*1000)</f>
        <v>13.10781373126235</v>
      </c>
      <c r="J39" s="87">
        <f>IF(J15=0,0,J15/TrRail_act!J8*1000)</f>
        <v>12.595590536514388</v>
      </c>
      <c r="K39" s="87">
        <f>IF(K15=0,0,K15/TrRail_act!K8*1000)</f>
        <v>12.370567911296522</v>
      </c>
      <c r="L39" s="87">
        <f>IF(L15=0,0,L15/TrRail_act!L8*1000)</f>
        <v>12.240906987842628</v>
      </c>
      <c r="M39" s="87">
        <f>IF(M15=0,0,M15/TrRail_act!M8*1000)</f>
        <v>11.401931683571359</v>
      </c>
      <c r="N39" s="87">
        <f>IF(N15=0,0,N15/TrRail_act!N8*1000)</f>
        <v>10.542210413411821</v>
      </c>
      <c r="O39" s="87">
        <f>IF(O15=0,0,O15/TrRail_act!O8*1000)</f>
        <v>10.637310429917866</v>
      </c>
      <c r="P39" s="87">
        <f>IF(P15=0,0,P15/TrRail_act!P8*1000)</f>
        <v>9.8374134764590888</v>
      </c>
      <c r="Q39" s="87">
        <f>IF(Q15=0,0,Q15/TrRail_act!Q8*1000)</f>
        <v>10.553851595340081</v>
      </c>
      <c r="R39" s="87">
        <f>IF(R15=0,0,R15/TrRail_act!R8*1000)</f>
        <v>11.227167391005583</v>
      </c>
      <c r="S39" s="87">
        <f>IF(S15=0,0,S15/TrRail_act!S8*1000)</f>
        <v>11.022375667133652</v>
      </c>
      <c r="T39" s="87">
        <f>IF(T15=0,0,T15/TrRail_act!T8*1000)</f>
        <v>8.9814194775640122</v>
      </c>
      <c r="U39" s="87">
        <f>IF(U15=0,0,U15/TrRail_act!U8*1000)</f>
        <v>8.759684483496013</v>
      </c>
      <c r="V39" s="87">
        <f>IF(V15=0,0,V15/TrRail_act!V8*1000)</f>
        <v>11.556236884197519</v>
      </c>
      <c r="W39" s="87">
        <f>IF(W15=0,0,W15/TrRail_act!W8*1000)</f>
        <v>12.579961394912353</v>
      </c>
      <c r="X39" s="87">
        <f>IF(X15=0,0,X15/TrRail_act!X8*1000)</f>
        <v>9.8694129402768773</v>
      </c>
      <c r="Y39" s="87">
        <f>IF(Y15=0,0,Y15/TrRail_act!Y8*1000)</f>
        <v>9.3985440569796186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8.9374699309994181</v>
      </c>
      <c r="C40" s="117">
        <f>IF(C16=0,0,C16/TrRail_act!C9*1000)</f>
        <v>8.8934602205098336</v>
      </c>
      <c r="D40" s="117">
        <f>IF(D16=0,0,D16/TrRail_act!D9*1000)</f>
        <v>8.8610816752650869</v>
      </c>
      <c r="E40" s="117">
        <f>IF(E16=0,0,E16/TrRail_act!E9*1000)</f>
        <v>8.9021352736186738</v>
      </c>
      <c r="F40" s="117">
        <f>IF(F16=0,0,F16/TrRail_act!F9*1000)</f>
        <v>8.886610591366086</v>
      </c>
      <c r="G40" s="117">
        <f>IF(G16=0,0,G16/TrRail_act!G9*1000)</f>
        <v>8.7373467463262742</v>
      </c>
      <c r="H40" s="117">
        <f>IF(H16=0,0,H16/TrRail_act!H9*1000)</f>
        <v>8.5313826652287492</v>
      </c>
      <c r="I40" s="117">
        <f>IF(I16=0,0,I16/TrRail_act!I9*1000)</f>
        <v>8.3781073833949709</v>
      </c>
      <c r="J40" s="117">
        <f>IF(J16=0,0,J16/TrRail_act!J9*1000)</f>
        <v>8.3748033977656391</v>
      </c>
      <c r="K40" s="117">
        <f>IF(K16=0,0,K16/TrRail_act!K9*1000)</f>
        <v>8.2585916002582902</v>
      </c>
      <c r="L40" s="117">
        <f>IF(L16=0,0,L16/TrRail_act!L9*1000)</f>
        <v>8.0745581016787522</v>
      </c>
      <c r="M40" s="117">
        <f>IF(M16=0,0,M16/TrRail_act!M9*1000)</f>
        <v>7.9936107781759649</v>
      </c>
      <c r="N40" s="117">
        <f>IF(N16=0,0,N16/TrRail_act!N9*1000)</f>
        <v>7.9530911897858054</v>
      </c>
      <c r="O40" s="117">
        <f>IF(O16=0,0,O16/TrRail_act!O9*1000)</f>
        <v>7.9032150326368633</v>
      </c>
      <c r="P40" s="117">
        <f>IF(P16=0,0,P16/TrRail_act!P9*1000)</f>
        <v>7.8144433765276293</v>
      </c>
      <c r="Q40" s="117">
        <f>IF(Q16=0,0,Q16/TrRail_act!Q9*1000)</f>
        <v>7.5676086636082562</v>
      </c>
      <c r="R40" s="117">
        <f>IF(R16=0,0,R16/TrRail_act!R9*1000)</f>
        <v>7.394900298987281</v>
      </c>
      <c r="S40" s="117">
        <f>IF(S16=0,0,S16/TrRail_act!S9*1000)</f>
        <v>7.2755826830530888</v>
      </c>
      <c r="T40" s="117">
        <f>IF(T16=0,0,T16/TrRail_act!T9*1000)</f>
        <v>7.1565684874759752</v>
      </c>
      <c r="U40" s="117">
        <f>IF(U16=0,0,U16/TrRail_act!U9*1000)</f>
        <v>7.0647909448803112</v>
      </c>
      <c r="V40" s="117">
        <f>IF(V16=0,0,V16/TrRail_act!V9*1000)</f>
        <v>10.461845985820219</v>
      </c>
      <c r="W40" s="117">
        <f>IF(W16=0,0,W16/TrRail_act!W9*1000)</f>
        <v>8.1570120459304913</v>
      </c>
      <c r="X40" s="117">
        <f>IF(X16=0,0,X16/TrRail_act!X9*1000)</f>
        <v>7.4619184002580461</v>
      </c>
      <c r="Y40" s="117">
        <f>IF(Y16=0,0,Y16/TrRail_act!Y9*1000)</f>
        <v>6.884985620546658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7.1898090738322837</v>
      </c>
      <c r="C41" s="29">
        <f>IF(C17=0,0,C17/TrRail_act!C10*1000)</f>
        <v>6.8716416698047791</v>
      </c>
      <c r="D41" s="29">
        <f>IF(D17=0,0,D17/TrRail_act!D10*1000)</f>
        <v>5.9954099286747358</v>
      </c>
      <c r="E41" s="29">
        <f>IF(E17=0,0,E17/TrRail_act!E10*1000)</f>
        <v>5.6344851173649966</v>
      </c>
      <c r="F41" s="29">
        <f>IF(F17=0,0,F17/TrRail_act!F10*1000)</f>
        <v>6.0090267742788583</v>
      </c>
      <c r="G41" s="29">
        <f>IF(G17=0,0,G17/TrRail_act!G10*1000)</f>
        <v>6.2216785911062571</v>
      </c>
      <c r="H41" s="29">
        <f>IF(H17=0,0,H17/TrRail_act!H10*1000)</f>
        <v>6.6883349735883604</v>
      </c>
      <c r="I41" s="29">
        <f>IF(I17=0,0,I17/TrRail_act!I10*1000)</f>
        <v>6.4662823147156514</v>
      </c>
      <c r="J41" s="29">
        <f>IF(J17=0,0,J17/TrRail_act!J10*1000)</f>
        <v>6.1558774947226373</v>
      </c>
      <c r="K41" s="29">
        <f>IF(K17=0,0,K17/TrRail_act!K10*1000)</f>
        <v>5.6493738789363395</v>
      </c>
      <c r="L41" s="29">
        <f>IF(L17=0,0,L17/TrRail_act!L10*1000)</f>
        <v>4.893910736789298</v>
      </c>
      <c r="M41" s="29">
        <f>IF(M17=0,0,M17/TrRail_act!M10*1000)</f>
        <v>4.5103584243564701</v>
      </c>
      <c r="N41" s="29">
        <f>IF(N17=0,0,N17/TrRail_act!N10*1000)</f>
        <v>2.4679920787231815</v>
      </c>
      <c r="O41" s="29">
        <f>IF(O17=0,0,O17/TrRail_act!O10*1000)</f>
        <v>2.4927377108668431</v>
      </c>
      <c r="P41" s="29">
        <f>IF(P17=0,0,P17/TrRail_act!P10*1000)</f>
        <v>2.395640084713929</v>
      </c>
      <c r="Q41" s="29">
        <f>IF(Q17=0,0,Q17/TrRail_act!Q10*1000)</f>
        <v>2.4115015654296075</v>
      </c>
      <c r="R41" s="29">
        <f>IF(R17=0,0,R17/TrRail_act!R10*1000)</f>
        <v>1.9768318094307546</v>
      </c>
      <c r="S41" s="29">
        <f>IF(S17=0,0,S17/TrRail_act!S10*1000)</f>
        <v>2.8436394489738568</v>
      </c>
      <c r="T41" s="29">
        <f>IF(T17=0,0,T17/TrRail_act!T10*1000)</f>
        <v>3.9168463251985388</v>
      </c>
      <c r="U41" s="29">
        <f>IF(U17=0,0,U17/TrRail_act!U10*1000)</f>
        <v>3.2367713982178841</v>
      </c>
      <c r="V41" s="29">
        <f>IF(V17=0,0,V17/TrRail_act!V10*1000)</f>
        <v>3.5012809334817092</v>
      </c>
      <c r="W41" s="29">
        <f>IF(W17=0,0,W17/TrRail_act!W10*1000)</f>
        <v>4.0964209172033819</v>
      </c>
      <c r="X41" s="29">
        <f>IF(X17=0,0,X17/TrRail_act!X10*1000)</f>
        <v>2.7303508034722492</v>
      </c>
      <c r="Y41" s="29">
        <f>IF(Y17=0,0,Y17/TrRail_act!Y10*1000)</f>
        <v>2.2193163171174142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11.158853014150727</v>
      </c>
      <c r="C42" s="87">
        <f>IF(C18=0,0,C18/TrRail_act!C11*1000)</f>
        <v>10.8852437909089</v>
      </c>
      <c r="D42" s="87">
        <f>IF(D18=0,0,D18/TrRail_act!D11*1000)</f>
        <v>10.308230897905577</v>
      </c>
      <c r="E42" s="87">
        <f>IF(E18=0,0,E18/TrRail_act!E11*1000)</f>
        <v>9.6934273266363054</v>
      </c>
      <c r="F42" s="87">
        <f>IF(F18=0,0,F18/TrRail_act!F11*1000)</f>
        <v>11.040409638139936</v>
      </c>
      <c r="G42" s="87">
        <f>IF(G18=0,0,G18/TrRail_act!G11*1000)</f>
        <v>11.551238231720356</v>
      </c>
      <c r="H42" s="87">
        <f>IF(H18=0,0,H18/TrRail_act!H11*1000)</f>
        <v>12.795768745937528</v>
      </c>
      <c r="I42" s="87">
        <f>IF(I18=0,0,I18/TrRail_act!I11*1000)</f>
        <v>12.474891655060922</v>
      </c>
      <c r="J42" s="87">
        <f>IF(J18=0,0,J18/TrRail_act!J11*1000)</f>
        <v>11.875711144927685</v>
      </c>
      <c r="K42" s="87">
        <f>IF(K18=0,0,K18/TrRail_act!K11*1000)</f>
        <v>11.265909204574552</v>
      </c>
      <c r="L42" s="87">
        <f>IF(L18=0,0,L18/TrRail_act!L11*1000)</f>
        <v>9.9111404423990805</v>
      </c>
      <c r="M42" s="87">
        <f>IF(M18=0,0,M18/TrRail_act!M11*1000)</f>
        <v>8.9993164360990328</v>
      </c>
      <c r="N42" s="87">
        <f>IF(N18=0,0,N18/TrRail_act!N11*1000)</f>
        <v>4.7872725118212696</v>
      </c>
      <c r="O42" s="87">
        <f>IF(O18=0,0,O18/TrRail_act!O11*1000)</f>
        <v>5.0581474667235291</v>
      </c>
      <c r="P42" s="87">
        <f>IF(P18=0,0,P18/TrRail_act!P11*1000)</f>
        <v>4.9839702366437892</v>
      </c>
      <c r="Q42" s="87">
        <f>IF(Q18=0,0,Q18/TrRail_act!Q11*1000)</f>
        <v>4.8105742343360207</v>
      </c>
      <c r="R42" s="87">
        <f>IF(R18=0,0,R18/TrRail_act!R11*1000)</f>
        <v>3.8496696443762062</v>
      </c>
      <c r="S42" s="87">
        <f>IF(S18=0,0,S18/TrRail_act!S11*1000)</f>
        <v>5.53728062429954</v>
      </c>
      <c r="T42" s="87">
        <f>IF(T18=0,0,T18/TrRail_act!T11*1000)</f>
        <v>8.2720205993650548</v>
      </c>
      <c r="U42" s="87">
        <f>IF(U18=0,0,U18/TrRail_act!U11*1000)</f>
        <v>6.9664273578942311</v>
      </c>
      <c r="V42" s="87">
        <f>IF(V18=0,0,V18/TrRail_act!V11*1000)</f>
        <v>7.710519831609095</v>
      </c>
      <c r="W42" s="87">
        <f>IF(W18=0,0,W18/TrRail_act!W11*1000)</f>
        <v>9.0722943080762359</v>
      </c>
      <c r="X42" s="87">
        <f>IF(X18=0,0,X18/TrRail_act!X11*1000)</f>
        <v>5.159846706935209</v>
      </c>
      <c r="Y42" s="87">
        <f>IF(Y18=0,0,Y18/TrRail_act!Y11*1000)</f>
        <v>4.3085042947510477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4.338368061460697</v>
      </c>
      <c r="C43" s="88">
        <f>IF(C19=0,0,C19/TrRail_act!C12*1000)</f>
        <v>4.2978840140420731</v>
      </c>
      <c r="D43" s="88">
        <f>IF(D19=0,0,D19/TrRail_act!D12*1000)</f>
        <v>3.8652784781294627</v>
      </c>
      <c r="E43" s="88">
        <f>IF(E19=0,0,E19/TrRail_act!E12*1000)</f>
        <v>3.7994905002912382</v>
      </c>
      <c r="F43" s="88">
        <f>IF(F19=0,0,F19/TrRail_act!F12*1000)</f>
        <v>4.2521858417085188</v>
      </c>
      <c r="G43" s="88">
        <f>IF(G19=0,0,G19/TrRail_act!G12*1000)</f>
        <v>4.4393217008143768</v>
      </c>
      <c r="H43" s="88">
        <f>IF(H19=0,0,H19/TrRail_act!H12*1000)</f>
        <v>4.7351045000846312</v>
      </c>
      <c r="I43" s="88">
        <f>IF(I19=0,0,I19/TrRail_act!I12*1000)</f>
        <v>4.4562923675797057</v>
      </c>
      <c r="J43" s="88">
        <f>IF(J19=0,0,J19/TrRail_act!J12*1000)</f>
        <v>4.4473342194246284</v>
      </c>
      <c r="K43" s="88">
        <f>IF(K19=0,0,K19/TrRail_act!K12*1000)</f>
        <v>4.3132319327877431</v>
      </c>
      <c r="L43" s="88">
        <f>IF(L19=0,0,L19/TrRail_act!L12*1000)</f>
        <v>3.8624334966697558</v>
      </c>
      <c r="M43" s="88">
        <f>IF(M19=0,0,M19/TrRail_act!M12*1000)</f>
        <v>3.5761764123695898</v>
      </c>
      <c r="N43" s="88">
        <f>IF(N19=0,0,N19/TrRail_act!N12*1000)</f>
        <v>1.8901901915195154</v>
      </c>
      <c r="O43" s="88">
        <f>IF(O19=0,0,O19/TrRail_act!O12*1000)</f>
        <v>2.0107585307260565</v>
      </c>
      <c r="P43" s="88">
        <f>IF(P19=0,0,P19/TrRail_act!P12*1000)</f>
        <v>1.9880905812097662</v>
      </c>
      <c r="Q43" s="88">
        <f>IF(Q19=0,0,Q19/TrRail_act!Q12*1000)</f>
        <v>2.033223571390804</v>
      </c>
      <c r="R43" s="88">
        <f>IF(R19=0,0,R19/TrRail_act!R12*1000)</f>
        <v>1.6726633569290963</v>
      </c>
      <c r="S43" s="88">
        <f>IF(S19=0,0,S19/TrRail_act!S12*1000)</f>
        <v>2.3744127956652132</v>
      </c>
      <c r="T43" s="88">
        <f>IF(T19=0,0,T19/TrRail_act!T12*1000)</f>
        <v>3.1708792281113065</v>
      </c>
      <c r="U43" s="88">
        <f>IF(U19=0,0,U19/TrRail_act!U12*1000)</f>
        <v>2.596564354930277</v>
      </c>
      <c r="V43" s="88">
        <f>IF(V19=0,0,V19/TrRail_act!V12*1000)</f>
        <v>2.7810402245970898</v>
      </c>
      <c r="W43" s="88">
        <f>IF(W19=0,0,W19/TrRail_act!W12*1000)</f>
        <v>3.2539029089384202</v>
      </c>
      <c r="X43" s="88">
        <f>IF(X19=0,0,X19/TrRail_act!X12*1000)</f>
        <v>1.772115294025628</v>
      </c>
      <c r="Y43" s="88">
        <f>IF(Y19=0,0,Y19/TrRail_act!Y12*1000)</f>
        <v>1.4115952673202516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293602.92056924995</v>
      </c>
      <c r="C45" s="54">
        <f>IF(C10=0,0,1000000*C10/TrRail_act!C25)</f>
        <v>279697.66372957639</v>
      </c>
      <c r="D45" s="54">
        <f>IF(D10=0,0,1000000*D10/TrRail_act!D25)</f>
        <v>271342.88808000297</v>
      </c>
      <c r="E45" s="54">
        <f>IF(E10=0,0,1000000*E10/TrRail_act!E25)</f>
        <v>265139.76392989879</v>
      </c>
      <c r="F45" s="54">
        <f>IF(F10=0,0,1000000*F10/TrRail_act!F25)</f>
        <v>265882.59507273609</v>
      </c>
      <c r="G45" s="54">
        <f>IF(G10=0,0,1000000*G10/TrRail_act!G25)</f>
        <v>269741.51954228495</v>
      </c>
      <c r="H45" s="54">
        <f>IF(H10=0,0,1000000*H10/TrRail_act!H25)</f>
        <v>277150.80436329654</v>
      </c>
      <c r="I45" s="54">
        <f>IF(I10=0,0,1000000*I10/TrRail_act!I25)</f>
        <v>276078.2561689468</v>
      </c>
      <c r="J45" s="54">
        <f>IF(J10=0,0,1000000*J10/TrRail_act!J25)</f>
        <v>262169.83610596362</v>
      </c>
      <c r="K45" s="54">
        <f>IF(K10=0,0,1000000*K10/TrRail_act!K25)</f>
        <v>236948.73985584971</v>
      </c>
      <c r="L45" s="54">
        <f>IF(L10=0,0,1000000*L10/TrRail_act!L25)</f>
        <v>232684.90830493363</v>
      </c>
      <c r="M45" s="54">
        <f>IF(M10=0,0,1000000*M10/TrRail_act!M25)</f>
        <v>226806.6702387933</v>
      </c>
      <c r="N45" s="54">
        <f>IF(N10=0,0,1000000*N10/TrRail_act!N25)</f>
        <v>227944.11744121643</v>
      </c>
      <c r="O45" s="54">
        <f>IF(O10=0,0,1000000*O10/TrRail_act!O25)</f>
        <v>212956.84944422686</v>
      </c>
      <c r="P45" s="54">
        <f>IF(P10=0,0,1000000*P10/TrRail_act!P25)</f>
        <v>204842.72152503498</v>
      </c>
      <c r="Q45" s="54">
        <f>IF(Q10=0,0,1000000*Q10/TrRail_act!Q25)</f>
        <v>204562.03184132214</v>
      </c>
      <c r="R45" s="54">
        <f>IF(R10=0,0,1000000*R10/TrRail_act!R25)</f>
        <v>202541.24703006513</v>
      </c>
      <c r="S45" s="54">
        <f>IF(S10=0,0,1000000*S10/TrRail_act!S25)</f>
        <v>200443.21885506681</v>
      </c>
      <c r="T45" s="54">
        <f>IF(T10=0,0,1000000*T10/TrRail_act!T25)</f>
        <v>200707.12237743082</v>
      </c>
      <c r="U45" s="54">
        <f>IF(U10=0,0,1000000*U10/TrRail_act!U25)</f>
        <v>199581.61199684622</v>
      </c>
      <c r="V45" s="54">
        <f>IF(V10=0,0,1000000*V10/TrRail_act!V25)</f>
        <v>189298.04053508863</v>
      </c>
      <c r="W45" s="54">
        <f>IF(W10=0,0,1000000*W10/TrRail_act!W25)</f>
        <v>200254.95935802511</v>
      </c>
      <c r="X45" s="54">
        <f>IF(X10=0,0,1000000*X10/TrRail_act!X25)</f>
        <v>175760.03003527893</v>
      </c>
      <c r="Y45" s="54">
        <f>IF(Y10=0,0,1000000*Y10/TrRail_act!Y25)</f>
        <v>174297.39260209908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229391.97525843134</v>
      </c>
      <c r="C46" s="28">
        <f>IF(C11=0,0,1000000*C11/TrRail_act!C26)</f>
        <v>225319.74135406112</v>
      </c>
      <c r="D46" s="28">
        <f>IF(D11=0,0,1000000*D11/TrRail_act!D26)</f>
        <v>225121.29642145854</v>
      </c>
      <c r="E46" s="28">
        <f>IF(E11=0,0,1000000*E11/TrRail_act!E26)</f>
        <v>223141.97058133443</v>
      </c>
      <c r="F46" s="28">
        <f>IF(F11=0,0,1000000*F11/TrRail_act!F26)</f>
        <v>222593.28342827153</v>
      </c>
      <c r="G46" s="28">
        <f>IF(G11=0,0,1000000*G11/TrRail_act!G26)</f>
        <v>222714.52896500978</v>
      </c>
      <c r="H46" s="28">
        <f>IF(H11=0,0,1000000*H11/TrRail_act!H26)</f>
        <v>227076.21367561983</v>
      </c>
      <c r="I46" s="28">
        <f>IF(I11=0,0,1000000*I11/TrRail_act!I26)</f>
        <v>224528.97018056913</v>
      </c>
      <c r="J46" s="28">
        <f>IF(J11=0,0,1000000*J11/TrRail_act!J26)</f>
        <v>217155.25910554847</v>
      </c>
      <c r="K46" s="28">
        <f>IF(K11=0,0,1000000*K11/TrRail_act!K26)</f>
        <v>213924.5019492298</v>
      </c>
      <c r="L46" s="28">
        <f>IF(L11=0,0,1000000*L11/TrRail_act!L26)</f>
        <v>206681.71494085205</v>
      </c>
      <c r="M46" s="28">
        <f>IF(M11=0,0,1000000*M11/TrRail_act!M26)</f>
        <v>200915.15660513716</v>
      </c>
      <c r="N46" s="28">
        <f>IF(N11=0,0,1000000*N11/TrRail_act!N26)</f>
        <v>197775.67725406738</v>
      </c>
      <c r="O46" s="28">
        <f>IF(O11=0,0,1000000*O11/TrRail_act!O26)</f>
        <v>184960.23154646327</v>
      </c>
      <c r="P46" s="28">
        <f>IF(P11=0,0,1000000*P11/TrRail_act!P26)</f>
        <v>176393.22825633385</v>
      </c>
      <c r="Q46" s="28">
        <f>IF(Q11=0,0,1000000*Q11/TrRail_act!Q26)</f>
        <v>176495.99866443581</v>
      </c>
      <c r="R46" s="28">
        <f>IF(R11=0,0,1000000*R11/TrRail_act!R26)</f>
        <v>173768.51027599379</v>
      </c>
      <c r="S46" s="28">
        <f>IF(S11=0,0,1000000*S11/TrRail_act!S26)</f>
        <v>170759.06596998463</v>
      </c>
      <c r="T46" s="28">
        <f>IF(T11=0,0,1000000*T11/TrRail_act!T26)</f>
        <v>163327.32523177369</v>
      </c>
      <c r="U46" s="28">
        <f>IF(U11=0,0,1000000*U11/TrRail_act!U26)</f>
        <v>161281.46844488962</v>
      </c>
      <c r="V46" s="28">
        <f>IF(V11=0,0,1000000*V11/TrRail_act!V26)</f>
        <v>147197.99671714084</v>
      </c>
      <c r="W46" s="28">
        <f>IF(W11=0,0,1000000*W11/TrRail_act!W26)</f>
        <v>156416.32270988895</v>
      </c>
      <c r="X46" s="28">
        <f>IF(X11=0,0,1000000*X11/TrRail_act!X26)</f>
        <v>161876.13955008049</v>
      </c>
      <c r="Y46" s="28">
        <f>IF(Y11=0,0,1000000*Y11/TrRail_act!Y26)</f>
        <v>161296.16774059084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50393.501256982876</v>
      </c>
      <c r="C47" s="108">
        <f>IF(C12=0,0,1000000*C12/TrRail_act!C27)</f>
        <v>49833.019587372379</v>
      </c>
      <c r="D47" s="108">
        <f>IF(D12=0,0,1000000*D12/TrRail_act!D27)</f>
        <v>49294.654094028752</v>
      </c>
      <c r="E47" s="108">
        <f>IF(E12=0,0,1000000*E12/TrRail_act!E27)</f>
        <v>49246.249334058557</v>
      </c>
      <c r="F47" s="108">
        <f>IF(F12=0,0,1000000*F12/TrRail_act!F27)</f>
        <v>48737.390917427329</v>
      </c>
      <c r="G47" s="108">
        <f>IF(G12=0,0,1000000*G12/TrRail_act!G27)</f>
        <v>48409.648615024351</v>
      </c>
      <c r="H47" s="108">
        <f>IF(H12=0,0,1000000*H12/TrRail_act!H27)</f>
        <v>48181.265887372065</v>
      </c>
      <c r="I47" s="108">
        <f>IF(I12=0,0,1000000*I12/TrRail_act!I27)</f>
        <v>47180.028227320123</v>
      </c>
      <c r="J47" s="108">
        <f>IF(J12=0,0,1000000*J12/TrRail_act!J27)</f>
        <v>46666.339742222452</v>
      </c>
      <c r="K47" s="108">
        <f>IF(K12=0,0,1000000*K12/TrRail_act!K27)</f>
        <v>46430.797471166967</v>
      </c>
      <c r="L47" s="108">
        <f>IF(L12=0,0,1000000*L12/TrRail_act!L27)</f>
        <v>45638.371264975591</v>
      </c>
      <c r="M47" s="108">
        <f>IF(M12=0,0,1000000*M12/TrRail_act!M27)</f>
        <v>45105.892812915998</v>
      </c>
      <c r="N47" s="108">
        <f>IF(N12=0,0,1000000*N12/TrRail_act!N27)</f>
        <v>44940.682389549562</v>
      </c>
      <c r="O47" s="108">
        <f>IF(O12=0,0,1000000*O12/TrRail_act!O27)</f>
        <v>44382.068367742359</v>
      </c>
      <c r="P47" s="108">
        <f>IF(P12=0,0,1000000*P12/TrRail_act!P27)</f>
        <v>43799.133368956631</v>
      </c>
      <c r="Q47" s="108">
        <f>IF(Q12=0,0,1000000*Q12/TrRail_act!Q27)</f>
        <v>43553.959104023539</v>
      </c>
      <c r="R47" s="108">
        <f>IF(R12=0,0,1000000*R12/TrRail_act!R27)</f>
        <v>43370.978991776363</v>
      </c>
      <c r="S47" s="108">
        <f>IF(S12=0,0,1000000*S12/TrRail_act!S27)</f>
        <v>43234.248880367282</v>
      </c>
      <c r="T47" s="108">
        <f>IF(T12=0,0,1000000*T12/TrRail_act!T27)</f>
        <v>43131.984046413658</v>
      </c>
      <c r="U47" s="108">
        <f>IF(U12=0,0,1000000*U12/TrRail_act!U27)</f>
        <v>43055.444284263125</v>
      </c>
      <c r="V47" s="108">
        <f>IF(V12=0,0,1000000*V12/TrRail_act!V27)</f>
        <v>29635.966221236984</v>
      </c>
      <c r="W47" s="108">
        <f>IF(W12=0,0,1000000*W12/TrRail_act!W27)</f>
        <v>30145.369719490242</v>
      </c>
      <c r="X47" s="108">
        <f>IF(X12=0,0,1000000*X12/TrRail_act!X27)</f>
        <v>42254.497972781814</v>
      </c>
      <c r="Y47" s="108">
        <f>IF(Y12=0,0,1000000*Y12/TrRail_act!Y27)</f>
        <v>42898.902683906781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258781.00227427942</v>
      </c>
      <c r="C48" s="110">
        <f>IF(C13=0,0,1000000*C13/TrRail_act!C28)</f>
        <v>252003.71601678047</v>
      </c>
      <c r="D48" s="110">
        <f>IF(D13=0,0,1000000*D13/TrRail_act!D28)</f>
        <v>252217.79728177673</v>
      </c>
      <c r="E48" s="110">
        <f>IF(E13=0,0,1000000*E13/TrRail_act!E28)</f>
        <v>249278.32708927323</v>
      </c>
      <c r="F48" s="110">
        <f>IF(F13=0,0,1000000*F13/TrRail_act!F28)</f>
        <v>245342.67305251429</v>
      </c>
      <c r="G48" s="110">
        <f>IF(G13=0,0,1000000*G13/TrRail_act!G28)</f>
        <v>247397.37202559403</v>
      </c>
      <c r="H48" s="110">
        <f>IF(H13=0,0,1000000*H13/TrRail_act!H28)</f>
        <v>252266.84151106884</v>
      </c>
      <c r="I48" s="110">
        <f>IF(I13=0,0,1000000*I13/TrRail_act!I28)</f>
        <v>249716.60013019133</v>
      </c>
      <c r="J48" s="110">
        <f>IF(J13=0,0,1000000*J13/TrRail_act!J28)</f>
        <v>238701.98417598975</v>
      </c>
      <c r="K48" s="110">
        <f>IF(K13=0,0,1000000*K13/TrRail_act!K28)</f>
        <v>235298.85523177488</v>
      </c>
      <c r="L48" s="110">
        <f>IF(L13=0,0,1000000*L13/TrRail_act!L28)</f>
        <v>228591.03502315166</v>
      </c>
      <c r="M48" s="110">
        <f>IF(M13=0,0,1000000*M13/TrRail_act!M28)</f>
        <v>226118.18200856989</v>
      </c>
      <c r="N48" s="110">
        <f>IF(N13=0,0,1000000*N13/TrRail_act!N28)</f>
        <v>225771.30685237492</v>
      </c>
      <c r="O48" s="110">
        <f>IF(O13=0,0,1000000*O13/TrRail_act!O28)</f>
        <v>209114.22042601256</v>
      </c>
      <c r="P48" s="110">
        <f>IF(P13=0,0,1000000*P13/TrRail_act!P28)</f>
        <v>199197.08171107402</v>
      </c>
      <c r="Q48" s="110">
        <f>IF(Q13=0,0,1000000*Q13/TrRail_act!Q28)</f>
        <v>196235.9220202046</v>
      </c>
      <c r="R48" s="110">
        <f>IF(R13=0,0,1000000*R13/TrRail_act!R28)</f>
        <v>190051.42373350635</v>
      </c>
      <c r="S48" s="110">
        <f>IF(S13=0,0,1000000*S13/TrRail_act!S28)</f>
        <v>188674.61383656532</v>
      </c>
      <c r="T48" s="110">
        <f>IF(T13=0,0,1000000*T13/TrRail_act!T28)</f>
        <v>180894.74851090516</v>
      </c>
      <c r="U48" s="110">
        <f>IF(U13=0,0,1000000*U13/TrRail_act!U28)</f>
        <v>179733.00969165956</v>
      </c>
      <c r="V48" s="110">
        <f>IF(V13=0,0,1000000*V13/TrRail_act!V28)</f>
        <v>165345.46814977346</v>
      </c>
      <c r="W48" s="110">
        <f>IF(W13=0,0,1000000*W13/TrRail_act!W28)</f>
        <v>174161.60215363232</v>
      </c>
      <c r="X48" s="110">
        <f>IF(X13=0,0,1000000*X13/TrRail_act!X28)</f>
        <v>173455.98875249075</v>
      </c>
      <c r="Y48" s="110">
        <f>IF(Y13=0,0,1000000*Y13/TrRail_act!Y28)</f>
        <v>174645.27384224819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603648.69787693804</v>
      </c>
      <c r="C49" s="84">
        <f>IF(C14=0,0,1000000*C14/TrRail_act!C29)</f>
        <v>592067.80247568968</v>
      </c>
      <c r="D49" s="84">
        <f>IF(D14=0,0,1000000*D14/TrRail_act!D29)</f>
        <v>583914.06314321782</v>
      </c>
      <c r="E49" s="84">
        <f>IF(E14=0,0,1000000*E14/TrRail_act!E29)</f>
        <v>580701.32065815071</v>
      </c>
      <c r="F49" s="84">
        <f>IF(F14=0,0,1000000*F14/TrRail_act!F29)</f>
        <v>578251.33709645516</v>
      </c>
      <c r="G49" s="84">
        <f>IF(G14=0,0,1000000*G14/TrRail_act!G29)</f>
        <v>574081.00629219261</v>
      </c>
      <c r="H49" s="84">
        <f>IF(H14=0,0,1000000*H14/TrRail_act!H29)</f>
        <v>570489.4823352712</v>
      </c>
      <c r="I49" s="84">
        <f>IF(I14=0,0,1000000*I14/TrRail_act!I29)</f>
        <v>565670.15040689392</v>
      </c>
      <c r="J49" s="84">
        <f>IF(J14=0,0,1000000*J14/TrRail_act!J29)</f>
        <v>564200.57561920164</v>
      </c>
      <c r="K49" s="84">
        <f>IF(K14=0,0,1000000*K14/TrRail_act!K29)</f>
        <v>546592.81729316548</v>
      </c>
      <c r="L49" s="84">
        <f>IF(L14=0,0,1000000*L14/TrRail_act!L29)</f>
        <v>511006.0853300271</v>
      </c>
      <c r="M49" s="84">
        <f>IF(M14=0,0,1000000*M14/TrRail_act!M29)</f>
        <v>539535.63414451177</v>
      </c>
      <c r="N49" s="84">
        <f>IF(N14=0,0,1000000*N14/TrRail_act!N29)</f>
        <v>538367.57521077839</v>
      </c>
      <c r="O49" s="84">
        <f>IF(O14=0,0,1000000*O14/TrRail_act!O29)</f>
        <v>437215.83068491239</v>
      </c>
      <c r="P49" s="84">
        <f>IF(P14=0,0,1000000*P14/TrRail_act!P29)</f>
        <v>360615.84353662387</v>
      </c>
      <c r="Q49" s="84">
        <f>IF(Q14=0,0,1000000*Q14/TrRail_act!Q29)</f>
        <v>351305.39243015333</v>
      </c>
      <c r="R49" s="84">
        <f>IF(R14=0,0,1000000*R14/TrRail_act!R29)</f>
        <v>332295.42552914692</v>
      </c>
      <c r="S49" s="84">
        <f>IF(S14=0,0,1000000*S14/TrRail_act!S29)</f>
        <v>318716.11345988204</v>
      </c>
      <c r="T49" s="84">
        <f>IF(T14=0,0,1000000*T14/TrRail_act!T29)</f>
        <v>258026.11308067103</v>
      </c>
      <c r="U49" s="84">
        <f>IF(U14=0,0,1000000*U14/TrRail_act!U29)</f>
        <v>261774.64518025532</v>
      </c>
      <c r="V49" s="84">
        <f>IF(V14=0,0,1000000*V14/TrRail_act!V29)</f>
        <v>202644.63489972131</v>
      </c>
      <c r="W49" s="84">
        <f>IF(W14=0,0,1000000*W14/TrRail_act!W29)</f>
        <v>216518.97337049566</v>
      </c>
      <c r="X49" s="84">
        <f>IF(X14=0,0,1000000*X14/TrRail_act!X29)</f>
        <v>228314.94447047502</v>
      </c>
      <c r="Y49" s="84">
        <f>IF(Y14=0,0,1000000*Y14/TrRail_act!Y29)</f>
        <v>268219.27374287759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232327.69697234881</v>
      </c>
      <c r="C50" s="84">
        <f>IF(C15=0,0,1000000*C15/TrRail_act!C30)</f>
        <v>227698.48840271358</v>
      </c>
      <c r="D50" s="84">
        <f>IF(D15=0,0,1000000*D15/TrRail_act!D30)</f>
        <v>226577.49143039339</v>
      </c>
      <c r="E50" s="84">
        <f>IF(E15=0,0,1000000*E15/TrRail_act!E30)</f>
        <v>223012.87402937649</v>
      </c>
      <c r="F50" s="84">
        <f>IF(F15=0,0,1000000*F15/TrRail_act!F30)</f>
        <v>222337.32058923761</v>
      </c>
      <c r="G50" s="84">
        <f>IF(G15=0,0,1000000*G15/TrRail_act!G30)</f>
        <v>224004.95512126927</v>
      </c>
      <c r="H50" s="84">
        <f>IF(H15=0,0,1000000*H15/TrRail_act!H30)</f>
        <v>223259.84779338798</v>
      </c>
      <c r="I50" s="84">
        <f>IF(I15=0,0,1000000*I15/TrRail_act!I30)</f>
        <v>219576.15422309405</v>
      </c>
      <c r="J50" s="84">
        <f>IF(J15=0,0,1000000*J15/TrRail_act!J30)</f>
        <v>209308.9670668937</v>
      </c>
      <c r="K50" s="84">
        <f>IF(K15=0,0,1000000*K15/TrRail_act!K30)</f>
        <v>208507.6040926096</v>
      </c>
      <c r="L50" s="84">
        <f>IF(L15=0,0,1000000*L15/TrRail_act!L30)</f>
        <v>206717.03453479742</v>
      </c>
      <c r="M50" s="84">
        <f>IF(M15=0,0,1000000*M15/TrRail_act!M30)</f>
        <v>202946.90931138629</v>
      </c>
      <c r="N50" s="84">
        <f>IF(N15=0,0,1000000*N15/TrRail_act!N30)</f>
        <v>198487.62672162175</v>
      </c>
      <c r="O50" s="84">
        <f>IF(O15=0,0,1000000*O15/TrRail_act!O30)</f>
        <v>191694.46260774319</v>
      </c>
      <c r="P50" s="84">
        <f>IF(P15=0,0,1000000*P15/TrRail_act!P30)</f>
        <v>187341.34287804493</v>
      </c>
      <c r="Q50" s="84">
        <f>IF(Q15=0,0,1000000*Q15/TrRail_act!Q30)</f>
        <v>184089.49373245463</v>
      </c>
      <c r="R50" s="84">
        <f>IF(R15=0,0,1000000*R15/TrRail_act!R30)</f>
        <v>178053.94873052993</v>
      </c>
      <c r="S50" s="84">
        <f>IF(S15=0,0,1000000*S15/TrRail_act!S30)</f>
        <v>176609.68540128286</v>
      </c>
      <c r="T50" s="84">
        <f>IF(T15=0,0,1000000*T15/TrRail_act!T30)</f>
        <v>173954.37334932294</v>
      </c>
      <c r="U50" s="84">
        <f>IF(U15=0,0,1000000*U15/TrRail_act!U30)</f>
        <v>172849.06730068041</v>
      </c>
      <c r="V50" s="84">
        <f>IF(V15=0,0,1000000*V15/TrRail_act!V30)</f>
        <v>162193.09461610575</v>
      </c>
      <c r="W50" s="84">
        <f>IF(W15=0,0,1000000*W15/TrRail_act!W30)</f>
        <v>170809.5223235318</v>
      </c>
      <c r="X50" s="84">
        <f>IF(X15=0,0,1000000*X15/TrRail_act!X30)</f>
        <v>170159.07901317137</v>
      </c>
      <c r="Y50" s="84">
        <f>IF(Y15=0,0,1000000*Y15/TrRail_act!Y30)</f>
        <v>169672.87224302784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1164347.7326910291</v>
      </c>
      <c r="C51" s="113">
        <f>IF(C16=0,0,1000000*C16/TrRail_act!C31)</f>
        <v>1158614.393062229</v>
      </c>
      <c r="D51" s="113">
        <f>IF(D16=0,0,1000000*D16/TrRail_act!D31)</f>
        <v>1154396.1924707512</v>
      </c>
      <c r="E51" s="113">
        <f>IF(E16=0,0,1000000*E16/TrRail_act!E31)</f>
        <v>1159744.4862566837</v>
      </c>
      <c r="F51" s="113">
        <f>IF(F16=0,0,1000000*F16/TrRail_act!F31)</f>
        <v>1157721.9129674255</v>
      </c>
      <c r="G51" s="113">
        <f>IF(G16=0,0,1000000*G16/TrRail_act!G31)</f>
        <v>1138276.3600748654</v>
      </c>
      <c r="H51" s="113">
        <f>IF(H16=0,0,1000000*H16/TrRail_act!H31)</f>
        <v>1125593.7488386361</v>
      </c>
      <c r="I51" s="113">
        <f>IF(I16=0,0,1000000*I16/TrRail_act!I31)</f>
        <v>1116429.4049597355</v>
      </c>
      <c r="J51" s="113">
        <f>IF(J16=0,0,1000000*J16/TrRail_act!J31)</f>
        <v>1111641.8081473529</v>
      </c>
      <c r="K51" s="113">
        <f>IF(K16=0,0,1000000*K16/TrRail_act!K31)</f>
        <v>1104786.9355475449</v>
      </c>
      <c r="L51" s="113">
        <f>IF(L16=0,0,1000000*L16/TrRail_act!L31)</f>
        <v>1096160.8036435484</v>
      </c>
      <c r="M51" s="113">
        <f>IF(M16=0,0,1000000*M16/TrRail_act!M31)</f>
        <v>1011554.1843019244</v>
      </c>
      <c r="N51" s="113">
        <f>IF(N16=0,0,1000000*N16/TrRail_act!N31)</f>
        <v>1079632.0750318193</v>
      </c>
      <c r="O51" s="113">
        <f>IF(O16=0,0,1000000*O16/TrRail_act!O31)</f>
        <v>1072861.3870373848</v>
      </c>
      <c r="P51" s="113">
        <f>IF(P16=0,0,1000000*P16/TrRail_act!P31)</f>
        <v>1060661.020060593</v>
      </c>
      <c r="Q51" s="113">
        <f>IF(Q16=0,0,1000000*Q16/TrRail_act!Q31)</f>
        <v>1027277.194154967</v>
      </c>
      <c r="R51" s="113">
        <f>IF(R16=0,0,1000000*R16/TrRail_act!R31)</f>
        <v>1003933.5582501482</v>
      </c>
      <c r="S51" s="113">
        <f>IF(S16=0,0,1000000*S16/TrRail_act!S31)</f>
        <v>987761.39898394374</v>
      </c>
      <c r="T51" s="113">
        <f>IF(T16=0,0,1000000*T16/TrRail_act!T31)</f>
        <v>973851.79713169648</v>
      </c>
      <c r="U51" s="113">
        <f>IF(U16=0,0,1000000*U16/TrRail_act!U31)</f>
        <v>961621.25359925302</v>
      </c>
      <c r="V51" s="113">
        <f>IF(V16=0,0,1000000*V16/TrRail_act!V31)</f>
        <v>950644.10199459828</v>
      </c>
      <c r="W51" s="113">
        <f>IF(W16=0,0,1000000*W16/TrRail_act!W31)</f>
        <v>942493.61379932018</v>
      </c>
      <c r="X51" s="113">
        <f>IF(X16=0,0,1000000*X16/TrRail_act!X31)</f>
        <v>936426.59012662992</v>
      </c>
      <c r="Y51" s="113">
        <f>IF(Y16=0,0,1000000*Y16/TrRail_act!Y31)</f>
        <v>931901.98399662983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777449.06896340137</v>
      </c>
      <c r="C52" s="28">
        <f>IF(C17=0,0,1000000*C17/TrRail_act!C32)</f>
        <v>733668.10471177124</v>
      </c>
      <c r="D52" s="28">
        <f>IF(D17=0,0,1000000*D17/TrRail_act!D32)</f>
        <v>652335.19444143644</v>
      </c>
      <c r="E52" s="28">
        <f>IF(E17=0,0,1000000*E17/TrRail_act!E32)</f>
        <v>646884.47492911073</v>
      </c>
      <c r="F52" s="28">
        <f>IF(F17=0,0,1000000*F17/TrRail_act!F32)</f>
        <v>628000.27270817314</v>
      </c>
      <c r="G52" s="28">
        <f>IF(G17=0,0,1000000*G17/TrRail_act!G32)</f>
        <v>618316.07698167337</v>
      </c>
      <c r="H52" s="28">
        <f>IF(H17=0,0,1000000*H17/TrRail_act!H32)</f>
        <v>615825.77639635198</v>
      </c>
      <c r="I52" s="28">
        <f>IF(I17=0,0,1000000*I17/TrRail_act!I32)</f>
        <v>608599.23325583187</v>
      </c>
      <c r="J52" s="28">
        <f>IF(J17=0,0,1000000*J17/TrRail_act!J32)</f>
        <v>588631.38602889352</v>
      </c>
      <c r="K52" s="28">
        <f>IF(K17=0,0,1000000*K17/TrRail_act!K32)</f>
        <v>417442.50200916105</v>
      </c>
      <c r="L52" s="28">
        <f>IF(L17=0,0,1000000*L17/TrRail_act!L32)</f>
        <v>462163.44035282137</v>
      </c>
      <c r="M52" s="28">
        <f>IF(M17=0,0,1000000*M17/TrRail_act!M32)</f>
        <v>475209.41953869106</v>
      </c>
      <c r="N52" s="28">
        <f>IF(N17=0,0,1000000*N17/TrRail_act!N32)</f>
        <v>533162.27327481587</v>
      </c>
      <c r="O52" s="28">
        <f>IF(O17=0,0,1000000*O17/TrRail_act!O32)</f>
        <v>513322.87206580711</v>
      </c>
      <c r="P52" s="28">
        <f>IF(P17=0,0,1000000*P17/TrRail_act!P32)</f>
        <v>498284.35481963027</v>
      </c>
      <c r="Q52" s="28">
        <f>IF(Q17=0,0,1000000*Q17/TrRail_act!Q32)</f>
        <v>494966.36088275269</v>
      </c>
      <c r="R52" s="28">
        <f>IF(R17=0,0,1000000*R17/TrRail_act!R32)</f>
        <v>479248.11924134346</v>
      </c>
      <c r="S52" s="28">
        <f>IF(S17=0,0,1000000*S17/TrRail_act!S32)</f>
        <v>478603.21691898064</v>
      </c>
      <c r="T52" s="28">
        <f>IF(T17=0,0,1000000*T17/TrRail_act!T32)</f>
        <v>480193.32926387491</v>
      </c>
      <c r="U52" s="28">
        <f>IF(U17=0,0,1000000*U17/TrRail_act!U32)</f>
        <v>477382.2463837039</v>
      </c>
      <c r="V52" s="28">
        <f>IF(V17=0,0,1000000*V17/TrRail_act!V32)</f>
        <v>475104.20565787738</v>
      </c>
      <c r="W52" s="28">
        <f>IF(W17=0,0,1000000*W17/TrRail_act!W32)</f>
        <v>471132.06478012964</v>
      </c>
      <c r="X52" s="28">
        <f>IF(X17=0,0,1000000*X17/TrRail_act!X32)</f>
        <v>277446.69608639315</v>
      </c>
      <c r="Y52" s="28">
        <f>IF(Y17=0,0,1000000*Y17/TrRail_act!Y32)</f>
        <v>277566.08631773532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1279014.6950883914</v>
      </c>
      <c r="C53" s="84">
        <f>IF(C18=0,0,1000000*C18/TrRail_act!C33)</f>
        <v>1195450.3584645526</v>
      </c>
      <c r="D53" s="84">
        <f>IF(D18=0,0,1000000*D18/TrRail_act!D33)</f>
        <v>1110567.5925666427</v>
      </c>
      <c r="E53" s="84">
        <f>IF(E18=0,0,1000000*E18/TrRail_act!E33)</f>
        <v>1123310.5801376319</v>
      </c>
      <c r="F53" s="84">
        <f>IF(F18=0,0,1000000*F18/TrRail_act!F33)</f>
        <v>1261761.6407822685</v>
      </c>
      <c r="G53" s="84">
        <f>IF(G18=0,0,1000000*G18/TrRail_act!G33)</f>
        <v>1249226.9433694149</v>
      </c>
      <c r="H53" s="84">
        <f>IF(H18=0,0,1000000*H18/TrRail_act!H33)</f>
        <v>1241393.9614209805</v>
      </c>
      <c r="I53" s="84">
        <f>IF(I18=0,0,1000000*I18/TrRail_act!I33)</f>
        <v>1235373.7447190487</v>
      </c>
      <c r="J53" s="84">
        <f>IF(J18=0,0,1000000*J18/TrRail_act!J33)</f>
        <v>1181650.9338298051</v>
      </c>
      <c r="K53" s="84">
        <f>IF(K18=0,0,1000000*K18/TrRail_act!K33)</f>
        <v>773711.6814519621</v>
      </c>
      <c r="L53" s="84">
        <f>IF(L18=0,0,1000000*L18/TrRail_act!L33)</f>
        <v>840288.5089522379</v>
      </c>
      <c r="M53" s="84">
        <f>IF(M18=0,0,1000000*M18/TrRail_act!M33)</f>
        <v>961823.51840231824</v>
      </c>
      <c r="N53" s="84">
        <f>IF(N18=0,0,1000000*N18/TrRail_act!N33)</f>
        <v>1174574.3717247003</v>
      </c>
      <c r="O53" s="84">
        <f>IF(O18=0,0,1000000*O18/TrRail_act!O33)</f>
        <v>1144713.2969346191</v>
      </c>
      <c r="P53" s="84">
        <f>IF(P18=0,0,1000000*P18/TrRail_act!P33)</f>
        <v>1132011.1320050689</v>
      </c>
      <c r="Q53" s="84">
        <f>IF(Q18=0,0,1000000*Q18/TrRail_act!Q33)</f>
        <v>1127215.1699776261</v>
      </c>
      <c r="R53" s="84">
        <f>IF(R18=0,0,1000000*R18/TrRail_act!R33)</f>
        <v>1097788.0592743359</v>
      </c>
      <c r="S53" s="84">
        <f>IF(S18=0,0,1000000*S18/TrRail_act!S33)</f>
        <v>1086985.2917311024</v>
      </c>
      <c r="T53" s="84">
        <f>IF(T18=0,0,1000000*T18/TrRail_act!T33)</f>
        <v>1078952.9134030382</v>
      </c>
      <c r="U53" s="84">
        <f>IF(U18=0,0,1000000*U18/TrRail_act!U33)</f>
        <v>1072967.6842208973</v>
      </c>
      <c r="V53" s="84">
        <f>IF(V18=0,0,1000000*V18/TrRail_act!V33)</f>
        <v>1068500.4959780192</v>
      </c>
      <c r="W53" s="84">
        <f>IF(W18=0,0,1000000*W18/TrRail_act!W33)</f>
        <v>1065162.3575877612</v>
      </c>
      <c r="X53" s="84">
        <f>IF(X18=0,0,1000000*X18/TrRail_act!X33)</f>
        <v>1062665.5797167541</v>
      </c>
      <c r="Y53" s="84">
        <f>IF(Y18=0,0,1000000*Y18/TrRail_act!Y33)</f>
        <v>1060796.8862484216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450788.50313249457</v>
      </c>
      <c r="C54" s="86">
        <f>IF(C19=0,0,1000000*C19/TrRail_act!C34)</f>
        <v>450831.04650271137</v>
      </c>
      <c r="D54" s="86">
        <f>IF(D19=0,0,1000000*D19/TrRail_act!D34)</f>
        <v>422637.32468516502</v>
      </c>
      <c r="E54" s="86">
        <f>IF(E19=0,0,1000000*E19/TrRail_act!E34)</f>
        <v>434389.4087494206</v>
      </c>
      <c r="F54" s="86">
        <f>IF(F19=0,0,1000000*F19/TrRail_act!F34)</f>
        <v>431504.93971711223</v>
      </c>
      <c r="G54" s="86">
        <f>IF(G19=0,0,1000000*G19/TrRail_act!G34)</f>
        <v>429540.42671163013</v>
      </c>
      <c r="H54" s="86">
        <f>IF(H19=0,0,1000000*H19/TrRail_act!H34)</f>
        <v>428994.8871799013</v>
      </c>
      <c r="I54" s="86">
        <f>IF(I19=0,0,1000000*I19/TrRail_act!I34)</f>
        <v>412578.32677841862</v>
      </c>
      <c r="J54" s="86">
        <f>IF(J19=0,0,1000000*J19/TrRail_act!J34)</f>
        <v>420361.83706043381</v>
      </c>
      <c r="K54" s="86">
        <f>IF(K19=0,0,1000000*K19/TrRail_act!K34)</f>
        <v>324575.34250271047</v>
      </c>
      <c r="L54" s="86">
        <f>IF(L19=0,0,1000000*L19/TrRail_act!L34)</f>
        <v>373498.12679130462</v>
      </c>
      <c r="M54" s="86">
        <f>IF(M19=0,0,1000000*M19/TrRail_act!M34)</f>
        <v>375674.1215464272</v>
      </c>
      <c r="N54" s="86">
        <f>IF(N19=0,0,1000000*N19/TrRail_act!N34)</f>
        <v>396532.87342587236</v>
      </c>
      <c r="O54" s="86">
        <f>IF(O19=0,0,1000000*O19/TrRail_act!O34)</f>
        <v>407180.00570075295</v>
      </c>
      <c r="P54" s="86">
        <f>IF(P19=0,0,1000000*P19/TrRail_act!P34)</f>
        <v>408102.25827694184</v>
      </c>
      <c r="Q54" s="86">
        <f>IF(Q19=0,0,1000000*Q19/TrRail_act!Q34)</f>
        <v>409317.60177412053</v>
      </c>
      <c r="R54" s="86">
        <f>IF(R19=0,0,1000000*R19/TrRail_act!R34)</f>
        <v>395873.38486558542</v>
      </c>
      <c r="S54" s="86">
        <f>IF(S19=0,0,1000000*S19/TrRail_act!S34)</f>
        <v>389941.61580652528</v>
      </c>
      <c r="T54" s="86">
        <f>IF(T19=0,0,1000000*T19/TrRail_act!T34)</f>
        <v>384780.09390573326</v>
      </c>
      <c r="U54" s="86">
        <f>IF(U19=0,0,1000000*U19/TrRail_act!U34)</f>
        <v>380191.92566220148</v>
      </c>
      <c r="V54" s="86">
        <f>IF(V19=0,0,1000000*V19/TrRail_act!V34)</f>
        <v>376033.16472345759</v>
      </c>
      <c r="W54" s="86">
        <f>IF(W19=0,0,1000000*W19/TrRail_act!W34)</f>
        <v>372943.978941468</v>
      </c>
      <c r="X54" s="86">
        <f>IF(X19=0,0,1000000*X19/TrRail_act!X34)</f>
        <v>150086.0323825081</v>
      </c>
      <c r="Y54" s="86">
        <f>IF(Y19=0,0,1000000*Y19/TrRail_act!Y34)</f>
        <v>148329.53250622223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0.68976211090820716</v>
      </c>
      <c r="C57" s="31">
        <f t="shared" ref="C57:V57" si="18">IF(C11=0,0,C11/C$10)</f>
        <v>0.71941013440052892</v>
      </c>
      <c r="D57" s="31">
        <f t="shared" si="18"/>
        <v>0.73989308947285681</v>
      </c>
      <c r="E57" s="31">
        <f t="shared" si="18"/>
        <v>0.75818885898460986</v>
      </c>
      <c r="F57" s="31">
        <f t="shared" si="18"/>
        <v>0.74779170180192711</v>
      </c>
      <c r="G57" s="31">
        <f t="shared" si="18"/>
        <v>0.72750913697860042</v>
      </c>
      <c r="H57" s="31">
        <f t="shared" si="18"/>
        <v>0.71378709334554069</v>
      </c>
      <c r="I57" s="31">
        <f t="shared" si="18"/>
        <v>0.70412302553317585</v>
      </c>
      <c r="J57" s="31">
        <f t="shared" si="18"/>
        <v>0.72792855880531537</v>
      </c>
      <c r="K57" s="31">
        <f t="shared" si="18"/>
        <v>0.80069201461856221</v>
      </c>
      <c r="L57" s="31">
        <f t="shared" si="18"/>
        <v>0.79784047146921611</v>
      </c>
      <c r="M57" s="31">
        <f t="shared" si="18"/>
        <v>0.80222566448364041</v>
      </c>
      <c r="N57" s="31">
        <f t="shared" si="18"/>
        <v>0.78960366192460951</v>
      </c>
      <c r="O57" s="31">
        <f t="shared" si="18"/>
        <v>0.79448154186057185</v>
      </c>
      <c r="P57" s="31">
        <f t="shared" si="18"/>
        <v>0.78500802731728725</v>
      </c>
      <c r="Q57" s="31">
        <f t="shared" si="18"/>
        <v>0.78676294891639842</v>
      </c>
      <c r="R57" s="31">
        <f t="shared" si="18"/>
        <v>0.77713294003589595</v>
      </c>
      <c r="S57" s="31">
        <f t="shared" si="18"/>
        <v>0.7697614728584512</v>
      </c>
      <c r="T57" s="31">
        <f t="shared" si="18"/>
        <v>0.71776255529899613</v>
      </c>
      <c r="U57" s="31">
        <f t="shared" si="18"/>
        <v>0.71018519002896374</v>
      </c>
      <c r="V57" s="31">
        <f t="shared" si="18"/>
        <v>0.67776280829059721</v>
      </c>
      <c r="W57" s="31">
        <f t="shared" ref="W57:Y57" si="19">IF(W11=0,0,W11/W$10)</f>
        <v>0.67228376620935892</v>
      </c>
      <c r="X57" s="31">
        <f t="shared" si="19"/>
        <v>0.8103628525212323</v>
      </c>
      <c r="Y57" s="31">
        <f t="shared" si="19"/>
        <v>0.82192932175060429</v>
      </c>
      <c r="DA57" s="173"/>
    </row>
    <row r="58" spans="1:105" ht="11.45" customHeight="1" x14ac:dyDescent="0.25">
      <c r="A58" s="107" t="s">
        <v>23</v>
      </c>
      <c r="B58" s="123">
        <f t="shared" si="15"/>
        <v>2.9545968427073403E-2</v>
      </c>
      <c r="C58" s="123">
        <f t="shared" ref="C58:V58" si="20">IF(C12=0,0,C12/C$10)</f>
        <v>2.9794037145978506E-2</v>
      </c>
      <c r="D58" s="123">
        <f t="shared" si="20"/>
        <v>3.0725550807219608E-2</v>
      </c>
      <c r="E58" s="123">
        <f t="shared" si="20"/>
        <v>3.0752794328663693E-2</v>
      </c>
      <c r="F58" s="123">
        <f t="shared" si="20"/>
        <v>2.7851307305681524E-2</v>
      </c>
      <c r="G58" s="123">
        <f t="shared" si="20"/>
        <v>2.8415896703350426E-2</v>
      </c>
      <c r="H58" s="123">
        <f t="shared" si="20"/>
        <v>2.6495332579940495E-2</v>
      </c>
      <c r="I58" s="123">
        <f t="shared" si="20"/>
        <v>2.6023118087788635E-2</v>
      </c>
      <c r="J58" s="123">
        <f t="shared" si="20"/>
        <v>2.6089180806795308E-2</v>
      </c>
      <c r="K58" s="123">
        <f t="shared" si="20"/>
        <v>2.9050871832160343E-2</v>
      </c>
      <c r="L58" s="123">
        <f t="shared" si="20"/>
        <v>3.0443634840914582E-2</v>
      </c>
      <c r="M58" s="123">
        <f t="shared" si="20"/>
        <v>3.3159412833138287E-2</v>
      </c>
      <c r="N58" s="123">
        <f t="shared" si="20"/>
        <v>3.6065289388709551E-2</v>
      </c>
      <c r="O58" s="123">
        <f t="shared" si="20"/>
        <v>3.7312284046634572E-2</v>
      </c>
      <c r="P58" s="123">
        <f t="shared" si="20"/>
        <v>3.9140969691342661E-2</v>
      </c>
      <c r="Q58" s="123">
        <f t="shared" si="20"/>
        <v>3.8467191412908483E-2</v>
      </c>
      <c r="R58" s="123">
        <f t="shared" si="20"/>
        <v>3.8343493750759475E-2</v>
      </c>
      <c r="S58" s="123">
        <f t="shared" si="20"/>
        <v>4.0758061957706232E-2</v>
      </c>
      <c r="T58" s="123">
        <f t="shared" si="20"/>
        <v>4.1586879857817186E-2</v>
      </c>
      <c r="U58" s="123">
        <f t="shared" si="20"/>
        <v>4.2833205825458347E-2</v>
      </c>
      <c r="V58" s="123">
        <f t="shared" si="20"/>
        <v>3.1160561793382564E-2</v>
      </c>
      <c r="W58" s="123">
        <f t="shared" ref="W58:Y58" si="21">IF(W12=0,0,W12/W$10)</f>
        <v>2.8382354778101616E-2</v>
      </c>
      <c r="X58" s="123">
        <f t="shared" si="21"/>
        <v>3.8142330646179036E-2</v>
      </c>
      <c r="Y58" s="123">
        <f t="shared" si="21"/>
        <v>4.1391907236573974E-2</v>
      </c>
      <c r="DA58" s="203"/>
    </row>
    <row r="59" spans="1:105" ht="11.45" customHeight="1" x14ac:dyDescent="0.25">
      <c r="A59" s="109" t="s">
        <v>24</v>
      </c>
      <c r="B59" s="124">
        <f t="shared" si="15"/>
        <v>0.61674646828075297</v>
      </c>
      <c r="C59" s="124">
        <f t="shared" ref="C59:V59" si="22">IF(C13=0,0,C13/C$10)</f>
        <v>0.64402401684892441</v>
      </c>
      <c r="D59" s="124">
        <f t="shared" si="22"/>
        <v>0.66127815094826603</v>
      </c>
      <c r="E59" s="124">
        <f t="shared" si="22"/>
        <v>0.6814417065828019</v>
      </c>
      <c r="F59" s="124">
        <f t="shared" si="22"/>
        <v>0.67435387610850228</v>
      </c>
      <c r="G59" s="124">
        <f t="shared" si="22"/>
        <v>0.65287164974100287</v>
      </c>
      <c r="H59" s="124">
        <f t="shared" si="22"/>
        <v>0.64470168054041166</v>
      </c>
      <c r="I59" s="124">
        <f t="shared" si="22"/>
        <v>0.63594646650852804</v>
      </c>
      <c r="J59" s="124">
        <f t="shared" si="22"/>
        <v>0.65710066165200576</v>
      </c>
      <c r="K59" s="124">
        <f t="shared" si="22"/>
        <v>0.72314204086846212</v>
      </c>
      <c r="L59" s="124">
        <f t="shared" si="22"/>
        <v>0.72005958630684674</v>
      </c>
      <c r="M59" s="124">
        <f t="shared" si="22"/>
        <v>0.72728927032541091</v>
      </c>
      <c r="N59" s="124">
        <f t="shared" si="22"/>
        <v>0.71137296808078299</v>
      </c>
      <c r="O59" s="124">
        <f t="shared" si="22"/>
        <v>0.71401881960451841</v>
      </c>
      <c r="P59" s="124">
        <f t="shared" si="22"/>
        <v>0.69983593522718912</v>
      </c>
      <c r="Q59" s="124">
        <f t="shared" si="22"/>
        <v>0.69037603375538159</v>
      </c>
      <c r="R59" s="124">
        <f t="shared" si="22"/>
        <v>0.66865618327360343</v>
      </c>
      <c r="S59" s="124">
        <f t="shared" si="22"/>
        <v>0.65934931753493087</v>
      </c>
      <c r="T59" s="124">
        <f t="shared" si="22"/>
        <v>0.60786054522694599</v>
      </c>
      <c r="U59" s="124">
        <f t="shared" si="22"/>
        <v>0.60005009177680058</v>
      </c>
      <c r="V59" s="124">
        <f t="shared" si="22"/>
        <v>0.57501969737127201</v>
      </c>
      <c r="W59" s="124">
        <f t="shared" ref="W59:Y59" si="23">IF(W13=0,0,W13/W$10)</f>
        <v>0.57113053881882359</v>
      </c>
      <c r="X59" s="124">
        <f t="shared" si="23"/>
        <v>0.69801097004931778</v>
      </c>
      <c r="Y59" s="124">
        <f t="shared" si="23"/>
        <v>0.7078144048605578</v>
      </c>
      <c r="DA59" s="176"/>
    </row>
    <row r="60" spans="1:105" ht="11.45" customHeight="1" x14ac:dyDescent="0.25">
      <c r="A60" s="111" t="s">
        <v>92</v>
      </c>
      <c r="B60" s="125">
        <f t="shared" si="15"/>
        <v>0.10249176699851216</v>
      </c>
      <c r="C60" s="125">
        <f t="shared" ref="C60:V60" si="24">IF(C14=0,0,C14/C$10)</f>
        <v>0.1009309730118479</v>
      </c>
      <c r="D60" s="125">
        <f t="shared" si="24"/>
        <v>0.10985077241843715</v>
      </c>
      <c r="E60" s="125">
        <f t="shared" si="24"/>
        <v>0.11656736691041483</v>
      </c>
      <c r="F60" s="125">
        <f t="shared" si="24"/>
        <v>0.10273423963664001</v>
      </c>
      <c r="G60" s="125">
        <f t="shared" si="24"/>
        <v>0.10123218257743946</v>
      </c>
      <c r="H60" s="125">
        <f t="shared" si="24"/>
        <v>0.12179577194954673</v>
      </c>
      <c r="I60" s="125">
        <f t="shared" si="24"/>
        <v>0.12545616712691859</v>
      </c>
      <c r="J60" s="125">
        <f t="shared" si="24"/>
        <v>0.12863461093014067</v>
      </c>
      <c r="K60" s="125">
        <f t="shared" si="24"/>
        <v>0.13311731083515574</v>
      </c>
      <c r="L60" s="125">
        <f t="shared" si="24"/>
        <v>0.1157116819884169</v>
      </c>
      <c r="M60" s="125">
        <f t="shared" si="24"/>
        <v>0.11946540325367444</v>
      </c>
      <c r="N60" s="125">
        <f t="shared" si="24"/>
        <v>0.13617108946230139</v>
      </c>
      <c r="O60" s="125">
        <f t="shared" si="24"/>
        <v>0.10591922330768395</v>
      </c>
      <c r="P60" s="125">
        <f t="shared" si="24"/>
        <v>8.6686613771882803E-2</v>
      </c>
      <c r="Q60" s="125">
        <f t="shared" si="24"/>
        <v>8.9776575552623999E-2</v>
      </c>
      <c r="R60" s="125">
        <f t="shared" si="24"/>
        <v>9.0937870339218477E-2</v>
      </c>
      <c r="S60" s="125">
        <f t="shared" si="24"/>
        <v>9.4562106669844506E-2</v>
      </c>
      <c r="T60" s="125">
        <f t="shared" si="24"/>
        <v>7.1577177453321289E-2</v>
      </c>
      <c r="U60" s="125">
        <f t="shared" si="24"/>
        <v>6.7654668508272203E-2</v>
      </c>
      <c r="V60" s="125">
        <f t="shared" si="24"/>
        <v>5.4919698630319959E-2</v>
      </c>
      <c r="W60" s="125">
        <f t="shared" ref="W60:Y60" si="25">IF(W14=0,0,W14/W$10)</f>
        <v>5.2069964080091374E-2</v>
      </c>
      <c r="X60" s="125">
        <f t="shared" si="25"/>
        <v>5.2085977969311123E-2</v>
      </c>
      <c r="Y60" s="125">
        <f t="shared" si="25"/>
        <v>5.4850168834152578E-2</v>
      </c>
      <c r="DA60" s="171"/>
    </row>
    <row r="61" spans="1:105" ht="11.45" customHeight="1" x14ac:dyDescent="0.25">
      <c r="A61" s="111" t="s">
        <v>93</v>
      </c>
      <c r="B61" s="125">
        <f t="shared" si="15"/>
        <v>0.51425470128224082</v>
      </c>
      <c r="C61" s="125">
        <f t="shared" ref="C61:V61" si="26">IF(C15=0,0,C15/C$10)</f>
        <v>0.54309304383707646</v>
      </c>
      <c r="D61" s="125">
        <f t="shared" si="26"/>
        <v>0.55142737852982882</v>
      </c>
      <c r="E61" s="125">
        <f t="shared" si="26"/>
        <v>0.56487433967238709</v>
      </c>
      <c r="F61" s="125">
        <f t="shared" si="26"/>
        <v>0.57161963647186231</v>
      </c>
      <c r="G61" s="125">
        <f t="shared" si="26"/>
        <v>0.55163946716356338</v>
      </c>
      <c r="H61" s="125">
        <f t="shared" si="26"/>
        <v>0.52290590859086494</v>
      </c>
      <c r="I61" s="125">
        <f t="shared" si="26"/>
        <v>0.51049029938160939</v>
      </c>
      <c r="J61" s="125">
        <f t="shared" si="26"/>
        <v>0.52846605072186503</v>
      </c>
      <c r="K61" s="125">
        <f t="shared" si="26"/>
        <v>0.59002473003330647</v>
      </c>
      <c r="L61" s="125">
        <f t="shared" si="26"/>
        <v>0.60434790431842977</v>
      </c>
      <c r="M61" s="125">
        <f t="shared" si="26"/>
        <v>0.60782386707173652</v>
      </c>
      <c r="N61" s="125">
        <f t="shared" si="26"/>
        <v>0.5752018786184816</v>
      </c>
      <c r="O61" s="125">
        <f t="shared" si="26"/>
        <v>0.60809959629683441</v>
      </c>
      <c r="P61" s="125">
        <f t="shared" si="26"/>
        <v>0.61314932145530632</v>
      </c>
      <c r="Q61" s="125">
        <f t="shared" si="26"/>
        <v>0.60059945820275762</v>
      </c>
      <c r="R61" s="125">
        <f t="shared" si="26"/>
        <v>0.57771831293438503</v>
      </c>
      <c r="S61" s="125">
        <f t="shared" si="26"/>
        <v>0.56478721086508632</v>
      </c>
      <c r="T61" s="125">
        <f t="shared" si="26"/>
        <v>0.53628336777362462</v>
      </c>
      <c r="U61" s="125">
        <f t="shared" si="26"/>
        <v>0.5323954232685284</v>
      </c>
      <c r="V61" s="125">
        <f t="shared" si="26"/>
        <v>0.52009999874095203</v>
      </c>
      <c r="W61" s="125">
        <f t="shared" ref="W61:Y61" si="27">IF(W15=0,0,W15/W$10)</f>
        <v>0.51906057473873224</v>
      </c>
      <c r="X61" s="125">
        <f t="shared" si="27"/>
        <v>0.64592499208000664</v>
      </c>
      <c r="Y61" s="125">
        <f t="shared" si="27"/>
        <v>0.65296423602640519</v>
      </c>
      <c r="DA61" s="171"/>
    </row>
    <row r="62" spans="1:105" ht="11.45" customHeight="1" x14ac:dyDescent="0.25">
      <c r="A62" s="112" t="s">
        <v>25</v>
      </c>
      <c r="B62" s="126">
        <f t="shared" si="15"/>
        <v>4.3469674200380788E-2</v>
      </c>
      <c r="C62" s="126">
        <f t="shared" ref="C62:V62" si="28">IF(C16=0,0,C16/C$10)</f>
        <v>4.5592080405626026E-2</v>
      </c>
      <c r="D62" s="126">
        <f t="shared" si="28"/>
        <v>4.7889387717371119E-2</v>
      </c>
      <c r="E62" s="126">
        <f t="shared" si="28"/>
        <v>4.5994358073144212E-2</v>
      </c>
      <c r="F62" s="126">
        <f t="shared" si="28"/>
        <v>4.5586518387743295E-2</v>
      </c>
      <c r="G62" s="126">
        <f t="shared" si="28"/>
        <v>4.6221590534247188E-2</v>
      </c>
      <c r="H62" s="126">
        <f t="shared" si="28"/>
        <v>4.2590080225188474E-2</v>
      </c>
      <c r="I62" s="126">
        <f t="shared" si="28"/>
        <v>4.2153440936859216E-2</v>
      </c>
      <c r="J62" s="126">
        <f t="shared" si="28"/>
        <v>4.473871634651435E-2</v>
      </c>
      <c r="K62" s="126">
        <f t="shared" si="28"/>
        <v>4.8499101917939824E-2</v>
      </c>
      <c r="L62" s="126">
        <f t="shared" si="28"/>
        <v>4.7337250321454721E-2</v>
      </c>
      <c r="M62" s="126">
        <f t="shared" si="28"/>
        <v>4.177698132509125E-2</v>
      </c>
      <c r="N62" s="126">
        <f t="shared" si="28"/>
        <v>4.2165404455117031E-2</v>
      </c>
      <c r="O62" s="126">
        <f t="shared" si="28"/>
        <v>4.3150438209418988E-2</v>
      </c>
      <c r="P62" s="126">
        <f t="shared" si="28"/>
        <v>4.6031122398755508E-2</v>
      </c>
      <c r="Q62" s="126">
        <f t="shared" si="28"/>
        <v>5.7919723748108304E-2</v>
      </c>
      <c r="R62" s="126">
        <f t="shared" si="28"/>
        <v>7.0133263011533123E-2</v>
      </c>
      <c r="S62" s="126">
        <f t="shared" si="28"/>
        <v>6.9654093365814101E-2</v>
      </c>
      <c r="T62" s="126">
        <f t="shared" si="28"/>
        <v>6.8315130214232925E-2</v>
      </c>
      <c r="U62" s="126">
        <f t="shared" si="28"/>
        <v>6.7301892426704785E-2</v>
      </c>
      <c r="V62" s="126">
        <f t="shared" si="28"/>
        <v>7.1582549125942696E-2</v>
      </c>
      <c r="W62" s="126">
        <f t="shared" ref="W62:Y62" si="29">IF(W16=0,0,W16/W$10)</f>
        <v>7.2770872612433743E-2</v>
      </c>
      <c r="X62" s="126">
        <f t="shared" si="29"/>
        <v>7.4209551825735534E-2</v>
      </c>
      <c r="Y62" s="126">
        <f t="shared" si="29"/>
        <v>7.2723009653472573E-2</v>
      </c>
      <c r="DA62" s="204"/>
    </row>
    <row r="63" spans="1:105" ht="11.45" customHeight="1" x14ac:dyDescent="0.25">
      <c r="A63" s="27" t="s">
        <v>34</v>
      </c>
      <c r="B63" s="31">
        <f t="shared" si="15"/>
        <v>0.31023788909179273</v>
      </c>
      <c r="C63" s="31">
        <f t="shared" ref="C63:V63" si="30">IF(C17=0,0,C17/C$10)</f>
        <v>0.28058986559947097</v>
      </c>
      <c r="D63" s="31">
        <f t="shared" si="30"/>
        <v>0.26010691052714319</v>
      </c>
      <c r="E63" s="31">
        <f t="shared" si="30"/>
        <v>0.24181114101539006</v>
      </c>
      <c r="F63" s="31">
        <f t="shared" si="30"/>
        <v>0.25220829819807283</v>
      </c>
      <c r="G63" s="31">
        <f t="shared" si="30"/>
        <v>0.27249086302139958</v>
      </c>
      <c r="H63" s="31">
        <f t="shared" si="30"/>
        <v>0.28621290665445931</v>
      </c>
      <c r="I63" s="31">
        <f t="shared" si="30"/>
        <v>0.29587697446682426</v>
      </c>
      <c r="J63" s="31">
        <f t="shared" si="30"/>
        <v>0.27207144119468457</v>
      </c>
      <c r="K63" s="31">
        <f t="shared" si="30"/>
        <v>0.19930798538143765</v>
      </c>
      <c r="L63" s="31">
        <f t="shared" si="30"/>
        <v>0.20215952853078398</v>
      </c>
      <c r="M63" s="31">
        <f t="shared" si="30"/>
        <v>0.19777433551635959</v>
      </c>
      <c r="N63" s="31">
        <f t="shared" si="30"/>
        <v>0.21039633807539046</v>
      </c>
      <c r="O63" s="31">
        <f t="shared" si="30"/>
        <v>0.20551845813942812</v>
      </c>
      <c r="P63" s="31">
        <f t="shared" si="30"/>
        <v>0.21499197268271281</v>
      </c>
      <c r="Q63" s="31">
        <f t="shared" si="30"/>
        <v>0.21323705108360158</v>
      </c>
      <c r="R63" s="31">
        <f t="shared" si="30"/>
        <v>0.22286705996410408</v>
      </c>
      <c r="S63" s="31">
        <f t="shared" si="30"/>
        <v>0.23023852714154877</v>
      </c>
      <c r="T63" s="31">
        <f t="shared" si="30"/>
        <v>0.28223744470100393</v>
      </c>
      <c r="U63" s="31">
        <f t="shared" si="30"/>
        <v>0.2898148099710362</v>
      </c>
      <c r="V63" s="31">
        <f t="shared" si="30"/>
        <v>0.32223719170940279</v>
      </c>
      <c r="W63" s="31">
        <f t="shared" ref="W63:Y63" si="31">IF(W17=0,0,W17/W$10)</f>
        <v>0.32771623379064097</v>
      </c>
      <c r="X63" s="31">
        <f t="shared" si="31"/>
        <v>0.18963714747876767</v>
      </c>
      <c r="Y63" s="31">
        <f t="shared" si="31"/>
        <v>0.17807067824939568</v>
      </c>
      <c r="DA63" s="173"/>
    </row>
    <row r="64" spans="1:105" ht="11.45" customHeight="1" x14ac:dyDescent="0.25">
      <c r="A64" s="83" t="s">
        <v>92</v>
      </c>
      <c r="B64" s="125">
        <f t="shared" si="15"/>
        <v>0.20130111138280626</v>
      </c>
      <c r="C64" s="125">
        <f t="shared" ref="C64:V64" si="32">IF(C18=0,0,C18/C$10)</f>
        <v>0.17366244229953631</v>
      </c>
      <c r="D64" s="125">
        <f t="shared" si="32"/>
        <v>0.1478558887952022</v>
      </c>
      <c r="E64" s="125">
        <f t="shared" si="32"/>
        <v>0.12951758767758825</v>
      </c>
      <c r="F64" s="125">
        <f t="shared" si="32"/>
        <v>0.11992692819224973</v>
      </c>
      <c r="G64" s="125">
        <f t="shared" si="32"/>
        <v>0.12678881176820572</v>
      </c>
      <c r="H64" s="125">
        <f t="shared" si="32"/>
        <v>0.13268451478880447</v>
      </c>
      <c r="I64" s="125">
        <f t="shared" si="32"/>
        <v>0.14308320646536388</v>
      </c>
      <c r="J64" s="125">
        <f t="shared" si="32"/>
        <v>0.12072151175775442</v>
      </c>
      <c r="K64" s="125">
        <f t="shared" si="32"/>
        <v>7.638202287891234E-2</v>
      </c>
      <c r="L64" s="125">
        <f t="shared" si="32"/>
        <v>6.9816634241153669E-2</v>
      </c>
      <c r="M64" s="125">
        <f t="shared" si="32"/>
        <v>6.7974979330616692E-2</v>
      </c>
      <c r="N64" s="125">
        <f t="shared" si="32"/>
        <v>8.139555438570116E-2</v>
      </c>
      <c r="O64" s="125">
        <f t="shared" si="32"/>
        <v>6.5957794930837685E-2</v>
      </c>
      <c r="P64" s="125">
        <f t="shared" si="32"/>
        <v>6.0846011917797038E-2</v>
      </c>
      <c r="Q64" s="125">
        <f t="shared" si="32"/>
        <v>5.793651948112255E-2</v>
      </c>
      <c r="R64" s="125">
        <f t="shared" si="32"/>
        <v>6.0639290418044889E-2</v>
      </c>
      <c r="S64" s="125">
        <f t="shared" si="32"/>
        <v>6.6512248701142779E-2</v>
      </c>
      <c r="T64" s="125">
        <f t="shared" si="32"/>
        <v>8.7164976754542364E-2</v>
      </c>
      <c r="U64" s="125">
        <f t="shared" si="32"/>
        <v>9.1384236089753379E-2</v>
      </c>
      <c r="V64" s="125">
        <f t="shared" si="32"/>
        <v>0.10368333406472247</v>
      </c>
      <c r="W64" s="125">
        <f t="shared" ref="W64:Y64" si="33">IF(W18=0,0,W18/W$10)</f>
        <v>0.10509614118976542</v>
      </c>
      <c r="X64" s="125">
        <f t="shared" si="33"/>
        <v>0.10136897445441041</v>
      </c>
      <c r="Y64" s="125">
        <f t="shared" si="33"/>
        <v>9.6388735023710231E-2</v>
      </c>
      <c r="DA64" s="171"/>
    </row>
    <row r="65" spans="1:105" ht="11.45" customHeight="1" x14ac:dyDescent="0.25">
      <c r="A65" s="85" t="s">
        <v>93</v>
      </c>
      <c r="B65" s="127">
        <f t="shared" si="15"/>
        <v>0.10893677770898648</v>
      </c>
      <c r="C65" s="127">
        <f t="shared" ref="C65:V65" si="34">IF(C19=0,0,C19/C$10)</f>
        <v>0.10692742329993464</v>
      </c>
      <c r="D65" s="127">
        <f t="shared" si="34"/>
        <v>0.11225102173194101</v>
      </c>
      <c r="E65" s="127">
        <f t="shared" si="34"/>
        <v>0.11229355333780182</v>
      </c>
      <c r="F65" s="127">
        <f t="shared" si="34"/>
        <v>0.1322813700058231</v>
      </c>
      <c r="G65" s="127">
        <f t="shared" si="34"/>
        <v>0.14570205125319385</v>
      </c>
      <c r="H65" s="127">
        <f t="shared" si="34"/>
        <v>0.15352839186565484</v>
      </c>
      <c r="I65" s="127">
        <f t="shared" si="34"/>
        <v>0.15279376800146038</v>
      </c>
      <c r="J65" s="127">
        <f t="shared" si="34"/>
        <v>0.15134992943693018</v>
      </c>
      <c r="K65" s="127">
        <f t="shared" si="34"/>
        <v>0.12292596250252534</v>
      </c>
      <c r="L65" s="127">
        <f t="shared" si="34"/>
        <v>0.13234289428963034</v>
      </c>
      <c r="M65" s="127">
        <f t="shared" si="34"/>
        <v>0.12979935618574293</v>
      </c>
      <c r="N65" s="127">
        <f t="shared" si="34"/>
        <v>0.12900078368968931</v>
      </c>
      <c r="O65" s="127">
        <f t="shared" si="34"/>
        <v>0.13956066320859045</v>
      </c>
      <c r="P65" s="127">
        <f t="shared" si="34"/>
        <v>0.15414596076491577</v>
      </c>
      <c r="Q65" s="127">
        <f t="shared" si="34"/>
        <v>0.15530053160247906</v>
      </c>
      <c r="R65" s="127">
        <f t="shared" si="34"/>
        <v>0.16222776954605919</v>
      </c>
      <c r="S65" s="127">
        <f t="shared" si="34"/>
        <v>0.16372627844040596</v>
      </c>
      <c r="T65" s="127">
        <f t="shared" si="34"/>
        <v>0.19507246794646152</v>
      </c>
      <c r="U65" s="127">
        <f t="shared" si="34"/>
        <v>0.19843057388128282</v>
      </c>
      <c r="V65" s="127">
        <f t="shared" si="34"/>
        <v>0.21855385764468033</v>
      </c>
      <c r="W65" s="127">
        <f t="shared" ref="W65:Y65" si="35">IF(W19=0,0,W19/W$10)</f>
        <v>0.22262009260087556</v>
      </c>
      <c r="X65" s="127">
        <f t="shared" si="35"/>
        <v>8.8268173024357244E-2</v>
      </c>
      <c r="Y65" s="127">
        <f t="shared" si="35"/>
        <v>8.1681943225685436E-2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167.61864599999998</v>
      </c>
      <c r="C4" s="26">
        <f t="shared" ref="C4:W4" si="0">SUM(C5:C6)</f>
        <v>147.73168799999996</v>
      </c>
      <c r="D4" s="26">
        <f t="shared" si="0"/>
        <v>134.473716</v>
      </c>
      <c r="E4" s="26">
        <f t="shared" si="0"/>
        <v>129.73872600000001</v>
      </c>
      <c r="F4" s="26">
        <f t="shared" si="0"/>
        <v>126.58215491999999</v>
      </c>
      <c r="G4" s="26">
        <f t="shared" si="0"/>
        <v>131.31714491999998</v>
      </c>
      <c r="H4" s="26">
        <f t="shared" si="0"/>
        <v>158.14866600000002</v>
      </c>
      <c r="I4" s="26">
        <f t="shared" si="0"/>
        <v>168.56564399999999</v>
      </c>
      <c r="J4" s="26">
        <f t="shared" si="0"/>
        <v>156.25467</v>
      </c>
      <c r="K4" s="26">
        <f t="shared" si="0"/>
        <v>117.42775199999998</v>
      </c>
      <c r="L4" s="26">
        <f t="shared" si="0"/>
        <v>104.16978</v>
      </c>
      <c r="M4" s="26">
        <f t="shared" si="0"/>
        <v>100.69736508</v>
      </c>
      <c r="N4" s="26">
        <f t="shared" si="0"/>
        <v>115.21817892000001</v>
      </c>
      <c r="O4" s="26">
        <f t="shared" si="0"/>
        <v>88.386391079999996</v>
      </c>
      <c r="P4" s="26">
        <f t="shared" si="0"/>
        <v>70.709272920000018</v>
      </c>
      <c r="Q4" s="26">
        <f t="shared" si="0"/>
        <v>71.904879720000011</v>
      </c>
      <c r="R4" s="26">
        <f t="shared" si="0"/>
        <v>74.430029879999992</v>
      </c>
      <c r="S4" s="26">
        <f t="shared" si="0"/>
        <v>81.690436799999986</v>
      </c>
      <c r="T4" s="26">
        <f t="shared" si="0"/>
        <v>80.743438799999993</v>
      </c>
      <c r="U4" s="26">
        <f t="shared" si="0"/>
        <v>81.05901587999999</v>
      </c>
      <c r="V4" s="26">
        <f t="shared" si="0"/>
        <v>71.60447880000001</v>
      </c>
      <c r="W4" s="26">
        <f t="shared" si="0"/>
        <v>73.834859159999993</v>
      </c>
      <c r="X4" s="26">
        <f t="shared" ref="X4:Y4" si="1">SUM(X5:X6)</f>
        <v>69.692609879999992</v>
      </c>
      <c r="Y4" s="26">
        <f t="shared" si="1"/>
        <v>69.690907079999988</v>
      </c>
      <c r="DA4" s="202" t="s">
        <v>1137</v>
      </c>
    </row>
    <row r="5" spans="1:105" ht="11.45" customHeight="1" x14ac:dyDescent="0.25">
      <c r="A5" s="107" t="s">
        <v>92</v>
      </c>
      <c r="B5" s="129">
        <v>167.61864599999998</v>
      </c>
      <c r="C5" s="129">
        <v>147.73168799999996</v>
      </c>
      <c r="D5" s="129">
        <v>134.473716</v>
      </c>
      <c r="E5" s="129">
        <v>129.73872600000001</v>
      </c>
      <c r="F5" s="129">
        <v>126.58215491999999</v>
      </c>
      <c r="G5" s="129">
        <v>131.31714491999998</v>
      </c>
      <c r="H5" s="129">
        <v>158.14866600000002</v>
      </c>
      <c r="I5" s="129">
        <v>168.56564399999999</v>
      </c>
      <c r="J5" s="129">
        <v>156.25467</v>
      </c>
      <c r="K5" s="129">
        <v>117.42775199999998</v>
      </c>
      <c r="L5" s="129">
        <v>104.16978</v>
      </c>
      <c r="M5" s="129">
        <v>100.69736508</v>
      </c>
      <c r="N5" s="129">
        <v>115.21817892000001</v>
      </c>
      <c r="O5" s="129">
        <v>88.386391079999996</v>
      </c>
      <c r="P5" s="129">
        <v>70.709272920000018</v>
      </c>
      <c r="Q5" s="129">
        <v>71.904879720000011</v>
      </c>
      <c r="R5" s="129">
        <v>74.430029879999992</v>
      </c>
      <c r="S5" s="129">
        <v>81.690436799999986</v>
      </c>
      <c r="T5" s="129">
        <v>80.743438799999993</v>
      </c>
      <c r="U5" s="129">
        <v>81.05901587999999</v>
      </c>
      <c r="V5" s="129">
        <v>71.60447880000001</v>
      </c>
      <c r="W5" s="129">
        <v>73.834859159999993</v>
      </c>
      <c r="X5" s="129">
        <v>69.692609879999992</v>
      </c>
      <c r="Y5" s="129">
        <v>69.690907079999988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167.61864599999998</v>
      </c>
      <c r="C8" s="79">
        <f t="shared" si="2"/>
        <v>147.73168799999993</v>
      </c>
      <c r="D8" s="79">
        <f t="shared" si="2"/>
        <v>134.47371600000002</v>
      </c>
      <c r="E8" s="79">
        <f t="shared" si="2"/>
        <v>129.73872600000001</v>
      </c>
      <c r="F8" s="79">
        <f t="shared" si="2"/>
        <v>126.58215491999999</v>
      </c>
      <c r="G8" s="79">
        <f t="shared" si="2"/>
        <v>131.31714491999998</v>
      </c>
      <c r="H8" s="79">
        <f t="shared" si="2"/>
        <v>158.14866599999999</v>
      </c>
      <c r="I8" s="79">
        <f t="shared" si="2"/>
        <v>168.56564399999996</v>
      </c>
      <c r="J8" s="79">
        <f t="shared" si="2"/>
        <v>156.25467000000003</v>
      </c>
      <c r="K8" s="79">
        <f t="shared" si="2"/>
        <v>117.42775199999997</v>
      </c>
      <c r="L8" s="79">
        <f t="shared" si="2"/>
        <v>104.16978</v>
      </c>
      <c r="M8" s="79">
        <f t="shared" si="2"/>
        <v>100.69736508</v>
      </c>
      <c r="N8" s="79">
        <f t="shared" si="2"/>
        <v>115.21817892000001</v>
      </c>
      <c r="O8" s="79">
        <f t="shared" si="2"/>
        <v>88.386391079999981</v>
      </c>
      <c r="P8" s="79">
        <f t="shared" si="2"/>
        <v>70.709272920000004</v>
      </c>
      <c r="Q8" s="79">
        <f t="shared" si="2"/>
        <v>71.904879720000011</v>
      </c>
      <c r="R8" s="79">
        <f t="shared" si="2"/>
        <v>74.430029879999992</v>
      </c>
      <c r="S8" s="79">
        <f t="shared" si="2"/>
        <v>81.690436799999986</v>
      </c>
      <c r="T8" s="79">
        <f t="shared" si="2"/>
        <v>80.743438799999979</v>
      </c>
      <c r="U8" s="79">
        <f t="shared" si="2"/>
        <v>81.059015879999976</v>
      </c>
      <c r="V8" s="79">
        <f t="shared" si="2"/>
        <v>71.60447880000001</v>
      </c>
      <c r="W8" s="79">
        <f t="shared" si="2"/>
        <v>73.834859159999979</v>
      </c>
      <c r="X8" s="79">
        <f t="shared" ref="X8:Y8" si="3">SUM(X9,X15)</f>
        <v>69.692609879999978</v>
      </c>
      <c r="Y8" s="79">
        <f t="shared" si="3"/>
        <v>69.690907079999988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56.550144631351358</v>
      </c>
      <c r="C9" s="32">
        <f t="shared" si="4"/>
        <v>54.301021740139859</v>
      </c>
      <c r="D9" s="32">
        <f t="shared" si="4"/>
        <v>57.32114762967457</v>
      </c>
      <c r="E9" s="32">
        <f t="shared" si="4"/>
        <v>61.455612763694965</v>
      </c>
      <c r="F9" s="32">
        <f t="shared" si="4"/>
        <v>58.404083496351312</v>
      </c>
      <c r="G9" s="32">
        <f t="shared" si="4"/>
        <v>58.299549250884134</v>
      </c>
      <c r="H9" s="32">
        <f t="shared" si="4"/>
        <v>75.690887907814513</v>
      </c>
      <c r="I9" s="32">
        <f t="shared" si="4"/>
        <v>78.750461515668107</v>
      </c>
      <c r="J9" s="32">
        <f t="shared" si="4"/>
        <v>80.606637867181036</v>
      </c>
      <c r="K9" s="32">
        <f t="shared" si="4"/>
        <v>74.614397509216971</v>
      </c>
      <c r="L9" s="32">
        <f t="shared" si="4"/>
        <v>64.969384194961876</v>
      </c>
      <c r="M9" s="32">
        <f t="shared" si="4"/>
        <v>64.179613592363978</v>
      </c>
      <c r="N9" s="32">
        <f t="shared" si="4"/>
        <v>72.113007177514604</v>
      </c>
      <c r="O9" s="32">
        <f t="shared" si="4"/>
        <v>54.468119066220815</v>
      </c>
      <c r="P9" s="32">
        <f t="shared" si="4"/>
        <v>41.547063932825161</v>
      </c>
      <c r="Q9" s="32">
        <f t="shared" si="4"/>
        <v>43.702109588253677</v>
      </c>
      <c r="R9" s="32">
        <f t="shared" si="4"/>
        <v>44.653880391721607</v>
      </c>
      <c r="S9" s="32">
        <f t="shared" si="4"/>
        <v>47.958098486850659</v>
      </c>
      <c r="T9" s="32">
        <f t="shared" si="4"/>
        <v>36.407389555840432</v>
      </c>
      <c r="U9" s="32">
        <f t="shared" si="4"/>
        <v>34.482259940290447</v>
      </c>
      <c r="V9" s="32">
        <f t="shared" si="4"/>
        <v>24.794585131536742</v>
      </c>
      <c r="W9" s="32">
        <f t="shared" si="4"/>
        <v>24.461880363572032</v>
      </c>
      <c r="X9" s="32">
        <f t="shared" ref="X9:Y9" si="5">SUM(X10,X11,X14)</f>
        <v>23.65520099221207</v>
      </c>
      <c r="Y9" s="32">
        <f t="shared" si="5"/>
        <v>25.274965118338535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56.550144631351358</v>
      </c>
      <c r="C11" s="130">
        <f t="shared" si="6"/>
        <v>54.301021740139859</v>
      </c>
      <c r="D11" s="130">
        <f t="shared" si="6"/>
        <v>57.32114762967457</v>
      </c>
      <c r="E11" s="130">
        <f t="shared" si="6"/>
        <v>61.455612763694965</v>
      </c>
      <c r="F11" s="130">
        <f t="shared" si="6"/>
        <v>58.404083496351312</v>
      </c>
      <c r="G11" s="130">
        <f t="shared" si="6"/>
        <v>58.299549250884134</v>
      </c>
      <c r="H11" s="130">
        <f t="shared" si="6"/>
        <v>75.690887907814513</v>
      </c>
      <c r="I11" s="130">
        <f t="shared" si="6"/>
        <v>78.750461515668107</v>
      </c>
      <c r="J11" s="130">
        <f t="shared" si="6"/>
        <v>80.606637867181036</v>
      </c>
      <c r="K11" s="130">
        <f t="shared" si="6"/>
        <v>74.614397509216971</v>
      </c>
      <c r="L11" s="130">
        <f t="shared" si="6"/>
        <v>64.969384194961876</v>
      </c>
      <c r="M11" s="130">
        <f t="shared" si="6"/>
        <v>64.179613592363978</v>
      </c>
      <c r="N11" s="130">
        <f t="shared" si="6"/>
        <v>72.113007177514604</v>
      </c>
      <c r="O11" s="130">
        <f t="shared" si="6"/>
        <v>54.468119066220815</v>
      </c>
      <c r="P11" s="130">
        <f t="shared" si="6"/>
        <v>41.547063932825161</v>
      </c>
      <c r="Q11" s="130">
        <f t="shared" si="6"/>
        <v>43.702109588253677</v>
      </c>
      <c r="R11" s="130">
        <f t="shared" si="6"/>
        <v>44.653880391721607</v>
      </c>
      <c r="S11" s="130">
        <f t="shared" si="6"/>
        <v>47.958098486850659</v>
      </c>
      <c r="T11" s="130">
        <f t="shared" si="6"/>
        <v>36.407389555840432</v>
      </c>
      <c r="U11" s="130">
        <f t="shared" si="6"/>
        <v>34.482259940290447</v>
      </c>
      <c r="V11" s="130">
        <f t="shared" si="6"/>
        <v>24.794585131536742</v>
      </c>
      <c r="W11" s="130">
        <f t="shared" si="6"/>
        <v>24.461880363572032</v>
      </c>
      <c r="X11" s="130">
        <f t="shared" ref="X11:Y11" si="7">SUM(X12:X13)</f>
        <v>23.65520099221207</v>
      </c>
      <c r="Y11" s="130">
        <f t="shared" si="7"/>
        <v>25.274965118338535</v>
      </c>
      <c r="DA11" s="176" t="s">
        <v>409</v>
      </c>
    </row>
    <row r="12" spans="1:105" ht="11.45" customHeight="1" x14ac:dyDescent="0.25">
      <c r="A12" s="111" t="s">
        <v>92</v>
      </c>
      <c r="B12" s="96">
        <v>56.550144631351358</v>
      </c>
      <c r="C12" s="96">
        <v>54.301021740139859</v>
      </c>
      <c r="D12" s="96">
        <v>57.32114762967457</v>
      </c>
      <c r="E12" s="96">
        <v>61.455612763694965</v>
      </c>
      <c r="F12" s="96">
        <v>58.404083496351312</v>
      </c>
      <c r="G12" s="96">
        <v>58.299549250884134</v>
      </c>
      <c r="H12" s="96">
        <v>75.690887907814513</v>
      </c>
      <c r="I12" s="96">
        <v>78.750461515668107</v>
      </c>
      <c r="J12" s="96">
        <v>80.606637867181036</v>
      </c>
      <c r="K12" s="96">
        <v>74.614397509216971</v>
      </c>
      <c r="L12" s="96">
        <v>64.969384194961876</v>
      </c>
      <c r="M12" s="96">
        <v>64.179613592363978</v>
      </c>
      <c r="N12" s="96">
        <v>72.113007177514604</v>
      </c>
      <c r="O12" s="96">
        <v>54.468119066220815</v>
      </c>
      <c r="P12" s="96">
        <v>41.547063932825161</v>
      </c>
      <c r="Q12" s="96">
        <v>43.702109588253677</v>
      </c>
      <c r="R12" s="96">
        <v>44.653880391721607</v>
      </c>
      <c r="S12" s="96">
        <v>47.958098486850659</v>
      </c>
      <c r="T12" s="96">
        <v>36.407389555840432</v>
      </c>
      <c r="U12" s="96">
        <v>34.482259940290447</v>
      </c>
      <c r="V12" s="96">
        <v>24.794585131536742</v>
      </c>
      <c r="W12" s="96">
        <v>24.461880363572032</v>
      </c>
      <c r="X12" s="96">
        <v>23.65520099221207</v>
      </c>
      <c r="Y12" s="96">
        <v>25.274965118338535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111.06850136864863</v>
      </c>
      <c r="C15" s="32">
        <f t="shared" si="8"/>
        <v>93.430666259860075</v>
      </c>
      <c r="D15" s="32">
        <f t="shared" si="8"/>
        <v>77.15256837032544</v>
      </c>
      <c r="E15" s="32">
        <f t="shared" si="8"/>
        <v>68.283113236305056</v>
      </c>
      <c r="F15" s="32">
        <f t="shared" si="8"/>
        <v>68.178071423648674</v>
      </c>
      <c r="G15" s="32">
        <f t="shared" si="8"/>
        <v>73.017595669115835</v>
      </c>
      <c r="H15" s="32">
        <f t="shared" si="8"/>
        <v>82.457778092185492</v>
      </c>
      <c r="I15" s="32">
        <f t="shared" si="8"/>
        <v>89.815182484331871</v>
      </c>
      <c r="J15" s="32">
        <f t="shared" si="8"/>
        <v>75.648032132818983</v>
      </c>
      <c r="K15" s="32">
        <f t="shared" si="8"/>
        <v>42.813354490782991</v>
      </c>
      <c r="L15" s="32">
        <f t="shared" si="8"/>
        <v>39.20039580503812</v>
      </c>
      <c r="M15" s="32">
        <f t="shared" si="8"/>
        <v>36.517751487636026</v>
      </c>
      <c r="N15" s="32">
        <f t="shared" si="8"/>
        <v>43.105171742485417</v>
      </c>
      <c r="O15" s="32">
        <f t="shared" si="8"/>
        <v>33.918272013779166</v>
      </c>
      <c r="P15" s="32">
        <f t="shared" si="8"/>
        <v>29.162208987174846</v>
      </c>
      <c r="Q15" s="32">
        <f t="shared" si="8"/>
        <v>28.20277013174633</v>
      </c>
      <c r="R15" s="32">
        <f t="shared" si="8"/>
        <v>29.776149488278385</v>
      </c>
      <c r="S15" s="32">
        <f t="shared" si="8"/>
        <v>33.732338313149327</v>
      </c>
      <c r="T15" s="32">
        <f t="shared" si="8"/>
        <v>44.336049244159547</v>
      </c>
      <c r="U15" s="32">
        <f t="shared" si="8"/>
        <v>46.576755939709535</v>
      </c>
      <c r="V15" s="32">
        <f t="shared" si="8"/>
        <v>46.80989366846326</v>
      </c>
      <c r="W15" s="32">
        <f t="shared" si="8"/>
        <v>49.372978796427951</v>
      </c>
      <c r="X15" s="32">
        <f t="shared" ref="X15:Y15" si="9">SUM(X16:X17)</f>
        <v>46.037408887787912</v>
      </c>
      <c r="Y15" s="32">
        <f t="shared" si="9"/>
        <v>44.415941961661446</v>
      </c>
      <c r="DA15" s="173" t="s">
        <v>414</v>
      </c>
    </row>
    <row r="16" spans="1:105" ht="11.45" customHeight="1" x14ac:dyDescent="0.25">
      <c r="A16" s="83" t="s">
        <v>92</v>
      </c>
      <c r="B16" s="96">
        <v>111.06850136864863</v>
      </c>
      <c r="C16" s="96">
        <v>93.430666259860075</v>
      </c>
      <c r="D16" s="96">
        <v>77.15256837032544</v>
      </c>
      <c r="E16" s="96">
        <v>68.283113236305056</v>
      </c>
      <c r="F16" s="96">
        <v>68.178071423648674</v>
      </c>
      <c r="G16" s="96">
        <v>73.017595669115835</v>
      </c>
      <c r="H16" s="96">
        <v>82.457778092185492</v>
      </c>
      <c r="I16" s="96">
        <v>89.815182484331871</v>
      </c>
      <c r="J16" s="96">
        <v>75.648032132818983</v>
      </c>
      <c r="K16" s="96">
        <v>42.813354490782991</v>
      </c>
      <c r="L16" s="96">
        <v>39.20039580503812</v>
      </c>
      <c r="M16" s="96">
        <v>36.517751487636026</v>
      </c>
      <c r="N16" s="96">
        <v>43.105171742485417</v>
      </c>
      <c r="O16" s="96">
        <v>33.918272013779166</v>
      </c>
      <c r="P16" s="96">
        <v>29.162208987174846</v>
      </c>
      <c r="Q16" s="96">
        <v>28.20277013174633</v>
      </c>
      <c r="R16" s="96">
        <v>29.776149488278385</v>
      </c>
      <c r="S16" s="96">
        <v>33.732338313149327</v>
      </c>
      <c r="T16" s="96">
        <v>44.336049244159547</v>
      </c>
      <c r="U16" s="96">
        <v>46.576755939709535</v>
      </c>
      <c r="V16" s="96">
        <v>46.80989366846326</v>
      </c>
      <c r="W16" s="96">
        <v>49.372978796427951</v>
      </c>
      <c r="X16" s="96">
        <v>46.037408887787912</v>
      </c>
      <c r="Y16" s="96">
        <v>44.415941961661446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0.94249273719631588</v>
      </c>
      <c r="C22" s="134">
        <f>IF(C4=0,0,C4/TrRail_ene!C4)</f>
        <v>0.85190377401824646</v>
      </c>
      <c r="D22" s="134">
        <f>IF(D4=0,0,D4/TrRail_ene!D4)</f>
        <v>0.79951399063442552</v>
      </c>
      <c r="E22" s="134">
        <f>IF(E4=0,0,E4/TrRail_ene!E4)</f>
        <v>0.76345858951096734</v>
      </c>
      <c r="F22" s="134">
        <f>IF(F4=0,0,F4/TrRail_ene!F4)</f>
        <v>0.69078819310230277</v>
      </c>
      <c r="G22" s="134">
        <f>IF(G4=0,0,G4/TrRail_ene!G4)</f>
        <v>0.70741661965262315</v>
      </c>
      <c r="H22" s="134">
        <f>IF(H4=0,0,H4/TrRail_ene!H4)</f>
        <v>0.78950442580645164</v>
      </c>
      <c r="I22" s="134">
        <f>IF(I4=0,0,I4/TrRail_ene!I4)</f>
        <v>0.83312160117292067</v>
      </c>
      <c r="J22" s="134">
        <f>IF(J4=0,0,J4/TrRail_ene!J4)</f>
        <v>0.77360712292203226</v>
      </c>
      <c r="K22" s="134">
        <f>IF(K4=0,0,K4/TrRail_ene!K4)</f>
        <v>0.6499546715019987</v>
      </c>
      <c r="L22" s="134">
        <f>IF(L4=0,0,L4/TrRail_ene!L4)</f>
        <v>0.57558653620296485</v>
      </c>
      <c r="M22" s="134">
        <f>IF(M4=0,0,M4/TrRail_ene!M4)</f>
        <v>0.58151856680869729</v>
      </c>
      <c r="N22" s="134">
        <f>IF(N4=0,0,N4/TrRail_ene!N4)</f>
        <v>0.67498284612694737</v>
      </c>
      <c r="O22" s="134">
        <f>IF(O4=0,0,O4/TrRail_ene!O4)</f>
        <v>0.53323449267113243</v>
      </c>
      <c r="P22" s="134">
        <f>IF(P4=0,0,P4/TrRail_ene!P4)</f>
        <v>0.45770799155302583</v>
      </c>
      <c r="Q22" s="134">
        <f>IF(Q4=0,0,Q4/TrRail_ene!Q4)</f>
        <v>0.45861149303686938</v>
      </c>
      <c r="R22" s="134">
        <f>IF(R4=0,0,R4/TrRail_ene!R4)</f>
        <v>0.47059646066674543</v>
      </c>
      <c r="S22" s="134">
        <f>IF(S4=0,0,S4/TrRail_ene!S4)</f>
        <v>0.50004988604001188</v>
      </c>
      <c r="T22" s="134">
        <f>IF(T4=0,0,T4/TrRail_ene!T4)</f>
        <v>0.49281346077838672</v>
      </c>
      <c r="U22" s="134">
        <f>IF(U4=0,0,U4/TrRail_ene!U4)</f>
        <v>0.49373343606448838</v>
      </c>
      <c r="V22" s="134">
        <f>IF(V4=0,0,V4/TrRail_ene!V4)</f>
        <v>0.49239761975361218</v>
      </c>
      <c r="W22" s="134">
        <f>IF(W4=0,0,W4/TrRail_ene!W4)</f>
        <v>0.48792622520353474</v>
      </c>
      <c r="X22" s="134">
        <f>IF(X4=0,0,X4/TrRail_ene!X4)</f>
        <v>0.47642408656625512</v>
      </c>
      <c r="Y22" s="134">
        <f>IF(Y4=0,0,Y4/TrRail_ene!Y4)</f>
        <v>0.46954154928613356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1.5512093999999998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1.5512093999999998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1.552372499310555</v>
      </c>
      <c r="R23" s="129">
        <f>IF(R5=0,0,R5/SUM(TrRail_ene!R5:R7))</f>
        <v>1.5523330108431099</v>
      </c>
      <c r="S23" s="129">
        <f>IF(S5=0,0,S5/SUM(TrRail_ene!S5:S7))</f>
        <v>1.5522330816978729</v>
      </c>
      <c r="T23" s="129">
        <f>IF(T5=0,0,T5/SUM(TrRail_ene!T5:T7))</f>
        <v>1.5522450959468397</v>
      </c>
      <c r="U23" s="129">
        <f>IF(U5=0,0,U5/SUM(TrRail_ene!U5:U7))</f>
        <v>1.5522410611177524</v>
      </c>
      <c r="V23" s="129">
        <f>IF(V5=0,0,V5/SUM(TrRail_ene!V5:V7))</f>
        <v>1.55229572659049</v>
      </c>
      <c r="W23" s="129">
        <f>IF(W5=0,0,W5/SUM(TrRail_ene!W5:W7))</f>
        <v>1.5522628888899335</v>
      </c>
      <c r="X23" s="129">
        <f>IF(X5=0,0,X5/SUM(TrRail_ene!X5:X7))</f>
        <v>1.5523255490990853</v>
      </c>
      <c r="Y23" s="129">
        <f>IF(Y5=0,0,Y5/SUM(TrRail_ene!Y5:Y7))</f>
        <v>1.5523173512531456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1817.3987224902376</v>
      </c>
      <c r="C26" s="54">
        <f>IF(C8=0,0,C8/TrRail_act!C14*1000)</f>
        <v>1573.0423074909327</v>
      </c>
      <c r="D26" s="54">
        <f>IF(D8=0,0,D8/TrRail_act!D14*1000)</f>
        <v>1435.5479096482518</v>
      </c>
      <c r="E26" s="54">
        <f>IF(E8=0,0,E8/TrRail_act!E14*1000)</f>
        <v>1342.3877981473504</v>
      </c>
      <c r="F26" s="54">
        <f>IF(F8=0,0,F8/TrRail_act!F14*1000)</f>
        <v>1205.1568657766493</v>
      </c>
      <c r="G26" s="54">
        <f>IF(G8=0,0,G8/TrRail_act!G14*1000)</f>
        <v>1248.0329025859385</v>
      </c>
      <c r="H26" s="54">
        <f>IF(H8=0,0,H8/TrRail_act!H14*1000)</f>
        <v>1425.5750213783251</v>
      </c>
      <c r="I26" s="54">
        <f>IF(I8=0,0,I8/TrRail_act!I14*1000)</f>
        <v>1496.0076392784217</v>
      </c>
      <c r="J26" s="54">
        <f>IF(J8=0,0,J8/TrRail_act!J14*1000)</f>
        <v>1324.2713809265795</v>
      </c>
      <c r="K26" s="54">
        <f>IF(K8=0,0,K8/TrRail_act!K14*1000)</f>
        <v>1047.4546001734079</v>
      </c>
      <c r="L26" s="54">
        <f>IF(L8=0,0,L8/TrRail_act!L14*1000)</f>
        <v>900.9347409779416</v>
      </c>
      <c r="M26" s="54">
        <f>IF(M8=0,0,M8/TrRail_act!M14*1000)</f>
        <v>887.37512269552565</v>
      </c>
      <c r="N26" s="54">
        <f>IF(N8=0,0,N8/TrRail_act!N14*1000)</f>
        <v>1030.7230279089997</v>
      </c>
      <c r="O26" s="54">
        <f>IF(O8=0,0,O8/TrRail_act!O14*1000)</f>
        <v>764.98856828212763</v>
      </c>
      <c r="P26" s="54">
        <f>IF(P8=0,0,P8/TrRail_act!P14*1000)</f>
        <v>633.93673662264302</v>
      </c>
      <c r="Q26" s="54">
        <f>IF(Q8=0,0,Q8/TrRail_act!Q14*1000)</f>
        <v>622.77439252542024</v>
      </c>
      <c r="R26" s="54">
        <f>IF(R8=0,0,R8/TrRail_act!R14*1000)</f>
        <v>627.93424040401226</v>
      </c>
      <c r="S26" s="54">
        <f>IF(S8=0,0,S8/TrRail_act!S14*1000)</f>
        <v>661.5809103506374</v>
      </c>
      <c r="T26" s="54">
        <f>IF(T8=0,0,T8/TrRail_act!T14*1000)</f>
        <v>655.01423355375073</v>
      </c>
      <c r="U26" s="54">
        <f>IF(U8=0,0,U8/TrRail_act!U14*1000)</f>
        <v>651.36687400996243</v>
      </c>
      <c r="V26" s="54">
        <f>IF(V8=0,0,V8/TrRail_act!V14*1000)</f>
        <v>673.17415923790986</v>
      </c>
      <c r="W26" s="54">
        <f>IF(W8=0,0,W8/TrRail_act!W14*1000)</f>
        <v>669.24954615652928</v>
      </c>
      <c r="X26" s="54">
        <f>IF(X8=0,0,X8/TrRail_act!X14*1000)</f>
        <v>598.15603922683874</v>
      </c>
      <c r="Y26" s="54">
        <f>IF(Y8=0,0,Y8/TrRail_act!Y14*1000)</f>
        <v>579.98591982327639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724.66527865681542</v>
      </c>
      <c r="C27" s="28">
        <f>IF(C9=0,0,C9/TrRail_act!C15*1000)</f>
        <v>670.7782013189119</v>
      </c>
      <c r="D27" s="28">
        <f>IF(D9=0,0,D9/TrRail_act!D15*1000)</f>
        <v>709.25370981572576</v>
      </c>
      <c r="E27" s="28">
        <f>IF(E9=0,0,E9/TrRail_act!E15*1000)</f>
        <v>728.25270539274868</v>
      </c>
      <c r="F27" s="28">
        <f>IF(F9=0,0,F9/TrRail_act!F15*1000)</f>
        <v>646.66750016910748</v>
      </c>
      <c r="G27" s="28">
        <f>IF(G9=0,0,G9/TrRail_act!G15*1000)</f>
        <v>656.0978772159657</v>
      </c>
      <c r="H27" s="28">
        <f>IF(H9=0,0,H9/TrRail_act!H15*1000)</f>
        <v>819.9013207987075</v>
      </c>
      <c r="I27" s="28">
        <f>IF(I9=0,0,I9/TrRail_act!I15*1000)</f>
        <v>846.74272244565122</v>
      </c>
      <c r="J27" s="28">
        <f>IF(J9=0,0,J9/TrRail_act!J15*1000)</f>
        <v>810.26540985882684</v>
      </c>
      <c r="K27" s="28">
        <f>IF(K9=0,0,K9/TrRail_act!K15*1000)</f>
        <v>751.46605123734025</v>
      </c>
      <c r="L27" s="28">
        <f>IF(L9=0,0,L9/TrRail_act!L15*1000)</f>
        <v>637.30849930352929</v>
      </c>
      <c r="M27" s="28">
        <f>IF(M9=0,0,M9/TrRail_act!M15*1000)</f>
        <v>638.30197992897365</v>
      </c>
      <c r="N27" s="28">
        <f>IF(N9=0,0,N9/TrRail_act!N15*1000)</f>
        <v>730.29360036183027</v>
      </c>
      <c r="O27" s="28">
        <f>IF(O9=0,0,O9/TrRail_act!O15*1000)</f>
        <v>532.60776611681695</v>
      </c>
      <c r="P27" s="28">
        <f>IF(P9=0,0,P9/TrRail_act!P15*1000)</f>
        <v>423.04764424349008</v>
      </c>
      <c r="Q27" s="28">
        <f>IF(Q9=0,0,Q9/TrRail_act!Q15*1000)</f>
        <v>428.66331954478954</v>
      </c>
      <c r="R27" s="28">
        <f>IF(R9=0,0,R9/TrRail_act!R15*1000)</f>
        <v>430.10248442221797</v>
      </c>
      <c r="S27" s="28">
        <f>IF(S9=0,0,S9/TrRail_act!S15*1000)</f>
        <v>445.04597348796489</v>
      </c>
      <c r="T27" s="28">
        <f>IF(T9=0,0,T9/TrRail_act!T15*1000)</f>
        <v>350.03778459094752</v>
      </c>
      <c r="U27" s="28">
        <f>IF(U9=0,0,U9/TrRail_act!U15*1000)</f>
        <v>329.94047375236488</v>
      </c>
      <c r="V27" s="28">
        <f>IF(V9=0,0,V9/TrRail_act!V15*1000)</f>
        <v>286.17169270587374</v>
      </c>
      <c r="W27" s="28">
        <f>IF(W9=0,0,W9/TrRail_act!W15*1000)</f>
        <v>274.01240705139151</v>
      </c>
      <c r="X27" s="28">
        <f>IF(X9=0,0,X9/TrRail_act!X15*1000)</f>
        <v>221.5856482593027</v>
      </c>
      <c r="Y27" s="28">
        <f>IF(Y9=0,0,Y9/TrRail_act!Y15*1000)</f>
        <v>227.92809079931456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889.45476414979203</v>
      </c>
      <c r="C29" s="110">
        <f>IF(C11=0,0,C11/TrRail_act!C17*1000)</f>
        <v>816.84284044754645</v>
      </c>
      <c r="D29" s="110">
        <f>IF(D11=0,0,D11/TrRail_act!D17*1000)</f>
        <v>866.57036863471444</v>
      </c>
      <c r="E29" s="110">
        <f>IF(E11=0,0,E11/TrRail_act!E17*1000)</f>
        <v>881.94593536963703</v>
      </c>
      <c r="F29" s="110">
        <f>IF(F11=0,0,F11/TrRail_act!F17*1000)</f>
        <v>773.05360766994499</v>
      </c>
      <c r="G29" s="110">
        <f>IF(G11=0,0,G11/TrRail_act!G17*1000)</f>
        <v>793.40518986217808</v>
      </c>
      <c r="H29" s="110">
        <f>IF(H11=0,0,H11/TrRail_act!H17*1000)</f>
        <v>985.69543487377337</v>
      </c>
      <c r="I29" s="110">
        <f>IF(I11=0,0,I11/TrRail_act!I17*1000)</f>
        <v>1018.8917261864099</v>
      </c>
      <c r="J29" s="110">
        <f>IF(J11=0,0,J11/TrRail_act!J17*1000)</f>
        <v>966.47611898113462</v>
      </c>
      <c r="K29" s="110">
        <f>IF(K11=0,0,K11/TrRail_act!K17*1000)</f>
        <v>895.85950269356783</v>
      </c>
      <c r="L29" s="110">
        <f>IF(L11=0,0,L11/TrRail_act!L17*1000)</f>
        <v>763.02947686646041</v>
      </c>
      <c r="M29" s="110">
        <f>IF(M11=0,0,M11/TrRail_act!M17*1000)</f>
        <v>768.20941067388344</v>
      </c>
      <c r="N29" s="110">
        <f>IF(N11=0,0,N11/TrRail_act!N17*1000)</f>
        <v>893.85169061389934</v>
      </c>
      <c r="O29" s="110">
        <f>IF(O11=0,0,O11/TrRail_act!O17*1000)</f>
        <v>648.90745687632511</v>
      </c>
      <c r="P29" s="110">
        <f>IF(P11=0,0,P11/TrRail_act!P17*1000)</f>
        <v>519.3004239720882</v>
      </c>
      <c r="Q29" s="110">
        <f>IF(Q11=0,0,Q11/TrRail_act!Q17*1000)</f>
        <v>528.19041655977026</v>
      </c>
      <c r="R29" s="110">
        <f>IF(R11=0,0,R11/TrRail_act!R17*1000)</f>
        <v>534.97892258215768</v>
      </c>
      <c r="S29" s="110">
        <f>IF(S11=0,0,S11/TrRail_act!S17*1000)</f>
        <v>560.02926209076418</v>
      </c>
      <c r="T29" s="110">
        <f>IF(T11=0,0,T11/TrRail_act!T17*1000)</f>
        <v>446.93099564923835</v>
      </c>
      <c r="U29" s="110">
        <f>IF(U11=0,0,U11/TrRail_act!U17*1000)</f>
        <v>423.75138118060408</v>
      </c>
      <c r="V29" s="110">
        <f>IF(V11=0,0,V11/TrRail_act!V17*1000)</f>
        <v>353.58974310674273</v>
      </c>
      <c r="W29" s="110">
        <f>IF(W11=0,0,W11/TrRail_act!W17*1000)</f>
        <v>335.01773172954313</v>
      </c>
      <c r="X29" s="110">
        <f>IF(X11=0,0,X11/TrRail_act!X17*1000)</f>
        <v>271.15502274400069</v>
      </c>
      <c r="Y29" s="110">
        <f>IF(Y11=0,0,Y11/TrRail_act!Y17*1000)</f>
        <v>281.06743296383559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12485.140710008322</v>
      </c>
      <c r="C30" s="84">
        <f>IF(C12=0,0,C12/TrRail_act!C18*1000)</f>
        <v>12245.615541798443</v>
      </c>
      <c r="D30" s="84">
        <f>IF(D12=0,0,D12/TrRail_act!D18*1000)</f>
        <v>12076.973214594118</v>
      </c>
      <c r="E30" s="84">
        <f>IF(E12=0,0,E12/TrRail_act!E18*1000)</f>
        <v>12010.524736807345</v>
      </c>
      <c r="F30" s="84">
        <f>IF(F12=0,0,F12/TrRail_act!F18*1000)</f>
        <v>11959.852492654045</v>
      </c>
      <c r="G30" s="84">
        <f>IF(G12=0,0,G12/TrRail_act!G18*1000)</f>
        <v>11873.598176965055</v>
      </c>
      <c r="H30" s="84">
        <f>IF(H12=0,0,H12/TrRail_act!H18*1000)</f>
        <v>11799.315487502721</v>
      </c>
      <c r="I30" s="84">
        <f>IF(I12=0,0,I12/TrRail_act!I18*1000)</f>
        <v>11699.638234622989</v>
      </c>
      <c r="J30" s="84">
        <f>IF(J12=0,0,J12/TrRail_act!J18*1000)</f>
        <v>11669.243341856614</v>
      </c>
      <c r="K30" s="84">
        <f>IF(K12=0,0,K12/TrRail_act!K18*1000)</f>
        <v>11305.06567054862</v>
      </c>
      <c r="L30" s="84">
        <f>IF(L12=0,0,L12/TrRail_act!L18*1000)</f>
        <v>11238.681087602812</v>
      </c>
      <c r="M30" s="84">
        <f>IF(M12=0,0,M12/TrRail_act!M18*1000)</f>
        <v>11159.103300222858</v>
      </c>
      <c r="N30" s="84">
        <f>IF(N12=0,0,N12/TrRail_act!N18*1000)</f>
        <v>11134.944618445981</v>
      </c>
      <c r="O30" s="84">
        <f>IF(O12=0,0,O12/TrRail_act!O18*1000)</f>
        <v>10751.569973109081</v>
      </c>
      <c r="P30" s="84">
        <f>IF(P12=0,0,P12/TrRail_act!P18*1000)</f>
        <v>9978.9058854557261</v>
      </c>
      <c r="Q30" s="84">
        <f>IF(Q12=0,0,Q12/TrRail_act!Q18*1000)</f>
        <v>7271.424533577464</v>
      </c>
      <c r="R30" s="84">
        <f>IF(R12=0,0,R12/TrRail_act!R18*1000)</f>
        <v>6877.7755048721792</v>
      </c>
      <c r="S30" s="84">
        <f>IF(S12=0,0,S12/TrRail_act!S18*1000)</f>
        <v>6596.2893034014533</v>
      </c>
      <c r="T30" s="84">
        <f>IF(T12=0,0,T12/TrRail_act!T18*1000)</f>
        <v>6393.119155365187</v>
      </c>
      <c r="U30" s="84">
        <f>IF(U12=0,0,U12/TrRail_act!U18*1000)</f>
        <v>6244.8063706728917</v>
      </c>
      <c r="V30" s="84">
        <f>IF(V12=0,0,V12/TrRail_act!V18*1000)</f>
        <v>6136.0621748205913</v>
      </c>
      <c r="W30" s="84">
        <f>IF(W12=0,0,W12/TrRail_act!W18*1000)</f>
        <v>6055.460484037053</v>
      </c>
      <c r="X30" s="84">
        <f>IF(X12=0,0,X12/TrRail_act!X18*1000)</f>
        <v>5996.0419529434657</v>
      </c>
      <c r="Y30" s="84">
        <f>IF(Y12=0,0,Y12/TrRail_act!Y18*1000)</f>
        <v>5951.6493683180806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7825.1688657717423</v>
      </c>
      <c r="C33" s="28">
        <f>IF(C15=0,0,C15/TrRail_act!C21*1000)</f>
        <v>7207.8462486075568</v>
      </c>
      <c r="D33" s="28">
        <f>IF(D15=0,0,D15/TrRail_act!D21*1000)</f>
        <v>6001.6718095767646</v>
      </c>
      <c r="E33" s="28">
        <f>IF(E15=0,0,E15/TrRail_act!E21*1000)</f>
        <v>5569.6001527394765</v>
      </c>
      <c r="F33" s="28">
        <f>IF(F15=0,0,F15/TrRail_act!F21*1000)</f>
        <v>4632.2032057155529</v>
      </c>
      <c r="G33" s="28">
        <f>IF(G15=0,0,G15/TrRail_act!G21*1000)</f>
        <v>4462.8260468630797</v>
      </c>
      <c r="H33" s="28">
        <f>IF(H15=0,0,H15/TrRail_act!H21*1000)</f>
        <v>4428.5272470720283</v>
      </c>
      <c r="I33" s="28">
        <f>IF(I15=0,0,I15/TrRail_act!I21*1000)</f>
        <v>4565.4052035434042</v>
      </c>
      <c r="J33" s="28">
        <f>IF(J15=0,0,J15/TrRail_act!J21*1000)</f>
        <v>4086.6161823692132</v>
      </c>
      <c r="K33" s="28">
        <f>IF(K15=0,0,K15/TrRail_act!K21*1000)</f>
        <v>3340.6304491074384</v>
      </c>
      <c r="L33" s="28">
        <f>IF(L15=0,0,L15/TrRail_act!L21*1000)</f>
        <v>2865.3730959337481</v>
      </c>
      <c r="M33" s="28">
        <f>IF(M15=0,0,M15/TrRail_act!M21*1000)</f>
        <v>2824.1839933838419</v>
      </c>
      <c r="N33" s="28">
        <f>IF(N15=0,0,N15/TrRail_act!N21*1000)</f>
        <v>3305.9626934295352</v>
      </c>
      <c r="O33" s="28">
        <f>IF(O15=0,0,O15/TrRail_act!O21*1000)</f>
        <v>2555.5027314359781</v>
      </c>
      <c r="P33" s="28">
        <f>IF(P15=0,0,P15/TrRail_act!P21*1000)</f>
        <v>2187.5478414566974</v>
      </c>
      <c r="Q33" s="28">
        <f>IF(Q15=0,0,Q15/TrRail_act!Q21*1000)</f>
        <v>2087.6676837682735</v>
      </c>
      <c r="R33" s="28">
        <f>IF(R15=0,0,R15/TrRail_act!R21*1000)</f>
        <v>2024.2005784139744</v>
      </c>
      <c r="S33" s="28">
        <f>IF(S15=0,0,S15/TrRail_act!S21*1000)</f>
        <v>2146.1307961833213</v>
      </c>
      <c r="T33" s="28">
        <f>IF(T15=0,0,T15/TrRail_act!T21*1000)</f>
        <v>2301.9920049016091</v>
      </c>
      <c r="U33" s="28">
        <f>IF(U15=0,0,U15/TrRail_act!U21*1000)</f>
        <v>2336.5557442128124</v>
      </c>
      <c r="V33" s="28">
        <f>IF(V15=0,0,V15/TrRail_act!V21*1000)</f>
        <v>2372.9939719702993</v>
      </c>
      <c r="W33" s="28">
        <f>IF(W15=0,0,W15/TrRail_act!W21*1000)</f>
        <v>2345.2911089684276</v>
      </c>
      <c r="X33" s="28">
        <f>IF(X15=0,0,X15/TrRail_act!X21*1000)</f>
        <v>4717.8114585230169</v>
      </c>
      <c r="Y33" s="28">
        <f>IF(Y15=0,0,Y15/TrRail_act!Y21*1000)</f>
        <v>4791.5863067526088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19840.19656846979</v>
      </c>
      <c r="C34" s="84">
        <f>IF(C16=0,0,C16/TrRail_act!C22*1000)</f>
        <v>19726.253338587303</v>
      </c>
      <c r="D34" s="84">
        <f>IF(D16=0,0,D16/TrRail_act!D22*1000)</f>
        <v>19677.698169097323</v>
      </c>
      <c r="E34" s="84">
        <f>IF(E16=0,0,E16/TrRail_act!E22*1000)</f>
        <v>19655.492284126998</v>
      </c>
      <c r="F34" s="84">
        <f>IF(F16=0,0,F16/TrRail_act!F22*1000)</f>
        <v>19572.566028449019</v>
      </c>
      <c r="G34" s="84">
        <f>IF(G16=0,0,G16/TrRail_act!G22*1000)</f>
        <v>19378.125864418784</v>
      </c>
      <c r="H34" s="84">
        <f>IF(H16=0,0,H16/TrRail_act!H22*1000)</f>
        <v>19256.620183805768</v>
      </c>
      <c r="I34" s="84">
        <f>IF(I16=0,0,I16/TrRail_act!I22*1000)</f>
        <v>19163.234396886754</v>
      </c>
      <c r="J34" s="84">
        <f>IF(J16=0,0,J16/TrRail_act!J22*1000)</f>
        <v>19071.366036934676</v>
      </c>
      <c r="K34" s="84">
        <f>IF(K16=0,0,K16/TrRail_act!K22*1000)</f>
        <v>18970.276527006012</v>
      </c>
      <c r="L34" s="84">
        <f>IF(L16=0,0,L16/TrRail_act!L22*1000)</f>
        <v>18895.333758548943</v>
      </c>
      <c r="M34" s="84">
        <f>IF(M16=0,0,M16/TrRail_act!M22*1000)</f>
        <v>18660.35670866022</v>
      </c>
      <c r="N34" s="84">
        <f>IF(N16=0,0,N16/TrRail_act!N22*1000)</f>
        <v>18220.109418684406</v>
      </c>
      <c r="O34" s="84">
        <f>IF(O16=0,0,O16/TrRail_act!O22*1000)</f>
        <v>17756.90201245093</v>
      </c>
      <c r="P34" s="84">
        <f>IF(P16=0,0,P16/TrRail_act!P22*1000)</f>
        <v>17559.864055381338</v>
      </c>
      <c r="Q34" s="84">
        <f>IF(Q16=0,0,Q16/TrRail_act!Q22*1000)</f>
        <v>17498.580091306656</v>
      </c>
      <c r="R34" s="84">
        <f>IF(R16=0,0,R16/TrRail_act!R22*1000)</f>
        <v>17041.328038694479</v>
      </c>
      <c r="S34" s="84">
        <f>IF(S16=0,0,S16/TrRail_act!S22*1000)</f>
        <v>16872.545506468956</v>
      </c>
      <c r="T34" s="84">
        <f>IF(T16=0,0,T16/TrRail_act!T22*1000)</f>
        <v>16747.994775475228</v>
      </c>
      <c r="U34" s="84">
        <f>IF(U16=0,0,U16/TrRail_act!U22*1000)</f>
        <v>16655.04549103056</v>
      </c>
      <c r="V34" s="84">
        <f>IF(V16=0,0,V16/TrRail_act!V22*1000)</f>
        <v>16586.288650600669</v>
      </c>
      <c r="W34" s="84">
        <f>IF(W16=0,0,W16/TrRail_act!W22*1000)</f>
        <v>16534.120864410292</v>
      </c>
      <c r="X34" s="84">
        <f>IF(X16=0,0,X16/TrRail_act!X22*1000)</f>
        <v>16496.030310398255</v>
      </c>
      <c r="Y34" s="84">
        <f>IF(Y16=0,0,Y16/TrRail_act!Y22*1000)</f>
        <v>16466.934489455176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6.572541217032934</v>
      </c>
      <c r="C38" s="29">
        <f>IF(C9=0,0,C9/TrRail_act!C4*1000)</f>
        <v>6.0916560175162502</v>
      </c>
      <c r="D38" s="29">
        <f>IF(D9=0,0,D9/TrRail_act!D4*1000)</f>
        <v>6.2646062983250896</v>
      </c>
      <c r="E38" s="29">
        <f>IF(E9=0,0,E9/TrRail_act!E4*1000)</f>
        <v>6.705467841101469</v>
      </c>
      <c r="F38" s="29">
        <f>IF(F9=0,0,F9/TrRail_act!F4*1000)</f>
        <v>5.7626130731476382</v>
      </c>
      <c r="G38" s="29">
        <f>IF(G9=0,0,G9/TrRail_act!G4*1000)</f>
        <v>6.1757997087800991</v>
      </c>
      <c r="H38" s="29">
        <f>IF(H9=0,0,H9/TrRail_act!H4*1000)</f>
        <v>7.6347476203161708</v>
      </c>
      <c r="I38" s="29">
        <f>IF(I9=0,0,I9/TrRail_act!I4*1000)</f>
        <v>7.5918694221216718</v>
      </c>
      <c r="J38" s="29">
        <f>IF(J9=0,0,J9/TrRail_act!J4*1000)</f>
        <v>7.2364339588096804</v>
      </c>
      <c r="K38" s="29">
        <f>IF(K9=0,0,K9/TrRail_act!K4*1000)</f>
        <v>6.6400638523820392</v>
      </c>
      <c r="L38" s="29">
        <f>IF(L9=0,0,L9/TrRail_act!L4*1000)</f>
        <v>5.6163022298549334</v>
      </c>
      <c r="M38" s="29">
        <f>IF(M9=0,0,M9/TrRail_act!M4*1000)</f>
        <v>5.4381022463481425</v>
      </c>
      <c r="N38" s="29">
        <f>IF(N9=0,0,N9/TrRail_act!N4*1000)</f>
        <v>5.9718181097665894</v>
      </c>
      <c r="O38" s="29">
        <f>IF(O9=0,0,O9/TrRail_act!O4*1000)</f>
        <v>4.4920253833270953</v>
      </c>
      <c r="P38" s="29">
        <f>IF(P9=0,0,P9/TrRail_act!P4*1000)</f>
        <v>3.4049619404141036</v>
      </c>
      <c r="Q38" s="29">
        <f>IF(Q9=0,0,Q9/TrRail_act!Q4*1000)</f>
        <v>3.7122802778986856</v>
      </c>
      <c r="R38" s="29">
        <f>IF(R9=0,0,R9/TrRail_act!R4*1000)</f>
        <v>3.9543381694040418</v>
      </c>
      <c r="S38" s="29">
        <f>IF(S9=0,0,S9/TrRail_act!S4*1000)</f>
        <v>4.0779181550280539</v>
      </c>
      <c r="T38" s="29">
        <f>IF(T9=0,0,T9/TrRail_act!T4*1000)</f>
        <v>2.7535972612040496</v>
      </c>
      <c r="U38" s="29">
        <f>IF(U9=0,0,U9/TrRail_act!U4*1000)</f>
        <v>2.5595296527933664</v>
      </c>
      <c r="V38" s="29">
        <f>IF(V9=0,0,V9/TrRail_act!V4*1000)</f>
        <v>2.8179158955349686</v>
      </c>
      <c r="W38" s="29">
        <f>IF(W9=0,0,W9/TrRail_act!W4*1000)</f>
        <v>2.7733901498404765</v>
      </c>
      <c r="X38" s="29">
        <f>IF(X9=0,0,X9/TrRail_act!X4*1000)</f>
        <v>1.8750825865043448</v>
      </c>
      <c r="Y38" s="29">
        <f>IF(Y9=0,0,Y9/TrRail_act!Y4*1000)</f>
        <v>1.8553217697128135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8.2326604500438734</v>
      </c>
      <c r="C40" s="116">
        <f>IF(C11=0,0,C11/TrRail_act!C6*1000)</f>
        <v>7.5956108183158282</v>
      </c>
      <c r="D40" s="116">
        <f>IF(D11=0,0,D11/TrRail_act!D6*1000)</f>
        <v>7.7977346795911542</v>
      </c>
      <c r="E40" s="116">
        <f>IF(E11=0,0,E11/TrRail_act!E6*1000)</f>
        <v>8.3194277465405406</v>
      </c>
      <c r="F40" s="116">
        <f>IF(F11=0,0,F11/TrRail_act!F6*1000)</f>
        <v>7.0493764026978045</v>
      </c>
      <c r="G40" s="116">
        <f>IF(G11=0,0,G11/TrRail_act!G6*1000)</f>
        <v>7.7443609525616539</v>
      </c>
      <c r="H40" s="116">
        <f>IF(H11=0,0,H11/TrRail_act!H6*1000)</f>
        <v>9.5041295715487841</v>
      </c>
      <c r="I40" s="116">
        <f>IF(I11=0,0,I11/TrRail_act!I6*1000)</f>
        <v>9.3918260603062738</v>
      </c>
      <c r="J40" s="116">
        <f>IF(J11=0,0,J11/TrRail_act!J6*1000)</f>
        <v>8.8969798970398504</v>
      </c>
      <c r="K40" s="116">
        <f>IF(K11=0,0,K11/TrRail_act!K6*1000)</f>
        <v>8.1314731374473599</v>
      </c>
      <c r="L40" s="116">
        <f>IF(L11=0,0,L11/TrRail_act!L6*1000)</f>
        <v>6.8845379034610446</v>
      </c>
      <c r="M40" s="116">
        <f>IF(M11=0,0,M11/TrRail_act!M6*1000)</f>
        <v>6.5730861934006528</v>
      </c>
      <c r="N40" s="116">
        <f>IF(N11=0,0,N11/TrRail_act!N6*1000)</f>
        <v>7.2460819109238948</v>
      </c>
      <c r="O40" s="116">
        <f>IF(O11=0,0,O11/TrRail_act!O6*1000)</f>
        <v>5.4571805496664476</v>
      </c>
      <c r="P40" s="116">
        <f>IF(P11=0,0,P11/TrRail_act!P6*1000)</f>
        <v>4.1282853669341373</v>
      </c>
      <c r="Q40" s="116">
        <f>IF(Q11=0,0,Q11/TrRail_act!Q6*1000)</f>
        <v>4.6840417565116486</v>
      </c>
      <c r="R40" s="116">
        <f>IF(R11=0,0,R11/TrRail_act!R6*1000)</f>
        <v>5.2379918348060537</v>
      </c>
      <c r="S40" s="116">
        <f>IF(S11=0,0,S11/TrRail_act!S6*1000)</f>
        <v>5.4497839189603026</v>
      </c>
      <c r="T40" s="116">
        <f>IF(T11=0,0,T11/TrRail_act!T6*1000)</f>
        <v>3.5578412543575135</v>
      </c>
      <c r="U40" s="116">
        <f>IF(U11=0,0,U11/TrRail_act!U6*1000)</f>
        <v>3.3041644250949069</v>
      </c>
      <c r="V40" s="116">
        <f>IF(V11=0,0,V11/TrRail_act!V6*1000)</f>
        <v>3.615425070215331</v>
      </c>
      <c r="W40" s="116">
        <f>IF(W11=0,0,W11/TrRail_act!W6*1000)</f>
        <v>3.7493494112122421</v>
      </c>
      <c r="X40" s="116">
        <f>IF(X11=0,0,X11/TrRail_act!X6*1000)</f>
        <v>2.3670579251663386</v>
      </c>
      <c r="Y40" s="116">
        <f>IF(Y11=0,0,Y11/TrRail_act!Y6*1000)</f>
        <v>2.346952202815844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112.62020157593767</v>
      </c>
      <c r="C41" s="87">
        <f>IF(C12=0,0,C12/TrRail_act!C7*1000)</f>
        <v>107.05174439478753</v>
      </c>
      <c r="D41" s="87">
        <f>IF(D12=0,0,D12/TrRail_act!D7*1000)</f>
        <v>116.06741784971322</v>
      </c>
      <c r="E41" s="87">
        <f>IF(E12=0,0,E12/TrRail_act!E7*1000)</f>
        <v>116.62173352849278</v>
      </c>
      <c r="F41" s="87">
        <f>IF(F12=0,0,F12/TrRail_act!F7*1000)</f>
        <v>119.38435241358737</v>
      </c>
      <c r="G41" s="87">
        <f>IF(G12=0,0,G12/TrRail_act!G7*1000)</f>
        <v>131.10886179615818</v>
      </c>
      <c r="H41" s="87">
        <f>IF(H12=0,0,H12/TrRail_act!H7*1000)</f>
        <v>160.73671375588177</v>
      </c>
      <c r="I41" s="87">
        <f>IF(I12=0,0,I12/TrRail_act!I7*1000)</f>
        <v>155.8949298423957</v>
      </c>
      <c r="J41" s="87">
        <f>IF(J12=0,0,J12/TrRail_act!J7*1000)</f>
        <v>137.65779048442238</v>
      </c>
      <c r="K41" s="87">
        <f>IF(K12=0,0,K12/TrRail_act!K7*1000)</f>
        <v>133.5359934704754</v>
      </c>
      <c r="L41" s="87">
        <f>IF(L12=0,0,L12/TrRail_act!L7*1000)</f>
        <v>129.47407300943811</v>
      </c>
      <c r="M41" s="87">
        <f>IF(M12=0,0,M12/TrRail_act!M7*1000)</f>
        <v>120.43645498010854</v>
      </c>
      <c r="N41" s="87">
        <f>IF(N12=0,0,N12/TrRail_act!N7*1000)</f>
        <v>112.95633226532675</v>
      </c>
      <c r="O41" s="87">
        <f>IF(O12=0,0,O12/TrRail_act!O7*1000)</f>
        <v>107.78779052033407</v>
      </c>
      <c r="P41" s="87">
        <f>IF(P12=0,0,P12/TrRail_act!P7*1000)</f>
        <v>95.471641039177669</v>
      </c>
      <c r="Q41" s="87">
        <f>IF(Q12=0,0,Q12/TrRail_act!Q7*1000)</f>
        <v>107.2489094579869</v>
      </c>
      <c r="R41" s="87">
        <f>IF(R12=0,0,R12/TrRail_act!R7*1000)</f>
        <v>115.54016573166338</v>
      </c>
      <c r="S41" s="87">
        <f>IF(S12=0,0,S12/TrRail_act!S7*1000)</f>
        <v>111.74118321791143</v>
      </c>
      <c r="T41" s="87">
        <f>IF(T12=0,0,T12/TrRail_act!T7*1000)</f>
        <v>80.913305242659774</v>
      </c>
      <c r="U41" s="87">
        <f>IF(U12=0,0,U12/TrRail_act!U7*1000)</f>
        <v>75.330867298910576</v>
      </c>
      <c r="V41" s="87">
        <f>IF(V12=0,0,V12/TrRail_act!V7*1000)</f>
        <v>79.158792799511815</v>
      </c>
      <c r="W41" s="87">
        <f>IF(W12=0,0,W12/TrRail_act!W7*1000)</f>
        <v>87.194905550315141</v>
      </c>
      <c r="X41" s="87">
        <f>IF(X12=0,0,X12/TrRail_act!X7*1000)</f>
        <v>56.360063968124365</v>
      </c>
      <c r="Y41" s="87">
        <f>IF(Y12=0,0,Y12/TrRail_act!Y7*1000)</f>
        <v>55.239023418531708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14.473351755101463</v>
      </c>
      <c r="C44" s="29">
        <f>IF(C15=0,0,C15/TrRail_act!C10*1000)</f>
        <v>13.194558149959056</v>
      </c>
      <c r="D44" s="29">
        <f>IF(D15=0,0,D15/TrRail_act!D10*1000)</f>
        <v>10.573190128864661</v>
      </c>
      <c r="E44" s="29">
        <f>IF(E15=0,0,E15/TrRail_act!E10*1000)</f>
        <v>9.3628291836425426</v>
      </c>
      <c r="F44" s="29">
        <f>IF(F15=0,0,F15/TrRail_act!F10*1000)</f>
        <v>8.8646562766413552</v>
      </c>
      <c r="G44" s="29">
        <f>IF(G15=0,0,G15/TrRail_act!G10*1000)</f>
        <v>8.9812540798420457</v>
      </c>
      <c r="H44" s="29">
        <f>IF(H15=0,0,H15/TrRail_act!H10*1000)</f>
        <v>9.6194328152339583</v>
      </c>
      <c r="I44" s="29">
        <f>IF(I15=0,0,I15/TrRail_act!I10*1000)</f>
        <v>9.7013590931445091</v>
      </c>
      <c r="J44" s="29">
        <f>IF(J15=0,0,J15/TrRail_act!J10*1000)</f>
        <v>8.4740710353779516</v>
      </c>
      <c r="K44" s="29">
        <f>IF(K15=0,0,K15/TrRail_act!K10*1000)</f>
        <v>6.716873939564322</v>
      </c>
      <c r="L44" s="29">
        <f>IF(L15=0,0,L15/TrRail_act!L10*1000)</f>
        <v>5.2434986363079341</v>
      </c>
      <c r="M44" s="29">
        <f>IF(M15=0,0,M15/TrRail_act!M10*1000)</f>
        <v>4.8093970087759814</v>
      </c>
      <c r="N44" s="29">
        <f>IF(N15=0,0,N15/TrRail_act!N10*1000)</f>
        <v>2.9621475908799764</v>
      </c>
      <c r="O44" s="29">
        <f>IF(O15=0,0,O15/TrRail_act!O10*1000)</f>
        <v>2.4819458520254036</v>
      </c>
      <c r="P44" s="29">
        <f>IF(P15=0,0,P15/TrRail_act!P10*1000)</f>
        <v>2.1034484266571587</v>
      </c>
      <c r="Q44" s="29">
        <f>IF(Q15=0,0,Q15/TrRail_act!Q10*1000)</f>
        <v>2.03424481619636</v>
      </c>
      <c r="R44" s="29">
        <f>IF(R15=0,0,R15/TrRail_act!R10*1000)</f>
        <v>1.6699091182927701</v>
      </c>
      <c r="S44" s="29">
        <f>IF(S15=0,0,S15/TrRail_act!S10*1000)</f>
        <v>2.5502637267066852</v>
      </c>
      <c r="T44" s="29">
        <f>IF(T15=0,0,T15/TrRail_act!T10*1000)</f>
        <v>3.755382792153104</v>
      </c>
      <c r="U44" s="29">
        <f>IF(U15=0,0,U15/TrRail_act!U10*1000)</f>
        <v>3.1684867986196963</v>
      </c>
      <c r="V44" s="29">
        <f>IF(V15=0,0,V15/TrRail_act!V10*1000)</f>
        <v>3.4975562381170433</v>
      </c>
      <c r="W44" s="29">
        <f>IF(W15=0,0,W15/TrRail_act!W10*1000)</f>
        <v>4.0783891290622787</v>
      </c>
      <c r="X44" s="29">
        <f>IF(X15=0,0,X15/TrRail_act!X10*1000)</f>
        <v>4.5311964338724922</v>
      </c>
      <c r="Y44" s="29">
        <f>IF(Y15=0,0,Y15/TrRail_act!Y10*1000)</f>
        <v>3.7296113831271684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34.61943537753789</v>
      </c>
      <c r="C45" s="87">
        <f>IF(C16=0,0,C16/TrRail_act!C11*1000)</f>
        <v>33.770584979499034</v>
      </c>
      <c r="D45" s="87">
        <f>IF(D16=0,0,D16/TrRail_act!D11*1000)</f>
        <v>31.980449332403147</v>
      </c>
      <c r="E45" s="87">
        <f>IF(E16=0,0,E16/TrRail_act!E11*1000)</f>
        <v>30.073071174590225</v>
      </c>
      <c r="F45" s="87">
        <f>IF(F16=0,0,F16/TrRail_act!F11*1000)</f>
        <v>34.251974421066535</v>
      </c>
      <c r="G45" s="87">
        <f>IF(G16=0,0,G16/TrRail_act!G11*1000)</f>
        <v>35.836778653367986</v>
      </c>
      <c r="H45" s="87">
        <f>IF(H16=0,0,H16/TrRail_act!H11*1000)</f>
        <v>39.697833517849006</v>
      </c>
      <c r="I45" s="87">
        <f>IF(I16=0,0,I16/TrRail_act!I11*1000)</f>
        <v>38.702338398624121</v>
      </c>
      <c r="J45" s="87">
        <f>IF(J16=0,0,J16/TrRail_act!J11*1000)</f>
        <v>36.843429519393176</v>
      </c>
      <c r="K45" s="87">
        <f>IF(K16=0,0,K16/TrRail_act!K11*1000)</f>
        <v>34.951568515365132</v>
      </c>
      <c r="L45" s="87">
        <f>IF(L16=0,0,L16/TrRail_act!L11*1000)</f>
        <v>30.748508437939226</v>
      </c>
      <c r="M45" s="87">
        <f>IF(M16=0,0,M16/TrRail_act!M11*1000)</f>
        <v>27.919648498502635</v>
      </c>
      <c r="N45" s="87">
        <f>IF(N16=0,0,N16/TrRail_act!N11*1000)</f>
        <v>14.852124241397531</v>
      </c>
      <c r="O45" s="87">
        <f>IF(O16=0,0,O16/TrRail_act!O11*1000)</f>
        <v>15.692491793935448</v>
      </c>
      <c r="P45" s="87">
        <f>IF(P16=0,0,P16/TrRail_act!P11*1000)</f>
        <v>15.462362960804141</v>
      </c>
      <c r="Q45" s="87">
        <f>IF(Q16=0,0,Q16/TrRail_act!Q11*1000)</f>
        <v>14.935606294550338</v>
      </c>
      <c r="R45" s="87">
        <f>IF(R16=0,0,R16/TrRail_act!R11*1000)</f>
        <v>11.951938539611682</v>
      </c>
      <c r="S45" s="87">
        <f>IF(S16=0,0,S16/TrRail_act!S11*1000)</f>
        <v>17.190300335364789</v>
      </c>
      <c r="T45" s="87">
        <f>IF(T16=0,0,T16/TrRail_act!T11*1000)</f>
        <v>25.680406817871287</v>
      </c>
      <c r="U45" s="87">
        <f>IF(U16=0,0,U16/TrRail_act!U11*1000)</f>
        <v>21.627149188434959</v>
      </c>
      <c r="V45" s="87">
        <f>IF(V16=0,0,V16/TrRail_act!V11*1000)</f>
        <v>23.938013968796039</v>
      </c>
      <c r="W45" s="87">
        <f>IF(W16=0,0,W16/TrRail_act!W11*1000)</f>
        <v>28.165171543028233</v>
      </c>
      <c r="X45" s="87">
        <f>IF(X16=0,0,X16/TrRail_act!X11*1000)</f>
        <v>16.01952374522061</v>
      </c>
      <c r="Y45" s="87">
        <f>IF(Y16=0,0,Y16/TrRail_act!Y11*1000)</f>
        <v>13.376331949381498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276.7186202561449</v>
      </c>
      <c r="C48" s="62">
        <f>IF(C8=0,0,1000000*C8/TrRail_act!C25/1000)</f>
        <v>238.27549531531247</v>
      </c>
      <c r="D48" s="62">
        <f>IF(D8=0,0,1000000*D8/TrRail_act!D25/1000)</f>
        <v>216.94243527911351</v>
      </c>
      <c r="E48" s="62">
        <f>IF(E8=0,0,1000000*E8/TrRail_act!E25/1000)</f>
        <v>202.42323019319133</v>
      </c>
      <c r="F48" s="62">
        <f>IF(F8=0,0,1000000*F8/TrRail_act!F25/1000)</f>
        <v>183.66855742764659</v>
      </c>
      <c r="G48" s="62">
        <f>IF(G8=0,0,1000000*G8/TrRail_act!G25/1000)</f>
        <v>190.81963393456525</v>
      </c>
      <c r="H48" s="62">
        <f>IF(H8=0,0,1000000*H8/TrRail_act!H25/1000)</f>
        <v>218.81178666064062</v>
      </c>
      <c r="I48" s="62">
        <f>IF(I8=0,0,1000000*I8/TrRail_act!I25/1000)</f>
        <v>230.00675882850072</v>
      </c>
      <c r="J48" s="62">
        <f>IF(J8=0,0,1000000*J8/TrRail_act!J25/1000)</f>
        <v>202.81645262687528</v>
      </c>
      <c r="K48" s="62">
        <f>IF(K8=0,0,1000000*K8/TrRail_act!K25/1000)</f>
        <v>154.00594037582135</v>
      </c>
      <c r="L48" s="62">
        <f>IF(L8=0,0,1000000*L8/TrRail_act!L25/1000)</f>
        <v>133.93030039794127</v>
      </c>
      <c r="M48" s="62">
        <f>IF(M8=0,0,1000000*M8/TrRail_act!M25/1000)</f>
        <v>131.8922898199159</v>
      </c>
      <c r="N48" s="62">
        <f>IF(N8=0,0,1000000*N8/TrRail_act!N25/1000)</f>
        <v>153.85836914836744</v>
      </c>
      <c r="O48" s="62">
        <f>IF(O8=0,0,1000000*O8/TrRail_act!O25/1000)</f>
        <v>113.55593757423505</v>
      </c>
      <c r="P48" s="62">
        <f>IF(P8=0,0,1000000*P8/TrRail_act!P25/1000)</f>
        <v>93.75815065347949</v>
      </c>
      <c r="Q48" s="62">
        <f>IF(Q8=0,0,1000000*Q8/TrRail_act!Q25/1000)</f>
        <v>93.814498841404358</v>
      </c>
      <c r="R48" s="62">
        <f>IF(R8=0,0,1000000*R8/TrRail_act!R25/1000)</f>
        <v>95.31519399137764</v>
      </c>
      <c r="S48" s="62">
        <f>IF(S8=0,0,1000000*S8/TrRail_act!S25/1000)</f>
        <v>100.23160874596931</v>
      </c>
      <c r="T48" s="62">
        <f>IF(T8=0,0,1000000*T8/TrRail_act!T25/1000)</f>
        <v>98.911171581692827</v>
      </c>
      <c r="U48" s="62">
        <f>IF(U8=0,0,1000000*U8/TrRail_act!U25/1000)</f>
        <v>98.54011506649239</v>
      </c>
      <c r="V48" s="62">
        <f>IF(V8=0,0,1000000*V8/TrRail_act!V25/1000)</f>
        <v>93.209904583500432</v>
      </c>
      <c r="W48" s="62">
        <f>IF(W8=0,0,1000000*W8/TrRail_act!W25/1000)</f>
        <v>97.709646397848431</v>
      </c>
      <c r="X48" s="62">
        <f>IF(X8=0,0,1000000*X8/TrRail_act!X25/1000)</f>
        <v>83.736311764415305</v>
      </c>
      <c r="Y48" s="62">
        <f>IF(Y8=0,0,1000000*Y8/TrRail_act!Y25/1000)</f>
        <v>81.839867758923077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105.74705723774814</v>
      </c>
      <c r="C49" s="29">
        <f>IF(C9=0,0,1000000*C9/TrRail_act!C26/1000)</f>
        <v>98.072574492674335</v>
      </c>
      <c r="D49" s="29">
        <f>IF(D9=0,0,1000000*D9/TrRail_act!D26/1000)</f>
        <v>103.69340805579616</v>
      </c>
      <c r="E49" s="29">
        <f>IF(E9=0,0,1000000*E9/TrRail_act!E26/1000)</f>
        <v>106.43421845885854</v>
      </c>
      <c r="F49" s="29">
        <f>IF(F9=0,0,1000000*F9/TrRail_act!F26/1000)</f>
        <v>94.8739644562379</v>
      </c>
      <c r="G49" s="29">
        <f>IF(G9=0,0,1000000*G9/TrRail_act!G26/1000)</f>
        <v>96.145535191826397</v>
      </c>
      <c r="H49" s="29">
        <f>IF(H9=0,0,1000000*H9/TrRail_act!H26/1000)</f>
        <v>120.20861380969821</v>
      </c>
      <c r="I49" s="29">
        <f>IF(I9=0,0,1000000*I9/TrRail_act!I26/1000)</f>
        <v>124.11271514985363</v>
      </c>
      <c r="J49" s="29">
        <f>IF(J9=0,0,1000000*J9/TrRail_act!J26/1000)</f>
        <v>119.05286579080332</v>
      </c>
      <c r="K49" s="29">
        <f>IF(K9=0,0,1000000*K9/TrRail_act!K26/1000)</f>
        <v>110.33924079677413</v>
      </c>
      <c r="L49" s="29">
        <f>IF(L9=0,0,1000000*L9/TrRail_act!L26/1000)</f>
        <v>92.995861881044846</v>
      </c>
      <c r="M49" s="29">
        <f>IF(M9=0,0,1000000*M9/TrRail_act!M26/1000)</f>
        <v>92.823667900122899</v>
      </c>
      <c r="N49" s="29">
        <f>IF(N9=0,0,1000000*N9/TrRail_act!N26/1000)</f>
        <v>105.81544488100994</v>
      </c>
      <c r="O49" s="29">
        <f>IF(O9=0,0,1000000*O9/TrRail_act!O26/1000)</f>
        <v>76.501466355969839</v>
      </c>
      <c r="P49" s="29">
        <f>IF(P9=0,0,1000000*P9/TrRail_act!P26/1000)</f>
        <v>60.431068433878551</v>
      </c>
      <c r="Q49" s="29">
        <f>IF(Q9=0,0,1000000*Q9/TrRail_act!Q26/1000)</f>
        <v>62.528777266982573</v>
      </c>
      <c r="R49" s="29">
        <f>IF(R9=0,0,1000000*R9/TrRail_act!R26/1000)</f>
        <v>63.129947512881934</v>
      </c>
      <c r="S49" s="29">
        <f>IF(S9=0,0,1000000*S9/TrRail_act!S26/1000)</f>
        <v>65.122590760158161</v>
      </c>
      <c r="T49" s="29">
        <f>IF(T9=0,0,1000000*T9/TrRail_act!T26/1000)</f>
        <v>50.564173455306317</v>
      </c>
      <c r="U49" s="29">
        <f>IF(U9=0,0,1000000*U9/TrRail_act!U26/1000)</f>
        <v>47.697958481198064</v>
      </c>
      <c r="V49" s="29">
        <f>IF(V9=0,0,1000000*V9/TrRail_act!V26/1000)</f>
        <v>37.030260642969559</v>
      </c>
      <c r="W49" s="29">
        <f>IF(W9=0,0,1000000*W9/TrRail_act!W26/1000)</f>
        <v>37.610750149576241</v>
      </c>
      <c r="X49" s="29">
        <f>IF(X9=0,0,1000000*X9/TrRail_act!X26/1000)</f>
        <v>32.302559730055407</v>
      </c>
      <c r="Y49" s="29">
        <f>IF(Y9=0,0,1000000*Y9/TrRail_act!Y26/1000)</f>
        <v>33.417815076927518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133.41821422772529</v>
      </c>
      <c r="C51" s="116">
        <f>IF(C11=0,0,1000000*C11/TrRail_act!C28/1000)</f>
        <v>122.5264258356171</v>
      </c>
      <c r="D51" s="116">
        <f>IF(D11=0,0,1000000*D11/TrRail_act!D28/1000)</f>
        <v>129.98555517876702</v>
      </c>
      <c r="E51" s="116">
        <f>IF(E11=0,0,1000000*E11/TrRail_act!E28/1000)</f>
        <v>132.29188998783494</v>
      </c>
      <c r="F51" s="116">
        <f>IF(F11=0,0,1000000*F11/TrRail_act!F28/1000)</f>
        <v>115.95804079332545</v>
      </c>
      <c r="G51" s="116">
        <f>IF(G11=0,0,1000000*G11/TrRail_act!G28/1000)</f>
        <v>119.01077837691543</v>
      </c>
      <c r="H51" s="116">
        <f>IF(H11=0,0,1000000*H11/TrRail_act!H28/1000)</f>
        <v>147.85431488449552</v>
      </c>
      <c r="I51" s="116">
        <f>IF(I11=0,0,1000000*I11/TrRail_act!I28/1000)</f>
        <v>152.83375846422479</v>
      </c>
      <c r="J51" s="116">
        <f>IF(J11=0,0,1000000*J11/TrRail_act!J28/1000)</f>
        <v>144.97141747472321</v>
      </c>
      <c r="K51" s="116">
        <f>IF(K11=0,0,1000000*K11/TrRail_act!K28/1000)</f>
        <v>134.37892509163677</v>
      </c>
      <c r="L51" s="116">
        <f>IF(L11=0,0,1000000*L11/TrRail_act!L28/1000)</f>
        <v>113.96418458329624</v>
      </c>
      <c r="M51" s="116">
        <f>IF(M11=0,0,1000000*M11/TrRail_act!M28/1000)</f>
        <v>115.23141143226185</v>
      </c>
      <c r="N51" s="116">
        <f>IF(N11=0,0,1000000*N11/TrRail_act!N28/1000)</f>
        <v>134.07775340094108</v>
      </c>
      <c r="O51" s="116">
        <f>IF(O11=0,0,1000000*O11/TrRail_act!O28/1000)</f>
        <v>96.238560732361094</v>
      </c>
      <c r="P51" s="116">
        <f>IF(P11=0,0,1000000*P11/TrRail_act!P28/1000)</f>
        <v>76.54894236593023</v>
      </c>
      <c r="Q51" s="116">
        <f>IF(Q11=0,0,1000000*Q11/TrRail_act!Q28/1000)</f>
        <v>79.228562346597585</v>
      </c>
      <c r="R51" s="116">
        <f>IF(R11=0,0,1000000*R11/TrRail_act!R28/1000)</f>
        <v>80.246838296332086</v>
      </c>
      <c r="S51" s="116">
        <f>IF(S11=0,0,1000000*S11/TrRail_act!S28/1000)</f>
        <v>84.004389201668459</v>
      </c>
      <c r="T51" s="116">
        <f>IF(T11=0,0,1000000*T11/TrRail_act!T28/1000)</f>
        <v>66.128224846622658</v>
      </c>
      <c r="U51" s="116">
        <f>IF(U11=0,0,1000000*U11/TrRail_act!U28/1000)</f>
        <v>62.911099283499659</v>
      </c>
      <c r="V51" s="116">
        <f>IF(V11=0,0,1000000*V11/TrRail_act!V28/1000)</f>
        <v>49.027774204544599</v>
      </c>
      <c r="W51" s="116">
        <f>IF(W11=0,0,1000000*W11/TrRail_act!W28/1000)</f>
        <v>49.294626086003042</v>
      </c>
      <c r="X51" s="116">
        <f>IF(X11=0,0,1000000*X11/TrRail_act!X28/1000)</f>
        <v>40.184694851558326</v>
      </c>
      <c r="Y51" s="116">
        <f>IF(Y11=0,0,1000000*Y11/TrRail_act!Y28/1000)</f>
        <v>42.017084777586717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1872.7710688889326</v>
      </c>
      <c r="C52" s="87">
        <f>IF(C12=0,0,1000000*C12/TrRail_act!C29/1000)</f>
        <v>1836.842281275266</v>
      </c>
      <c r="D52" s="87">
        <f>IF(D12=0,0,1000000*D12/TrRail_act!D29/1000)</f>
        <v>1811.5459670799059</v>
      </c>
      <c r="E52" s="87">
        <f>IF(E12=0,0,1000000*E12/TrRail_act!E29/1000)</f>
        <v>1801.5786943946753</v>
      </c>
      <c r="F52" s="87">
        <f>IF(F12=0,0,1000000*F12/TrRail_act!F29/1000)</f>
        <v>1793.9778193331799</v>
      </c>
      <c r="G52" s="87">
        <f>IF(G12=0,0,1000000*G12/TrRail_act!G29/1000)</f>
        <v>1781.0397066438163</v>
      </c>
      <c r="H52" s="87">
        <f>IF(H12=0,0,1000000*H12/TrRail_act!H29/1000)</f>
        <v>1769.8972951992132</v>
      </c>
      <c r="I52" s="87">
        <f>IF(I12=0,0,1000000*I12/TrRail_act!I29/1000)</f>
        <v>1754.9457092211753</v>
      </c>
      <c r="J52" s="87">
        <f>IF(J12=0,0,1000000*J12/TrRail_act!J29/1000)</f>
        <v>1750.3864727718328</v>
      </c>
      <c r="K52" s="87">
        <f>IF(K12=0,0,1000000*K12/TrRail_act!K29/1000)</f>
        <v>1695.7598323152813</v>
      </c>
      <c r="L52" s="87">
        <f>IF(L12=0,0,1000000*L12/TrRail_act!L29/1000)</f>
        <v>1585.3548860422804</v>
      </c>
      <c r="M52" s="87">
        <f>IF(M12=0,0,1000000*M12/TrRail_act!M29/1000)</f>
        <v>1673.8654946398549</v>
      </c>
      <c r="N52" s="87">
        <f>IF(N12=0,0,1000000*N12/TrRail_act!N29/1000)</f>
        <v>1670.241686644333</v>
      </c>
      <c r="O52" s="87">
        <f>IF(O12=0,0,1000000*O12/TrRail_act!O29/1000)</f>
        <v>1356.4266127744891</v>
      </c>
      <c r="P52" s="87">
        <f>IF(P12=0,0,1000000*P12/TrRail_act!P29/1000)</f>
        <v>1118.7813725658805</v>
      </c>
      <c r="Q52" s="87">
        <f>IF(Q12=0,0,1000000*Q12/TrRail_act!Q29/1000)</f>
        <v>1090.7136601361449</v>
      </c>
      <c r="R52" s="87">
        <f>IF(R12=0,0,1000000*R12/TrRail_act!R29/1000)</f>
        <v>1031.6663168021062</v>
      </c>
      <c r="S52" s="87">
        <f>IF(S12=0,0,1000000*S12/TrRail_act!S29/1000)</f>
        <v>989.44338996520321</v>
      </c>
      <c r="T52" s="87">
        <f>IF(T12=0,0,1000000*T12/TrRail_act!T29/1000)</f>
        <v>801.03953731139256</v>
      </c>
      <c r="U52" s="87">
        <f>IF(U12=0,0,1000000*U12/TrRail_act!U29/1000)</f>
        <v>812.67470601664502</v>
      </c>
      <c r="V52" s="87">
        <f>IF(V12=0,0,1000000*V12/TrRail_act!V29/1000)</f>
        <v>629.12880154265474</v>
      </c>
      <c r="W52" s="87">
        <f>IF(W12=0,0,1000000*W12/TrRail_act!W29/1000)</f>
        <v>672.18873420713635</v>
      </c>
      <c r="X52" s="87">
        <f>IF(X12=0,0,1000000*X12/TrRail_act!X29/1000)</f>
        <v>708.83824308531462</v>
      </c>
      <c r="Y52" s="87">
        <f>IF(Y12=0,0,1000000*Y12/TrRail_act!Y29/1000)</f>
        <v>832.72286514317216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1565.0337486341327</v>
      </c>
      <c r="C55" s="29">
        <f>IF(C15=0,0,1000000*C15/TrRail_act!C32/1000)</f>
        <v>1408.7501845341033</v>
      </c>
      <c r="D55" s="29">
        <f>IF(D15=0,0,1000000*D15/TrRail_act!D32/1000)</f>
        <v>1150.4240945379063</v>
      </c>
      <c r="E55" s="29">
        <f>IF(E15=0,0,1000000*E15/TrRail_act!E32/1000)</f>
        <v>1074.9285363529366</v>
      </c>
      <c r="F55" s="29">
        <f>IF(F15=0,0,1000000*F15/TrRail_act!F32/1000)</f>
        <v>926.44063145534642</v>
      </c>
      <c r="G55" s="29">
        <f>IF(G15=0,0,1000000*G15/TrRail_act!G32/1000)</f>
        <v>892.56519887765148</v>
      </c>
      <c r="H55" s="29">
        <f>IF(H15=0,0,1000000*H15/TrRail_act!H32/1000)</f>
        <v>885.70544168719584</v>
      </c>
      <c r="I55" s="29">
        <f>IF(I15=0,0,1000000*I15/TrRail_act!I32/1000)</f>
        <v>913.08102836627756</v>
      </c>
      <c r="J55" s="29">
        <f>IF(J15=0,0,1000000*J15/TrRail_act!J32/1000)</f>
        <v>810.29945497422068</v>
      </c>
      <c r="K55" s="29">
        <f>IF(K15=0,0,1000000*K15/TrRail_act!K32/1000)</f>
        <v>496.3220213599634</v>
      </c>
      <c r="L55" s="29">
        <f>IF(L15=0,0,1000000*L15/TrRail_act!L32/1000)</f>
        <v>495.17727224245783</v>
      </c>
      <c r="M55" s="29">
        <f>IF(M15=0,0,1000000*M15/TrRail_act!M32/1000)</f>
        <v>506.71599590173099</v>
      </c>
      <c r="N55" s="29">
        <f>IF(N15=0,0,1000000*N15/TrRail_act!N32/1000)</f>
        <v>639.91507790662888</v>
      </c>
      <c r="O55" s="29">
        <f>IF(O15=0,0,1000000*O15/TrRail_act!O32/1000)</f>
        <v>511.10053316859091</v>
      </c>
      <c r="P55" s="29">
        <f>IF(P15=0,0,1000000*P15/TrRail_act!P32/1000)</f>
        <v>437.50956116531484</v>
      </c>
      <c r="Q55" s="29">
        <f>IF(Q15=0,0,1000000*Q15/TrRail_act!Q32/1000)</f>
        <v>417.53352693260251</v>
      </c>
      <c r="R55" s="29">
        <f>IF(R15=0,0,1000000*R15/TrRail_act!R32/1000)</f>
        <v>404.84010851496441</v>
      </c>
      <c r="S55" s="29">
        <f>IF(S15=0,0,1000000*S15/TrRail_act!S32/1000)</f>
        <v>429.22615384100658</v>
      </c>
      <c r="T55" s="29">
        <f>IF(T15=0,0,1000000*T15/TrRail_act!T32/1000)</f>
        <v>460.39839603175102</v>
      </c>
      <c r="U55" s="29">
        <f>IF(U15=0,0,1000000*U15/TrRail_act!U32/1000)</f>
        <v>467.31114418367139</v>
      </c>
      <c r="V55" s="29">
        <f>IF(V15=0,0,1000000*V15/TrRail_act!V32/1000)</f>
        <v>474.59878536565662</v>
      </c>
      <c r="W55" s="29">
        <f>IF(W15=0,0,1000000*W15/TrRail_act!W32/1000)</f>
        <v>469.05821696265599</v>
      </c>
      <c r="X55" s="29">
        <f>IF(X15=0,0,1000000*X15/TrRail_act!X32/1000)</f>
        <v>460.44100937418153</v>
      </c>
      <c r="Y55" s="29">
        <f>IF(Y15=0,0,1000000*Y15/TrRail_act!Y32/1000)</f>
        <v>466.45610051895773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3968.0392355184927</v>
      </c>
      <c r="C56" s="87">
        <f>IF(C16=0,0,1000000*C16/TrRail_act!C33/1000)</f>
        <v>3708.7876665671656</v>
      </c>
      <c r="D56" s="87">
        <f>IF(D16=0,0,1000000*D16/TrRail_act!D33/1000)</f>
        <v>3445.445777849493</v>
      </c>
      <c r="E56" s="87">
        <f>IF(E16=0,0,1000000*E16/TrRail_act!E33/1000)</f>
        <v>3484.9798620578968</v>
      </c>
      <c r="F56" s="87">
        <f>IF(F16=0,0,1000000*F16/TrRail_act!F33/1000)</f>
        <v>3914.5130354817561</v>
      </c>
      <c r="G56" s="87">
        <f>IF(G16=0,0,1000000*G16/TrRail_act!G33/1000)</f>
        <v>3875.6251545758078</v>
      </c>
      <c r="H56" s="87">
        <f>IF(H16=0,0,1000000*H16/TrRail_act!H33/1000)</f>
        <v>3851.3239641189248</v>
      </c>
      <c r="I56" s="87">
        <f>IF(I16=0,0,1000000*I16/TrRail_act!I33/1000)</f>
        <v>3832.6467306427785</v>
      </c>
      <c r="J56" s="87">
        <f>IF(J16=0,0,1000000*J16/TrRail_act!J33/1000)</f>
        <v>3665.9760721511439</v>
      </c>
      <c r="K56" s="87">
        <f>IF(K16=0,0,1000000*K16/TrRail_act!K33/1000)</f>
        <v>2400.377666316178</v>
      </c>
      <c r="L56" s="87">
        <f>IF(L16=0,0,1000000*L16/TrRail_act!L33/1000)</f>
        <v>2606.9268675973913</v>
      </c>
      <c r="M56" s="87">
        <f>IF(M16=0,0,1000000*M16/TrRail_act!M33/1000)</f>
        <v>2983.9793657734986</v>
      </c>
      <c r="N56" s="87">
        <f>IF(N16=0,0,1000000*N16/TrRail_act!N33/1000)</f>
        <v>3644.0216128368993</v>
      </c>
      <c r="O56" s="87">
        <f>IF(O16=0,0,1000000*O16/TrRail_act!O33/1000)</f>
        <v>3551.3800530199437</v>
      </c>
      <c r="P56" s="87">
        <f>IF(P16=0,0,1000000*P16/TrRail_act!P33/1000)</f>
        <v>3511.9726177418074</v>
      </c>
      <c r="Q56" s="87">
        <f>IF(Q16=0,0,1000000*Q16/TrRail_act!Q33/1000)</f>
        <v>3499.7156613578791</v>
      </c>
      <c r="R56" s="87">
        <f>IF(R16=0,0,1000000*R16/TrRail_act!R33/1000)</f>
        <v>3408.2652866418889</v>
      </c>
      <c r="S56" s="87">
        <f>IF(S16=0,0,1000000*S16/TrRail_act!S33/1000)</f>
        <v>3374.5090582880603</v>
      </c>
      <c r="T56" s="87">
        <f>IF(T16=0,0,1000000*T16/TrRail_act!T33/1000)</f>
        <v>3349.5987371748424</v>
      </c>
      <c r="U56" s="87">
        <f>IF(U16=0,0,1000000*U16/TrRail_act!U33/1000)</f>
        <v>3331.0089934002053</v>
      </c>
      <c r="V56" s="87">
        <f>IF(V16=0,0,1000000*V16/TrRail_act!V33/1000)</f>
        <v>3317.2575075329955</v>
      </c>
      <c r="W56" s="87">
        <f>IF(W16=0,0,1000000*W16/TrRail_act!W33/1000)</f>
        <v>3306.8239966519809</v>
      </c>
      <c r="X56" s="87">
        <f>IF(X16=0,0,1000000*X16/TrRail_act!X33/1000)</f>
        <v>3299.2058590850161</v>
      </c>
      <c r="Y56" s="87">
        <f>IF(Y16=0,0,1000000*Y16/TrRail_act!Y33/1000)</f>
        <v>3293.3868253574688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0.337373830303768</v>
      </c>
      <c r="C60" s="31">
        <f t="shared" ref="C60:V60" si="13">IF(C9=0,0,C9/C$8)</f>
        <v>0.3675651613764806</v>
      </c>
      <c r="D60" s="31">
        <f t="shared" si="13"/>
        <v>0.4262628365953281</v>
      </c>
      <c r="E60" s="31">
        <f t="shared" si="13"/>
        <v>0.47368749993502296</v>
      </c>
      <c r="F60" s="31">
        <f t="shared" si="13"/>
        <v>0.46139271000136417</v>
      </c>
      <c r="G60" s="31">
        <f t="shared" si="13"/>
        <v>0.4439599207430297</v>
      </c>
      <c r="H60" s="31">
        <f t="shared" si="13"/>
        <v>0.4786059207594866</v>
      </c>
      <c r="I60" s="31">
        <f t="shared" si="13"/>
        <v>0.4671797861470996</v>
      </c>
      <c r="J60" s="31">
        <f t="shared" si="13"/>
        <v>0.51586706411514627</v>
      </c>
      <c r="K60" s="31">
        <f t="shared" si="13"/>
        <v>0.63540684581287898</v>
      </c>
      <c r="L60" s="31">
        <f t="shared" si="13"/>
        <v>0.62368744750120308</v>
      </c>
      <c r="M60" s="31">
        <f t="shared" si="13"/>
        <v>0.63735146933959852</v>
      </c>
      <c r="N60" s="31">
        <f t="shared" si="13"/>
        <v>0.62588219891572117</v>
      </c>
      <c r="O60" s="31">
        <f t="shared" si="13"/>
        <v>0.61625006294148632</v>
      </c>
      <c r="P60" s="31">
        <f t="shared" si="13"/>
        <v>0.587575889513547</v>
      </c>
      <c r="Q60" s="31">
        <f t="shared" si="13"/>
        <v>0.60777668717938393</v>
      </c>
      <c r="R60" s="31">
        <f t="shared" si="13"/>
        <v>0.59994441039073798</v>
      </c>
      <c r="S60" s="31">
        <f t="shared" si="13"/>
        <v>0.58707114768237678</v>
      </c>
      <c r="T60" s="31">
        <f t="shared" si="13"/>
        <v>0.45090214260035261</v>
      </c>
      <c r="U60" s="31">
        <f t="shared" si="13"/>
        <v>0.42539697239031493</v>
      </c>
      <c r="V60" s="31">
        <f t="shared" si="13"/>
        <v>0.34627142808749473</v>
      </c>
      <c r="W60" s="31">
        <f t="shared" ref="W60:Y60" si="14">IF(W9=0,0,W9/W$8)</f>
        <v>0.33130530269670033</v>
      </c>
      <c r="X60" s="31">
        <f t="shared" si="14"/>
        <v>0.33942194205300547</v>
      </c>
      <c r="Y60" s="31">
        <f t="shared" si="14"/>
        <v>0.36267235106187889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0.337373830303768</v>
      </c>
      <c r="C62" s="124">
        <f t="shared" ref="C62:V62" si="17">IF(C11=0,0,C11/C$8)</f>
        <v>0.3675651613764806</v>
      </c>
      <c r="D62" s="124">
        <f t="shared" si="17"/>
        <v>0.4262628365953281</v>
      </c>
      <c r="E62" s="124">
        <f t="shared" si="17"/>
        <v>0.47368749993502296</v>
      </c>
      <c r="F62" s="124">
        <f t="shared" si="17"/>
        <v>0.46139271000136417</v>
      </c>
      <c r="G62" s="124">
        <f t="shared" si="17"/>
        <v>0.4439599207430297</v>
      </c>
      <c r="H62" s="124">
        <f t="shared" si="17"/>
        <v>0.4786059207594866</v>
      </c>
      <c r="I62" s="124">
        <f t="shared" si="17"/>
        <v>0.4671797861470996</v>
      </c>
      <c r="J62" s="124">
        <f t="shared" si="17"/>
        <v>0.51586706411514627</v>
      </c>
      <c r="K62" s="124">
        <f t="shared" si="17"/>
        <v>0.63540684581287898</v>
      </c>
      <c r="L62" s="124">
        <f t="shared" si="17"/>
        <v>0.62368744750120308</v>
      </c>
      <c r="M62" s="124">
        <f t="shared" si="17"/>
        <v>0.63735146933959852</v>
      </c>
      <c r="N62" s="124">
        <f t="shared" si="17"/>
        <v>0.62588219891572117</v>
      </c>
      <c r="O62" s="124">
        <f t="shared" si="17"/>
        <v>0.61625006294148632</v>
      </c>
      <c r="P62" s="124">
        <f t="shared" si="17"/>
        <v>0.587575889513547</v>
      </c>
      <c r="Q62" s="124">
        <f t="shared" si="17"/>
        <v>0.60777668717938393</v>
      </c>
      <c r="R62" s="124">
        <f t="shared" si="17"/>
        <v>0.59994441039073798</v>
      </c>
      <c r="S62" s="124">
        <f t="shared" si="17"/>
        <v>0.58707114768237678</v>
      </c>
      <c r="T62" s="124">
        <f t="shared" si="17"/>
        <v>0.45090214260035261</v>
      </c>
      <c r="U62" s="124">
        <f t="shared" si="17"/>
        <v>0.42539697239031493</v>
      </c>
      <c r="V62" s="124">
        <f t="shared" si="17"/>
        <v>0.34627142808749473</v>
      </c>
      <c r="W62" s="124">
        <f t="shared" ref="W62:Y62" si="18">IF(W11=0,0,W11/W$8)</f>
        <v>0.33130530269670033</v>
      </c>
      <c r="X62" s="124">
        <f t="shared" si="18"/>
        <v>0.33942194205300547</v>
      </c>
      <c r="Y62" s="124">
        <f t="shared" si="18"/>
        <v>0.36267235106187889</v>
      </c>
      <c r="DA62" s="176"/>
    </row>
    <row r="63" spans="1:105" ht="11.45" customHeight="1" x14ac:dyDescent="0.25">
      <c r="A63" s="111" t="s">
        <v>92</v>
      </c>
      <c r="B63" s="125">
        <f t="shared" si="10"/>
        <v>0.337373830303768</v>
      </c>
      <c r="C63" s="125">
        <f t="shared" ref="C63:V63" si="19">IF(C12=0,0,C12/C$8)</f>
        <v>0.3675651613764806</v>
      </c>
      <c r="D63" s="125">
        <f t="shared" si="19"/>
        <v>0.4262628365953281</v>
      </c>
      <c r="E63" s="125">
        <f t="shared" si="19"/>
        <v>0.47368749993502296</v>
      </c>
      <c r="F63" s="125">
        <f t="shared" si="19"/>
        <v>0.46139271000136417</v>
      </c>
      <c r="G63" s="125">
        <f t="shared" si="19"/>
        <v>0.4439599207430297</v>
      </c>
      <c r="H63" s="125">
        <f t="shared" si="19"/>
        <v>0.4786059207594866</v>
      </c>
      <c r="I63" s="125">
        <f t="shared" si="19"/>
        <v>0.4671797861470996</v>
      </c>
      <c r="J63" s="125">
        <f t="shared" si="19"/>
        <v>0.51586706411514627</v>
      </c>
      <c r="K63" s="125">
        <f t="shared" si="19"/>
        <v>0.63540684581287898</v>
      </c>
      <c r="L63" s="125">
        <f t="shared" si="19"/>
        <v>0.62368744750120308</v>
      </c>
      <c r="M63" s="125">
        <f t="shared" si="19"/>
        <v>0.63735146933959852</v>
      </c>
      <c r="N63" s="125">
        <f t="shared" si="19"/>
        <v>0.62588219891572117</v>
      </c>
      <c r="O63" s="125">
        <f t="shared" si="19"/>
        <v>0.61625006294148632</v>
      </c>
      <c r="P63" s="125">
        <f t="shared" si="19"/>
        <v>0.587575889513547</v>
      </c>
      <c r="Q63" s="125">
        <f t="shared" si="19"/>
        <v>0.60777668717938393</v>
      </c>
      <c r="R63" s="125">
        <f t="shared" si="19"/>
        <v>0.59994441039073798</v>
      </c>
      <c r="S63" s="125">
        <f t="shared" si="19"/>
        <v>0.58707114768237678</v>
      </c>
      <c r="T63" s="125">
        <f t="shared" si="19"/>
        <v>0.45090214260035261</v>
      </c>
      <c r="U63" s="125">
        <f t="shared" si="19"/>
        <v>0.42539697239031493</v>
      </c>
      <c r="V63" s="125">
        <f t="shared" si="19"/>
        <v>0.34627142808749473</v>
      </c>
      <c r="W63" s="125">
        <f t="shared" ref="W63:Y63" si="20">IF(W12=0,0,W12/W$8)</f>
        <v>0.33130530269670033</v>
      </c>
      <c r="X63" s="125">
        <f t="shared" si="20"/>
        <v>0.33942194205300547</v>
      </c>
      <c r="Y63" s="125">
        <f t="shared" si="20"/>
        <v>0.36267235106187889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0.662626169696232</v>
      </c>
      <c r="C66" s="31">
        <f t="shared" ref="C66:V66" si="25">IF(C15=0,0,C15/C$8)</f>
        <v>0.63243483862351935</v>
      </c>
      <c r="D66" s="31">
        <f t="shared" si="25"/>
        <v>0.57373716340467174</v>
      </c>
      <c r="E66" s="31">
        <f t="shared" si="25"/>
        <v>0.5263125000649771</v>
      </c>
      <c r="F66" s="31">
        <f t="shared" si="25"/>
        <v>0.53860728999863572</v>
      </c>
      <c r="G66" s="31">
        <f t="shared" si="25"/>
        <v>0.5560400792569703</v>
      </c>
      <c r="H66" s="31">
        <f t="shared" si="25"/>
        <v>0.52139407924051351</v>
      </c>
      <c r="I66" s="31">
        <f t="shared" si="25"/>
        <v>0.53282021385290046</v>
      </c>
      <c r="J66" s="31">
        <f t="shared" si="25"/>
        <v>0.48413293588485368</v>
      </c>
      <c r="K66" s="31">
        <f t="shared" si="25"/>
        <v>0.36459315418712096</v>
      </c>
      <c r="L66" s="31">
        <f t="shared" si="25"/>
        <v>0.37631255249879686</v>
      </c>
      <c r="M66" s="31">
        <f t="shared" si="25"/>
        <v>0.36264853066040154</v>
      </c>
      <c r="N66" s="31">
        <f t="shared" si="25"/>
        <v>0.37411780108427889</v>
      </c>
      <c r="O66" s="31">
        <f t="shared" si="25"/>
        <v>0.38374993705851368</v>
      </c>
      <c r="P66" s="31">
        <f t="shared" si="25"/>
        <v>0.41242411048645305</v>
      </c>
      <c r="Q66" s="31">
        <f t="shared" si="25"/>
        <v>0.39222331282061595</v>
      </c>
      <c r="R66" s="31">
        <f t="shared" si="25"/>
        <v>0.40005558960926202</v>
      </c>
      <c r="S66" s="31">
        <f t="shared" si="25"/>
        <v>0.41292885231762322</v>
      </c>
      <c r="T66" s="31">
        <f t="shared" si="25"/>
        <v>0.54909785739964745</v>
      </c>
      <c r="U66" s="31">
        <f t="shared" si="25"/>
        <v>0.57460302760968518</v>
      </c>
      <c r="V66" s="31">
        <f t="shared" si="25"/>
        <v>0.65372857191250522</v>
      </c>
      <c r="W66" s="31">
        <f t="shared" ref="W66:Y66" si="26">IF(W15=0,0,W15/W$8)</f>
        <v>0.66869469730329967</v>
      </c>
      <c r="X66" s="31">
        <f t="shared" si="26"/>
        <v>0.66057805794699453</v>
      </c>
      <c r="Y66" s="31">
        <f t="shared" si="26"/>
        <v>0.63732764893812099</v>
      </c>
      <c r="DA66" s="173"/>
    </row>
    <row r="67" spans="1:105" ht="11.45" customHeight="1" x14ac:dyDescent="0.25">
      <c r="A67" s="83" t="s">
        <v>92</v>
      </c>
      <c r="B67" s="125">
        <f t="shared" si="10"/>
        <v>0.662626169696232</v>
      </c>
      <c r="C67" s="125">
        <f t="shared" ref="C67:V67" si="27">IF(C16=0,0,C16/C$8)</f>
        <v>0.63243483862351935</v>
      </c>
      <c r="D67" s="125">
        <f t="shared" si="27"/>
        <v>0.57373716340467174</v>
      </c>
      <c r="E67" s="125">
        <f t="shared" si="27"/>
        <v>0.5263125000649771</v>
      </c>
      <c r="F67" s="125">
        <f t="shared" si="27"/>
        <v>0.53860728999863572</v>
      </c>
      <c r="G67" s="125">
        <f t="shared" si="27"/>
        <v>0.5560400792569703</v>
      </c>
      <c r="H67" s="125">
        <f t="shared" si="27"/>
        <v>0.52139407924051351</v>
      </c>
      <c r="I67" s="125">
        <f t="shared" si="27"/>
        <v>0.53282021385290046</v>
      </c>
      <c r="J67" s="125">
        <f t="shared" si="27"/>
        <v>0.48413293588485368</v>
      </c>
      <c r="K67" s="125">
        <f t="shared" si="27"/>
        <v>0.36459315418712096</v>
      </c>
      <c r="L67" s="125">
        <f t="shared" si="27"/>
        <v>0.37631255249879686</v>
      </c>
      <c r="M67" s="125">
        <f t="shared" si="27"/>
        <v>0.36264853066040154</v>
      </c>
      <c r="N67" s="125">
        <f t="shared" si="27"/>
        <v>0.37411780108427889</v>
      </c>
      <c r="O67" s="125">
        <f t="shared" si="27"/>
        <v>0.38374993705851368</v>
      </c>
      <c r="P67" s="125">
        <f t="shared" si="27"/>
        <v>0.41242411048645305</v>
      </c>
      <c r="Q67" s="125">
        <f t="shared" si="27"/>
        <v>0.39222331282061595</v>
      </c>
      <c r="R67" s="125">
        <f t="shared" si="27"/>
        <v>0.40005558960926202</v>
      </c>
      <c r="S67" s="125">
        <f t="shared" si="27"/>
        <v>0.41292885231762322</v>
      </c>
      <c r="T67" s="125">
        <f t="shared" si="27"/>
        <v>0.54909785739964745</v>
      </c>
      <c r="U67" s="125">
        <f t="shared" si="27"/>
        <v>0.57460302760968518</v>
      </c>
      <c r="V67" s="125">
        <f t="shared" si="27"/>
        <v>0.65372857191250522</v>
      </c>
      <c r="W67" s="125">
        <f t="shared" ref="W67:Y67" si="28">IF(W16=0,0,W16/W$8)</f>
        <v>0.66869469730329967</v>
      </c>
      <c r="X67" s="125">
        <f t="shared" si="28"/>
        <v>0.66057805794699453</v>
      </c>
      <c r="Y67" s="125">
        <f t="shared" si="28"/>
        <v>0.63732764893812099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20612.588535114588</v>
      </c>
      <c r="C4" s="11">
        <f t="shared" si="0"/>
        <v>20029.023927511676</v>
      </c>
      <c r="D4" s="11">
        <f t="shared" ref="D4:V4" si="1">SUM(D5:D7)</f>
        <v>13547.430892990145</v>
      </c>
      <c r="E4" s="11">
        <f t="shared" si="1"/>
        <v>14862.26692987665</v>
      </c>
      <c r="F4" s="11">
        <f t="shared" si="1"/>
        <v>17278.919790242038</v>
      </c>
      <c r="G4" s="11">
        <f t="shared" si="1"/>
        <v>17395.33747472888</v>
      </c>
      <c r="H4" s="11">
        <f t="shared" si="1"/>
        <v>18208.319702599219</v>
      </c>
      <c r="I4" s="11">
        <f t="shared" si="1"/>
        <v>19844.617872200062</v>
      </c>
      <c r="J4" s="11">
        <f t="shared" si="1"/>
        <v>22225.619126212827</v>
      </c>
      <c r="K4" s="11">
        <f t="shared" si="1"/>
        <v>21861.283508876364</v>
      </c>
      <c r="L4" s="11">
        <f t="shared" si="1"/>
        <v>23910.17753744527</v>
      </c>
      <c r="M4" s="11">
        <f t="shared" si="1"/>
        <v>26119.043844395943</v>
      </c>
      <c r="N4" s="11">
        <f t="shared" si="1"/>
        <v>26364.516222443177</v>
      </c>
      <c r="O4" s="11">
        <f t="shared" si="1"/>
        <v>27109.013399788048</v>
      </c>
      <c r="P4" s="11">
        <f t="shared" si="1"/>
        <v>28904.319587401245</v>
      </c>
      <c r="Q4" s="11">
        <f t="shared" si="1"/>
        <v>30657.609287370287</v>
      </c>
      <c r="R4" s="11">
        <f t="shared" si="1"/>
        <v>28556.872925308337</v>
      </c>
      <c r="S4" s="11">
        <f t="shared" si="1"/>
        <v>31905.883134616379</v>
      </c>
      <c r="T4" s="11">
        <f t="shared" si="1"/>
        <v>34682.682091525057</v>
      </c>
      <c r="U4" s="11">
        <f t="shared" si="1"/>
        <v>36306.281328865785</v>
      </c>
      <c r="V4" s="11">
        <f t="shared" si="1"/>
        <v>10915.661120784182</v>
      </c>
      <c r="W4" s="11">
        <f t="shared" ref="W4:Y4" si="2">SUM(W5:W7)</f>
        <v>15836.074197477476</v>
      </c>
      <c r="X4" s="11">
        <f t="shared" si="2"/>
        <v>29639.149724179133</v>
      </c>
      <c r="Y4" s="11">
        <f t="shared" si="2"/>
        <v>32699.13725319185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10689.183744284714</v>
      </c>
      <c r="C6" s="84">
        <v>10637.838771784522</v>
      </c>
      <c r="D6" s="84">
        <v>7606.6399284788658</v>
      </c>
      <c r="E6" s="84">
        <v>8431.393720064947</v>
      </c>
      <c r="F6" s="84">
        <v>9500.9239978181995</v>
      </c>
      <c r="G6" s="84">
        <v>9299.0042698353209</v>
      </c>
      <c r="H6" s="84">
        <v>9697.9052187679372</v>
      </c>
      <c r="I6" s="84">
        <v>9667.1312244668225</v>
      </c>
      <c r="J6" s="84">
        <v>9488.878431367968</v>
      </c>
      <c r="K6" s="84">
        <v>9266.3339294802172</v>
      </c>
      <c r="L6" s="84">
        <v>10074.360047711791</v>
      </c>
      <c r="M6" s="84">
        <v>11167.025577598715</v>
      </c>
      <c r="N6" s="84">
        <v>11367.522266435668</v>
      </c>
      <c r="O6" s="84">
        <v>11585.972857141674</v>
      </c>
      <c r="P6" s="84">
        <v>12587.033630853462</v>
      </c>
      <c r="Q6" s="84">
        <v>13671.666327905894</v>
      </c>
      <c r="R6" s="84">
        <v>14032.007326737888</v>
      </c>
      <c r="S6" s="84">
        <v>15150.251022429275</v>
      </c>
      <c r="T6" s="84">
        <v>15225.076317103531</v>
      </c>
      <c r="U6" s="84">
        <v>15591.455971400615</v>
      </c>
      <c r="V6" s="84">
        <v>4622.1195249851044</v>
      </c>
      <c r="W6" s="84">
        <v>6893.4183898321298</v>
      </c>
      <c r="X6" s="84">
        <v>13118.123210044534</v>
      </c>
      <c r="Y6" s="84">
        <v>14692.499413497342</v>
      </c>
      <c r="DA6" s="171" t="s">
        <v>192</v>
      </c>
    </row>
    <row r="7" spans="1:105" ht="11.45" customHeight="1" x14ac:dyDescent="0.25">
      <c r="A7" s="83" t="s">
        <v>182</v>
      </c>
      <c r="B7" s="84">
        <v>9923.4047908298744</v>
      </c>
      <c r="C7" s="84">
        <v>9391.1851557271566</v>
      </c>
      <c r="D7" s="84">
        <v>5940.7909645112795</v>
      </c>
      <c r="E7" s="84">
        <v>6430.8732098117034</v>
      </c>
      <c r="F7" s="84">
        <v>7777.9957924238397</v>
      </c>
      <c r="G7" s="84">
        <v>8096.333204893559</v>
      </c>
      <c r="H7" s="84">
        <v>8510.4144838312841</v>
      </c>
      <c r="I7" s="84">
        <v>10177.48664773324</v>
      </c>
      <c r="J7" s="84">
        <v>12736.740694844861</v>
      </c>
      <c r="K7" s="84">
        <v>12594.949579396147</v>
      </c>
      <c r="L7" s="84">
        <v>13835.817489733477</v>
      </c>
      <c r="M7" s="84">
        <v>14952.018266797228</v>
      </c>
      <c r="N7" s="84">
        <v>14996.993956007507</v>
      </c>
      <c r="O7" s="84">
        <v>15523.040542646373</v>
      </c>
      <c r="P7" s="84">
        <v>16317.285956547781</v>
      </c>
      <c r="Q7" s="84">
        <v>16985.942959464395</v>
      </c>
      <c r="R7" s="84">
        <v>14524.86559857045</v>
      </c>
      <c r="S7" s="84">
        <v>16755.632112187104</v>
      </c>
      <c r="T7" s="84">
        <v>19457.605774421529</v>
      </c>
      <c r="U7" s="84">
        <v>20714.825357465168</v>
      </c>
      <c r="V7" s="84">
        <v>6293.5415957990781</v>
      </c>
      <c r="W7" s="84">
        <v>8942.6558076453457</v>
      </c>
      <c r="X7" s="84">
        <v>16521.026514134599</v>
      </c>
      <c r="Y7" s="84">
        <v>18006.637839694507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1371.0766031712244</v>
      </c>
      <c r="C8" s="13">
        <f t="shared" si="3"/>
        <v>1320.6190828469851</v>
      </c>
      <c r="D8" s="13">
        <f t="shared" ref="D8:V8" si="4">SUM(D9:D11)</f>
        <v>1088.8898337852738</v>
      </c>
      <c r="E8" s="13">
        <f t="shared" si="4"/>
        <v>1289.6214762526488</v>
      </c>
      <c r="F8" s="13">
        <f t="shared" si="4"/>
        <v>1402.3819033428192</v>
      </c>
      <c r="G8" s="13">
        <f t="shared" si="4"/>
        <v>1394.4858856997246</v>
      </c>
      <c r="H8" s="13">
        <f t="shared" si="4"/>
        <v>2089.5741075209949</v>
      </c>
      <c r="I8" s="13">
        <f t="shared" si="4"/>
        <v>2704.4233176159069</v>
      </c>
      <c r="J8" s="13">
        <f t="shared" si="4"/>
        <v>2748.3677535480701</v>
      </c>
      <c r="K8" s="13">
        <f t="shared" si="4"/>
        <v>2142.7554095587434</v>
      </c>
      <c r="L8" s="13">
        <f t="shared" si="4"/>
        <v>2756.8664191294984</v>
      </c>
      <c r="M8" s="13">
        <f t="shared" si="4"/>
        <v>2936.6092314122916</v>
      </c>
      <c r="N8" s="13">
        <f t="shared" si="4"/>
        <v>2542.5275699636472</v>
      </c>
      <c r="O8" s="13">
        <f t="shared" si="4"/>
        <v>2335.4025715299022</v>
      </c>
      <c r="P8" s="13">
        <f t="shared" si="4"/>
        <v>2550.5570142248803</v>
      </c>
      <c r="Q8" s="13">
        <f t="shared" si="4"/>
        <v>3172.8353496637774</v>
      </c>
      <c r="R8" s="13">
        <f t="shared" si="4"/>
        <v>3060.2181756307473</v>
      </c>
      <c r="S8" s="13">
        <f t="shared" si="4"/>
        <v>3471.2278728902184</v>
      </c>
      <c r="T8" s="13">
        <f t="shared" si="4"/>
        <v>4116.2867601437592</v>
      </c>
      <c r="U8" s="13">
        <f t="shared" si="4"/>
        <v>3984.2998179831407</v>
      </c>
      <c r="V8" s="13">
        <f t="shared" si="4"/>
        <v>4703.600153745856</v>
      </c>
      <c r="W8" s="13">
        <f t="shared" ref="W8:Y8" si="5">SUM(W9:W11)</f>
        <v>5860.7378778759276</v>
      </c>
      <c r="X8" s="13">
        <f t="shared" si="5"/>
        <v>5542.466385994745</v>
      </c>
      <c r="Y8" s="13">
        <f t="shared" si="5"/>
        <v>4671.7794662091083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250.12301649357121</v>
      </c>
      <c r="C10" s="102">
        <v>205.6479976782739</v>
      </c>
      <c r="D10" s="102">
        <v>159.83309608501074</v>
      </c>
      <c r="E10" s="102">
        <v>165.87432365108049</v>
      </c>
      <c r="F10" s="102">
        <v>171.92670887957425</v>
      </c>
      <c r="G10" s="102">
        <v>190.55781807988168</v>
      </c>
      <c r="H10" s="102">
        <v>344.52668265244262</v>
      </c>
      <c r="I10" s="102">
        <v>360.34571938809881</v>
      </c>
      <c r="J10" s="102">
        <v>256.61047439793265</v>
      </c>
      <c r="K10" s="102">
        <v>196.95611414728756</v>
      </c>
      <c r="L10" s="102">
        <v>208.18561609298183</v>
      </c>
      <c r="M10" s="102">
        <v>203.64451557494667</v>
      </c>
      <c r="N10" s="102">
        <v>213.15380601169926</v>
      </c>
      <c r="O10" s="102">
        <v>215.60486973393841</v>
      </c>
      <c r="P10" s="102">
        <v>234.48078452927822</v>
      </c>
      <c r="Q10" s="102">
        <v>252.60680050806948</v>
      </c>
      <c r="R10" s="102">
        <v>255.45666520258615</v>
      </c>
      <c r="S10" s="102">
        <v>248.70223973200549</v>
      </c>
      <c r="T10" s="102">
        <v>283.86606615199162</v>
      </c>
      <c r="U10" s="102">
        <v>279.57094459531334</v>
      </c>
      <c r="V10" s="102">
        <v>283.92548289249413</v>
      </c>
      <c r="W10" s="102">
        <v>312.01603746191535</v>
      </c>
      <c r="X10" s="102">
        <v>209.0759205466415</v>
      </c>
      <c r="Y10" s="102">
        <v>201.91550159440459</v>
      </c>
      <c r="DA10" s="175" t="s">
        <v>196</v>
      </c>
    </row>
    <row r="11" spans="1:105" ht="11.45" customHeight="1" x14ac:dyDescent="0.25">
      <c r="A11" s="85" t="s">
        <v>182</v>
      </c>
      <c r="B11" s="86">
        <v>1120.9535866776532</v>
      </c>
      <c r="C11" s="86">
        <v>1114.9710851687112</v>
      </c>
      <c r="D11" s="86">
        <v>929.05673770026317</v>
      </c>
      <c r="E11" s="86">
        <v>1123.7471526015684</v>
      </c>
      <c r="F11" s="86">
        <v>1230.4551944632449</v>
      </c>
      <c r="G11" s="86">
        <v>1203.928067619843</v>
      </c>
      <c r="H11" s="86">
        <v>1745.0474248685523</v>
      </c>
      <c r="I11" s="86">
        <v>2344.0775982278083</v>
      </c>
      <c r="J11" s="86">
        <v>2491.7572791501375</v>
      </c>
      <c r="K11" s="86">
        <v>1945.7992954114559</v>
      </c>
      <c r="L11" s="86">
        <v>2548.6808030365164</v>
      </c>
      <c r="M11" s="86">
        <v>2732.964715837345</v>
      </c>
      <c r="N11" s="86">
        <v>2329.3737639519481</v>
      </c>
      <c r="O11" s="86">
        <v>2119.7977017959638</v>
      </c>
      <c r="P11" s="86">
        <v>2316.0762296956023</v>
      </c>
      <c r="Q11" s="86">
        <v>2920.2285491557077</v>
      </c>
      <c r="R11" s="86">
        <v>2804.7615104281613</v>
      </c>
      <c r="S11" s="86">
        <v>3222.5256331582127</v>
      </c>
      <c r="T11" s="86">
        <v>3832.4206939917676</v>
      </c>
      <c r="U11" s="86">
        <v>3704.7288733878272</v>
      </c>
      <c r="V11" s="86">
        <v>4419.6746708533619</v>
      </c>
      <c r="W11" s="86">
        <v>5548.7218404140121</v>
      </c>
      <c r="X11" s="86">
        <v>5333.3904654481039</v>
      </c>
      <c r="Y11" s="86">
        <v>4469.8639646147039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212.26991850835009</v>
      </c>
      <c r="C13" s="54">
        <f t="shared" si="6"/>
        <v>202.00558656228986</v>
      </c>
      <c r="D13" s="54">
        <f t="shared" ref="D13:V13" si="7">SUM(D14,D18)</f>
        <v>144.99188633547743</v>
      </c>
      <c r="E13" s="54">
        <f t="shared" si="7"/>
        <v>159.0515138779391</v>
      </c>
      <c r="F13" s="54">
        <f t="shared" si="7"/>
        <v>174.35781890104133</v>
      </c>
      <c r="G13" s="54">
        <f t="shared" si="7"/>
        <v>175.55232938928151</v>
      </c>
      <c r="H13" s="54">
        <f t="shared" si="7"/>
        <v>207.88752844072124</v>
      </c>
      <c r="I13" s="54">
        <f t="shared" si="7"/>
        <v>236.04095373520218</v>
      </c>
      <c r="J13" s="54">
        <f t="shared" si="7"/>
        <v>249.11956418439661</v>
      </c>
      <c r="K13" s="54">
        <f t="shared" si="7"/>
        <v>227.56354861449768</v>
      </c>
      <c r="L13" s="54">
        <f t="shared" si="7"/>
        <v>246.87323861670058</v>
      </c>
      <c r="M13" s="54">
        <f t="shared" si="7"/>
        <v>259.58467527077158</v>
      </c>
      <c r="N13" s="54">
        <f t="shared" si="7"/>
        <v>245.53937993205798</v>
      </c>
      <c r="O13" s="54">
        <f t="shared" si="7"/>
        <v>235.50534843360828</v>
      </c>
      <c r="P13" s="54">
        <f t="shared" si="7"/>
        <v>242.07812161627476</v>
      </c>
      <c r="Q13" s="54">
        <f t="shared" si="7"/>
        <v>260.91210700808472</v>
      </c>
      <c r="R13" s="54">
        <f t="shared" si="7"/>
        <v>249.19563882148967</v>
      </c>
      <c r="S13" s="54">
        <f t="shared" si="7"/>
        <v>265.58659392578028</v>
      </c>
      <c r="T13" s="54">
        <f t="shared" si="7"/>
        <v>287.63414149618029</v>
      </c>
      <c r="U13" s="54">
        <f t="shared" si="7"/>
        <v>286.96658585819875</v>
      </c>
      <c r="V13" s="54">
        <f t="shared" si="7"/>
        <v>169.7352666166438</v>
      </c>
      <c r="W13" s="54">
        <f t="shared" ref="W13:Y13" si="8">SUM(W14,W18)</f>
        <v>216.95855619908968</v>
      </c>
      <c r="X13" s="54">
        <f t="shared" si="8"/>
        <v>271.95570625205187</v>
      </c>
      <c r="Y13" s="54">
        <f t="shared" si="8"/>
        <v>267.61413594131011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186.69564067257807</v>
      </c>
      <c r="C14" s="11">
        <f t="shared" si="9"/>
        <v>179.26424049081544</v>
      </c>
      <c r="D14" s="11">
        <f t="shared" ref="D14:V14" si="10">SUM(D15:D17)</f>
        <v>125.33179310558529</v>
      </c>
      <c r="E14" s="11">
        <f t="shared" si="10"/>
        <v>134.86398929988715</v>
      </c>
      <c r="F14" s="11">
        <f t="shared" si="10"/>
        <v>146.97435215469406</v>
      </c>
      <c r="G14" s="11">
        <f t="shared" si="10"/>
        <v>146.3899897854136</v>
      </c>
      <c r="H14" s="11">
        <f t="shared" si="10"/>
        <v>158.70950594946478</v>
      </c>
      <c r="I14" s="11">
        <f t="shared" si="10"/>
        <v>173.8745478140296</v>
      </c>
      <c r="J14" s="11">
        <f t="shared" si="10"/>
        <v>188.38870772131799</v>
      </c>
      <c r="K14" s="11">
        <f t="shared" si="10"/>
        <v>184.85616688977575</v>
      </c>
      <c r="L14" s="11">
        <f t="shared" si="10"/>
        <v>194.48207434694109</v>
      </c>
      <c r="M14" s="11">
        <f t="shared" si="10"/>
        <v>206.71715520848241</v>
      </c>
      <c r="N14" s="11">
        <f t="shared" si="10"/>
        <v>201.62365796225029</v>
      </c>
      <c r="O14" s="11">
        <f t="shared" si="10"/>
        <v>196.24276328313408</v>
      </c>
      <c r="P14" s="11">
        <f t="shared" si="10"/>
        <v>205.11328281945794</v>
      </c>
      <c r="Q14" s="11">
        <f t="shared" si="10"/>
        <v>215.2436529540912</v>
      </c>
      <c r="R14" s="11">
        <f t="shared" si="10"/>
        <v>208.81435226026593</v>
      </c>
      <c r="S14" s="11">
        <f t="shared" si="10"/>
        <v>219.75101186476172</v>
      </c>
      <c r="T14" s="11">
        <f t="shared" si="10"/>
        <v>234.57947742012149</v>
      </c>
      <c r="U14" s="11">
        <f t="shared" si="10"/>
        <v>238.16843336469231</v>
      </c>
      <c r="V14" s="11">
        <f t="shared" si="10"/>
        <v>90.050712124434682</v>
      </c>
      <c r="W14" s="11">
        <f t="shared" ref="W14:Y14" si="11">SUM(W15:W17)</f>
        <v>118.78115065603049</v>
      </c>
      <c r="X14" s="11">
        <f t="shared" si="11"/>
        <v>190.09659959815647</v>
      </c>
      <c r="Y14" s="11">
        <f t="shared" si="11"/>
        <v>199.93578223563185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122.15403420803577</v>
      </c>
      <c r="C16" s="84">
        <v>119.27157648029444</v>
      </c>
      <c r="D16" s="84">
        <v>87.34294530873656</v>
      </c>
      <c r="E16" s="84">
        <v>93.286177272676611</v>
      </c>
      <c r="F16" s="84">
        <v>98.158861984789368</v>
      </c>
      <c r="G16" s="84">
        <v>94.857052692013042</v>
      </c>
      <c r="H16" s="84">
        <v>103.48974032656841</v>
      </c>
      <c r="I16" s="84">
        <v>109.77022216723911</v>
      </c>
      <c r="J16" s="84">
        <v>111.80642323051747</v>
      </c>
      <c r="K16" s="84">
        <v>106.22299065734711</v>
      </c>
      <c r="L16" s="84">
        <v>109.8962173013316</v>
      </c>
      <c r="M16" s="84">
        <v>114.72361674428043</v>
      </c>
      <c r="N16" s="84">
        <v>109.59575167968531</v>
      </c>
      <c r="O16" s="84">
        <v>107.70932467722244</v>
      </c>
      <c r="P16" s="84">
        <v>115.02197451807405</v>
      </c>
      <c r="Q16" s="84">
        <v>122.96805610151142</v>
      </c>
      <c r="R16" s="84">
        <v>125.76516648827257</v>
      </c>
      <c r="S16" s="84">
        <v>128.22598035236095</v>
      </c>
      <c r="T16" s="84">
        <v>128.45225643913491</v>
      </c>
      <c r="U16" s="84">
        <v>127.87574425471765</v>
      </c>
      <c r="V16" s="84">
        <v>48.247409665485236</v>
      </c>
      <c r="W16" s="84">
        <v>59.745654244112444</v>
      </c>
      <c r="X16" s="84">
        <v>104.06444975349426</v>
      </c>
      <c r="Y16" s="84">
        <v>112.31839558091045</v>
      </c>
      <c r="DA16" s="171" t="s">
        <v>201</v>
      </c>
    </row>
    <row r="17" spans="1:105" ht="11.45" customHeight="1" x14ac:dyDescent="0.25">
      <c r="A17" s="83" t="s">
        <v>182</v>
      </c>
      <c r="B17" s="84">
        <v>64.541606464542298</v>
      </c>
      <c r="C17" s="84">
        <v>59.99266401052099</v>
      </c>
      <c r="D17" s="84">
        <v>37.988847796848731</v>
      </c>
      <c r="E17" s="84">
        <v>41.577812027210548</v>
      </c>
      <c r="F17" s="84">
        <v>48.815490169904699</v>
      </c>
      <c r="G17" s="84">
        <v>51.532937093400569</v>
      </c>
      <c r="H17" s="84">
        <v>55.219765622896382</v>
      </c>
      <c r="I17" s="84">
        <v>64.104325646790485</v>
      </c>
      <c r="J17" s="84">
        <v>76.582284490800532</v>
      </c>
      <c r="K17" s="84">
        <v>78.633176232428639</v>
      </c>
      <c r="L17" s="84">
        <v>84.585857045609472</v>
      </c>
      <c r="M17" s="84">
        <v>91.993538464201976</v>
      </c>
      <c r="N17" s="84">
        <v>92.027906282564985</v>
      </c>
      <c r="O17" s="84">
        <v>88.533438605911655</v>
      </c>
      <c r="P17" s="84">
        <v>90.091308301383904</v>
      </c>
      <c r="Q17" s="84">
        <v>92.275596852579795</v>
      </c>
      <c r="R17" s="84">
        <v>83.049185771993351</v>
      </c>
      <c r="S17" s="84">
        <v>91.525031512400787</v>
      </c>
      <c r="T17" s="84">
        <v>106.12722098098658</v>
      </c>
      <c r="U17" s="84">
        <v>110.29268910997467</v>
      </c>
      <c r="V17" s="84">
        <v>41.803302458949439</v>
      </c>
      <c r="W17" s="84">
        <v>59.035496411918047</v>
      </c>
      <c r="X17" s="84">
        <v>86.032149844662214</v>
      </c>
      <c r="Y17" s="84">
        <v>87.6173866547214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25.574277835772008</v>
      </c>
      <c r="C18" s="13">
        <f t="shared" si="12"/>
        <v>22.741346071474418</v>
      </c>
      <c r="D18" s="13">
        <f t="shared" ref="D18:V18" si="13">SUM(D19:D21)</f>
        <v>19.660093229892155</v>
      </c>
      <c r="E18" s="13">
        <f t="shared" si="13"/>
        <v>24.187524578051949</v>
      </c>
      <c r="F18" s="13">
        <f t="shared" si="13"/>
        <v>27.383466746347271</v>
      </c>
      <c r="G18" s="13">
        <f t="shared" si="13"/>
        <v>29.162339603867913</v>
      </c>
      <c r="H18" s="13">
        <f t="shared" si="13"/>
        <v>49.178022491256463</v>
      </c>
      <c r="I18" s="13">
        <f t="shared" si="13"/>
        <v>62.166405921172576</v>
      </c>
      <c r="J18" s="13">
        <f t="shared" si="13"/>
        <v>60.730856463078638</v>
      </c>
      <c r="K18" s="13">
        <f t="shared" si="13"/>
        <v>42.707381724721941</v>
      </c>
      <c r="L18" s="13">
        <f t="shared" si="13"/>
        <v>52.391164269759486</v>
      </c>
      <c r="M18" s="13">
        <f t="shared" si="13"/>
        <v>52.867520062289174</v>
      </c>
      <c r="N18" s="13">
        <f t="shared" si="13"/>
        <v>43.915721969807691</v>
      </c>
      <c r="O18" s="13">
        <f t="shared" si="13"/>
        <v>39.262585150474187</v>
      </c>
      <c r="P18" s="13">
        <f t="shared" si="13"/>
        <v>36.964838796816835</v>
      </c>
      <c r="Q18" s="13">
        <f t="shared" si="13"/>
        <v>45.668454053993543</v>
      </c>
      <c r="R18" s="13">
        <f t="shared" si="13"/>
        <v>40.381286561223725</v>
      </c>
      <c r="S18" s="13">
        <f t="shared" si="13"/>
        <v>45.835582061018556</v>
      </c>
      <c r="T18" s="13">
        <f t="shared" si="13"/>
        <v>53.054664076058771</v>
      </c>
      <c r="U18" s="13">
        <f t="shared" si="13"/>
        <v>48.79815249350645</v>
      </c>
      <c r="V18" s="13">
        <f t="shared" si="13"/>
        <v>79.684554492209131</v>
      </c>
      <c r="W18" s="13">
        <f t="shared" ref="W18:Y18" si="14">SUM(W19:W21)</f>
        <v>98.17740554305918</v>
      </c>
      <c r="X18" s="13">
        <f t="shared" si="14"/>
        <v>81.859106653895367</v>
      </c>
      <c r="Y18" s="13">
        <f t="shared" si="14"/>
        <v>67.678353705678276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9.6367598283140747</v>
      </c>
      <c r="C20" s="102">
        <v>7.6138065576690517</v>
      </c>
      <c r="D20" s="102">
        <v>6.309741822748018</v>
      </c>
      <c r="E20" s="102">
        <v>6.4156435114396597</v>
      </c>
      <c r="F20" s="102">
        <v>7.3341167387589321</v>
      </c>
      <c r="G20" s="102">
        <v>8.3024808916975577</v>
      </c>
      <c r="H20" s="102">
        <v>17.901213451708724</v>
      </c>
      <c r="I20" s="102">
        <v>19.440310094834615</v>
      </c>
      <c r="J20" s="102">
        <v>14.379065947196924</v>
      </c>
      <c r="K20" s="102">
        <v>10.613208283811396</v>
      </c>
      <c r="L20" s="102">
        <v>11.038875737888343</v>
      </c>
      <c r="M20" s="102">
        <v>10.240674722212189</v>
      </c>
      <c r="N20" s="102">
        <v>9.7173563585151133</v>
      </c>
      <c r="O20" s="102">
        <v>9.8646922785209998</v>
      </c>
      <c r="P20" s="102">
        <v>9.5490133157254746</v>
      </c>
      <c r="Q20" s="102">
        <v>10.474649232205952</v>
      </c>
      <c r="R20" s="102">
        <v>9.5737549137161189</v>
      </c>
      <c r="S20" s="102">
        <v>10.346976277259675</v>
      </c>
      <c r="T20" s="102">
        <v>11.807260120344486</v>
      </c>
      <c r="U20" s="102">
        <v>11.094059947194875</v>
      </c>
      <c r="V20" s="102">
        <v>13.178051659655337</v>
      </c>
      <c r="W20" s="102">
        <v>14.539752319430477</v>
      </c>
      <c r="X20" s="102">
        <v>10.016379969436571</v>
      </c>
      <c r="Y20" s="102">
        <v>9.7867585946196254</v>
      </c>
      <c r="DA20" s="175" t="s">
        <v>205</v>
      </c>
    </row>
    <row r="21" spans="1:105" ht="11.45" customHeight="1" x14ac:dyDescent="0.25">
      <c r="A21" s="85" t="s">
        <v>182</v>
      </c>
      <c r="B21" s="86">
        <v>15.937518007457935</v>
      </c>
      <c r="C21" s="86">
        <v>15.127539513805365</v>
      </c>
      <c r="D21" s="86">
        <v>13.350351407144137</v>
      </c>
      <c r="E21" s="86">
        <v>17.771881066612288</v>
      </c>
      <c r="F21" s="86">
        <v>20.049350007588338</v>
      </c>
      <c r="G21" s="86">
        <v>20.859858712170357</v>
      </c>
      <c r="H21" s="86">
        <v>31.276809039547739</v>
      </c>
      <c r="I21" s="86">
        <v>42.726095826337961</v>
      </c>
      <c r="J21" s="86">
        <v>46.35179051588171</v>
      </c>
      <c r="K21" s="86">
        <v>32.094173440910545</v>
      </c>
      <c r="L21" s="86">
        <v>41.352288531871146</v>
      </c>
      <c r="M21" s="86">
        <v>42.626845340076983</v>
      </c>
      <c r="N21" s="86">
        <v>34.19836561129258</v>
      </c>
      <c r="O21" s="86">
        <v>29.397892871953189</v>
      </c>
      <c r="P21" s="86">
        <v>27.415825481091364</v>
      </c>
      <c r="Q21" s="86">
        <v>35.193804821787595</v>
      </c>
      <c r="R21" s="86">
        <v>30.807531647507606</v>
      </c>
      <c r="S21" s="86">
        <v>35.488605783758885</v>
      </c>
      <c r="T21" s="86">
        <v>41.247403955714283</v>
      </c>
      <c r="U21" s="86">
        <v>37.704092546311571</v>
      </c>
      <c r="V21" s="86">
        <v>66.506502832553792</v>
      </c>
      <c r="W21" s="86">
        <v>83.637653223628703</v>
      </c>
      <c r="X21" s="86">
        <v>71.842726684458796</v>
      </c>
      <c r="Y21" s="86">
        <v>57.891595111058649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155447</v>
      </c>
      <c r="C23" s="54">
        <f t="shared" si="15"/>
        <v>148711</v>
      </c>
      <c r="D23" s="54">
        <f t="shared" ref="D23:V23" si="16">SUM(D24,D28)</f>
        <v>110560</v>
      </c>
      <c r="E23" s="54">
        <f t="shared" si="16"/>
        <v>115399</v>
      </c>
      <c r="F23" s="54">
        <f t="shared" si="16"/>
        <v>123194</v>
      </c>
      <c r="G23" s="54">
        <f t="shared" si="16"/>
        <v>122844</v>
      </c>
      <c r="H23" s="54">
        <f t="shared" si="16"/>
        <v>144855</v>
      </c>
      <c r="I23" s="54">
        <f t="shared" si="16"/>
        <v>156948</v>
      </c>
      <c r="J23" s="54">
        <f t="shared" si="16"/>
        <v>154892</v>
      </c>
      <c r="K23" s="54">
        <f t="shared" si="16"/>
        <v>142375</v>
      </c>
      <c r="L23" s="54">
        <f t="shared" si="16"/>
        <v>144511</v>
      </c>
      <c r="M23" s="54">
        <f t="shared" si="16"/>
        <v>151432</v>
      </c>
      <c r="N23" s="54">
        <f t="shared" si="16"/>
        <v>146654</v>
      </c>
      <c r="O23" s="54">
        <f t="shared" si="16"/>
        <v>142483</v>
      </c>
      <c r="P23" s="54">
        <f t="shared" si="16"/>
        <v>146610</v>
      </c>
      <c r="Q23" s="54">
        <f t="shared" si="16"/>
        <v>155231</v>
      </c>
      <c r="R23" s="54">
        <f t="shared" si="16"/>
        <v>150579</v>
      </c>
      <c r="S23" s="54">
        <f t="shared" si="16"/>
        <v>154712</v>
      </c>
      <c r="T23" s="54">
        <f t="shared" si="16"/>
        <v>159201</v>
      </c>
      <c r="U23" s="54">
        <f t="shared" si="16"/>
        <v>156656</v>
      </c>
      <c r="V23" s="54">
        <f t="shared" si="16"/>
        <v>74103</v>
      </c>
      <c r="W23" s="54">
        <f t="shared" ref="W23:Y23" si="17">SUM(W24,W28)</f>
        <v>89956</v>
      </c>
      <c r="X23" s="54">
        <f t="shared" si="17"/>
        <v>128002</v>
      </c>
      <c r="Y23" s="54">
        <f t="shared" si="17"/>
        <v>135230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140735</v>
      </c>
      <c r="C24" s="11">
        <f t="shared" si="18"/>
        <v>136569</v>
      </c>
      <c r="D24" s="11">
        <f t="shared" ref="D24:V24" si="19">SUM(D25:D27)</f>
        <v>100290</v>
      </c>
      <c r="E24" s="11">
        <f t="shared" si="19"/>
        <v>104021</v>
      </c>
      <c r="F24" s="11">
        <f t="shared" si="19"/>
        <v>110229</v>
      </c>
      <c r="G24" s="11">
        <f t="shared" si="19"/>
        <v>108489</v>
      </c>
      <c r="H24" s="11">
        <f t="shared" si="19"/>
        <v>118529</v>
      </c>
      <c r="I24" s="11">
        <f t="shared" si="19"/>
        <v>126958</v>
      </c>
      <c r="J24" s="11">
        <f t="shared" si="19"/>
        <v>130018</v>
      </c>
      <c r="K24" s="11">
        <f t="shared" si="19"/>
        <v>124242</v>
      </c>
      <c r="L24" s="11">
        <f t="shared" si="19"/>
        <v>124778</v>
      </c>
      <c r="M24" s="11">
        <f t="shared" si="19"/>
        <v>132104</v>
      </c>
      <c r="N24" s="11">
        <f t="shared" si="19"/>
        <v>129273</v>
      </c>
      <c r="O24" s="11">
        <f t="shared" si="19"/>
        <v>125778</v>
      </c>
      <c r="P24" s="11">
        <f t="shared" si="19"/>
        <v>130752</v>
      </c>
      <c r="Q24" s="11">
        <f t="shared" si="19"/>
        <v>137040</v>
      </c>
      <c r="R24" s="11">
        <f t="shared" si="19"/>
        <v>134491</v>
      </c>
      <c r="S24" s="11">
        <f t="shared" si="19"/>
        <v>137272</v>
      </c>
      <c r="T24" s="11">
        <f t="shared" si="19"/>
        <v>139520</v>
      </c>
      <c r="U24" s="11">
        <f t="shared" si="19"/>
        <v>138508</v>
      </c>
      <c r="V24" s="11">
        <f t="shared" si="19"/>
        <v>49264</v>
      </c>
      <c r="W24" s="11">
        <f t="shared" ref="W24:Y24" si="20">SUM(W25:W27)</f>
        <v>59741</v>
      </c>
      <c r="X24" s="11">
        <f t="shared" si="20"/>
        <v>105141</v>
      </c>
      <c r="Y24" s="11">
        <f t="shared" si="20"/>
        <v>115099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124532</v>
      </c>
      <c r="C26" s="84">
        <v>121508</v>
      </c>
      <c r="D26" s="84">
        <v>90753</v>
      </c>
      <c r="E26" s="84">
        <v>93583</v>
      </c>
      <c r="F26" s="84">
        <v>97974</v>
      </c>
      <c r="G26" s="84">
        <v>94626</v>
      </c>
      <c r="H26" s="84">
        <v>103875</v>
      </c>
      <c r="I26" s="84">
        <v>110209</v>
      </c>
      <c r="J26" s="84">
        <v>110783</v>
      </c>
      <c r="K26" s="84">
        <v>104117</v>
      </c>
      <c r="L26" s="84">
        <v>103347</v>
      </c>
      <c r="M26" s="84">
        <v>108883</v>
      </c>
      <c r="N26" s="84">
        <v>105469</v>
      </c>
      <c r="O26" s="84">
        <v>102352</v>
      </c>
      <c r="P26" s="84">
        <v>106766</v>
      </c>
      <c r="Q26" s="84">
        <v>113224</v>
      </c>
      <c r="R26" s="84">
        <v>113607</v>
      </c>
      <c r="S26" s="84">
        <v>114572</v>
      </c>
      <c r="T26" s="84">
        <v>113679</v>
      </c>
      <c r="U26" s="84">
        <v>111211</v>
      </c>
      <c r="V26" s="84">
        <v>40362</v>
      </c>
      <c r="W26" s="84">
        <v>47162</v>
      </c>
      <c r="X26" s="84">
        <v>84430</v>
      </c>
      <c r="Y26" s="84">
        <v>92402</v>
      </c>
      <c r="DA26" s="171" t="s">
        <v>210</v>
      </c>
    </row>
    <row r="27" spans="1:105" ht="11.45" customHeight="1" x14ac:dyDescent="0.25">
      <c r="A27" s="83" t="s">
        <v>182</v>
      </c>
      <c r="B27" s="84">
        <v>16203</v>
      </c>
      <c r="C27" s="84">
        <v>15061</v>
      </c>
      <c r="D27" s="84">
        <v>9537</v>
      </c>
      <c r="E27" s="84">
        <v>10438</v>
      </c>
      <c r="F27" s="84">
        <v>12255</v>
      </c>
      <c r="G27" s="84">
        <v>13863</v>
      </c>
      <c r="H27" s="84">
        <v>14654</v>
      </c>
      <c r="I27" s="84">
        <v>16749</v>
      </c>
      <c r="J27" s="84">
        <v>19235</v>
      </c>
      <c r="K27" s="84">
        <v>20125</v>
      </c>
      <c r="L27" s="84">
        <v>21431</v>
      </c>
      <c r="M27" s="84">
        <v>23221</v>
      </c>
      <c r="N27" s="84">
        <v>23804</v>
      </c>
      <c r="O27" s="84">
        <v>23426</v>
      </c>
      <c r="P27" s="84">
        <v>23986</v>
      </c>
      <c r="Q27" s="84">
        <v>23816</v>
      </c>
      <c r="R27" s="84">
        <v>20884</v>
      </c>
      <c r="S27" s="84">
        <v>22700</v>
      </c>
      <c r="T27" s="84">
        <v>25841</v>
      </c>
      <c r="U27" s="84">
        <v>27297</v>
      </c>
      <c r="V27" s="84">
        <v>8902</v>
      </c>
      <c r="W27" s="84">
        <v>12579</v>
      </c>
      <c r="X27" s="84">
        <v>20711</v>
      </c>
      <c r="Y27" s="84">
        <v>22697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14712</v>
      </c>
      <c r="C28" s="13">
        <f t="shared" si="21"/>
        <v>12142</v>
      </c>
      <c r="D28" s="13">
        <f t="shared" ref="D28:V28" si="22">SUM(D29:D31)</f>
        <v>10270</v>
      </c>
      <c r="E28" s="13">
        <f t="shared" si="22"/>
        <v>11378</v>
      </c>
      <c r="F28" s="13">
        <f t="shared" si="22"/>
        <v>12965</v>
      </c>
      <c r="G28" s="13">
        <f t="shared" si="22"/>
        <v>14355</v>
      </c>
      <c r="H28" s="13">
        <f t="shared" si="22"/>
        <v>26326</v>
      </c>
      <c r="I28" s="13">
        <f t="shared" si="22"/>
        <v>29990</v>
      </c>
      <c r="J28" s="13">
        <f t="shared" si="22"/>
        <v>24874</v>
      </c>
      <c r="K28" s="13">
        <f t="shared" si="22"/>
        <v>18133</v>
      </c>
      <c r="L28" s="13">
        <f t="shared" si="22"/>
        <v>19733</v>
      </c>
      <c r="M28" s="13">
        <f t="shared" si="22"/>
        <v>19328</v>
      </c>
      <c r="N28" s="13">
        <f t="shared" si="22"/>
        <v>17381</v>
      </c>
      <c r="O28" s="13">
        <f t="shared" si="22"/>
        <v>16705</v>
      </c>
      <c r="P28" s="13">
        <f t="shared" si="22"/>
        <v>15858</v>
      </c>
      <c r="Q28" s="13">
        <f t="shared" si="22"/>
        <v>18191</v>
      </c>
      <c r="R28" s="13">
        <f t="shared" si="22"/>
        <v>16088</v>
      </c>
      <c r="S28" s="13">
        <f t="shared" si="22"/>
        <v>17440</v>
      </c>
      <c r="T28" s="13">
        <f t="shared" si="22"/>
        <v>19681</v>
      </c>
      <c r="U28" s="13">
        <f t="shared" si="22"/>
        <v>18148</v>
      </c>
      <c r="V28" s="13">
        <f t="shared" si="22"/>
        <v>24839</v>
      </c>
      <c r="W28" s="13">
        <f t="shared" ref="W28:Y28" si="23">SUM(W29:W31)</f>
        <v>30215</v>
      </c>
      <c r="X28" s="13">
        <f t="shared" si="23"/>
        <v>22861</v>
      </c>
      <c r="Y28" s="13">
        <f t="shared" si="23"/>
        <v>20131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11367</v>
      </c>
      <c r="C30" s="102">
        <v>8967</v>
      </c>
      <c r="D30" s="102">
        <v>7468</v>
      </c>
      <c r="E30" s="102">
        <v>7648</v>
      </c>
      <c r="F30" s="102">
        <v>8757</v>
      </c>
      <c r="G30" s="102">
        <v>9718</v>
      </c>
      <c r="H30" s="102">
        <v>19591</v>
      </c>
      <c r="I30" s="102">
        <v>21084</v>
      </c>
      <c r="J30" s="102">
        <v>15688</v>
      </c>
      <c r="K30" s="102">
        <v>11798</v>
      </c>
      <c r="L30" s="102">
        <v>11781</v>
      </c>
      <c r="M30" s="102">
        <v>11162</v>
      </c>
      <c r="N30" s="102">
        <v>10714</v>
      </c>
      <c r="O30" s="102">
        <v>10962</v>
      </c>
      <c r="P30" s="102">
        <v>10557</v>
      </c>
      <c r="Q30" s="102">
        <v>11633</v>
      </c>
      <c r="R30" s="102">
        <v>10532</v>
      </c>
      <c r="S30" s="102">
        <v>11188</v>
      </c>
      <c r="T30" s="102">
        <v>12603</v>
      </c>
      <c r="U30" s="102">
        <v>11729</v>
      </c>
      <c r="V30" s="102">
        <v>13713</v>
      </c>
      <c r="W30" s="102">
        <v>15458</v>
      </c>
      <c r="X30" s="102">
        <v>11376</v>
      </c>
      <c r="Y30" s="102">
        <v>11235</v>
      </c>
      <c r="DA30" s="175" t="s">
        <v>214</v>
      </c>
    </row>
    <row r="31" spans="1:105" ht="11.45" customHeight="1" x14ac:dyDescent="0.25">
      <c r="A31" s="85" t="s">
        <v>182</v>
      </c>
      <c r="B31" s="86">
        <v>3345</v>
      </c>
      <c r="C31" s="86">
        <v>3175</v>
      </c>
      <c r="D31" s="86">
        <v>2802</v>
      </c>
      <c r="E31" s="86">
        <v>3730</v>
      </c>
      <c r="F31" s="86">
        <v>4208</v>
      </c>
      <c r="G31" s="86">
        <v>4637</v>
      </c>
      <c r="H31" s="86">
        <v>6735</v>
      </c>
      <c r="I31" s="86">
        <v>8906</v>
      </c>
      <c r="J31" s="86">
        <v>9186</v>
      </c>
      <c r="K31" s="86">
        <v>6335</v>
      </c>
      <c r="L31" s="86">
        <v>7952</v>
      </c>
      <c r="M31" s="86">
        <v>8166</v>
      </c>
      <c r="N31" s="86">
        <v>6667</v>
      </c>
      <c r="O31" s="86">
        <v>5743</v>
      </c>
      <c r="P31" s="86">
        <v>5301</v>
      </c>
      <c r="Q31" s="86">
        <v>6558</v>
      </c>
      <c r="R31" s="86">
        <v>5556</v>
      </c>
      <c r="S31" s="86">
        <v>6252</v>
      </c>
      <c r="T31" s="86">
        <v>7078</v>
      </c>
      <c r="U31" s="86">
        <v>6419</v>
      </c>
      <c r="V31" s="86">
        <v>11126</v>
      </c>
      <c r="W31" s="86">
        <v>14757</v>
      </c>
      <c r="X31" s="86">
        <v>11485</v>
      </c>
      <c r="Y31" s="86">
        <v>8896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10132370</v>
      </c>
      <c r="C34" s="11">
        <f t="shared" si="24"/>
        <v>9894069</v>
      </c>
      <c r="D34" s="11">
        <f t="shared" ref="D34:V34" si="25">SUM(D35:D37)</f>
        <v>6921734</v>
      </c>
      <c r="E34" s="11">
        <f t="shared" si="25"/>
        <v>7648161</v>
      </c>
      <c r="F34" s="11">
        <f t="shared" si="25"/>
        <v>8856645</v>
      </c>
      <c r="G34" s="11">
        <f t="shared" si="25"/>
        <v>8986921</v>
      </c>
      <c r="H34" s="11">
        <f t="shared" si="25"/>
        <v>9671089</v>
      </c>
      <c r="I34" s="11">
        <f t="shared" si="25"/>
        <v>10486340</v>
      </c>
      <c r="J34" s="11">
        <f t="shared" si="25"/>
        <v>11157805</v>
      </c>
      <c r="K34" s="11">
        <f t="shared" si="25"/>
        <v>10835055</v>
      </c>
      <c r="L34" s="11">
        <f t="shared" si="25"/>
        <v>11504702</v>
      </c>
      <c r="M34" s="11">
        <f t="shared" si="25"/>
        <v>12655982</v>
      </c>
      <c r="N34" s="11">
        <f t="shared" si="25"/>
        <v>13055259</v>
      </c>
      <c r="O34" s="11">
        <f t="shared" si="25"/>
        <v>13286944</v>
      </c>
      <c r="P34" s="11">
        <f t="shared" si="25"/>
        <v>14544585</v>
      </c>
      <c r="Q34" s="11">
        <f t="shared" si="25"/>
        <v>15686142</v>
      </c>
      <c r="R34" s="11">
        <f t="shared" si="25"/>
        <v>15080135</v>
      </c>
      <c r="S34" s="11">
        <f t="shared" si="25"/>
        <v>16622373</v>
      </c>
      <c r="T34" s="11">
        <f t="shared" si="25"/>
        <v>17271189</v>
      </c>
      <c r="U34" s="11">
        <f t="shared" si="25"/>
        <v>17742666</v>
      </c>
      <c r="V34" s="11">
        <f t="shared" si="25"/>
        <v>4708630</v>
      </c>
      <c r="W34" s="11">
        <f t="shared" ref="W34:Y34" si="26">SUM(W35:W37)</f>
        <v>6762724</v>
      </c>
      <c r="X34" s="11">
        <f t="shared" si="26"/>
        <v>13964358</v>
      </c>
      <c r="Y34" s="11">
        <f t="shared" si="26"/>
        <v>16180685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7826578</v>
      </c>
      <c r="C36" s="84">
        <v>7711943</v>
      </c>
      <c r="D36" s="84">
        <v>5541338</v>
      </c>
      <c r="E36" s="84">
        <v>6153890</v>
      </c>
      <c r="F36" s="84">
        <v>7049358</v>
      </c>
      <c r="G36" s="84">
        <v>6971042</v>
      </c>
      <c r="H36" s="84">
        <v>7580753</v>
      </c>
      <c r="I36" s="84">
        <v>8025146</v>
      </c>
      <c r="J36" s="84">
        <v>8196890</v>
      </c>
      <c r="K36" s="84">
        <v>7851526</v>
      </c>
      <c r="L36" s="84">
        <v>8260161</v>
      </c>
      <c r="M36" s="84">
        <v>9154071</v>
      </c>
      <c r="N36" s="84">
        <v>9361078</v>
      </c>
      <c r="O36" s="84">
        <v>9558012</v>
      </c>
      <c r="P36" s="84">
        <v>10677333</v>
      </c>
      <c r="Q36" s="84">
        <v>11721346</v>
      </c>
      <c r="R36" s="84">
        <v>11803475</v>
      </c>
      <c r="S36" s="84">
        <v>12903800</v>
      </c>
      <c r="T36" s="84">
        <v>13053017</v>
      </c>
      <c r="U36" s="84">
        <v>13241667</v>
      </c>
      <c r="V36" s="84">
        <v>3569222</v>
      </c>
      <c r="W36" s="84">
        <v>5080764</v>
      </c>
      <c r="X36" s="84">
        <v>10463185</v>
      </c>
      <c r="Y36" s="84">
        <v>12085531</v>
      </c>
      <c r="DA36" s="171" t="s">
        <v>218</v>
      </c>
    </row>
    <row r="37" spans="1:105" ht="11.45" customHeight="1" x14ac:dyDescent="0.25">
      <c r="A37" s="83" t="s">
        <v>182</v>
      </c>
      <c r="B37" s="84">
        <v>2305792</v>
      </c>
      <c r="C37" s="84">
        <v>2182126</v>
      </c>
      <c r="D37" s="84">
        <v>1380396</v>
      </c>
      <c r="E37" s="84">
        <v>1494271</v>
      </c>
      <c r="F37" s="84">
        <v>1807287</v>
      </c>
      <c r="G37" s="84">
        <v>2015879</v>
      </c>
      <c r="H37" s="84">
        <v>2090336</v>
      </c>
      <c r="I37" s="84">
        <v>2461194</v>
      </c>
      <c r="J37" s="84">
        <v>2960915</v>
      </c>
      <c r="K37" s="84">
        <v>2983529</v>
      </c>
      <c r="L37" s="84">
        <v>3244541</v>
      </c>
      <c r="M37" s="84">
        <v>3501911</v>
      </c>
      <c r="N37" s="84">
        <v>3694181</v>
      </c>
      <c r="O37" s="84">
        <v>3728932</v>
      </c>
      <c r="P37" s="84">
        <v>3867252</v>
      </c>
      <c r="Q37" s="84">
        <v>3964796</v>
      </c>
      <c r="R37" s="84">
        <v>3276660</v>
      </c>
      <c r="S37" s="84">
        <v>3718573</v>
      </c>
      <c r="T37" s="84">
        <v>4218172</v>
      </c>
      <c r="U37" s="84">
        <v>4500999</v>
      </c>
      <c r="V37" s="84">
        <v>1139408</v>
      </c>
      <c r="W37" s="84">
        <v>1681960</v>
      </c>
      <c r="X37" s="84">
        <v>3501173</v>
      </c>
      <c r="Y37" s="84">
        <v>4095154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358182.16048876964</v>
      </c>
      <c r="C38" s="13">
        <f t="shared" si="27"/>
        <v>317617.25538710807</v>
      </c>
      <c r="D38" s="13">
        <f t="shared" ref="D38:V38" si="28">SUM(D39:D41)</f>
        <v>270449.6289038122</v>
      </c>
      <c r="E38" s="13">
        <f t="shared" si="28"/>
        <v>313461.77290600538</v>
      </c>
      <c r="F38" s="13">
        <f t="shared" si="28"/>
        <v>342924.46105968603</v>
      </c>
      <c r="G38" s="13">
        <f t="shared" si="28"/>
        <v>352765.12574910838</v>
      </c>
      <c r="H38" s="13">
        <f t="shared" si="28"/>
        <v>578804.09079855494</v>
      </c>
      <c r="I38" s="13">
        <f t="shared" si="28"/>
        <v>693106.74586108443</v>
      </c>
      <c r="J38" s="13">
        <f t="shared" si="28"/>
        <v>627592.42294951342</v>
      </c>
      <c r="K38" s="13">
        <f t="shared" si="28"/>
        <v>477735.63286321564</v>
      </c>
      <c r="L38" s="13">
        <f t="shared" si="28"/>
        <v>588582.81229587772</v>
      </c>
      <c r="M38" s="13">
        <f t="shared" si="28"/>
        <v>623732.4602402593</v>
      </c>
      <c r="N38" s="13">
        <f t="shared" si="28"/>
        <v>572483.93849042663</v>
      </c>
      <c r="O38" s="13">
        <f t="shared" si="28"/>
        <v>526344.62707729219</v>
      </c>
      <c r="P38" s="13">
        <f t="shared" si="28"/>
        <v>547084.49354956707</v>
      </c>
      <c r="Q38" s="13">
        <f t="shared" si="28"/>
        <v>649512.12364248629</v>
      </c>
      <c r="R38" s="13">
        <f t="shared" si="28"/>
        <v>627615.79931860324</v>
      </c>
      <c r="S38" s="13">
        <f t="shared" si="28"/>
        <v>675229.47188172245</v>
      </c>
      <c r="T38" s="13">
        <f t="shared" si="28"/>
        <v>763187.90689307731</v>
      </c>
      <c r="U38" s="13">
        <f t="shared" si="28"/>
        <v>715094.15613239584</v>
      </c>
      <c r="V38" s="13">
        <f t="shared" si="28"/>
        <v>804081.40574349882</v>
      </c>
      <c r="W38" s="13">
        <f t="shared" ref="W38:Y38" si="29">SUM(W39:W41)</f>
        <v>1065447.3983033751</v>
      </c>
      <c r="X38" s="13">
        <f t="shared" si="29"/>
        <v>898383.76030076959</v>
      </c>
      <c r="Y38" s="13">
        <f t="shared" si="29"/>
        <v>762941.32194421138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183779.47086966073</v>
      </c>
      <c r="C40" s="102">
        <v>146588.31747345914</v>
      </c>
      <c r="D40" s="102">
        <v>122214.89490715018</v>
      </c>
      <c r="E40" s="102">
        <v>131711.53618805693</v>
      </c>
      <c r="F40" s="102">
        <v>140689.4998608749</v>
      </c>
      <c r="G40" s="102">
        <v>147737.6607383131</v>
      </c>
      <c r="H40" s="102">
        <v>274623.65707783645</v>
      </c>
      <c r="I40" s="102">
        <v>290681.81388447288</v>
      </c>
      <c r="J40" s="102">
        <v>215020.50480153714</v>
      </c>
      <c r="K40" s="102">
        <v>161619.55441227168</v>
      </c>
      <c r="L40" s="102">
        <v>170880.74766086522</v>
      </c>
      <c r="M40" s="102">
        <v>174060.12728491149</v>
      </c>
      <c r="N40" s="102">
        <v>178583.87097251008</v>
      </c>
      <c r="O40" s="102">
        <v>183690.30618532817</v>
      </c>
      <c r="P40" s="102">
        <v>194770.44964866122</v>
      </c>
      <c r="Q40" s="102">
        <v>214949.99709495596</v>
      </c>
      <c r="R40" s="102">
        <v>219570.28715263878</v>
      </c>
      <c r="S40" s="102">
        <v>216795.75177064122</v>
      </c>
      <c r="T40" s="102">
        <v>242298.48745707446</v>
      </c>
      <c r="U40" s="102">
        <v>231091.77918620521</v>
      </c>
      <c r="V40" s="102">
        <v>241904.26034798406</v>
      </c>
      <c r="W40" s="102">
        <v>274663.86158805212</v>
      </c>
      <c r="X40" s="102">
        <v>203522.03370448432</v>
      </c>
      <c r="Y40" s="102">
        <v>201893.36842895526</v>
      </c>
      <c r="DA40" s="175" t="s">
        <v>222</v>
      </c>
    </row>
    <row r="41" spans="1:105" ht="11.45" customHeight="1" x14ac:dyDescent="0.25">
      <c r="A41" s="85" t="s">
        <v>182</v>
      </c>
      <c r="B41" s="86">
        <v>174402.68961910889</v>
      </c>
      <c r="C41" s="86">
        <v>171028.93791364893</v>
      </c>
      <c r="D41" s="86">
        <v>148234.73399666202</v>
      </c>
      <c r="E41" s="86">
        <v>181750.23671794849</v>
      </c>
      <c r="F41" s="86">
        <v>202234.9611988111</v>
      </c>
      <c r="G41" s="86">
        <v>205027.46501079525</v>
      </c>
      <c r="H41" s="86">
        <v>304180.43372071849</v>
      </c>
      <c r="I41" s="86">
        <v>402424.93197661155</v>
      </c>
      <c r="J41" s="86">
        <v>412571.91814797622</v>
      </c>
      <c r="K41" s="86">
        <v>316116.07845094398</v>
      </c>
      <c r="L41" s="86">
        <v>417702.06463501253</v>
      </c>
      <c r="M41" s="86">
        <v>449672.33295534778</v>
      </c>
      <c r="N41" s="86">
        <v>393900.06751791656</v>
      </c>
      <c r="O41" s="86">
        <v>342654.32089196402</v>
      </c>
      <c r="P41" s="86">
        <v>352314.04390090582</v>
      </c>
      <c r="Q41" s="86">
        <v>434562.12654753035</v>
      </c>
      <c r="R41" s="86">
        <v>408045.51216596446</v>
      </c>
      <c r="S41" s="86">
        <v>458433.7201110812</v>
      </c>
      <c r="T41" s="86">
        <v>520889.41943600285</v>
      </c>
      <c r="U41" s="86">
        <v>484002.3769461906</v>
      </c>
      <c r="V41" s="86">
        <v>562177.14539551479</v>
      </c>
      <c r="W41" s="86">
        <v>790783.53671532311</v>
      </c>
      <c r="X41" s="86">
        <v>694861.72659628524</v>
      </c>
      <c r="Y41" s="86">
        <v>561047.95351525606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143.70916141084223</v>
      </c>
      <c r="C43" s="54">
        <f t="shared" si="30"/>
        <v>137.55825685956771</v>
      </c>
      <c r="D43" s="54">
        <f t="shared" ref="D43:V43" si="31">SUM(D44,D48)</f>
        <v>123.28570205401708</v>
      </c>
      <c r="E43" s="54">
        <f t="shared" si="31"/>
        <v>112.89860803798385</v>
      </c>
      <c r="F43" s="54">
        <f t="shared" si="31"/>
        <v>117.29740101819897</v>
      </c>
      <c r="G43" s="54">
        <f t="shared" si="31"/>
        <v>117.77255135660691</v>
      </c>
      <c r="H43" s="54">
        <f t="shared" si="31"/>
        <v>141.28699513345819</v>
      </c>
      <c r="I43" s="54">
        <f t="shared" si="31"/>
        <v>158.60456355176606</v>
      </c>
      <c r="J43" s="54">
        <f t="shared" si="31"/>
        <v>167.11413600768356</v>
      </c>
      <c r="K43" s="54">
        <f t="shared" si="31"/>
        <v>162.16384780592153</v>
      </c>
      <c r="L43" s="54">
        <f t="shared" si="31"/>
        <v>164.40639024866994</v>
      </c>
      <c r="M43" s="54">
        <f t="shared" si="31"/>
        <v>170.79324748313797</v>
      </c>
      <c r="N43" s="54">
        <f t="shared" si="31"/>
        <v>166.26408956159315</v>
      </c>
      <c r="O43" s="54">
        <f t="shared" si="31"/>
        <v>160.70095285087137</v>
      </c>
      <c r="P43" s="54">
        <f t="shared" si="31"/>
        <v>163.82553653214859</v>
      </c>
      <c r="Q43" s="54">
        <f t="shared" si="31"/>
        <v>168.02460277843818</v>
      </c>
      <c r="R43" s="54">
        <f t="shared" si="31"/>
        <v>163.6189318350431</v>
      </c>
      <c r="S43" s="54">
        <f t="shared" si="31"/>
        <v>168.00591574165313</v>
      </c>
      <c r="T43" s="54">
        <f t="shared" si="31"/>
        <v>180.02681828521145</v>
      </c>
      <c r="U43" s="54">
        <f t="shared" si="31"/>
        <v>179.88251007835663</v>
      </c>
      <c r="V43" s="54">
        <f t="shared" si="31"/>
        <v>189.88122011739654</v>
      </c>
      <c r="W43" s="54">
        <f t="shared" ref="W43:Y43" si="32">SUM(W44,W48)</f>
        <v>194.88871297808365</v>
      </c>
      <c r="X43" s="54">
        <f t="shared" si="32"/>
        <v>187.70325490754152</v>
      </c>
      <c r="Y43" s="54">
        <f t="shared" si="32"/>
        <v>185.82245966709704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124.59229002497855</v>
      </c>
      <c r="C44" s="11">
        <f t="shared" si="33"/>
        <v>119.88815088683236</v>
      </c>
      <c r="D44" s="11">
        <f t="shared" ref="D44:V44" si="34">SUM(D45:D47)</f>
        <v>107.52398941222647</v>
      </c>
      <c r="E44" s="11">
        <f t="shared" si="34"/>
        <v>95.600849184639614</v>
      </c>
      <c r="F44" s="11">
        <f t="shared" si="34"/>
        <v>98.169490437360963</v>
      </c>
      <c r="G44" s="11">
        <f t="shared" si="34"/>
        <v>97.131837514745783</v>
      </c>
      <c r="H44" s="11">
        <f t="shared" si="34"/>
        <v>105.56676798514674</v>
      </c>
      <c r="I44" s="11">
        <f t="shared" si="34"/>
        <v>115.08743333034087</v>
      </c>
      <c r="J44" s="11">
        <f t="shared" si="34"/>
        <v>122.82183547682983</v>
      </c>
      <c r="K44" s="11">
        <f t="shared" si="34"/>
        <v>119.78323441365417</v>
      </c>
      <c r="L44" s="11">
        <f t="shared" si="34"/>
        <v>123.93746399498892</v>
      </c>
      <c r="M44" s="11">
        <f t="shared" si="34"/>
        <v>131.79811692829409</v>
      </c>
      <c r="N44" s="11">
        <f t="shared" si="34"/>
        <v>129.18064614533563</v>
      </c>
      <c r="O44" s="11">
        <f t="shared" si="34"/>
        <v>125.52919657320024</v>
      </c>
      <c r="P44" s="11">
        <f t="shared" si="34"/>
        <v>130.56546739306381</v>
      </c>
      <c r="Q44" s="11">
        <f t="shared" si="34"/>
        <v>136.49509956819077</v>
      </c>
      <c r="R44" s="11">
        <f t="shared" si="34"/>
        <v>133.98892496007707</v>
      </c>
      <c r="S44" s="11">
        <f t="shared" si="34"/>
        <v>137.84639629739908</v>
      </c>
      <c r="T44" s="11">
        <f t="shared" si="34"/>
        <v>145.78322511684374</v>
      </c>
      <c r="U44" s="11">
        <f t="shared" si="34"/>
        <v>147.20549659350701</v>
      </c>
      <c r="V44" s="11">
        <f t="shared" si="34"/>
        <v>140.97588209225805</v>
      </c>
      <c r="W44" s="11">
        <f t="shared" ref="W44:Y44" si="35">SUM(W45:W47)</f>
        <v>134.74626759100914</v>
      </c>
      <c r="X44" s="11">
        <f t="shared" si="35"/>
        <v>128.51665308976021</v>
      </c>
      <c r="Y44" s="11">
        <f t="shared" si="35"/>
        <v>127.42970091059236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87.683406198099277</v>
      </c>
      <c r="C46" s="84">
        <v>85.580633802549912</v>
      </c>
      <c r="D46" s="84">
        <v>76.907360710631934</v>
      </c>
      <c r="E46" s="84">
        <v>68.675108865733009</v>
      </c>
      <c r="F46" s="84">
        <v>70.25377289749764</v>
      </c>
      <c r="G46" s="84">
        <v>67.254682342331989</v>
      </c>
      <c r="H46" s="84">
        <v>73.640842059220816</v>
      </c>
      <c r="I46" s="84">
        <v>78.113923396566037</v>
      </c>
      <c r="J46" s="84">
        <v>79.006345727399307</v>
      </c>
      <c r="K46" s="84">
        <v>74.659916028003948</v>
      </c>
      <c r="L46" s="84">
        <v>75.451038655622398</v>
      </c>
      <c r="M46" s="84">
        <v>79.142788130108144</v>
      </c>
      <c r="N46" s="84">
        <v>76.282868367557853</v>
      </c>
      <c r="O46" s="84">
        <v>74.380724957479714</v>
      </c>
      <c r="P46" s="84">
        <v>78.421989132194241</v>
      </c>
      <c r="Q46" s="84">
        <v>83.452783309838864</v>
      </c>
      <c r="R46" s="84">
        <v>84.637497084413098</v>
      </c>
      <c r="S46" s="84">
        <v>85.662488251422062</v>
      </c>
      <c r="T46" s="84">
        <v>85.407056892544674</v>
      </c>
      <c r="U46" s="84">
        <v>84.309183229451691</v>
      </c>
      <c r="V46" s="84">
        <v>79.925012919546717</v>
      </c>
      <c r="W46" s="84">
        <v>75.540842609641771</v>
      </c>
      <c r="X46" s="84">
        <v>71.156672299736798</v>
      </c>
      <c r="Y46" s="84">
        <v>71.915164311912918</v>
      </c>
      <c r="DA46" s="171" t="s">
        <v>227</v>
      </c>
    </row>
    <row r="47" spans="1:105" ht="11.45" customHeight="1" x14ac:dyDescent="0.25">
      <c r="A47" s="83" t="s">
        <v>182</v>
      </c>
      <c r="B47" s="84">
        <v>36.908883826879268</v>
      </c>
      <c r="C47" s="84">
        <v>34.307517084282459</v>
      </c>
      <c r="D47" s="84">
        <v>30.616628701594532</v>
      </c>
      <c r="E47" s="84">
        <v>26.925740318906605</v>
      </c>
      <c r="F47" s="84">
        <v>27.915717539863326</v>
      </c>
      <c r="G47" s="84">
        <v>29.877155172413794</v>
      </c>
      <c r="H47" s="84">
        <v>31.925925925925927</v>
      </c>
      <c r="I47" s="84">
        <v>36.973509933774835</v>
      </c>
      <c r="J47" s="84">
        <v>43.815489749430526</v>
      </c>
      <c r="K47" s="84">
        <v>45.123318385650222</v>
      </c>
      <c r="L47" s="84">
        <v>48.486425339366512</v>
      </c>
      <c r="M47" s="84">
        <v>52.655328798185941</v>
      </c>
      <c r="N47" s="84">
        <v>52.897777777777776</v>
      </c>
      <c r="O47" s="84">
        <v>51.148471615720524</v>
      </c>
      <c r="P47" s="84">
        <v>52.143478260869564</v>
      </c>
      <c r="Q47" s="84">
        <v>53.042316258351896</v>
      </c>
      <c r="R47" s="84">
        <v>49.351427875663973</v>
      </c>
      <c r="S47" s="84">
        <v>52.183908045977013</v>
      </c>
      <c r="T47" s="84">
        <v>60.376168224299064</v>
      </c>
      <c r="U47" s="84">
        <v>62.896313364055302</v>
      </c>
      <c r="V47" s="84">
        <v>61.050869172711337</v>
      </c>
      <c r="W47" s="84">
        <v>59.205424981367372</v>
      </c>
      <c r="X47" s="84">
        <v>57.359980790023407</v>
      </c>
      <c r="Y47" s="84">
        <v>55.514536598679442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19.116871385863682</v>
      </c>
      <c r="C48" s="13">
        <f t="shared" si="36"/>
        <v>17.670105972735342</v>
      </c>
      <c r="D48" s="13">
        <f t="shared" ref="D48:V48" si="37">SUM(D49:D51)</f>
        <v>15.761712641790604</v>
      </c>
      <c r="E48" s="13">
        <f t="shared" si="37"/>
        <v>17.297758853344241</v>
      </c>
      <c r="F48" s="13">
        <f t="shared" si="37"/>
        <v>19.127910580838012</v>
      </c>
      <c r="G48" s="13">
        <f t="shared" si="37"/>
        <v>20.640713841861125</v>
      </c>
      <c r="H48" s="13">
        <f t="shared" si="37"/>
        <v>35.720227148311452</v>
      </c>
      <c r="I48" s="13">
        <f t="shared" si="37"/>
        <v>43.517130221425198</v>
      </c>
      <c r="J48" s="13">
        <f t="shared" si="37"/>
        <v>44.292300530853737</v>
      </c>
      <c r="K48" s="13">
        <f t="shared" si="37"/>
        <v>42.380613392267371</v>
      </c>
      <c r="L48" s="13">
        <f t="shared" si="37"/>
        <v>40.468926253681005</v>
      </c>
      <c r="M48" s="13">
        <f t="shared" si="37"/>
        <v>38.995130554843882</v>
      </c>
      <c r="N48" s="13">
        <f t="shared" si="37"/>
        <v>37.083443416257509</v>
      </c>
      <c r="O48" s="13">
        <f t="shared" si="37"/>
        <v>35.171756277671143</v>
      </c>
      <c r="P48" s="13">
        <f t="shared" si="37"/>
        <v>33.260069139084777</v>
      </c>
      <c r="Q48" s="13">
        <f t="shared" si="37"/>
        <v>31.529503210247398</v>
      </c>
      <c r="R48" s="13">
        <f t="shared" si="37"/>
        <v>29.630006874966035</v>
      </c>
      <c r="S48" s="13">
        <f t="shared" si="37"/>
        <v>30.159519444254038</v>
      </c>
      <c r="T48" s="13">
        <f t="shared" si="37"/>
        <v>34.243593168367724</v>
      </c>
      <c r="U48" s="13">
        <f t="shared" si="37"/>
        <v>32.677013484849631</v>
      </c>
      <c r="V48" s="13">
        <f t="shared" si="37"/>
        <v>48.905338025138484</v>
      </c>
      <c r="W48" s="13">
        <f t="shared" ref="W48:Y48" si="38">SUM(W49:W51)</f>
        <v>60.142445387074495</v>
      </c>
      <c r="X48" s="13">
        <f t="shared" si="38"/>
        <v>59.186601817781309</v>
      </c>
      <c r="Y48" s="13">
        <f t="shared" si="38"/>
        <v>58.392758756504669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10.027197472820205</v>
      </c>
      <c r="C50" s="102">
        <v>9.042388581430993</v>
      </c>
      <c r="D50" s="102">
        <v>8.0429626417906039</v>
      </c>
      <c r="E50" s="102">
        <v>7.1618892881268508</v>
      </c>
      <c r="F50" s="102">
        <v>7.6931279721423591</v>
      </c>
      <c r="G50" s="102">
        <v>8.5965579977052808</v>
      </c>
      <c r="H50" s="102">
        <v>17.760227148311451</v>
      </c>
      <c r="I50" s="102">
        <v>19.183796888091866</v>
      </c>
      <c r="J50" s="102">
        <v>18.19570962176283</v>
      </c>
      <c r="K50" s="102">
        <v>17.192989874480809</v>
      </c>
      <c r="L50" s="102">
        <v>16.190270127198787</v>
      </c>
      <c r="M50" s="102">
        <v>15.187550379916766</v>
      </c>
      <c r="N50" s="102">
        <v>14.184830632634746</v>
      </c>
      <c r="O50" s="102">
        <v>13.182110885352724</v>
      </c>
      <c r="P50" s="102">
        <v>12.179391138070704</v>
      </c>
      <c r="Q50" s="102">
        <v>11.357792600537675</v>
      </c>
      <c r="R50" s="102">
        <v>10.367263656560658</v>
      </c>
      <c r="S50" s="102">
        <v>10.682883930235345</v>
      </c>
      <c r="T50" s="102">
        <v>11.702191894482377</v>
      </c>
      <c r="U50" s="102">
        <v>11.044579602268628</v>
      </c>
      <c r="V50" s="102">
        <v>12.66429567986161</v>
      </c>
      <c r="W50" s="102">
        <v>14.170482770252065</v>
      </c>
      <c r="X50" s="102">
        <v>13.669122896611054</v>
      </c>
      <c r="Y50" s="102">
        <v>13.329763530986584</v>
      </c>
      <c r="DA50" s="175" t="s">
        <v>231</v>
      </c>
    </row>
    <row r="51" spans="1:105" ht="11.45" customHeight="1" x14ac:dyDescent="0.25">
      <c r="A51" s="85" t="s">
        <v>182</v>
      </c>
      <c r="B51" s="86">
        <v>9.0896739130434785</v>
      </c>
      <c r="C51" s="86">
        <v>8.6277173913043477</v>
      </c>
      <c r="D51" s="86">
        <v>7.71875</v>
      </c>
      <c r="E51" s="86">
        <v>10.135869565217391</v>
      </c>
      <c r="F51" s="86">
        <v>11.434782608695652</v>
      </c>
      <c r="G51" s="86">
        <v>12.044155844155844</v>
      </c>
      <c r="H51" s="86">
        <v>17.96</v>
      </c>
      <c r="I51" s="86">
        <v>24.333333333333332</v>
      </c>
      <c r="J51" s="86">
        <v>26.09659090909091</v>
      </c>
      <c r="K51" s="86">
        <v>25.187623517786562</v>
      </c>
      <c r="L51" s="86">
        <v>24.278656126482215</v>
      </c>
      <c r="M51" s="86">
        <v>23.807580174927114</v>
      </c>
      <c r="N51" s="86">
        <v>22.898612783622767</v>
      </c>
      <c r="O51" s="86">
        <v>21.989645392318419</v>
      </c>
      <c r="P51" s="86">
        <v>21.080678001014071</v>
      </c>
      <c r="Q51" s="86">
        <v>20.171710609709724</v>
      </c>
      <c r="R51" s="86">
        <v>19.262743218405376</v>
      </c>
      <c r="S51" s="86">
        <v>19.476635514018692</v>
      </c>
      <c r="T51" s="86">
        <v>22.541401273885349</v>
      </c>
      <c r="U51" s="86">
        <v>21.632433882581001</v>
      </c>
      <c r="V51" s="86">
        <v>36.241042345276874</v>
      </c>
      <c r="W51" s="86">
        <v>45.971962616822431</v>
      </c>
      <c r="X51" s="86">
        <v>45.517478921170259</v>
      </c>
      <c r="Y51" s="86">
        <v>45.062995225518087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14.439587687329583</v>
      </c>
      <c r="C53" s="54">
        <f t="shared" si="39"/>
        <v>0.86265780860758956</v>
      </c>
      <c r="D53" s="54">
        <f t="shared" ref="D53:V53" si="40">SUM(D54,D58)</f>
        <v>0</v>
      </c>
      <c r="E53" s="54">
        <f t="shared" si="40"/>
        <v>2.9954877243090818</v>
      </c>
      <c r="F53" s="54">
        <f t="shared" si="40"/>
        <v>9.9151464710051656</v>
      </c>
      <c r="G53" s="54">
        <f t="shared" si="40"/>
        <v>5.6494269341567449</v>
      </c>
      <c r="H53" s="54">
        <f t="shared" si="40"/>
        <v>28.109699864130057</v>
      </c>
      <c r="I53" s="54">
        <f t="shared" si="40"/>
        <v>21.912824505586627</v>
      </c>
      <c r="J53" s="54">
        <f t="shared" si="40"/>
        <v>14.682064736176841</v>
      </c>
      <c r="K53" s="54">
        <f t="shared" si="40"/>
        <v>2.4514125390286949</v>
      </c>
      <c r="L53" s="54">
        <f t="shared" si="40"/>
        <v>8.834181388812949</v>
      </c>
      <c r="M53" s="54">
        <f t="shared" si="40"/>
        <v>11.856924629532157</v>
      </c>
      <c r="N53" s="54">
        <f t="shared" si="40"/>
        <v>2.044758498216297</v>
      </c>
      <c r="O53" s="54">
        <f t="shared" si="40"/>
        <v>1.5591666833202993</v>
      </c>
      <c r="P53" s="54">
        <f t="shared" si="40"/>
        <v>9.0325425160905599</v>
      </c>
      <c r="Q53" s="54">
        <f t="shared" si="40"/>
        <v>9.9727875107951895</v>
      </c>
      <c r="R53" s="54">
        <f t="shared" si="40"/>
        <v>4.2135203010825046</v>
      </c>
      <c r="S53" s="54">
        <f t="shared" si="40"/>
        <v>8.9798464746847451</v>
      </c>
      <c r="T53" s="54">
        <f t="shared" si="40"/>
        <v>16.612853222363235</v>
      </c>
      <c r="U53" s="54">
        <f t="shared" si="40"/>
        <v>5.8235662264019794</v>
      </c>
      <c r="V53" s="54">
        <f t="shared" si="40"/>
        <v>16.819925830438233</v>
      </c>
      <c r="W53" s="54">
        <f t="shared" ref="W53:Y53" si="41">SUM(W54,W58)</f>
        <v>11.828708652085389</v>
      </c>
      <c r="X53" s="54">
        <f t="shared" si="41"/>
        <v>0</v>
      </c>
      <c r="Y53" s="54">
        <f t="shared" si="41"/>
        <v>3.814037797289811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12.255921467910568</v>
      </c>
      <c r="C54" s="11">
        <f t="shared" si="42"/>
        <v>0.86140326149644042</v>
      </c>
      <c r="D54" s="11">
        <f t="shared" ref="D54:V54" si="43">SUM(D55:D57)</f>
        <v>0</v>
      </c>
      <c r="E54" s="11">
        <f t="shared" si="43"/>
        <v>0.29077757938169047</v>
      </c>
      <c r="F54" s="11">
        <f t="shared" si="43"/>
        <v>7.4952446146884339</v>
      </c>
      <c r="G54" s="11">
        <f t="shared" si="43"/>
        <v>3.5476201407096308</v>
      </c>
      <c r="H54" s="11">
        <f t="shared" si="43"/>
        <v>12.431202166627971</v>
      </c>
      <c r="I54" s="11">
        <f t="shared" si="43"/>
        <v>13.516937041421127</v>
      </c>
      <c r="J54" s="11">
        <f t="shared" si="43"/>
        <v>12.626564958384037</v>
      </c>
      <c r="K54" s="11">
        <f t="shared" si="43"/>
        <v>2.4514125390286949</v>
      </c>
      <c r="L54" s="11">
        <f t="shared" si="43"/>
        <v>8.834181388812949</v>
      </c>
      <c r="M54" s="11">
        <f t="shared" si="43"/>
        <v>11.856924629532157</v>
      </c>
      <c r="N54" s="11">
        <f t="shared" si="43"/>
        <v>2.044758498216297</v>
      </c>
      <c r="O54" s="11">
        <f t="shared" si="43"/>
        <v>1.5591666833202993</v>
      </c>
      <c r="P54" s="11">
        <f t="shared" si="43"/>
        <v>9.0325425160905599</v>
      </c>
      <c r="Q54" s="11">
        <f t="shared" si="43"/>
        <v>9.9259038713539525</v>
      </c>
      <c r="R54" s="11">
        <f t="shared" si="43"/>
        <v>4.2113103564052556</v>
      </c>
      <c r="S54" s="11">
        <f t="shared" si="43"/>
        <v>7.8537430335489988</v>
      </c>
      <c r="T54" s="11">
        <f t="shared" si="43"/>
        <v>11.933100515671651</v>
      </c>
      <c r="U54" s="11">
        <f t="shared" si="43"/>
        <v>5.8235662264019794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3.6537720279647203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7.6613125081539621</v>
      </c>
      <c r="C56" s="84">
        <v>0.86140326149644042</v>
      </c>
      <c r="D56" s="84">
        <v>0</v>
      </c>
      <c r="E56" s="84">
        <v>0.29077757938169047</v>
      </c>
      <c r="F56" s="84">
        <v>5.3616834909227142</v>
      </c>
      <c r="G56" s="84">
        <v>0.44259860535016471</v>
      </c>
      <c r="H56" s="84">
        <v>9.2388475103068348</v>
      </c>
      <c r="I56" s="84">
        <v>7.32576913076322</v>
      </c>
      <c r="J56" s="84">
        <v>4.6410012399193477</v>
      </c>
      <c r="K56" s="84">
        <v>0</v>
      </c>
      <c r="L56" s="84">
        <v>4.3274905322876602</v>
      </c>
      <c r="M56" s="84">
        <v>6.5444372679037297</v>
      </c>
      <c r="N56" s="84">
        <v>0.65872561581546352</v>
      </c>
      <c r="O56" s="84">
        <v>1.5591666833202993</v>
      </c>
      <c r="P56" s="84">
        <v>6.8939519681325212</v>
      </c>
      <c r="Q56" s="84">
        <v>7.8834819710626229</v>
      </c>
      <c r="R56" s="84">
        <v>4.2113103564052556</v>
      </c>
      <c r="S56" s="84">
        <v>3.8776789604269597</v>
      </c>
      <c r="T56" s="84">
        <v>2.5972564345405997</v>
      </c>
      <c r="U56" s="84">
        <v>2.1598371838367427</v>
      </c>
      <c r="V56" s="84">
        <v>0</v>
      </c>
      <c r="W56" s="84">
        <v>0</v>
      </c>
      <c r="X56" s="84">
        <v>0</v>
      </c>
      <c r="Y56" s="84">
        <v>3.6537720279647203</v>
      </c>
      <c r="DA56" s="171" t="s">
        <v>236</v>
      </c>
    </row>
    <row r="57" spans="1:105" ht="11.45" customHeight="1" x14ac:dyDescent="0.25">
      <c r="A57" s="83" t="s">
        <v>182</v>
      </c>
      <c r="B57" s="84">
        <v>4.5946089597566058</v>
      </c>
      <c r="C57" s="84">
        <v>0</v>
      </c>
      <c r="D57" s="84">
        <v>0</v>
      </c>
      <c r="E57" s="84">
        <v>0</v>
      </c>
      <c r="F57" s="84">
        <v>2.1335611237657197</v>
      </c>
      <c r="G57" s="84">
        <v>3.1050215353594659</v>
      </c>
      <c r="H57" s="84">
        <v>3.192354656321136</v>
      </c>
      <c r="I57" s="84">
        <v>6.1911679106579065</v>
      </c>
      <c r="J57" s="84">
        <v>7.9855637184646895</v>
      </c>
      <c r="K57" s="84">
        <v>2.4514125390286949</v>
      </c>
      <c r="L57" s="84">
        <v>4.5066908565252888</v>
      </c>
      <c r="M57" s="84">
        <v>5.3124873616284276</v>
      </c>
      <c r="N57" s="84">
        <v>1.3860328824008334</v>
      </c>
      <c r="O57" s="84">
        <v>0</v>
      </c>
      <c r="P57" s="84">
        <v>2.1385905479580387</v>
      </c>
      <c r="Q57" s="84">
        <v>2.0424219002913304</v>
      </c>
      <c r="R57" s="84">
        <v>0</v>
      </c>
      <c r="S57" s="84">
        <v>3.9760640731220391</v>
      </c>
      <c r="T57" s="84">
        <v>9.3358440811310501</v>
      </c>
      <c r="U57" s="84">
        <v>3.6637290425652367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2.1836662194190155</v>
      </c>
      <c r="C58" s="13">
        <f t="shared" si="45"/>
        <v>1.2545471111491541E-3</v>
      </c>
      <c r="D58" s="13">
        <f t="shared" ref="D58:V58" si="46">SUM(D59:D61)</f>
        <v>0</v>
      </c>
      <c r="E58" s="13">
        <f t="shared" si="46"/>
        <v>2.7047101449273914</v>
      </c>
      <c r="F58" s="13">
        <f t="shared" si="46"/>
        <v>2.4199018563167316</v>
      </c>
      <c r="G58" s="13">
        <f t="shared" si="46"/>
        <v>2.1018067934471141</v>
      </c>
      <c r="H58" s="13">
        <f t="shared" si="46"/>
        <v>15.678497697502085</v>
      </c>
      <c r="I58" s="13">
        <f t="shared" si="46"/>
        <v>8.3958874641655008</v>
      </c>
      <c r="J58" s="13">
        <f t="shared" si="46"/>
        <v>2.0554997777928046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4.6883639441236191E-2</v>
      </c>
      <c r="R58" s="13">
        <f t="shared" si="46"/>
        <v>2.2099446772486653E-3</v>
      </c>
      <c r="S58" s="13">
        <f t="shared" si="46"/>
        <v>1.1261034411357467</v>
      </c>
      <c r="T58" s="13">
        <f t="shared" si="46"/>
        <v>4.6797527066915858</v>
      </c>
      <c r="U58" s="13">
        <f t="shared" si="46"/>
        <v>0</v>
      </c>
      <c r="V58" s="13">
        <f t="shared" si="46"/>
        <v>16.819925830438233</v>
      </c>
      <c r="W58" s="13">
        <f t="shared" ref="W58:Y58" si="47">SUM(W59:W61)</f>
        <v>11.828708652085389</v>
      </c>
      <c r="X58" s="13">
        <f t="shared" si="47"/>
        <v>0</v>
      </c>
      <c r="Y58" s="13">
        <f t="shared" si="47"/>
        <v>0.1602657693250904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1.379771291882927</v>
      </c>
      <c r="C60" s="102">
        <v>1.2545471111491541E-3</v>
      </c>
      <c r="D60" s="102">
        <v>0</v>
      </c>
      <c r="E60" s="102">
        <v>0</v>
      </c>
      <c r="F60" s="102">
        <v>0.83339823312846928</v>
      </c>
      <c r="G60" s="102">
        <v>1.2048429782769219</v>
      </c>
      <c r="H60" s="102">
        <v>9.4750629619479287</v>
      </c>
      <c r="I60" s="102">
        <v>1.7349635511221708</v>
      </c>
      <c r="J60" s="102">
        <v>4.6516223252277555E-3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4.6883639441236191E-2</v>
      </c>
      <c r="R60" s="102">
        <v>2.2099446772486653E-3</v>
      </c>
      <c r="S60" s="102">
        <v>0.62462056581243131</v>
      </c>
      <c r="T60" s="102">
        <v>1.3273963671149309</v>
      </c>
      <c r="U60" s="102">
        <v>0</v>
      </c>
      <c r="V60" s="102">
        <v>1.9237267880323605</v>
      </c>
      <c r="W60" s="102">
        <v>1.8101978008298334</v>
      </c>
      <c r="X60" s="102">
        <v>0</v>
      </c>
      <c r="Y60" s="102">
        <v>0.1602657693250904</v>
      </c>
      <c r="DA60" s="175" t="s">
        <v>240</v>
      </c>
    </row>
    <row r="61" spans="1:105" ht="11.45" customHeight="1" x14ac:dyDescent="0.25">
      <c r="A61" s="85" t="s">
        <v>182</v>
      </c>
      <c r="B61" s="86">
        <v>0.80389492753608849</v>
      </c>
      <c r="C61" s="86">
        <v>0</v>
      </c>
      <c r="D61" s="86">
        <v>0</v>
      </c>
      <c r="E61" s="86">
        <v>2.7047101449273914</v>
      </c>
      <c r="F61" s="86">
        <v>1.5865036231882623</v>
      </c>
      <c r="G61" s="86">
        <v>0.89696381517019219</v>
      </c>
      <c r="H61" s="86">
        <v>6.2034347355541559</v>
      </c>
      <c r="I61" s="86">
        <v>6.6609239130433302</v>
      </c>
      <c r="J61" s="86">
        <v>2.0508481554675768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0.50148287532331537</v>
      </c>
      <c r="T61" s="86">
        <v>3.3523563395766551</v>
      </c>
      <c r="U61" s="86">
        <v>0</v>
      </c>
      <c r="V61" s="86">
        <v>14.896199042405872</v>
      </c>
      <c r="W61" s="86">
        <v>10.018510851255556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71.996091945855682</v>
      </c>
      <c r="C66" s="14">
        <f t="shared" si="48"/>
        <v>72.447400215275792</v>
      </c>
      <c r="D66" s="14">
        <f t="shared" ref="D66:V66" si="49">IF(D34=0,0,D34/D24)</f>
        <v>69.017190148569156</v>
      </c>
      <c r="E66" s="14">
        <f t="shared" si="49"/>
        <v>73.525163188202384</v>
      </c>
      <c r="F66" s="14">
        <f t="shared" si="49"/>
        <v>80.347685273385409</v>
      </c>
      <c r="G66" s="14">
        <f t="shared" si="49"/>
        <v>82.837163214703793</v>
      </c>
      <c r="H66" s="14">
        <f t="shared" si="49"/>
        <v>81.59259759215044</v>
      </c>
      <c r="I66" s="14">
        <f t="shared" si="49"/>
        <v>82.59692181666378</v>
      </c>
      <c r="J66" s="14">
        <f t="shared" si="49"/>
        <v>85.817386823362924</v>
      </c>
      <c r="K66" s="14">
        <f t="shared" si="49"/>
        <v>87.20927705606799</v>
      </c>
      <c r="L66" s="14">
        <f t="shared" si="49"/>
        <v>92.201365625350618</v>
      </c>
      <c r="M66" s="14">
        <f t="shared" si="49"/>
        <v>95.803170229516141</v>
      </c>
      <c r="N66" s="14">
        <f t="shared" si="49"/>
        <v>100.98983546448214</v>
      </c>
      <c r="O66" s="14">
        <f t="shared" si="49"/>
        <v>105.63806071014008</v>
      </c>
      <c r="P66" s="14">
        <f t="shared" si="49"/>
        <v>111.23795429515418</v>
      </c>
      <c r="Q66" s="14">
        <f t="shared" si="49"/>
        <v>114.46396672504379</v>
      </c>
      <c r="R66" s="14">
        <f t="shared" si="49"/>
        <v>112.12746577837922</v>
      </c>
      <c r="S66" s="14">
        <f t="shared" si="49"/>
        <v>121.09077597762108</v>
      </c>
      <c r="T66" s="14">
        <f t="shared" si="49"/>
        <v>123.79005877293578</v>
      </c>
      <c r="U66" s="14">
        <f t="shared" si="49"/>
        <v>128.09849250584804</v>
      </c>
      <c r="V66" s="14">
        <f t="shared" si="49"/>
        <v>95.579530691783049</v>
      </c>
      <c r="W66" s="14">
        <f t="shared" ref="W66:Y66" si="50">IF(W34=0,0,W34/W24)</f>
        <v>113.20071642590516</v>
      </c>
      <c r="X66" s="14">
        <f t="shared" si="50"/>
        <v>132.81553342654149</v>
      </c>
      <c r="Y66" s="14">
        <f t="shared" si="50"/>
        <v>140.58058714671716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62.847926637330161</v>
      </c>
      <c r="C68" s="87">
        <f t="shared" si="48"/>
        <v>63.46860289034467</v>
      </c>
      <c r="D68" s="87">
        <f t="shared" ref="D68:V68" si="53">IF(D36=0,0,D36/D26)</f>
        <v>61.059557259815101</v>
      </c>
      <c r="E68" s="87">
        <f t="shared" si="53"/>
        <v>65.758631375356629</v>
      </c>
      <c r="F68" s="87">
        <f t="shared" si="53"/>
        <v>71.951313613815913</v>
      </c>
      <c r="G68" s="87">
        <f t="shared" si="53"/>
        <v>73.669414325872381</v>
      </c>
      <c r="H68" s="87">
        <f t="shared" si="53"/>
        <v>72.97957160048135</v>
      </c>
      <c r="I68" s="87">
        <f t="shared" si="53"/>
        <v>72.817519440336085</v>
      </c>
      <c r="J68" s="87">
        <f t="shared" si="53"/>
        <v>73.990503958188526</v>
      </c>
      <c r="K68" s="87">
        <f t="shared" si="53"/>
        <v>75.410605376643588</v>
      </c>
      <c r="L68" s="87">
        <f t="shared" si="53"/>
        <v>79.926471015123809</v>
      </c>
      <c r="M68" s="87">
        <f t="shared" si="53"/>
        <v>84.072545760127838</v>
      </c>
      <c r="N68" s="87">
        <f t="shared" si="53"/>
        <v>88.75667731750562</v>
      </c>
      <c r="O68" s="87">
        <f t="shared" si="53"/>
        <v>93.383734563076445</v>
      </c>
      <c r="P68" s="87">
        <f t="shared" si="53"/>
        <v>100.00686548152034</v>
      </c>
      <c r="Q68" s="87">
        <f t="shared" si="53"/>
        <v>103.52351091641349</v>
      </c>
      <c r="R68" s="87">
        <f t="shared" si="53"/>
        <v>103.89742709516139</v>
      </c>
      <c r="S68" s="87">
        <f t="shared" si="53"/>
        <v>112.62612156547847</v>
      </c>
      <c r="T68" s="87">
        <f t="shared" si="53"/>
        <v>114.82346783486835</v>
      </c>
      <c r="U68" s="87">
        <f t="shared" si="53"/>
        <v>119.06796090314808</v>
      </c>
      <c r="V68" s="87">
        <f t="shared" si="53"/>
        <v>88.430256181556913</v>
      </c>
      <c r="W68" s="87">
        <f t="shared" ref="W68:Y68" si="54">IF(W36=0,0,W36/W26)</f>
        <v>107.73003689410966</v>
      </c>
      <c r="X68" s="87">
        <f t="shared" si="54"/>
        <v>123.9273362548857</v>
      </c>
      <c r="Y68" s="87">
        <f t="shared" si="54"/>
        <v>130.7929590268609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142.30648645312596</v>
      </c>
      <c r="C69" s="87">
        <f t="shared" si="48"/>
        <v>144.88586415244671</v>
      </c>
      <c r="D69" s="87">
        <f t="shared" ref="D69:V69" si="55">IF(D37=0,0,D37/D27)</f>
        <v>144.74111355772254</v>
      </c>
      <c r="E69" s="87">
        <f t="shared" si="55"/>
        <v>143.15683081050008</v>
      </c>
      <c r="F69" s="87">
        <f t="shared" si="55"/>
        <v>147.47343941248471</v>
      </c>
      <c r="G69" s="87">
        <f t="shared" si="55"/>
        <v>145.41434033037581</v>
      </c>
      <c r="H69" s="87">
        <f t="shared" si="55"/>
        <v>142.64610345298212</v>
      </c>
      <c r="I69" s="87">
        <f t="shared" si="55"/>
        <v>146.94572810317032</v>
      </c>
      <c r="J69" s="87">
        <f t="shared" si="55"/>
        <v>153.93371458279179</v>
      </c>
      <c r="K69" s="87">
        <f t="shared" si="55"/>
        <v>148.24988819875776</v>
      </c>
      <c r="L69" s="87">
        <f t="shared" si="55"/>
        <v>151.3947552610704</v>
      </c>
      <c r="M69" s="87">
        <f t="shared" si="55"/>
        <v>150.80793247491494</v>
      </c>
      <c r="N69" s="87">
        <f t="shared" si="55"/>
        <v>155.19160645269702</v>
      </c>
      <c r="O69" s="87">
        <f t="shared" si="55"/>
        <v>159.17920259540682</v>
      </c>
      <c r="P69" s="87">
        <f t="shared" si="55"/>
        <v>161.22955057116653</v>
      </c>
      <c r="Q69" s="87">
        <f t="shared" si="55"/>
        <v>166.47615048706751</v>
      </c>
      <c r="R69" s="87">
        <f t="shared" si="55"/>
        <v>156.89810381153035</v>
      </c>
      <c r="S69" s="87">
        <f t="shared" si="55"/>
        <v>163.81378854625549</v>
      </c>
      <c r="T69" s="87">
        <f t="shared" si="55"/>
        <v>163.23563329592508</v>
      </c>
      <c r="U69" s="87">
        <f t="shared" si="55"/>
        <v>164.88987800857237</v>
      </c>
      <c r="V69" s="87">
        <f t="shared" si="55"/>
        <v>127.99460795326893</v>
      </c>
      <c r="W69" s="87">
        <f t="shared" ref="W69:Y69" si="56">IF(W37=0,0,W37/W27)</f>
        <v>133.71174179187534</v>
      </c>
      <c r="X69" s="87">
        <f t="shared" si="56"/>
        <v>169.04895949012601</v>
      </c>
      <c r="Y69" s="87">
        <f t="shared" si="56"/>
        <v>180.42710490373176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24.346258869546606</v>
      </c>
      <c r="C70" s="15">
        <f t="shared" si="48"/>
        <v>26.158561636230282</v>
      </c>
      <c r="D70" s="15">
        <f t="shared" ref="D70:V70" si="57">IF(D38=0,0,D38/D28)</f>
        <v>26.333946339222219</v>
      </c>
      <c r="E70" s="15">
        <f t="shared" si="57"/>
        <v>27.549813052030707</v>
      </c>
      <c r="F70" s="15">
        <f t="shared" si="57"/>
        <v>26.45001627918905</v>
      </c>
      <c r="G70" s="15">
        <f t="shared" si="57"/>
        <v>24.574373092936842</v>
      </c>
      <c r="H70" s="15">
        <f t="shared" si="57"/>
        <v>21.986024872694482</v>
      </c>
      <c r="I70" s="15">
        <f t="shared" si="57"/>
        <v>23.111261949352599</v>
      </c>
      <c r="J70" s="15">
        <f t="shared" si="57"/>
        <v>25.230860454672083</v>
      </c>
      <c r="K70" s="15">
        <f t="shared" si="57"/>
        <v>26.346199352738964</v>
      </c>
      <c r="L70" s="15">
        <f t="shared" si="57"/>
        <v>29.827335544310429</v>
      </c>
      <c r="M70" s="15">
        <f t="shared" si="57"/>
        <v>32.270926129980303</v>
      </c>
      <c r="N70" s="15">
        <f t="shared" si="57"/>
        <v>32.937341838238687</v>
      </c>
      <c r="O70" s="15">
        <f t="shared" si="57"/>
        <v>31.508208744525124</v>
      </c>
      <c r="P70" s="15">
        <f t="shared" si="57"/>
        <v>34.498959108939779</v>
      </c>
      <c r="Q70" s="15">
        <f t="shared" si="57"/>
        <v>35.705135706804811</v>
      </c>
      <c r="R70" s="15">
        <f t="shared" si="57"/>
        <v>39.01142462199175</v>
      </c>
      <c r="S70" s="15">
        <f t="shared" si="57"/>
        <v>38.717286231750137</v>
      </c>
      <c r="T70" s="15">
        <f t="shared" si="57"/>
        <v>38.777902895842551</v>
      </c>
      <c r="U70" s="15">
        <f t="shared" si="57"/>
        <v>39.403469039695608</v>
      </c>
      <c r="V70" s="15">
        <f t="shared" si="57"/>
        <v>32.37173017204794</v>
      </c>
      <c r="W70" s="15">
        <f t="shared" ref="W70:Y70" si="58">IF(W38=0,0,W38/W28)</f>
        <v>35.262200837444155</v>
      </c>
      <c r="X70" s="15">
        <f t="shared" si="58"/>
        <v>39.297658033365536</v>
      </c>
      <c r="Y70" s="15">
        <f t="shared" si="58"/>
        <v>37.89882876877509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13.706049515651271</v>
      </c>
      <c r="K72" s="41">
        <f t="shared" si="61"/>
        <v>13.698894254303415</v>
      </c>
      <c r="L72" s="41">
        <f t="shared" si="61"/>
        <v>14.504774438576115</v>
      </c>
      <c r="M72" s="41">
        <f t="shared" si="61"/>
        <v>15.593990976967524</v>
      </c>
      <c r="N72" s="41">
        <f t="shared" si="61"/>
        <v>16.668272444699465</v>
      </c>
      <c r="O72" s="41">
        <f t="shared" si="61"/>
        <v>16.75700658505092</v>
      </c>
      <c r="P72" s="41">
        <f t="shared" si="61"/>
        <v>18.449412678664508</v>
      </c>
      <c r="Q72" s="41">
        <f t="shared" si="61"/>
        <v>18.477606558493594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52.138322756086367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59.082056024886242</v>
      </c>
      <c r="O73" s="40">
        <f t="shared" si="63"/>
        <v>59.664691083399617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50.528235250360851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1365.5452888016498</v>
      </c>
      <c r="C75" s="62">
        <f t="shared" si="65"/>
        <v>1358.3768958738081</v>
      </c>
      <c r="D75" s="62">
        <f t="shared" ref="D75:V75" si="66">IF(D13=0,0,D13*1000000/D23)</f>
        <v>1311.4316781428856</v>
      </c>
      <c r="E75" s="62">
        <f t="shared" si="66"/>
        <v>1378.2746287050936</v>
      </c>
      <c r="F75" s="62">
        <f t="shared" si="66"/>
        <v>1415.3109640164403</v>
      </c>
      <c r="G75" s="62">
        <f t="shared" si="66"/>
        <v>1429.0671859372985</v>
      </c>
      <c r="H75" s="62">
        <f t="shared" si="66"/>
        <v>1435.1422349295588</v>
      </c>
      <c r="I75" s="62">
        <f t="shared" si="66"/>
        <v>1503.9436866682099</v>
      </c>
      <c r="J75" s="62">
        <f t="shared" si="66"/>
        <v>1608.3436470856893</v>
      </c>
      <c r="K75" s="62">
        <f t="shared" si="66"/>
        <v>1598.3392352203525</v>
      </c>
      <c r="L75" s="62">
        <f t="shared" si="66"/>
        <v>1708.3352728629695</v>
      </c>
      <c r="M75" s="62">
        <f t="shared" si="66"/>
        <v>1714.1996095328041</v>
      </c>
      <c r="N75" s="62">
        <f t="shared" si="66"/>
        <v>1674.2767325272953</v>
      </c>
      <c r="O75" s="62">
        <f t="shared" si="66"/>
        <v>1652.866295864126</v>
      </c>
      <c r="P75" s="62">
        <f t="shared" si="66"/>
        <v>1651.1705996608332</v>
      </c>
      <c r="Q75" s="62">
        <f t="shared" si="66"/>
        <v>1680.7989835025523</v>
      </c>
      <c r="R75" s="62">
        <f t="shared" si="66"/>
        <v>1654.9162819615594</v>
      </c>
      <c r="S75" s="62">
        <f t="shared" si="66"/>
        <v>1716.651545618829</v>
      </c>
      <c r="T75" s="62">
        <f t="shared" si="66"/>
        <v>1806.7357711080979</v>
      </c>
      <c r="U75" s="62">
        <f t="shared" si="66"/>
        <v>1831.8263319515293</v>
      </c>
      <c r="V75" s="62">
        <f t="shared" si="66"/>
        <v>2290.5316467166481</v>
      </c>
      <c r="W75" s="62">
        <f t="shared" ref="W75:Y75" si="67">IF(W13=0,0,W13*1000000/W23)</f>
        <v>2411.8297411966923</v>
      </c>
      <c r="X75" s="62">
        <f t="shared" si="67"/>
        <v>2124.6207578948133</v>
      </c>
      <c r="Y75" s="62">
        <f t="shared" si="67"/>
        <v>1978.9553792894337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1326.5757677377915</v>
      </c>
      <c r="C76" s="14">
        <f t="shared" si="65"/>
        <v>1312.6276130806802</v>
      </c>
      <c r="D76" s="14">
        <f t="shared" ref="D76:V76" si="68">IF(D14=0,0,D14*1000000/D24)</f>
        <v>1249.6938189808086</v>
      </c>
      <c r="E76" s="14">
        <f t="shared" si="68"/>
        <v>1296.5073331335707</v>
      </c>
      <c r="F76" s="14">
        <f t="shared" si="68"/>
        <v>1333.3546721343209</v>
      </c>
      <c r="G76" s="14">
        <f t="shared" si="68"/>
        <v>1349.3532965131358</v>
      </c>
      <c r="H76" s="14">
        <f t="shared" si="68"/>
        <v>1338.9930392517003</v>
      </c>
      <c r="I76" s="14">
        <f t="shared" si="68"/>
        <v>1369.5438476821437</v>
      </c>
      <c r="J76" s="14">
        <f t="shared" si="68"/>
        <v>1448.9432826325431</v>
      </c>
      <c r="K76" s="14">
        <f t="shared" si="68"/>
        <v>1487.8717896506475</v>
      </c>
      <c r="L76" s="14">
        <f t="shared" si="68"/>
        <v>1558.6247122645104</v>
      </c>
      <c r="M76" s="14">
        <f t="shared" si="68"/>
        <v>1564.8061770157028</v>
      </c>
      <c r="N76" s="14">
        <f t="shared" si="68"/>
        <v>1559.6733885826916</v>
      </c>
      <c r="O76" s="14">
        <f t="shared" si="68"/>
        <v>1560.2312271075552</v>
      </c>
      <c r="P76" s="14">
        <f t="shared" si="68"/>
        <v>1568.7200411424526</v>
      </c>
      <c r="Q76" s="14">
        <f t="shared" si="68"/>
        <v>1570.6629666819265</v>
      </c>
      <c r="R76" s="14">
        <f t="shared" si="68"/>
        <v>1552.6269583858098</v>
      </c>
      <c r="S76" s="14">
        <f t="shared" si="68"/>
        <v>1600.8436670607387</v>
      </c>
      <c r="T76" s="14">
        <f t="shared" si="68"/>
        <v>1681.3322636189901</v>
      </c>
      <c r="U76" s="14">
        <f t="shared" si="68"/>
        <v>1719.5283547859497</v>
      </c>
      <c r="V76" s="14">
        <f t="shared" si="68"/>
        <v>1827.9212431884273</v>
      </c>
      <c r="W76" s="14">
        <f t="shared" ref="W76:Y76" si="69">IF(W14=0,0,W14*1000000/W24)</f>
        <v>1988.2685367842937</v>
      </c>
      <c r="X76" s="14">
        <f t="shared" si="69"/>
        <v>1808.0158986328499</v>
      </c>
      <c r="Y76" s="14">
        <f t="shared" si="69"/>
        <v>1737.0766230430486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980.90478116496774</v>
      </c>
      <c r="C78" s="39">
        <f t="shared" si="65"/>
        <v>981.59443394915922</v>
      </c>
      <c r="D78" s="39">
        <f t="shared" ref="D78:V78" si="72">IF(D16=0,0,D16*1000000/D26)</f>
        <v>962.42488191835605</v>
      </c>
      <c r="E78" s="39">
        <f t="shared" si="72"/>
        <v>996.8282409484267</v>
      </c>
      <c r="F78" s="39">
        <f t="shared" si="72"/>
        <v>1001.8868473757259</v>
      </c>
      <c r="G78" s="39">
        <f t="shared" si="72"/>
        <v>1002.4417463700573</v>
      </c>
      <c r="H78" s="39">
        <f t="shared" si="72"/>
        <v>996.2911222774336</v>
      </c>
      <c r="I78" s="39">
        <f t="shared" si="72"/>
        <v>996.0186751285205</v>
      </c>
      <c r="J78" s="39">
        <f t="shared" si="72"/>
        <v>1009.2380891519227</v>
      </c>
      <c r="K78" s="39">
        <f t="shared" si="72"/>
        <v>1020.2271546178541</v>
      </c>
      <c r="L78" s="39">
        <f t="shared" si="72"/>
        <v>1063.3711409265059</v>
      </c>
      <c r="M78" s="39">
        <f t="shared" si="72"/>
        <v>1053.6412180439593</v>
      </c>
      <c r="N78" s="39">
        <f t="shared" si="72"/>
        <v>1039.1276268826414</v>
      </c>
      <c r="O78" s="39">
        <f t="shared" si="72"/>
        <v>1052.3421591881199</v>
      </c>
      <c r="P78" s="39">
        <f t="shared" si="72"/>
        <v>1077.327749640092</v>
      </c>
      <c r="Q78" s="39">
        <f t="shared" si="72"/>
        <v>1086.0599881784024</v>
      </c>
      <c r="R78" s="39">
        <f t="shared" si="72"/>
        <v>1107.0195189404928</v>
      </c>
      <c r="S78" s="39">
        <f t="shared" si="72"/>
        <v>1119.17379771987</v>
      </c>
      <c r="T78" s="39">
        <f t="shared" si="72"/>
        <v>1129.9558972117534</v>
      </c>
      <c r="U78" s="39">
        <f t="shared" si="72"/>
        <v>1149.8479849539851</v>
      </c>
      <c r="V78" s="39">
        <f t="shared" si="72"/>
        <v>1195.3671687598542</v>
      </c>
      <c r="W78" s="39">
        <f t="shared" ref="W78:Y78" si="73">IF(W16=0,0,W16*1000000/W26)</f>
        <v>1266.8176549788484</v>
      </c>
      <c r="X78" s="39">
        <f t="shared" si="73"/>
        <v>1232.5529995676213</v>
      </c>
      <c r="Y78" s="39">
        <f t="shared" si="73"/>
        <v>1215.5407413357984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3983.3121313671727</v>
      </c>
      <c r="C79" s="39">
        <f t="shared" si="65"/>
        <v>3983.3121313671727</v>
      </c>
      <c r="D79" s="39">
        <f t="shared" ref="D79:V79" si="74">IF(D17=0,0,D17*1000000/D27)</f>
        <v>3983.3121313671732</v>
      </c>
      <c r="E79" s="39">
        <f t="shared" si="74"/>
        <v>3983.3121313671727</v>
      </c>
      <c r="F79" s="39">
        <f t="shared" si="74"/>
        <v>3983.3121313671727</v>
      </c>
      <c r="G79" s="39">
        <f t="shared" si="74"/>
        <v>3717.3005188920556</v>
      </c>
      <c r="H79" s="39">
        <f t="shared" si="74"/>
        <v>3768.2384074584675</v>
      </c>
      <c r="I79" s="39">
        <f t="shared" si="74"/>
        <v>3827.3524178631847</v>
      </c>
      <c r="J79" s="39">
        <f t="shared" si="74"/>
        <v>3981.4028848869525</v>
      </c>
      <c r="K79" s="39">
        <f t="shared" si="74"/>
        <v>3907.2385705554602</v>
      </c>
      <c r="L79" s="39">
        <f t="shared" si="74"/>
        <v>3946.8926809579334</v>
      </c>
      <c r="M79" s="39">
        <f t="shared" si="74"/>
        <v>3961.6527481246276</v>
      </c>
      <c r="N79" s="39">
        <f t="shared" si="74"/>
        <v>3866.068991873844</v>
      </c>
      <c r="O79" s="39">
        <f t="shared" si="74"/>
        <v>3779.2810811026916</v>
      </c>
      <c r="P79" s="39">
        <f t="shared" si="74"/>
        <v>3755.9955099384597</v>
      </c>
      <c r="Q79" s="39">
        <f t="shared" si="74"/>
        <v>3874.5211980424842</v>
      </c>
      <c r="R79" s="39">
        <f t="shared" si="74"/>
        <v>3976.6896079291973</v>
      </c>
      <c r="S79" s="39">
        <f t="shared" si="74"/>
        <v>4031.9397142026778</v>
      </c>
      <c r="T79" s="39">
        <f t="shared" si="74"/>
        <v>4106.9316582557403</v>
      </c>
      <c r="U79" s="39">
        <f t="shared" si="74"/>
        <v>4040.469249733475</v>
      </c>
      <c r="V79" s="39">
        <f t="shared" si="74"/>
        <v>4695.9450077453876</v>
      </c>
      <c r="W79" s="39">
        <f t="shared" ref="W79:Y79" si="75">IF(W17=0,0,W17*1000000/W27)</f>
        <v>4693.1788227933894</v>
      </c>
      <c r="X79" s="39">
        <f t="shared" si="75"/>
        <v>4153.9350994477436</v>
      </c>
      <c r="Y79" s="39">
        <f t="shared" si="75"/>
        <v>3860.3069416540243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1738.327748489125</v>
      </c>
      <c r="C80" s="15">
        <f t="shared" si="65"/>
        <v>1872.948943458608</v>
      </c>
      <c r="D80" s="15">
        <f t="shared" ref="D80:V80" si="76">IF(D18=0,0,D18*1000000/D28)</f>
        <v>1914.3226124529847</v>
      </c>
      <c r="E80" s="15">
        <f t="shared" si="76"/>
        <v>2125.8151325410399</v>
      </c>
      <c r="F80" s="15">
        <f t="shared" si="76"/>
        <v>2112.1069607672403</v>
      </c>
      <c r="G80" s="15">
        <f t="shared" si="76"/>
        <v>2031.5109441914256</v>
      </c>
      <c r="H80" s="15">
        <f t="shared" si="76"/>
        <v>1868.0400551263565</v>
      </c>
      <c r="I80" s="15">
        <f t="shared" si="76"/>
        <v>2072.904498872043</v>
      </c>
      <c r="J80" s="15">
        <f t="shared" si="76"/>
        <v>2441.5396181988681</v>
      </c>
      <c r="K80" s="15">
        <f t="shared" si="76"/>
        <v>2355.2297868373648</v>
      </c>
      <c r="L80" s="15">
        <f t="shared" si="76"/>
        <v>2655.0024968205284</v>
      </c>
      <c r="M80" s="15">
        <f t="shared" si="76"/>
        <v>2735.2814601763853</v>
      </c>
      <c r="N80" s="15">
        <f t="shared" si="76"/>
        <v>2526.6510540134454</v>
      </c>
      <c r="O80" s="15">
        <f t="shared" si="76"/>
        <v>2350.3493056255129</v>
      </c>
      <c r="P80" s="15">
        <f t="shared" si="76"/>
        <v>2330.9899607022849</v>
      </c>
      <c r="Q80" s="15">
        <f t="shared" si="76"/>
        <v>2510.4971718978368</v>
      </c>
      <c r="R80" s="15">
        <f t="shared" si="76"/>
        <v>2510.0252710855125</v>
      </c>
      <c r="S80" s="15">
        <f t="shared" si="76"/>
        <v>2628.1870447831743</v>
      </c>
      <c r="T80" s="15">
        <f t="shared" si="76"/>
        <v>2695.7300988800757</v>
      </c>
      <c r="U80" s="15">
        <f t="shared" si="76"/>
        <v>2688.8997406604831</v>
      </c>
      <c r="V80" s="15">
        <f t="shared" si="76"/>
        <v>3208.0419699750046</v>
      </c>
      <c r="W80" s="15">
        <f t="shared" ref="W80:Y80" si="77">IF(W18=0,0,W18*1000000/W28)</f>
        <v>3249.2935807730992</v>
      </c>
      <c r="X80" s="15">
        <f t="shared" si="77"/>
        <v>3580.7316676390083</v>
      </c>
      <c r="Y80" s="15">
        <f t="shared" si="77"/>
        <v>3361.8972582424258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847.78392085106668</v>
      </c>
      <c r="C82" s="41">
        <f t="shared" si="65"/>
        <v>849.09184316594758</v>
      </c>
      <c r="D82" s="41">
        <f t="shared" ref="D82:V82" si="80">IF(D20=0,0,D20*1000000/D30)</f>
        <v>844.90383271933831</v>
      </c>
      <c r="E82" s="41">
        <f t="shared" si="80"/>
        <v>838.86552189326096</v>
      </c>
      <c r="F82" s="41">
        <f t="shared" si="80"/>
        <v>837.51475833720815</v>
      </c>
      <c r="G82" s="41">
        <f t="shared" si="80"/>
        <v>854.34049101641881</v>
      </c>
      <c r="H82" s="41">
        <f t="shared" si="80"/>
        <v>913.74679453364922</v>
      </c>
      <c r="I82" s="41">
        <f t="shared" si="80"/>
        <v>922.04088858065904</v>
      </c>
      <c r="J82" s="41">
        <f t="shared" si="80"/>
        <v>916.56463202428131</v>
      </c>
      <c r="K82" s="41">
        <f t="shared" si="80"/>
        <v>899.57690149274424</v>
      </c>
      <c r="L82" s="41">
        <f t="shared" si="80"/>
        <v>937.00668346391171</v>
      </c>
      <c r="M82" s="41">
        <f t="shared" si="80"/>
        <v>917.45876386061548</v>
      </c>
      <c r="N82" s="41">
        <f t="shared" si="80"/>
        <v>906.97744619330911</v>
      </c>
      <c r="O82" s="41">
        <f t="shared" si="80"/>
        <v>899.89894896195949</v>
      </c>
      <c r="P82" s="41">
        <f t="shared" si="80"/>
        <v>904.51959038793939</v>
      </c>
      <c r="Q82" s="41">
        <f t="shared" si="80"/>
        <v>900.42544762365264</v>
      </c>
      <c r="R82" s="41">
        <f t="shared" si="80"/>
        <v>909.015848244979</v>
      </c>
      <c r="S82" s="41">
        <f t="shared" si="80"/>
        <v>924.8280548140574</v>
      </c>
      <c r="T82" s="41">
        <f t="shared" si="80"/>
        <v>936.86107437471128</v>
      </c>
      <c r="U82" s="41">
        <f t="shared" si="80"/>
        <v>945.86579820912903</v>
      </c>
      <c r="V82" s="41">
        <f t="shared" si="80"/>
        <v>960.98969296691723</v>
      </c>
      <c r="W82" s="41">
        <f t="shared" ref="W82:Y82" si="81">IF(W20=0,0,W20*1000000/W30)</f>
        <v>940.59725187155368</v>
      </c>
      <c r="X82" s="41">
        <f t="shared" si="81"/>
        <v>880.48347129365072</v>
      </c>
      <c r="Y82" s="41">
        <f t="shared" si="81"/>
        <v>871.09555804358047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4764.5793744268867</v>
      </c>
      <c r="C83" s="40">
        <f t="shared" si="65"/>
        <v>4764.5793744268867</v>
      </c>
      <c r="D83" s="40">
        <f t="shared" ref="D83:V83" si="82">IF(D21=0,0,D21*1000000/D31)</f>
        <v>4764.5793744268867</v>
      </c>
      <c r="E83" s="40">
        <f t="shared" si="82"/>
        <v>4764.5793744268867</v>
      </c>
      <c r="F83" s="40">
        <f t="shared" si="82"/>
        <v>4764.5793744268867</v>
      </c>
      <c r="G83" s="40">
        <f t="shared" si="82"/>
        <v>4498.5677619517701</v>
      </c>
      <c r="H83" s="40">
        <f t="shared" si="82"/>
        <v>4643.921164001149</v>
      </c>
      <c r="I83" s="40">
        <f t="shared" si="82"/>
        <v>4797.4506878888351</v>
      </c>
      <c r="J83" s="40">
        <f t="shared" si="82"/>
        <v>5045.91666839557</v>
      </c>
      <c r="K83" s="40">
        <f t="shared" si="82"/>
        <v>5066.1678675470475</v>
      </c>
      <c r="L83" s="40">
        <f t="shared" si="82"/>
        <v>5200.2374914324882</v>
      </c>
      <c r="M83" s="40">
        <f t="shared" si="82"/>
        <v>5220.0398408127585</v>
      </c>
      <c r="N83" s="40">
        <f t="shared" si="82"/>
        <v>5129.4983667755478</v>
      </c>
      <c r="O83" s="40">
        <f t="shared" si="82"/>
        <v>5118.9087361924412</v>
      </c>
      <c r="P83" s="40">
        <f t="shared" si="82"/>
        <v>5171.8214452162547</v>
      </c>
      <c r="Q83" s="40">
        <f t="shared" si="82"/>
        <v>5366.5454135083255</v>
      </c>
      <c r="R83" s="40">
        <f t="shared" si="82"/>
        <v>5544.9121035830822</v>
      </c>
      <c r="S83" s="40">
        <f t="shared" si="82"/>
        <v>5676.3604900446071</v>
      </c>
      <c r="T83" s="40">
        <f t="shared" si="82"/>
        <v>5827.5507142857141</v>
      </c>
      <c r="U83" s="40">
        <f t="shared" si="82"/>
        <v>5873.8265378270089</v>
      </c>
      <c r="V83" s="40">
        <f t="shared" si="82"/>
        <v>5977.5753040224508</v>
      </c>
      <c r="W83" s="40">
        <f t="shared" ref="W83:Y83" si="83">IF(W21=0,0,W21*1000000/W31)</f>
        <v>5667.6596343178626</v>
      </c>
      <c r="X83" s="40">
        <f t="shared" si="83"/>
        <v>6255.3527805362464</v>
      </c>
      <c r="Y83" s="40">
        <f t="shared" si="83"/>
        <v>6507.598371297061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146463.84009034419</v>
      </c>
      <c r="C86" s="11">
        <f t="shared" si="84"/>
        <v>146658.6408885741</v>
      </c>
      <c r="D86" s="11">
        <f t="shared" ref="D86:V86" si="85">IF(D4=0,0,D4*1000000/D24)</f>
        <v>135082.56947841405</v>
      </c>
      <c r="E86" s="11">
        <f t="shared" si="85"/>
        <v>142877.56251023014</v>
      </c>
      <c r="F86" s="11">
        <f t="shared" si="85"/>
        <v>156754.75410501807</v>
      </c>
      <c r="G86" s="11">
        <f t="shared" si="85"/>
        <v>160341.94687690804</v>
      </c>
      <c r="H86" s="11">
        <f t="shared" si="85"/>
        <v>153619.11180048107</v>
      </c>
      <c r="I86" s="11">
        <f t="shared" si="85"/>
        <v>156308.52622284583</v>
      </c>
      <c r="J86" s="11">
        <f t="shared" si="85"/>
        <v>170942.63199105376</v>
      </c>
      <c r="K86" s="11">
        <f t="shared" si="85"/>
        <v>175957.27297432724</v>
      </c>
      <c r="L86" s="11">
        <f t="shared" si="85"/>
        <v>191621.74051070918</v>
      </c>
      <c r="M86" s="11">
        <f t="shared" si="85"/>
        <v>197715.76821592037</v>
      </c>
      <c r="N86" s="11">
        <f t="shared" si="85"/>
        <v>203944.49128931158</v>
      </c>
      <c r="O86" s="11">
        <f t="shared" si="85"/>
        <v>215530.6444671409</v>
      </c>
      <c r="P86" s="11">
        <f t="shared" si="85"/>
        <v>221062.16032948822</v>
      </c>
      <c r="Q86" s="11">
        <f t="shared" si="85"/>
        <v>223712.8523596781</v>
      </c>
      <c r="R86" s="11">
        <f t="shared" si="85"/>
        <v>212332.96596284019</v>
      </c>
      <c r="S86" s="11">
        <f t="shared" si="85"/>
        <v>232428.19463995847</v>
      </c>
      <c r="T86" s="11">
        <f t="shared" si="85"/>
        <v>248585.73746792614</v>
      </c>
      <c r="U86" s="11">
        <f t="shared" si="85"/>
        <v>262124.07463009923</v>
      </c>
      <c r="V86" s="11">
        <f t="shared" si="85"/>
        <v>221574.8035235503</v>
      </c>
      <c r="W86" s="11">
        <f t="shared" ref="W86:Y86" si="86">IF(W4=0,0,W4*1000000/W24)</f>
        <v>265078.82689405058</v>
      </c>
      <c r="X86" s="11">
        <f t="shared" si="86"/>
        <v>281899.06624608033</v>
      </c>
      <c r="Y86" s="11">
        <f t="shared" si="86"/>
        <v>284095.75455209729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85834.835578684302</v>
      </c>
      <c r="C88" s="36">
        <f t="shared" si="84"/>
        <v>87548.464066436121</v>
      </c>
      <c r="D88" s="36">
        <f t="shared" ref="D88:V88" si="89">IF(D6=0,0,D6*1000000/D26)</f>
        <v>83816.952921433622</v>
      </c>
      <c r="E88" s="36">
        <f t="shared" si="89"/>
        <v>90095.356208552272</v>
      </c>
      <c r="F88" s="36">
        <f t="shared" si="89"/>
        <v>96973.931837203738</v>
      </c>
      <c r="G88" s="36">
        <f t="shared" si="89"/>
        <v>98271.133407682049</v>
      </c>
      <c r="H88" s="36">
        <f t="shared" si="89"/>
        <v>93361.301745058357</v>
      </c>
      <c r="I88" s="36">
        <f t="shared" si="89"/>
        <v>87716.350066390412</v>
      </c>
      <c r="J88" s="36">
        <f t="shared" si="89"/>
        <v>85652.838715037215</v>
      </c>
      <c r="K88" s="36">
        <f t="shared" si="89"/>
        <v>88999.240560909529</v>
      </c>
      <c r="L88" s="36">
        <f t="shared" si="89"/>
        <v>97480.914276290452</v>
      </c>
      <c r="M88" s="36">
        <f t="shared" si="89"/>
        <v>102559.86313381074</v>
      </c>
      <c r="N88" s="36">
        <f t="shared" si="89"/>
        <v>107780.69637936898</v>
      </c>
      <c r="O88" s="36">
        <f t="shared" si="89"/>
        <v>113197.32743025709</v>
      </c>
      <c r="P88" s="36">
        <f t="shared" si="89"/>
        <v>117893.65182598826</v>
      </c>
      <c r="Q88" s="36">
        <f t="shared" si="89"/>
        <v>120748.8370655152</v>
      </c>
      <c r="R88" s="36">
        <f t="shared" si="89"/>
        <v>123513.58038446476</v>
      </c>
      <c r="S88" s="36">
        <f t="shared" si="89"/>
        <v>132233.45164987323</v>
      </c>
      <c r="T88" s="36">
        <f t="shared" si="89"/>
        <v>133930.42089659066</v>
      </c>
      <c r="U88" s="36">
        <f t="shared" si="89"/>
        <v>140197.06657975033</v>
      </c>
      <c r="V88" s="36">
        <f t="shared" si="89"/>
        <v>114516.61277897787</v>
      </c>
      <c r="W88" s="36">
        <f t="shared" ref="W88:Y88" si="90">IF(W6=0,0,W6*1000000/W26)</f>
        <v>146164.67473457719</v>
      </c>
      <c r="X88" s="36">
        <f t="shared" si="90"/>
        <v>155372.77283009043</v>
      </c>
      <c r="Y88" s="36">
        <f t="shared" si="90"/>
        <v>159006.29221767216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612442.4360198651</v>
      </c>
      <c r="C89" s="36">
        <f t="shared" si="84"/>
        <v>623543.26775958808</v>
      </c>
      <c r="D89" s="36">
        <f t="shared" ref="D89:V89" si="91">IF(D7=0,0,D7*1000000/D27)</f>
        <v>622920.30664897547</v>
      </c>
      <c r="E89" s="36">
        <f t="shared" si="91"/>
        <v>616102.05114118638</v>
      </c>
      <c r="F89" s="36">
        <f t="shared" si="91"/>
        <v>634679.37922675151</v>
      </c>
      <c r="G89" s="36">
        <f t="shared" si="91"/>
        <v>584024.61263027915</v>
      </c>
      <c r="H89" s="36">
        <f t="shared" si="91"/>
        <v>580757.09593498602</v>
      </c>
      <c r="I89" s="36">
        <f t="shared" si="91"/>
        <v>607647.42060619977</v>
      </c>
      <c r="J89" s="36">
        <f t="shared" si="91"/>
        <v>662164.83986716194</v>
      </c>
      <c r="K89" s="36">
        <f t="shared" si="91"/>
        <v>625836.00394515018</v>
      </c>
      <c r="L89" s="36">
        <f t="shared" si="91"/>
        <v>645598.31504519051</v>
      </c>
      <c r="M89" s="36">
        <f t="shared" si="91"/>
        <v>643900.70482740737</v>
      </c>
      <c r="N89" s="36">
        <f t="shared" si="91"/>
        <v>630019.91077161429</v>
      </c>
      <c r="O89" s="36">
        <f t="shared" si="91"/>
        <v>662641.53259824018</v>
      </c>
      <c r="P89" s="36">
        <f t="shared" si="91"/>
        <v>680283.74704193196</v>
      </c>
      <c r="Q89" s="36">
        <f t="shared" si="91"/>
        <v>713215.60965167941</v>
      </c>
      <c r="R89" s="36">
        <f t="shared" si="91"/>
        <v>695502.08765420655</v>
      </c>
      <c r="S89" s="36">
        <f t="shared" si="91"/>
        <v>738133.57322410145</v>
      </c>
      <c r="T89" s="36">
        <f t="shared" si="91"/>
        <v>752974.17957592697</v>
      </c>
      <c r="U89" s="36">
        <f t="shared" si="91"/>
        <v>758868.20373906172</v>
      </c>
      <c r="V89" s="36">
        <f t="shared" si="91"/>
        <v>706980.63309358328</v>
      </c>
      <c r="W89" s="36">
        <f t="shared" ref="W89:Y89" si="92">IF(W7=0,0,W7*1000000/W27)</f>
        <v>710919.45366446825</v>
      </c>
      <c r="X89" s="36">
        <f t="shared" si="92"/>
        <v>797693.32789988897</v>
      </c>
      <c r="Y89" s="36">
        <f t="shared" si="92"/>
        <v>793348.8055555583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93194.440128549773</v>
      </c>
      <c r="C90" s="13">
        <f t="shared" si="84"/>
        <v>108764.54314338537</v>
      </c>
      <c r="D90" s="13">
        <f t="shared" ref="D90:V90" si="93">IF(D8=0,0,D8*1000000/D28)</f>
        <v>106026.27398103931</v>
      </c>
      <c r="E90" s="13">
        <f t="shared" si="93"/>
        <v>113343.42382252144</v>
      </c>
      <c r="F90" s="13">
        <f t="shared" si="93"/>
        <v>108166.74919728648</v>
      </c>
      <c r="G90" s="13">
        <f t="shared" si="93"/>
        <v>97142.869083923695</v>
      </c>
      <c r="H90" s="13">
        <f t="shared" si="93"/>
        <v>79373.019354288335</v>
      </c>
      <c r="I90" s="13">
        <f t="shared" si="93"/>
        <v>90177.503088226294</v>
      </c>
      <c r="J90" s="13">
        <f t="shared" si="93"/>
        <v>110491.58774415334</v>
      </c>
      <c r="K90" s="13">
        <f t="shared" si="93"/>
        <v>118168.83083652696</v>
      </c>
      <c r="L90" s="13">
        <f t="shared" si="93"/>
        <v>139708.42847663804</v>
      </c>
      <c r="M90" s="13">
        <f t="shared" si="93"/>
        <v>151935.49417489092</v>
      </c>
      <c r="N90" s="13">
        <f t="shared" si="93"/>
        <v>146282.00736227186</v>
      </c>
      <c r="O90" s="13">
        <f t="shared" si="93"/>
        <v>139802.60829272086</v>
      </c>
      <c r="P90" s="13">
        <f t="shared" si="93"/>
        <v>160837.2439289242</v>
      </c>
      <c r="Q90" s="13">
        <f t="shared" si="93"/>
        <v>174417.86321058639</v>
      </c>
      <c r="R90" s="13">
        <f t="shared" si="93"/>
        <v>190217.44005661036</v>
      </c>
      <c r="S90" s="13">
        <f t="shared" si="93"/>
        <v>199038.29546388867</v>
      </c>
      <c r="T90" s="13">
        <f t="shared" si="93"/>
        <v>209150.28505379602</v>
      </c>
      <c r="U90" s="13">
        <f t="shared" si="93"/>
        <v>219544.84339779263</v>
      </c>
      <c r="V90" s="13">
        <f t="shared" si="93"/>
        <v>189363.50713578874</v>
      </c>
      <c r="W90" s="13">
        <f t="shared" ref="W90:Y90" si="94">IF(W8=0,0,W8*1000000/W28)</f>
        <v>193967.82650590528</v>
      </c>
      <c r="X90" s="13">
        <f t="shared" si="94"/>
        <v>242441.99230106929</v>
      </c>
      <c r="Y90" s="13">
        <f t="shared" si="94"/>
        <v>232068.92187219256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22004.31217503046</v>
      </c>
      <c r="C92" s="34">
        <f t="shared" si="84"/>
        <v>22933.868370500044</v>
      </c>
      <c r="D92" s="34">
        <f t="shared" ref="D92:V92" si="97">IF(D10=0,0,D10*1000000/D30)</f>
        <v>21402.396369176586</v>
      </c>
      <c r="E92" s="34">
        <f t="shared" si="97"/>
        <v>21688.588343499017</v>
      </c>
      <c r="F92" s="34">
        <f t="shared" si="97"/>
        <v>19633.060280869504</v>
      </c>
      <c r="G92" s="34">
        <f t="shared" si="97"/>
        <v>19608.748516143412</v>
      </c>
      <c r="H92" s="34">
        <f t="shared" si="97"/>
        <v>17585.967161065932</v>
      </c>
      <c r="I92" s="34">
        <f t="shared" si="97"/>
        <v>17090.956146276741</v>
      </c>
      <c r="J92" s="34">
        <f t="shared" si="97"/>
        <v>16357.118459837624</v>
      </c>
      <c r="K92" s="34">
        <f t="shared" si="97"/>
        <v>16694.025610043023</v>
      </c>
      <c r="L92" s="34">
        <f t="shared" si="97"/>
        <v>17671.302613783366</v>
      </c>
      <c r="M92" s="34">
        <f t="shared" si="97"/>
        <v>18244.446835239803</v>
      </c>
      <c r="N92" s="34">
        <f t="shared" si="97"/>
        <v>19894.885758045479</v>
      </c>
      <c r="O92" s="34">
        <f t="shared" si="97"/>
        <v>19668.388043599563</v>
      </c>
      <c r="P92" s="34">
        <f t="shared" si="97"/>
        <v>22210.929670292528</v>
      </c>
      <c r="Q92" s="34">
        <f t="shared" si="97"/>
        <v>21714.673816562321</v>
      </c>
      <c r="R92" s="34">
        <f t="shared" si="97"/>
        <v>24255.285340161998</v>
      </c>
      <c r="S92" s="34">
        <f t="shared" si="97"/>
        <v>22229.374305685153</v>
      </c>
      <c r="T92" s="34">
        <f t="shared" si="97"/>
        <v>22523.690085851907</v>
      </c>
      <c r="U92" s="34">
        <f t="shared" si="97"/>
        <v>23835.872162615167</v>
      </c>
      <c r="V92" s="34">
        <f t="shared" si="97"/>
        <v>20704.840873076217</v>
      </c>
      <c r="W92" s="34">
        <f t="shared" ref="W92:Y92" si="98">IF(W10=0,0,W10*1000000/W30)</f>
        <v>20184.76112446082</v>
      </c>
      <c r="X92" s="34">
        <f t="shared" si="98"/>
        <v>18378.684998825731</v>
      </c>
      <c r="Y92" s="34">
        <f t="shared" si="98"/>
        <v>17972.007262519321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335113.17987373791</v>
      </c>
      <c r="C93" s="35">
        <f t="shared" si="84"/>
        <v>351171.99532872793</v>
      </c>
      <c r="D93" s="35">
        <f t="shared" ref="D93:V93" si="99">IF(D11=0,0,D11*1000000/D31)</f>
        <v>331569.14264820243</v>
      </c>
      <c r="E93" s="35">
        <f t="shared" si="99"/>
        <v>301272.69506744464</v>
      </c>
      <c r="F93" s="35">
        <f t="shared" si="99"/>
        <v>292408.55381731107</v>
      </c>
      <c r="G93" s="35">
        <f t="shared" si="99"/>
        <v>259635.12348929115</v>
      </c>
      <c r="H93" s="35">
        <f t="shared" si="99"/>
        <v>259101.32514752075</v>
      </c>
      <c r="I93" s="35">
        <f t="shared" si="99"/>
        <v>263202.06582391739</v>
      </c>
      <c r="J93" s="35">
        <f t="shared" si="99"/>
        <v>271255.96333008248</v>
      </c>
      <c r="K93" s="35">
        <f t="shared" si="99"/>
        <v>307150.63858112961</v>
      </c>
      <c r="L93" s="35">
        <f t="shared" si="99"/>
        <v>320508.14927521581</v>
      </c>
      <c r="M93" s="35">
        <f t="shared" si="99"/>
        <v>334676.06120956957</v>
      </c>
      <c r="N93" s="35">
        <f t="shared" si="99"/>
        <v>349388.5951630341</v>
      </c>
      <c r="O93" s="35">
        <f t="shared" si="99"/>
        <v>369109.82096394984</v>
      </c>
      <c r="P93" s="35">
        <f t="shared" si="99"/>
        <v>436913.07860698027</v>
      </c>
      <c r="Q93" s="35">
        <f t="shared" si="99"/>
        <v>445292.55095390481</v>
      </c>
      <c r="R93" s="35">
        <f t="shared" si="99"/>
        <v>504816.68654214562</v>
      </c>
      <c r="S93" s="35">
        <f t="shared" si="99"/>
        <v>515439.1607738664</v>
      </c>
      <c r="T93" s="35">
        <f t="shared" si="99"/>
        <v>541455.31138623448</v>
      </c>
      <c r="U93" s="35">
        <f t="shared" si="99"/>
        <v>577150.47100604884</v>
      </c>
      <c r="V93" s="35">
        <f t="shared" si="99"/>
        <v>397238.4208928062</v>
      </c>
      <c r="W93" s="35">
        <f t="shared" ref="W93:Y93" si="100">IF(W11=0,0,W11*1000000/W31)</f>
        <v>376006.0879863124</v>
      </c>
      <c r="X93" s="35">
        <f t="shared" si="100"/>
        <v>464378.79542430158</v>
      </c>
      <c r="Y93" s="35">
        <f t="shared" si="100"/>
        <v>502457.72983528598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1081.6777335134614</v>
      </c>
      <c r="C95" s="62">
        <f t="shared" si="101"/>
        <v>1081.0765082013074</v>
      </c>
      <c r="D95" s="62">
        <f t="shared" ref="D95:V95" si="102">IF(D23=0,0,D23/D43)</f>
        <v>896.77876799986609</v>
      </c>
      <c r="E95" s="62">
        <f t="shared" si="102"/>
        <v>1022.1472346335299</v>
      </c>
      <c r="F95" s="62">
        <f t="shared" si="102"/>
        <v>1050.2704998628756</v>
      </c>
      <c r="G95" s="62">
        <f t="shared" si="102"/>
        <v>1043.0613804742763</v>
      </c>
      <c r="H95" s="62">
        <f t="shared" si="102"/>
        <v>1025.2535972130449</v>
      </c>
      <c r="I95" s="62">
        <f t="shared" si="102"/>
        <v>989.55538532644186</v>
      </c>
      <c r="J95" s="62">
        <f t="shared" si="102"/>
        <v>926.86354189018687</v>
      </c>
      <c r="K95" s="62">
        <f t="shared" si="102"/>
        <v>877.97004034089696</v>
      </c>
      <c r="L95" s="62">
        <f t="shared" si="102"/>
        <v>878.98651494885621</v>
      </c>
      <c r="M95" s="62">
        <f t="shared" si="102"/>
        <v>886.6392684227784</v>
      </c>
      <c r="N95" s="62">
        <f t="shared" si="102"/>
        <v>882.05456985148601</v>
      </c>
      <c r="O95" s="62">
        <f t="shared" si="102"/>
        <v>886.63444411697162</v>
      </c>
      <c r="P95" s="62">
        <f t="shared" si="102"/>
        <v>894.91542712713613</v>
      </c>
      <c r="Q95" s="62">
        <f t="shared" si="102"/>
        <v>923.8587530225667</v>
      </c>
      <c r="R95" s="62">
        <f t="shared" si="102"/>
        <v>920.30303774266372</v>
      </c>
      <c r="S95" s="62">
        <f t="shared" si="102"/>
        <v>920.87233545933282</v>
      </c>
      <c r="T95" s="62">
        <f t="shared" si="102"/>
        <v>884.31824500604296</v>
      </c>
      <c r="U95" s="62">
        <f t="shared" si="102"/>
        <v>870.87955316923706</v>
      </c>
      <c r="V95" s="62">
        <f t="shared" si="102"/>
        <v>390.2597632045173</v>
      </c>
      <c r="W95" s="62">
        <f t="shared" ref="W95:Y95" si="103">IF(W23=0,0,W23/W43)</f>
        <v>461.57624331028381</v>
      </c>
      <c r="X95" s="62">
        <f t="shared" si="103"/>
        <v>681.93809459005365</v>
      </c>
      <c r="Y95" s="62">
        <f t="shared" si="103"/>
        <v>727.73764937923011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1129.5642769852382</v>
      </c>
      <c r="C96" s="11">
        <f t="shared" si="104"/>
        <v>1139.1367619716932</v>
      </c>
      <c r="D96" s="11">
        <f t="shared" ref="D96:V96" si="105">IF(D24=0,0,D24/D44)</f>
        <v>932.7220887936669</v>
      </c>
      <c r="E96" s="11">
        <f t="shared" si="105"/>
        <v>1088.0761090217729</v>
      </c>
      <c r="F96" s="11">
        <f t="shared" si="105"/>
        <v>1122.8437624450526</v>
      </c>
      <c r="G96" s="11">
        <f t="shared" si="105"/>
        <v>1116.9252304480501</v>
      </c>
      <c r="H96" s="11">
        <f t="shared" si="105"/>
        <v>1122.7870499613766</v>
      </c>
      <c r="I96" s="11">
        <f t="shared" si="105"/>
        <v>1103.1438996088</v>
      </c>
      <c r="J96" s="11">
        <f t="shared" si="105"/>
        <v>1058.590270168432</v>
      </c>
      <c r="K96" s="11">
        <f t="shared" si="105"/>
        <v>1037.2236198844666</v>
      </c>
      <c r="L96" s="11">
        <f t="shared" si="105"/>
        <v>1006.7819364534123</v>
      </c>
      <c r="M96" s="11">
        <f t="shared" si="105"/>
        <v>1002.3208455388807</v>
      </c>
      <c r="N96" s="11">
        <f t="shared" si="105"/>
        <v>1000.7149202099552</v>
      </c>
      <c r="O96" s="11">
        <f t="shared" si="105"/>
        <v>1001.9820363197711</v>
      </c>
      <c r="P96" s="11">
        <f t="shared" si="105"/>
        <v>1001.4286519296456</v>
      </c>
      <c r="Q96" s="11">
        <f t="shared" si="105"/>
        <v>1003.9920878737263</v>
      </c>
      <c r="R96" s="11">
        <f t="shared" si="105"/>
        <v>1003.7471383554464</v>
      </c>
      <c r="S96" s="11">
        <f t="shared" si="105"/>
        <v>995.83306990369306</v>
      </c>
      <c r="T96" s="11">
        <f t="shared" si="105"/>
        <v>957.03740871541413</v>
      </c>
      <c r="U96" s="11">
        <f t="shared" si="105"/>
        <v>940.91595222477144</v>
      </c>
      <c r="V96" s="11">
        <f t="shared" si="105"/>
        <v>349.4498439652283</v>
      </c>
      <c r="W96" s="11">
        <f t="shared" ref="W96:Y96" si="106">IF(W24=0,0,W24/W44)</f>
        <v>443.35921927967507</v>
      </c>
      <c r="X96" s="11">
        <f t="shared" si="106"/>
        <v>818.11187478222064</v>
      </c>
      <c r="Y96" s="11">
        <f t="shared" si="106"/>
        <v>903.23526758299568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1420.2459210885388</v>
      </c>
      <c r="C98" s="36">
        <f t="shared" si="104"/>
        <v>1419.8071993757496</v>
      </c>
      <c r="D98" s="36">
        <f t="shared" ref="D98:V98" si="109">IF(D26=0,0,D26/D46)</f>
        <v>1180.0300928471986</v>
      </c>
      <c r="E98" s="36">
        <f t="shared" si="109"/>
        <v>1362.6916876530115</v>
      </c>
      <c r="F98" s="36">
        <f t="shared" si="109"/>
        <v>1394.5727888941567</v>
      </c>
      <c r="G98" s="36">
        <f t="shared" si="109"/>
        <v>1406.9801046467769</v>
      </c>
      <c r="H98" s="36">
        <f t="shared" si="109"/>
        <v>1410.5623604421219</v>
      </c>
      <c r="I98" s="36">
        <f t="shared" si="109"/>
        <v>1410.8752346300007</v>
      </c>
      <c r="J98" s="36">
        <f t="shared" si="109"/>
        <v>1402.2038227440835</v>
      </c>
      <c r="K98" s="36">
        <f t="shared" si="109"/>
        <v>1394.5501888985127</v>
      </c>
      <c r="L98" s="36">
        <f t="shared" si="109"/>
        <v>1369.7226948949215</v>
      </c>
      <c r="M98" s="36">
        <f t="shared" si="109"/>
        <v>1375.7791780218802</v>
      </c>
      <c r="N98" s="36">
        <f t="shared" si="109"/>
        <v>1382.6040139420693</v>
      </c>
      <c r="O98" s="36">
        <f t="shared" si="109"/>
        <v>1376.0554237473521</v>
      </c>
      <c r="P98" s="36">
        <f t="shared" si="109"/>
        <v>1361.4293794566581</v>
      </c>
      <c r="Q98" s="36">
        <f t="shared" si="109"/>
        <v>1356.7432446156795</v>
      </c>
      <c r="R98" s="36">
        <f t="shared" si="109"/>
        <v>1342.2774055652214</v>
      </c>
      <c r="S98" s="36">
        <f t="shared" si="109"/>
        <v>1337.4815784445534</v>
      </c>
      <c r="T98" s="36">
        <f t="shared" si="109"/>
        <v>1331.0258441878616</v>
      </c>
      <c r="U98" s="36">
        <f t="shared" si="109"/>
        <v>1319.0852495550059</v>
      </c>
      <c r="V98" s="36">
        <f t="shared" si="109"/>
        <v>504.99835440287978</v>
      </c>
      <c r="W98" s="36">
        <f t="shared" ref="W98:Y98" si="110">IF(W26=0,0,W26/W46)</f>
        <v>624.3245159934238</v>
      </c>
      <c r="X98" s="36">
        <f t="shared" si="110"/>
        <v>1186.5366559632146</v>
      </c>
      <c r="Y98" s="36">
        <f t="shared" si="110"/>
        <v>1284.875045257922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439.00000000000006</v>
      </c>
      <c r="C99" s="36">
        <f t="shared" si="104"/>
        <v>439</v>
      </c>
      <c r="D99" s="36">
        <f t="shared" ref="D99:V99" si="111">IF(D27=0,0,D27/D47)</f>
        <v>311.49739224891562</v>
      </c>
      <c r="E99" s="36">
        <f t="shared" si="111"/>
        <v>387.6587932726473</v>
      </c>
      <c r="F99" s="36">
        <f t="shared" si="111"/>
        <v>439</v>
      </c>
      <c r="G99" s="36">
        <f t="shared" si="111"/>
        <v>464</v>
      </c>
      <c r="H99" s="36">
        <f t="shared" si="111"/>
        <v>459</v>
      </c>
      <c r="I99" s="36">
        <f t="shared" si="111"/>
        <v>453</v>
      </c>
      <c r="J99" s="36">
        <f t="shared" si="111"/>
        <v>439</v>
      </c>
      <c r="K99" s="36">
        <f t="shared" si="111"/>
        <v>446</v>
      </c>
      <c r="L99" s="36">
        <f t="shared" si="111"/>
        <v>442.00000000000006</v>
      </c>
      <c r="M99" s="36">
        <f t="shared" si="111"/>
        <v>441</v>
      </c>
      <c r="N99" s="36">
        <f t="shared" si="111"/>
        <v>450</v>
      </c>
      <c r="O99" s="36">
        <f t="shared" si="111"/>
        <v>458</v>
      </c>
      <c r="P99" s="36">
        <f t="shared" si="111"/>
        <v>460</v>
      </c>
      <c r="Q99" s="36">
        <f t="shared" si="111"/>
        <v>449</v>
      </c>
      <c r="R99" s="36">
        <f t="shared" si="111"/>
        <v>423.16911382209986</v>
      </c>
      <c r="S99" s="36">
        <f t="shared" si="111"/>
        <v>435</v>
      </c>
      <c r="T99" s="36">
        <f t="shared" si="111"/>
        <v>428</v>
      </c>
      <c r="U99" s="36">
        <f t="shared" si="111"/>
        <v>434</v>
      </c>
      <c r="V99" s="36">
        <f t="shared" si="111"/>
        <v>145.8128298684245</v>
      </c>
      <c r="W99" s="36">
        <f t="shared" ref="W99:Y99" si="112">IF(W27=0,0,W27/W47)</f>
        <v>212.46363832298741</v>
      </c>
      <c r="X99" s="36">
        <f t="shared" si="112"/>
        <v>361.07055328028031</v>
      </c>
      <c r="Y99" s="36">
        <f t="shared" si="112"/>
        <v>408.84786923610756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769.58199399087107</v>
      </c>
      <c r="C100" s="13">
        <f t="shared" si="104"/>
        <v>687.1492462317367</v>
      </c>
      <c r="D100" s="13">
        <f t="shared" ref="D100:V100" si="113">IF(D28=0,0,D28/D48)</f>
        <v>651.57893900248644</v>
      </c>
      <c r="E100" s="13">
        <f t="shared" si="113"/>
        <v>657.77307317475106</v>
      </c>
      <c r="F100" s="13">
        <f t="shared" si="113"/>
        <v>677.80534341205555</v>
      </c>
      <c r="G100" s="13">
        <f t="shared" si="113"/>
        <v>695.47013296055866</v>
      </c>
      <c r="H100" s="13">
        <f t="shared" si="113"/>
        <v>737.00539167048578</v>
      </c>
      <c r="I100" s="13">
        <f t="shared" si="113"/>
        <v>689.15389979541305</v>
      </c>
      <c r="J100" s="13">
        <f t="shared" si="113"/>
        <v>561.58744752201187</v>
      </c>
      <c r="K100" s="13">
        <f t="shared" si="113"/>
        <v>427.86072566161795</v>
      </c>
      <c r="L100" s="13">
        <f t="shared" si="113"/>
        <v>487.60868712707963</v>
      </c>
      <c r="M100" s="13">
        <f t="shared" si="113"/>
        <v>495.6516294468239</v>
      </c>
      <c r="N100" s="13">
        <f t="shared" si="113"/>
        <v>468.6997322470898</v>
      </c>
      <c r="O100" s="13">
        <f t="shared" si="113"/>
        <v>474.95495727079179</v>
      </c>
      <c r="P100" s="13">
        <f t="shared" si="113"/>
        <v>476.78794453751902</v>
      </c>
      <c r="Q100" s="13">
        <f t="shared" si="113"/>
        <v>576.95168486155364</v>
      </c>
      <c r="R100" s="13">
        <f t="shared" si="113"/>
        <v>542.96308697763141</v>
      </c>
      <c r="S100" s="13">
        <f t="shared" si="113"/>
        <v>578.25855057921524</v>
      </c>
      <c r="T100" s="13">
        <f t="shared" si="113"/>
        <v>574.73524764860781</v>
      </c>
      <c r="U100" s="13">
        <f t="shared" si="113"/>
        <v>555.37511126633831</v>
      </c>
      <c r="V100" s="13">
        <f t="shared" si="113"/>
        <v>507.89956685775638</v>
      </c>
      <c r="W100" s="13">
        <f t="shared" ref="W100:Y100" si="114">IF(W28=0,0,W28/W48)</f>
        <v>502.39061291135414</v>
      </c>
      <c r="X100" s="13">
        <f t="shared" si="114"/>
        <v>386.25295755925487</v>
      </c>
      <c r="Y100" s="13">
        <f t="shared" si="114"/>
        <v>344.75165120979159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1133.6168486570125</v>
      </c>
      <c r="C102" s="34">
        <f t="shared" si="104"/>
        <v>991.66275804760176</v>
      </c>
      <c r="D102" s="34">
        <f t="shared" ref="D102:V102" si="117">IF(D30=0,0,D30/D50)</f>
        <v>928.51357548235478</v>
      </c>
      <c r="E102" s="34">
        <f t="shared" si="117"/>
        <v>1067.874647640677</v>
      </c>
      <c r="F102" s="34">
        <f t="shared" si="117"/>
        <v>1138.2886170241852</v>
      </c>
      <c r="G102" s="34">
        <f t="shared" si="117"/>
        <v>1130.4524441752235</v>
      </c>
      <c r="H102" s="34">
        <f t="shared" si="117"/>
        <v>1103.0827385483417</v>
      </c>
      <c r="I102" s="34">
        <f t="shared" si="117"/>
        <v>1099.0525036828171</v>
      </c>
      <c r="J102" s="34">
        <f t="shared" si="117"/>
        <v>862.18126833792155</v>
      </c>
      <c r="K102" s="34">
        <f t="shared" si="117"/>
        <v>686.20990799927836</v>
      </c>
      <c r="L102" s="34">
        <f t="shared" si="117"/>
        <v>727.6592612379302</v>
      </c>
      <c r="M102" s="34">
        <f t="shared" si="117"/>
        <v>734.94406410398176</v>
      </c>
      <c r="N102" s="34">
        <f t="shared" si="117"/>
        <v>755.31391790822806</v>
      </c>
      <c r="O102" s="34">
        <f t="shared" si="117"/>
        <v>831.58153465242083</v>
      </c>
      <c r="P102" s="34">
        <f t="shared" si="117"/>
        <v>866.79209825199018</v>
      </c>
      <c r="Q102" s="34">
        <f t="shared" si="117"/>
        <v>1024.2307118241706</v>
      </c>
      <c r="R102" s="34">
        <f t="shared" si="117"/>
        <v>1015.8900505375971</v>
      </c>
      <c r="S102" s="34">
        <f t="shared" si="117"/>
        <v>1047.2827443472493</v>
      </c>
      <c r="T102" s="34">
        <f t="shared" si="117"/>
        <v>1076.9777246553576</v>
      </c>
      <c r="U102" s="34">
        <f t="shared" si="117"/>
        <v>1061.9688953657219</v>
      </c>
      <c r="V102" s="34">
        <f t="shared" si="117"/>
        <v>1082.8079465805595</v>
      </c>
      <c r="W102" s="34">
        <f t="shared" ref="W102:Y102" si="118">IF(W30=0,0,W30/W50)</f>
        <v>1090.8590942611218</v>
      </c>
      <c r="X102" s="34">
        <f t="shared" si="118"/>
        <v>832.24067016183017</v>
      </c>
      <c r="Y102" s="34">
        <f t="shared" si="118"/>
        <v>842.85066077000818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368</v>
      </c>
      <c r="C103" s="35">
        <f t="shared" si="104"/>
        <v>368</v>
      </c>
      <c r="D103" s="35">
        <f t="shared" ref="D103:V103" si="119">IF(D31=0,0,D31/D51)</f>
        <v>363.01214574898785</v>
      </c>
      <c r="E103" s="35">
        <f t="shared" si="119"/>
        <v>368</v>
      </c>
      <c r="F103" s="35">
        <f t="shared" si="119"/>
        <v>368</v>
      </c>
      <c r="G103" s="35">
        <f t="shared" si="119"/>
        <v>385</v>
      </c>
      <c r="H103" s="35">
        <f t="shared" si="119"/>
        <v>375</v>
      </c>
      <c r="I103" s="35">
        <f t="shared" si="119"/>
        <v>366</v>
      </c>
      <c r="J103" s="35">
        <f t="shared" si="119"/>
        <v>352</v>
      </c>
      <c r="K103" s="35">
        <f t="shared" si="119"/>
        <v>251.51241424291015</v>
      </c>
      <c r="L103" s="35">
        <f t="shared" si="119"/>
        <v>327.53048433048434</v>
      </c>
      <c r="M103" s="35">
        <f t="shared" si="119"/>
        <v>343</v>
      </c>
      <c r="N103" s="35">
        <f t="shared" si="119"/>
        <v>291.15300839395303</v>
      </c>
      <c r="O103" s="35">
        <f t="shared" si="119"/>
        <v>261.16837709471139</v>
      </c>
      <c r="P103" s="35">
        <f t="shared" si="119"/>
        <v>251.46250038755866</v>
      </c>
      <c r="Q103" s="35">
        <f t="shared" si="119"/>
        <v>325.10876875475714</v>
      </c>
      <c r="R103" s="35">
        <f t="shared" si="119"/>
        <v>288.43243856831839</v>
      </c>
      <c r="S103" s="35">
        <f t="shared" si="119"/>
        <v>321</v>
      </c>
      <c r="T103" s="35">
        <f t="shared" si="119"/>
        <v>314</v>
      </c>
      <c r="U103" s="35">
        <f t="shared" si="119"/>
        <v>296.73036491602295</v>
      </c>
      <c r="V103" s="35">
        <f t="shared" si="119"/>
        <v>307</v>
      </c>
      <c r="W103" s="35">
        <f t="shared" ref="W103:Y103" si="120">IF(W31=0,0,W31/W51)</f>
        <v>321</v>
      </c>
      <c r="X103" s="35">
        <f t="shared" si="120"/>
        <v>252.32065290545577</v>
      </c>
      <c r="Y103" s="35">
        <f t="shared" si="120"/>
        <v>197.41253228907451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0.51857551641683175</v>
      </c>
      <c r="C108" s="43">
        <f t="shared" si="127"/>
        <v>0.53112117746149812</v>
      </c>
      <c r="D108" s="43">
        <f t="shared" ref="D108:V108" si="128">IF(D6=0,0,D6/D$4)</f>
        <v>0.56148209860326903</v>
      </c>
      <c r="E108" s="43">
        <f t="shared" si="128"/>
        <v>0.56730199772659606</v>
      </c>
      <c r="F108" s="43">
        <f t="shared" si="128"/>
        <v>0.54985636331176657</v>
      </c>
      <c r="G108" s="43">
        <f t="shared" si="128"/>
        <v>0.53456877645199308</v>
      </c>
      <c r="H108" s="43">
        <f t="shared" si="128"/>
        <v>0.53260846564461251</v>
      </c>
      <c r="I108" s="43">
        <f t="shared" si="128"/>
        <v>0.48714121313514019</v>
      </c>
      <c r="J108" s="43">
        <f t="shared" si="128"/>
        <v>0.42693426794922507</v>
      </c>
      <c r="K108" s="43">
        <f t="shared" si="128"/>
        <v>0.42386961981064819</v>
      </c>
      <c r="L108" s="43">
        <f t="shared" si="128"/>
        <v>0.42134191734605603</v>
      </c>
      <c r="M108" s="43">
        <f t="shared" si="128"/>
        <v>0.42754342938915402</v>
      </c>
      <c r="N108" s="43">
        <f t="shared" si="128"/>
        <v>0.43116748930742371</v>
      </c>
      <c r="O108" s="43">
        <f t="shared" si="128"/>
        <v>0.4273845265513152</v>
      </c>
      <c r="P108" s="43">
        <f t="shared" si="128"/>
        <v>0.43547240725707559</v>
      </c>
      <c r="Q108" s="43">
        <f t="shared" si="128"/>
        <v>0.44594691646546869</v>
      </c>
      <c r="R108" s="43">
        <f t="shared" si="128"/>
        <v>0.49137058400754086</v>
      </c>
      <c r="S108" s="43">
        <f t="shared" si="128"/>
        <v>0.4748419267540025</v>
      </c>
      <c r="T108" s="43">
        <f t="shared" si="128"/>
        <v>0.4389820913193988</v>
      </c>
      <c r="U108" s="43">
        <f t="shared" si="128"/>
        <v>0.42944238299074777</v>
      </c>
      <c r="V108" s="43">
        <f t="shared" si="128"/>
        <v>0.42343926527585818</v>
      </c>
      <c r="W108" s="43">
        <f t="shared" ref="W108:Y108" si="129">IF(W6=0,0,W6/W$4)</f>
        <v>0.43529843974399796</v>
      </c>
      <c r="X108" s="43">
        <f t="shared" si="129"/>
        <v>0.44259445132945174</v>
      </c>
      <c r="Y108" s="43">
        <f t="shared" si="129"/>
        <v>0.44932376349052355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0.48142448358316819</v>
      </c>
      <c r="C109" s="43">
        <f t="shared" si="130"/>
        <v>0.46887882253850194</v>
      </c>
      <c r="D109" s="43">
        <f t="shared" ref="D109:V109" si="131">IF(D7=0,0,D7/D$4)</f>
        <v>0.43851790139673097</v>
      </c>
      <c r="E109" s="43">
        <f t="shared" si="131"/>
        <v>0.43269800227340394</v>
      </c>
      <c r="F109" s="43">
        <f t="shared" si="131"/>
        <v>0.45014363668823348</v>
      </c>
      <c r="G109" s="43">
        <f t="shared" si="131"/>
        <v>0.46543122354800687</v>
      </c>
      <c r="H109" s="43">
        <f t="shared" si="131"/>
        <v>0.46739153435538761</v>
      </c>
      <c r="I109" s="43">
        <f t="shared" si="131"/>
        <v>0.51285878686485986</v>
      </c>
      <c r="J109" s="43">
        <f t="shared" si="131"/>
        <v>0.57306573205077505</v>
      </c>
      <c r="K109" s="43">
        <f t="shared" si="131"/>
        <v>0.57613038018935181</v>
      </c>
      <c r="L109" s="43">
        <f t="shared" si="131"/>
        <v>0.57865808265394392</v>
      </c>
      <c r="M109" s="43">
        <f t="shared" si="131"/>
        <v>0.57245657061084598</v>
      </c>
      <c r="N109" s="43">
        <f t="shared" si="131"/>
        <v>0.56883251069257623</v>
      </c>
      <c r="O109" s="43">
        <f t="shared" si="131"/>
        <v>0.5726154734486848</v>
      </c>
      <c r="P109" s="43">
        <f t="shared" si="131"/>
        <v>0.5645275927429243</v>
      </c>
      <c r="Q109" s="43">
        <f t="shared" si="131"/>
        <v>0.55405308353453142</v>
      </c>
      <c r="R109" s="43">
        <f t="shared" si="131"/>
        <v>0.50862941599245926</v>
      </c>
      <c r="S109" s="43">
        <f t="shared" si="131"/>
        <v>0.5251580732459975</v>
      </c>
      <c r="T109" s="43">
        <f t="shared" si="131"/>
        <v>0.5610179086806012</v>
      </c>
      <c r="U109" s="43">
        <f t="shared" si="131"/>
        <v>0.57055761700925223</v>
      </c>
      <c r="V109" s="43">
        <f t="shared" si="131"/>
        <v>0.57656073472414193</v>
      </c>
      <c r="W109" s="43">
        <f t="shared" ref="W109:Y109" si="132">IF(W7=0,0,W7/W$4)</f>
        <v>0.56470156025600204</v>
      </c>
      <c r="X109" s="43">
        <f t="shared" si="132"/>
        <v>0.55740554867054826</v>
      </c>
      <c r="Y109" s="43">
        <f t="shared" si="132"/>
        <v>0.5506762365094765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0.18242818520500642</v>
      </c>
      <c r="C112" s="44">
        <f t="shared" si="139"/>
        <v>0.15572090419512855</v>
      </c>
      <c r="D112" s="44">
        <f t="shared" ref="D112:V112" si="140">IF(D10=0,0,D10/D$8)</f>
        <v>0.14678536902983833</v>
      </c>
      <c r="E112" s="44">
        <f t="shared" si="140"/>
        <v>0.12862248861819062</v>
      </c>
      <c r="F112" s="44">
        <f t="shared" si="140"/>
        <v>0.1225962118234393</v>
      </c>
      <c r="G112" s="44">
        <f t="shared" si="140"/>
        <v>0.13665094787550586</v>
      </c>
      <c r="H112" s="44">
        <f t="shared" si="140"/>
        <v>0.16487890111788295</v>
      </c>
      <c r="I112" s="44">
        <f t="shared" si="140"/>
        <v>0.13324308995596248</v>
      </c>
      <c r="J112" s="44">
        <f t="shared" si="140"/>
        <v>9.336831800135019E-2</v>
      </c>
      <c r="K112" s="44">
        <f t="shared" si="140"/>
        <v>9.1917217088182096E-2</v>
      </c>
      <c r="L112" s="44">
        <f t="shared" si="140"/>
        <v>7.5515307759712935E-2</v>
      </c>
      <c r="M112" s="44">
        <f t="shared" si="140"/>
        <v>6.9346821291918617E-2</v>
      </c>
      <c r="N112" s="44">
        <f t="shared" si="140"/>
        <v>8.3835396134857604E-2</v>
      </c>
      <c r="O112" s="44">
        <f t="shared" si="140"/>
        <v>9.2320215950048176E-2</v>
      </c>
      <c r="P112" s="44">
        <f t="shared" si="140"/>
        <v>9.1933167234270766E-2</v>
      </c>
      <c r="Q112" s="44">
        <f t="shared" si="140"/>
        <v>7.9615477221292932E-2</v>
      </c>
      <c r="R112" s="44">
        <f t="shared" si="140"/>
        <v>8.3476618509375891E-2</v>
      </c>
      <c r="S112" s="44">
        <f t="shared" si="140"/>
        <v>7.1646762713083054E-2</v>
      </c>
      <c r="T112" s="44">
        <f t="shared" si="140"/>
        <v>6.896168384101542E-2</v>
      </c>
      <c r="U112" s="44">
        <f t="shared" si="140"/>
        <v>7.0168149327886828E-2</v>
      </c>
      <c r="V112" s="44">
        <f t="shared" si="140"/>
        <v>6.0363439410635572E-2</v>
      </c>
      <c r="W112" s="44">
        <f t="shared" ref="W112:Y112" si="141">IF(W10=0,0,W10/W$8)</f>
        <v>5.3238353934879863E-2</v>
      </c>
      <c r="X112" s="44">
        <f t="shared" si="141"/>
        <v>3.7722541912920814E-2</v>
      </c>
      <c r="Y112" s="44">
        <f t="shared" si="141"/>
        <v>4.322025537696194E-2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0.81757181479499363</v>
      </c>
      <c r="C113" s="45">
        <f t="shared" si="142"/>
        <v>0.84427909580487148</v>
      </c>
      <c r="D113" s="45">
        <f t="shared" ref="D113:V113" si="143">IF(D11=0,0,D11/D$8)</f>
        <v>0.8532146309701617</v>
      </c>
      <c r="E113" s="45">
        <f t="shared" si="143"/>
        <v>0.87137751138180941</v>
      </c>
      <c r="F113" s="45">
        <f t="shared" si="143"/>
        <v>0.87740378817656062</v>
      </c>
      <c r="G113" s="45">
        <f t="shared" si="143"/>
        <v>0.8633490521244942</v>
      </c>
      <c r="H113" s="45">
        <f t="shared" si="143"/>
        <v>0.83512109888211705</v>
      </c>
      <c r="I113" s="45">
        <f t="shared" si="143"/>
        <v>0.86675691004403754</v>
      </c>
      <c r="J113" s="45">
        <f t="shared" si="143"/>
        <v>0.90663168199864985</v>
      </c>
      <c r="K113" s="45">
        <f t="shared" si="143"/>
        <v>0.90808278291181788</v>
      </c>
      <c r="L113" s="45">
        <f t="shared" si="143"/>
        <v>0.92448469224028706</v>
      </c>
      <c r="M113" s="45">
        <f t="shared" si="143"/>
        <v>0.9306531787080814</v>
      </c>
      <c r="N113" s="45">
        <f t="shared" si="143"/>
        <v>0.91616460386514242</v>
      </c>
      <c r="O113" s="45">
        <f t="shared" si="143"/>
        <v>0.90767978404995187</v>
      </c>
      <c r="P113" s="45">
        <f t="shared" si="143"/>
        <v>0.9080668327657293</v>
      </c>
      <c r="Q113" s="45">
        <f t="shared" si="143"/>
        <v>0.92038452277870697</v>
      </c>
      <c r="R113" s="45">
        <f t="shared" si="143"/>
        <v>0.91652338149062418</v>
      </c>
      <c r="S113" s="45">
        <f t="shared" si="143"/>
        <v>0.92835323728691688</v>
      </c>
      <c r="T113" s="45">
        <f t="shared" si="143"/>
        <v>0.93103831615898458</v>
      </c>
      <c r="U113" s="45">
        <f t="shared" si="143"/>
        <v>0.92983185067211316</v>
      </c>
      <c r="V113" s="45">
        <f t="shared" si="143"/>
        <v>0.9396365605893644</v>
      </c>
      <c r="W113" s="45">
        <f t="shared" ref="W113:Y113" si="144">IF(W11=0,0,W11/W$8)</f>
        <v>0.94676164606512014</v>
      </c>
      <c r="X113" s="45">
        <f t="shared" si="144"/>
        <v>0.96227745808707921</v>
      </c>
      <c r="Y113" s="45">
        <f t="shared" si="144"/>
        <v>0.95677974462303816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0.65429505353189432</v>
      </c>
      <c r="C118" s="43">
        <f t="shared" si="151"/>
        <v>0.66533947960695095</v>
      </c>
      <c r="D118" s="43">
        <f t="shared" ref="D118:V118" si="152">IF(D16=0,0,D16/D$14)</f>
        <v>0.6968937660945681</v>
      </c>
      <c r="E118" s="43">
        <f t="shared" si="152"/>
        <v>0.6917056047129303</v>
      </c>
      <c r="F118" s="43">
        <f t="shared" si="152"/>
        <v>0.66786388608452441</v>
      </c>
      <c r="G118" s="43">
        <f t="shared" si="152"/>
        <v>0.64797499358432675</v>
      </c>
      <c r="H118" s="43">
        <f t="shared" si="152"/>
        <v>0.65207020655411096</v>
      </c>
      <c r="I118" s="43">
        <f t="shared" si="152"/>
        <v>0.63131851985976506</v>
      </c>
      <c r="J118" s="43">
        <f t="shared" si="152"/>
        <v>0.59348792495520419</v>
      </c>
      <c r="K118" s="43">
        <f t="shared" si="152"/>
        <v>0.57462508524632949</v>
      </c>
      <c r="L118" s="43">
        <f t="shared" si="152"/>
        <v>0.5650711905987037</v>
      </c>
      <c r="M118" s="43">
        <f t="shared" si="152"/>
        <v>0.55497869360952234</v>
      </c>
      <c r="N118" s="43">
        <f t="shared" si="152"/>
        <v>0.54356593262584674</v>
      </c>
      <c r="O118" s="43">
        <f t="shared" si="152"/>
        <v>0.54885756231337901</v>
      </c>
      <c r="P118" s="43">
        <f t="shared" si="152"/>
        <v>0.56077291990551947</v>
      </c>
      <c r="Q118" s="43">
        <f t="shared" si="152"/>
        <v>0.57129701347216488</v>
      </c>
      <c r="R118" s="43">
        <f t="shared" si="152"/>
        <v>0.60228219529431115</v>
      </c>
      <c r="S118" s="43">
        <f t="shared" si="152"/>
        <v>0.58350575619316492</v>
      </c>
      <c r="T118" s="43">
        <f t="shared" si="152"/>
        <v>0.54758522719821134</v>
      </c>
      <c r="U118" s="43">
        <f t="shared" si="152"/>
        <v>0.53691306798373895</v>
      </c>
      <c r="V118" s="43">
        <f t="shared" si="152"/>
        <v>0.53578043446025803</v>
      </c>
      <c r="W118" s="43">
        <f t="shared" ref="W118:Y118" si="153">IF(W16=0,0,W16/W$14)</f>
        <v>0.50298935406953116</v>
      </c>
      <c r="X118" s="43">
        <f t="shared" si="153"/>
        <v>0.54742930685491054</v>
      </c>
      <c r="Y118" s="43">
        <f t="shared" si="153"/>
        <v>0.56177235672871695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0.34570494646810568</v>
      </c>
      <c r="C119" s="43">
        <f t="shared" si="154"/>
        <v>0.33466052039304905</v>
      </c>
      <c r="D119" s="43">
        <f t="shared" ref="D119:V119" si="155">IF(D17=0,0,D17/D$14)</f>
        <v>0.3031062339054319</v>
      </c>
      <c r="E119" s="43">
        <f t="shared" si="155"/>
        <v>0.3082943952870697</v>
      </c>
      <c r="F119" s="43">
        <f t="shared" si="155"/>
        <v>0.33213611391547565</v>
      </c>
      <c r="G119" s="43">
        <f t="shared" si="155"/>
        <v>0.3520250064156733</v>
      </c>
      <c r="H119" s="43">
        <f t="shared" si="155"/>
        <v>0.34792979344588904</v>
      </c>
      <c r="I119" s="43">
        <f t="shared" si="155"/>
        <v>0.36868148014023494</v>
      </c>
      <c r="J119" s="43">
        <f t="shared" si="155"/>
        <v>0.40651207504479586</v>
      </c>
      <c r="K119" s="43">
        <f t="shared" si="155"/>
        <v>0.42537491475367045</v>
      </c>
      <c r="L119" s="43">
        <f t="shared" si="155"/>
        <v>0.43492880940129625</v>
      </c>
      <c r="M119" s="43">
        <f t="shared" si="155"/>
        <v>0.44502130639047766</v>
      </c>
      <c r="N119" s="43">
        <f t="shared" si="155"/>
        <v>0.45643406737415326</v>
      </c>
      <c r="O119" s="43">
        <f t="shared" si="155"/>
        <v>0.4511424376866211</v>
      </c>
      <c r="P119" s="43">
        <f t="shared" si="155"/>
        <v>0.43922708009448058</v>
      </c>
      <c r="Q119" s="43">
        <f t="shared" si="155"/>
        <v>0.42870298652783517</v>
      </c>
      <c r="R119" s="43">
        <f t="shared" si="155"/>
        <v>0.39771780470568879</v>
      </c>
      <c r="S119" s="43">
        <f t="shared" si="155"/>
        <v>0.41649424380683514</v>
      </c>
      <c r="T119" s="43">
        <f t="shared" si="155"/>
        <v>0.45241477280178866</v>
      </c>
      <c r="U119" s="43">
        <f t="shared" si="155"/>
        <v>0.46308693201626111</v>
      </c>
      <c r="V119" s="43">
        <f t="shared" si="155"/>
        <v>0.46421956553974192</v>
      </c>
      <c r="W119" s="43">
        <f t="shared" ref="W119:Y119" si="156">IF(W17=0,0,W17/W$14)</f>
        <v>0.49701064593046884</v>
      </c>
      <c r="X119" s="43">
        <f t="shared" si="156"/>
        <v>0.45257069314508946</v>
      </c>
      <c r="Y119" s="43">
        <f t="shared" si="156"/>
        <v>0.43822764327128305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0.37681454351116267</v>
      </c>
      <c r="C122" s="44">
        <f t="shared" si="163"/>
        <v>0.33480017118333294</v>
      </c>
      <c r="D122" s="44">
        <f t="shared" ref="D122:V122" si="164">IF(D20=0,0,D20/D$18)</f>
        <v>0.32094160230910718</v>
      </c>
      <c r="E122" s="44">
        <f t="shared" si="164"/>
        <v>0.2652459738381534</v>
      </c>
      <c r="F122" s="44">
        <f t="shared" si="164"/>
        <v>0.26783010371531002</v>
      </c>
      <c r="G122" s="44">
        <f t="shared" si="164"/>
        <v>0.2846987246042621</v>
      </c>
      <c r="H122" s="44">
        <f t="shared" si="164"/>
        <v>0.36400840344671126</v>
      </c>
      <c r="I122" s="44">
        <f t="shared" si="164"/>
        <v>0.31271407453545025</v>
      </c>
      <c r="J122" s="44">
        <f t="shared" si="164"/>
        <v>0.23676705359718889</v>
      </c>
      <c r="K122" s="44">
        <f t="shared" si="164"/>
        <v>0.24850992627505769</v>
      </c>
      <c r="L122" s="44">
        <f t="shared" si="164"/>
        <v>0.21070109610562812</v>
      </c>
      <c r="M122" s="44">
        <f t="shared" si="164"/>
        <v>0.19370446561795404</v>
      </c>
      <c r="N122" s="44">
        <f t="shared" si="164"/>
        <v>0.22127283630213004</v>
      </c>
      <c r="O122" s="44">
        <f t="shared" si="164"/>
        <v>0.25124917884837394</v>
      </c>
      <c r="P122" s="44">
        <f t="shared" si="164"/>
        <v>0.25832692976731642</v>
      </c>
      <c r="Q122" s="44">
        <f t="shared" si="164"/>
        <v>0.22936290376332502</v>
      </c>
      <c r="R122" s="44">
        <f t="shared" si="164"/>
        <v>0.23708394974491356</v>
      </c>
      <c r="S122" s="44">
        <f t="shared" si="164"/>
        <v>0.22574113411465521</v>
      </c>
      <c r="T122" s="44">
        <f t="shared" si="164"/>
        <v>0.22254895636352887</v>
      </c>
      <c r="U122" s="44">
        <f t="shared" si="164"/>
        <v>0.22734590102916616</v>
      </c>
      <c r="V122" s="44">
        <f t="shared" si="164"/>
        <v>0.16537774156651366</v>
      </c>
      <c r="W122" s="44">
        <f t="shared" ref="W122:Y122" si="165">IF(W20=0,0,W20/W$18)</f>
        <v>0.14809672591168191</v>
      </c>
      <c r="X122" s="44">
        <f t="shared" si="165"/>
        <v>0.12236121769305833</v>
      </c>
      <c r="Y122" s="44">
        <f t="shared" si="165"/>
        <v>0.1446069246480283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0.62318545648883739</v>
      </c>
      <c r="C123" s="45">
        <f t="shared" si="166"/>
        <v>0.66519982881666695</v>
      </c>
      <c r="D123" s="45">
        <f t="shared" ref="D123:V123" si="167">IF(D21=0,0,D21/D$18)</f>
        <v>0.67905839769089282</v>
      </c>
      <c r="E123" s="45">
        <f t="shared" si="167"/>
        <v>0.73475402616184649</v>
      </c>
      <c r="F123" s="45">
        <f t="shared" si="167"/>
        <v>0.73216989628468998</v>
      </c>
      <c r="G123" s="45">
        <f t="shared" si="167"/>
        <v>0.71530127539573796</v>
      </c>
      <c r="H123" s="45">
        <f t="shared" si="167"/>
        <v>0.63599159655328874</v>
      </c>
      <c r="I123" s="45">
        <f t="shared" si="167"/>
        <v>0.68728592546454981</v>
      </c>
      <c r="J123" s="45">
        <f t="shared" si="167"/>
        <v>0.76323294640281103</v>
      </c>
      <c r="K123" s="45">
        <f t="shared" si="167"/>
        <v>0.75149007372494225</v>
      </c>
      <c r="L123" s="45">
        <f t="shared" si="167"/>
        <v>0.78929890389437196</v>
      </c>
      <c r="M123" s="45">
        <f t="shared" si="167"/>
        <v>0.80629553438204593</v>
      </c>
      <c r="N123" s="45">
        <f t="shared" si="167"/>
        <v>0.77872716369786998</v>
      </c>
      <c r="O123" s="45">
        <f t="shared" si="167"/>
        <v>0.74875082115162606</v>
      </c>
      <c r="P123" s="45">
        <f t="shared" si="167"/>
        <v>0.7416730702326837</v>
      </c>
      <c r="Q123" s="45">
        <f t="shared" si="167"/>
        <v>0.77063709623667509</v>
      </c>
      <c r="R123" s="45">
        <f t="shared" si="167"/>
        <v>0.76291605025508646</v>
      </c>
      <c r="S123" s="45">
        <f t="shared" si="167"/>
        <v>0.77425886588534487</v>
      </c>
      <c r="T123" s="45">
        <f t="shared" si="167"/>
        <v>0.77745104363647111</v>
      </c>
      <c r="U123" s="45">
        <f t="shared" si="167"/>
        <v>0.77265409897083381</v>
      </c>
      <c r="V123" s="45">
        <f t="shared" si="167"/>
        <v>0.83462225843348636</v>
      </c>
      <c r="W123" s="45">
        <f t="shared" ref="W123:Y123" si="168">IF(W21=0,0,W21/W$18)</f>
        <v>0.85190327408831812</v>
      </c>
      <c r="X123" s="45">
        <f t="shared" si="168"/>
        <v>0.8776387823069417</v>
      </c>
      <c r="Y123" s="45">
        <f t="shared" si="168"/>
        <v>0.85539307535197162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1509.9503009458299</v>
      </c>
      <c r="C3" s="79">
        <f t="shared" si="0"/>
        <v>1376.024677558039</v>
      </c>
      <c r="D3" s="79">
        <f t="shared" ref="D3" si="1">SUM(D4:D5)</f>
        <v>1140.6300945829755</v>
      </c>
      <c r="E3" s="79">
        <f t="shared" ref="E3" si="2">SUM(E4:E5)</f>
        <v>1244.8743766122093</v>
      </c>
      <c r="F3" s="79">
        <f t="shared" ref="F3" si="3">SUM(F4:F5)</f>
        <v>1218.682545141874</v>
      </c>
      <c r="G3" s="79">
        <f t="shared" ref="G3" si="4">SUM(G4:G5)</f>
        <v>1159.0116938950991</v>
      </c>
      <c r="H3" s="79">
        <f t="shared" ref="H3" si="5">SUM(H4:H5)</f>
        <v>1209.336457437661</v>
      </c>
      <c r="I3" s="79">
        <f t="shared" ref="I3" si="6">SUM(I4:I5)</f>
        <v>1313.4780739466901</v>
      </c>
      <c r="J3" s="79">
        <f t="shared" ref="J3" si="7">SUM(J4:J5)</f>
        <v>1420.2899398108339</v>
      </c>
      <c r="K3" s="79">
        <f t="shared" ref="K3" si="8">SUM(K4:K5)</f>
        <v>1293.9644024075669</v>
      </c>
      <c r="L3" s="79">
        <f t="shared" ref="L3" si="9">SUM(L4:L5)</f>
        <v>1375.3057609630271</v>
      </c>
      <c r="M3" s="79">
        <f t="shared" ref="M3" si="10">SUM(M4:M5)</f>
        <v>1461.063370593293</v>
      </c>
      <c r="N3" s="79">
        <f t="shared" ref="N3" si="11">SUM(N4:N5)</f>
        <v>1345.0080825451423</v>
      </c>
      <c r="O3" s="79">
        <f t="shared" ref="O3" si="12">SUM(O4:O5)</f>
        <v>1273.0128116938952</v>
      </c>
      <c r="P3" s="79">
        <f t="shared" ref="P3" si="13">SUM(P4:P5)</f>
        <v>1330.424161650903</v>
      </c>
      <c r="Q3" s="79">
        <f t="shared" ref="Q3" si="14">SUM(Q4:Q5)</f>
        <v>1445.8631986242467</v>
      </c>
      <c r="R3" s="79">
        <f t="shared" ref="R3" si="15">SUM(R4:R5)</f>
        <v>1439.0847807394664</v>
      </c>
      <c r="S3" s="79">
        <f t="shared" ref="S3" si="16">SUM(S4:S5)</f>
        <v>1581.3294067067927</v>
      </c>
      <c r="T3" s="79">
        <f t="shared" ref="T3" si="17">SUM(T4:T5)</f>
        <v>1685.8818572656917</v>
      </c>
      <c r="U3" s="79">
        <f t="shared" ref="U3" si="18">SUM(U4:U5)</f>
        <v>1704.3685296646599</v>
      </c>
      <c r="V3" s="79">
        <f t="shared" ref="V3:W3" si="19">SUM(V4:V5)</f>
        <v>1198.245915735168</v>
      </c>
      <c r="W3" s="79">
        <f t="shared" si="19"/>
        <v>1512.0270851246778</v>
      </c>
      <c r="X3" s="79">
        <f t="shared" ref="X3:Y3" si="20">SUM(X4:X5)</f>
        <v>1751.3392089423903</v>
      </c>
      <c r="Y3" s="79">
        <f t="shared" si="20"/>
        <v>1754.8151332760099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1509.9503009458299</v>
      </c>
      <c r="C5" s="96">
        <f t="shared" si="24"/>
        <v>1376.024677558039</v>
      </c>
      <c r="D5" s="96">
        <f t="shared" ref="D5:V5" si="25">SUM(D8:D9,D12:D13)</f>
        <v>1140.6300945829755</v>
      </c>
      <c r="E5" s="96">
        <f t="shared" si="25"/>
        <v>1244.8743766122093</v>
      </c>
      <c r="F5" s="96">
        <f t="shared" si="25"/>
        <v>1218.682545141874</v>
      </c>
      <c r="G5" s="96">
        <f t="shared" si="25"/>
        <v>1159.0116938950991</v>
      </c>
      <c r="H5" s="96">
        <f t="shared" si="25"/>
        <v>1209.336457437661</v>
      </c>
      <c r="I5" s="96">
        <f t="shared" si="25"/>
        <v>1313.4780739466901</v>
      </c>
      <c r="J5" s="96">
        <f t="shared" si="25"/>
        <v>1420.2899398108339</v>
      </c>
      <c r="K5" s="96">
        <f t="shared" si="25"/>
        <v>1293.9644024075669</v>
      </c>
      <c r="L5" s="96">
        <f t="shared" si="25"/>
        <v>1375.3057609630271</v>
      </c>
      <c r="M5" s="96">
        <f t="shared" si="25"/>
        <v>1461.063370593293</v>
      </c>
      <c r="N5" s="96">
        <f t="shared" si="25"/>
        <v>1345.0080825451423</v>
      </c>
      <c r="O5" s="96">
        <f t="shared" si="25"/>
        <v>1273.0128116938952</v>
      </c>
      <c r="P5" s="96">
        <f t="shared" si="25"/>
        <v>1330.424161650903</v>
      </c>
      <c r="Q5" s="96">
        <f t="shared" si="25"/>
        <v>1445.8631986242467</v>
      </c>
      <c r="R5" s="96">
        <f t="shared" si="25"/>
        <v>1439.0847807394664</v>
      </c>
      <c r="S5" s="96">
        <f t="shared" si="25"/>
        <v>1581.3294067067927</v>
      </c>
      <c r="T5" s="96">
        <f t="shared" si="25"/>
        <v>1685.8818572656917</v>
      </c>
      <c r="U5" s="96">
        <f t="shared" si="25"/>
        <v>1704.3685296646599</v>
      </c>
      <c r="V5" s="96">
        <f t="shared" si="25"/>
        <v>1198.245915735168</v>
      </c>
      <c r="W5" s="96">
        <f t="shared" ref="W5:Y5" si="26">SUM(W8:W9,W12:W13)</f>
        <v>1512.0270851246778</v>
      </c>
      <c r="X5" s="96">
        <f t="shared" si="26"/>
        <v>1751.3392089423903</v>
      </c>
      <c r="Y5" s="96">
        <f t="shared" si="26"/>
        <v>1754.8151332760099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1311.7722787188236</v>
      </c>
      <c r="C6" s="21">
        <f t="shared" si="27"/>
        <v>1204.025914932201</v>
      </c>
      <c r="D6" s="21">
        <f t="shared" ref="D6:V6" si="28">SUM(D7:D9)</f>
        <v>966.65172123258594</v>
      </c>
      <c r="E6" s="21">
        <f t="shared" si="28"/>
        <v>1029.1191219072448</v>
      </c>
      <c r="F6" s="21">
        <f t="shared" si="28"/>
        <v>1002.9594905785251</v>
      </c>
      <c r="G6" s="21">
        <f t="shared" si="28"/>
        <v>939.22113716458898</v>
      </c>
      <c r="H6" s="21">
        <f t="shared" si="28"/>
        <v>891.13129266698547</v>
      </c>
      <c r="I6" s="21">
        <f t="shared" si="28"/>
        <v>936.6871635551322</v>
      </c>
      <c r="J6" s="21">
        <f t="shared" si="28"/>
        <v>1056.7610870073061</v>
      </c>
      <c r="K6" s="21">
        <f t="shared" si="28"/>
        <v>1034.2502067095393</v>
      </c>
      <c r="L6" s="21">
        <f t="shared" si="28"/>
        <v>1064.1334613671761</v>
      </c>
      <c r="M6" s="21">
        <f t="shared" si="28"/>
        <v>1149.5145864635147</v>
      </c>
      <c r="N6" s="21">
        <f t="shared" si="28"/>
        <v>1091.3132940277098</v>
      </c>
      <c r="O6" s="21">
        <f t="shared" si="28"/>
        <v>1042.9014561998097</v>
      </c>
      <c r="P6" s="21">
        <f t="shared" si="28"/>
        <v>1103.9230216239671</v>
      </c>
      <c r="Q6" s="21">
        <f t="shared" si="28"/>
        <v>1163.8697315234624</v>
      </c>
      <c r="R6" s="21">
        <f t="shared" si="28"/>
        <v>1176.0534397230203</v>
      </c>
      <c r="S6" s="21">
        <f t="shared" si="28"/>
        <v>1283.6637794977864</v>
      </c>
      <c r="T6" s="21">
        <f t="shared" si="28"/>
        <v>1361.862942467767</v>
      </c>
      <c r="U6" s="21">
        <f t="shared" si="28"/>
        <v>1397.3209076330409</v>
      </c>
      <c r="V6" s="21">
        <f t="shared" si="28"/>
        <v>611.90637490198333</v>
      </c>
      <c r="W6" s="21">
        <f t="shared" ref="W6:Y6" si="29">SUM(W7:W9)</f>
        <v>844.32121353972661</v>
      </c>
      <c r="X6" s="21">
        <f t="shared" si="29"/>
        <v>1213.7547663664757</v>
      </c>
      <c r="Y6" s="21">
        <f t="shared" si="29"/>
        <v>1262.4830524901263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707.03769676676507</v>
      </c>
      <c r="C8" s="96">
        <v>663.65888802878271</v>
      </c>
      <c r="D8" s="96">
        <v>567.66355580364086</v>
      </c>
      <c r="E8" s="96">
        <v>597.59341095099785</v>
      </c>
      <c r="F8" s="96">
        <v>555.34855552772501</v>
      </c>
      <c r="G8" s="96">
        <v>519.97158915021748</v>
      </c>
      <c r="H8" s="96">
        <v>498.06012794996968</v>
      </c>
      <c r="I8" s="96">
        <v>530.81065948638638</v>
      </c>
      <c r="J8" s="96">
        <v>589.64409149857897</v>
      </c>
      <c r="K8" s="96">
        <v>560.32165680512605</v>
      </c>
      <c r="L8" s="96">
        <v>575.36961839192463</v>
      </c>
      <c r="M8" s="96">
        <v>620.66162555002086</v>
      </c>
      <c r="N8" s="96">
        <v>582.12518689182787</v>
      </c>
      <c r="O8" s="96">
        <v>553.17897542013736</v>
      </c>
      <c r="P8" s="96">
        <v>588.24274153787928</v>
      </c>
      <c r="Q8" s="96">
        <v>624.32013487562256</v>
      </c>
      <c r="R8" s="96">
        <v>646.49513261911704</v>
      </c>
      <c r="S8" s="96">
        <v>718.86031024782733</v>
      </c>
      <c r="T8" s="96">
        <v>757.45000947064818</v>
      </c>
      <c r="U8" s="96">
        <v>759.28958354660131</v>
      </c>
      <c r="V8" s="96">
        <v>302.89517365222446</v>
      </c>
      <c r="W8" s="96">
        <v>454.26980564212244</v>
      </c>
      <c r="X8" s="96">
        <v>699.88166363074288</v>
      </c>
      <c r="Y8" s="96">
        <v>710.95173173845205</v>
      </c>
      <c r="DA8" s="171" t="s">
        <v>282</v>
      </c>
    </row>
    <row r="9" spans="1:105" ht="11.45" customHeight="1" x14ac:dyDescent="0.25">
      <c r="A9" s="83" t="s">
        <v>182</v>
      </c>
      <c r="B9" s="96">
        <v>604.73458195205853</v>
      </c>
      <c r="C9" s="96">
        <v>540.36702690341815</v>
      </c>
      <c r="D9" s="96">
        <v>398.98816542894514</v>
      </c>
      <c r="E9" s="96">
        <v>431.52571095624688</v>
      </c>
      <c r="F9" s="96">
        <v>447.61093505080009</v>
      </c>
      <c r="G9" s="96">
        <v>419.24954801437144</v>
      </c>
      <c r="H9" s="96">
        <v>393.07116471701585</v>
      </c>
      <c r="I9" s="96">
        <v>405.87650406874582</v>
      </c>
      <c r="J9" s="96">
        <v>467.11699550872703</v>
      </c>
      <c r="K9" s="96">
        <v>473.92854990441316</v>
      </c>
      <c r="L9" s="96">
        <v>488.76384297525141</v>
      </c>
      <c r="M9" s="96">
        <v>528.8529609134938</v>
      </c>
      <c r="N9" s="96">
        <v>509.18810713588198</v>
      </c>
      <c r="O9" s="96">
        <v>489.72248077967225</v>
      </c>
      <c r="P9" s="96">
        <v>515.68028008608781</v>
      </c>
      <c r="Q9" s="96">
        <v>539.54959664783985</v>
      </c>
      <c r="R9" s="96">
        <v>529.55830710390342</v>
      </c>
      <c r="S9" s="96">
        <v>564.80346924995922</v>
      </c>
      <c r="T9" s="96">
        <v>604.41293299711879</v>
      </c>
      <c r="U9" s="96">
        <v>638.03132408643944</v>
      </c>
      <c r="V9" s="96">
        <v>309.01120124975881</v>
      </c>
      <c r="W9" s="96">
        <v>390.05140789760424</v>
      </c>
      <c r="X9" s="96">
        <v>513.8731027357328</v>
      </c>
      <c r="Y9" s="96">
        <v>551.53132075167434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198.17802222700632</v>
      </c>
      <c r="C10" s="22">
        <f t="shared" si="30"/>
        <v>171.99876262583814</v>
      </c>
      <c r="D10" s="22">
        <f t="shared" ref="D10:V10" si="31">SUM(D11:D13)</f>
        <v>173.97837335038963</v>
      </c>
      <c r="E10" s="22">
        <f t="shared" si="31"/>
        <v>215.75525470496461</v>
      </c>
      <c r="F10" s="22">
        <f t="shared" si="31"/>
        <v>215.72305456334894</v>
      </c>
      <c r="G10" s="22">
        <f t="shared" si="31"/>
        <v>219.79055673051016</v>
      </c>
      <c r="H10" s="22">
        <f t="shared" si="31"/>
        <v>318.20516477067548</v>
      </c>
      <c r="I10" s="22">
        <f t="shared" si="31"/>
        <v>376.79091039155799</v>
      </c>
      <c r="J10" s="22">
        <f t="shared" si="31"/>
        <v>363.52885280352803</v>
      </c>
      <c r="K10" s="22">
        <f t="shared" si="31"/>
        <v>259.71419569802759</v>
      </c>
      <c r="L10" s="22">
        <f t="shared" si="31"/>
        <v>311.17229959585097</v>
      </c>
      <c r="M10" s="22">
        <f t="shared" si="31"/>
        <v>311.54878412977831</v>
      </c>
      <c r="N10" s="22">
        <f t="shared" si="31"/>
        <v>253.69478851743244</v>
      </c>
      <c r="O10" s="22">
        <f t="shared" si="31"/>
        <v>230.11135549408547</v>
      </c>
      <c r="P10" s="22">
        <f t="shared" si="31"/>
        <v>226.50114002693587</v>
      </c>
      <c r="Q10" s="22">
        <f t="shared" si="31"/>
        <v>281.99346710078424</v>
      </c>
      <c r="R10" s="22">
        <f t="shared" si="31"/>
        <v>263.03134101644611</v>
      </c>
      <c r="S10" s="22">
        <f t="shared" si="31"/>
        <v>297.66562720900612</v>
      </c>
      <c r="T10" s="22">
        <f t="shared" si="31"/>
        <v>324.01891479792477</v>
      </c>
      <c r="U10" s="22">
        <f t="shared" si="31"/>
        <v>307.04762203161903</v>
      </c>
      <c r="V10" s="22">
        <f t="shared" si="31"/>
        <v>586.33954083318463</v>
      </c>
      <c r="W10" s="22">
        <f t="shared" ref="W10:Y10" si="32">SUM(W11:W13)</f>
        <v>667.7058715849513</v>
      </c>
      <c r="X10" s="22">
        <f t="shared" si="32"/>
        <v>537.58444257591452</v>
      </c>
      <c r="Y10" s="22">
        <f t="shared" si="32"/>
        <v>492.33208078588359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58.217081623207918</v>
      </c>
      <c r="C12" s="97">
        <v>44.290169831664372</v>
      </c>
      <c r="D12" s="97">
        <v>42.559505902014486</v>
      </c>
      <c r="E12" s="97">
        <v>42.877316720275296</v>
      </c>
      <c r="F12" s="97">
        <v>43.415443575126567</v>
      </c>
      <c r="G12" s="97">
        <v>47.688750987714357</v>
      </c>
      <c r="H12" s="97">
        <v>90.565066916401719</v>
      </c>
      <c r="I12" s="97">
        <v>98.74204558864821</v>
      </c>
      <c r="J12" s="97">
        <v>80.020750811894317</v>
      </c>
      <c r="K12" s="97">
        <v>56.773416281797779</v>
      </c>
      <c r="L12" s="97">
        <v>58.004736467093544</v>
      </c>
      <c r="M12" s="97">
        <v>55.903522704277208</v>
      </c>
      <c r="N12" s="97">
        <v>52.524409977325689</v>
      </c>
      <c r="O12" s="97">
        <v>51.724625892221894</v>
      </c>
      <c r="P12" s="97">
        <v>50.445656662868025</v>
      </c>
      <c r="Q12" s="97">
        <v>56.228975731832485</v>
      </c>
      <c r="R12" s="97">
        <v>51.404634575347487</v>
      </c>
      <c r="S12" s="97">
        <v>62.510012518843858</v>
      </c>
      <c r="T12" s="97">
        <v>76.001455310939562</v>
      </c>
      <c r="U12" s="97">
        <v>73.850394072032501</v>
      </c>
      <c r="V12" s="97">
        <v>98.421331055112063</v>
      </c>
      <c r="W12" s="97">
        <v>133.09596626053641</v>
      </c>
      <c r="X12" s="97">
        <v>74.861589218069327</v>
      </c>
      <c r="Y12" s="97">
        <v>73.386613188758645</v>
      </c>
      <c r="DA12" s="175" t="s">
        <v>286</v>
      </c>
    </row>
    <row r="13" spans="1:105" ht="11.45" customHeight="1" x14ac:dyDescent="0.25">
      <c r="A13" s="85" t="s">
        <v>182</v>
      </c>
      <c r="B13" s="98">
        <v>139.96094060379841</v>
      </c>
      <c r="C13" s="98">
        <v>127.70859279417375</v>
      </c>
      <c r="D13" s="98">
        <v>131.41886744837515</v>
      </c>
      <c r="E13" s="98">
        <v>172.87793798468931</v>
      </c>
      <c r="F13" s="98">
        <v>172.30761098822236</v>
      </c>
      <c r="G13" s="98">
        <v>172.10180574279579</v>
      </c>
      <c r="H13" s="98">
        <v>227.64009785427376</v>
      </c>
      <c r="I13" s="98">
        <v>278.04886480290975</v>
      </c>
      <c r="J13" s="98">
        <v>283.50810199163368</v>
      </c>
      <c r="K13" s="98">
        <v>202.94077941622982</v>
      </c>
      <c r="L13" s="98">
        <v>253.16756312875745</v>
      </c>
      <c r="M13" s="98">
        <v>255.6452614255011</v>
      </c>
      <c r="N13" s="98">
        <v>201.17037854010675</v>
      </c>
      <c r="O13" s="98">
        <v>178.38672960186358</v>
      </c>
      <c r="P13" s="98">
        <v>176.05548336406784</v>
      </c>
      <c r="Q13" s="98">
        <v>225.76449136895178</v>
      </c>
      <c r="R13" s="98">
        <v>211.62670644109863</v>
      </c>
      <c r="S13" s="98">
        <v>235.15561469016228</v>
      </c>
      <c r="T13" s="98">
        <v>248.01745948698522</v>
      </c>
      <c r="U13" s="98">
        <v>233.19722795958654</v>
      </c>
      <c r="V13" s="98">
        <v>487.91820977807259</v>
      </c>
      <c r="W13" s="98">
        <v>534.60990532441485</v>
      </c>
      <c r="X13" s="98">
        <v>462.72285335784517</v>
      </c>
      <c r="Y13" s="98">
        <v>418.94546759712495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711.3350358621035</v>
      </c>
      <c r="C17" s="62">
        <f>IF(C3=0,0,C3/TrAvia_act!C13*100)</f>
        <v>681.18149649971781</v>
      </c>
      <c r="D17" s="62">
        <f>IF(D3=0,0,D3/TrAvia_act!D13*100)</f>
        <v>786.68546455339117</v>
      </c>
      <c r="E17" s="62">
        <f>IF(E3=0,0,E3/TrAvia_act!E13*100)</f>
        <v>782.68627959590708</v>
      </c>
      <c r="F17" s="62">
        <f>IF(F3=0,0,F3/TrAvia_act!F13*100)</f>
        <v>698.95491514123057</v>
      </c>
      <c r="G17" s="62">
        <f>IF(G3=0,0,G3/TrAvia_act!G13*100)</f>
        <v>660.20866708355027</v>
      </c>
      <c r="H17" s="62">
        <f>IF(H3=0,0,H3/TrAvia_act!H13*100)</f>
        <v>581.72631446840319</v>
      </c>
      <c r="I17" s="62">
        <f>IF(I3=0,0,I3/TrAvia_act!I13*100)</f>
        <v>556.46194152400744</v>
      </c>
      <c r="J17" s="62">
        <f>IF(J3=0,0,J3/TrAvia_act!J13*100)</f>
        <v>570.12380559543089</v>
      </c>
      <c r="K17" s="62">
        <f>IF(K3=0,0,K3/TrAvia_act!K13*100)</f>
        <v>568.6167271892906</v>
      </c>
      <c r="L17" s="62">
        <f>IF(L3=0,0,L3/TrAvia_act!L13*100)</f>
        <v>557.08985253697313</v>
      </c>
      <c r="M17" s="62">
        <f>IF(M3=0,0,M3/TrAvia_act!M13*100)</f>
        <v>562.84654287440685</v>
      </c>
      <c r="N17" s="62">
        <f>IF(N3=0,0,N3/TrAvia_act!N13*100)</f>
        <v>547.77693212278734</v>
      </c>
      <c r="O17" s="62">
        <f>IF(O3=0,0,O3/TrAvia_act!O13*100)</f>
        <v>540.54518088907537</v>
      </c>
      <c r="P17" s="62">
        <f>IF(P3=0,0,P3/TrAvia_act!P13*100)</f>
        <v>549.58463522771297</v>
      </c>
      <c r="Q17" s="62">
        <f>IF(Q3=0,0,Q3/TrAvia_act!Q13*100)</f>
        <v>554.157189255861</v>
      </c>
      <c r="R17" s="62">
        <f>IF(R3=0,0,R3/TrAvia_act!R13*100)</f>
        <v>577.49196075231043</v>
      </c>
      <c r="S17" s="62">
        <f>IF(S3=0,0,S3/TrAvia_act!S13*100)</f>
        <v>595.41010083841229</v>
      </c>
      <c r="T17" s="62">
        <f>IF(T3=0,0,T3/TrAvia_act!T13*100)</f>
        <v>586.12021802984736</v>
      </c>
      <c r="U17" s="62">
        <f>IF(U3=0,0,U3/TrAvia_act!U13*100)</f>
        <v>593.92577869914578</v>
      </c>
      <c r="V17" s="62">
        <f>IF(V3=0,0,V3/TrAvia_act!V13*100)</f>
        <v>705.94988279098811</v>
      </c>
      <c r="W17" s="62">
        <f>IF(W3=0,0,W3/TrAvia_act!W13*100)</f>
        <v>696.9197765757541</v>
      </c>
      <c r="X17" s="62">
        <f>IF(X3=0,0,X3/TrAvia_act!X13*100)</f>
        <v>643.9795778064049</v>
      </c>
      <c r="Y17" s="62">
        <f>IF(Y3=0,0,Y3/TrAvia_act!Y13*100)</f>
        <v>655.72587453334472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702.62608917547004</v>
      </c>
      <c r="C18" s="14">
        <f>IF(C6=0,0,C6/TrAvia_act!C14*100)</f>
        <v>671.6486855580597</v>
      </c>
      <c r="D18" s="14">
        <f>IF(D6=0,0,D6/TrAvia_act!D14*100)</f>
        <v>771.2741494237091</v>
      </c>
      <c r="E18" s="14">
        <f>IF(E6=0,0,E6/TrAvia_act!E14*100)</f>
        <v>763.07925284552289</v>
      </c>
      <c r="F18" s="14">
        <f>IF(F6=0,0,F6/TrAvia_act!F14*100)</f>
        <v>682.40443034774262</v>
      </c>
      <c r="G18" s="14">
        <f>IF(G6=0,0,G6/TrAvia_act!G14*100)</f>
        <v>641.5883617051619</v>
      </c>
      <c r="H18" s="14">
        <f>IF(H6=0,0,H6/TrAvia_act!H14*100)</f>
        <v>561.48577070785757</v>
      </c>
      <c r="I18" s="14">
        <f>IF(I6=0,0,I6/TrAvia_act!I14*100)</f>
        <v>538.71436350591205</v>
      </c>
      <c r="J18" s="14">
        <f>IF(J6=0,0,J6/TrAvia_act!J14*100)</f>
        <v>560.94715006515412</v>
      </c>
      <c r="K18" s="14">
        <f>IF(K6=0,0,K6/TrAvia_act!K14*100)</f>
        <v>559.48915533136199</v>
      </c>
      <c r="L18" s="14">
        <f>IF(L6=0,0,L6/TrAvia_act!L14*100)</f>
        <v>547.16274748738215</v>
      </c>
      <c r="M18" s="14">
        <f>IF(M6=0,0,M6/TrAvia_act!M14*100)</f>
        <v>556.08088516126486</v>
      </c>
      <c r="N18" s="14">
        <f>IF(N6=0,0,N6/TrAvia_act!N14*100)</f>
        <v>541.26252100437284</v>
      </c>
      <c r="O18" s="14">
        <f>IF(O6=0,0,O6/TrAvia_act!O14*100)</f>
        <v>531.43435138810082</v>
      </c>
      <c r="P18" s="14">
        <f>IF(P6=0,0,P6/TrAvia_act!P14*100)</f>
        <v>538.20162519442852</v>
      </c>
      <c r="Q18" s="14">
        <f>IF(Q6=0,0,Q6/TrAvia_act!Q14*100)</f>
        <v>540.72197509661362</v>
      </c>
      <c r="R18" s="14">
        <f>IF(R6=0,0,R6/TrAvia_act!R14*100)</f>
        <v>563.20527156925925</v>
      </c>
      <c r="S18" s="14">
        <f>IF(S6=0,0,S6/TrAvia_act!S14*100)</f>
        <v>584.14465016787892</v>
      </c>
      <c r="T18" s="14">
        <f>IF(T6=0,0,T6/TrAvia_act!T14*100)</f>
        <v>580.55502444006663</v>
      </c>
      <c r="U18" s="14">
        <f>IF(U6=0,0,U6/TrAvia_act!U14*100)</f>
        <v>586.69441953015303</v>
      </c>
      <c r="V18" s="14">
        <f>IF(V6=0,0,V6/TrAvia_act!V14*100)</f>
        <v>679.51308819905091</v>
      </c>
      <c r="W18" s="14">
        <f>IF(W6=0,0,W6/TrAvia_act!W14*100)</f>
        <v>710.82087425195402</v>
      </c>
      <c r="X18" s="14">
        <f>IF(X6=0,0,X6/TrAvia_act!X14*100)</f>
        <v>638.49367581125659</v>
      </c>
      <c r="Y18" s="14">
        <f>IF(Y6=0,0,Y6/TrAvia_act!Y14*100)</f>
        <v>631.44427594368403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578.8083065374957</v>
      </c>
      <c r="C20" s="87">
        <f>IF(C8=0,0,C8/TrAvia_act!C16*100)</f>
        <v>556.42669243868818</v>
      </c>
      <c r="D20" s="87">
        <f>IF(D8=0,0,D8/TrAvia_act!D16*100)</f>
        <v>649.92490669633946</v>
      </c>
      <c r="E20" s="87">
        <f>IF(E8=0,0,E8/TrAvia_act!E16*100)</f>
        <v>640.60231475047487</v>
      </c>
      <c r="F20" s="87">
        <f>IF(F8=0,0,F8/TrAvia_act!F16*100)</f>
        <v>565.765071332817</v>
      </c>
      <c r="G20" s="87">
        <f>IF(G8=0,0,G8/TrAvia_act!G16*100)</f>
        <v>548.16334093627074</v>
      </c>
      <c r="H20" s="87">
        <f>IF(H8=0,0,H8/TrAvia_act!H16*100)</f>
        <v>481.26522143964178</v>
      </c>
      <c r="I20" s="87">
        <f>IF(I8=0,0,I8/TrAvia_act!I16*100)</f>
        <v>483.56525932659241</v>
      </c>
      <c r="J20" s="87">
        <f>IF(J8=0,0,J8/TrAvia_act!J16*100)</f>
        <v>527.37944248773363</v>
      </c>
      <c r="K20" s="87">
        <f>IF(K8=0,0,K8/TrAvia_act!K16*100)</f>
        <v>527.49565168298182</v>
      </c>
      <c r="L20" s="87">
        <f>IF(L8=0,0,L8/TrAvia_act!L16*100)</f>
        <v>523.55725476362954</v>
      </c>
      <c r="M20" s="87">
        <f>IF(M8=0,0,M8/TrAvia_act!M16*100)</f>
        <v>541.00597868482384</v>
      </c>
      <c r="N20" s="87">
        <f>IF(N8=0,0,N8/TrAvia_act!N16*100)</f>
        <v>531.15670814795897</v>
      </c>
      <c r="O20" s="87">
        <f>IF(O8=0,0,O8/TrAvia_act!O16*100)</f>
        <v>513.58503739381399</v>
      </c>
      <c r="P20" s="87">
        <f>IF(P8=0,0,P8/TrAvia_act!P16*100)</f>
        <v>511.41770431479199</v>
      </c>
      <c r="Q20" s="87">
        <f>IF(Q8=0,0,Q8/TrAvia_act!Q16*100)</f>
        <v>507.70920080271884</v>
      </c>
      <c r="R20" s="87">
        <f>IF(R8=0,0,R8/TrAvia_act!R16*100)</f>
        <v>514.04943886382227</v>
      </c>
      <c r="S20" s="87">
        <f>IF(S8=0,0,S8/TrAvia_act!S16*100)</f>
        <v>560.61985899614251</v>
      </c>
      <c r="T20" s="87">
        <f>IF(T8=0,0,T8/TrAvia_act!T16*100)</f>
        <v>589.67435097534008</v>
      </c>
      <c r="U20" s="87">
        <f>IF(U8=0,0,U8/TrAvia_act!U16*100)</f>
        <v>593.77138954058466</v>
      </c>
      <c r="V20" s="87">
        <f>IF(V8=0,0,V8/TrAvia_act!V16*100)</f>
        <v>627.79572157820246</v>
      </c>
      <c r="W20" s="87">
        <f>IF(W8=0,0,W8/TrAvia_act!W16*100)</f>
        <v>760.33949479578735</v>
      </c>
      <c r="X20" s="87">
        <f>IF(X8=0,0,X8/TrAvia_act!X16*100)</f>
        <v>672.54635496426317</v>
      </c>
      <c r="Y20" s="87">
        <f>IF(Y8=0,0,Y8/TrAvia_act!Y16*100)</f>
        <v>632.97888833027889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936.9685929405648</v>
      </c>
      <c r="C21" s="87">
        <f>IF(C9=0,0,C9/TrAvia_act!C17*100)</f>
        <v>900.72183960467771</v>
      </c>
      <c r="D21" s="87">
        <f>IF(D9=0,0,D9/TrAvia_act!D17*100)</f>
        <v>1050.2770906940805</v>
      </c>
      <c r="E21" s="87">
        <f>IF(E9=0,0,E9/TrAvia_act!E17*100)</f>
        <v>1037.8749864803742</v>
      </c>
      <c r="F21" s="87">
        <f>IF(F9=0,0,F9/TrAvia_act!F17*100)</f>
        <v>916.9444647444252</v>
      </c>
      <c r="G21" s="87">
        <f>IF(G9=0,0,G9/TrAvia_act!G17*100)</f>
        <v>813.5564779754452</v>
      </c>
      <c r="H21" s="87">
        <f>IF(H9=0,0,H9/TrAvia_act!H17*100)</f>
        <v>711.83055611165514</v>
      </c>
      <c r="I21" s="87">
        <f>IF(I9=0,0,I9/TrAvia_act!I17*100)</f>
        <v>633.14994732975072</v>
      </c>
      <c r="J21" s="87">
        <f>IF(J9=0,0,J9/TrAvia_act!J17*100)</f>
        <v>609.95437602131017</v>
      </c>
      <c r="K21" s="87">
        <f>IF(K9=0,0,K9/TrAvia_act!K17*100)</f>
        <v>602.70813492710363</v>
      </c>
      <c r="L21" s="87">
        <f>IF(L9=0,0,L9/TrAvia_act!L17*100)</f>
        <v>577.8316376361895</v>
      </c>
      <c r="M21" s="87">
        <f>IF(M9=0,0,M9/TrAvia_act!M17*100)</f>
        <v>574.88055111532606</v>
      </c>
      <c r="N21" s="87">
        <f>IF(N9=0,0,N9/TrAvia_act!N17*100)</f>
        <v>553.29750257759531</v>
      </c>
      <c r="O21" s="87">
        <f>IF(O9=0,0,O9/TrAvia_act!O17*100)</f>
        <v>553.14973471161659</v>
      </c>
      <c r="P21" s="87">
        <f>IF(P9=0,0,P9/TrAvia_act!P17*100)</f>
        <v>572.39737085510433</v>
      </c>
      <c r="Q21" s="87">
        <f>IF(Q9=0,0,Q9/TrAvia_act!Q17*100)</f>
        <v>584.71536901552474</v>
      </c>
      <c r="R21" s="87">
        <f>IF(R9=0,0,R9/TrAvia_act!R17*100)</f>
        <v>637.64418902043735</v>
      </c>
      <c r="S21" s="87">
        <f>IF(S9=0,0,S9/TrAvia_act!S17*100)</f>
        <v>617.10273126039147</v>
      </c>
      <c r="T21" s="87">
        <f>IF(T9=0,0,T9/TrAvia_act!T17*100)</f>
        <v>569.51734664323635</v>
      </c>
      <c r="U21" s="87">
        <f>IF(U9=0,0,U9/TrAvia_act!U17*100)</f>
        <v>578.4892264710744</v>
      </c>
      <c r="V21" s="87">
        <f>IF(V9=0,0,V9/TrAvia_act!V17*100)</f>
        <v>739.20284540487137</v>
      </c>
      <c r="W21" s="87">
        <f>IF(W9=0,0,W9/TrAvia_act!W17*100)</f>
        <v>660.70657757501453</v>
      </c>
      <c r="X21" s="87">
        <f>IF(X9=0,0,X9/TrAvia_act!X17*100)</f>
        <v>597.30357042520848</v>
      </c>
      <c r="Y21" s="87">
        <f>IF(Y9=0,0,Y9/TrAvia_act!Y17*100)</f>
        <v>629.4770271169167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774.91150874182222</v>
      </c>
      <c r="C22" s="15">
        <f>IF(C10=0,0,C10/TrAvia_act!C18*100)</f>
        <v>756.32621782922774</v>
      </c>
      <c r="D22" s="15">
        <f>IF(D10=0,0,D10/TrAvia_act!D18*100)</f>
        <v>884.93157848236717</v>
      </c>
      <c r="E22" s="15">
        <f>IF(E10=0,0,E10/TrAvia_act!E18*100)</f>
        <v>892.01048254745137</v>
      </c>
      <c r="F22" s="15">
        <f>IF(F10=0,0,F10/TrAvia_act!F18*100)</f>
        <v>787.78577074111558</v>
      </c>
      <c r="G22" s="15">
        <f>IF(G10=0,0,G10/TrAvia_act!G18*100)</f>
        <v>753.6794362732079</v>
      </c>
      <c r="H22" s="15">
        <f>IF(H10=0,0,H10/TrAvia_act!H18*100)</f>
        <v>647.04749937281497</v>
      </c>
      <c r="I22" s="15">
        <f>IF(I10=0,0,I10/TrAvia_act!I18*100)</f>
        <v>606.10052134802743</v>
      </c>
      <c r="J22" s="15">
        <f>IF(J10=0,0,J10/TrAvia_act!J18*100)</f>
        <v>598.59003145219208</v>
      </c>
      <c r="K22" s="15">
        <f>IF(K10=0,0,K10/TrAvia_act!K18*100)</f>
        <v>608.1248374626706</v>
      </c>
      <c r="L22" s="15">
        <f>IF(L10=0,0,L10/TrAvia_act!L18*100)</f>
        <v>593.94041711621514</v>
      </c>
      <c r="M22" s="15">
        <f>IF(M10=0,0,M10/TrAvia_act!M18*100)</f>
        <v>589.30092382375346</v>
      </c>
      <c r="N22" s="15">
        <f>IF(N10=0,0,N10/TrAvia_act!N18*100)</f>
        <v>577.68556940006363</v>
      </c>
      <c r="O22" s="15">
        <f>IF(O10=0,0,O10/TrAvia_act!O18*100)</f>
        <v>586.08304728835799</v>
      </c>
      <c r="P22" s="15">
        <f>IF(P10=0,0,P10/TrAvia_act!P18*100)</f>
        <v>612.74753901115525</v>
      </c>
      <c r="Q22" s="15">
        <f>IF(Q10=0,0,Q10/TrAvia_act!Q18*100)</f>
        <v>617.47977447930475</v>
      </c>
      <c r="R22" s="15">
        <f>IF(R10=0,0,R10/TrAvia_act!R18*100)</f>
        <v>651.36939264590671</v>
      </c>
      <c r="S22" s="15">
        <f>IF(S10=0,0,S10/TrAvia_act!S18*100)</f>
        <v>649.4204149360188</v>
      </c>
      <c r="T22" s="15">
        <f>IF(T10=0,0,T10/TrAvia_act!T18*100)</f>
        <v>610.72654108866595</v>
      </c>
      <c r="U22" s="15">
        <f>IF(U10=0,0,U10/TrAvia_act!U18*100)</f>
        <v>629.21976825347588</v>
      </c>
      <c r="V22" s="15">
        <f>IF(V10=0,0,V10/TrAvia_act!V18*100)</f>
        <v>735.8258379803226</v>
      </c>
      <c r="W22" s="15">
        <f>IF(W10=0,0,W10/TrAvia_act!W18*100)</f>
        <v>680.10136129753937</v>
      </c>
      <c r="X22" s="15">
        <f>IF(X10=0,0,X10/TrAvia_act!X18*100)</f>
        <v>656.719166077453</v>
      </c>
      <c r="Y22" s="15">
        <f>IF(Y10=0,0,Y10/TrAvia_act!Y18*100)</f>
        <v>727.45871290982132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604.11468855079727</v>
      </c>
      <c r="C24" s="101">
        <f>IF(C12=0,0,C12/TrAvia_act!C20*100)</f>
        <v>581.7086301864714</v>
      </c>
      <c r="D24" s="101">
        <f>IF(D12=0,0,D12/TrAvia_act!D20*100)</f>
        <v>674.50471188184008</v>
      </c>
      <c r="E24" s="101">
        <f>IF(E12=0,0,E12/TrAvia_act!E20*100)</f>
        <v>668.32448909951506</v>
      </c>
      <c r="F24" s="101">
        <f>IF(F12=0,0,F12/TrAvia_act!F20*100)</f>
        <v>591.96553752256284</v>
      </c>
      <c r="G24" s="101">
        <f>IF(G12=0,0,G12/TrAvia_act!G20*100)</f>
        <v>574.39157776807269</v>
      </c>
      <c r="H24" s="101">
        <f>IF(H12=0,0,H12/TrAvia_act!H20*100)</f>
        <v>505.91579817041401</v>
      </c>
      <c r="I24" s="101">
        <f>IF(I12=0,0,I12/TrAvia_act!I20*100)</f>
        <v>507.92423118232284</v>
      </c>
      <c r="J24" s="101">
        <f>IF(J12=0,0,J12/TrAvia_act!J20*100)</f>
        <v>556.50868495734017</v>
      </c>
      <c r="K24" s="101">
        <f>IF(K12=0,0,K12/TrAvia_act!K20*100)</f>
        <v>534.93170739328423</v>
      </c>
      <c r="L24" s="101">
        <f>IF(L12=0,0,L12/TrAvia_act!L20*100)</f>
        <v>525.4587318888457</v>
      </c>
      <c r="M24" s="101">
        <f>IF(M12=0,0,M12/TrAvia_act!M20*100)</f>
        <v>545.89686930512073</v>
      </c>
      <c r="N24" s="101">
        <f>IF(N12=0,0,N12/TrAvia_act!N20*100)</f>
        <v>540.52159907977102</v>
      </c>
      <c r="O24" s="101">
        <f>IF(O12=0,0,O12/TrAvia_act!O20*100)</f>
        <v>524.3409974870184</v>
      </c>
      <c r="P24" s="101">
        <f>IF(P12=0,0,P12/TrAvia_act!P20*100)</f>
        <v>528.28135216644091</v>
      </c>
      <c r="Q24" s="101">
        <f>IF(Q12=0,0,Q12/TrAvia_act!Q20*100)</f>
        <v>536.81010681434259</v>
      </c>
      <c r="R24" s="101">
        <f>IF(R12=0,0,R12/TrAvia_act!R20*100)</f>
        <v>536.93284441302274</v>
      </c>
      <c r="S24" s="101">
        <f>IF(S12=0,0,S12/TrAvia_act!S20*100)</f>
        <v>604.13797078308573</v>
      </c>
      <c r="T24" s="101">
        <f>IF(T12=0,0,T12/TrAvia_act!T20*100)</f>
        <v>643.68409382279413</v>
      </c>
      <c r="U24" s="101">
        <f>IF(U12=0,0,U12/TrAvia_act!U20*100)</f>
        <v>665.67509481238676</v>
      </c>
      <c r="V24" s="101">
        <f>IF(V12=0,0,V12/TrAvia_act!V20*100)</f>
        <v>746.857984753766</v>
      </c>
      <c r="W24" s="101">
        <f>IF(W12=0,0,W12/TrAvia_act!W20*100)</f>
        <v>915.3936280102314</v>
      </c>
      <c r="X24" s="101">
        <f>IF(X12=0,0,X12/TrAvia_act!X20*100)</f>
        <v>747.39166691457251</v>
      </c>
      <c r="Y24" s="101">
        <f>IF(Y12=0,0,Y12/TrAvia_act!Y20*100)</f>
        <v>749.85617024520991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878.18530174086027</v>
      </c>
      <c r="C25" s="88">
        <f>IF(C13=0,0,C13/TrAvia_act!C21*100)</f>
        <v>844.2125877617251</v>
      </c>
      <c r="D25" s="88">
        <f>IF(D13=0,0,D13/TrAvia_act!D21*100)</f>
        <v>984.38508051592817</v>
      </c>
      <c r="E25" s="88">
        <f>IF(E13=0,0,E13/TrAvia_act!E21*100)</f>
        <v>972.76105628161088</v>
      </c>
      <c r="F25" s="88">
        <f>IF(F13=0,0,F13/TrAvia_act!F21*100)</f>
        <v>859.41744207671002</v>
      </c>
      <c r="G25" s="88">
        <f>IF(G13=0,0,G13/TrAvia_act!G21*100)</f>
        <v>825.03821390883002</v>
      </c>
      <c r="H25" s="88">
        <f>IF(H13=0,0,H13/TrAvia_act!H21*100)</f>
        <v>727.82392080482327</v>
      </c>
      <c r="I25" s="88">
        <f>IF(I13=0,0,I13/TrAvia_act!I21*100)</f>
        <v>650.7705874485963</v>
      </c>
      <c r="J25" s="88">
        <f>IF(J13=0,0,J13/TrAvia_act!J21*100)</f>
        <v>611.64433743825737</v>
      </c>
      <c r="K25" s="88">
        <f>IF(K13=0,0,K13/TrAvia_act!K21*100)</f>
        <v>632.32904187381428</v>
      </c>
      <c r="L25" s="88">
        <f>IF(L13=0,0,L13/TrAvia_act!L21*100)</f>
        <v>612.22140809361849</v>
      </c>
      <c r="M25" s="88">
        <f>IF(M13=0,0,M13/TrAvia_act!M21*100)</f>
        <v>599.72831530450628</v>
      </c>
      <c r="N25" s="88">
        <f>IF(N13=0,0,N13/TrAvia_act!N21*100)</f>
        <v>588.24559286446913</v>
      </c>
      <c r="O25" s="88">
        <f>IF(O13=0,0,O13/TrAvia_act!O21*100)</f>
        <v>606.80107373291344</v>
      </c>
      <c r="P25" s="88">
        <f>IF(P13=0,0,P13/TrAvia_act!P21*100)</f>
        <v>642.1673623706605</v>
      </c>
      <c r="Q25" s="88">
        <f>IF(Q13=0,0,Q13/TrAvia_act!Q21*100)</f>
        <v>641.48929765384923</v>
      </c>
      <c r="R25" s="88">
        <f>IF(R13=0,0,R13/TrAvia_act!R21*100)</f>
        <v>686.93171806972623</v>
      </c>
      <c r="S25" s="88">
        <f>IF(S13=0,0,S13/TrAvia_act!S21*100)</f>
        <v>662.62286020201907</v>
      </c>
      <c r="T25" s="88">
        <f>IF(T13=0,0,T13/TrAvia_act!T21*100)</f>
        <v>601.29228921478739</v>
      </c>
      <c r="U25" s="88">
        <f>IF(U13=0,0,U13/TrAvia_act!U21*100)</f>
        <v>618.49314546730602</v>
      </c>
      <c r="V25" s="88">
        <f>IF(V13=0,0,V13/TrAvia_act!V21*100)</f>
        <v>733.63985324341093</v>
      </c>
      <c r="W25" s="88">
        <f>IF(W13=0,0,W13/TrAvia_act!W21*100)</f>
        <v>639.19763972213025</v>
      </c>
      <c r="X25" s="88">
        <f>IF(X13=0,0,X13/TrAvia_act!X21*100)</f>
        <v>644.0775214311883</v>
      </c>
      <c r="Y25" s="88">
        <f>IF(Y13=0,0,Y13/TrAvia_act!Y21*100)</f>
        <v>723.67235138956562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63.639376320162462</v>
      </c>
      <c r="C28" s="14">
        <f>IF(C6=0,0,C6/TrAvia_act!C4*1000)</f>
        <v>60.114058442876114</v>
      </c>
      <c r="D28" s="14">
        <f>IF(D6=0,0,D6/TrAvia_act!D4*1000)</f>
        <v>71.353139120477906</v>
      </c>
      <c r="E28" s="14">
        <f>IF(E6=0,0,E6/TrAvia_act!E4*1000)</f>
        <v>69.243751761615414</v>
      </c>
      <c r="F28" s="14">
        <f>IF(F6=0,0,F6/TrAvia_act!F4*1000)</f>
        <v>58.04526571996292</v>
      </c>
      <c r="G28" s="14">
        <f>IF(G6=0,0,G6/TrAvia_act!G4*1000)</f>
        <v>53.992694222175622</v>
      </c>
      <c r="H28" s="14">
        <f>IF(H6=0,0,H6/TrAvia_act!H4*1000)</f>
        <v>48.940885662271043</v>
      </c>
      <c r="I28" s="14">
        <f>IF(I6=0,0,I6/TrAvia_act!I4*1000)</f>
        <v>47.201068299093777</v>
      </c>
      <c r="J28" s="14">
        <f>IF(J6=0,0,J6/TrAvia_act!J4*1000)</f>
        <v>47.546980851523962</v>
      </c>
      <c r="K28" s="14">
        <f>IF(K6=0,0,K6/TrAvia_act!K4*1000)</f>
        <v>47.309674488673153</v>
      </c>
      <c r="L28" s="14">
        <f>IF(L6=0,0,L6/TrAvia_act!L4*1000)</f>
        <v>44.505460476010981</v>
      </c>
      <c r="M28" s="14">
        <f>IF(M6=0,0,M6/TrAvia_act!M4*1000)</f>
        <v>44.010592168371147</v>
      </c>
      <c r="N28" s="14">
        <f>IF(N6=0,0,N6/TrAvia_act!N4*1000)</f>
        <v>41.39326073044775</v>
      </c>
      <c r="O28" s="14">
        <f>IF(O6=0,0,O6/TrAvia_act!O4*1000)</f>
        <v>38.470653314442032</v>
      </c>
      <c r="P28" s="14">
        <f>IF(P6=0,0,P6/TrAvia_act!P4*1000)</f>
        <v>38.192319950169065</v>
      </c>
      <c r="Q28" s="14">
        <f>IF(Q6=0,0,Q6/TrAvia_act!Q4*1000)</f>
        <v>37.963486344087841</v>
      </c>
      <c r="R28" s="14">
        <f>IF(R6=0,0,R6/TrAvia_act!R4*1000)</f>
        <v>41.182850895440687</v>
      </c>
      <c r="S28" s="14">
        <f>IF(S6=0,0,S6/TrAvia_act!S4*1000)</f>
        <v>40.232823961706039</v>
      </c>
      <c r="T28" s="14">
        <f>IF(T6=0,0,T6/TrAvia_act!T4*1000)</f>
        <v>39.266367545448489</v>
      </c>
      <c r="U28" s="14">
        <f>IF(U6=0,0,U6/TrAvia_act!U4*1000)</f>
        <v>38.487029144515624</v>
      </c>
      <c r="V28" s="14">
        <f>IF(V6=0,0,V6/TrAvia_act!V4*1000)</f>
        <v>56.057655888278795</v>
      </c>
      <c r="W28" s="14">
        <f>IF(W6=0,0,W6/TrAvia_act!W4*1000)</f>
        <v>53.31632088931601</v>
      </c>
      <c r="X28" s="14">
        <f>IF(X6=0,0,X6/TrAvia_act!X4*1000)</f>
        <v>40.951065656796303</v>
      </c>
      <c r="Y28" s="14">
        <f>IF(Y6=0,0,Y6/TrAvia_act!Y4*1000)</f>
        <v>38.609063068380863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66.145153239114592</v>
      </c>
      <c r="C30" s="87">
        <f>IF(C8=0,0,C8/TrAvia_act!C6*1000)</f>
        <v>62.386627797842856</v>
      </c>
      <c r="D30" s="87">
        <f>IF(D8=0,0,D8/TrAvia_act!D6*1000)</f>
        <v>74.627373076821726</v>
      </c>
      <c r="E30" s="87">
        <f>IF(E8=0,0,E8/TrAvia_act!E6*1000)</f>
        <v>70.8771800715285</v>
      </c>
      <c r="F30" s="87">
        <f>IF(F8=0,0,F8/TrAvia_act!F6*1000)</f>
        <v>58.452057468858371</v>
      </c>
      <c r="G30" s="87">
        <f>IF(G8=0,0,G8/TrAvia_act!G6*1000)</f>
        <v>55.916910462868927</v>
      </c>
      <c r="H30" s="87">
        <f>IF(H8=0,0,H8/TrAvia_act!H6*1000)</f>
        <v>51.357495945216641</v>
      </c>
      <c r="I30" s="87">
        <f>IF(I8=0,0,I8/TrAvia_act!I6*1000)</f>
        <v>54.908808741826356</v>
      </c>
      <c r="J30" s="87">
        <f>IF(J8=0,0,J8/TrAvia_act!J6*1000)</f>
        <v>62.140546510676785</v>
      </c>
      <c r="K30" s="87">
        <f>IF(K8=0,0,K8/TrAvia_act!K6*1000)</f>
        <v>60.468537079426895</v>
      </c>
      <c r="L30" s="87">
        <f>IF(L8=0,0,L8/TrAvia_act!L6*1000)</f>
        <v>57.112274692089194</v>
      </c>
      <c r="M30" s="87">
        <f>IF(M8=0,0,M8/TrAvia_act!M6*1000)</f>
        <v>55.579851701520319</v>
      </c>
      <c r="N30" s="87">
        <f>IF(N8=0,0,N8/TrAvia_act!N6*1000)</f>
        <v>51.209504872547349</v>
      </c>
      <c r="O30" s="87">
        <f>IF(O8=0,0,O8/TrAvia_act!O6*1000)</f>
        <v>47.745578402520934</v>
      </c>
      <c r="P30" s="87">
        <f>IF(P8=0,0,P8/TrAvia_act!P6*1000)</f>
        <v>46.734024774190864</v>
      </c>
      <c r="Q30" s="87">
        <f>IF(Q8=0,0,Q8/TrAvia_act!Q6*1000)</f>
        <v>45.66525541961866</v>
      </c>
      <c r="R30" s="87">
        <f>IF(R8=0,0,R8/TrAvia_act!R6*1000)</f>
        <v>46.072890183518162</v>
      </c>
      <c r="S30" s="87">
        <f>IF(S8=0,0,S8/TrAvia_act!S6*1000)</f>
        <v>47.448739244226815</v>
      </c>
      <c r="T30" s="87">
        <f>IF(T8=0,0,T8/TrAvia_act!T6*1000)</f>
        <v>49.750161752538787</v>
      </c>
      <c r="U30" s="87">
        <f>IF(U8=0,0,U8/TrAvia_act!U6*1000)</f>
        <v>48.699081403261189</v>
      </c>
      <c r="V30" s="87">
        <f>IF(V8=0,0,V8/TrAvia_act!V6*1000)</f>
        <v>65.531661830662117</v>
      </c>
      <c r="W30" s="87">
        <f>IF(W8=0,0,W8/TrAvia_act!W6*1000)</f>
        <v>65.899061967887448</v>
      </c>
      <c r="X30" s="87">
        <f>IF(X8=0,0,X8/TrAvia_act!X6*1000)</f>
        <v>53.352270932692889</v>
      </c>
      <c r="Y30" s="87">
        <f>IF(Y8=0,0,Y8/TrAvia_act!Y6*1000)</f>
        <v>48.38875345370662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60.940231170544216</v>
      </c>
      <c r="C31" s="87">
        <f>IF(C9=0,0,C9/TrAvia_act!C7*1000)</f>
        <v>57.539811849399932</v>
      </c>
      <c r="D31" s="87">
        <f>IF(D9=0,0,D9/TrAvia_act!D7*1000)</f>
        <v>67.160781756570017</v>
      </c>
      <c r="E31" s="87">
        <f>IF(E9=0,0,E9/TrAvia_act!E7*1000)</f>
        <v>67.102195437139088</v>
      </c>
      <c r="F31" s="87">
        <f>IF(F9=0,0,F9/TrAvia_act!F7*1000)</f>
        <v>57.548364256868808</v>
      </c>
      <c r="G31" s="87">
        <f>IF(G9=0,0,G9/TrAvia_act!G7*1000)</f>
        <v>51.782644983159784</v>
      </c>
      <c r="H31" s="87">
        <f>IF(H9=0,0,H9/TrAvia_act!H7*1000)</f>
        <v>46.187076488906804</v>
      </c>
      <c r="I31" s="87">
        <f>IF(I9=0,0,I9/TrAvia_act!I7*1000)</f>
        <v>39.879836556616247</v>
      </c>
      <c r="J31" s="87">
        <f>IF(J9=0,0,J9/TrAvia_act!J7*1000)</f>
        <v>36.674766857567462</v>
      </c>
      <c r="K31" s="87">
        <f>IF(K9=0,0,K9/TrAvia_act!K7*1000)</f>
        <v>37.628459480274884</v>
      </c>
      <c r="L31" s="87">
        <f>IF(L9=0,0,L9/TrAvia_act!L7*1000)</f>
        <v>35.325982244123011</v>
      </c>
      <c r="M31" s="87">
        <f>IF(M9=0,0,M9/TrAvia_act!M7*1000)</f>
        <v>35.370005003797786</v>
      </c>
      <c r="N31" s="87">
        <f>IF(N9=0,0,N9/TrAvia_act!N7*1000)</f>
        <v>33.952678025312601</v>
      </c>
      <c r="O31" s="87">
        <f>IF(O9=0,0,O9/TrAvia_act!O7*1000)</f>
        <v>31.548102927017428</v>
      </c>
      <c r="P31" s="87">
        <f>IF(P9=0,0,P9/TrAvia_act!P7*1000)</f>
        <v>31.603312061780485</v>
      </c>
      <c r="Q31" s="87">
        <f>IF(Q9=0,0,Q9/TrAvia_act!Q7*1000)</f>
        <v>31.764477128848966</v>
      </c>
      <c r="R31" s="87">
        <f>IF(R9=0,0,R9/TrAvia_act!R7*1000)</f>
        <v>36.458740599708065</v>
      </c>
      <c r="S31" s="87">
        <f>IF(S9=0,0,S9/TrAvia_act!S7*1000)</f>
        <v>33.708275848283456</v>
      </c>
      <c r="T31" s="87">
        <f>IF(T9=0,0,T9/TrAvia_act!T7*1000)</f>
        <v>31.063068087835585</v>
      </c>
      <c r="U31" s="87">
        <f>IF(U9=0,0,U9/TrAvia_act!U7*1000)</f>
        <v>30.800709785202553</v>
      </c>
      <c r="V31" s="87">
        <f>IF(V9=0,0,V9/TrAvia_act!V7*1000)</f>
        <v>49.099731295336625</v>
      </c>
      <c r="W31" s="87">
        <f>IF(W9=0,0,W9/TrAvia_act!W7*1000)</f>
        <v>43.616954100384532</v>
      </c>
      <c r="X31" s="87">
        <f>IF(X9=0,0,X9/TrAvia_act!X7*1000)</f>
        <v>31.104187278925288</v>
      </c>
      <c r="Y31" s="87">
        <f>IF(Y9=0,0,Y9/TrAvia_act!Y7*1000)</f>
        <v>30.629333785780819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144.5419036169325</v>
      </c>
      <c r="C32" s="15">
        <f>IF(C10=0,0,C10/TrAvia_act!C8*1000)</f>
        <v>130.24100958396264</v>
      </c>
      <c r="D32" s="15">
        <f>IF(D10=0,0,D10/TrAvia_act!D8*1000)</f>
        <v>159.77591851105268</v>
      </c>
      <c r="E32" s="15">
        <f>IF(E10=0,0,E10/TrAvia_act!E8*1000)</f>
        <v>167.30122650554878</v>
      </c>
      <c r="F32" s="15">
        <f>IF(F10=0,0,F10/TrAvia_act!F8*1000)</f>
        <v>153.82618247507031</v>
      </c>
      <c r="G32" s="15">
        <f>IF(G10=0,0,G10/TrAvia_act!G8*1000)</f>
        <v>157.61404183752188</v>
      </c>
      <c r="H32" s="15">
        <f>IF(H10=0,0,H10/TrAvia_act!H8*1000)</f>
        <v>152.28230653574863</v>
      </c>
      <c r="I32" s="15">
        <f>IF(I10=0,0,I10/TrAvia_act!I8*1000)</f>
        <v>139.32393939115983</v>
      </c>
      <c r="J32" s="15">
        <f>IF(J10=0,0,J10/TrAvia_act!J8*1000)</f>
        <v>132.27081868291529</v>
      </c>
      <c r="K32" s="15">
        <f>IF(K10=0,0,K10/TrAvia_act!K8*1000)</f>
        <v>121.20571229896481</v>
      </c>
      <c r="L32" s="15">
        <f>IF(L10=0,0,L10/TrAvia_act!L8*1000)</f>
        <v>112.87173634408663</v>
      </c>
      <c r="M32" s="15">
        <f>IF(M10=0,0,M10/TrAvia_act!M8*1000)</f>
        <v>106.09133172953571</v>
      </c>
      <c r="N32" s="15">
        <f>IF(N10=0,0,N10/TrAvia_act!N8*1000)</f>
        <v>99.780545750801721</v>
      </c>
      <c r="O32" s="15">
        <f>IF(O10=0,0,O10/TrAvia_act!O8*1000)</f>
        <v>98.531772765558571</v>
      </c>
      <c r="P32" s="15">
        <f>IF(P10=0,0,P10/TrAvia_act!P8*1000)</f>
        <v>88.804578279842943</v>
      </c>
      <c r="Q32" s="15">
        <f>IF(Q10=0,0,Q10/TrAvia_act!Q8*1000)</f>
        <v>88.877434856702166</v>
      </c>
      <c r="R32" s="15">
        <f>IF(R10=0,0,R10/TrAvia_act!R8*1000)</f>
        <v>85.951826281873593</v>
      </c>
      <c r="S32" s="15">
        <f>IF(S10=0,0,S10/TrAvia_act!S8*1000)</f>
        <v>85.752257733850058</v>
      </c>
      <c r="T32" s="15">
        <f>IF(T10=0,0,T10/TrAvia_act!T8*1000)</f>
        <v>78.716312462790754</v>
      </c>
      <c r="U32" s="15">
        <f>IF(U10=0,0,U10/TrAvia_act!U8*1000)</f>
        <v>77.064386732584566</v>
      </c>
      <c r="V32" s="15">
        <f>IF(V10=0,0,V10/TrAvia_act!V8*1000)</f>
        <v>124.65760729390128</v>
      </c>
      <c r="W32" s="15">
        <f>IF(W10=0,0,W10/TrAvia_act!W8*1000)</f>
        <v>113.92863586435365</v>
      </c>
      <c r="X32" s="15">
        <f>IF(X10=0,0,X10/TrAvia_act!X8*1000)</f>
        <v>96.993721772374911</v>
      </c>
      <c r="Y32" s="15">
        <f>IF(Y10=0,0,Y10/TrAvia_act!Y8*1000)</f>
        <v>105.38427259824915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232.75379626930192</v>
      </c>
      <c r="C34" s="101">
        <f>IF(C12=0,0,C12/TrAvia_act!C10*1000)</f>
        <v>215.36883573723944</v>
      </c>
      <c r="D34" s="101">
        <f>IF(D12=0,0,D12/TrAvia_act!D10*1000)</f>
        <v>266.27467617456574</v>
      </c>
      <c r="E34" s="101">
        <f>IF(E12=0,0,E12/TrAvia_act!E10*1000)</f>
        <v>258.49279006236361</v>
      </c>
      <c r="F34" s="101">
        <f>IF(F12=0,0,F12/TrAvia_act!F10*1000)</f>
        <v>252.52297248088911</v>
      </c>
      <c r="G34" s="101">
        <f>IF(G12=0,0,G12/TrAvia_act!G10*1000)</f>
        <v>250.25869559297365</v>
      </c>
      <c r="H34" s="101">
        <f>IF(H12=0,0,H12/TrAvia_act!H10*1000)</f>
        <v>262.86807808080124</v>
      </c>
      <c r="I34" s="101">
        <f>IF(I12=0,0,I12/TrAvia_act!I10*1000)</f>
        <v>274.02030959691029</v>
      </c>
      <c r="J34" s="101">
        <f>IF(J12=0,0,J12/TrAvia_act!J10*1000)</f>
        <v>311.83742986190043</v>
      </c>
      <c r="K34" s="101">
        <f>IF(K12=0,0,K12/TrAvia_act!K10*1000)</f>
        <v>288.25414497841649</v>
      </c>
      <c r="L34" s="101">
        <f>IF(L12=0,0,L12/TrAvia_act!L10*1000)</f>
        <v>278.62028873880951</v>
      </c>
      <c r="M34" s="101">
        <f>IF(M12=0,0,M12/TrAvia_act!M10*1000)</f>
        <v>274.51523821520846</v>
      </c>
      <c r="N34" s="101">
        <f>IF(N12=0,0,N12/TrAvia_act!N10*1000)</f>
        <v>246.41553890172062</v>
      </c>
      <c r="O34" s="101">
        <f>IF(O12=0,0,O12/TrAvia_act!O10*1000)</f>
        <v>239.90471994464377</v>
      </c>
      <c r="P34" s="101">
        <f>IF(P12=0,0,P12/TrAvia_act!P10*1000)</f>
        <v>215.13769993621449</v>
      </c>
      <c r="Q34" s="101">
        <f>IF(Q12=0,0,Q12/TrAvia_act!Q10*1000)</f>
        <v>222.59486133682398</v>
      </c>
      <c r="R34" s="101">
        <f>IF(R12=0,0,R12/TrAvia_act!R10*1000)</f>
        <v>201.22643711246209</v>
      </c>
      <c r="S34" s="101">
        <f>IF(S12=0,0,S12/TrAvia_act!S10*1000)</f>
        <v>251.34479120977309</v>
      </c>
      <c r="T34" s="101">
        <f>IF(T12=0,0,T12/TrAvia_act!T10*1000)</f>
        <v>267.73702239649094</v>
      </c>
      <c r="U34" s="101">
        <f>IF(U12=0,0,U12/TrAvia_act!U10*1000)</f>
        <v>264.15618468125501</v>
      </c>
      <c r="V34" s="101">
        <f>IF(V12=0,0,V12/TrAvia_act!V10*1000)</f>
        <v>346.64493673637048</v>
      </c>
      <c r="W34" s="101">
        <f>IF(W12=0,0,W12/TrAvia_act!W10*1000)</f>
        <v>426.56770896522301</v>
      </c>
      <c r="X34" s="101">
        <f>IF(X12=0,0,X12/TrAvia_act!X10*1000)</f>
        <v>358.05935481397967</v>
      </c>
      <c r="Y34" s="101">
        <f>IF(Y12=0,0,Y12/TrAvia_act!Y10*1000)</f>
        <v>363.45210055329557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124.8588186586946</v>
      </c>
      <c r="C35" s="88">
        <f>IF(C13=0,0,C13/TrAvia_act!C11*1000)</f>
        <v>114.53982483756484</v>
      </c>
      <c r="D35" s="88">
        <f>IF(D13=0,0,D13/TrAvia_act!D11*1000)</f>
        <v>141.45408145220745</v>
      </c>
      <c r="E35" s="88">
        <f>IF(E13=0,0,E13/TrAvia_act!E11*1000)</f>
        <v>153.8406015841397</v>
      </c>
      <c r="F35" s="88">
        <f>IF(F13=0,0,F13/TrAvia_act!F11*1000)</f>
        <v>140.03566465773443</v>
      </c>
      <c r="G35" s="88">
        <f>IF(G13=0,0,G13/TrAvia_act!G11*1000)</f>
        <v>142.95023961277008</v>
      </c>
      <c r="H35" s="88">
        <f>IF(H13=0,0,H13/TrAvia_act!H11*1000)</f>
        <v>130.44923284616235</v>
      </c>
      <c r="I35" s="88">
        <f>IF(I13=0,0,I13/TrAvia_act!I11*1000)</f>
        <v>118.61760251159043</v>
      </c>
      <c r="J35" s="88">
        <f>IF(J13=0,0,J13/TrAvia_act!J11*1000)</f>
        <v>113.77837816062473</v>
      </c>
      <c r="K35" s="88">
        <f>IF(K13=0,0,K13/TrAvia_act!K11*1000)</f>
        <v>104.29687167366163</v>
      </c>
      <c r="L35" s="88">
        <f>IF(L13=0,0,L13/TrAvia_act!L11*1000)</f>
        <v>99.332785348063922</v>
      </c>
      <c r="M35" s="88">
        <f>IF(M13=0,0,M13/TrAvia_act!M11*1000)</f>
        <v>93.541369174674728</v>
      </c>
      <c r="N35" s="88">
        <f>IF(N13=0,0,N13/TrAvia_act!N11*1000)</f>
        <v>86.362429960062272</v>
      </c>
      <c r="O35" s="88">
        <f>IF(O13=0,0,O13/TrAvia_act!O11*1000)</f>
        <v>84.152713936206439</v>
      </c>
      <c r="P35" s="88">
        <f>IF(P13=0,0,P13/TrAvia_act!P11*1000)</f>
        <v>76.01454611327992</v>
      </c>
      <c r="Q35" s="88">
        <f>IF(Q13=0,0,Q13/TrAvia_act!Q11*1000)</f>
        <v>77.310555516014148</v>
      </c>
      <c r="R35" s="88">
        <f>IF(R13=0,0,R13/TrAvia_act!R11*1000)</f>
        <v>75.452656368203193</v>
      </c>
      <c r="S35" s="88">
        <f>IF(S13=0,0,S13/TrAvia_act!S11*1000)</f>
        <v>72.972457463340561</v>
      </c>
      <c r="T35" s="88">
        <f>IF(T13=0,0,T13/TrAvia_act!T11*1000)</f>
        <v>64.715614305029632</v>
      </c>
      <c r="U35" s="88">
        <f>IF(U13=0,0,U13/TrAvia_act!U11*1000)</f>
        <v>62.945828407231581</v>
      </c>
      <c r="V35" s="88">
        <f>IF(V13=0,0,V13/TrAvia_act!V11*1000)</f>
        <v>110.39686088113453</v>
      </c>
      <c r="W35" s="88">
        <f>IF(W13=0,0,W13/TrAvia_act!W11*1000)</f>
        <v>96.348297986500882</v>
      </c>
      <c r="X35" s="88">
        <f>IF(X13=0,0,X13/TrAvia_act!X11*1000)</f>
        <v>86.75960561214373</v>
      </c>
      <c r="Y35" s="88">
        <f>IF(Y13=0,0,Y13/TrAvia_act!Y11*1000)</f>
        <v>93.72667063554303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9713.6020698104821</v>
      </c>
      <c r="C37" s="62">
        <f>IF(C3=0,0,C3/TrAvia_act!C23*1000000)</f>
        <v>9253.0120674196205</v>
      </c>
      <c r="D37" s="62">
        <f>IF(D3=0,0,D3/TrAvia_act!D23*1000000)</f>
        <v>10316.842389498694</v>
      </c>
      <c r="E37" s="62">
        <f>IF(E3=0,0,E3/TrAvia_act!E23*1000000)</f>
        <v>10787.5664140262</v>
      </c>
      <c r="F37" s="62">
        <f>IF(F3=0,0,F3/TrAvia_act!F23*1000000)</f>
        <v>9892.3855475256423</v>
      </c>
      <c r="G37" s="62">
        <f>IF(G3=0,0,G3/TrAvia_act!G23*1000000)</f>
        <v>9434.8254200050396</v>
      </c>
      <c r="H37" s="62">
        <f>IF(H3=0,0,H3/TrAvia_act!H23*1000000)</f>
        <v>8348.6000306351943</v>
      </c>
      <c r="I37" s="62">
        <f>IF(I3=0,0,I3/TrAvia_act!I23*1000000)</f>
        <v>8368.8742382616529</v>
      </c>
      <c r="J37" s="62">
        <f>IF(J3=0,0,J3/TrAvia_act!J23*1000000)</f>
        <v>9169.550007817279</v>
      </c>
      <c r="K37" s="62">
        <f>IF(K3=0,0,K3/TrAvia_act!K23*1000000)</f>
        <v>9088.4242486923049</v>
      </c>
      <c r="L37" s="62">
        <f>IF(L3=0,0,L3/TrAvia_act!L23*1000000)</f>
        <v>9516.962452429414</v>
      </c>
      <c r="M37" s="62">
        <f>IF(M3=0,0,M3/TrAvia_act!M23*1000000)</f>
        <v>9648.3132402219671</v>
      </c>
      <c r="N37" s="62">
        <f>IF(N3=0,0,N3/TrAvia_act!N23*1000000)</f>
        <v>9171.3017206836648</v>
      </c>
      <c r="O37" s="62">
        <f>IF(O3=0,0,O3/TrAvia_act!O23*1000000)</f>
        <v>8934.4891088333006</v>
      </c>
      <c r="P37" s="62">
        <f>IF(P3=0,0,P3/TrAvia_act!P23*1000000)</f>
        <v>9074.579917133231</v>
      </c>
      <c r="Q37" s="62">
        <f>IF(Q3=0,0,Q3/TrAvia_act!Q23*1000000)</f>
        <v>9314.2684040188269</v>
      </c>
      <c r="R37" s="62">
        <f>IF(R3=0,0,R3/TrAvia_act!R23*1000000)</f>
        <v>9557.0084855090445</v>
      </c>
      <c r="S37" s="62">
        <f>IF(S3=0,0,S3/TrAvia_act!S23*1000000)</f>
        <v>10221.116698813232</v>
      </c>
      <c r="T37" s="62">
        <f>IF(T3=0,0,T3/TrAvia_act!T23*1000000)</f>
        <v>10589.643640842029</v>
      </c>
      <c r="U37" s="62">
        <f>IF(U3=0,0,U3/TrAvia_act!U23*1000000)</f>
        <v>10879.68880645912</v>
      </c>
      <c r="V37" s="62">
        <f>IF(V3=0,0,V3/TrAvia_act!V23*1000000)</f>
        <v>16170.005475286669</v>
      </c>
      <c r="W37" s="62">
        <f>IF(W3=0,0,W3/TrAvia_act!W23*1000000)</f>
        <v>16808.518443735582</v>
      </c>
      <c r="X37" s="62">
        <f>IF(X3=0,0,X3/TrAvia_act!X23*1000000)</f>
        <v>13682.123786678258</v>
      </c>
      <c r="Y37" s="62">
        <f>IF(Y3=0,0,Y3/TrAvia_act!Y23*1000000)</f>
        <v>12976.522467470309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9320.8674368055108</v>
      </c>
      <c r="C38" s="14">
        <f>IF(C6=0,0,C6/TrAvia_act!C24*1000000)</f>
        <v>8816.2461095285234</v>
      </c>
      <c r="D38" s="14">
        <f>IF(D6=0,0,D6/TrAvia_act!D24*1000000)</f>
        <v>9638.5653727448989</v>
      </c>
      <c r="E38" s="14">
        <f>IF(E6=0,0,E6/TrAvia_act!E24*1000000)</f>
        <v>9893.3784707630657</v>
      </c>
      <c r="F38" s="14">
        <f>IF(F6=0,0,F6/TrAvia_act!F24*1000000)</f>
        <v>9098.8713548932246</v>
      </c>
      <c r="G38" s="14">
        <f>IF(G6=0,0,G6/TrAvia_act!G24*1000000)</f>
        <v>8657.2937087132232</v>
      </c>
      <c r="H38" s="14">
        <f>IF(H6=0,0,H6/TrAvia_act!H24*1000000)</f>
        <v>7518.2553861669758</v>
      </c>
      <c r="I38" s="14">
        <f>IF(I6=0,0,I6/TrAvia_act!I24*1000000)</f>
        <v>7377.9294219752383</v>
      </c>
      <c r="J38" s="14">
        <f>IF(J6=0,0,J6/TrAvia_act!J24*1000000)</f>
        <v>8127.8060499877411</v>
      </c>
      <c r="K38" s="14">
        <f>IF(K6=0,0,K6/TrAvia_act!K24*1000000)</f>
        <v>8324.4813083300287</v>
      </c>
      <c r="L38" s="14">
        <f>IF(L6=0,0,L6/TrAvia_act!L24*1000000)</f>
        <v>8528.2137986438011</v>
      </c>
      <c r="M38" s="14">
        <f>IF(M6=0,0,M6/TrAvia_act!M24*1000000)</f>
        <v>8701.5880402070707</v>
      </c>
      <c r="N38" s="14">
        <f>IF(N6=0,0,N6/TrAvia_act!N24*1000000)</f>
        <v>8441.927502477005</v>
      </c>
      <c r="O38" s="14">
        <f>IF(O6=0,0,O6/TrAvia_act!O24*1000000)</f>
        <v>8291.604701933642</v>
      </c>
      <c r="P38" s="14">
        <f>IF(P6=0,0,P6/TrAvia_act!P24*1000000)</f>
        <v>8442.8767561793866</v>
      </c>
      <c r="Q38" s="14">
        <f>IF(Q6=0,0,Q6/TrAvia_act!Q24*1000000)</f>
        <v>8492.9198155535796</v>
      </c>
      <c r="R38" s="14">
        <f>IF(R6=0,0,R6/TrAvia_act!R24*1000000)</f>
        <v>8744.4768774343302</v>
      </c>
      <c r="S38" s="14">
        <f>IF(S6=0,0,S6/TrAvia_act!S24*1000000)</f>
        <v>9351.2426386865955</v>
      </c>
      <c r="T38" s="14">
        <f>IF(T6=0,0,T6/TrAvia_act!T24*1000000)</f>
        <v>9761.0589339719536</v>
      </c>
      <c r="U38" s="14">
        <f>IF(U6=0,0,U6/TrAvia_act!U24*1000000)</f>
        <v>10088.376899767818</v>
      </c>
      <c r="V38" s="14">
        <f>IF(V6=0,0,V6/TrAvia_act!V24*1000000)</f>
        <v>12420.964089436166</v>
      </c>
      <c r="W38" s="14">
        <f>IF(W6=0,0,W6/TrAvia_act!W24*1000000)</f>
        <v>14133.027795646653</v>
      </c>
      <c r="X38" s="14">
        <f>IF(X6=0,0,X6/TrAvia_act!X24*1000000)</f>
        <v>11544.067170432807</v>
      </c>
      <c r="Y38" s="14">
        <f>IF(Y6=0,0,Y6/TrAvia_act!Y24*1000000)</f>
        <v>10968.670904961175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5677.5583526062783</v>
      </c>
      <c r="C40" s="87">
        <f>IF(C8=0,0,C8/TrAvia_act!C26*1000000)</f>
        <v>5461.8534419855705</v>
      </c>
      <c r="D40" s="87">
        <f>IF(D8=0,0,D8/TrAvia_act!D26*1000000)</f>
        <v>6255.0390158302298</v>
      </c>
      <c r="E40" s="87">
        <f>IF(E8=0,0,E8/TrAvia_act!E26*1000000)</f>
        <v>6385.7047856020636</v>
      </c>
      <c r="F40" s="87">
        <f>IF(F8=0,0,F8/TrAvia_act!F26*1000000)</f>
        <v>5668.3258367293874</v>
      </c>
      <c r="G40" s="87">
        <f>IF(G8=0,0,G8/TrAvia_act!G26*1000000)</f>
        <v>5495.018167842004</v>
      </c>
      <c r="H40" s="87">
        <f>IF(H8=0,0,H8/TrAvia_act!H26*1000000)</f>
        <v>4794.8026758119831</v>
      </c>
      <c r="I40" s="87">
        <f>IF(I8=0,0,I8/TrAvia_act!I26*1000000)</f>
        <v>4816.4002893265197</v>
      </c>
      <c r="J40" s="87">
        <f>IF(J8=0,0,J8/TrAvia_act!J26*1000000)</f>
        <v>5322.5142079432671</v>
      </c>
      <c r="K40" s="87">
        <f>IF(K8=0,0,K8/TrAvia_act!K26*1000000)</f>
        <v>5381.6538778981921</v>
      </c>
      <c r="L40" s="87">
        <f>IF(L8=0,0,L8/TrAvia_act!L26*1000000)</f>
        <v>5567.3567533835003</v>
      </c>
      <c r="M40" s="87">
        <f>IF(M8=0,0,M8/TrAvia_act!M26*1000000)</f>
        <v>5700.261983505422</v>
      </c>
      <c r="N40" s="87">
        <f>IF(N8=0,0,N8/TrAvia_act!N26*1000000)</f>
        <v>5519.3960964058424</v>
      </c>
      <c r="O40" s="87">
        <f>IF(O8=0,0,O8/TrAvia_act!O26*1000000)</f>
        <v>5404.6718717771746</v>
      </c>
      <c r="P40" s="87">
        <f>IF(P8=0,0,P8/TrAvia_act!P26*1000000)</f>
        <v>5509.6448451555671</v>
      </c>
      <c r="Q40" s="87">
        <f>IF(Q8=0,0,Q8/TrAvia_act!Q26*1000000)</f>
        <v>5514.0264862186687</v>
      </c>
      <c r="R40" s="87">
        <f>IF(R8=0,0,R8/TrAvia_act!R26*1000000)</f>
        <v>5690.6276252265889</v>
      </c>
      <c r="S40" s="87">
        <f>IF(S8=0,0,S8/TrAvia_act!S26*1000000)</f>
        <v>6274.3105666989086</v>
      </c>
      <c r="T40" s="87">
        <f>IF(T8=0,0,T8/TrAvia_act!T26*1000000)</f>
        <v>6663.0601031909873</v>
      </c>
      <c r="U40" s="87">
        <f>IF(U8=0,0,U8/TrAvia_act!U26*1000000)</f>
        <v>6827.4683578656905</v>
      </c>
      <c r="V40" s="87">
        <f>IF(V8=0,0,V8/TrAvia_act!V26*1000000)</f>
        <v>7504.4639426248559</v>
      </c>
      <c r="W40" s="87">
        <f>IF(W8=0,0,W8/TrAvia_act!W26*1000000)</f>
        <v>9632.1149578500153</v>
      </c>
      <c r="X40" s="87">
        <f>IF(X8=0,0,X8/TrAvia_act!X26*1000000)</f>
        <v>8289.4902715947283</v>
      </c>
      <c r="Y40" s="87">
        <f>IF(Y8=0,0,Y8/TrAvia_act!Y26*1000000)</f>
        <v>7694.1162717089674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37322.383629701821</v>
      </c>
      <c r="C41" s="87">
        <f>IF(C9=0,0,C9/TrAvia_act!C27*1000000)</f>
        <v>35878.562306846703</v>
      </c>
      <c r="D41" s="87">
        <f>IF(D9=0,0,D9/TrAvia_act!D27*1000000)</f>
        <v>41835.814766587515</v>
      </c>
      <c r="E41" s="87">
        <f>IF(E9=0,0,E9/TrAvia_act!E27*1000000)</f>
        <v>41341.80024489815</v>
      </c>
      <c r="F41" s="87">
        <f>IF(F9=0,0,F9/TrAvia_act!F27*1000000)</f>
        <v>36524.760102064472</v>
      </c>
      <c r="G41" s="87">
        <f>IF(G9=0,0,G9/TrAvia_act!G27*1000000)</f>
        <v>30242.339177261158</v>
      </c>
      <c r="H41" s="87">
        <f>IF(H9=0,0,H9/TrAvia_act!H27*1000000)</f>
        <v>26823.472411424584</v>
      </c>
      <c r="I41" s="87">
        <f>IF(I9=0,0,I9/TrAvia_act!I27*1000000)</f>
        <v>24232.879817824694</v>
      </c>
      <c r="J41" s="87">
        <f>IF(J9=0,0,J9/TrAvia_act!J27*1000000)</f>
        <v>24284.741123406657</v>
      </c>
      <c r="K41" s="87">
        <f>IF(K9=0,0,K9/TrAvia_act!K27*1000000)</f>
        <v>23549.244715747238</v>
      </c>
      <c r="L41" s="87">
        <f>IF(L9=0,0,L9/TrAvia_act!L27*1000000)</f>
        <v>22806.394614122131</v>
      </c>
      <c r="M41" s="87">
        <f>IF(M9=0,0,M9/TrAvia_act!M27*1000000)</f>
        <v>22774.77115169432</v>
      </c>
      <c r="N41" s="87">
        <f>IF(N9=0,0,N9/TrAvia_act!N27*1000000)</f>
        <v>21390.863179964796</v>
      </c>
      <c r="O41" s="87">
        <f>IF(O9=0,0,O9/TrAvia_act!O27*1000000)</f>
        <v>20905.083274125856</v>
      </c>
      <c r="P41" s="87">
        <f>IF(P9=0,0,P9/TrAvia_act!P27*1000000)</f>
        <v>21499.219548323515</v>
      </c>
      <c r="Q41" s="87">
        <f>IF(Q9=0,0,Q9/TrAvia_act!Q27*1000000)</f>
        <v>22654.920920718836</v>
      </c>
      <c r="R41" s="87">
        <f>IF(R9=0,0,R9/TrAvia_act!R27*1000000)</f>
        <v>25357.130200340136</v>
      </c>
      <c r="S41" s="87">
        <f>IF(S9=0,0,S9/TrAvia_act!S27*1000000)</f>
        <v>24881.210099117146</v>
      </c>
      <c r="T41" s="87">
        <f>IF(T9=0,0,T9/TrAvia_act!T27*1000000)</f>
        <v>23389.68820854916</v>
      </c>
      <c r="U41" s="87">
        <f>IF(U9=0,0,U9/TrAvia_act!U27*1000000)</f>
        <v>23373.679308584804</v>
      </c>
      <c r="V41" s="87">
        <f>IF(V9=0,0,V9/TrAvia_act!V27*1000000)</f>
        <v>34712.55911590191</v>
      </c>
      <c r="W41" s="87">
        <f>IF(W9=0,0,W9/TrAvia_act!W27*1000000)</f>
        <v>31008.141179553561</v>
      </c>
      <c r="X41" s="87">
        <f>IF(X9=0,0,X9/TrAvia_act!X27*1000000)</f>
        <v>24811.602662147303</v>
      </c>
      <c r="Y41" s="87">
        <f>IF(Y9=0,0,Y9/TrAvia_act!Y27*1000000)</f>
        <v>24299.745373911723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13470.501782694828</v>
      </c>
      <c r="C42" s="15">
        <f>IF(C10=0,0,C10/TrAvia_act!C28*1000000)</f>
        <v>14165.603905932972</v>
      </c>
      <c r="D42" s="15">
        <f>IF(D10=0,0,D10/TrAvia_act!D28*1000000)</f>
        <v>16940.445311625084</v>
      </c>
      <c r="E42" s="15">
        <f>IF(E10=0,0,E10/TrAvia_act!E28*1000000)</f>
        <v>18962.493821846074</v>
      </c>
      <c r="F42" s="15">
        <f>IF(F10=0,0,F10/TrAvia_act!F28*1000000)</f>
        <v>16638.878099756956</v>
      </c>
      <c r="G42" s="15">
        <f>IF(G10=0,0,G10/TrAvia_act!G28*1000000)</f>
        <v>15311.080232010461</v>
      </c>
      <c r="H42" s="15">
        <f>IF(H10=0,0,H10/TrAvia_act!H28*1000000)</f>
        <v>12087.106463977645</v>
      </c>
      <c r="I42" s="15">
        <f>IF(I10=0,0,I10/TrAvia_act!I28*1000000)</f>
        <v>12563.884974710169</v>
      </c>
      <c r="J42" s="15">
        <f>IF(J10=0,0,J10/TrAvia_act!J28*1000000)</f>
        <v>14614.812768494332</v>
      </c>
      <c r="K42" s="15">
        <f>IF(K10=0,0,K10/TrAvia_act!K28*1000000)</f>
        <v>14322.73731307713</v>
      </c>
      <c r="L42" s="15">
        <f>IF(L10=0,0,L10/TrAvia_act!L28*1000000)</f>
        <v>15769.132904061775</v>
      </c>
      <c r="M42" s="15">
        <f>IF(M10=0,0,M10/TrAvia_act!M28*1000000)</f>
        <v>16119.038913999291</v>
      </c>
      <c r="N42" s="15">
        <f>IF(N10=0,0,N10/TrAvia_act!N28*1000000)</f>
        <v>14596.098528130282</v>
      </c>
      <c r="O42" s="15">
        <f>IF(O10=0,0,O10/TrAvia_act!O28*1000000)</f>
        <v>13774.998832330766</v>
      </c>
      <c r="P42" s="15">
        <f>IF(P10=0,0,P10/TrAvia_act!P28*1000000)</f>
        <v>14283.083618800345</v>
      </c>
      <c r="Q42" s="15">
        <f>IF(Q10=0,0,Q10/TrAvia_act!Q28*1000000)</f>
        <v>15501.812275344084</v>
      </c>
      <c r="R42" s="15">
        <f>IF(R10=0,0,R10/TrAvia_act!R28*1000000)</f>
        <v>16349.536363528476</v>
      </c>
      <c r="S42" s="15">
        <f>IF(S10=0,0,S10/TrAvia_act!S28*1000000)</f>
        <v>17067.983211525581</v>
      </c>
      <c r="T42" s="15">
        <f>IF(T10=0,0,T10/TrAvia_act!T28*1000000)</f>
        <v>16463.53918997636</v>
      </c>
      <c r="U42" s="15">
        <f>IF(U10=0,0,U10/TrAvia_act!U28*1000000)</f>
        <v>16919.088716752205</v>
      </c>
      <c r="V42" s="15">
        <f>IF(V10=0,0,V10/TrAvia_act!V28*1000000)</f>
        <v>23605.601708329024</v>
      </c>
      <c r="W42" s="15">
        <f>IF(W10=0,0,W10/TrAvia_act!W28*1000000)</f>
        <v>22098.489875391406</v>
      </c>
      <c r="X42" s="15">
        <f>IF(X10=0,0,X10/TrAvia_act!X28*1000000)</f>
        <v>23515.351147190173</v>
      </c>
      <c r="Y42" s="15">
        <f>IF(Y10=0,0,Y10/TrAvia_act!Y28*1000000)</f>
        <v>24456.414524160926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5121.5871930331596</v>
      </c>
      <c r="C44" s="101">
        <f>IF(C12=0,0,C12/TrAvia_act!C30*1000000)</f>
        <v>4939.2405299056954</v>
      </c>
      <c r="D44" s="101">
        <f>IF(D12=0,0,D12/TrAvia_act!D30*1000000)</f>
        <v>5698.9161625621973</v>
      </c>
      <c r="E44" s="101">
        <f>IF(E12=0,0,E12/TrAvia_act!E30*1000000)</f>
        <v>5606.3437134251171</v>
      </c>
      <c r="F44" s="101">
        <f>IF(F12=0,0,F12/TrAvia_act!F30*1000000)</f>
        <v>4957.7987410216474</v>
      </c>
      <c r="G44" s="101">
        <f>IF(G12=0,0,G12/TrAvia_act!G30*1000000)</f>
        <v>4907.2598258607077</v>
      </c>
      <c r="H44" s="101">
        <f>IF(H12=0,0,H12/TrAvia_act!H30*1000000)</f>
        <v>4622.7893888214849</v>
      </c>
      <c r="I44" s="101">
        <f>IF(I12=0,0,I12/TrAvia_act!I30*1000000)</f>
        <v>4683.2690945099703</v>
      </c>
      <c r="J44" s="101">
        <f>IF(J12=0,0,J12/TrAvia_act!J30*1000000)</f>
        <v>5100.7617804624124</v>
      </c>
      <c r="K44" s="101">
        <f>IF(K12=0,0,K12/TrAvia_act!K30*1000000)</f>
        <v>4812.1220784707384</v>
      </c>
      <c r="L44" s="101">
        <f>IF(L12=0,0,L12/TrAvia_act!L30*1000000)</f>
        <v>4923.5834366432</v>
      </c>
      <c r="M44" s="101">
        <f>IF(M12=0,0,M12/TrAvia_act!M30*1000000)</f>
        <v>5008.37866908056</v>
      </c>
      <c r="N44" s="101">
        <f>IF(N12=0,0,N12/TrAvia_act!N30*1000000)</f>
        <v>4902.4089954569426</v>
      </c>
      <c r="O44" s="101">
        <f>IF(O12=0,0,O12/TrAvia_act!O30*1000000)</f>
        <v>4718.5391253623329</v>
      </c>
      <c r="P44" s="101">
        <f>IF(P12=0,0,P12/TrAvia_act!P30*1000000)</f>
        <v>4778.408322711758</v>
      </c>
      <c r="Q44" s="101">
        <f>IF(Q12=0,0,Q12/TrAvia_act!Q30*1000000)</f>
        <v>4833.5748071720527</v>
      </c>
      <c r="R44" s="101">
        <f>IF(R12=0,0,R12/TrAvia_act!R30*1000000)</f>
        <v>4880.8046501469316</v>
      </c>
      <c r="S44" s="101">
        <f>IF(S12=0,0,S12/TrAvia_act!S30*1000000)</f>
        <v>5587.2374435863303</v>
      </c>
      <c r="T44" s="101">
        <f>IF(T12=0,0,T12/TrAvia_act!T30*1000000)</f>
        <v>6030.4257169673547</v>
      </c>
      <c r="U44" s="101">
        <f>IF(U12=0,0,U12/TrAvia_act!U30*1000000)</f>
        <v>6296.3930490265575</v>
      </c>
      <c r="V44" s="101">
        <f>IF(V12=0,0,V12/TrAvia_act!V30*1000000)</f>
        <v>7177.2282545841217</v>
      </c>
      <c r="W44" s="101">
        <f>IF(W12=0,0,W12/TrAvia_act!W30*1000000)</f>
        <v>8610.1673088715506</v>
      </c>
      <c r="X44" s="101">
        <f>IF(X12=0,0,X12/TrAvia_act!X30*1000000)</f>
        <v>6580.6600930089071</v>
      </c>
      <c r="Y44" s="101">
        <f>IF(Y12=0,0,Y12/TrAvia_act!Y30*1000000)</f>
        <v>6531.9637907217311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41841.835755993547</v>
      </c>
      <c r="C45" s="88">
        <f>IF(C13=0,0,C13/TrAvia_act!C31*1000000)</f>
        <v>40223.178832810634</v>
      </c>
      <c r="D45" s="88">
        <f>IF(D13=0,0,D13/TrAvia_act!D31*1000000)</f>
        <v>46901.808511197414</v>
      </c>
      <c r="E45" s="88">
        <f>IF(E13=0,0,E13/TrAvia_act!E31*1000000)</f>
        <v>46347.972650050753</v>
      </c>
      <c r="F45" s="88">
        <f>IF(F13=0,0,F13/TrAvia_act!F31*1000000)</f>
        <v>40947.626185414061</v>
      </c>
      <c r="G45" s="88">
        <f>IF(G13=0,0,G13/TrAvia_act!G31*1000000)</f>
        <v>37114.903114685316</v>
      </c>
      <c r="H45" s="88">
        <f>IF(H13=0,0,H13/TrAvia_act!H31*1000000)</f>
        <v>33799.569094918152</v>
      </c>
      <c r="I45" s="88">
        <f>IF(I13=0,0,I13/TrAvia_act!I31*1000000)</f>
        <v>31220.398024130896</v>
      </c>
      <c r="J45" s="88">
        <f>IF(J13=0,0,J13/TrAvia_act!J31*1000000)</f>
        <v>30863.063574094675</v>
      </c>
      <c r="K45" s="88">
        <f>IF(K13=0,0,K13/TrAvia_act!K31*1000000)</f>
        <v>32034.850736579294</v>
      </c>
      <c r="L45" s="88">
        <f>IF(L13=0,0,L13/TrAvia_act!L31*1000000)</f>
        <v>31836.96719426024</v>
      </c>
      <c r="M45" s="88">
        <f>IF(M13=0,0,M13/TrAvia_act!M31*1000000)</f>
        <v>31306.05699553038</v>
      </c>
      <c r="N45" s="88">
        <f>IF(N13=0,0,N13/TrAvia_act!N31*1000000)</f>
        <v>30174.048078612082</v>
      </c>
      <c r="O45" s="88">
        <f>IF(O13=0,0,O13/TrAvia_act!O31*1000000)</f>
        <v>31061.593174623646</v>
      </c>
      <c r="P45" s="88">
        <f>IF(P13=0,0,P13/TrAvia_act!P31*1000000)</f>
        <v>33211.749361265393</v>
      </c>
      <c r="Q45" s="88">
        <f>IF(Q13=0,0,Q13/TrAvia_act!Q31*1000000)</f>
        <v>34425.814481389411</v>
      </c>
      <c r="R45" s="88">
        <f>IF(R13=0,0,R13/TrAvia_act!R31*1000000)</f>
        <v>38089.759978599468</v>
      </c>
      <c r="S45" s="88">
        <f>IF(S13=0,0,S13/TrAvia_act!S31*1000000)</f>
        <v>37612.862234510918</v>
      </c>
      <c r="T45" s="88">
        <f>IF(T13=0,0,T13/TrAvia_act!T31*1000000)</f>
        <v>35040.613095081266</v>
      </c>
      <c r="U45" s="88">
        <f>IF(U13=0,0,U13/TrAvia_act!U31*1000000)</f>
        <v>36329.214513099629</v>
      </c>
      <c r="V45" s="88">
        <f>IF(V13=0,0,V13/TrAvia_act!V31*1000000)</f>
        <v>43853.874687944692</v>
      </c>
      <c r="W45" s="88">
        <f>IF(W13=0,0,W13/TrAvia_act!W31*1000000)</f>
        <v>36227.546610043697</v>
      </c>
      <c r="X45" s="88">
        <f>IF(X13=0,0,X13/TrAvia_act!X31*1000000)</f>
        <v>40289.32114565478</v>
      </c>
      <c r="Y45" s="88">
        <f>IF(Y13=0,0,Y13/TrAvia_act!Y31*1000000)</f>
        <v>47093.690152554511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0.86875195686714457</v>
      </c>
      <c r="C48" s="16">
        <f t="shared" si="36"/>
        <v>0.87500314098212584</v>
      </c>
      <c r="D48" s="16">
        <f t="shared" ref="D48:V48" si="37">IF(D6=0,0,D6/D$3)</f>
        <v>0.84747169641004638</v>
      </c>
      <c r="E48" s="16">
        <f t="shared" si="37"/>
        <v>0.82668511878915929</v>
      </c>
      <c r="F48" s="16">
        <f t="shared" si="37"/>
        <v>0.82298667079191212</v>
      </c>
      <c r="G48" s="16">
        <f t="shared" si="37"/>
        <v>0.81036381437027749</v>
      </c>
      <c r="H48" s="16">
        <f t="shared" si="37"/>
        <v>0.73687623257063806</v>
      </c>
      <c r="I48" s="16">
        <f t="shared" si="37"/>
        <v>0.71313498271091003</v>
      </c>
      <c r="J48" s="16">
        <f t="shared" si="37"/>
        <v>0.74404602707251055</v>
      </c>
      <c r="K48" s="16">
        <f t="shared" si="37"/>
        <v>0.79928799029185038</v>
      </c>
      <c r="L48" s="16">
        <f t="shared" si="37"/>
        <v>0.77374318611305781</v>
      </c>
      <c r="M48" s="16">
        <f t="shared" si="37"/>
        <v>0.78676572803049061</v>
      </c>
      <c r="N48" s="16">
        <f t="shared" si="37"/>
        <v>0.81138047286870651</v>
      </c>
      <c r="O48" s="16">
        <f t="shared" si="37"/>
        <v>0.81923877483377805</v>
      </c>
      <c r="P48" s="16">
        <f t="shared" si="37"/>
        <v>0.82975268598108287</v>
      </c>
      <c r="Q48" s="16">
        <f t="shared" si="37"/>
        <v>0.8049653194236468</v>
      </c>
      <c r="R48" s="16">
        <f t="shared" si="37"/>
        <v>0.81722317924779331</v>
      </c>
      <c r="S48" s="16">
        <f t="shared" si="37"/>
        <v>0.81176241588467535</v>
      </c>
      <c r="T48" s="16">
        <f t="shared" si="37"/>
        <v>0.80780449507686947</v>
      </c>
      <c r="U48" s="16">
        <f t="shared" si="37"/>
        <v>0.81984669589502945</v>
      </c>
      <c r="V48" s="16">
        <f t="shared" si="37"/>
        <v>0.51066844198384453</v>
      </c>
      <c r="W48" s="16">
        <f t="shared" ref="W48:Y48" si="38">IF(W6=0,0,W6/W$3)</f>
        <v>0.55840349808952405</v>
      </c>
      <c r="X48" s="16">
        <f t="shared" si="38"/>
        <v>0.69304379195589727</v>
      </c>
      <c r="Y48" s="16">
        <f t="shared" si="38"/>
        <v>0.71943934637333329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0.46825229699538989</v>
      </c>
      <c r="C50" s="103">
        <f t="shared" si="42"/>
        <v>0.48230158866521522</v>
      </c>
      <c r="D50" s="103">
        <f t="shared" ref="D50:V50" si="43">IF(D8=0,0,D8/D$3)</f>
        <v>0.49767541510570407</v>
      </c>
      <c r="E50" s="103">
        <f t="shared" si="43"/>
        <v>0.48004314505796447</v>
      </c>
      <c r="F50" s="103">
        <f t="shared" si="43"/>
        <v>0.45569583132338504</v>
      </c>
      <c r="G50" s="103">
        <f t="shared" si="43"/>
        <v>0.44863360041066119</v>
      </c>
      <c r="H50" s="103">
        <f t="shared" si="43"/>
        <v>0.41184578938871835</v>
      </c>
      <c r="I50" s="103">
        <f t="shared" si="43"/>
        <v>0.40412601475061266</v>
      </c>
      <c r="J50" s="103">
        <f t="shared" si="43"/>
        <v>0.41515754985711772</v>
      </c>
      <c r="K50" s="103">
        <f t="shared" si="43"/>
        <v>0.43302710318968923</v>
      </c>
      <c r="L50" s="103">
        <f t="shared" si="43"/>
        <v>0.41835760070475886</v>
      </c>
      <c r="M50" s="103">
        <f t="shared" si="43"/>
        <v>0.42480130433903712</v>
      </c>
      <c r="N50" s="103">
        <f t="shared" si="43"/>
        <v>0.43280422954059838</v>
      </c>
      <c r="O50" s="103">
        <f t="shared" si="43"/>
        <v>0.43454313290379759</v>
      </c>
      <c r="P50" s="103">
        <f t="shared" si="43"/>
        <v>0.44214676679348475</v>
      </c>
      <c r="Q50" s="103">
        <f t="shared" si="43"/>
        <v>0.4317975140868579</v>
      </c>
      <c r="R50" s="103">
        <f t="shared" si="43"/>
        <v>0.44924047649709614</v>
      </c>
      <c r="S50" s="103">
        <f t="shared" si="43"/>
        <v>0.45459238739188079</v>
      </c>
      <c r="T50" s="103">
        <f t="shared" si="43"/>
        <v>0.44929008886728622</v>
      </c>
      <c r="U50" s="103">
        <f t="shared" si="43"/>
        <v>0.44549612969912911</v>
      </c>
      <c r="V50" s="103">
        <f t="shared" si="43"/>
        <v>0.2527821456970184</v>
      </c>
      <c r="W50" s="103">
        <f t="shared" ref="W50:Y50" si="44">IF(W8=0,0,W8/W$3)</f>
        <v>0.30043761127775337</v>
      </c>
      <c r="X50" s="103">
        <f t="shared" si="44"/>
        <v>0.39962656009591185</v>
      </c>
      <c r="Y50" s="103">
        <f t="shared" si="44"/>
        <v>0.4051433785000465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0.40049965987175473</v>
      </c>
      <c r="C51" s="103">
        <f t="shared" si="45"/>
        <v>0.39270155231691051</v>
      </c>
      <c r="D51" s="103">
        <f t="shared" ref="D51:V51" si="46">IF(D9=0,0,D9/D$3)</f>
        <v>0.34979628130434237</v>
      </c>
      <c r="E51" s="103">
        <f t="shared" si="46"/>
        <v>0.34664197373119476</v>
      </c>
      <c r="F51" s="103">
        <f t="shared" si="46"/>
        <v>0.36729083946852709</v>
      </c>
      <c r="G51" s="103">
        <f t="shared" si="46"/>
        <v>0.36173021395961624</v>
      </c>
      <c r="H51" s="103">
        <f t="shared" si="46"/>
        <v>0.32503044318191981</v>
      </c>
      <c r="I51" s="103">
        <f t="shared" si="46"/>
        <v>0.30900896796029736</v>
      </c>
      <c r="J51" s="103">
        <f t="shared" si="46"/>
        <v>0.32888847721539277</v>
      </c>
      <c r="K51" s="103">
        <f t="shared" si="46"/>
        <v>0.36626088710216104</v>
      </c>
      <c r="L51" s="103">
        <f t="shared" si="46"/>
        <v>0.35538558540829895</v>
      </c>
      <c r="M51" s="103">
        <f t="shared" si="46"/>
        <v>0.36196442369145349</v>
      </c>
      <c r="N51" s="103">
        <f t="shared" si="46"/>
        <v>0.37857624332810813</v>
      </c>
      <c r="O51" s="103">
        <f t="shared" si="46"/>
        <v>0.3846956419299804</v>
      </c>
      <c r="P51" s="103">
        <f t="shared" si="46"/>
        <v>0.38760591918759807</v>
      </c>
      <c r="Q51" s="103">
        <f t="shared" si="46"/>
        <v>0.37316780533678889</v>
      </c>
      <c r="R51" s="103">
        <f t="shared" si="46"/>
        <v>0.36798270275069728</v>
      </c>
      <c r="S51" s="103">
        <f t="shared" si="46"/>
        <v>0.35717002849279467</v>
      </c>
      <c r="T51" s="103">
        <f t="shared" si="46"/>
        <v>0.35851440620958325</v>
      </c>
      <c r="U51" s="103">
        <f t="shared" si="46"/>
        <v>0.37435056619590024</v>
      </c>
      <c r="V51" s="103">
        <f t="shared" si="46"/>
        <v>0.25788629628682613</v>
      </c>
      <c r="W51" s="103">
        <f t="shared" ref="W51:Y51" si="47">IF(W9=0,0,W9/W$3)</f>
        <v>0.25796588681177074</v>
      </c>
      <c r="X51" s="103">
        <f t="shared" si="47"/>
        <v>0.29341723185998542</v>
      </c>
      <c r="Y51" s="103">
        <f t="shared" si="47"/>
        <v>0.31429596787328684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0.13124804313285543</v>
      </c>
      <c r="C52" s="17">
        <f t="shared" si="48"/>
        <v>0.1249968590178743</v>
      </c>
      <c r="D52" s="17">
        <f t="shared" ref="D52:V52" si="49">IF(D10=0,0,D10/D$3)</f>
        <v>0.15252830358995365</v>
      </c>
      <c r="E52" s="17">
        <f t="shared" si="49"/>
        <v>0.17331488121084085</v>
      </c>
      <c r="F52" s="17">
        <f t="shared" si="49"/>
        <v>0.17701332920808785</v>
      </c>
      <c r="G52" s="17">
        <f t="shared" si="49"/>
        <v>0.18963618562972254</v>
      </c>
      <c r="H52" s="17">
        <f t="shared" si="49"/>
        <v>0.26312376742936183</v>
      </c>
      <c r="I52" s="17">
        <f t="shared" si="49"/>
        <v>0.28686501728909009</v>
      </c>
      <c r="J52" s="17">
        <f t="shared" si="49"/>
        <v>0.25595397292748961</v>
      </c>
      <c r="K52" s="17">
        <f t="shared" si="49"/>
        <v>0.20071200970814962</v>
      </c>
      <c r="L52" s="17">
        <f t="shared" si="49"/>
        <v>0.22625681388694216</v>
      </c>
      <c r="M52" s="17">
        <f t="shared" si="49"/>
        <v>0.21323427196950936</v>
      </c>
      <c r="N52" s="17">
        <f t="shared" si="49"/>
        <v>0.18861952713129346</v>
      </c>
      <c r="O52" s="17">
        <f t="shared" si="49"/>
        <v>0.18076122516622195</v>
      </c>
      <c r="P52" s="17">
        <f t="shared" si="49"/>
        <v>0.17024731401891716</v>
      </c>
      <c r="Q52" s="17">
        <f t="shared" si="49"/>
        <v>0.19503468057635318</v>
      </c>
      <c r="R52" s="17">
        <f t="shared" si="49"/>
        <v>0.18277682075220669</v>
      </c>
      <c r="S52" s="17">
        <f t="shared" si="49"/>
        <v>0.18823758411532451</v>
      </c>
      <c r="T52" s="17">
        <f t="shared" si="49"/>
        <v>0.19219550492313059</v>
      </c>
      <c r="U52" s="17">
        <f t="shared" si="49"/>
        <v>0.18015330410497057</v>
      </c>
      <c r="V52" s="17">
        <f t="shared" si="49"/>
        <v>0.48933155801615541</v>
      </c>
      <c r="W52" s="17">
        <f t="shared" ref="W52:Y52" si="50">IF(W10=0,0,W10/W$3)</f>
        <v>0.44159650191047606</v>
      </c>
      <c r="X52" s="17">
        <f t="shared" si="50"/>
        <v>0.30695620804410267</v>
      </c>
      <c r="Y52" s="17">
        <f t="shared" si="50"/>
        <v>0.28056065362666671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3.8555627683070665E-2</v>
      </c>
      <c r="C54" s="104">
        <f t="shared" si="54"/>
        <v>3.2187046172939195E-2</v>
      </c>
      <c r="D54" s="104">
        <f t="shared" ref="D54:V54" si="55">IF(D12=0,0,D12/D$3)</f>
        <v>3.7312276875856601E-2</v>
      </c>
      <c r="E54" s="104">
        <f t="shared" si="55"/>
        <v>3.4443087210904978E-2</v>
      </c>
      <c r="F54" s="104">
        <f t="shared" si="55"/>
        <v>3.5624899813488604E-2</v>
      </c>
      <c r="G54" s="104">
        <f t="shared" si="55"/>
        <v>4.114604817096057E-2</v>
      </c>
      <c r="H54" s="104">
        <f t="shared" si="55"/>
        <v>7.4888230119424956E-2</v>
      </c>
      <c r="I54" s="104">
        <f t="shared" si="55"/>
        <v>7.5176013629182081E-2</v>
      </c>
      <c r="J54" s="104">
        <f t="shared" si="55"/>
        <v>5.6341137516296248E-2</v>
      </c>
      <c r="K54" s="104">
        <f t="shared" si="55"/>
        <v>4.3875562709580283E-2</v>
      </c>
      <c r="L54" s="104">
        <f t="shared" si="55"/>
        <v>4.2175884165915965E-2</v>
      </c>
      <c r="M54" s="104">
        <f t="shared" si="55"/>
        <v>3.8262216293586566E-2</v>
      </c>
      <c r="N54" s="104">
        <f t="shared" si="55"/>
        <v>3.9051371258627975E-2</v>
      </c>
      <c r="O54" s="104">
        <f t="shared" si="55"/>
        <v>4.0631661690345537E-2</v>
      </c>
      <c r="P54" s="104">
        <f t="shared" si="55"/>
        <v>3.7916972734673413E-2</v>
      </c>
      <c r="Q54" s="104">
        <f t="shared" si="55"/>
        <v>3.888955454799245E-2</v>
      </c>
      <c r="R54" s="104">
        <f t="shared" si="55"/>
        <v>3.5720365654157968E-2</v>
      </c>
      <c r="S54" s="104">
        <f t="shared" si="55"/>
        <v>3.9530038620494937E-2</v>
      </c>
      <c r="T54" s="104">
        <f t="shared" si="55"/>
        <v>4.5081127709746677E-2</v>
      </c>
      <c r="U54" s="104">
        <f t="shared" si="55"/>
        <v>4.3330062006344837E-2</v>
      </c>
      <c r="V54" s="104">
        <f t="shared" si="55"/>
        <v>8.2137839789528475E-2</v>
      </c>
      <c r="W54" s="104">
        <f t="shared" ref="W54:Y54" si="56">IF(W12=0,0,W12/W$3)</f>
        <v>8.8024855883822792E-2</v>
      </c>
      <c r="X54" s="104">
        <f t="shared" si="56"/>
        <v>4.274533958688518E-2</v>
      </c>
      <c r="Y54" s="104">
        <f t="shared" si="56"/>
        <v>4.1820139225580678E-2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9.2692415449784765E-2</v>
      </c>
      <c r="C55" s="105">
        <f t="shared" si="57"/>
        <v>9.2809812844935086E-2</v>
      </c>
      <c r="D55" s="105">
        <f t="shared" ref="D55:V55" si="58">IF(D13=0,0,D13/D$3)</f>
        <v>0.11521602671409704</v>
      </c>
      <c r="E55" s="105">
        <f t="shared" si="58"/>
        <v>0.13887179399993588</v>
      </c>
      <c r="F55" s="105">
        <f t="shared" si="58"/>
        <v>0.14138842939459925</v>
      </c>
      <c r="G55" s="105">
        <f t="shared" si="58"/>
        <v>0.14849013745876194</v>
      </c>
      <c r="H55" s="105">
        <f t="shared" si="58"/>
        <v>0.18823553730993692</v>
      </c>
      <c r="I55" s="105">
        <f t="shared" si="58"/>
        <v>0.21168900365990798</v>
      </c>
      <c r="J55" s="105">
        <f t="shared" si="58"/>
        <v>0.19961283541119335</v>
      </c>
      <c r="K55" s="105">
        <f t="shared" si="58"/>
        <v>0.15683644699856933</v>
      </c>
      <c r="L55" s="105">
        <f t="shared" si="58"/>
        <v>0.18408092972102622</v>
      </c>
      <c r="M55" s="105">
        <f t="shared" si="58"/>
        <v>0.17497205567592281</v>
      </c>
      <c r="N55" s="105">
        <f t="shared" si="58"/>
        <v>0.14956815587266548</v>
      </c>
      <c r="O55" s="105">
        <f t="shared" si="58"/>
        <v>0.14012956347587641</v>
      </c>
      <c r="P55" s="105">
        <f t="shared" si="58"/>
        <v>0.13233034128424373</v>
      </c>
      <c r="Q55" s="105">
        <f t="shared" si="58"/>
        <v>0.15614512602836075</v>
      </c>
      <c r="R55" s="105">
        <f t="shared" si="58"/>
        <v>0.14705645509804871</v>
      </c>
      <c r="S55" s="105">
        <f t="shared" si="58"/>
        <v>0.14870754549482959</v>
      </c>
      <c r="T55" s="105">
        <f t="shared" si="58"/>
        <v>0.14711437721338391</v>
      </c>
      <c r="U55" s="105">
        <f t="shared" si="58"/>
        <v>0.13682324209862573</v>
      </c>
      <c r="V55" s="105">
        <f t="shared" si="58"/>
        <v>0.40719371822662698</v>
      </c>
      <c r="W55" s="105">
        <f t="shared" ref="W55:Y55" si="59">IF(W13=0,0,W13/W$3)</f>
        <v>0.35357164602665325</v>
      </c>
      <c r="X55" s="105">
        <f t="shared" si="59"/>
        <v>0.26421086845721747</v>
      </c>
      <c r="Y55" s="105">
        <f t="shared" si="59"/>
        <v>0.23874051440108604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473.83286184052605</v>
      </c>
      <c r="C57" s="62">
        <v>471.40335355099552</v>
      </c>
      <c r="D57" s="62">
        <v>467.74940847221183</v>
      </c>
      <c r="E57" s="62">
        <v>471.78582090187041</v>
      </c>
      <c r="F57" s="62">
        <v>478.4711687690808</v>
      </c>
      <c r="G57" s="62">
        <v>462.95293274225031</v>
      </c>
      <c r="H57" s="62">
        <v>470.25304683779694</v>
      </c>
      <c r="I57" s="62">
        <v>486.50516508257147</v>
      </c>
      <c r="J57" s="62">
        <v>510.4098910167977</v>
      </c>
      <c r="K57" s="62">
        <v>496.47789340189706</v>
      </c>
      <c r="L57" s="62">
        <v>506.5727072120248</v>
      </c>
      <c r="M57" s="62">
        <v>513.82193482056653</v>
      </c>
      <c r="N57" s="62">
        <v>504.33067288620219</v>
      </c>
      <c r="O57" s="62">
        <v>486.96449074353933</v>
      </c>
      <c r="P57" s="62">
        <v>476.29805218785634</v>
      </c>
      <c r="Q57" s="62">
        <v>488.06821918388931</v>
      </c>
      <c r="R57" s="62">
        <v>483.9937539113335</v>
      </c>
      <c r="S57" s="62">
        <v>493.54629979574617</v>
      </c>
      <c r="T57" s="62">
        <v>508.48192666267755</v>
      </c>
      <c r="U57" s="62">
        <v>505.70121475632192</v>
      </c>
      <c r="V57" s="62">
        <v>590.79413607876131</v>
      </c>
      <c r="W57" s="62">
        <v>590.96570718223677</v>
      </c>
      <c r="X57" s="62">
        <v>549.51568072974408</v>
      </c>
      <c r="Y57" s="62">
        <v>524.95438982210351</v>
      </c>
      <c r="DA57" s="172" t="s">
        <v>314</v>
      </c>
    </row>
    <row r="58" spans="1:105" ht="11.45" customHeight="1" x14ac:dyDescent="0.25">
      <c r="A58" s="10" t="s">
        <v>33</v>
      </c>
      <c r="B58" s="14">
        <v>460.5707092996314</v>
      </c>
      <c r="C58" s="14">
        <v>457.06173113170928</v>
      </c>
      <c r="D58" s="14">
        <v>448.8327940351615</v>
      </c>
      <c r="E58" s="14">
        <v>447.54625752050555</v>
      </c>
      <c r="F58" s="14">
        <v>454.62986683301466</v>
      </c>
      <c r="G58" s="14">
        <v>437.89564390415512</v>
      </c>
      <c r="H58" s="14">
        <v>439.64799532109117</v>
      </c>
      <c r="I58" s="14">
        <v>448.04705622928651</v>
      </c>
      <c r="J58" s="14">
        <v>470.30728805809741</v>
      </c>
      <c r="K58" s="14">
        <v>464.84131029411816</v>
      </c>
      <c r="L58" s="14">
        <v>466.59061764997</v>
      </c>
      <c r="M58" s="14">
        <v>475.45875733243003</v>
      </c>
      <c r="N58" s="14">
        <v>472.60181126999908</v>
      </c>
      <c r="O58" s="14">
        <v>458.05922113104845</v>
      </c>
      <c r="P58" s="14">
        <v>448.62924579456029</v>
      </c>
      <c r="Q58" s="14">
        <v>454.24825657180975</v>
      </c>
      <c r="R58" s="14">
        <v>451.89419865592839</v>
      </c>
      <c r="S58" s="14">
        <v>459.22469600739066</v>
      </c>
      <c r="T58" s="14">
        <v>474.21483640235272</v>
      </c>
      <c r="U58" s="14">
        <v>474.14218497935019</v>
      </c>
      <c r="V58" s="14">
        <v>502.78109868031925</v>
      </c>
      <c r="W58" s="14">
        <v>513.09953830510995</v>
      </c>
      <c r="X58" s="14">
        <v>475.76206189427245</v>
      </c>
      <c r="Y58" s="14">
        <v>457.85043175421185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352.60332737964126</v>
      </c>
      <c r="C60" s="87">
        <v>352.5136215473803</v>
      </c>
      <c r="D60" s="87">
        <v>354.85061672735094</v>
      </c>
      <c r="E60" s="87">
        <v>350.66502689032916</v>
      </c>
      <c r="F60" s="87">
        <v>350.05318234757112</v>
      </c>
      <c r="G60" s="87">
        <v>349.99797324252074</v>
      </c>
      <c r="H60" s="87">
        <v>350.94285445763762</v>
      </c>
      <c r="I60" s="87">
        <v>351.03888615672366</v>
      </c>
      <c r="J60" s="87">
        <v>349.72583641307102</v>
      </c>
      <c r="K60" s="87">
        <v>348.59760869667008</v>
      </c>
      <c r="L60" s="87">
        <v>344.12017689112895</v>
      </c>
      <c r="M60" s="87">
        <v>345.76119566619013</v>
      </c>
      <c r="N60" s="87">
        <v>347.74718983981234</v>
      </c>
      <c r="O60" s="87">
        <v>346.23675683477097</v>
      </c>
      <c r="P60" s="87">
        <v>344.01720170609661</v>
      </c>
      <c r="Q60" s="87">
        <v>343.01641990320485</v>
      </c>
      <c r="R60" s="87">
        <v>340.92877484024865</v>
      </c>
      <c r="S60" s="87">
        <v>339.95227772799461</v>
      </c>
      <c r="T60" s="87">
        <v>338.99719662942948</v>
      </c>
      <c r="U60" s="87">
        <v>337.75876391592624</v>
      </c>
      <c r="V60" s="87">
        <v>343.03944845692297</v>
      </c>
      <c r="W60" s="87">
        <v>337.10772393167002</v>
      </c>
      <c r="X60" s="87">
        <v>337.11151229638551</v>
      </c>
      <c r="Y60" s="87">
        <v>335.95604445356616</v>
      </c>
      <c r="DA60" s="171" t="s">
        <v>317</v>
      </c>
    </row>
    <row r="61" spans="1:105" ht="11.45" customHeight="1" x14ac:dyDescent="0.25">
      <c r="A61" s="83" t="s">
        <v>182</v>
      </c>
      <c r="B61" s="87">
        <v>664.91410864857835</v>
      </c>
      <c r="C61" s="87">
        <v>664.91410864857835</v>
      </c>
      <c r="D61" s="87">
        <v>664.91410864857835</v>
      </c>
      <c r="E61" s="87">
        <v>664.91410864857835</v>
      </c>
      <c r="F61" s="87">
        <v>664.91410864857824</v>
      </c>
      <c r="G61" s="87">
        <v>599.68952656883278</v>
      </c>
      <c r="H61" s="87">
        <v>605.89411915078108</v>
      </c>
      <c r="I61" s="87">
        <v>614.16078215123866</v>
      </c>
      <c r="J61" s="87">
        <v>646.35036258917251</v>
      </c>
      <c r="K61" s="87">
        <v>621.87113180689721</v>
      </c>
      <c r="L61" s="87">
        <v>625.70750362496483</v>
      </c>
      <c r="M61" s="87">
        <v>637.20243635240274</v>
      </c>
      <c r="N61" s="87">
        <v>621.29079745979197</v>
      </c>
      <c r="O61" s="87">
        <v>594.10185431857963</v>
      </c>
      <c r="P61" s="87">
        <v>582.1902307141462</v>
      </c>
      <c r="Q61" s="87">
        <v>602.4777256652601</v>
      </c>
      <c r="R61" s="87">
        <v>619.93419653062074</v>
      </c>
      <c r="S61" s="87">
        <v>626.32458671652682</v>
      </c>
      <c r="T61" s="87">
        <v>637.87700317404142</v>
      </c>
      <c r="U61" s="87">
        <v>632.26809172100207</v>
      </c>
      <c r="V61" s="87">
        <v>687.14741391431767</v>
      </c>
      <c r="W61" s="87">
        <v>691.20841737649619</v>
      </c>
      <c r="X61" s="87">
        <v>643.47370432068658</v>
      </c>
      <c r="Y61" s="87">
        <v>614.10916685982988</v>
      </c>
      <c r="DA61" s="171" t="s">
        <v>318</v>
      </c>
    </row>
    <row r="62" spans="1:105" ht="11.45" customHeight="1" x14ac:dyDescent="0.25">
      <c r="A62" s="12" t="s">
        <v>34</v>
      </c>
      <c r="B62" s="15">
        <v>570.64834500762038</v>
      </c>
      <c r="C62" s="15">
        <v>584.45471129908753</v>
      </c>
      <c r="D62" s="15">
        <v>588.34157348177348</v>
      </c>
      <c r="E62" s="15">
        <v>606.93996641805563</v>
      </c>
      <c r="F62" s="15">
        <v>606.43377989629278</v>
      </c>
      <c r="G62" s="15">
        <v>588.73626518010451</v>
      </c>
      <c r="H62" s="15">
        <v>569.02303309818171</v>
      </c>
      <c r="I62" s="15">
        <v>594.06947071617435</v>
      </c>
      <c r="J62" s="15">
        <v>634.80921596693429</v>
      </c>
      <c r="K62" s="15">
        <v>633.41481743272561</v>
      </c>
      <c r="L62" s="15">
        <v>654.99085792759934</v>
      </c>
      <c r="M62" s="15">
        <v>663.82569716391197</v>
      </c>
      <c r="N62" s="15">
        <v>650.00262942229426</v>
      </c>
      <c r="O62" s="15">
        <v>631.43918492018372</v>
      </c>
      <c r="P62" s="15">
        <v>629.82880994984225</v>
      </c>
      <c r="Q62" s="15">
        <v>647.46779699285707</v>
      </c>
      <c r="R62" s="15">
        <v>649.98271586125895</v>
      </c>
      <c r="S62" s="15">
        <v>658.09547365094068</v>
      </c>
      <c r="T62" s="15">
        <v>659.99275546467322</v>
      </c>
      <c r="U62" s="15">
        <v>659.73091253004827</v>
      </c>
      <c r="V62" s="15">
        <v>690.25678281714681</v>
      </c>
      <c r="W62" s="15">
        <v>685.17305647245041</v>
      </c>
      <c r="X62" s="15">
        <v>720.78938162609404</v>
      </c>
      <c r="Y62" s="15">
        <v>723.19328915699202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369.22088429866756</v>
      </c>
      <c r="C64" s="101">
        <v>369.89705661538312</v>
      </c>
      <c r="D64" s="101">
        <v>368.08000929126973</v>
      </c>
      <c r="E64" s="101">
        <v>370.08863504569791</v>
      </c>
      <c r="F64" s="101">
        <v>371.30888473215725</v>
      </c>
      <c r="G64" s="101">
        <v>370.17710430462245</v>
      </c>
      <c r="H64" s="101">
        <v>360.55115806506802</v>
      </c>
      <c r="I64" s="101">
        <v>358.19463950470885</v>
      </c>
      <c r="J64" s="101">
        <v>359.68594869570791</v>
      </c>
      <c r="K64" s="101">
        <v>356.68500807975227</v>
      </c>
      <c r="L64" s="101">
        <v>349.25059361208616</v>
      </c>
      <c r="M64" s="101">
        <v>352.55932250970756</v>
      </c>
      <c r="N64" s="101">
        <v>354.64982103340782</v>
      </c>
      <c r="O64" s="101">
        <v>355.18284571686848</v>
      </c>
      <c r="P64" s="101">
        <v>354.50033106121998</v>
      </c>
      <c r="Q64" s="101">
        <v>355.3231042318526</v>
      </c>
      <c r="R64" s="101">
        <v>353.69008058255162</v>
      </c>
      <c r="S64" s="101">
        <v>352.30872595105984</v>
      </c>
      <c r="T64" s="101">
        <v>351.51665388936385</v>
      </c>
      <c r="U64" s="101">
        <v>349.20182967481281</v>
      </c>
      <c r="V64" s="101">
        <v>349.62793510211361</v>
      </c>
      <c r="W64" s="101">
        <v>352.49099788605542</v>
      </c>
      <c r="X64" s="101">
        <v>360.94603033030933</v>
      </c>
      <c r="Y64" s="101">
        <v>360.84266335732178</v>
      </c>
      <c r="DA64" s="175" t="s">
        <v>321</v>
      </c>
    </row>
    <row r="65" spans="1:105" ht="11.45" customHeight="1" x14ac:dyDescent="0.25">
      <c r="A65" s="85" t="s">
        <v>182</v>
      </c>
      <c r="B65" s="88">
        <v>692.44322302884109</v>
      </c>
      <c r="C65" s="88">
        <v>692.44322302884109</v>
      </c>
      <c r="D65" s="88">
        <v>692.44322302884109</v>
      </c>
      <c r="E65" s="88">
        <v>692.44322302884109</v>
      </c>
      <c r="F65" s="88">
        <v>692.44322302884109</v>
      </c>
      <c r="G65" s="88">
        <v>675.72550522780682</v>
      </c>
      <c r="H65" s="88">
        <v>688.34145618050263</v>
      </c>
      <c r="I65" s="88">
        <v>701.39216832363991</v>
      </c>
      <c r="J65" s="88">
        <v>720.15684892074194</v>
      </c>
      <c r="K65" s="88">
        <v>724.92647796543565</v>
      </c>
      <c r="L65" s="88">
        <v>736.60735137141148</v>
      </c>
      <c r="M65" s="88">
        <v>738.60434121710045</v>
      </c>
      <c r="N65" s="88">
        <v>733.92618656606976</v>
      </c>
      <c r="O65" s="88">
        <v>724.13915454390337</v>
      </c>
      <c r="P65" s="88">
        <v>725.72653562362109</v>
      </c>
      <c r="Q65" s="88">
        <v>734.41813376996095</v>
      </c>
      <c r="R65" s="88">
        <v>742.05867655014163</v>
      </c>
      <c r="S65" s="88">
        <v>747.24995448994332</v>
      </c>
      <c r="T65" s="88">
        <v>748.29546600907588</v>
      </c>
      <c r="U65" s="88">
        <v>751.10105375044577</v>
      </c>
      <c r="V65" s="88">
        <v>757.75130381548115</v>
      </c>
      <c r="W65" s="88">
        <v>743.00723218791506</v>
      </c>
      <c r="X65" s="88">
        <v>770.95907732660157</v>
      </c>
      <c r="Y65" s="88">
        <v>784.44981688796338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1.5012361808318637</v>
      </c>
      <c r="C67" s="59">
        <f t="shared" ref="C67:W67" si="61">IF(C3=0,0,C17/C57)</f>
        <v>1.445007744150528</v>
      </c>
      <c r="D67" s="59">
        <f t="shared" si="61"/>
        <v>1.6818523985372966</v>
      </c>
      <c r="E67" s="59">
        <f t="shared" si="61"/>
        <v>1.65898644028707</v>
      </c>
      <c r="F67" s="59">
        <f t="shared" si="61"/>
        <v>1.4608088444270702</v>
      </c>
      <c r="G67" s="59">
        <f t="shared" si="61"/>
        <v>1.4260816173533615</v>
      </c>
      <c r="H67" s="59">
        <f t="shared" si="61"/>
        <v>1.237049538286259</v>
      </c>
      <c r="I67" s="59">
        <f t="shared" si="61"/>
        <v>1.1437945194879127</v>
      </c>
      <c r="J67" s="59">
        <f t="shared" si="61"/>
        <v>1.1169920795611463</v>
      </c>
      <c r="K67" s="59">
        <f t="shared" si="61"/>
        <v>1.1453012002067078</v>
      </c>
      <c r="L67" s="59">
        <f t="shared" si="61"/>
        <v>1.0997233854207713</v>
      </c>
      <c r="M67" s="59">
        <f t="shared" si="61"/>
        <v>1.0954116683846133</v>
      </c>
      <c r="N67" s="59">
        <f t="shared" si="61"/>
        <v>1.0861463749328377</v>
      </c>
      <c r="O67" s="59">
        <f t="shared" si="61"/>
        <v>1.1100299737743187</v>
      </c>
      <c r="P67" s="59">
        <f t="shared" si="61"/>
        <v>1.1538670643375877</v>
      </c>
      <c r="Q67" s="59">
        <f t="shared" si="61"/>
        <v>1.1354092880345306</v>
      </c>
      <c r="R67" s="59">
        <f t="shared" si="61"/>
        <v>1.1931806063309354</v>
      </c>
      <c r="S67" s="59">
        <f t="shared" si="61"/>
        <v>1.2063915808604428</v>
      </c>
      <c r="T67" s="59">
        <f t="shared" si="61"/>
        <v>1.1526864324888275</v>
      </c>
      <c r="U67" s="59">
        <f t="shared" si="61"/>
        <v>1.1744598616108444</v>
      </c>
      <c r="V67" s="59">
        <f t="shared" si="61"/>
        <v>1.1949168748974768</v>
      </c>
      <c r="W67" s="59">
        <f t="shared" si="61"/>
        <v>1.1792897085326883</v>
      </c>
      <c r="X67" s="59">
        <f t="shared" ref="X67:Y67" si="62">IF(X3=0,0,X17/X57)</f>
        <v>1.1719039153736523</v>
      </c>
      <c r="Y67" s="59">
        <f t="shared" si="62"/>
        <v>1.2491101841353438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1.525555305598832</v>
      </c>
      <c r="C68" s="23">
        <f t="shared" ref="C68:W68" si="64">IF(C6=0,0,C18/C58)</f>
        <v>1.4694922803863313</v>
      </c>
      <c r="D68" s="23">
        <f t="shared" si="64"/>
        <v>1.7183997240702684</v>
      </c>
      <c r="E68" s="23">
        <f t="shared" si="64"/>
        <v>1.7050287875785897</v>
      </c>
      <c r="F68" s="23">
        <f t="shared" si="64"/>
        <v>1.5010109984665601</v>
      </c>
      <c r="G68" s="23">
        <f t="shared" si="64"/>
        <v>1.4651626948944718</v>
      </c>
      <c r="H68" s="23">
        <f t="shared" si="64"/>
        <v>1.2771257385076527</v>
      </c>
      <c r="I68" s="23">
        <f t="shared" si="64"/>
        <v>1.2023611270648029</v>
      </c>
      <c r="J68" s="23">
        <f t="shared" si="64"/>
        <v>1.1927247659318856</v>
      </c>
      <c r="K68" s="23">
        <f t="shared" si="64"/>
        <v>1.2036132394888859</v>
      </c>
      <c r="L68" s="23">
        <f t="shared" si="64"/>
        <v>1.1726827046870802</v>
      </c>
      <c r="M68" s="23">
        <f t="shared" si="64"/>
        <v>1.1695670267620408</v>
      </c>
      <c r="N68" s="23">
        <f t="shared" si="64"/>
        <v>1.1452823668827363</v>
      </c>
      <c r="O68" s="23">
        <f t="shared" si="64"/>
        <v>1.1601869952009112</v>
      </c>
      <c r="P68" s="23">
        <f t="shared" si="64"/>
        <v>1.199657914056022</v>
      </c>
      <c r="Q68" s="23">
        <f t="shared" si="64"/>
        <v>1.190366649235854</v>
      </c>
      <c r="R68" s="23">
        <f t="shared" si="64"/>
        <v>1.2463210929558379</v>
      </c>
      <c r="S68" s="23">
        <f t="shared" si="64"/>
        <v>1.2720235981352315</v>
      </c>
      <c r="T68" s="23">
        <f t="shared" si="64"/>
        <v>1.2242447512702628</v>
      </c>
      <c r="U68" s="23">
        <f t="shared" si="64"/>
        <v>1.2373807649190816</v>
      </c>
      <c r="V68" s="23">
        <f t="shared" si="64"/>
        <v>1.3515088176198571</v>
      </c>
      <c r="W68" s="23">
        <f t="shared" si="64"/>
        <v>1.3853469379449546</v>
      </c>
      <c r="X68" s="23">
        <f t="shared" ref="X68:Y68" si="65">IF(X6=0,0,X18/X58)</f>
        <v>1.3420441160630996</v>
      </c>
      <c r="Y68" s="23">
        <f t="shared" si="65"/>
        <v>1.3791496789123106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1.6415282034882894</v>
      </c>
      <c r="C70" s="91">
        <f t="shared" ref="C70:W70" si="68">IF(C8=0,0,C20/C60)</f>
        <v>1.5784544438204087</v>
      </c>
      <c r="D70" s="91">
        <f t="shared" si="68"/>
        <v>1.8315450954836821</v>
      </c>
      <c r="E70" s="91">
        <f t="shared" si="68"/>
        <v>1.8268212271730877</v>
      </c>
      <c r="F70" s="91">
        <f t="shared" si="68"/>
        <v>1.6162260475354384</v>
      </c>
      <c r="G70" s="91">
        <f t="shared" si="68"/>
        <v>1.5661900434961582</v>
      </c>
      <c r="H70" s="91">
        <f t="shared" si="68"/>
        <v>1.371349253380326</v>
      </c>
      <c r="I70" s="91">
        <f t="shared" si="68"/>
        <v>1.377526189821322</v>
      </c>
      <c r="J70" s="91">
        <f t="shared" si="68"/>
        <v>1.507979644560292</v>
      </c>
      <c r="K70" s="91">
        <f t="shared" si="68"/>
        <v>1.5131935461495913</v>
      </c>
      <c r="L70" s="91">
        <f t="shared" si="68"/>
        <v>1.5214372475731639</v>
      </c>
      <c r="M70" s="91">
        <f t="shared" si="68"/>
        <v>1.5646810152956834</v>
      </c>
      <c r="N70" s="91">
        <f t="shared" si="68"/>
        <v>1.5274219998517691</v>
      </c>
      <c r="O70" s="91">
        <f t="shared" si="68"/>
        <v>1.4833348200488834</v>
      </c>
      <c r="P70" s="91">
        <f t="shared" si="68"/>
        <v>1.4866050353834057</v>
      </c>
      <c r="Q70" s="91">
        <f t="shared" si="68"/>
        <v>1.4801308956171495</v>
      </c>
      <c r="R70" s="91">
        <f t="shared" si="68"/>
        <v>1.5077912948377383</v>
      </c>
      <c r="S70" s="91">
        <f t="shared" si="68"/>
        <v>1.6491134071609612</v>
      </c>
      <c r="T70" s="91">
        <f t="shared" si="68"/>
        <v>1.7394667473310559</v>
      </c>
      <c r="U70" s="91">
        <f t="shared" si="68"/>
        <v>1.7579747825237311</v>
      </c>
      <c r="V70" s="91">
        <f t="shared" si="68"/>
        <v>1.8300977464900443</v>
      </c>
      <c r="W70" s="91">
        <f t="shared" si="68"/>
        <v>2.2554793047397044</v>
      </c>
      <c r="X70" s="91">
        <f t="shared" ref="X70:Y70" si="69">IF(X8=0,0,X20/X60)</f>
        <v>1.9950263649642621</v>
      </c>
      <c r="Y70" s="91">
        <f t="shared" si="69"/>
        <v>1.8841122187868997</v>
      </c>
      <c r="DA70" s="171"/>
    </row>
    <row r="71" spans="1:105" ht="11.45" customHeight="1" x14ac:dyDescent="0.25">
      <c r="A71" s="83" t="s">
        <v>182</v>
      </c>
      <c r="B71" s="91">
        <f t="shared" si="63"/>
        <v>1.4091573343885431</v>
      </c>
      <c r="C71" s="91">
        <f t="shared" ref="C71:W71" si="70">IF(C9=0,0,C21/C61)</f>
        <v>1.3546438974431942</v>
      </c>
      <c r="D71" s="91">
        <f t="shared" si="70"/>
        <v>1.579568063052148</v>
      </c>
      <c r="E71" s="91">
        <f t="shared" si="70"/>
        <v>1.5609158731641741</v>
      </c>
      <c r="F71" s="91">
        <f t="shared" si="70"/>
        <v>1.3790419737191206</v>
      </c>
      <c r="G71" s="91">
        <f t="shared" si="70"/>
        <v>1.3566294589639871</v>
      </c>
      <c r="H71" s="91">
        <f t="shared" si="70"/>
        <v>1.1748431509936987</v>
      </c>
      <c r="I71" s="91">
        <f t="shared" si="70"/>
        <v>1.030918882693874</v>
      </c>
      <c r="J71" s="91">
        <f t="shared" si="70"/>
        <v>0.94369000363507793</v>
      </c>
      <c r="K71" s="91">
        <f t="shared" si="70"/>
        <v>0.96918493896940683</v>
      </c>
      <c r="L71" s="91">
        <f t="shared" si="70"/>
        <v>0.92348522958185419</v>
      </c>
      <c r="M71" s="91">
        <f t="shared" si="70"/>
        <v>0.90219452770169606</v>
      </c>
      <c r="N71" s="91">
        <f t="shared" si="70"/>
        <v>0.89056123934203779</v>
      </c>
      <c r="O71" s="91">
        <f t="shared" si="70"/>
        <v>0.93106885745385504</v>
      </c>
      <c r="P71" s="91">
        <f t="shared" si="70"/>
        <v>0.98317927827983409</v>
      </c>
      <c r="Q71" s="91">
        <f t="shared" si="70"/>
        <v>0.97051782017314914</v>
      </c>
      <c r="R71" s="91">
        <f t="shared" si="70"/>
        <v>1.0285675360206425</v>
      </c>
      <c r="S71" s="91">
        <f t="shared" si="70"/>
        <v>0.98527623591390456</v>
      </c>
      <c r="T71" s="91">
        <f t="shared" si="70"/>
        <v>0.8928325426521867</v>
      </c>
      <c r="U71" s="91">
        <f t="shared" si="70"/>
        <v>0.91494293962622042</v>
      </c>
      <c r="V71" s="91">
        <f t="shared" si="70"/>
        <v>1.075755842831484</v>
      </c>
      <c r="W71" s="91">
        <f t="shared" si="70"/>
        <v>0.9558717182333335</v>
      </c>
      <c r="X71" s="91">
        <f t="shared" ref="X71:Y71" si="71">IF(X9=0,0,X21/X61)</f>
        <v>0.92824860816306431</v>
      </c>
      <c r="Y71" s="91">
        <f t="shared" si="71"/>
        <v>1.0250246390811399</v>
      </c>
      <c r="DA71" s="171"/>
    </row>
    <row r="72" spans="1:105" ht="11.45" customHeight="1" x14ac:dyDescent="0.25">
      <c r="A72" s="12" t="s">
        <v>34</v>
      </c>
      <c r="B72" s="24">
        <f t="shared" si="63"/>
        <v>1.3579492791334988</v>
      </c>
      <c r="C72" s="24">
        <f t="shared" ref="C72:W72" si="72">IF(C10=0,0,C22/C62)</f>
        <v>1.2940715562855427</v>
      </c>
      <c r="D72" s="24">
        <f t="shared" si="72"/>
        <v>1.5041119281192219</v>
      </c>
      <c r="E72" s="24">
        <f t="shared" si="72"/>
        <v>1.4696848648998695</v>
      </c>
      <c r="F72" s="24">
        <f t="shared" si="72"/>
        <v>1.2990466508574705</v>
      </c>
      <c r="G72" s="24">
        <f t="shared" si="72"/>
        <v>1.2801647882904656</v>
      </c>
      <c r="H72" s="24">
        <f t="shared" si="72"/>
        <v>1.1371200491653395</v>
      </c>
      <c r="I72" s="24">
        <f t="shared" si="72"/>
        <v>1.0202519254479601</v>
      </c>
      <c r="J72" s="24">
        <f t="shared" si="72"/>
        <v>0.94294477206104588</v>
      </c>
      <c r="K72" s="24">
        <f t="shared" si="72"/>
        <v>0.96007358957506383</v>
      </c>
      <c r="L72" s="24">
        <f t="shared" si="72"/>
        <v>0.90679191919632485</v>
      </c>
      <c r="M72" s="24">
        <f t="shared" si="72"/>
        <v>0.88773442537920189</v>
      </c>
      <c r="N72" s="24">
        <f t="shared" si="72"/>
        <v>0.88874343464348105</v>
      </c>
      <c r="O72" s="24">
        <f t="shared" si="72"/>
        <v>0.92817022016528972</v>
      </c>
      <c r="P72" s="24">
        <f t="shared" si="72"/>
        <v>0.97287950206652618</v>
      </c>
      <c r="Q72" s="24">
        <f t="shared" si="72"/>
        <v>0.95368414822662884</v>
      </c>
      <c r="R72" s="24">
        <f t="shared" si="72"/>
        <v>1.0021334056288103</v>
      </c>
      <c r="S72" s="24">
        <f t="shared" si="72"/>
        <v>0.98681793286497632</v>
      </c>
      <c r="T72" s="24">
        <f t="shared" si="72"/>
        <v>0.92535340127889587</v>
      </c>
      <c r="U72" s="24">
        <f t="shared" si="72"/>
        <v>0.95375213788366675</v>
      </c>
      <c r="V72" s="24">
        <f t="shared" si="72"/>
        <v>1.0660175405697496</v>
      </c>
      <c r="W72" s="24">
        <f t="shared" si="72"/>
        <v>0.99259793547483877</v>
      </c>
      <c r="X72" s="24">
        <f t="shared" ref="X72:Y72" si="73">IF(X10=0,0,X22/X62)</f>
        <v>0.91111104411097288</v>
      </c>
      <c r="Y72" s="24">
        <f t="shared" si="73"/>
        <v>1.0058980411140173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1.6361877516714929</v>
      </c>
      <c r="C74" s="93">
        <f t="shared" ref="C74:W74" si="76">IF(C12=0,0,C24/C64)</f>
        <v>1.5726230306053199</v>
      </c>
      <c r="D74" s="93">
        <f t="shared" si="76"/>
        <v>1.8324948241024679</v>
      </c>
      <c r="E74" s="93">
        <f t="shared" si="76"/>
        <v>1.805849804107039</v>
      </c>
      <c r="F74" s="93">
        <f t="shared" si="76"/>
        <v>1.5942670963814285</v>
      </c>
      <c r="G74" s="93">
        <f t="shared" si="76"/>
        <v>1.5516669483032104</v>
      </c>
      <c r="H74" s="93">
        <f t="shared" si="76"/>
        <v>1.4031734106345937</v>
      </c>
      <c r="I74" s="93">
        <f t="shared" si="76"/>
        <v>1.4180118158235187</v>
      </c>
      <c r="J74" s="93">
        <f t="shared" si="76"/>
        <v>1.5472071872013635</v>
      </c>
      <c r="K74" s="93">
        <f t="shared" si="76"/>
        <v>1.4997314024302284</v>
      </c>
      <c r="L74" s="93">
        <f t="shared" si="76"/>
        <v>1.5045321081758118</v>
      </c>
      <c r="M74" s="93">
        <f t="shared" si="76"/>
        <v>1.548383022236179</v>
      </c>
      <c r="N74" s="93">
        <f t="shared" si="76"/>
        <v>1.5240994553578364</v>
      </c>
      <c r="O74" s="93">
        <f t="shared" si="76"/>
        <v>1.476256536063099</v>
      </c>
      <c r="P74" s="93">
        <f t="shared" si="76"/>
        <v>1.4902139881928913</v>
      </c>
      <c r="Q74" s="93">
        <f t="shared" si="76"/>
        <v>1.5107661179951517</v>
      </c>
      <c r="R74" s="93">
        <f t="shared" si="76"/>
        <v>1.5180885014605381</v>
      </c>
      <c r="S74" s="93">
        <f t="shared" si="76"/>
        <v>1.7147970693947789</v>
      </c>
      <c r="T74" s="93">
        <f t="shared" si="76"/>
        <v>1.8311624405294518</v>
      </c>
      <c r="U74" s="93">
        <f t="shared" si="76"/>
        <v>1.9062760794589286</v>
      </c>
      <c r="V74" s="93">
        <f t="shared" si="76"/>
        <v>2.1361507756399267</v>
      </c>
      <c r="W74" s="93">
        <f t="shared" si="76"/>
        <v>2.5969276761675975</v>
      </c>
      <c r="X74" s="93">
        <f t="shared" ref="X74:Y74" si="77">IF(X12=0,0,X24/X64)</f>
        <v>2.0706465901027324</v>
      </c>
      <c r="Y74" s="93">
        <f t="shared" si="77"/>
        <v>2.0780696031574024</v>
      </c>
      <c r="DA74" s="175"/>
    </row>
    <row r="75" spans="1:105" ht="11.45" customHeight="1" x14ac:dyDescent="0.25">
      <c r="A75" s="85" t="s">
        <v>182</v>
      </c>
      <c r="B75" s="94">
        <f t="shared" si="63"/>
        <v>1.2682416009496895</v>
      </c>
      <c r="C75" s="94">
        <f t="shared" ref="C75:W75" si="78">IF(C13=0,0,C25/C65)</f>
        <v>1.2191795076988754</v>
      </c>
      <c r="D75" s="94">
        <f t="shared" si="78"/>
        <v>1.4216112567469339</v>
      </c>
      <c r="E75" s="94">
        <f t="shared" si="78"/>
        <v>1.4048242858477571</v>
      </c>
      <c r="F75" s="94">
        <f t="shared" si="78"/>
        <v>1.2411377763472085</v>
      </c>
      <c r="G75" s="94">
        <f t="shared" si="78"/>
        <v>1.2209665130675889</v>
      </c>
      <c r="H75" s="94">
        <f t="shared" si="78"/>
        <v>1.0573588358943287</v>
      </c>
      <c r="I75" s="94">
        <f t="shared" si="78"/>
        <v>0.92782699442448646</v>
      </c>
      <c r="J75" s="94">
        <f t="shared" si="78"/>
        <v>0.84932100327157045</v>
      </c>
      <c r="K75" s="94">
        <f t="shared" si="78"/>
        <v>0.87226644507246653</v>
      </c>
      <c r="L75" s="94">
        <f t="shared" si="78"/>
        <v>0.83113670662366868</v>
      </c>
      <c r="M75" s="94">
        <f t="shared" si="78"/>
        <v>0.81197507493152699</v>
      </c>
      <c r="N75" s="94">
        <f t="shared" si="78"/>
        <v>0.80150511540783387</v>
      </c>
      <c r="O75" s="94">
        <f t="shared" si="78"/>
        <v>0.83796197170846953</v>
      </c>
      <c r="P75" s="94">
        <f t="shared" si="78"/>
        <v>0.88486135045185066</v>
      </c>
      <c r="Q75" s="94">
        <f t="shared" si="78"/>
        <v>0.87346603815583412</v>
      </c>
      <c r="R75" s="94">
        <f t="shared" si="78"/>
        <v>0.92571078241857818</v>
      </c>
      <c r="S75" s="94">
        <f t="shared" si="78"/>
        <v>0.88674861232251412</v>
      </c>
      <c r="T75" s="94">
        <f t="shared" si="78"/>
        <v>0.80354928838696782</v>
      </c>
      <c r="U75" s="94">
        <f t="shared" si="78"/>
        <v>0.82344864566359821</v>
      </c>
      <c r="V75" s="94">
        <f t="shared" si="78"/>
        <v>0.96818025854833556</v>
      </c>
      <c r="W75" s="94">
        <f t="shared" si="78"/>
        <v>0.86028454641000029</v>
      </c>
      <c r="X75" s="94">
        <f t="shared" ref="X75:Y75" si="79">IF(X13=0,0,X25/X65)</f>
        <v>0.83542374734675784</v>
      </c>
      <c r="Y75" s="94">
        <f t="shared" si="79"/>
        <v>0.92252217517302559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4545.4172824800007</v>
      </c>
      <c r="C3" s="79">
        <f t="shared" si="0"/>
        <v>4142.2597462799977</v>
      </c>
      <c r="D3" s="79">
        <f t="shared" ref="D3" si="1">SUM(D4:D5)</f>
        <v>3433.640909040002</v>
      </c>
      <c r="E3" s="79">
        <f t="shared" ref="E3" si="2">SUM(E4:E5)</f>
        <v>3747.4484302800001</v>
      </c>
      <c r="F3" s="79">
        <f t="shared" ref="F3" si="3">SUM(F4:F5)</f>
        <v>3668.611277519999</v>
      </c>
      <c r="G3" s="79">
        <f t="shared" ref="G3" si="4">SUM(G4:G5)</f>
        <v>3488.98356504</v>
      </c>
      <c r="H3" s="79">
        <f t="shared" ref="H3" si="5">SUM(H4:H5)</f>
        <v>3640.4766637200009</v>
      </c>
      <c r="I3" s="79">
        <f t="shared" ref="I3" si="6">SUM(I4:I5)</f>
        <v>3953.9751300000025</v>
      </c>
      <c r="J3" s="79">
        <f t="shared" ref="J3" si="7">SUM(J4:J5)</f>
        <v>4275.5118724799995</v>
      </c>
      <c r="K3" s="79">
        <f t="shared" ref="K3" si="8">SUM(K4:K5)</f>
        <v>3895.2329450400016</v>
      </c>
      <c r="L3" s="79">
        <f t="shared" ref="L3" si="9">SUM(L4:L5)</f>
        <v>4140.0955850400014</v>
      </c>
      <c r="M3" s="79">
        <f t="shared" ref="M3" si="10">SUM(M4:M5)</f>
        <v>4398.2525062800014</v>
      </c>
      <c r="N3" s="79">
        <f t="shared" ref="N3" si="11">SUM(N4:N5)</f>
        <v>4048.890204960001</v>
      </c>
      <c r="O3" s="79">
        <f t="shared" ref="O3" si="12">SUM(O4:O5)</f>
        <v>3832.1621787600002</v>
      </c>
      <c r="P3" s="79">
        <f t="shared" ref="P3" si="13">SUM(P4:P5)</f>
        <v>4004.9880937200014</v>
      </c>
      <c r="Q3" s="79">
        <f t="shared" ref="Q3" si="14">SUM(Q4:Q5)</f>
        <v>4352.4952887599984</v>
      </c>
      <c r="R3" s="79">
        <f t="shared" ref="R3" si="15">SUM(R4:R5)</f>
        <v>4332.0901550400013</v>
      </c>
      <c r="S3" s="79">
        <f t="shared" ref="S3" si="16">SUM(S4:S5)</f>
        <v>4760.2904612400016</v>
      </c>
      <c r="T3" s="79">
        <f t="shared" ref="T3" si="17">SUM(T4:T5)</f>
        <v>5075.0256650400006</v>
      </c>
      <c r="U3" s="79">
        <f t="shared" ref="U3" si="18">SUM(U4:U5)</f>
        <v>5130.6762650399996</v>
      </c>
      <c r="V3" s="79">
        <f t="shared" ref="V3:W3" si="19">SUM(V4:V5)</f>
        <v>3607.0907040000016</v>
      </c>
      <c r="W3" s="79">
        <f t="shared" si="19"/>
        <v>4551.6690450000024</v>
      </c>
      <c r="X3" s="79">
        <f t="shared" ref="X3:Y3" si="20">SUM(X4:X5)</f>
        <v>5272.0725329999987</v>
      </c>
      <c r="Y3" s="79">
        <f t="shared" si="20"/>
        <v>5282.536140000002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4545.4172824800007</v>
      </c>
      <c r="C5" s="96">
        <f t="shared" si="24"/>
        <v>4142.2597462799977</v>
      </c>
      <c r="D5" s="96">
        <f t="shared" ref="D5:V5" si="25">SUM(D8:D9,D12:D13)</f>
        <v>3433.640909040002</v>
      </c>
      <c r="E5" s="96">
        <f t="shared" si="25"/>
        <v>3747.4484302800001</v>
      </c>
      <c r="F5" s="96">
        <f t="shared" si="25"/>
        <v>3668.611277519999</v>
      </c>
      <c r="G5" s="96">
        <f t="shared" si="25"/>
        <v>3488.98356504</v>
      </c>
      <c r="H5" s="96">
        <f t="shared" si="25"/>
        <v>3640.4766637200009</v>
      </c>
      <c r="I5" s="96">
        <f t="shared" si="25"/>
        <v>3953.9751300000025</v>
      </c>
      <c r="J5" s="96">
        <f t="shared" si="25"/>
        <v>4275.5118724799995</v>
      </c>
      <c r="K5" s="96">
        <f t="shared" si="25"/>
        <v>3895.2329450400016</v>
      </c>
      <c r="L5" s="96">
        <f t="shared" si="25"/>
        <v>4140.0955850400014</v>
      </c>
      <c r="M5" s="96">
        <f t="shared" si="25"/>
        <v>4398.2525062800014</v>
      </c>
      <c r="N5" s="96">
        <f t="shared" si="25"/>
        <v>4048.890204960001</v>
      </c>
      <c r="O5" s="96">
        <f t="shared" si="25"/>
        <v>3832.1621787600002</v>
      </c>
      <c r="P5" s="96">
        <f t="shared" si="25"/>
        <v>4004.9880937200014</v>
      </c>
      <c r="Q5" s="96">
        <f t="shared" si="25"/>
        <v>4352.4952887599984</v>
      </c>
      <c r="R5" s="96">
        <f t="shared" si="25"/>
        <v>4332.0901550400013</v>
      </c>
      <c r="S5" s="96">
        <f t="shared" si="25"/>
        <v>4760.2904612400016</v>
      </c>
      <c r="T5" s="96">
        <f t="shared" si="25"/>
        <v>5075.0256650400006</v>
      </c>
      <c r="U5" s="96">
        <f t="shared" si="25"/>
        <v>5130.6762650399996</v>
      </c>
      <c r="V5" s="96">
        <f t="shared" si="25"/>
        <v>3607.0907040000016</v>
      </c>
      <c r="W5" s="96">
        <f t="shared" ref="W5:Y5" si="26">SUM(W8:W9,W12:W13)</f>
        <v>4551.6690450000024</v>
      </c>
      <c r="X5" s="96">
        <f t="shared" si="26"/>
        <v>5272.0725329999987</v>
      </c>
      <c r="Y5" s="96">
        <f t="shared" si="26"/>
        <v>5282.536140000002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3948.8401589322393</v>
      </c>
      <c r="C6" s="21">
        <f t="shared" si="27"/>
        <v>3624.4902887588214</v>
      </c>
      <c r="D6" s="21">
        <f t="shared" ref="D6:V6" si="28">SUM(D7:D9)</f>
        <v>2909.9134860470645</v>
      </c>
      <c r="E6" s="21">
        <f t="shared" si="28"/>
        <v>3097.9598507422697</v>
      </c>
      <c r="F6" s="21">
        <f t="shared" si="28"/>
        <v>3019.218181715848</v>
      </c>
      <c r="G6" s="21">
        <f t="shared" si="28"/>
        <v>2827.3460300410234</v>
      </c>
      <c r="H6" s="21">
        <f t="shared" si="28"/>
        <v>2682.5807287233201</v>
      </c>
      <c r="I6" s="21">
        <f t="shared" si="28"/>
        <v>2819.7179859719199</v>
      </c>
      <c r="J6" s="21">
        <f t="shared" si="28"/>
        <v>3181.1776224200939</v>
      </c>
      <c r="K6" s="21">
        <f t="shared" si="28"/>
        <v>3113.4129123596285</v>
      </c>
      <c r="L6" s="21">
        <f t="shared" si="28"/>
        <v>3203.3707487814549</v>
      </c>
      <c r="M6" s="21">
        <f t="shared" si="28"/>
        <v>3460.3943351653152</v>
      </c>
      <c r="N6" s="21">
        <f t="shared" si="28"/>
        <v>3285.1904490939201</v>
      </c>
      <c r="O6" s="21">
        <f t="shared" si="28"/>
        <v>3139.4558482916841</v>
      </c>
      <c r="P6" s="21">
        <f t="shared" si="28"/>
        <v>3323.1496280864276</v>
      </c>
      <c r="Q6" s="21">
        <f t="shared" si="28"/>
        <v>3503.6077604066104</v>
      </c>
      <c r="R6" s="21">
        <f t="shared" si="28"/>
        <v>3540.2844892898561</v>
      </c>
      <c r="S6" s="21">
        <f t="shared" si="28"/>
        <v>3864.2248851289596</v>
      </c>
      <c r="T6" s="21">
        <f t="shared" si="28"/>
        <v>4099.6285448497911</v>
      </c>
      <c r="U6" s="21">
        <f t="shared" si="28"/>
        <v>4206.3679836000938</v>
      </c>
      <c r="V6" s="21">
        <f t="shared" si="28"/>
        <v>1842.0273899060896</v>
      </c>
      <c r="W6" s="21">
        <f t="shared" ref="W6:Y6" si="29">SUM(W7:W9)</f>
        <v>2541.6679168738046</v>
      </c>
      <c r="X6" s="21">
        <f t="shared" si="29"/>
        <v>3653.7771397368515</v>
      </c>
      <c r="Y6" s="21">
        <f t="shared" si="29"/>
        <v>3800.4643477551122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2128.4020833238033</v>
      </c>
      <c r="C8" s="96">
        <v>1997.8184562948143</v>
      </c>
      <c r="D8" s="96">
        <v>1708.8386647304101</v>
      </c>
      <c r="E8" s="96">
        <v>1798.936930414143</v>
      </c>
      <c r="F8" s="96">
        <v>1671.7708659118218</v>
      </c>
      <c r="G8" s="96">
        <v>1565.2752585575192</v>
      </c>
      <c r="H8" s="96">
        <v>1499.3149853209716</v>
      </c>
      <c r="I8" s="96">
        <v>1597.9042117099366</v>
      </c>
      <c r="J8" s="96">
        <v>1775.0110333638145</v>
      </c>
      <c r="K8" s="96">
        <v>1686.7414384397143</v>
      </c>
      <c r="L8" s="96">
        <v>1732.0404556457001</v>
      </c>
      <c r="M8" s="96">
        <v>1868.3834014801837</v>
      </c>
      <c r="N8" s="96">
        <v>1752.376805652189</v>
      </c>
      <c r="O8" s="96">
        <v>1665.2397589538134</v>
      </c>
      <c r="P8" s="96">
        <v>1770.7925366847003</v>
      </c>
      <c r="Q8" s="96">
        <v>1879.3966457613283</v>
      </c>
      <c r="R8" s="96">
        <v>1946.1502454785493</v>
      </c>
      <c r="S8" s="96">
        <v>2163.9918054538898</v>
      </c>
      <c r="T8" s="96">
        <v>2280.1587320495801</v>
      </c>
      <c r="U8" s="96">
        <v>2285.696418814503</v>
      </c>
      <c r="V8" s="96">
        <v>911.80812788088895</v>
      </c>
      <c r="W8" s="96">
        <v>1367.4925752066933</v>
      </c>
      <c r="X8" s="96">
        <v>2106.8602109389303</v>
      </c>
      <c r="Y8" s="96">
        <v>2140.1845388081952</v>
      </c>
      <c r="DA8" s="171" t="s">
        <v>329</v>
      </c>
    </row>
    <row r="9" spans="1:105" ht="11.45" customHeight="1" x14ac:dyDescent="0.25">
      <c r="A9" s="83" t="s">
        <v>182</v>
      </c>
      <c r="B9" s="96">
        <v>1820.4380756084361</v>
      </c>
      <c r="C9" s="96">
        <v>1626.6718324640071</v>
      </c>
      <c r="D9" s="96">
        <v>1201.0748213166544</v>
      </c>
      <c r="E9" s="96">
        <v>1299.0229203281267</v>
      </c>
      <c r="F9" s="96">
        <v>1347.4473158040259</v>
      </c>
      <c r="G9" s="96">
        <v>1262.0707714835041</v>
      </c>
      <c r="H9" s="96">
        <v>1183.2657434023488</v>
      </c>
      <c r="I9" s="96">
        <v>1221.8137742619833</v>
      </c>
      <c r="J9" s="96">
        <v>1406.1665890562795</v>
      </c>
      <c r="K9" s="96">
        <v>1426.6714739199144</v>
      </c>
      <c r="L9" s="96">
        <v>1471.3302931357548</v>
      </c>
      <c r="M9" s="96">
        <v>1592.0109336851312</v>
      </c>
      <c r="N9" s="96">
        <v>1532.8136434417311</v>
      </c>
      <c r="O9" s="96">
        <v>1474.2160893378707</v>
      </c>
      <c r="P9" s="96">
        <v>1552.3570914017271</v>
      </c>
      <c r="Q9" s="96">
        <v>1624.2111146452819</v>
      </c>
      <c r="R9" s="96">
        <v>1594.1342438113068</v>
      </c>
      <c r="S9" s="96">
        <v>1700.23307967507</v>
      </c>
      <c r="T9" s="96">
        <v>1819.4698128002108</v>
      </c>
      <c r="U9" s="96">
        <v>1920.6715647855906</v>
      </c>
      <c r="V9" s="96">
        <v>930.21926202520069</v>
      </c>
      <c r="W9" s="96">
        <v>1174.1753416671113</v>
      </c>
      <c r="X9" s="96">
        <v>1546.9169287979214</v>
      </c>
      <c r="Y9" s="96">
        <v>1660.279808946917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596.57712354776163</v>
      </c>
      <c r="C10" s="22">
        <f t="shared" si="30"/>
        <v>517.76945752117661</v>
      </c>
      <c r="D10" s="22">
        <f t="shared" ref="D10:V10" si="31">SUM(D11:D13)</f>
        <v>523.72742299293782</v>
      </c>
      <c r="E10" s="22">
        <f t="shared" si="31"/>
        <v>649.48857953773017</v>
      </c>
      <c r="F10" s="22">
        <f t="shared" si="31"/>
        <v>649.39309580415136</v>
      </c>
      <c r="G10" s="22">
        <f t="shared" si="31"/>
        <v>661.63753499897655</v>
      </c>
      <c r="H10" s="22">
        <f t="shared" si="31"/>
        <v>957.89593499668069</v>
      </c>
      <c r="I10" s="22">
        <f t="shared" si="31"/>
        <v>1134.2571440280826</v>
      </c>
      <c r="J10" s="22">
        <f t="shared" si="31"/>
        <v>1094.334250059906</v>
      </c>
      <c r="K10" s="22">
        <f t="shared" si="31"/>
        <v>781.82003268037317</v>
      </c>
      <c r="L10" s="22">
        <f t="shared" si="31"/>
        <v>936.72483625854659</v>
      </c>
      <c r="M10" s="22">
        <f t="shared" si="31"/>
        <v>937.858171114686</v>
      </c>
      <c r="N10" s="22">
        <f t="shared" si="31"/>
        <v>763.69975586608132</v>
      </c>
      <c r="O10" s="22">
        <f t="shared" si="31"/>
        <v>692.70633046831608</v>
      </c>
      <c r="P10" s="22">
        <f t="shared" si="31"/>
        <v>681.83846563357338</v>
      </c>
      <c r="Q10" s="22">
        <f t="shared" si="31"/>
        <v>848.88752835338846</v>
      </c>
      <c r="R10" s="22">
        <f t="shared" si="31"/>
        <v>791.80566575014564</v>
      </c>
      <c r="S10" s="22">
        <f t="shared" si="31"/>
        <v>896.06557611104176</v>
      </c>
      <c r="T10" s="22">
        <f t="shared" si="31"/>
        <v>975.39712019020942</v>
      </c>
      <c r="U10" s="22">
        <f t="shared" si="31"/>
        <v>924.30828143990573</v>
      </c>
      <c r="V10" s="22">
        <f t="shared" si="31"/>
        <v>1765.0633140939117</v>
      </c>
      <c r="W10" s="22">
        <f t="shared" ref="W10:Y10" si="32">SUM(W11:W13)</f>
        <v>2010.0011281261982</v>
      </c>
      <c r="X10" s="22">
        <f t="shared" si="32"/>
        <v>1618.2953932631472</v>
      </c>
      <c r="Y10" s="22">
        <f t="shared" si="32"/>
        <v>1482.0717922448894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175.25141640749374</v>
      </c>
      <c r="C12" s="97">
        <v>133.32710571382171</v>
      </c>
      <c r="D12" s="97">
        <v>128.1169602903685</v>
      </c>
      <c r="E12" s="97">
        <v>129.073693102503</v>
      </c>
      <c r="F12" s="97">
        <v>130.69390921628442</v>
      </c>
      <c r="G12" s="97">
        <v>143.55788583482561</v>
      </c>
      <c r="H12" s="97">
        <v>272.62885413705988</v>
      </c>
      <c r="I12" s="97">
        <v>297.24408826232718</v>
      </c>
      <c r="J12" s="97">
        <v>240.88720235995294</v>
      </c>
      <c r="K12" s="97">
        <v>170.90553734852571</v>
      </c>
      <c r="L12" s="97">
        <v>174.61219183046717</v>
      </c>
      <c r="M12" s="97">
        <v>168.28688870909463</v>
      </c>
      <c r="N12" s="97">
        <v>158.11471457931532</v>
      </c>
      <c r="O12" s="97">
        <v>155.70711718991376</v>
      </c>
      <c r="P12" s="97">
        <v>151.85702435227296</v>
      </c>
      <c r="Q12" s="97">
        <v>169.26660295211209</v>
      </c>
      <c r="R12" s="97">
        <v>154.74384438480678</v>
      </c>
      <c r="S12" s="97">
        <v>188.17446577759091</v>
      </c>
      <c r="T12" s="97">
        <v>228.78788013591029</v>
      </c>
      <c r="U12" s="97">
        <v>222.312520698665</v>
      </c>
      <c r="V12" s="97">
        <v>296.27863835144956</v>
      </c>
      <c r="W12" s="97">
        <v>400.66001171698247</v>
      </c>
      <c r="X12" s="97">
        <v>225.35653074977492</v>
      </c>
      <c r="Y12" s="97">
        <v>220.91639683896159</v>
      </c>
      <c r="DA12" s="175" t="s">
        <v>333</v>
      </c>
    </row>
    <row r="13" spans="1:105" ht="11.45" customHeight="1" x14ac:dyDescent="0.25">
      <c r="A13" s="85" t="s">
        <v>182</v>
      </c>
      <c r="B13" s="98">
        <v>421.32570714026792</v>
      </c>
      <c r="C13" s="98">
        <v>384.4423518073549</v>
      </c>
      <c r="D13" s="98">
        <v>395.61046270256935</v>
      </c>
      <c r="E13" s="98">
        <v>520.41488643522723</v>
      </c>
      <c r="F13" s="98">
        <v>518.69918658786696</v>
      </c>
      <c r="G13" s="98">
        <v>518.07964916415096</v>
      </c>
      <c r="H13" s="98">
        <v>685.26708085962082</v>
      </c>
      <c r="I13" s="98">
        <v>837.01305576575555</v>
      </c>
      <c r="J13" s="98">
        <v>853.44704769995315</v>
      </c>
      <c r="K13" s="98">
        <v>610.91449533184743</v>
      </c>
      <c r="L13" s="98">
        <v>762.11264442807942</v>
      </c>
      <c r="M13" s="98">
        <v>769.57128240559132</v>
      </c>
      <c r="N13" s="98">
        <v>605.585041286766</v>
      </c>
      <c r="O13" s="98">
        <v>536.99921327840229</v>
      </c>
      <c r="P13" s="98">
        <v>529.98144128130048</v>
      </c>
      <c r="Q13" s="98">
        <v>679.62092540127639</v>
      </c>
      <c r="R13" s="98">
        <v>637.0618213653388</v>
      </c>
      <c r="S13" s="98">
        <v>707.89111033345091</v>
      </c>
      <c r="T13" s="98">
        <v>746.60924005429911</v>
      </c>
      <c r="U13" s="98">
        <v>701.9957607412407</v>
      </c>
      <c r="V13" s="98">
        <v>1468.7846757424622</v>
      </c>
      <c r="W13" s="98">
        <v>1609.3411164092156</v>
      </c>
      <c r="X13" s="98">
        <v>1392.9388625133722</v>
      </c>
      <c r="Y13" s="98">
        <v>1261.1553954059277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3.0103091999999996</v>
      </c>
      <c r="D19" s="98">
        <f>IF(D5=0,0,D5/TrAvia_ene!D5)</f>
        <v>3.010301872050265</v>
      </c>
      <c r="E19" s="98">
        <f>IF(E5=0,0,E5/TrAvia_ene!E5)</f>
        <v>3.0103024856839569</v>
      </c>
      <c r="F19" s="98">
        <f>IF(F5=0,0,F5/TrAvia_ene!F5)</f>
        <v>3.0103092000000005</v>
      </c>
      <c r="G19" s="98">
        <f>IF(G5=0,0,G5/TrAvia_ene!G5)</f>
        <v>3.0103091999999991</v>
      </c>
      <c r="H19" s="98">
        <f>IF(H5=0,0,H5/TrAvia_ene!H5)</f>
        <v>3.0103092000000014</v>
      </c>
      <c r="I19" s="98">
        <f>IF(I5=0,0,I5/TrAvia_ene!I5)</f>
        <v>3.0103092000000009</v>
      </c>
      <c r="J19" s="98">
        <f>IF(J5=0,0,J5/TrAvia_ene!J5)</f>
        <v>3.0103092</v>
      </c>
      <c r="K19" s="98">
        <f>IF(K5=0,0,K5/TrAvia_ene!K5)</f>
        <v>3.0103092000000005</v>
      </c>
      <c r="L19" s="98">
        <f>IF(L5=0,0,L5/TrAvia_ene!L5)</f>
        <v>3.0103092</v>
      </c>
      <c r="M19" s="98">
        <f>IF(M5=0,0,M5/TrAvia_ene!M5)</f>
        <v>3.0103092000000014</v>
      </c>
      <c r="N19" s="98">
        <f>IF(N5=0,0,N5/TrAvia_ene!N5)</f>
        <v>3.0103091999999996</v>
      </c>
      <c r="O19" s="98">
        <f>IF(O5=0,0,O5/TrAvia_ene!O5)</f>
        <v>3.0103092</v>
      </c>
      <c r="P19" s="98">
        <f>IF(P5=0,0,P5/TrAvia_ene!P5)</f>
        <v>3.0103092000000009</v>
      </c>
      <c r="Q19" s="98">
        <f>IF(Q5=0,0,Q5/TrAvia_ene!Q5)</f>
        <v>3.0103092000000009</v>
      </c>
      <c r="R19" s="98">
        <f>IF(R5=0,0,R5/TrAvia_ene!R5)</f>
        <v>3.0103092000000018</v>
      </c>
      <c r="S19" s="98">
        <f>IF(S5=0,0,S5/TrAvia_ene!S5)</f>
        <v>3.0103092000000009</v>
      </c>
      <c r="T19" s="98">
        <f>IF(T5=0,0,T5/TrAvia_ene!T5)</f>
        <v>3.0103092000000014</v>
      </c>
      <c r="U19" s="98">
        <f>IF(U5=0,0,U5/TrAvia_ene!U5)</f>
        <v>3.0103092000000005</v>
      </c>
      <c r="V19" s="98">
        <f>IF(V5=0,0,V5/TrAvia_ene!V5)</f>
        <v>3.0103092000000005</v>
      </c>
      <c r="W19" s="98">
        <f>IF(W5=0,0,W5/TrAvia_ene!W5)</f>
        <v>3.0103092000000009</v>
      </c>
      <c r="X19" s="98">
        <f>IF(X5=0,0,X5/TrAvia_ene!X5)</f>
        <v>3.0103091999999991</v>
      </c>
      <c r="Y19" s="98">
        <f>IF(Y5=0,0,Y5/TrAvia_ene!Y5)</f>
        <v>3.0103092000000018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21413.384027380202</v>
      </c>
      <c r="C21" s="54">
        <f>IF(C3=0,0,C3/TrAvia_act!C13*1000)</f>
        <v>20505.669257828682</v>
      </c>
      <c r="D21" s="54">
        <f>IF(D3=0,0,D3/TrAvia_act!D13*1000)</f>
        <v>23681.607266598057</v>
      </c>
      <c r="E21" s="54">
        <f>IF(E3=0,0,E3/TrAvia_act!E13*1000)</f>
        <v>23561.224529782878</v>
      </c>
      <c r="F21" s="54">
        <f>IF(F3=0,0,F3/TrAvia_act!F13*1000)</f>
        <v>21040.70411434866</v>
      </c>
      <c r="G21" s="54">
        <f>IF(G3=0,0,G3/TrAvia_act!G13*1000)</f>
        <v>19874.322244413481</v>
      </c>
      <c r="H21" s="54">
        <f>IF(H3=0,0,H3/TrAvia_act!H13*1000)</f>
        <v>17511.760763263279</v>
      </c>
      <c r="I21" s="54">
        <f>IF(I3=0,0,I3/TrAvia_act!I13*1000)</f>
        <v>16751.22502019582</v>
      </c>
      <c r="J21" s="54">
        <f>IF(J3=0,0,J3/TrAvia_act!J13*1000)</f>
        <v>17162.489371229371</v>
      </c>
      <c r="K21" s="54">
        <f>IF(K3=0,0,K3/TrAvia_act!K13*1000)</f>
        <v>17117.121651318117</v>
      </c>
      <c r="L21" s="54">
        <f>IF(L3=0,0,L3/TrAvia_act!L13*1000)</f>
        <v>16770.127083186933</v>
      </c>
      <c r="M21" s="54">
        <f>IF(M3=0,0,M3/TrAvia_act!M13*1000)</f>
        <v>16943.421262030221</v>
      </c>
      <c r="N21" s="54">
        <f>IF(N3=0,0,N3/TrAvia_act!N13*1000)</f>
        <v>16489.779383170026</v>
      </c>
      <c r="O21" s="54">
        <f>IF(O3=0,0,O3/TrAvia_act!O13*1000)</f>
        <v>16272.081310460479</v>
      </c>
      <c r="P21" s="54">
        <f>IF(P3=0,0,P3/TrAvia_act!P13*1000)</f>
        <v>16544.196836046289</v>
      </c>
      <c r="Q21" s="54">
        <f>IF(Q3=0,0,Q3/TrAvia_act!Q13*1000)</f>
        <v>16681.844850630601</v>
      </c>
      <c r="R21" s="54">
        <f>IF(R3=0,0,R3/TrAvia_act!R13*1000)</f>
        <v>17384.293623787202</v>
      </c>
      <c r="S21" s="54">
        <f>IF(S3=0,0,S3/TrAvia_act!S13*1000)</f>
        <v>17923.685043268004</v>
      </c>
      <c r="T21" s="54">
        <f>IF(T3=0,0,T3/TrAvia_act!T13*1000)</f>
        <v>17644.030846412563</v>
      </c>
      <c r="U21" s="54">
        <f>IF(U3=0,0,U3/TrAvia_act!U13*1000)</f>
        <v>17879.002357352034</v>
      </c>
      <c r="V21" s="54">
        <f>IF(V3=0,0,V3/TrAvia_act!V13*1000)</f>
        <v>21251.274269046335</v>
      </c>
      <c r="W21" s="54">
        <f>IF(W3=0,0,W3/TrAvia_act!W13*1000)</f>
        <v>20979.440150879382</v>
      </c>
      <c r="X21" s="54">
        <f>IF(X3=0,0,X3/TrAvia_act!X13*1000)</f>
        <v>19385.776476827359</v>
      </c>
      <c r="Y21" s="54">
        <f>IF(Y3=0,0,Y3/TrAvia_act!Y13*1000)</f>
        <v>19739.37632785775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21151.217804049385</v>
      </c>
      <c r="C22" s="11">
        <f>IF(C6=0,0,C6/TrAvia_act!C14*1000)</f>
        <v>20218.70217303334</v>
      </c>
      <c r="D22" s="11">
        <f>IF(D6=0,0,D6/TrAvia_act!D14*1000)</f>
        <v>23217.680158741674</v>
      </c>
      <c r="E22" s="11">
        <f>IF(E6=0,0,E6/TrAvia_act!E14*1000)</f>
        <v>22970.993716147339</v>
      </c>
      <c r="F22" s="11">
        <f>IF(F6=0,0,F6/TrAvia_act!F14*1000)</f>
        <v>20542.483347965688</v>
      </c>
      <c r="G22" s="11">
        <f>IF(G6=0,0,G6/TrAvia_act!G14*1000)</f>
        <v>19313.793478539763</v>
      </c>
      <c r="H22" s="11">
        <f>IF(H6=0,0,H6/TrAvia_act!H14*1000)</f>
        <v>16902.457812309549</v>
      </c>
      <c r="I22" s="11">
        <f>IF(I6=0,0,I6/TrAvia_act!I14*1000)</f>
        <v>16216.968046339915</v>
      </c>
      <c r="J22" s="11">
        <f>IF(J6=0,0,J6/TrAvia_act!J14*1000)</f>
        <v>16886.243665549136</v>
      </c>
      <c r="K22" s="11">
        <f>IF(K6=0,0,K6/TrAvia_act!K14*1000)</f>
        <v>16842.353515942286</v>
      </c>
      <c r="L22" s="11">
        <f>IF(L6=0,0,L6/TrAvia_act!L14*1000)</f>
        <v>16471.290526585435</v>
      </c>
      <c r="M22" s="11">
        <f>IF(M6=0,0,M6/TrAvia_act!M14*1000)</f>
        <v>16739.754045450998</v>
      </c>
      <c r="N22" s="11">
        <f>IF(N6=0,0,N6/TrAvia_act!N14*1000)</f>
        <v>16293.675465946568</v>
      </c>
      <c r="O22" s="11">
        <f>IF(O6=0,0,O6/TrAvia_act!O14*1000)</f>
        <v>15997.817171796327</v>
      </c>
      <c r="P22" s="11">
        <f>IF(P6=0,0,P6/TrAvia_act!P14*1000)</f>
        <v>16201.533037777403</v>
      </c>
      <c r="Q22" s="11">
        <f>IF(Q6=0,0,Q6/TrAvia_act!Q14*1000)</f>
        <v>16277.403362755074</v>
      </c>
      <c r="R22" s="11">
        <f>IF(R6=0,0,R6/TrAvia_act!R14*1000)</f>
        <v>16954.220104934408</v>
      </c>
      <c r="S22" s="11">
        <f>IF(S6=0,0,S6/TrAvia_act!S14*1000)</f>
        <v>17584.560145311483</v>
      </c>
      <c r="T22" s="11">
        <f>IF(T6=0,0,T6/TrAvia_act!T14*1000)</f>
        <v>17476.501311781583</v>
      </c>
      <c r="U22" s="11">
        <f>IF(U6=0,0,U6/TrAvia_act!U14*1000)</f>
        <v>17661.316087002797</v>
      </c>
      <c r="V22" s="11">
        <f>IF(V6=0,0,V6/TrAvia_act!V14*1000)</f>
        <v>20455.445009260147</v>
      </c>
      <c r="W22" s="11">
        <f>IF(W6=0,0,W6/TrAvia_act!W14*1000)</f>
        <v>21397.906173127012</v>
      </c>
      <c r="X22" s="11">
        <f>IF(X6=0,0,X6/TrAvia_act!X14*1000)</f>
        <v>19220.633864364427</v>
      </c>
      <c r="Y22" s="11">
        <f>IF(Y6=0,0,Y6/TrAvia_act!Y14*1000)</f>
        <v>19008.425131606116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17423.919702062438</v>
      </c>
      <c r="C24" s="84">
        <f>IF(C8=0,0,C8/TrAvia_act!C16*1000)</f>
        <v>16750.163913737535</v>
      </c>
      <c r="D24" s="84">
        <f>IF(D8=0,0,D8/TrAvia_act!D16*1000)</f>
        <v>19564.701633200842</v>
      </c>
      <c r="E24" s="84">
        <f>IF(E8=0,0,E8/TrAvia_act!E16*1000)</f>
        <v>19284.067404282509</v>
      </c>
      <c r="F24" s="84">
        <f>IF(F8=0,0,F8/TrAvia_act!F16*1000)</f>
        <v>17031.277992718358</v>
      </c>
      <c r="G24" s="84">
        <f>IF(G8=0,0,G8/TrAvia_act!G16*1000)</f>
        <v>16501.411483231921</v>
      </c>
      <c r="H24" s="84">
        <f>IF(H8=0,0,H8/TrAvia_act!H16*1000)</f>
        <v>14487.571237397915</v>
      </c>
      <c r="I24" s="84">
        <f>IF(I8=0,0,I8/TrAvia_act!I16*1000)</f>
        <v>14556.809489512272</v>
      </c>
      <c r="J24" s="84">
        <f>IF(J8=0,0,J8/TrAvia_act!J16*1000)</f>
        <v>15875.751876116959</v>
      </c>
      <c r="K24" s="84">
        <f>IF(K8=0,0,K8/TrAvia_act!K16*1000)</f>
        <v>15879.250132212765</v>
      </c>
      <c r="L24" s="84">
        <f>IF(L8=0,0,L8/TrAvia_act!L16*1000)</f>
        <v>15760.69220741698</v>
      </c>
      <c r="M24" s="84">
        <f>IF(M8=0,0,M8/TrAvia_act!M16*1000)</f>
        <v>16285.952748899301</v>
      </c>
      <c r="N24" s="84">
        <f>IF(N8=0,0,N8/TrAvia_act!N16*1000)</f>
        <v>15989.459251795159</v>
      </c>
      <c r="O24" s="84">
        <f>IF(O8=0,0,O8/TrAvia_act!O16*1000)</f>
        <v>15460.497630489423</v>
      </c>
      <c r="P24" s="84">
        <f>IF(P8=0,0,P8/TrAvia_act!P16*1000)</f>
        <v>15395.25420341698</v>
      </c>
      <c r="Q24" s="84">
        <f>IF(Q8=0,0,Q8/TrAvia_act!Q16*1000)</f>
        <v>15283.616781010725</v>
      </c>
      <c r="R24" s="84">
        <f>IF(R8=0,0,R8/TrAvia_act!R16*1000)</f>
        <v>15474.477550666028</v>
      </c>
      <c r="S24" s="84">
        <f>IF(S8=0,0,S8/TrAvia_act!S16*1000)</f>
        <v>16876.391192387913</v>
      </c>
      <c r="T24" s="84">
        <f>IF(T8=0,0,T8/TrAvia_act!T16*1000)</f>
        <v>17751.021237450957</v>
      </c>
      <c r="U24" s="84">
        <f>IF(U8=0,0,U8/TrAvia_act!U16*1000)</f>
        <v>17874.354766308064</v>
      </c>
      <c r="V24" s="84">
        <f>IF(V8=0,0,V8/TrAvia_act!V16*1000)</f>
        <v>18898.592363875017</v>
      </c>
      <c r="W24" s="84">
        <f>IF(W8=0,0,W8/TrAvia_act!W16*1000)</f>
        <v>22888.569763071111</v>
      </c>
      <c r="X24" s="84">
        <f>IF(X8=0,0,X8/TrAvia_act!X16*1000)</f>
        <v>20245.724797753868</v>
      </c>
      <c r="Y24" s="84">
        <f>IF(Y8=0,0,Y8/TrAvia_act!Y16*1000)</f>
        <v>19054.621709464122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28205.651754400376</v>
      </c>
      <c r="C25" s="84">
        <f>IF(C9=0,0,C9/TrAvia_act!C17*1000)</f>
        <v>27114.512404028861</v>
      </c>
      <c r="D25" s="84">
        <f>IF(D9=0,0,D9/TrAvia_act!D17*1000)</f>
        <v>31616.510922878966</v>
      </c>
      <c r="E25" s="84">
        <f>IF(E9=0,0,E9/TrAvia_act!E17*1000)</f>
        <v>31243.176516310737</v>
      </c>
      <c r="F25" s="84">
        <f>IF(F9=0,0,F9/TrAvia_act!F17*1000)</f>
        <v>27602.863581092184</v>
      </c>
      <c r="G25" s="84">
        <f>IF(G9=0,0,G9/TrAvia_act!G17*1000)</f>
        <v>24490.565503690803</v>
      </c>
      <c r="H25" s="84">
        <f>IF(H9=0,0,H9/TrAvia_act!H17*1000)</f>
        <v>21428.300719040326</v>
      </c>
      <c r="I25" s="84">
        <f>IF(I9=0,0,I9/TrAvia_act!I17*1000)</f>
        <v>19059.771114262647</v>
      </c>
      <c r="J25" s="84">
        <f>IF(J9=0,0,J9/TrAvia_act!J17*1000)</f>
        <v>18361.512697172093</v>
      </c>
      <c r="K25" s="84">
        <f>IF(K9=0,0,K9/TrAvia_act!K17*1000)</f>
        <v>18143.378434859016</v>
      </c>
      <c r="L25" s="84">
        <f>IF(L9=0,0,L9/TrAvia_act!L17*1000)</f>
        <v>17394.518948272878</v>
      </c>
      <c r="M25" s="84">
        <f>IF(M9=0,0,M9/TrAvia_act!M17*1000)</f>
        <v>17305.682119235367</v>
      </c>
      <c r="N25" s="84">
        <f>IF(N9=0,0,N9/TrAvia_act!N17*1000)</f>
        <v>16655.965623463588</v>
      </c>
      <c r="O25" s="84">
        <f>IF(O9=0,0,O9/TrAvia_act!O17*1000)</f>
        <v>16651.517353799387</v>
      </c>
      <c r="P25" s="84">
        <f>IF(P9=0,0,P9/TrAvia_act!P17*1000)</f>
        <v>17230.930715409326</v>
      </c>
      <c r="Q25" s="84">
        <f>IF(Q9=0,0,Q9/TrAvia_act!Q17*1000)</f>
        <v>17601.740547288293</v>
      </c>
      <c r="R25" s="84">
        <f>IF(R9=0,0,R9/TrAvia_act!R17*1000)</f>
        <v>19195.061685347624</v>
      </c>
      <c r="S25" s="84">
        <f>IF(S9=0,0,S9/TrAvia_act!S17*1000)</f>
        <v>18576.700292582846</v>
      </c>
      <c r="T25" s="84">
        <f>IF(T9=0,0,T9/TrAvia_act!T17*1000)</f>
        <v>17144.233081597238</v>
      </c>
      <c r="U25" s="84">
        <f>IF(U9=0,0,U9/TrAvia_act!U17*1000)</f>
        <v>17414.314405467594</v>
      </c>
      <c r="V25" s="84">
        <f>IF(V9=0,0,V9/TrAvia_act!V17*1000)</f>
        <v>22252.291261884624</v>
      </c>
      <c r="W25" s="84">
        <f>IF(W9=0,0,W9/TrAvia_act!W17*1000)</f>
        <v>19889.310889745811</v>
      </c>
      <c r="X25" s="84">
        <f>IF(X9=0,0,X9/TrAvia_act!X17*1000)</f>
        <v>17980.684332438526</v>
      </c>
      <c r="Y25" s="84">
        <f>IF(Y9=0,0,Y9/TrAvia_act!Y17*1000)</f>
        <v>18949.204859187044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23327.232439513882</v>
      </c>
      <c r="C26" s="13">
        <f>IF(C10=0,0,C10/TrAvia_act!C18*1000)</f>
        <v>22767.757717325283</v>
      </c>
      <c r="D26" s="13">
        <f>IF(D10=0,0,D10/TrAvia_act!D18*1000)</f>
        <v>26639.111873418657</v>
      </c>
      <c r="E26" s="13">
        <f>IF(E10=0,0,E10/TrAvia_act!E18*1000)</f>
        <v>26852.213728687388</v>
      </c>
      <c r="F26" s="13">
        <f>IF(F10=0,0,F10/TrAvia_act!F18*1000)</f>
        <v>23714.787532910712</v>
      </c>
      <c r="G26" s="13">
        <f>IF(G10=0,0,G10/TrAvia_act!G18*1000)</f>
        <v>22688.081408640515</v>
      </c>
      <c r="H26" s="13">
        <f>IF(H10=0,0,H10/TrAvia_act!H18*1000)</f>
        <v>19478.130401989802</v>
      </c>
      <c r="I26" s="13">
        <f>IF(I10=0,0,I10/TrAvia_act!I18*1000)</f>
        <v>18245.499755387635</v>
      </c>
      <c r="J26" s="13">
        <f>IF(J10=0,0,J10/TrAvia_act!J18*1000)</f>
        <v>18019.410787088225</v>
      </c>
      <c r="K26" s="13">
        <f>IF(K10=0,0,K10/TrAvia_act!K18*1000)</f>
        <v>18306.437929623826</v>
      </c>
      <c r="L26" s="13">
        <f>IF(L10=0,0,L10/TrAvia_act!L18*1000)</f>
        <v>17879.443018967802</v>
      </c>
      <c r="M26" s="13">
        <f>IF(M10=0,0,M10/TrAvia_act!M18*1000)</f>
        <v>17739.779925551451</v>
      </c>
      <c r="N26" s="13">
        <f>IF(N10=0,0,N10/TrAvia_act!N18*1000)</f>
        <v>17390.121842722503</v>
      </c>
      <c r="O26" s="13">
        <f>IF(O10=0,0,O10/TrAvia_act!O18*1000)</f>
        <v>17642.911892161796</v>
      </c>
      <c r="P26" s="13">
        <f>IF(P10=0,0,P10/TrAvia_act!P18*1000)</f>
        <v>18445.595539626396</v>
      </c>
      <c r="Q26" s="13">
        <f>IF(Q10=0,0,Q10/TrAvia_act!Q18*1000)</f>
        <v>18588.050459289771</v>
      </c>
      <c r="R26" s="13">
        <f>IF(R10=0,0,R10/TrAvia_act!R18*1000)</f>
        <v>19608.232752803866</v>
      </c>
      <c r="S26" s="13">
        <f>IF(S10=0,0,S10/TrAvia_act!S18*1000)</f>
        <v>19549.562497497158</v>
      </c>
      <c r="T26" s="13">
        <f>IF(T10=0,0,T10/TrAvia_act!T18*1000)</f>
        <v>18384.757253233896</v>
      </c>
      <c r="U26" s="13">
        <f>IF(U10=0,0,U10/TrAvia_act!U18*1000)</f>
        <v>18941.46057195307</v>
      </c>
      <c r="V26" s="13">
        <f>IF(V10=0,0,V10/TrAvia_act!V18*1000)</f>
        <v>22150.632896698749</v>
      </c>
      <c r="W26" s="13">
        <f>IF(W10=0,0,W10/TrAvia_act!W18*1000)</f>
        <v>20473.153848465074</v>
      </c>
      <c r="X26" s="13">
        <f>IF(X10=0,0,X10/TrAvia_act!X18*1000)</f>
        <v>19769.277474592847</v>
      </c>
      <c r="Y26" s="13">
        <f>IF(Y10=0,0,Y10/TrAvia_act!Y18*1000)</f>
        <v>21898.756560925955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18185.720047995997</v>
      </c>
      <c r="C28" s="102">
        <f>IF(C12=0,0,C12/TrAvia_act!C20*1000)</f>
        <v>17511.228411697324</v>
      </c>
      <c r="D28" s="102">
        <f>IF(D12=0,0,D12/TrAvia_act!D20*1000)</f>
        <v>20304.627968846275</v>
      </c>
      <c r="E28" s="102">
        <f>IF(E12=0,0,E12/TrAvia_act!E20*1000)</f>
        <v>20118.588707797309</v>
      </c>
      <c r="F28" s="102">
        <f>IF(F12=0,0,F12/TrAvia_act!F20*1000)</f>
        <v>17819.993036871165</v>
      </c>
      <c r="G28" s="102">
        <f>IF(G12=0,0,G12/TrAvia_act!G20*1000)</f>
        <v>17290.962509577446</v>
      </c>
      <c r="H28" s="102">
        <f>IF(H12=0,0,H12/TrAvia_act!H20*1000)</f>
        <v>15229.629816577415</v>
      </c>
      <c r="I28" s="102">
        <f>IF(I12=0,0,I12/TrAvia_act!I20*1000)</f>
        <v>15290.089860310736</v>
      </c>
      <c r="J28" s="102">
        <f>IF(J12=0,0,J12/TrAvia_act!J20*1000)</f>
        <v>16752.63214206983</v>
      </c>
      <c r="K28" s="102">
        <f>IF(K12=0,0,K12/TrAvia_act!K20*1000)</f>
        <v>16103.098401377121</v>
      </c>
      <c r="L28" s="102">
        <f>IF(L12=0,0,L12/TrAvia_act!L20*1000)</f>
        <v>15817.932548253253</v>
      </c>
      <c r="M28" s="102">
        <f>IF(M12=0,0,M12/TrAvia_act!M20*1000)</f>
        <v>16433.18367920403</v>
      </c>
      <c r="N28" s="102">
        <f>IF(N12=0,0,N12/TrAvia_act!N20*1000)</f>
        <v>16271.371425085459</v>
      </c>
      <c r="O28" s="102">
        <f>IF(O12=0,0,O12/TrAvia_act!O20*1000)</f>
        <v>15784.285286723483</v>
      </c>
      <c r="P28" s="102">
        <f>IF(P12=0,0,P12/TrAvia_act!P20*1000)</f>
        <v>15902.902146150773</v>
      </c>
      <c r="Q28" s="102">
        <f>IF(Q12=0,0,Q12/TrAvia_act!Q20*1000)</f>
        <v>16159.644031961985</v>
      </c>
      <c r="R28" s="102">
        <f>IF(R12=0,0,R12/TrAvia_act!R20*1000)</f>
        <v>16163.338813186925</v>
      </c>
      <c r="S28" s="102">
        <f>IF(S12=0,0,S12/TrAvia_act!S20*1000)</f>
        <v>18186.420915176546</v>
      </c>
      <c r="T28" s="102">
        <f>IF(T12=0,0,T12/TrAvia_act!T20*1000)</f>
        <v>19376.881495284208</v>
      </c>
      <c r="U28" s="102">
        <f>IF(U12=0,0,U12/TrAvia_act!U20*1000)</f>
        <v>20038.878621246007</v>
      </c>
      <c r="V28" s="102">
        <f>IF(V12=0,0,V12/TrAvia_act!V20*1000)</f>
        <v>22482.734625977217</v>
      </c>
      <c r="W28" s="102">
        <f>IF(W12=0,0,W12/TrAvia_act!W20*1000)</f>
        <v>27556.178600205778</v>
      </c>
      <c r="X28" s="102">
        <f>IF(X12=0,0,X12/TrAvia_act!X20*1000)</f>
        <v>22498.800109162734</v>
      </c>
      <c r="Y28" s="102">
        <f>IF(Y12=0,0,Y12/TrAvia_act!Y20*1000)</f>
        <v>22572.989279659225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26436.09293135288</v>
      </c>
      <c r="C29" s="86">
        <f>IF(C13=0,0,C13/TrAvia_act!C21*1000)</f>
        <v>25413.409196949277</v>
      </c>
      <c r="D29" s="86">
        <f>IF(D13=0,0,D13/TrAvia_act!D21*1000)</f>
        <v>29632.962506954493</v>
      </c>
      <c r="E29" s="86">
        <f>IF(E13=0,0,E13/TrAvia_act!E21*1000)</f>
        <v>29283.050257010851</v>
      </c>
      <c r="F29" s="86">
        <f>IF(F13=0,0,F13/TrAvia_act!F21*1000)</f>
        <v>25871.122325239878</v>
      </c>
      <c r="G29" s="86">
        <f>IF(G13=0,0,G13/TrAvia_act!G21*1000)</f>
        <v>24836.201256813187</v>
      </c>
      <c r="H29" s="86">
        <f>IF(H13=0,0,H13/TrAvia_act!H21*1000)</f>
        <v>21909.750447788319</v>
      </c>
      <c r="I29" s="86">
        <f>IF(I13=0,0,I13/TrAvia_act!I21*1000)</f>
        <v>19590.206864859145</v>
      </c>
      <c r="J29" s="86">
        <f>IF(J13=0,0,J13/TrAvia_act!J21*1000)</f>
        <v>18412.385761182904</v>
      </c>
      <c r="K29" s="86">
        <f>IF(K13=0,0,K13/TrAvia_act!K21*1000)</f>
        <v>19035.059321799286</v>
      </c>
      <c r="L29" s="86">
        <f>IF(L13=0,0,L13/TrAvia_act!L21*1000)</f>
        <v>18429.757372211741</v>
      </c>
      <c r="M29" s="86">
        <f>IF(M13=0,0,M13/TrAvia_act!M21*1000)</f>
        <v>18053.676650616562</v>
      </c>
      <c r="N29" s="86">
        <f>IF(N13=0,0,N13/TrAvia_act!N21*1000)</f>
        <v>17708.011200593661</v>
      </c>
      <c r="O29" s="86">
        <f>IF(O13=0,0,O13/TrAvia_act!O21*1000)</f>
        <v>18266.588548280677</v>
      </c>
      <c r="P29" s="86">
        <f>IF(P13=0,0,P13/TrAvia_act!P21*1000)</f>
        <v>19331.22318884133</v>
      </c>
      <c r="Q29" s="86">
        <f>IF(Q13=0,0,Q13/TrAvia_act!Q21*1000)</f>
        <v>19310.811344289217</v>
      </c>
      <c r="R29" s="86">
        <f>IF(R13=0,0,R13/TrAvia_act!R21*1000)</f>
        <v>20678.768706771043</v>
      </c>
      <c r="S29" s="86">
        <f>IF(S13=0,0,S13/TrAvia_act!S21*1000)</f>
        <v>19946.996921964528</v>
      </c>
      <c r="T29" s="86">
        <f>IF(T13=0,0,T13/TrAvia_act!T21*1000)</f>
        <v>18100.757101123359</v>
      </c>
      <c r="U29" s="86">
        <f>IF(U13=0,0,U13/TrAvia_act!U21*1000)</f>
        <v>18618.556059371702</v>
      </c>
      <c r="V29" s="86">
        <f>IF(V13=0,0,V13/TrAvia_act!V21*1000)</f>
        <v>22084.827997052904</v>
      </c>
      <c r="W29" s="86">
        <f>IF(W13=0,0,W13/TrAvia_act!W21*1000)</f>
        <v>19241.825354738146</v>
      </c>
      <c r="X29" s="86">
        <f>IF(X13=0,0,X13/TrAvia_act!X21*1000)</f>
        <v>19388.724882775034</v>
      </c>
      <c r="Y29" s="86">
        <f>IF(Y13=0,0,Y13/TrAvia_act!Y21*1000)</f>
        <v>21784.775371736432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191.57420001884722</v>
      </c>
      <c r="C32" s="14">
        <f>IF(C6=0,0,C6/TrAvia_act!C4*1000)</f>
        <v>180.96190317992762</v>
      </c>
      <c r="D32" s="14">
        <f>IF(D6=0,0,D6/TrAvia_act!D4*1000)</f>
        <v>214.79448827103761</v>
      </c>
      <c r="E32" s="14">
        <f>IF(E6=0,0,E6/TrAvia_act!E4*1000)</f>
        <v>208.44463804607372</v>
      </c>
      <c r="F32" s="14">
        <f>IF(F6=0,0,F6/TrAvia_act!F4*1000)</f>
        <v>174.73419741324903</v>
      </c>
      <c r="G32" s="14">
        <f>IF(G6=0,0,G6/TrAvia_act!G4*1000)</f>
        <v>162.53470414980205</v>
      </c>
      <c r="H32" s="14">
        <f>IF(H6=0,0,H6/TrAvia_act!H4*1000)</f>
        <v>147.3271983652827</v>
      </c>
      <c r="I32" s="14">
        <f>IF(I6=0,0,I6/TrAvia_act!I4*1000)</f>
        <v>142.08981015059038</v>
      </c>
      <c r="J32" s="14">
        <f>IF(J6=0,0,J6/TrAvia_act!J4*1000)</f>
        <v>143.13111388956642</v>
      </c>
      <c r="K32" s="14">
        <f>IF(K6=0,0,K6/TrAvia_act!K4*1000)</f>
        <v>142.41674836225812</v>
      </c>
      <c r="L32" s="14">
        <f>IF(L6=0,0,L6/TrAvia_act!L4*1000)</f>
        <v>133.97519712117224</v>
      </c>
      <c r="M32" s="14">
        <f>IF(M6=0,0,M6/TrAvia_act!M4*1000)</f>
        <v>132.48549050189567</v>
      </c>
      <c r="N32" s="14">
        <f>IF(N6=0,0,N6/TrAvia_act!N4*1000)</f>
        <v>124.60651359486559</v>
      </c>
      <c r="O32" s="14">
        <f>IF(O6=0,0,O6/TrAvia_act!O4*1000)</f>
        <v>115.80856160247536</v>
      </c>
      <c r="P32" s="14">
        <f>IF(P6=0,0,P6/TrAvia_act!P4*1000)</f>
        <v>114.9706921153375</v>
      </c>
      <c r="Q32" s="14">
        <f>IF(Q6=0,0,Q6/TrAvia_act!Q4*1000)</f>
        <v>114.28183220568204</v>
      </c>
      <c r="R32" s="14">
        <f>IF(R6=0,0,R6/TrAvia_act!R4*1000)</f>
        <v>123.97311493277343</v>
      </c>
      <c r="S32" s="14">
        <f>IF(S6=0,0,S6/TrAvia_act!S4*1000)</f>
        <v>121.11324011390418</v>
      </c>
      <c r="T32" s="14">
        <f>IF(T6=0,0,T6/TrAvia_act!T4*1000)</f>
        <v>118.20390747264504</v>
      </c>
      <c r="U32" s="14">
        <f>IF(U6=0,0,U6/TrAvia_act!U4*1000)</f>
        <v>115.85785791440352</v>
      </c>
      <c r="V32" s="14">
        <f>IF(V6=0,0,V6/TrAvia_act!V4*1000)</f>
        <v>168.75087725091987</v>
      </c>
      <c r="W32" s="14">
        <f>IF(W6=0,0,W6/TrAvia_act!W4*1000)</f>
        <v>160.49861128326023</v>
      </c>
      <c r="X32" s="14">
        <f>IF(X6=0,0,X6/TrAvia_act!X4*1000)</f>
        <v>123.27536969645793</v>
      </c>
      <c r="Y32" s="14">
        <f>IF(Y6=0,0,Y6/TrAvia_act!Y4*1000)</f>
        <v>116.2252177581272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199.11736333111645</v>
      </c>
      <c r="C34" s="87">
        <f>IF(C8=0,0,C8/TrAvia_act!C6*1000)</f>
        <v>187.80303961682208</v>
      </c>
      <c r="D34" s="87">
        <f>IF(D8=0,0,D8/TrAvia_act!D6*1000)</f>
        <v>224.65092087935</v>
      </c>
      <c r="E34" s="87">
        <f>IF(E8=0,0,E8/TrAvia_act!E6*1000)</f>
        <v>213.36175134759168</v>
      </c>
      <c r="F34" s="87">
        <f>IF(F8=0,0,F8/TrAvia_act!F6*1000)</f>
        <v>175.95876635743309</v>
      </c>
      <c r="G34" s="87">
        <f>IF(G8=0,0,G8/TrAvia_act!G6*1000)</f>
        <v>168.3271900019505</v>
      </c>
      <c r="H34" s="87">
        <f>IF(H8=0,0,H8/TrAvia_act!H6*1000)</f>
        <v>154.60194253284843</v>
      </c>
      <c r="I34" s="87">
        <f>IF(I8=0,0,I8/TrAvia_act!I6*1000)</f>
        <v>165.29249211656034</v>
      </c>
      <c r="J34" s="87">
        <f>IF(J8=0,0,J8/TrAvia_act!J6*1000)</f>
        <v>187.06225885411826</v>
      </c>
      <c r="K34" s="87">
        <f>IF(K8=0,0,K8/TrAvia_act!K6*1000)</f>
        <v>182.02899348074001</v>
      </c>
      <c r="L34" s="87">
        <f>IF(L8=0,0,L8/TrAvia_act!L6*1000)</f>
        <v>171.92560593852329</v>
      </c>
      <c r="M34" s="87">
        <f>IF(M8=0,0,M8/TrAvia_act!M6*1000)</f>
        <v>167.31253891172236</v>
      </c>
      <c r="N34" s="87">
        <f>IF(N8=0,0,N8/TrAvia_act!N6*1000)</f>
        <v>154.15644364527415</v>
      </c>
      <c r="O34" s="87">
        <f>IF(O8=0,0,O8/TrAvia_act!O6*1000)</f>
        <v>143.72895392443007</v>
      </c>
      <c r="P34" s="87">
        <f>IF(P8=0,0,P8/TrAvia_act!P6*1000)</f>
        <v>140.68386473077467</v>
      </c>
      <c r="Q34" s="87">
        <f>IF(Q8=0,0,Q8/TrAvia_act!Q6*1000)</f>
        <v>137.46653851002796</v>
      </c>
      <c r="R34" s="87">
        <f>IF(R8=0,0,R8/TrAvia_act!R6*1000)</f>
        <v>138.69364519003452</v>
      </c>
      <c r="S34" s="87">
        <f>IF(S8=0,0,S8/TrAvia_act!S6*1000)</f>
        <v>142.83537627529708</v>
      </c>
      <c r="T34" s="87">
        <f>IF(T8=0,0,T8/TrAvia_act!T6*1000)</f>
        <v>149.76336962515569</v>
      </c>
      <c r="U34" s="87">
        <f>IF(U8=0,0,U8/TrAvia_act!U6*1000)</f>
        <v>146.59929277978608</v>
      </c>
      <c r="V34" s="87">
        <f>IF(V8=0,0,V8/TrAvia_act!V6*1000)</f>
        <v>197.270564500131</v>
      </c>
      <c r="W34" s="87">
        <f>IF(W8=0,0,W8/TrAvia_act!W6*1000)</f>
        <v>198.37655251330173</v>
      </c>
      <c r="X34" s="87">
        <f>IF(X8=0,0,X8/TrAvia_act!X6*1000)</f>
        <v>160.60683202957796</v>
      </c>
      <c r="Y34" s="87">
        <f>IF(Y8=0,0,Y8/TrAvia_act!Y6*1000)</f>
        <v>145.66510969822488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183.44893854281605</v>
      </c>
      <c r="C35" s="87">
        <f>IF(C9=0,0,C9/TrAvia_act!C7*1000)</f>
        <v>173.21262497651762</v>
      </c>
      <c r="D35" s="87">
        <f>IF(D9=0,0,D9/TrAvia_act!D7*1000)</f>
        <v>202.17422705016199</v>
      </c>
      <c r="E35" s="87">
        <f>IF(E9=0,0,E9/TrAvia_act!E7*1000)</f>
        <v>201.99790571927045</v>
      </c>
      <c r="F35" s="87">
        <f>IF(F9=0,0,F9/TrAvia_act!F7*1000)</f>
        <v>173.23837036740332</v>
      </c>
      <c r="G35" s="87">
        <f>IF(G9=0,0,G9/TrAvia_act!G7*1000)</f>
        <v>155.88177259313977</v>
      </c>
      <c r="H35" s="87">
        <f>IF(H9=0,0,H9/TrAvia_act!H7*1000)</f>
        <v>139.03738127565992</v>
      </c>
      <c r="I35" s="87">
        <f>IF(I9=0,0,I9/TrAvia_act!I7*1000)</f>
        <v>120.05063888087825</v>
      </c>
      <c r="J35" s="87">
        <f>IF(J9=0,0,J9/TrAvia_act!J7*1000)</f>
        <v>110.40238807919039</v>
      </c>
      <c r="K35" s="87">
        <f>IF(K9=0,0,K9/TrAvia_act!K7*1000)</f>
        <v>113.27329775529874</v>
      </c>
      <c r="L35" s="87">
        <f>IF(L9=0,0,L9/TrAvia_act!L7*1000)</f>
        <v>106.34212934852015</v>
      </c>
      <c r="M35" s="87">
        <f>IF(M9=0,0,M9/TrAvia_act!M7*1000)</f>
        <v>106.47465146697853</v>
      </c>
      <c r="N35" s="87">
        <f>IF(N9=0,0,N9/TrAvia_act!N7*1000)</f>
        <v>102.20805902423635</v>
      </c>
      <c r="O35" s="87">
        <f>IF(O9=0,0,O9/TrAvia_act!O7*1000)</f>
        <v>94.969544483747498</v>
      </c>
      <c r="P35" s="87">
        <f>IF(P9=0,0,P9/TrAvia_act!P7*1000)</f>
        <v>95.135741050048765</v>
      </c>
      <c r="Q35" s="87">
        <f>IF(Q9=0,0,Q9/TrAvia_act!Q7*1000)</f>
        <v>95.620897734163648</v>
      </c>
      <c r="R35" s="87">
        <f>IF(R9=0,0,R9/TrAvia_act!R7*1000)</f>
        <v>109.75208224771477</v>
      </c>
      <c r="S35" s="87">
        <f>IF(S9=0,0,S9/TrAvia_act!S7*1000)</f>
        <v>101.47233290222553</v>
      </c>
      <c r="T35" s="87">
        <f>IF(T9=0,0,T9/TrAvia_act!T7*1000)</f>
        <v>93.509439645037901</v>
      </c>
      <c r="U35" s="87">
        <f>IF(U9=0,0,U9/TrAvia_act!U7*1000)</f>
        <v>92.71966003292529</v>
      </c>
      <c r="V35" s="87">
        <f>IF(V9=0,0,V9/TrAvia_act!V7*1000)</f>
        <v>147.80537283587981</v>
      </c>
      <c r="W35" s="87">
        <f>IF(W9=0,0,W9/TrAvia_act!W7*1000)</f>
        <v>131.30051820436537</v>
      </c>
      <c r="X35" s="87">
        <f>IF(X9=0,0,X9/TrAvia_act!X7*1000)</f>
        <v>93.633221124271742</v>
      </c>
      <c r="Y35" s="87">
        <f>IF(Y9=0,0,Y9/TrAvia_act!Y7*1000)</f>
        <v>92.203765285206885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435.11582224356516</v>
      </c>
      <c r="C36" s="15">
        <f>IF(C10=0,0,C10/TrAvia_act!C8*1000)</f>
        <v>392.06570936789086</v>
      </c>
      <c r="D36" s="15">
        <f>IF(D10=0,0,D10/TrAvia_act!D8*1000)</f>
        <v>480.9737466023725</v>
      </c>
      <c r="E36" s="15">
        <f>IF(E10=0,0,E10/TrAvia_act!E8*1000)</f>
        <v>503.62729800762816</v>
      </c>
      <c r="F36" s="15">
        <f>IF(F10=0,0,F10/TrAvia_act!F8*1000)</f>
        <v>463.06437230558299</v>
      </c>
      <c r="G36" s="15">
        <f>IF(G10=0,0,G10/TrAvia_act!G8*1000)</f>
        <v>474.46700019267695</v>
      </c>
      <c r="H36" s="15">
        <f>IF(H10=0,0,H10/TrAvia_act!H8*1000)</f>
        <v>458.41682836178438</v>
      </c>
      <c r="I36" s="15">
        <f>IF(I10=0,0,I10/TrAvia_act!I8*1000)</f>
        <v>419.40813652945081</v>
      </c>
      <c r="J36" s="15">
        <f>IF(J10=0,0,J10/TrAvia_act!J8*1000)</f>
        <v>398.17606237271173</v>
      </c>
      <c r="K36" s="15">
        <f>IF(K10=0,0,K10/TrAvia_act!K8*1000)</f>
        <v>364.86667082612712</v>
      </c>
      <c r="L36" s="15">
        <f>IF(L10=0,0,L10/TrAvia_act!L8*1000)</f>
        <v>339.77882633657839</v>
      </c>
      <c r="M36" s="15">
        <f>IF(M10=0,0,M10/TrAvia_act!M8*1000)</f>
        <v>319.36771194567336</v>
      </c>
      <c r="N36" s="15">
        <f>IF(N10=0,0,N10/TrAvia_act!N8*1000)</f>
        <v>300.37029485465939</v>
      </c>
      <c r="O36" s="15">
        <f>IF(O10=0,0,O10/TrAvia_act!O8*1000)</f>
        <v>296.6111020484704</v>
      </c>
      <c r="P36" s="15">
        <f>IF(P10=0,0,P10/TrAvia_act!P8*1000)</f>
        <v>267.32923899793144</v>
      </c>
      <c r="Q36" s="15">
        <f>IF(Q10=0,0,Q10/TrAvia_act!Q8*1000)</f>
        <v>267.54855982153134</v>
      </c>
      <c r="R36" s="15">
        <f>IF(R10=0,0,R10/TrAvia_act!R8*1000)</f>
        <v>258.74157341312605</v>
      </c>
      <c r="S36" s="15">
        <f>IF(S10=0,0,S10/TrAvia_act!S8*1000)</f>
        <v>258.14081037698008</v>
      </c>
      <c r="T36" s="15">
        <f>IF(T10=0,0,T10/TrAvia_act!T8*1000)</f>
        <v>236.96043959681376</v>
      </c>
      <c r="U36" s="15">
        <f>IF(U10=0,0,U10/TrAvia_act!U8*1000)</f>
        <v>231.98763237345733</v>
      </c>
      <c r="V36" s="15">
        <f>IF(V10=0,0,V10/TrAvia_act!V8*1000)</f>
        <v>375.25794208681822</v>
      </c>
      <c r="W36" s="15">
        <f>IF(W10=0,0,W10/TrAvia_act!W8*1000)</f>
        <v>342.96042068591385</v>
      </c>
      <c r="X36" s="15">
        <f>IF(X10=0,0,X10/TrAvia_act!X8*1000)</f>
        <v>291.98109299362045</v>
      </c>
      <c r="Y36" s="15">
        <f>IF(Y10=0,0,Y10/TrAvia_act!Y8*1000)</f>
        <v>317.23924533781752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700.6608942444052</v>
      </c>
      <c r="C38" s="101">
        <f>IF(C12=0,0,C12/TrAvia_act!C10*1000)</f>
        <v>648.32678761310069</v>
      </c>
      <c r="D38" s="101">
        <f>IF(D12=0,0,D12/TrAvia_act!D10*1000)</f>
        <v>801.56715616787324</v>
      </c>
      <c r="E38" s="101">
        <f>IF(E12=0,0,E12/TrAvia_act!E10*1000)</f>
        <v>778.14148845611419</v>
      </c>
      <c r="F38" s="101">
        <f>IF(F12=0,0,F12/TrAvia_act!F10*1000)</f>
        <v>760.17222727056753</v>
      </c>
      <c r="G38" s="101">
        <f>IF(G12=0,0,G12/TrAvia_act!G10*1000)</f>
        <v>753.35605372352802</v>
      </c>
      <c r="H38" s="101">
        <f>IF(H12=0,0,H12/TrAvia_act!H10*1000)</f>
        <v>791.31419383295474</v>
      </c>
      <c r="I38" s="101">
        <f>IF(I12=0,0,I12/TrAvia_act!I10*1000)</f>
        <v>824.88585896642758</v>
      </c>
      <c r="J38" s="101">
        <f>IF(J12=0,0,J12/TrAvia_act!J10*1000)</f>
        <v>938.72708401763362</v>
      </c>
      <c r="K38" s="101">
        <f>IF(K12=0,0,K12/TrAvia_act!K10*1000)</f>
        <v>867.73410456666136</v>
      </c>
      <c r="L38" s="101">
        <f>IF(L12=0,0,L12/TrAvia_act!L10*1000)</f>
        <v>838.73321849709453</v>
      </c>
      <c r="M38" s="101">
        <f>IF(M12=0,0,M12/TrAvia_act!M10*1000)</f>
        <v>826.37574713943388</v>
      </c>
      <c r="N38" s="101">
        <f>IF(N12=0,0,N12/TrAvia_act!N10*1000)</f>
        <v>741.78696377880749</v>
      </c>
      <c r="O38" s="101">
        <f>IF(O12=0,0,O12/TrAvia_act!O10*1000)</f>
        <v>722.18738557278448</v>
      </c>
      <c r="P38" s="101">
        <f>IF(P12=0,0,P12/TrAvia_act!P10*1000)</f>
        <v>647.63099738482606</v>
      </c>
      <c r="Q38" s="101">
        <f>IF(Q12=0,0,Q12/TrAvia_act!Q10*1000)</f>
        <v>670.07935895496564</v>
      </c>
      <c r="R38" s="101">
        <f>IF(R12=0,0,R12/TrAvia_act!R10*1000)</f>
        <v>605.75379492286663</v>
      </c>
      <c r="S38" s="101">
        <f>IF(S12=0,0,S12/TrAvia_act!S10*1000)</f>
        <v>756.6255373508593</v>
      </c>
      <c r="T38" s="101">
        <f>IF(T12=0,0,T12/TrAvia_act!T10*1000)</f>
        <v>805.97122170076295</v>
      </c>
      <c r="U38" s="101">
        <f>IF(U12=0,0,U12/TrAvia_act!U10*1000)</f>
        <v>795.19179298288134</v>
      </c>
      <c r="V38" s="101">
        <f>IF(V12=0,0,V12/TrAvia_act!V10*1000)</f>
        <v>1043.5084421909139</v>
      </c>
      <c r="W38" s="101">
        <f>IF(W12=0,0,W12/TrAvia_act!W10*1000)</f>
        <v>1284.1006987209337</v>
      </c>
      <c r="X38" s="101">
        <f>IF(X12=0,0,X12/TrAvia_act!X10*1000)</f>
        <v>1077.8693699425874</v>
      </c>
      <c r="Y38" s="101">
        <f>IF(Y12=0,0,Y12/TrAvia_act!Y10*1000)</f>
        <v>1094.1032020549112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375.86365050940009</v>
      </c>
      <c r="C39" s="88">
        <f>IF(C13=0,0,C13/TrAvia_act!C11*1000)</f>
        <v>344.80028847490985</v>
      </c>
      <c r="D39" s="88">
        <f>IF(D13=0,0,D13/TrAvia_act!D11*1000)</f>
        <v>425.81948620473077</v>
      </c>
      <c r="E39" s="88">
        <f>IF(E13=0,0,E13/TrAvia_act!E11*1000)</f>
        <v>463.10674534785107</v>
      </c>
      <c r="F39" s="88">
        <f>IF(F13=0,0,F13/TrAvia_act!F11*1000)</f>
        <v>421.55064964729286</v>
      </c>
      <c r="G39" s="88">
        <f>IF(G13=0,0,G13/TrAvia_act!G11*1000)</f>
        <v>430.3244214485261</v>
      </c>
      <c r="H39" s="88">
        <f>IF(H13=0,0,H13/TrAvia_act!H11*1000)</f>
        <v>392.69252576974486</v>
      </c>
      <c r="I39" s="88">
        <f>IF(I13=0,0,I13/TrAvia_act!I11*1000)</f>
        <v>357.07566012258383</v>
      </c>
      <c r="J39" s="88">
        <f>IF(J13=0,0,J13/TrAvia_act!J11*1000)</f>
        <v>342.50809853800769</v>
      </c>
      <c r="K39" s="88">
        <f>IF(K13=0,0,K13/TrAvia_act!K11*1000)</f>
        <v>313.96583233044305</v>
      </c>
      <c r="L39" s="88">
        <f>IF(L13=0,0,L13/TrAvia_act!L11*1000)</f>
        <v>299.02239759490203</v>
      </c>
      <c r="M39" s="88">
        <f>IF(M13=0,0,M13/TrAvia_act!M11*1000)</f>
        <v>281.58844420711984</v>
      </c>
      <c r="N39" s="88">
        <f>IF(N13=0,0,N13/TrAvia_act!N11*1000)</f>
        <v>259.97761744313112</v>
      </c>
      <c r="O39" s="88">
        <f>IF(O13=0,0,O13/TrAvia_act!O11*1000)</f>
        <v>253.32568896713047</v>
      </c>
      <c r="P39" s="88">
        <f>IF(P13=0,0,P13/TrAvia_act!P11*1000)</f>
        <v>228.82728749863082</v>
      </c>
      <c r="Q39" s="88">
        <f>IF(Q13=0,0,Q13/TrAvia_act!Q11*1000)</f>
        <v>232.7286765269682</v>
      </c>
      <c r="R39" s="88">
        <f>IF(R13=0,0,R13/TrAvia_act!R11*1000)</f>
        <v>227.13582562964081</v>
      </c>
      <c r="S39" s="88">
        <f>IF(S13=0,0,S13/TrAvia_act!S11*1000)</f>
        <v>219.66966004850283</v>
      </c>
      <c r="T39" s="88">
        <f>IF(T13=0,0,T13/TrAvia_act!T11*1000)</f>
        <v>194.81400912608234</v>
      </c>
      <c r="U39" s="88">
        <f>IF(U13=0,0,U13/TrAvia_act!U11*1000)</f>
        <v>189.48640635591059</v>
      </c>
      <c r="V39" s="88">
        <f>IF(V13=0,0,V13/TrAvia_act!V11*1000)</f>
        <v>332.32868596159943</v>
      </c>
      <c r="W39" s="88">
        <f>IF(W13=0,0,W13/TrAvia_act!W11*1000)</f>
        <v>290.03816783310521</v>
      </c>
      <c r="X39" s="88">
        <f>IF(X13=0,0,X13/TrAvia_act!X11*1000)</f>
        <v>261.17323896260791</v>
      </c>
      <c r="Y39" s="88">
        <f>IF(Y13=0,0,Y13/TrAvia_act!Y11*1000)</f>
        <v>282.14625889954522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29240.945675889536</v>
      </c>
      <c r="C41" s="54">
        <f>IF(C3=0,0,C3/TrAvia_act!C23*1000000)</f>
        <v>27854.427354264295</v>
      </c>
      <c r="D41" s="54">
        <f>IF(D3=0,0,D3/TrAvia_act!D23*1000000)</f>
        <v>31056.809958755442</v>
      </c>
      <c r="E41" s="54">
        <f>IF(E3=0,0,E3/TrAvia_act!E23*1000000)</f>
        <v>32473.837990623837</v>
      </c>
      <c r="F41" s="54">
        <f>IF(F3=0,0,F3/TrAvia_act!F23*1000000)</f>
        <v>29779.139223663482</v>
      </c>
      <c r="G41" s="54">
        <f>IF(G3=0,0,G3/TrAvia_act!G23*1000000)</f>
        <v>28401.741762235029</v>
      </c>
      <c r="H41" s="54">
        <f>IF(H3=0,0,H3/TrAvia_act!H23*1000000)</f>
        <v>25131.867479341417</v>
      </c>
      <c r="I41" s="54">
        <f>IF(I3=0,0,I3/TrAvia_act!I23*1000000)</f>
        <v>25192.899113082054</v>
      </c>
      <c r="J41" s="54">
        <f>IF(J3=0,0,J3/TrAvia_act!J23*1000000)</f>
        <v>27603.180748392428</v>
      </c>
      <c r="K41" s="54">
        <f>IF(K3=0,0,K3/TrAvia_act!K23*1000000)</f>
        <v>27358.967129341538</v>
      </c>
      <c r="L41" s="54">
        <f>IF(L3=0,0,L3/TrAvia_act!L23*1000000)</f>
        <v>28648.999626602828</v>
      </c>
      <c r="M41" s="54">
        <f>IF(M3=0,0,M3/TrAvia_act!M23*1000000)</f>
        <v>29044.406111522014</v>
      </c>
      <c r="N41" s="54">
        <f>IF(N3=0,0,N3/TrAvia_act!N23*1000000)</f>
        <v>27608.453945749869</v>
      </c>
      <c r="O41" s="54">
        <f>IF(O3=0,0,O3/TrAvia_act!O23*1000000)</f>
        <v>26895.574761620686</v>
      </c>
      <c r="P41" s="54">
        <f>IF(P3=0,0,P3/TrAvia_act!P23*1000000)</f>
        <v>27317.29141068141</v>
      </c>
      <c r="Q41" s="54">
        <f>IF(Q3=0,0,Q3/TrAvia_act!Q23*1000000)</f>
        <v>28038.827867887201</v>
      </c>
      <c r="R41" s="54">
        <f>IF(R3=0,0,R3/TrAvia_act!R23*1000000)</f>
        <v>28769.550568405961</v>
      </c>
      <c r="S41" s="54">
        <f>IF(S3=0,0,S3/TrAvia_act!S23*1000000)</f>
        <v>30768.721632711113</v>
      </c>
      <c r="T41" s="54">
        <f>IF(T3=0,0,T3/TrAvia_act!T23*1000000)</f>
        <v>31878.101676748269</v>
      </c>
      <c r="U41" s="54">
        <f>IF(U3=0,0,U3/TrAvia_act!U23*1000000)</f>
        <v>32751.227307220917</v>
      </c>
      <c r="V41" s="54">
        <f>IF(V3=0,0,V3/TrAvia_act!V23*1000000)</f>
        <v>48676.716246305841</v>
      </c>
      <c r="W41" s="54">
        <f>IF(W3=0,0,W3/TrAvia_act!W23*1000000)</f>
        <v>50598.837709546911</v>
      </c>
      <c r="X41" s="54">
        <f>IF(X3=0,0,X3/TrAvia_act!X23*1000000)</f>
        <v>41187.42311057639</v>
      </c>
      <c r="Y41" s="54">
        <f>IF(Y3=0,0,Y3/TrAvia_act!Y23*1000000)</f>
        <v>39063.3449678326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28058.692996996051</v>
      </c>
      <c r="C42" s="11">
        <f>IF(C6=0,0,C6/TrAvia_act!C24*1000000)</f>
        <v>26539.626772977917</v>
      </c>
      <c r="D42" s="11">
        <f>IF(D6=0,0,D6/TrAvia_act!D24*1000000)</f>
        <v>29014.991385452831</v>
      </c>
      <c r="E42" s="11">
        <f>IF(E6=0,0,E6/TrAvia_act!E24*1000000)</f>
        <v>29782.061802350196</v>
      </c>
      <c r="F42" s="11">
        <f>IF(F6=0,0,F6/TrAvia_act!F24*1000000)</f>
        <v>27390.416149251538</v>
      </c>
      <c r="G42" s="11">
        <f>IF(G6=0,0,G6/TrAvia_act!G24*1000000)</f>
        <v>26061.13089844153</v>
      </c>
      <c r="H42" s="11">
        <f>IF(H6=0,0,H6/TrAvia_act!H24*1000000)</f>
        <v>22632.27335692801</v>
      </c>
      <c r="I42" s="11">
        <f>IF(I6=0,0,I6/TrAvia_act!I24*1000000)</f>
        <v>22209.848815922745</v>
      </c>
      <c r="J42" s="11">
        <f>IF(J6=0,0,J6/TrAvia_act!J24*1000000)</f>
        <v>24467.209328093759</v>
      </c>
      <c r="K42" s="11">
        <f>IF(K6=0,0,K6/TrAvia_act!K24*1000000)</f>
        <v>25059.262667693922</v>
      </c>
      <c r="L42" s="11">
        <f>IF(L6=0,0,L6/TrAvia_act!L24*1000000)</f>
        <v>25672.560457624379</v>
      </c>
      <c r="M42" s="11">
        <f>IF(M6=0,0,M6/TrAvia_act!M24*1000000)</f>
        <v>26194.470532045321</v>
      </c>
      <c r="N42" s="11">
        <f>IF(N6=0,0,N6/TrAvia_act!N24*1000000)</f>
        <v>25412.812026439551</v>
      </c>
      <c r="O42" s="11">
        <f>IF(O6=0,0,O6/TrAvia_act!O24*1000000)</f>
        <v>24960.293916994102</v>
      </c>
      <c r="P42" s="11">
        <f>IF(P6=0,0,P6/TrAvia_act!P24*1000000)</f>
        <v>25415.669573592968</v>
      </c>
      <c r="Q42" s="11">
        <f>IF(Q6=0,0,Q6/TrAvia_act!Q24*1000000)</f>
        <v>25566.31465562325</v>
      </c>
      <c r="R42" s="11">
        <f>IF(R6=0,0,R6/TrAvia_act!R24*1000000)</f>
        <v>26323.579193327849</v>
      </c>
      <c r="S42" s="11">
        <f>IF(S6=0,0,S6/TrAvia_act!S24*1000000)</f>
        <v>28150.131746670551</v>
      </c>
      <c r="T42" s="11">
        <f>IF(T6=0,0,T6/TrAvia_act!T24*1000000)</f>
        <v>29383.805510677976</v>
      </c>
      <c r="U42" s="11">
        <f>IF(U6=0,0,U6/TrAvia_act!U24*1000000)</f>
        <v>30369.133794438541</v>
      </c>
      <c r="V42" s="11">
        <f>IF(V6=0,0,V6/TrAvia_act!V24*1000000)</f>
        <v>37390.942471299313</v>
      </c>
      <c r="W42" s="11">
        <f>IF(W6=0,0,W6/TrAvia_act!W24*1000000)</f>
        <v>42544.783597090849</v>
      </c>
      <c r="X42" s="11">
        <f>IF(X6=0,0,X6/TrAvia_act!X24*1000000)</f>
        <v>34751.211608571837</v>
      </c>
      <c r="Y42" s="11">
        <f>IF(Y6=0,0,Y6/TrAvia_act!Y24*1000000)</f>
        <v>33019.090936976972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17091.206142387528</v>
      </c>
      <c r="C44" s="84">
        <f>IF(C8=0,0,C8/TrAvia_act!C26*1000000)</f>
        <v>16441.867665460828</v>
      </c>
      <c r="D44" s="84">
        <f>IF(D8=0,0,D8/TrAvia_act!D26*1000000)</f>
        <v>18829.555659101188</v>
      </c>
      <c r="E44" s="84">
        <f>IF(E8=0,0,E8/TrAvia_act!E26*1000000)</f>
        <v>19222.902988941827</v>
      </c>
      <c r="F44" s="84">
        <f>IF(F8=0,0,F8/TrAvia_act!F26*1000000)</f>
        <v>17063.413414904175</v>
      </c>
      <c r="G44" s="84">
        <f>IF(G8=0,0,G8/TrAvia_act!G26*1000000)</f>
        <v>16541.70374482192</v>
      </c>
      <c r="H44" s="84">
        <f>IF(H8=0,0,H8/TrAvia_act!H26*1000000)</f>
        <v>14433.838607181435</v>
      </c>
      <c r="I44" s="84">
        <f>IF(I8=0,0,I8/TrAvia_act!I26*1000000)</f>
        <v>14498.854101842287</v>
      </c>
      <c r="J44" s="84">
        <f>IF(J8=0,0,J8/TrAvia_act!J26*1000000)</f>
        <v>16022.413487302334</v>
      </c>
      <c r="K44" s="84">
        <f>IF(K8=0,0,K8/TrAvia_act!K26*1000000)</f>
        <v>16200.442179852611</v>
      </c>
      <c r="L44" s="84">
        <f>IF(L8=0,0,L8/TrAvia_act!L26*1000000)</f>
        <v>16759.465254392482</v>
      </c>
      <c r="M44" s="84">
        <f>IF(M8=0,0,M8/TrAvia_act!M26*1000000)</f>
        <v>17159.551091356629</v>
      </c>
      <c r="N44" s="84">
        <f>IF(N8=0,0,N8/TrAvia_act!N26*1000000)</f>
        <v>16615.088847454597</v>
      </c>
      <c r="O44" s="84">
        <f>IF(O8=0,0,O8/TrAvia_act!O26*1000000)</f>
        <v>16269.733458592047</v>
      </c>
      <c r="P44" s="84">
        <f>IF(P8=0,0,P8/TrAvia_act!P26*1000000)</f>
        <v>16585.73456610438</v>
      </c>
      <c r="Q44" s="84">
        <f>IF(Q8=0,0,Q8/TrAvia_act!Q26*1000000)</f>
        <v>16598.924660507739</v>
      </c>
      <c r="R44" s="84">
        <f>IF(R8=0,0,R8/TrAvia_act!R26*1000000)</f>
        <v>17130.548693993762</v>
      </c>
      <c r="S44" s="84">
        <f>IF(S8=0,0,S8/TrAvia_act!S26*1000000)</f>
        <v>18887.614822590946</v>
      </c>
      <c r="T44" s="84">
        <f>IF(T8=0,0,T8/TrAvia_act!T26*1000000)</f>
        <v>20057.871128788782</v>
      </c>
      <c r="U44" s="84">
        <f>IF(U8=0,0,U8/TrAvia_act!U26*1000000)</f>
        <v>20552.790810391984</v>
      </c>
      <c r="V44" s="84">
        <f>IF(V8=0,0,V8/TrAvia_act!V26*1000000)</f>
        <v>22590.756847551878</v>
      </c>
      <c r="W44" s="84">
        <f>IF(W8=0,0,W8/TrAvia_act!W26*1000000)</f>
        <v>28995.644273073518</v>
      </c>
      <c r="X44" s="84">
        <f>IF(X8=0,0,X8/TrAvia_act!X26*1000000)</f>
        <v>24953.928827892101</v>
      </c>
      <c r="Y44" s="84">
        <f>IF(Y8=0,0,Y8/TrAvia_act!Y26*1000000)</f>
        <v>23161.668998595218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112351.91480642078</v>
      </c>
      <c r="C45" s="84">
        <f>IF(C9=0,0,C9/TrAvia_act!C27*1000000)</f>
        <v>108005.56619507384</v>
      </c>
      <c r="D45" s="84">
        <f>IF(D9=0,0,D9/TrAvia_act!D27*1000000)</f>
        <v>125938.43151060652</v>
      </c>
      <c r="E45" s="84">
        <f>IF(E9=0,0,E9/TrAvia_act!E27*1000000)</f>
        <v>124451.32403986652</v>
      </c>
      <c r="F45" s="84">
        <f>IF(F9=0,0,F9/TrAvia_act!F27*1000000)</f>
        <v>109950.82136303761</v>
      </c>
      <c r="G45" s="84">
        <f>IF(G9=0,0,G9/TrAvia_act!G27*1000000)</f>
        <v>91038.791854829702</v>
      </c>
      <c r="H45" s="84">
        <f>IF(H9=0,0,H9/TrAvia_act!H27*1000000)</f>
        <v>80746.945776057648</v>
      </c>
      <c r="I45" s="84">
        <f>IF(I9=0,0,I9/TrAvia_act!I27*1000000)</f>
        <v>72948.461058092027</v>
      </c>
      <c r="J45" s="84">
        <f>IF(J9=0,0,J9/TrAvia_act!J27*1000000)</f>
        <v>73104.579623409387</v>
      </c>
      <c r="K45" s="84">
        <f>IF(K9=0,0,K9/TrAvia_act!K27*1000000)</f>
        <v>70890.508020865309</v>
      </c>
      <c r="L45" s="84">
        <f>IF(L9=0,0,L9/TrAvia_act!L27*1000000)</f>
        <v>68654.299525722308</v>
      </c>
      <c r="M45" s="84">
        <f>IF(M9=0,0,M9/TrAvia_act!M27*1000000)</f>
        <v>68559.103125840033</v>
      </c>
      <c r="N45" s="84">
        <f>IF(N9=0,0,N9/TrAvia_act!N27*1000000)</f>
        <v>64393.112226589277</v>
      </c>
      <c r="O45" s="84">
        <f>IF(O9=0,0,O9/TrAvia_act!O27*1000000)</f>
        <v>62930.764506867185</v>
      </c>
      <c r="P45" s="84">
        <f>IF(P9=0,0,P9/TrAvia_act!P27*1000000)</f>
        <v>64719.298399138119</v>
      </c>
      <c r="Q45" s="84">
        <f>IF(Q9=0,0,Q9/TrAvia_act!Q27*1000000)</f>
        <v>68198.316872912401</v>
      </c>
      <c r="R45" s="84">
        <f>IF(R9=0,0,R9/TrAvia_act!R27*1000000)</f>
        <v>76332.802327681798</v>
      </c>
      <c r="S45" s="84">
        <f>IF(S9=0,0,S9/TrAvia_act!S27*1000000)</f>
        <v>74900.135668505289</v>
      </c>
      <c r="T45" s="84">
        <f>IF(T9=0,0,T9/TrAvia_act!T27*1000000)</f>
        <v>70410.193599327074</v>
      </c>
      <c r="U45" s="84">
        <f>IF(U9=0,0,U9/TrAvia_act!U27*1000000)</f>
        <v>70362.001860482502</v>
      </c>
      <c r="V45" s="84">
        <f>IF(V9=0,0,V9/TrAvia_act!V27*1000000)</f>
        <v>104495.53606214341</v>
      </c>
      <c r="W45" s="84">
        <f>IF(W9=0,0,W9/TrAvia_act!W27*1000000)</f>
        <v>93344.092667708988</v>
      </c>
      <c r="X45" s="84">
        <f>IF(X9=0,0,X9/TrAvia_act!X27*1000000)</f>
        <v>74690.595760606506</v>
      </c>
      <c r="Y45" s="84">
        <f>IF(Y9=0,0,Y9/TrAvia_act!Y27*1000000)</f>
        <v>73149.74705674393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40550.375445062644</v>
      </c>
      <c r="C46" s="13">
        <f>IF(C10=0,0,C10/TrAvia_act!C28*1000000)</f>
        <v>42642.847761585952</v>
      </c>
      <c r="D46" s="13">
        <f>IF(D10=0,0,D10/TrAvia_act!D28*1000000)</f>
        <v>50995.854234950129</v>
      </c>
      <c r="E46" s="13">
        <f>IF(E10=0,0,E10/TrAvia_act!E28*1000000)</f>
        <v>57082.842286669904</v>
      </c>
      <c r="F46" s="13">
        <f>IF(F10=0,0,F10/TrAvia_act!F28*1000000)</f>
        <v>50088.167821376883</v>
      </c>
      <c r="G46" s="13">
        <f>IF(G10=0,0,G10/TrAvia_act!G28*1000000)</f>
        <v>46091.085684359219</v>
      </c>
      <c r="H46" s="13">
        <f>IF(H10=0,0,H10/TrAvia_act!H28*1000000)</f>
        <v>36385.927789891386</v>
      </c>
      <c r="I46" s="13">
        <f>IF(I10=0,0,I10/TrAvia_act!I28*1000000)</f>
        <v>37821.178527111791</v>
      </c>
      <c r="J46" s="13">
        <f>IF(J10=0,0,J10/TrAvia_act!J28*1000000)</f>
        <v>43995.105333275955</v>
      </c>
      <c r="K46" s="13">
        <f>IF(K10=0,0,K10/TrAvia_act!K28*1000000)</f>
        <v>43115.867902739381</v>
      </c>
      <c r="L46" s="13">
        <f>IF(L10=0,0,L10/TrAvia_act!L28*1000000)</f>
        <v>47469.965857119882</v>
      </c>
      <c r="M46" s="13">
        <f>IF(M10=0,0,M10/TrAvia_act!M28*1000000)</f>
        <v>48523.291137970096</v>
      </c>
      <c r="N46" s="13">
        <f>IF(N10=0,0,N10/TrAvia_act!N28*1000000)</f>
        <v>43938.769683337057</v>
      </c>
      <c r="O46" s="13">
        <f>IF(O10=0,0,O10/TrAvia_act!O28*1000000)</f>
        <v>41467.005714954568</v>
      </c>
      <c r="P46" s="13">
        <f>IF(P10=0,0,P10/TrAvia_act!P28*1000000)</f>
        <v>42996.498022043976</v>
      </c>
      <c r="Q46" s="13">
        <f>IF(Q10=0,0,Q10/TrAvia_act!Q28*1000000)</f>
        <v>46665.248109141248</v>
      </c>
      <c r="R46" s="13">
        <f>IF(R10=0,0,R10/TrAvia_act!R28*1000000)</f>
        <v>49217.159730864354</v>
      </c>
      <c r="S46" s="13">
        <f>IF(S10=0,0,S10/TrAvia_act!S28*1000000)</f>
        <v>51379.906887101024</v>
      </c>
      <c r="T46" s="13">
        <f>IF(T10=0,0,T10/TrAvia_act!T28*1000000)</f>
        <v>49560.343488146405</v>
      </c>
      <c r="U46" s="13">
        <f>IF(U10=0,0,U10/TrAvia_act!U28*1000000)</f>
        <v>50931.688419655373</v>
      </c>
      <c r="V46" s="13">
        <f>IF(V10=0,0,V10/TrAvia_act!V28*1000000)</f>
        <v>71060.159994118585</v>
      </c>
      <c r="W46" s="13">
        <f>IF(W10=0,0,W10/TrAvia_act!W28*1000000)</f>
        <v>66523.287377997622</v>
      </c>
      <c r="X46" s="13">
        <f>IF(X10=0,0,X10/TrAvia_act!X28*1000000)</f>
        <v>70788.477899617137</v>
      </c>
      <c r="Y46" s="13">
        <f>IF(Y10=0,0,Y10/TrAvia_act!Y28*1000000)</f>
        <v>73621.369641095298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15417.561045789895</v>
      </c>
      <c r="C48" s="102">
        <f>IF(C12=0,0,C12/TrAvia_act!C30*1000000)</f>
        <v>14868.64120818799</v>
      </c>
      <c r="D48" s="102">
        <f>IF(D12=0,0,D12/TrAvia_act!D30*1000000)</f>
        <v>17155.457992818494</v>
      </c>
      <c r="E48" s="102">
        <f>IF(E12=0,0,E12/TrAvia_act!E30*1000000)</f>
        <v>16876.790416122254</v>
      </c>
      <c r="F48" s="102">
        <f>IF(F12=0,0,F12/TrAvia_act!F30*1000000)</f>
        <v>14924.507161845886</v>
      </c>
      <c r="G48" s="102">
        <f>IF(G12=0,0,G12/TrAvia_act!G30*1000000)</f>
        <v>14772.369400578886</v>
      </c>
      <c r="H48" s="102">
        <f>IF(H12=0,0,H12/TrAvia_act!H30*1000000)</f>
        <v>13916.025426831702</v>
      </c>
      <c r="I48" s="102">
        <f>IF(I12=0,0,I12/TrAvia_act!I30*1000000)</f>
        <v>14098.088041279036</v>
      </c>
      <c r="J48" s="102">
        <f>IF(J12=0,0,J12/TrAvia_act!J30*1000000)</f>
        <v>15354.87011473438</v>
      </c>
      <c r="K48" s="102">
        <f>IF(K12=0,0,K12/TrAvia_act!K30*1000000)</f>
        <v>14485.975364343594</v>
      </c>
      <c r="L48" s="102">
        <f>IF(L12=0,0,L12/TrAvia_act!L30*1000000)</f>
        <v>14821.508516294642</v>
      </c>
      <c r="M48" s="102">
        <f>IF(M12=0,0,M12/TrAvia_act!M30*1000000)</f>
        <v>15076.768384616971</v>
      </c>
      <c r="N48" s="102">
        <f>IF(N12=0,0,N12/TrAvia_act!N30*1000000)</f>
        <v>14757.766901186795</v>
      </c>
      <c r="O48" s="102">
        <f>IF(O12=0,0,O12/TrAvia_act!O30*1000000)</f>
        <v>14204.261739638183</v>
      </c>
      <c r="P48" s="102">
        <f>IF(P12=0,0,P12/TrAvia_act!P30*1000000)</f>
        <v>14384.486535215776</v>
      </c>
      <c r="Q48" s="102">
        <f>IF(Q12=0,0,Q12/TrAvia_act!Q30*1000000)</f>
        <v>14550.554710918259</v>
      </c>
      <c r="R48" s="102">
        <f>IF(R12=0,0,R12/TrAvia_act!R30*1000000)</f>
        <v>14692.731141740105</v>
      </c>
      <c r="S48" s="102">
        <f>IF(S12=0,0,S12/TrAvia_act!S30*1000000)</f>
        <v>16819.312279012418</v>
      </c>
      <c r="T48" s="102">
        <f>IF(T12=0,0,T12/TrAvia_act!T30*1000000)</f>
        <v>18153.44601570343</v>
      </c>
      <c r="U48" s="102">
        <f>IF(U12=0,0,U12/TrAvia_act!U30*1000000)</f>
        <v>18954.089922300707</v>
      </c>
      <c r="V48" s="102">
        <f>IF(V12=0,0,V12/TrAvia_act!V30*1000000)</f>
        <v>21605.676245274524</v>
      </c>
      <c r="W48" s="102">
        <f>IF(W12=0,0,W12/TrAvia_act!W30*1000000)</f>
        <v>25919.265863435274</v>
      </c>
      <c r="X48" s="102">
        <f>IF(X12=0,0,X12/TrAvia_act!X30*1000000)</f>
        <v>19809.82162005757</v>
      </c>
      <c r="Y48" s="102">
        <f>IF(Y12=0,0,Y12/TrAvia_act!Y30*1000000)</f>
        <v>19663.23069327651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125956.86312115633</v>
      </c>
      <c r="C49" s="86">
        <f>IF(C13=0,0,C13/TrAvia_act!C31*1000000)</f>
        <v>121084.20529365509</v>
      </c>
      <c r="D49" s="86">
        <f>IF(D13=0,0,D13/TrAvia_act!D31*1000000)</f>
        <v>141188.60196380061</v>
      </c>
      <c r="E49" s="86">
        <f>IF(E13=0,0,E13/TrAvia_act!E31*1000000)</f>
        <v>139521.41727485985</v>
      </c>
      <c r="F49" s="86">
        <f>IF(F13=0,0,F13/TrAvia_act!F31*1000000)</f>
        <v>123265.01582411287</v>
      </c>
      <c r="G49" s="86">
        <f>IF(G13=0,0,G13/TrAvia_act!G31*1000000)</f>
        <v>111727.33430324584</v>
      </c>
      <c r="H49" s="86">
        <f>IF(H13=0,0,H13/TrAvia_act!H31*1000000)</f>
        <v>101747.15380246782</v>
      </c>
      <c r="I49" s="86">
        <f>IF(I13=0,0,I13/TrAvia_act!I31*1000000)</f>
        <v>93983.051399703079</v>
      </c>
      <c r="J49" s="86">
        <f>IF(J13=0,0,J13/TrAvia_act!J31*1000000)</f>
        <v>92907.364217282069</v>
      </c>
      <c r="K49" s="86">
        <f>IF(K13=0,0,K13/TrAvia_act!K31*1000000)</f>
        <v>96434.805892951452</v>
      </c>
      <c r="L49" s="86">
        <f>IF(L13=0,0,L13/TrAvia_act!L31*1000000)</f>
        <v>95839.11524497981</v>
      </c>
      <c r="M49" s="86">
        <f>IF(M13=0,0,M13/TrAvia_act!M31*1000000)</f>
        <v>94240.911389369488</v>
      </c>
      <c r="N49" s="86">
        <f>IF(N13=0,0,N13/TrAvia_act!N31*1000000)</f>
        <v>90833.214532288286</v>
      </c>
      <c r="O49" s="86">
        <f>IF(O13=0,0,O13/TrAvia_act!O31*1000000)</f>
        <v>93504.999700226763</v>
      </c>
      <c r="P49" s="86">
        <f>IF(P13=0,0,P13/TrAvia_act!P31*1000000)</f>
        <v>99977.63465031136</v>
      </c>
      <c r="Q49" s="86">
        <f>IF(Q13=0,0,Q13/TrAvia_act!Q31*1000000)</f>
        <v>103632.34605081982</v>
      </c>
      <c r="R49" s="86">
        <f>IF(R13=0,0,R13/TrAvia_act!R31*1000000)</f>
        <v>114661.95488936984</v>
      </c>
      <c r="S49" s="86">
        <f>IF(S13=0,0,S13/TrAvia_act!S31*1000000)</f>
        <v>113226.34522288082</v>
      </c>
      <c r="T49" s="86">
        <f>IF(T13=0,0,T13/TrAvia_act!T31*1000000)</f>
        <v>105483.07997376364</v>
      </c>
      <c r="U49" s="86">
        <f>IF(U13=0,0,U13/TrAvia_act!U31*1000000)</f>
        <v>109362.16867755736</v>
      </c>
      <c r="V49" s="86">
        <f>IF(V13=0,0,V13/TrAvia_act!V31*1000000)</f>
        <v>132013.72242876704</v>
      </c>
      <c r="W49" s="86">
        <f>IF(W13=0,0,W13/TrAvia_act!W31*1000000)</f>
        <v>109056.1168536434</v>
      </c>
      <c r="X49" s="86">
        <f>IF(X13=0,0,X13/TrAvia_act!X31*1000000)</f>
        <v>121283.31410651913</v>
      </c>
      <c r="Y49" s="86">
        <f>IF(Y13=0,0,Y13/TrAvia_act!Y31*1000000)</f>
        <v>141766.56872818433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0.86875195686714457</v>
      </c>
      <c r="C52" s="16">
        <f t="shared" si="36"/>
        <v>0.87500314098212584</v>
      </c>
      <c r="D52" s="16">
        <f t="shared" ref="D52:V52" si="37">IF(D6=0,0,D6/D$3)</f>
        <v>0.84747169641004638</v>
      </c>
      <c r="E52" s="16">
        <f t="shared" si="37"/>
        <v>0.82668511878915907</v>
      </c>
      <c r="F52" s="16">
        <f t="shared" si="37"/>
        <v>0.82298667079191223</v>
      </c>
      <c r="G52" s="16">
        <f t="shared" si="37"/>
        <v>0.81036381437027738</v>
      </c>
      <c r="H52" s="16">
        <f t="shared" si="37"/>
        <v>0.73687623257063817</v>
      </c>
      <c r="I52" s="16">
        <f t="shared" si="37"/>
        <v>0.71313498271091003</v>
      </c>
      <c r="J52" s="16">
        <f t="shared" si="37"/>
        <v>0.74404602707251055</v>
      </c>
      <c r="K52" s="16">
        <f t="shared" si="37"/>
        <v>0.79928799029185038</v>
      </c>
      <c r="L52" s="16">
        <f t="shared" si="37"/>
        <v>0.77374318611305781</v>
      </c>
      <c r="M52" s="16">
        <f t="shared" si="37"/>
        <v>0.78676572803049061</v>
      </c>
      <c r="N52" s="16">
        <f t="shared" si="37"/>
        <v>0.81138047286870663</v>
      </c>
      <c r="O52" s="16">
        <f t="shared" si="37"/>
        <v>0.81923877483377805</v>
      </c>
      <c r="P52" s="16">
        <f t="shared" si="37"/>
        <v>0.82975268598108276</v>
      </c>
      <c r="Q52" s="16">
        <f t="shared" si="37"/>
        <v>0.80496531942364691</v>
      </c>
      <c r="R52" s="16">
        <f t="shared" si="37"/>
        <v>0.81722317924779342</v>
      </c>
      <c r="S52" s="16">
        <f t="shared" si="37"/>
        <v>0.81176241588467546</v>
      </c>
      <c r="T52" s="16">
        <f t="shared" si="37"/>
        <v>0.80780449507686936</v>
      </c>
      <c r="U52" s="16">
        <f t="shared" si="37"/>
        <v>0.81984669589502934</v>
      </c>
      <c r="V52" s="16">
        <f t="shared" si="37"/>
        <v>0.51066844198384453</v>
      </c>
      <c r="W52" s="16">
        <f t="shared" ref="W52:Y52" si="38">IF(W6=0,0,W6/W$3)</f>
        <v>0.55840349808952405</v>
      </c>
      <c r="X52" s="16">
        <f t="shared" si="38"/>
        <v>0.69304379195589727</v>
      </c>
      <c r="Y52" s="16">
        <f t="shared" si="38"/>
        <v>0.71943934637333318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0.46825229699538989</v>
      </c>
      <c r="C54" s="103">
        <f t="shared" si="42"/>
        <v>0.48230158866521522</v>
      </c>
      <c r="D54" s="103">
        <f t="shared" ref="D54:V54" si="43">IF(D8=0,0,D8/D$3)</f>
        <v>0.49767541510570407</v>
      </c>
      <c r="E54" s="103">
        <f t="shared" si="43"/>
        <v>0.48004314505796436</v>
      </c>
      <c r="F54" s="103">
        <f t="shared" si="43"/>
        <v>0.45569583132338509</v>
      </c>
      <c r="G54" s="103">
        <f t="shared" si="43"/>
        <v>0.44863360041066114</v>
      </c>
      <c r="H54" s="103">
        <f t="shared" si="43"/>
        <v>0.41184578938871835</v>
      </c>
      <c r="I54" s="103">
        <f t="shared" si="43"/>
        <v>0.40412601475061266</v>
      </c>
      <c r="J54" s="103">
        <f t="shared" si="43"/>
        <v>0.41515754985711778</v>
      </c>
      <c r="K54" s="103">
        <f t="shared" si="43"/>
        <v>0.43302710318968934</v>
      </c>
      <c r="L54" s="103">
        <f t="shared" si="43"/>
        <v>0.41835760070475891</v>
      </c>
      <c r="M54" s="103">
        <f t="shared" si="43"/>
        <v>0.42480130433903712</v>
      </c>
      <c r="N54" s="103">
        <f t="shared" si="43"/>
        <v>0.43280422954059844</v>
      </c>
      <c r="O54" s="103">
        <f t="shared" si="43"/>
        <v>0.43454313290379759</v>
      </c>
      <c r="P54" s="103">
        <f t="shared" si="43"/>
        <v>0.44214676679348469</v>
      </c>
      <c r="Q54" s="103">
        <f t="shared" si="43"/>
        <v>0.43179751408685796</v>
      </c>
      <c r="R54" s="103">
        <f t="shared" si="43"/>
        <v>0.44924047649709614</v>
      </c>
      <c r="S54" s="103">
        <f t="shared" si="43"/>
        <v>0.45459238739188079</v>
      </c>
      <c r="T54" s="103">
        <f t="shared" si="43"/>
        <v>0.44929008886728616</v>
      </c>
      <c r="U54" s="103">
        <f t="shared" si="43"/>
        <v>0.44549612969912911</v>
      </c>
      <c r="V54" s="103">
        <f t="shared" si="43"/>
        <v>0.25278214569701835</v>
      </c>
      <c r="W54" s="103">
        <f t="shared" ref="W54:Y54" si="44">IF(W8=0,0,W8/W$3)</f>
        <v>0.30043761127775331</v>
      </c>
      <c r="X54" s="103">
        <f t="shared" si="44"/>
        <v>0.39962656009591185</v>
      </c>
      <c r="Y54" s="103">
        <f t="shared" si="44"/>
        <v>0.40514337850004645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0.40049965987175473</v>
      </c>
      <c r="C55" s="103">
        <f t="shared" si="45"/>
        <v>0.39270155231691056</v>
      </c>
      <c r="D55" s="103">
        <f t="shared" ref="D55:V55" si="46">IF(D9=0,0,D9/D$3)</f>
        <v>0.34979628130434237</v>
      </c>
      <c r="E55" s="103">
        <f t="shared" si="46"/>
        <v>0.34664197373119471</v>
      </c>
      <c r="F55" s="103">
        <f t="shared" si="46"/>
        <v>0.36729083946852709</v>
      </c>
      <c r="G55" s="103">
        <f t="shared" si="46"/>
        <v>0.3617302139596163</v>
      </c>
      <c r="H55" s="103">
        <f t="shared" si="46"/>
        <v>0.32503044318191981</v>
      </c>
      <c r="I55" s="103">
        <f t="shared" si="46"/>
        <v>0.30900896796029736</v>
      </c>
      <c r="J55" s="103">
        <f t="shared" si="46"/>
        <v>0.32888847721539272</v>
      </c>
      <c r="K55" s="103">
        <f t="shared" si="46"/>
        <v>0.36626088710216109</v>
      </c>
      <c r="L55" s="103">
        <f t="shared" si="46"/>
        <v>0.35538558540829895</v>
      </c>
      <c r="M55" s="103">
        <f t="shared" si="46"/>
        <v>0.36196442369145343</v>
      </c>
      <c r="N55" s="103">
        <f t="shared" si="46"/>
        <v>0.37857624332810819</v>
      </c>
      <c r="O55" s="103">
        <f t="shared" si="46"/>
        <v>0.38469564192998046</v>
      </c>
      <c r="P55" s="103">
        <f t="shared" si="46"/>
        <v>0.38760591918759801</v>
      </c>
      <c r="Q55" s="103">
        <f t="shared" si="46"/>
        <v>0.37316780533678889</v>
      </c>
      <c r="R55" s="103">
        <f t="shared" si="46"/>
        <v>0.36798270275069728</v>
      </c>
      <c r="S55" s="103">
        <f t="shared" si="46"/>
        <v>0.35717002849279467</v>
      </c>
      <c r="T55" s="103">
        <f t="shared" si="46"/>
        <v>0.35851440620958319</v>
      </c>
      <c r="U55" s="103">
        <f t="shared" si="46"/>
        <v>0.37435056619590024</v>
      </c>
      <c r="V55" s="103">
        <f t="shared" si="46"/>
        <v>0.25788629628682613</v>
      </c>
      <c r="W55" s="103">
        <f t="shared" ref="W55:Y55" si="47">IF(W9=0,0,W9/W$3)</f>
        <v>0.25796588681177074</v>
      </c>
      <c r="X55" s="103">
        <f t="shared" si="47"/>
        <v>0.29341723185998547</v>
      </c>
      <c r="Y55" s="103">
        <f t="shared" si="47"/>
        <v>0.31429596787328679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0.13124804313285543</v>
      </c>
      <c r="C56" s="17">
        <f t="shared" si="48"/>
        <v>0.12499685901787429</v>
      </c>
      <c r="D56" s="17">
        <f t="shared" ref="D56:V56" si="49">IF(D10=0,0,D10/D$3)</f>
        <v>0.15252830358995365</v>
      </c>
      <c r="E56" s="17">
        <f t="shared" si="49"/>
        <v>0.17331488121084082</v>
      </c>
      <c r="F56" s="17">
        <f t="shared" si="49"/>
        <v>0.17701332920808785</v>
      </c>
      <c r="G56" s="17">
        <f t="shared" si="49"/>
        <v>0.18963618562972254</v>
      </c>
      <c r="H56" s="17">
        <f t="shared" si="49"/>
        <v>0.26312376742936183</v>
      </c>
      <c r="I56" s="17">
        <f t="shared" si="49"/>
        <v>0.28686501728909003</v>
      </c>
      <c r="J56" s="17">
        <f t="shared" si="49"/>
        <v>0.25595397292748956</v>
      </c>
      <c r="K56" s="17">
        <f t="shared" si="49"/>
        <v>0.20071200970814965</v>
      </c>
      <c r="L56" s="17">
        <f t="shared" si="49"/>
        <v>0.22625681388694219</v>
      </c>
      <c r="M56" s="17">
        <f t="shared" si="49"/>
        <v>0.21323427196950936</v>
      </c>
      <c r="N56" s="17">
        <f t="shared" si="49"/>
        <v>0.18861952713129349</v>
      </c>
      <c r="O56" s="17">
        <f t="shared" si="49"/>
        <v>0.18076122516622195</v>
      </c>
      <c r="P56" s="17">
        <f t="shared" si="49"/>
        <v>0.17024731401891713</v>
      </c>
      <c r="Q56" s="17">
        <f t="shared" si="49"/>
        <v>0.1950346805763532</v>
      </c>
      <c r="R56" s="17">
        <f t="shared" si="49"/>
        <v>0.18277682075220669</v>
      </c>
      <c r="S56" s="17">
        <f t="shared" si="49"/>
        <v>0.18823758411532451</v>
      </c>
      <c r="T56" s="17">
        <f t="shared" si="49"/>
        <v>0.19219550492313056</v>
      </c>
      <c r="U56" s="17">
        <f t="shared" si="49"/>
        <v>0.18015330410497057</v>
      </c>
      <c r="V56" s="17">
        <f t="shared" si="49"/>
        <v>0.48933155801615541</v>
      </c>
      <c r="W56" s="17">
        <f t="shared" ref="W56:Y56" si="50">IF(W10=0,0,W10/W$3)</f>
        <v>0.44159650191047606</v>
      </c>
      <c r="X56" s="17">
        <f t="shared" si="50"/>
        <v>0.30695620804410273</v>
      </c>
      <c r="Y56" s="17">
        <f t="shared" si="50"/>
        <v>0.28056065362666666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3.8555627683070665E-2</v>
      </c>
      <c r="C58" s="104">
        <f t="shared" si="54"/>
        <v>3.2187046172939202E-2</v>
      </c>
      <c r="D58" s="104">
        <f t="shared" ref="D58:V58" si="55">IF(D12=0,0,D12/D$3)</f>
        <v>3.7312276875856601E-2</v>
      </c>
      <c r="E58" s="104">
        <f t="shared" si="55"/>
        <v>3.4443087210904978E-2</v>
      </c>
      <c r="F58" s="104">
        <f t="shared" si="55"/>
        <v>3.5624899813488611E-2</v>
      </c>
      <c r="G58" s="104">
        <f t="shared" si="55"/>
        <v>4.1146048170960577E-2</v>
      </c>
      <c r="H58" s="104">
        <f t="shared" si="55"/>
        <v>7.4888230119424956E-2</v>
      </c>
      <c r="I58" s="104">
        <f t="shared" si="55"/>
        <v>7.5176013629182081E-2</v>
      </c>
      <c r="J58" s="104">
        <f t="shared" si="55"/>
        <v>5.6341137516296255E-2</v>
      </c>
      <c r="K58" s="104">
        <f t="shared" si="55"/>
        <v>4.387556270958029E-2</v>
      </c>
      <c r="L58" s="104">
        <f t="shared" si="55"/>
        <v>4.2175884165915958E-2</v>
      </c>
      <c r="M58" s="104">
        <f t="shared" si="55"/>
        <v>3.8262216293586566E-2</v>
      </c>
      <c r="N58" s="104">
        <f t="shared" si="55"/>
        <v>3.9051371258627975E-2</v>
      </c>
      <c r="O58" s="104">
        <f t="shared" si="55"/>
        <v>4.063166169034553E-2</v>
      </c>
      <c r="P58" s="104">
        <f t="shared" si="55"/>
        <v>3.7916972734673419E-2</v>
      </c>
      <c r="Q58" s="104">
        <f t="shared" si="55"/>
        <v>3.888955454799245E-2</v>
      </c>
      <c r="R58" s="104">
        <f t="shared" si="55"/>
        <v>3.5720365654157982E-2</v>
      </c>
      <c r="S58" s="104">
        <f t="shared" si="55"/>
        <v>3.9530038620494937E-2</v>
      </c>
      <c r="T58" s="104">
        <f t="shared" si="55"/>
        <v>4.508112770974667E-2</v>
      </c>
      <c r="U58" s="104">
        <f t="shared" si="55"/>
        <v>4.3330062006344851E-2</v>
      </c>
      <c r="V58" s="104">
        <f t="shared" si="55"/>
        <v>8.2137839789528461E-2</v>
      </c>
      <c r="W58" s="104">
        <f t="shared" ref="W58:Y58" si="56">IF(W12=0,0,W12/W$3)</f>
        <v>8.8024855883822778E-2</v>
      </c>
      <c r="X58" s="104">
        <f t="shared" si="56"/>
        <v>4.2745339586885187E-2</v>
      </c>
      <c r="Y58" s="104">
        <f t="shared" si="56"/>
        <v>4.1820139225580671E-2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9.2692415449784765E-2</v>
      </c>
      <c r="C59" s="105">
        <f t="shared" si="57"/>
        <v>9.2809812844935086E-2</v>
      </c>
      <c r="D59" s="105">
        <f t="shared" ref="D59:V59" si="58">IF(D13=0,0,D13/D$3)</f>
        <v>0.11521602671409704</v>
      </c>
      <c r="E59" s="105">
        <f t="shared" si="58"/>
        <v>0.13887179399993588</v>
      </c>
      <c r="F59" s="105">
        <f t="shared" si="58"/>
        <v>0.14138842939459925</v>
      </c>
      <c r="G59" s="105">
        <f t="shared" si="58"/>
        <v>0.14849013745876197</v>
      </c>
      <c r="H59" s="105">
        <f t="shared" si="58"/>
        <v>0.18823553730993689</v>
      </c>
      <c r="I59" s="105">
        <f t="shared" si="58"/>
        <v>0.21168900365990795</v>
      </c>
      <c r="J59" s="105">
        <f t="shared" si="58"/>
        <v>0.19961283541119332</v>
      </c>
      <c r="K59" s="105">
        <f t="shared" si="58"/>
        <v>0.15683644699856936</v>
      </c>
      <c r="L59" s="105">
        <f t="shared" si="58"/>
        <v>0.18408092972102622</v>
      </c>
      <c r="M59" s="105">
        <f t="shared" si="58"/>
        <v>0.17497205567592278</v>
      </c>
      <c r="N59" s="105">
        <f t="shared" si="58"/>
        <v>0.1495681558726655</v>
      </c>
      <c r="O59" s="105">
        <f t="shared" si="58"/>
        <v>0.14012956347587641</v>
      </c>
      <c r="P59" s="105">
        <f t="shared" si="58"/>
        <v>0.13233034128424373</v>
      </c>
      <c r="Q59" s="105">
        <f t="shared" si="58"/>
        <v>0.15614512602836075</v>
      </c>
      <c r="R59" s="105">
        <f t="shared" si="58"/>
        <v>0.14705645509804871</v>
      </c>
      <c r="S59" s="105">
        <f t="shared" si="58"/>
        <v>0.14870754549482959</v>
      </c>
      <c r="T59" s="105">
        <f t="shared" si="58"/>
        <v>0.14711437721338388</v>
      </c>
      <c r="U59" s="105">
        <f t="shared" si="58"/>
        <v>0.13682324209862573</v>
      </c>
      <c r="V59" s="105">
        <f t="shared" si="58"/>
        <v>0.40719371822662698</v>
      </c>
      <c r="W59" s="105">
        <f t="shared" ref="W59:Y59" si="59">IF(W13=0,0,W13/W$3)</f>
        <v>0.35357164602665325</v>
      </c>
      <c r="X59" s="105">
        <f t="shared" si="59"/>
        <v>0.26421086845721753</v>
      </c>
      <c r="Y59" s="105">
        <f t="shared" si="59"/>
        <v>0.23874051440108601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17552065</v>
      </c>
      <c r="C4" s="11">
        <f t="shared" si="0"/>
        <v>16945756</v>
      </c>
      <c r="D4" s="11">
        <f t="shared" ref="D4" si="1">SUM(D5:D7)</f>
        <v>11435858</v>
      </c>
      <c r="E4" s="11">
        <f t="shared" ref="E4" si="2">SUM(E5:E7)</f>
        <v>12150850</v>
      </c>
      <c r="F4" s="11">
        <f t="shared" ref="F4" si="3">SUM(F5:F7)</f>
        <v>13157390</v>
      </c>
      <c r="G4" s="11">
        <f t="shared" ref="G4" si="4">SUM(G5:G7)</f>
        <v>13406410</v>
      </c>
      <c r="H4" s="11">
        <f t="shared" ref="H4" si="5">SUM(H5:H7)</f>
        <v>13700990</v>
      </c>
      <c r="I4" s="11">
        <f t="shared" ref="I4" si="6">SUM(I5:I7)</f>
        <v>15301391</v>
      </c>
      <c r="J4" s="11">
        <f t="shared" ref="J4" si="7">SUM(J5:J7)</f>
        <v>16536029</v>
      </c>
      <c r="K4" s="11">
        <f t="shared" ref="K4" si="8">SUM(K5:K7)</f>
        <v>16147957</v>
      </c>
      <c r="L4" s="11">
        <f t="shared" ref="L4" si="9">SUM(L5:L7)</f>
        <v>17008659</v>
      </c>
      <c r="M4" s="11">
        <f t="shared" ref="M4" si="10">SUM(M5:M7)</f>
        <v>18044836</v>
      </c>
      <c r="N4" s="11">
        <f t="shared" ref="N4" si="11">SUM(N5:N7)</f>
        <v>18295729</v>
      </c>
      <c r="O4" s="11">
        <f t="shared" ref="O4" si="12">SUM(O5:O7)</f>
        <v>18369619</v>
      </c>
      <c r="P4" s="11">
        <f t="shared" ref="P4" si="13">SUM(P5:P7)</f>
        <v>19458025</v>
      </c>
      <c r="Q4" s="11">
        <f t="shared" ref="Q4" si="14">SUM(Q5:Q7)</f>
        <v>20660663</v>
      </c>
      <c r="R4" s="11">
        <f t="shared" ref="R4" si="15">SUM(R5:R7)</f>
        <v>20323104</v>
      </c>
      <c r="S4" s="11">
        <f t="shared" ref="S4" si="16">SUM(S5:S7)</f>
        <v>21897418</v>
      </c>
      <c r="T4" s="11">
        <f t="shared" ref="T4" si="17">SUM(T5:T7)</f>
        <v>22276062</v>
      </c>
      <c r="U4" s="11">
        <f t="shared" ref="U4" si="18">SUM(U5:U7)</f>
        <v>23044834</v>
      </c>
      <c r="V4" s="11">
        <f t="shared" ref="V4:W4" si="19">SUM(V5:V7)</f>
        <v>8556570</v>
      </c>
      <c r="W4" s="11">
        <f t="shared" si="19"/>
        <v>11073088</v>
      </c>
      <c r="X4" s="11">
        <f t="shared" ref="X4:Y4" si="20">SUM(X5:X7)</f>
        <v>20881659</v>
      </c>
      <c r="Y4" s="11">
        <f t="shared" si="20"/>
        <v>21480087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13900749</v>
      </c>
      <c r="C6" s="84">
        <v>13569842</v>
      </c>
      <c r="D6" s="84">
        <v>9521888</v>
      </c>
      <c r="E6" s="84">
        <v>10118684</v>
      </c>
      <c r="F6" s="84">
        <v>10800234</v>
      </c>
      <c r="G6" s="84">
        <v>10798962</v>
      </c>
      <c r="H6" s="84">
        <v>11063985</v>
      </c>
      <c r="I6" s="84">
        <v>12139152</v>
      </c>
      <c r="J6" s="84">
        <v>12645280</v>
      </c>
      <c r="K6" s="84">
        <v>12193168</v>
      </c>
      <c r="L6" s="84">
        <v>12678034</v>
      </c>
      <c r="M6" s="84">
        <v>13480164</v>
      </c>
      <c r="N6" s="84">
        <v>13549819</v>
      </c>
      <c r="O6" s="84">
        <v>13589183</v>
      </c>
      <c r="P6" s="84">
        <v>14537488</v>
      </c>
      <c r="Q6" s="84">
        <v>15623816</v>
      </c>
      <c r="R6" s="84">
        <v>15968247</v>
      </c>
      <c r="S6" s="84">
        <v>16870420</v>
      </c>
      <c r="T6" s="84">
        <v>16711091</v>
      </c>
      <c r="U6" s="84">
        <v>16879926</v>
      </c>
      <c r="V6" s="84">
        <v>6115687</v>
      </c>
      <c r="W6" s="84">
        <v>7812491</v>
      </c>
      <c r="X6" s="84">
        <v>15721415</v>
      </c>
      <c r="Y6" s="84">
        <v>16297467</v>
      </c>
      <c r="DA6" s="171" t="s">
        <v>364</v>
      </c>
    </row>
    <row r="7" spans="1:105" ht="11.45" customHeight="1" x14ac:dyDescent="0.25">
      <c r="A7" s="85" t="s">
        <v>182</v>
      </c>
      <c r="B7" s="86">
        <v>3651316</v>
      </c>
      <c r="C7" s="86">
        <v>3375914</v>
      </c>
      <c r="D7" s="86">
        <v>1913970</v>
      </c>
      <c r="E7" s="86">
        <v>2032166</v>
      </c>
      <c r="F7" s="86">
        <v>2357156</v>
      </c>
      <c r="G7" s="86">
        <v>2607448</v>
      </c>
      <c r="H7" s="86">
        <v>2637005</v>
      </c>
      <c r="I7" s="86">
        <v>3162239</v>
      </c>
      <c r="J7" s="86">
        <v>3890749</v>
      </c>
      <c r="K7" s="86">
        <v>3954789</v>
      </c>
      <c r="L7" s="86">
        <v>4330625</v>
      </c>
      <c r="M7" s="86">
        <v>4564672</v>
      </c>
      <c r="N7" s="86">
        <v>4745910</v>
      </c>
      <c r="O7" s="86">
        <v>4780436</v>
      </c>
      <c r="P7" s="86">
        <v>4920537</v>
      </c>
      <c r="Q7" s="86">
        <v>5036847</v>
      </c>
      <c r="R7" s="86">
        <v>4354857</v>
      </c>
      <c r="S7" s="86">
        <v>5026998</v>
      </c>
      <c r="T7" s="86">
        <v>5564971</v>
      </c>
      <c r="U7" s="86">
        <v>6164908</v>
      </c>
      <c r="V7" s="86">
        <v>2440883</v>
      </c>
      <c r="W7" s="86">
        <v>3260597</v>
      </c>
      <c r="X7" s="86">
        <v>5160244</v>
      </c>
      <c r="Y7" s="86">
        <v>5182620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124.71712793548159</v>
      </c>
      <c r="C12" s="14">
        <f>IF(C4=0,0,C4/TrAvia_act!C24)</f>
        <v>124.08200982653457</v>
      </c>
      <c r="D12" s="14">
        <f>IF(D4=0,0,D4/TrAvia_act!D24)</f>
        <v>114.02789909263137</v>
      </c>
      <c r="E12" s="14">
        <f>IF(E4=0,0,E4/TrAvia_act!E24)</f>
        <v>116.81150921448554</v>
      </c>
      <c r="F12" s="14">
        <f>IF(F4=0,0,F4/TrAvia_act!F24)</f>
        <v>119.36414192272451</v>
      </c>
      <c r="G12" s="14">
        <f>IF(G4=0,0,G4/TrAvia_act!G24)</f>
        <v>123.57391071905907</v>
      </c>
      <c r="H12" s="14">
        <f>IF(H4=0,0,H4/TrAvia_act!H24)</f>
        <v>115.59188046807111</v>
      </c>
      <c r="I12" s="14">
        <f>IF(I4=0,0,I4/TrAvia_act!I24)</f>
        <v>120.52325178405457</v>
      </c>
      <c r="J12" s="14">
        <f>IF(J4=0,0,J4/TrAvia_act!J24)</f>
        <v>127.18261317663708</v>
      </c>
      <c r="K12" s="14">
        <f>IF(K4=0,0,K4/TrAvia_act!K24)</f>
        <v>129.97180502567571</v>
      </c>
      <c r="L12" s="14">
        <f>IF(L4=0,0,L4/TrAvia_act!L24)</f>
        <v>136.31136097709532</v>
      </c>
      <c r="M12" s="14">
        <f>IF(M4=0,0,M4/TrAvia_act!M24)</f>
        <v>136.59568218978987</v>
      </c>
      <c r="N12" s="14">
        <f>IF(N4=0,0,N4/TrAvia_act!N24)</f>
        <v>141.527844174731</v>
      </c>
      <c r="O12" s="14">
        <f>IF(O4=0,0,O4/TrAvia_act!O24)</f>
        <v>146.04794956192657</v>
      </c>
      <c r="P12" s="14">
        <f>IF(P4=0,0,P4/TrAvia_act!P24)</f>
        <v>148.81627049681839</v>
      </c>
      <c r="Q12" s="14">
        <f>IF(Q4=0,0,Q4/TrAvia_act!Q24)</f>
        <v>150.76374051371863</v>
      </c>
      <c r="R12" s="14">
        <f>IF(R4=0,0,R4/TrAvia_act!R24)</f>
        <v>151.11125651530585</v>
      </c>
      <c r="S12" s="14">
        <f>IF(S4=0,0,S4/TrAvia_act!S24)</f>
        <v>159.51845970044874</v>
      </c>
      <c r="T12" s="14">
        <f>IF(T4=0,0,T4/TrAvia_act!T24)</f>
        <v>159.66214162844037</v>
      </c>
      <c r="U12" s="14">
        <f>IF(U4=0,0,U4/TrAvia_act!U24)</f>
        <v>166.37908279666158</v>
      </c>
      <c r="V12" s="14">
        <f>IF(V4=0,0,V4/TrAvia_act!V24)</f>
        <v>173.68808866515101</v>
      </c>
      <c r="W12" s="14">
        <f>IF(W4=0,0,W4/TrAvia_act!W24)</f>
        <v>185.35156760014061</v>
      </c>
      <c r="X12" s="14">
        <f>IF(X4=0,0,X4/TrAvia_act!X24)</f>
        <v>198.60624304505379</v>
      </c>
      <c r="Y12" s="14">
        <f>IF(Y4=0,0,Y4/TrAvia_act!Y24)</f>
        <v>186.62270740840495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111.62391192625189</v>
      </c>
      <c r="C14" s="87">
        <f>IF(C6=0,0,C6/TrAvia_act!C26)</f>
        <v>111.67858906409454</v>
      </c>
      <c r="D14" s="87">
        <f>IF(D6=0,0,D6/TrAvia_act!D26)</f>
        <v>104.92091721485791</v>
      </c>
      <c r="E14" s="87">
        <f>IF(E6=0,0,E6/TrAvia_act!E26)</f>
        <v>108.12523642114486</v>
      </c>
      <c r="F14" s="87">
        <f>IF(F6=0,0,F6/TrAvia_act!F26)</f>
        <v>110.2357155980158</v>
      </c>
      <c r="G14" s="87">
        <f>IF(G6=0,0,G6/TrAvia_act!G26)</f>
        <v>114.12256673641494</v>
      </c>
      <c r="H14" s="87">
        <f>IF(H6=0,0,H6/TrAvia_act!H26)</f>
        <v>106.51249097472925</v>
      </c>
      <c r="I14" s="87">
        <f>IF(I6=0,0,I6/TrAvia_act!I26)</f>
        <v>110.14664864031069</v>
      </c>
      <c r="J14" s="87">
        <f>IF(J6=0,0,J6/TrAvia_act!J26)</f>
        <v>114.14458897123205</v>
      </c>
      <c r="K14" s="87">
        <f>IF(K6=0,0,K6/TrAvia_act!K26)</f>
        <v>117.11025096766139</v>
      </c>
      <c r="L14" s="87">
        <f>IF(L6=0,0,L6/TrAvia_act!L26)</f>
        <v>122.67442693063175</v>
      </c>
      <c r="M14" s="87">
        <f>IF(M6=0,0,M6/TrAvia_act!M26)</f>
        <v>123.8041200187357</v>
      </c>
      <c r="N14" s="87">
        <f>IF(N6=0,0,N6/TrAvia_act!N26)</f>
        <v>128.47205339957713</v>
      </c>
      <c r="O14" s="87">
        <f>IF(O6=0,0,O6/TrAvia_act!O26)</f>
        <v>132.76910075035173</v>
      </c>
      <c r="P14" s="87">
        <f>IF(P6=0,0,P6/TrAvia_act!P26)</f>
        <v>136.16214899874493</v>
      </c>
      <c r="Q14" s="87">
        <f>IF(Q6=0,0,Q6/TrAvia_act!Q26)</f>
        <v>137.99032007348265</v>
      </c>
      <c r="R14" s="87">
        <f>IF(R6=0,0,R6/TrAvia_act!R26)</f>
        <v>140.55689350128074</v>
      </c>
      <c r="S14" s="87">
        <f>IF(S6=0,0,S6/TrAvia_act!S26)</f>
        <v>147.24732046224207</v>
      </c>
      <c r="T14" s="87">
        <f>IF(T6=0,0,T6/TrAvia_act!T26)</f>
        <v>147.00244548245499</v>
      </c>
      <c r="U14" s="87">
        <f>IF(U6=0,0,U6/TrAvia_act!U26)</f>
        <v>151.78288118981035</v>
      </c>
      <c r="V14" s="87">
        <f>IF(V6=0,0,V6/TrAvia_act!V26)</f>
        <v>151.52091075764332</v>
      </c>
      <c r="W14" s="87">
        <f>IF(W6=0,0,W6/TrAvia_act!W26)</f>
        <v>165.65224121114457</v>
      </c>
      <c r="X14" s="87">
        <f>IF(X6=0,0,X6/TrAvia_act!X26)</f>
        <v>186.20650242804689</v>
      </c>
      <c r="Y14" s="87">
        <f>IF(Y6=0,0,Y6/TrAvia_act!Y26)</f>
        <v>176.3756953312699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225.34814540517189</v>
      </c>
      <c r="C15" s="88">
        <f>IF(C7=0,0,C7/TrAvia_act!C27)</f>
        <v>224.14939247061949</v>
      </c>
      <c r="D15" s="88">
        <f>IF(D7=0,0,D7/TrAvia_act!D27)</f>
        <v>200.68889587920731</v>
      </c>
      <c r="E15" s="88">
        <f>IF(E7=0,0,E7/TrAvia_act!E27)</f>
        <v>194.6892124928147</v>
      </c>
      <c r="F15" s="88">
        <f>IF(F7=0,0,F7/TrAvia_act!F27)</f>
        <v>192.34239086087311</v>
      </c>
      <c r="G15" s="88">
        <f>IF(G7=0,0,G7/TrAvia_act!G27)</f>
        <v>188.08684988819158</v>
      </c>
      <c r="H15" s="88">
        <f>IF(H7=0,0,H7/TrAvia_act!H27)</f>
        <v>179.95120786133478</v>
      </c>
      <c r="I15" s="88">
        <f>IF(I7=0,0,I7/TrAvia_act!I27)</f>
        <v>188.8016598005851</v>
      </c>
      <c r="J15" s="88">
        <f>IF(J7=0,0,J7/TrAvia_act!J27)</f>
        <v>202.27444762152325</v>
      </c>
      <c r="K15" s="88">
        <f>IF(K7=0,0,K7/TrAvia_act!K27)</f>
        <v>196.5112546583851</v>
      </c>
      <c r="L15" s="88">
        <f>IF(L7=0,0,L7/TrAvia_act!L27)</f>
        <v>202.07293173440343</v>
      </c>
      <c r="M15" s="88">
        <f>IF(M7=0,0,M7/TrAvia_act!M27)</f>
        <v>196.57516902803496</v>
      </c>
      <c r="N15" s="88">
        <f>IF(N7=0,0,N7/TrAvia_act!N27)</f>
        <v>199.37447487817172</v>
      </c>
      <c r="O15" s="88">
        <f>IF(O7=0,0,O7/TrAvia_act!O27)</f>
        <v>204.06539742166822</v>
      </c>
      <c r="P15" s="88">
        <f>IF(P7=0,0,P7/TrAvia_act!P27)</f>
        <v>205.14204119069458</v>
      </c>
      <c r="Q15" s="88">
        <f>IF(Q7=0,0,Q7/TrAvia_act!Q27)</f>
        <v>211.49004870675176</v>
      </c>
      <c r="R15" s="88">
        <f>IF(R7=0,0,R7/TrAvia_act!R27)</f>
        <v>208.52600076613675</v>
      </c>
      <c r="S15" s="88">
        <f>IF(S7=0,0,S7/TrAvia_act!S27)</f>
        <v>221.45365638766521</v>
      </c>
      <c r="T15" s="88">
        <f>IF(T7=0,0,T7/TrAvia_act!T27)</f>
        <v>215.3543206532255</v>
      </c>
      <c r="U15" s="88">
        <f>IF(U7=0,0,U7/TrAvia_act!U27)</f>
        <v>225.84562406125215</v>
      </c>
      <c r="V15" s="88">
        <f>IF(V7=0,0,V7/TrAvia_act!V27)</f>
        <v>274.19490002246687</v>
      </c>
      <c r="W15" s="88">
        <f>IF(W7=0,0,W7/TrAvia_act!W27)</f>
        <v>259.20955560855396</v>
      </c>
      <c r="X15" s="88">
        <f>IF(X7=0,0,X7/TrAvia_act!X27)</f>
        <v>249.15474868427407</v>
      </c>
      <c r="Y15" s="88">
        <f>IF(Y7=0,0,Y7/TrAvia_act!Y27)</f>
        <v>228.33942811825352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0.57727509555143508</v>
      </c>
      <c r="C18" s="25">
        <f>IF(TrAvia_act!C34=0,0,(TrAvia_act!C34/TrAvia_act!C24)/TrAvia_png!C12)</f>
        <v>0.58386707562648721</v>
      </c>
      <c r="D18" s="25">
        <f>IF(TrAvia_act!D34=0,0,(TrAvia_act!D34/TrAvia_act!D24)/TrAvia_png!D12)</f>
        <v>0.60526582264312834</v>
      </c>
      <c r="E18" s="25">
        <f>IF(TrAvia_act!E34=0,0,(TrAvia_act!E34/TrAvia_act!E24)/TrAvia_png!E12)</f>
        <v>0.62943423711098401</v>
      </c>
      <c r="F18" s="25">
        <f>IF(TrAvia_act!F34=0,0,(TrAvia_act!F34/TrAvia_act!F24)/TrAvia_png!F12)</f>
        <v>0.67313084129907219</v>
      </c>
      <c r="G18" s="25">
        <f>IF(TrAvia_act!G34=0,0,(TrAvia_act!G34/TrAvia_act!G24)/TrAvia_png!G12)</f>
        <v>0.67034508119623371</v>
      </c>
      <c r="H18" s="25">
        <f>IF(TrAvia_act!H34=0,0,(TrAvia_act!H34/TrAvia_act!H24)/TrAvia_png!H12)</f>
        <v>0.70586789713736009</v>
      </c>
      <c r="I18" s="25">
        <f>IF(TrAvia_act!I34=0,0,(TrAvia_act!I34/TrAvia_act!I24)/TrAvia_png!I12)</f>
        <v>0.68531939351134807</v>
      </c>
      <c r="J18" s="25">
        <f>IF(TrAvia_act!J34=0,0,(TrAvia_act!J34/TrAvia_act!J24)/TrAvia_png!J12)</f>
        <v>0.67475722254720294</v>
      </c>
      <c r="K18" s="25">
        <f>IF(TrAvia_act!K34=0,0,(TrAvia_act!K34/TrAvia_act!K24)/TrAvia_png!K12)</f>
        <v>0.67098611917284634</v>
      </c>
      <c r="L18" s="25">
        <f>IF(TrAvia_act!L34=0,0,(TrAvia_act!L34/TrAvia_act!L24)/TrAvia_png!L12)</f>
        <v>0.6764026487920064</v>
      </c>
      <c r="M18" s="25">
        <f>IF(TrAvia_act!M34=0,0,(TrAvia_act!M34/TrAvia_act!M24)/TrAvia_png!M12)</f>
        <v>0.70136309357425031</v>
      </c>
      <c r="N18" s="25">
        <f>IF(TrAvia_act!N34=0,0,(TrAvia_act!N34/TrAvia_act!N24)/TrAvia_png!N12)</f>
        <v>0.71356866949658027</v>
      </c>
      <c r="O18" s="25">
        <f>IF(TrAvia_act!O34=0,0,(TrAvia_act!O34/TrAvia_act!O24)/TrAvia_png!O12)</f>
        <v>0.72331081009355713</v>
      </c>
      <c r="P18" s="25">
        <f>IF(TrAvia_act!P34=0,0,(TrAvia_act!P34/TrAvia_act!P24)/TrAvia_png!P12)</f>
        <v>0.74748516357646788</v>
      </c>
      <c r="Q18" s="25">
        <f>IF(TrAvia_act!Q34=0,0,(TrAvia_act!Q34/TrAvia_act!Q24)/TrAvia_png!Q12)</f>
        <v>0.75922742653515041</v>
      </c>
      <c r="R18" s="25">
        <f>IF(TrAvia_act!R34=0,0,(TrAvia_act!R34/TrAvia_act!R24)/TrAvia_png!R12)</f>
        <v>0.74201928012571305</v>
      </c>
      <c r="S18" s="25">
        <f>IF(TrAvia_act!S34=0,0,(TrAvia_act!S34/TrAvia_act!S24)/TrAvia_png!S12)</f>
        <v>0.75910196352830273</v>
      </c>
      <c r="T18" s="25">
        <f>IF(TrAvia_act!T34=0,0,(TrAvia_act!T34/TrAvia_act!T24)/TrAvia_png!T12)</f>
        <v>0.77532505520948902</v>
      </c>
      <c r="U18" s="25">
        <f>IF(TrAvia_act!U34=0,0,(TrAvia_act!U34/TrAvia_act!U24)/TrAvia_png!U12)</f>
        <v>0.76991945353132074</v>
      </c>
      <c r="V18" s="25">
        <f>IF(TrAvia_act!V34=0,0,(TrAvia_act!V34/TrAvia_act!V24)/TrAvia_png!V12)</f>
        <v>0.55029410149160241</v>
      </c>
      <c r="W18" s="25">
        <f>IF(TrAvia_act!W34=0,0,(TrAvia_act!W34/TrAvia_act!W24)/TrAvia_png!W12)</f>
        <v>0.61073514452337052</v>
      </c>
      <c r="X18" s="25">
        <f>IF(TrAvia_act!X34=0,0,(TrAvia_act!X34/TrAvia_act!X24)/TrAvia_png!X12)</f>
        <v>0.66873795803293212</v>
      </c>
      <c r="Y18" s="25">
        <f>IF(TrAvia_act!Y34=0,0,(TrAvia_act!Y34/TrAvia_act!Y24)/TrAvia_png!Y12)</f>
        <v>0.75328768454243211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0.56303282650452857</v>
      </c>
      <c r="C20" s="89">
        <f>IF(TrAvia_act!C36=0,0,(TrAvia_act!C36/TrAvia_act!C26)/TrAvia_png!C14)</f>
        <v>0.56831487057844898</v>
      </c>
      <c r="D20" s="89">
        <f>IF(TrAvia_act!D36=0,0,(TrAvia_act!D36/TrAvia_act!D26)/TrAvia_png!D14)</f>
        <v>0.58195790582707962</v>
      </c>
      <c r="E20" s="89">
        <f>IF(TrAvia_act!E36=0,0,(TrAvia_act!E36/TrAvia_act!E26)/TrAvia_png!E14)</f>
        <v>0.60817098349943521</v>
      </c>
      <c r="F20" s="89">
        <f>IF(TrAvia_act!F36=0,0,(TrAvia_act!F36/TrAvia_act!F26)/TrAvia_png!F14)</f>
        <v>0.65270419140918612</v>
      </c>
      <c r="G20" s="89">
        <f>IF(TrAvia_act!G36=0,0,(TrAvia_act!G36/TrAvia_act!G26)/TrAvia_png!G14)</f>
        <v>0.64552889435114225</v>
      </c>
      <c r="H20" s="89">
        <f>IF(TrAvia_act!H36=0,0,(TrAvia_act!H36/TrAvia_act!H26)/TrAvia_png!H14)</f>
        <v>0.68517383203249105</v>
      </c>
      <c r="I20" s="89">
        <f>IF(TrAvia_act!I36=0,0,(TrAvia_act!I36/TrAvia_act!I26)/TrAvia_png!I14)</f>
        <v>0.66109609633358235</v>
      </c>
      <c r="J20" s="89">
        <f>IF(TrAvia_act!J36=0,0,(TrAvia_act!J36/TrAvia_act!J26)/TrAvia_png!J14)</f>
        <v>0.64821735857173579</v>
      </c>
      <c r="K20" s="89">
        <f>IF(TrAvia_act!K36=0,0,(TrAvia_act!K36/TrAvia_act!K26)/TrAvia_png!K14)</f>
        <v>0.64392830476870322</v>
      </c>
      <c r="L20" s="89">
        <f>IF(TrAvia_act!L36=0,0,(TrAvia_act!L36/TrAvia_act!L26)/TrAvia_png!L14)</f>
        <v>0.65153327400762617</v>
      </c>
      <c r="M20" s="89">
        <f>IF(TrAvia_act!M36=0,0,(TrAvia_act!M36/TrAvia_act!M26)/TrAvia_png!M14)</f>
        <v>0.6790771239875123</v>
      </c>
      <c r="N20" s="89">
        <f>IF(TrAvia_act!N36=0,0,(TrAvia_act!N36/TrAvia_act!N26)/TrAvia_png!N14)</f>
        <v>0.69086369345597898</v>
      </c>
      <c r="O20" s="89">
        <f>IF(TrAvia_act!O36=0,0,(TrAvia_act!O36/TrAvia_act!O26)/TrAvia_png!O14)</f>
        <v>0.70335442535434256</v>
      </c>
      <c r="P20" s="89">
        <f>IF(TrAvia_act!P36=0,0,(TrAvia_act!P36/TrAvia_act!P26)/TrAvia_png!P14)</f>
        <v>0.7344689123733068</v>
      </c>
      <c r="Q20" s="89">
        <f>IF(TrAvia_act!Q36=0,0,(TrAvia_act!Q36/TrAvia_act!Q26)/TrAvia_png!Q14)</f>
        <v>0.75022299289750982</v>
      </c>
      <c r="R20" s="89">
        <f>IF(TrAvia_act!R36=0,0,(TrAvia_act!R36/TrAvia_act!R26)/TrAvia_png!R14)</f>
        <v>0.73918414463403526</v>
      </c>
      <c r="S20" s="89">
        <f>IF(TrAvia_act!S36=0,0,(TrAvia_act!S36/TrAvia_act!S26)/TrAvia_png!S14)</f>
        <v>0.76487722297370186</v>
      </c>
      <c r="T20" s="89">
        <f>IF(TrAvia_act!T36=0,0,(TrAvia_act!T36/TrAvia_act!T26)/TrAvia_png!T14)</f>
        <v>0.78109903177476558</v>
      </c>
      <c r="U20" s="89">
        <f>IF(TrAvia_act!U36=0,0,(TrAvia_act!U36/TrAvia_act!U26)/TrAvia_png!U14)</f>
        <v>0.78446238449149608</v>
      </c>
      <c r="V20" s="89">
        <f>IF(TrAvia_act!V36=0,0,(TrAvia_act!V36/TrAvia_act!V26)/TrAvia_png!V14)</f>
        <v>0.5836175069129601</v>
      </c>
      <c r="W20" s="89">
        <f>IF(TrAvia_act!W36=0,0,(TrAvia_act!W36/TrAvia_act!W26)/TrAvia_png!W14)</f>
        <v>0.65033854118999945</v>
      </c>
      <c r="X20" s="89">
        <f>IF(TrAvia_act!X36=0,0,(TrAvia_act!X36/TrAvia_act!X26)/TrAvia_png!X14)</f>
        <v>0.66553710337142047</v>
      </c>
      <c r="Y20" s="89">
        <f>IF(TrAvia_act!Y36=0,0,(TrAvia_act!Y36/TrAvia_act!Y26)/TrAvia_png!Y14)</f>
        <v>0.74155885696838653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0.63149615097679845</v>
      </c>
      <c r="C21" s="90">
        <f>IF(TrAvia_act!C37=0,0,(TrAvia_act!C37/TrAvia_act!C27)/TrAvia_png!C15)</f>
        <v>0.6463808023545623</v>
      </c>
      <c r="D21" s="90">
        <f>IF(TrAvia_act!D37=0,0,(TrAvia_act!D37/TrAvia_act!D27)/TrAvia_png!D15)</f>
        <v>0.72122133575761371</v>
      </c>
      <c r="E21" s="90">
        <f>IF(TrAvia_act!E37=0,0,(TrAvia_act!E37/TrAvia_act!E27)/TrAvia_png!E15)</f>
        <v>0.73530951703748604</v>
      </c>
      <c r="F21" s="90">
        <f>IF(TrAvia_act!F37=0,0,(TrAvia_act!F37/TrAvia_act!F27)/TrAvia_png!F15)</f>
        <v>0.76672354311721425</v>
      </c>
      <c r="G21" s="90">
        <f>IF(TrAvia_act!G37=0,0,(TrAvia_act!G37/TrAvia_act!G27)/TrAvia_png!G15)</f>
        <v>0.77312337580653567</v>
      </c>
      <c r="H21" s="90">
        <f>IF(TrAvia_act!H37=0,0,(TrAvia_act!H37/TrAvia_act!H27)/TrAvia_png!H15)</f>
        <v>0.79269322583764534</v>
      </c>
      <c r="I21" s="90">
        <f>IF(TrAvia_act!I37=0,0,(TrAvia_act!I37/TrAvia_act!I27)/TrAvia_png!I15)</f>
        <v>0.77830739548781736</v>
      </c>
      <c r="J21" s="90">
        <f>IF(TrAvia_act!J37=0,0,(TrAvia_act!J37/TrAvia_act!J27)/TrAvia_png!J15)</f>
        <v>0.76101413892286562</v>
      </c>
      <c r="K21" s="90">
        <f>IF(TrAvia_act!K37=0,0,(TrAvia_act!K37/TrAvia_act!K27)/TrAvia_png!K15)</f>
        <v>0.75440914799752901</v>
      </c>
      <c r="L21" s="90">
        <f>IF(TrAvia_act!L37=0,0,(TrAvia_act!L37/TrAvia_act!L27)/TrAvia_png!L15)</f>
        <v>0.74920848607302637</v>
      </c>
      <c r="M21" s="90">
        <f>IF(TrAvia_act!M37=0,0,(TrAvia_act!M37/TrAvia_act!M27)/TrAvia_png!M15)</f>
        <v>0.76717691873589156</v>
      </c>
      <c r="N21" s="90">
        <f>IF(TrAvia_act!N37=0,0,(TrAvia_act!N37/TrAvia_act!N27)/TrAvia_png!N15)</f>
        <v>0.77839255274541652</v>
      </c>
      <c r="O21" s="90">
        <f>IF(TrAvia_act!O37=0,0,(TrAvia_act!O37/TrAvia_act!O27)/TrAvia_png!O15)</f>
        <v>0.78004014696567436</v>
      </c>
      <c r="P21" s="90">
        <f>IF(TrAvia_act!P37=0,0,(TrAvia_act!P37/TrAvia_act!P27)/TrAvia_png!P15)</f>
        <v>0.78594104667844178</v>
      </c>
      <c r="Q21" s="90">
        <f>IF(TrAvia_act!Q37=0,0,(TrAvia_act!Q37/TrAvia_act!Q27)/TrAvia_png!Q15)</f>
        <v>0.78715831550968296</v>
      </c>
      <c r="R21" s="90">
        <f>IF(TrAvia_act!R37=0,0,(TrAvia_act!R37/TrAvia_act!R27)/TrAvia_png!R15)</f>
        <v>0.75241506207896147</v>
      </c>
      <c r="S21" s="90">
        <f>IF(TrAvia_act!S37=0,0,(TrAvia_act!S37/TrAvia_act!S27)/TrAvia_png!S15)</f>
        <v>0.73972040569739628</v>
      </c>
      <c r="T21" s="90">
        <f>IF(TrAvia_act!T37=0,0,(TrAvia_act!T37/TrAvia_act!T27)/TrAvia_png!T15)</f>
        <v>0.75798633991084585</v>
      </c>
      <c r="U21" s="90">
        <f>IF(TrAvia_act!U37=0,0,(TrAvia_act!U37/TrAvia_act!U27)/TrAvia_png!U15)</f>
        <v>0.73009994634145392</v>
      </c>
      <c r="V21" s="90">
        <f>IF(TrAvia_act!V37=0,0,(TrAvia_act!V37/TrAvia_act!V27)/TrAvia_png!V15)</f>
        <v>0.46680156320479105</v>
      </c>
      <c r="W21" s="90">
        <f>IF(TrAvia_act!W37=0,0,(TrAvia_act!W37/TrAvia_act!W27)/TrAvia_png!W15)</f>
        <v>0.51584418436255686</v>
      </c>
      <c r="X21" s="90">
        <f>IF(TrAvia_act!X37=0,0,(TrAvia_act!X37/TrAvia_act!X27)/TrAvia_png!X15)</f>
        <v>0.67848981559786703</v>
      </c>
      <c r="Y21" s="90">
        <f>IF(TrAvia_act!Y37=0,0,(TrAvia_act!Y37/TrAvia_act!Y27)/TrAvia_png!Y15)</f>
        <v>0.7901706086882696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5.6337577749461264E-2</v>
      </c>
      <c r="C24" s="23">
        <f>IF(TrAvia_ene!C6=0,0,TrAvia_ene!C6/(C12*TrAvia_act!C14))</f>
        <v>5.4129417028062163E-2</v>
      </c>
      <c r="D24" s="23">
        <f>IF(TrAvia_ene!D6=0,0,TrAvia_ene!D6/(D12*TrAvia_act!D14))</f>
        <v>6.763907390744428E-2</v>
      </c>
      <c r="E24" s="23">
        <f>IF(TrAvia_ene!E6=0,0,TrAvia_ene!E6/(E12*TrAvia_act!E14))</f>
        <v>6.5325690762575564E-2</v>
      </c>
      <c r="F24" s="23">
        <f>IF(TrAvia_ene!F6=0,0,TrAvia_ene!F6/(F12*TrAvia_act!F14))</f>
        <v>5.7169969084143062E-2</v>
      </c>
      <c r="G24" s="23">
        <f>IF(TrAvia_ene!G6=0,0,TrAvia_ene!G6/(G12*TrAvia_act!G14))</f>
        <v>5.1919402564169902E-2</v>
      </c>
      <c r="H24" s="23">
        <f>IF(TrAvia_ene!H6=0,0,TrAvia_ene!H6/(H12*TrAvia_act!H14))</f>
        <v>4.8574845260256121E-2</v>
      </c>
      <c r="I24" s="23">
        <f>IF(TrAvia_ene!I6=0,0,TrAvia_ene!I6/(I12*TrAvia_act!I14))</f>
        <v>4.4697961225867361E-2</v>
      </c>
      <c r="J24" s="23">
        <f>IF(TrAvia_ene!J6=0,0,TrAvia_ene!J6/(J12*TrAvia_act!J14))</f>
        <v>4.4105647466614384E-2</v>
      </c>
      <c r="K24" s="23">
        <f>IF(TrAvia_ene!K6=0,0,TrAvia_ene!K6/(K12*TrAvia_act!K14))</f>
        <v>4.3046963548812447E-2</v>
      </c>
      <c r="L24" s="23">
        <f>IF(TrAvia_ene!L6=0,0,TrAvia_ene!L6/(L12*TrAvia_act!L14))</f>
        <v>4.0140656183406682E-2</v>
      </c>
      <c r="M24" s="23">
        <f>IF(TrAvia_ene!M6=0,0,TrAvia_ene!M6/(M12*TrAvia_act!M14))</f>
        <v>4.0709989967957438E-2</v>
      </c>
      <c r="N24" s="23">
        <f>IF(TrAvia_ene!N6=0,0,TrAvia_ene!N6/(N12*TrAvia_act!N14))</f>
        <v>3.8244242619574376E-2</v>
      </c>
      <c r="O24" s="23">
        <f>IF(TrAvia_ene!O6=0,0,TrAvia_ene!O6/(O12*TrAvia_act!O14))</f>
        <v>3.6387662612323395E-2</v>
      </c>
      <c r="P24" s="23">
        <f>IF(TrAvia_ene!P6=0,0,TrAvia_ene!P6/(P12*TrAvia_act!P14))</f>
        <v>3.6165509550646548E-2</v>
      </c>
      <c r="Q24" s="23">
        <f>IF(TrAvia_ene!Q6=0,0,TrAvia_ene!Q6/(Q12*TrAvia_act!Q14))</f>
        <v>3.5865518675388064E-2</v>
      </c>
      <c r="R24" s="23">
        <f>IF(TrAvia_ene!R6=0,0,TrAvia_ene!R6/(R12*TrAvia_act!R14))</f>
        <v>3.7270901225827144E-2</v>
      </c>
      <c r="S24" s="23">
        <f>IF(TrAvia_ene!S6=0,0,TrAvia_ene!S6/(S12*TrAvia_act!S14))</f>
        <v>3.6619250917092179E-2</v>
      </c>
      <c r="T24" s="23">
        <f>IF(TrAvia_ene!T6=0,0,TrAvia_ene!T6/(T12*TrAvia_act!T14))</f>
        <v>3.6361470447459743E-2</v>
      </c>
      <c r="U24" s="23">
        <f>IF(TrAvia_ene!U6=0,0,TrAvia_ene!U6/(U12*TrAvia_act!U14))</f>
        <v>3.5262510747650619E-2</v>
      </c>
      <c r="V24" s="23">
        <f>IF(TrAvia_ene!V6=0,0,TrAvia_ene!V6/(V12*TrAvia_act!V14))</f>
        <v>3.9122607279596905E-2</v>
      </c>
      <c r="W24" s="23">
        <f>IF(TrAvia_ene!W6=0,0,TrAvia_ene!W6/(W12*TrAvia_act!W14))</f>
        <v>3.8349871191022761E-2</v>
      </c>
      <c r="X24" s="23">
        <f>IF(TrAvia_ene!X6=0,0,TrAvia_ene!X6/(X12*TrAvia_act!X14))</f>
        <v>3.2148721310156114E-2</v>
      </c>
      <c r="Y24" s="23">
        <f>IF(TrAvia_ene!Y6=0,0,TrAvia_ene!Y6/(Y12*TrAvia_act!Y14))</f>
        <v>3.3835340013679688E-2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5.1853433242861527E-2</v>
      </c>
      <c r="C26" s="93">
        <f>IF(TrAvia_ene!C8=0,0,TrAvia_ene!C8/(C14*TrAvia_act!C16))</f>
        <v>4.9823936450284483E-2</v>
      </c>
      <c r="D26" s="93">
        <f>IF(TrAvia_ene!D8=0,0,TrAvia_ene!D8/(D14*TrAvia_act!D16))</f>
        <v>6.1944264685126406E-2</v>
      </c>
      <c r="E26" s="93">
        <f>IF(TrAvia_ene!E8=0,0,TrAvia_ene!E8/(E14*TrAvia_act!E16))</f>
        <v>5.9246327310244797E-2</v>
      </c>
      <c r="F26" s="93">
        <f>IF(TrAvia_ene!F8=0,0,TrAvia_ene!F8/(F14*TrAvia_act!F16))</f>
        <v>5.1323209384872052E-2</v>
      </c>
      <c r="G26" s="93">
        <f>IF(TrAvia_ene!G8=0,0,TrAvia_ene!G8/(G14*TrAvia_act!G16))</f>
        <v>4.8032861213360652E-2</v>
      </c>
      <c r="H26" s="93">
        <f>IF(TrAvia_ene!H8=0,0,TrAvia_ene!H8/(H14*TrAvia_act!H16))</f>
        <v>4.5183923222096543E-2</v>
      </c>
      <c r="I26" s="93">
        <f>IF(TrAvia_ene!I8=0,0,TrAvia_ene!I8/(I14*TrAvia_act!I16))</f>
        <v>4.390194938256347E-2</v>
      </c>
      <c r="J26" s="93">
        <f>IF(TrAvia_ene!J8=0,0,TrAvia_ene!J8/(J14*TrAvia_act!J16))</f>
        <v>4.620275452747475E-2</v>
      </c>
      <c r="K26" s="93">
        <f>IF(TrAvia_ene!K8=0,0,TrAvia_ene!K8/(K14*TrAvia_act!K16))</f>
        <v>4.5042654022545259E-2</v>
      </c>
      <c r="L26" s="93">
        <f>IF(TrAvia_ene!L8=0,0,TrAvia_ene!L8/(L14*TrAvia_act!L16))</f>
        <v>4.2678597965628444E-2</v>
      </c>
      <c r="M26" s="93">
        <f>IF(TrAvia_ene!M8=0,0,TrAvia_ene!M8/(M14*TrAvia_act!M16))</f>
        <v>4.3698544006689891E-2</v>
      </c>
      <c r="N26" s="93">
        <f>IF(TrAvia_ene!N8=0,0,TrAvia_ene!N8/(N14*TrAvia_act!N16))</f>
        <v>4.1344144044770686E-2</v>
      </c>
      <c r="O26" s="93">
        <f>IF(TrAvia_ene!O8=0,0,TrAvia_ene!O8/(O14*TrAvia_act!O16))</f>
        <v>3.8682572563289233E-2</v>
      </c>
      <c r="P26" s="93">
        <f>IF(TrAvia_ene!P8=0,0,TrAvia_ene!P8/(P14*TrAvia_act!P16))</f>
        <v>3.7559461867740201E-2</v>
      </c>
      <c r="Q26" s="93">
        <f>IF(TrAvia_ene!Q8=0,0,TrAvia_ene!Q8/(Q14*TrAvia_act!Q16))</f>
        <v>3.6793102627224385E-2</v>
      </c>
      <c r="R26" s="93">
        <f>IF(TrAvia_ene!R8=0,0,TrAvia_ene!R8/(R14*TrAvia_act!R16))</f>
        <v>3.6572339218576874E-2</v>
      </c>
      <c r="S26" s="93">
        <f>IF(TrAvia_ene!S8=0,0,TrAvia_ene!S8/(S14*TrAvia_act!S16))</f>
        <v>3.8073348787348527E-2</v>
      </c>
      <c r="T26" s="93">
        <f>IF(TrAvia_ene!T8=0,0,TrAvia_ene!T8/(T14*TrAvia_act!T16))</f>
        <v>4.0113234105735932E-2</v>
      </c>
      <c r="U26" s="93">
        <f>IF(TrAvia_ene!U8=0,0,TrAvia_ene!U8/(U14*TrAvia_act!U16))</f>
        <v>3.9119786426906111E-2</v>
      </c>
      <c r="V26" s="93">
        <f>IF(TrAvia_ene!V8=0,0,TrAvia_ene!V8/(V14*TrAvia_act!V16))</f>
        <v>4.1432942716557286E-2</v>
      </c>
      <c r="W26" s="93">
        <f>IF(TrAvia_ene!W8=0,0,TrAvia_ene!W8/(W14*TrAvia_act!W16))</f>
        <v>4.5899740881056909E-2</v>
      </c>
      <c r="X26" s="93">
        <f>IF(TrAvia_ene!X8=0,0,TrAvia_ene!X8/(X14*TrAvia_act!X16))</f>
        <v>3.6118306621657624E-2</v>
      </c>
      <c r="Y26" s="93">
        <f>IF(TrAvia_ene!Y8=0,0,TrAvia_ene!Y8/(Y14*TrAvia_act!Y16))</f>
        <v>3.5888101653768913E-2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4.1578713295195406E-2</v>
      </c>
      <c r="C27" s="94">
        <f>IF(TrAvia_ene!C9=0,0,TrAvia_ene!C9/(C15*TrAvia_act!C17))</f>
        <v>4.018399647113656E-2</v>
      </c>
      <c r="D27" s="94">
        <f>IF(TrAvia_ene!D9=0,0,TrAvia_ene!D9/(D15*TrAvia_act!D17))</f>
        <v>5.2333592553433152E-2</v>
      </c>
      <c r="E27" s="94">
        <f>IF(TrAvia_ene!E9=0,0,TrAvia_ene!E9/(E15*TrAvia_act!E17))</f>
        <v>5.3309321723137515E-2</v>
      </c>
      <c r="F27" s="94">
        <f>IF(TrAvia_ene!F9=0,0,TrAvia_ene!F9/(F15*TrAvia_act!F17))</f>
        <v>4.767251049757814E-2</v>
      </c>
      <c r="G27" s="94">
        <f>IF(TrAvia_ene!G9=0,0,TrAvia_ene!G9/(G15*TrAvia_act!G17))</f>
        <v>4.3254298663572957E-2</v>
      </c>
      <c r="H27" s="94">
        <f>IF(TrAvia_ene!H9=0,0,TrAvia_ene!H9/(H15*TrAvia_act!H17))</f>
        <v>3.955686458410277E-2</v>
      </c>
      <c r="I27" s="94">
        <f>IF(TrAvia_ene!I9=0,0,TrAvia_ene!I9/(I15*TrAvia_act!I17))</f>
        <v>3.3535189679926136E-2</v>
      </c>
      <c r="J27" s="94">
        <f>IF(TrAvia_ene!J9=0,0,TrAvia_ene!J9/(J15*TrAvia_act!J17))</f>
        <v>3.0154791333930567E-2</v>
      </c>
      <c r="K27" s="94">
        <f>IF(TrAvia_ene!K9=0,0,TrAvia_ene!K9/(K15*TrAvia_act!K17))</f>
        <v>3.0670413049616454E-2</v>
      </c>
      <c r="L27" s="94">
        <f>IF(TrAvia_ene!L9=0,0,TrAvia_ene!L9/(L15*TrAvia_act!L17))</f>
        <v>2.859520236959141E-2</v>
      </c>
      <c r="M27" s="94">
        <f>IF(TrAvia_ene!M9=0,0,TrAvia_ene!M9/(M15*TrAvia_act!M17))</f>
        <v>2.9244820388954533E-2</v>
      </c>
      <c r="N27" s="94">
        <f>IF(TrAvia_ene!N9=0,0,TrAvia_ene!N9/(N15*TrAvia_act!N17))</f>
        <v>2.7751671968825956E-2</v>
      </c>
      <c r="O27" s="94">
        <f>IF(TrAvia_ene!O9=0,0,TrAvia_ene!O9/(O15*TrAvia_act!O17))</f>
        <v>2.7106493393812468E-2</v>
      </c>
      <c r="P27" s="94">
        <f>IF(TrAvia_ene!P9=0,0,TrAvia_ene!P9/(P15*TrAvia_act!P17))</f>
        <v>2.790248978379907E-2</v>
      </c>
      <c r="Q27" s="94">
        <f>IF(TrAvia_ene!Q9=0,0,TrAvia_ene!Q9/(Q15*TrAvia_act!Q17))</f>
        <v>2.7647417577849269E-2</v>
      </c>
      <c r="R27" s="94">
        <f>IF(TrAvia_ene!R9=0,0,TrAvia_ene!R9/(R15*TrAvia_act!R17))</f>
        <v>3.0578641832562616E-2</v>
      </c>
      <c r="S27" s="94">
        <f>IF(TrAvia_ene!S9=0,0,TrAvia_ene!S9/(S15*TrAvia_act!S17))</f>
        <v>2.7865998752358533E-2</v>
      </c>
      <c r="T27" s="94">
        <f>IF(TrAvia_ene!T9=0,0,TrAvia_ene!T9/(T15*TrAvia_act!T17))</f>
        <v>2.6445596490274378E-2</v>
      </c>
      <c r="U27" s="94">
        <f>IF(TrAvia_ene!U9=0,0,TrAvia_ene!U9/(U15*TrAvia_act!U17))</f>
        <v>2.5614365072408083E-2</v>
      </c>
      <c r="V27" s="94">
        <f>IF(TrAvia_ene!V9=0,0,TrAvia_ene!V9/(V15*TrAvia_act!V17))</f>
        <v>2.6959029702751689E-2</v>
      </c>
      <c r="W27" s="94">
        <f>IF(TrAvia_ene!W9=0,0,TrAvia_ene!W9/(W15*TrAvia_act!W17))</f>
        <v>2.5489283218122657E-2</v>
      </c>
      <c r="X27" s="94">
        <f>IF(TrAvia_ene!X9=0,0,TrAvia_ene!X9/(X15*TrAvia_act!X17))</f>
        <v>2.3973196319934661E-2</v>
      </c>
      <c r="Y27" s="94">
        <f>IF(TrAvia_ene!Y9=0,0,TrAvia_ene!Y9/(Y15*TrAvia_act!Y17))</f>
        <v>2.7567601106144493E-2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7496.8</v>
      </c>
      <c r="C3" s="54">
        <f t="shared" si="0"/>
        <v>7905.8530000000001</v>
      </c>
      <c r="D3" s="54">
        <f t="shared" si="0"/>
        <v>8287.6280000000006</v>
      </c>
      <c r="E3" s="54">
        <f t="shared" si="0"/>
        <v>8433.4050000000007</v>
      </c>
      <c r="F3" s="54">
        <f t="shared" si="0"/>
        <v>8543.0679999999993</v>
      </c>
      <c r="G3" s="54">
        <f t="shared" si="0"/>
        <v>8841.0779999999995</v>
      </c>
      <c r="H3" s="54">
        <f t="shared" si="0"/>
        <v>9238.4709999999995</v>
      </c>
      <c r="I3" s="54">
        <f t="shared" si="0"/>
        <v>9393.0869999999995</v>
      </c>
      <c r="J3" s="54">
        <f t="shared" si="0"/>
        <v>9126.3639999999996</v>
      </c>
      <c r="K3" s="54">
        <f t="shared" si="0"/>
        <v>7324.13</v>
      </c>
      <c r="L3" s="54">
        <f t="shared" si="0"/>
        <v>9327.8539999999994</v>
      </c>
      <c r="M3" s="54">
        <f t="shared" si="0"/>
        <v>9454.6830000000009</v>
      </c>
      <c r="N3" s="54">
        <f t="shared" si="0"/>
        <v>10625.572</v>
      </c>
      <c r="O3" s="54">
        <f t="shared" si="0"/>
        <v>10560.071</v>
      </c>
      <c r="P3" s="54">
        <f t="shared" si="0"/>
        <v>10641.514999999999</v>
      </c>
      <c r="Q3" s="54">
        <f t="shared" si="0"/>
        <v>10612.959000000001</v>
      </c>
      <c r="R3" s="54">
        <f t="shared" ref="R3:V3" si="1">SUM(R4:R5)</f>
        <v>10548.573</v>
      </c>
      <c r="S3" s="54">
        <f t="shared" si="1"/>
        <v>11263.18</v>
      </c>
      <c r="T3" s="54">
        <f t="shared" si="1"/>
        <v>8150.3459999999995</v>
      </c>
      <c r="U3" s="54">
        <f t="shared" si="1"/>
        <v>7959.7380000000003</v>
      </c>
      <c r="V3" s="54">
        <f t="shared" si="1"/>
        <v>7595.2389999999996</v>
      </c>
      <c r="W3" s="54">
        <f t="shared" ref="W3:Y3" si="2">SUM(W4:W5)</f>
        <v>8442.1880000000001</v>
      </c>
      <c r="X3" s="54">
        <f t="shared" si="2"/>
        <v>7791.241</v>
      </c>
      <c r="Y3" s="54">
        <f t="shared" si="2"/>
        <v>7141.2929999999997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281.8</v>
      </c>
      <c r="C4" s="56">
        <v>250.85300000000001</v>
      </c>
      <c r="D4" s="56">
        <v>214.62799999999999</v>
      </c>
      <c r="E4" s="56">
        <v>203.405</v>
      </c>
      <c r="F4" s="56">
        <v>151.06800000000001</v>
      </c>
      <c r="G4" s="56">
        <v>275.07799999999997</v>
      </c>
      <c r="H4" s="56">
        <v>330.471</v>
      </c>
      <c r="I4" s="56">
        <v>387.08699999999999</v>
      </c>
      <c r="J4" s="56">
        <v>380.36399999999998</v>
      </c>
      <c r="K4" s="56">
        <v>237.13</v>
      </c>
      <c r="L4" s="56">
        <v>257.85399999999998</v>
      </c>
      <c r="M4" s="56">
        <v>203.68299999999999</v>
      </c>
      <c r="N4" s="56">
        <v>205.572</v>
      </c>
      <c r="O4" s="56">
        <v>195.071</v>
      </c>
      <c r="P4" s="56">
        <v>190.51499999999999</v>
      </c>
      <c r="Q4" s="56">
        <v>186.959</v>
      </c>
      <c r="R4" s="56">
        <v>217.57300000000001</v>
      </c>
      <c r="S4" s="56">
        <v>165.18</v>
      </c>
      <c r="T4" s="56">
        <v>164.346</v>
      </c>
      <c r="U4" s="56">
        <v>192.738</v>
      </c>
      <c r="V4" s="56">
        <v>207.239</v>
      </c>
      <c r="W4" s="56">
        <v>262.18799999999999</v>
      </c>
      <c r="X4" s="56">
        <v>232.24100000000001</v>
      </c>
      <c r="Y4" s="56">
        <v>190.29300000000001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7215</v>
      </c>
      <c r="C5" s="58">
        <v>7655</v>
      </c>
      <c r="D5" s="58">
        <v>8073</v>
      </c>
      <c r="E5" s="58">
        <v>8230</v>
      </c>
      <c r="F5" s="58">
        <v>8392</v>
      </c>
      <c r="G5" s="58">
        <v>8566</v>
      </c>
      <c r="H5" s="58">
        <v>8908</v>
      </c>
      <c r="I5" s="58">
        <v>9006</v>
      </c>
      <c r="J5" s="58">
        <v>8746</v>
      </c>
      <c r="K5" s="58">
        <v>7087</v>
      </c>
      <c r="L5" s="58">
        <v>9070</v>
      </c>
      <c r="M5" s="58">
        <v>9251</v>
      </c>
      <c r="N5" s="58">
        <v>10420</v>
      </c>
      <c r="O5" s="58">
        <v>10365</v>
      </c>
      <c r="P5" s="58">
        <v>10451</v>
      </c>
      <c r="Q5" s="58">
        <v>10426</v>
      </c>
      <c r="R5" s="58">
        <v>10331</v>
      </c>
      <c r="S5" s="58">
        <v>11098</v>
      </c>
      <c r="T5" s="58">
        <v>7986</v>
      </c>
      <c r="U5" s="58">
        <v>7767</v>
      </c>
      <c r="V5" s="58">
        <v>7388</v>
      </c>
      <c r="W5" s="58">
        <v>8180</v>
      </c>
      <c r="X5" s="58">
        <v>7559</v>
      </c>
      <c r="Y5" s="58">
        <v>6951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20.295999999999999</v>
      </c>
      <c r="C7" s="59">
        <f t="shared" si="3"/>
        <v>20.425000000000001</v>
      </c>
      <c r="D7" s="59">
        <f t="shared" si="3"/>
        <v>19.904</v>
      </c>
      <c r="E7" s="59">
        <f t="shared" si="3"/>
        <v>21.2</v>
      </c>
      <c r="F7" s="59">
        <f t="shared" si="3"/>
        <v>20.186</v>
      </c>
      <c r="G7" s="59">
        <f t="shared" si="3"/>
        <v>19.733000000000001</v>
      </c>
      <c r="H7" s="59">
        <f t="shared" si="3"/>
        <v>16.320999999999998</v>
      </c>
      <c r="I7" s="59">
        <f t="shared" si="3"/>
        <v>16.776</v>
      </c>
      <c r="J7" s="59">
        <f t="shared" si="3"/>
        <v>15.713000000000001</v>
      </c>
      <c r="K7" s="59">
        <f t="shared" si="3"/>
        <v>14.200999999999999</v>
      </c>
      <c r="L7" s="59">
        <f t="shared" si="3"/>
        <v>19.303000000000001</v>
      </c>
      <c r="M7" s="59">
        <f t="shared" si="3"/>
        <v>18</v>
      </c>
      <c r="N7" s="59">
        <f t="shared" si="3"/>
        <v>19.181999999999999</v>
      </c>
      <c r="O7" s="59">
        <f t="shared" si="3"/>
        <v>17.018000000000001</v>
      </c>
      <c r="P7" s="59">
        <f t="shared" si="3"/>
        <v>16.701000000000001</v>
      </c>
      <c r="Q7" s="59">
        <f t="shared" si="3"/>
        <v>16.670999999999999</v>
      </c>
      <c r="R7" s="59">
        <f t="shared" ref="R7:V7" si="4">SUM(R8:R9)</f>
        <v>16.544</v>
      </c>
      <c r="S7" s="59">
        <f t="shared" si="4"/>
        <v>17.286000000000001</v>
      </c>
      <c r="T7" s="59">
        <f t="shared" si="4"/>
        <v>13.241</v>
      </c>
      <c r="U7" s="59">
        <f t="shared" si="4"/>
        <v>12.644</v>
      </c>
      <c r="V7" s="59">
        <f t="shared" si="4"/>
        <v>11.737</v>
      </c>
      <c r="W7" s="59">
        <f t="shared" ref="W7:Y7" si="5">SUM(W8:W9)</f>
        <v>12.388999999999999</v>
      </c>
      <c r="X7" s="59">
        <f t="shared" si="5"/>
        <v>10.338000000000001</v>
      </c>
      <c r="Y7" s="59">
        <f t="shared" si="5"/>
        <v>9.577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0.11799999999999999</v>
      </c>
      <c r="C8" s="60">
        <v>0.1</v>
      </c>
      <c r="D8" s="60">
        <v>0.08</v>
      </c>
      <c r="E8" s="60">
        <v>7.4999999999999997E-2</v>
      </c>
      <c r="F8" s="60">
        <v>5.2999999999999999E-2</v>
      </c>
      <c r="G8" s="60">
        <v>9.8000000000000004E-2</v>
      </c>
      <c r="H8" s="60">
        <v>0.115</v>
      </c>
      <c r="I8" s="60">
        <v>0.13</v>
      </c>
      <c r="J8" s="60">
        <v>0.127</v>
      </c>
      <c r="K8" s="60">
        <v>7.8E-2</v>
      </c>
      <c r="L8" s="60">
        <v>8.5000000000000006E-2</v>
      </c>
      <c r="M8" s="60">
        <v>7.1999999999999995E-2</v>
      </c>
      <c r="N8" s="60">
        <v>7.1999999999999995E-2</v>
      </c>
      <c r="O8" s="60">
        <v>6.7000000000000004E-2</v>
      </c>
      <c r="P8" s="60">
        <v>6.5000000000000002E-2</v>
      </c>
      <c r="Q8" s="60">
        <v>5.8999999999999997E-2</v>
      </c>
      <c r="R8" s="60">
        <v>6.7000000000000004E-2</v>
      </c>
      <c r="S8" s="60">
        <v>0.05</v>
      </c>
      <c r="T8" s="60">
        <v>5.0999999999999997E-2</v>
      </c>
      <c r="U8" s="60">
        <v>6.2E-2</v>
      </c>
      <c r="V8" s="60">
        <v>6.2E-2</v>
      </c>
      <c r="W8" s="60">
        <v>7.8E-2</v>
      </c>
      <c r="X8" s="60">
        <v>7.0000000000000007E-2</v>
      </c>
      <c r="Y8" s="60">
        <v>5.6000000000000001E-2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20.178000000000001</v>
      </c>
      <c r="C9" s="61">
        <v>20.324999999999999</v>
      </c>
      <c r="D9" s="61">
        <v>19.824000000000002</v>
      </c>
      <c r="E9" s="61">
        <v>21.125</v>
      </c>
      <c r="F9" s="61">
        <v>20.132999999999999</v>
      </c>
      <c r="G9" s="61">
        <v>19.635000000000002</v>
      </c>
      <c r="H9" s="61">
        <v>16.206</v>
      </c>
      <c r="I9" s="61">
        <v>16.646000000000001</v>
      </c>
      <c r="J9" s="61">
        <v>15.586</v>
      </c>
      <c r="K9" s="61">
        <v>14.122999999999999</v>
      </c>
      <c r="L9" s="61">
        <v>19.218</v>
      </c>
      <c r="M9" s="61">
        <v>17.928000000000001</v>
      </c>
      <c r="N9" s="61">
        <v>19.11</v>
      </c>
      <c r="O9" s="61">
        <v>16.951000000000001</v>
      </c>
      <c r="P9" s="61">
        <v>16.635999999999999</v>
      </c>
      <c r="Q9" s="61">
        <v>16.611999999999998</v>
      </c>
      <c r="R9" s="61">
        <v>16.477</v>
      </c>
      <c r="S9" s="61">
        <v>17.236000000000001</v>
      </c>
      <c r="T9" s="61">
        <v>13.19</v>
      </c>
      <c r="U9" s="61">
        <v>12.582000000000001</v>
      </c>
      <c r="V9" s="61">
        <v>11.675000000000001</v>
      </c>
      <c r="W9" s="61">
        <v>12.311</v>
      </c>
      <c r="X9" s="61">
        <v>10.268000000000001</v>
      </c>
      <c r="Y9" s="61">
        <v>9.5210000000000008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369.37327552227043</v>
      </c>
      <c r="C13" s="62">
        <f t="shared" si="6"/>
        <v>387.06746634026928</v>
      </c>
      <c r="D13" s="62">
        <f t="shared" si="6"/>
        <v>416.38002411575565</v>
      </c>
      <c r="E13" s="62">
        <f t="shared" si="6"/>
        <v>397.80212264150947</v>
      </c>
      <c r="F13" s="62">
        <f t="shared" ref="F13:V13" si="7">IF(F3=0,0,F3/F7)</f>
        <v>423.21747745962546</v>
      </c>
      <c r="G13" s="62">
        <f t="shared" si="7"/>
        <v>448.03516951299849</v>
      </c>
      <c r="H13" s="62">
        <f t="shared" si="7"/>
        <v>566.04809754304279</v>
      </c>
      <c r="I13" s="62">
        <f t="shared" si="7"/>
        <v>559.91219599427757</v>
      </c>
      <c r="J13" s="62">
        <f t="shared" si="7"/>
        <v>580.81613950232281</v>
      </c>
      <c r="K13" s="62">
        <f t="shared" si="7"/>
        <v>515.74748257164993</v>
      </c>
      <c r="L13" s="62">
        <f t="shared" si="7"/>
        <v>483.23338341190481</v>
      </c>
      <c r="M13" s="62">
        <f t="shared" si="7"/>
        <v>525.26016666666669</v>
      </c>
      <c r="N13" s="62">
        <f t="shared" si="7"/>
        <v>553.93452194765928</v>
      </c>
      <c r="O13" s="62">
        <f t="shared" si="7"/>
        <v>620.52362204724409</v>
      </c>
      <c r="P13" s="62">
        <f t="shared" si="7"/>
        <v>637.17831267588758</v>
      </c>
      <c r="Q13" s="62">
        <f t="shared" si="7"/>
        <v>636.61202087457264</v>
      </c>
      <c r="R13" s="62">
        <f t="shared" si="7"/>
        <v>637.60716876208903</v>
      </c>
      <c r="S13" s="62">
        <f t="shared" si="7"/>
        <v>651.57815573296307</v>
      </c>
      <c r="T13" s="62">
        <f t="shared" si="7"/>
        <v>615.53855448984211</v>
      </c>
      <c r="U13" s="62">
        <f t="shared" si="7"/>
        <v>629.52689022461243</v>
      </c>
      <c r="V13" s="62">
        <f t="shared" si="7"/>
        <v>647.11928090653487</v>
      </c>
      <c r="W13" s="62">
        <f t="shared" ref="W13:Y13" si="8">IF(W3=0,0,W3/W7)</f>
        <v>681.42610380175972</v>
      </c>
      <c r="X13" s="62">
        <f t="shared" si="8"/>
        <v>753.65070613271416</v>
      </c>
      <c r="Y13" s="62">
        <f t="shared" si="8"/>
        <v>745.67119139605302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2388.1355932203392</v>
      </c>
      <c r="C14" s="63">
        <f t="shared" si="6"/>
        <v>2508.5299999999997</v>
      </c>
      <c r="D14" s="63">
        <f t="shared" si="6"/>
        <v>2682.85</v>
      </c>
      <c r="E14" s="63">
        <f t="shared" si="6"/>
        <v>2712.0666666666666</v>
      </c>
      <c r="F14" s="63">
        <f t="shared" ref="F14:V14" si="9">IF(F4=0,0,F4/F8)</f>
        <v>2850.3396226415098</v>
      </c>
      <c r="G14" s="63">
        <f t="shared" si="9"/>
        <v>2806.9183673469383</v>
      </c>
      <c r="H14" s="63">
        <f t="shared" si="9"/>
        <v>2873.6608695652171</v>
      </c>
      <c r="I14" s="63">
        <f t="shared" si="9"/>
        <v>2977.5923076923077</v>
      </c>
      <c r="J14" s="63">
        <f t="shared" si="9"/>
        <v>2994.9921259842517</v>
      </c>
      <c r="K14" s="63">
        <f t="shared" si="9"/>
        <v>3040.1282051282051</v>
      </c>
      <c r="L14" s="63">
        <f t="shared" si="9"/>
        <v>3033.5764705882348</v>
      </c>
      <c r="M14" s="63">
        <f t="shared" si="9"/>
        <v>2828.9305555555557</v>
      </c>
      <c r="N14" s="63">
        <f t="shared" si="9"/>
        <v>2855.166666666667</v>
      </c>
      <c r="O14" s="63">
        <f t="shared" si="9"/>
        <v>2911.5074626865671</v>
      </c>
      <c r="P14" s="63">
        <f t="shared" si="9"/>
        <v>2930.9999999999995</v>
      </c>
      <c r="Q14" s="63">
        <f t="shared" si="9"/>
        <v>3168.7966101694919</v>
      </c>
      <c r="R14" s="63">
        <f t="shared" si="9"/>
        <v>3247.3582089552237</v>
      </c>
      <c r="S14" s="63">
        <f t="shared" si="9"/>
        <v>3303.6</v>
      </c>
      <c r="T14" s="63">
        <f t="shared" si="9"/>
        <v>3222.4705882352946</v>
      </c>
      <c r="U14" s="63">
        <f t="shared" si="9"/>
        <v>3108.6774193548385</v>
      </c>
      <c r="V14" s="63">
        <f t="shared" si="9"/>
        <v>3342.5645161290322</v>
      </c>
      <c r="W14" s="63">
        <f t="shared" ref="W14:Y14" si="10">IF(W4=0,0,W4/W8)</f>
        <v>3361.3846153846152</v>
      </c>
      <c r="X14" s="63">
        <f t="shared" si="10"/>
        <v>3317.7285714285713</v>
      </c>
      <c r="Y14" s="63">
        <f t="shared" si="10"/>
        <v>3398.0892857142858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357.56764793339278</v>
      </c>
      <c r="C15" s="64">
        <f t="shared" si="6"/>
        <v>376.62976629766297</v>
      </c>
      <c r="D15" s="64">
        <f t="shared" si="6"/>
        <v>407.2336561743341</v>
      </c>
      <c r="E15" s="64">
        <f t="shared" si="6"/>
        <v>389.58579881656806</v>
      </c>
      <c r="F15" s="64">
        <f t="shared" ref="F15:V15" si="11">IF(F5=0,0,F5/F9)</f>
        <v>416.82809318035066</v>
      </c>
      <c r="G15" s="64">
        <f t="shared" si="11"/>
        <v>436.26177743824798</v>
      </c>
      <c r="H15" s="64">
        <f t="shared" si="11"/>
        <v>549.67296063186473</v>
      </c>
      <c r="I15" s="64">
        <f t="shared" si="11"/>
        <v>541.03087828907849</v>
      </c>
      <c r="J15" s="64">
        <f t="shared" si="11"/>
        <v>561.14461696394198</v>
      </c>
      <c r="K15" s="64">
        <f t="shared" si="11"/>
        <v>501.80556538978971</v>
      </c>
      <c r="L15" s="64">
        <f t="shared" si="11"/>
        <v>471.95337704235612</v>
      </c>
      <c r="M15" s="64">
        <f t="shared" si="11"/>
        <v>516.0084783578759</v>
      </c>
      <c r="N15" s="64">
        <f t="shared" si="11"/>
        <v>545.26425954997387</v>
      </c>
      <c r="O15" s="64">
        <f t="shared" si="11"/>
        <v>611.46834994985545</v>
      </c>
      <c r="P15" s="64">
        <f t="shared" si="11"/>
        <v>628.21591728780959</v>
      </c>
      <c r="Q15" s="64">
        <f t="shared" si="11"/>
        <v>627.61858897182765</v>
      </c>
      <c r="R15" s="64">
        <f t="shared" si="11"/>
        <v>626.9952054378831</v>
      </c>
      <c r="S15" s="64">
        <f t="shared" si="11"/>
        <v>643.88489208633086</v>
      </c>
      <c r="T15" s="64">
        <f t="shared" si="11"/>
        <v>605.45868081880212</v>
      </c>
      <c r="U15" s="64">
        <f t="shared" si="11"/>
        <v>617.310443490701</v>
      </c>
      <c r="V15" s="64">
        <f t="shared" si="11"/>
        <v>632.80513918629549</v>
      </c>
      <c r="W15" s="64">
        <f t="shared" ref="W15:Y15" si="12">IF(W5=0,0,W5/W9)</f>
        <v>664.44643002193163</v>
      </c>
      <c r="X15" s="64">
        <f t="shared" si="12"/>
        <v>736.17062719127387</v>
      </c>
      <c r="Y15" s="64">
        <f t="shared" si="12"/>
        <v>730.07037075937399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3.7589371465158471E-2</v>
      </c>
      <c r="C18" s="66">
        <f t="shared" si="16"/>
        <v>3.173003596196388E-2</v>
      </c>
      <c r="D18" s="66">
        <f t="shared" si="16"/>
        <v>2.5897397904442617E-2</v>
      </c>
      <c r="E18" s="66">
        <f t="shared" si="16"/>
        <v>2.4118964996937772E-2</v>
      </c>
      <c r="F18" s="66">
        <f t="shared" ref="F18:V18" si="17">IF(F4=0,0,F4/F$3)</f>
        <v>1.7683108691163411E-2</v>
      </c>
      <c r="G18" s="66">
        <f t="shared" si="17"/>
        <v>3.111362664145707E-2</v>
      </c>
      <c r="H18" s="66">
        <f t="shared" si="17"/>
        <v>3.5771179018692596E-2</v>
      </c>
      <c r="I18" s="66">
        <f t="shared" si="17"/>
        <v>4.120977480566293E-2</v>
      </c>
      <c r="J18" s="66">
        <f t="shared" si="17"/>
        <v>4.1677496098117495E-2</v>
      </c>
      <c r="K18" s="66">
        <f t="shared" si="17"/>
        <v>3.2376541650680692E-2</v>
      </c>
      <c r="L18" s="66">
        <f t="shared" si="17"/>
        <v>2.7643442961264187E-2</v>
      </c>
      <c r="M18" s="66">
        <f t="shared" si="17"/>
        <v>2.1543080820372294E-2</v>
      </c>
      <c r="N18" s="66">
        <f t="shared" si="17"/>
        <v>1.9346911394511279E-2</v>
      </c>
      <c r="O18" s="66">
        <f t="shared" si="17"/>
        <v>1.8472508376127395E-2</v>
      </c>
      <c r="P18" s="66">
        <f t="shared" si="17"/>
        <v>1.7902995954993249E-2</v>
      </c>
      <c r="Q18" s="66">
        <f t="shared" si="17"/>
        <v>1.7616104990135172E-2</v>
      </c>
      <c r="R18" s="66">
        <f t="shared" si="17"/>
        <v>2.0625823037864931E-2</v>
      </c>
      <c r="S18" s="66">
        <f t="shared" si="17"/>
        <v>1.4665485235963557E-2</v>
      </c>
      <c r="T18" s="66">
        <f t="shared" si="17"/>
        <v>2.0164297319402148E-2</v>
      </c>
      <c r="U18" s="66">
        <f t="shared" si="17"/>
        <v>2.421411358012035E-2</v>
      </c>
      <c r="V18" s="66">
        <f t="shared" si="17"/>
        <v>2.7285382329640978E-2</v>
      </c>
      <c r="W18" s="66">
        <f t="shared" ref="W18:Y18" si="18">IF(W4=0,0,W4/W$3)</f>
        <v>3.1056877671996878E-2</v>
      </c>
      <c r="X18" s="66">
        <f t="shared" si="18"/>
        <v>2.9807959989942553E-2</v>
      </c>
      <c r="Y18" s="66">
        <f t="shared" si="18"/>
        <v>2.6646855128336006E-2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0.96241062853484149</v>
      </c>
      <c r="C19" s="67">
        <f t="shared" si="19"/>
        <v>0.96826996403803611</v>
      </c>
      <c r="D19" s="67">
        <f t="shared" si="19"/>
        <v>0.97410260209555732</v>
      </c>
      <c r="E19" s="67">
        <f t="shared" si="19"/>
        <v>0.97588103500306211</v>
      </c>
      <c r="F19" s="67">
        <f t="shared" ref="F19:V19" si="20">IF(F5=0,0,F5/F$3)</f>
        <v>0.9823168913088367</v>
      </c>
      <c r="G19" s="67">
        <f t="shared" si="20"/>
        <v>0.968886373358543</v>
      </c>
      <c r="H19" s="67">
        <f t="shared" si="20"/>
        <v>0.96422882098130747</v>
      </c>
      <c r="I19" s="67">
        <f t="shared" si="20"/>
        <v>0.9587902251943371</v>
      </c>
      <c r="J19" s="67">
        <f t="shared" si="20"/>
        <v>0.95832250390188256</v>
      </c>
      <c r="K19" s="67">
        <f t="shared" si="20"/>
        <v>0.96762345834931929</v>
      </c>
      <c r="L19" s="67">
        <f t="shared" si="20"/>
        <v>0.97235655703873591</v>
      </c>
      <c r="M19" s="67">
        <f t="shared" si="20"/>
        <v>0.97845691917962763</v>
      </c>
      <c r="N19" s="67">
        <f t="shared" si="20"/>
        <v>0.98065308860548872</v>
      </c>
      <c r="O19" s="67">
        <f t="shared" si="20"/>
        <v>0.98152749162387265</v>
      </c>
      <c r="P19" s="67">
        <f t="shared" si="20"/>
        <v>0.98209700404500677</v>
      </c>
      <c r="Q19" s="67">
        <f t="shared" si="20"/>
        <v>0.98238389500986478</v>
      </c>
      <c r="R19" s="67">
        <f t="shared" si="20"/>
        <v>0.97937417696213502</v>
      </c>
      <c r="S19" s="67">
        <f t="shared" si="20"/>
        <v>0.98533451476403644</v>
      </c>
      <c r="T19" s="67">
        <f t="shared" si="20"/>
        <v>0.97983570268059794</v>
      </c>
      <c r="U19" s="67">
        <f t="shared" si="20"/>
        <v>0.97578588641987962</v>
      </c>
      <c r="V19" s="67">
        <f t="shared" si="20"/>
        <v>0.97271461767035905</v>
      </c>
      <c r="W19" s="67">
        <f t="shared" ref="W19:Y19" si="21">IF(W5=0,0,W5/W$3)</f>
        <v>0.96894312232800306</v>
      </c>
      <c r="X19" s="67">
        <f t="shared" si="21"/>
        <v>0.97019204001005743</v>
      </c>
      <c r="Y19" s="67">
        <f t="shared" si="21"/>
        <v>0.97335314487166402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5.8139534883720929E-3</v>
      </c>
      <c r="C22" s="66">
        <f t="shared" si="25"/>
        <v>4.8959608323133419E-3</v>
      </c>
      <c r="D22" s="66">
        <f t="shared" si="25"/>
        <v>4.0192926045016075E-3</v>
      </c>
      <c r="E22" s="66">
        <f t="shared" si="25"/>
        <v>3.5377358490566039E-3</v>
      </c>
      <c r="F22" s="66">
        <f t="shared" ref="F22:V22" si="26">IF(F8=0,0,F8/F$7)</f>
        <v>2.6255820865946694E-3</v>
      </c>
      <c r="G22" s="66">
        <f t="shared" si="26"/>
        <v>4.9663001064207167E-3</v>
      </c>
      <c r="H22" s="66">
        <f t="shared" si="26"/>
        <v>7.0461368788677179E-3</v>
      </c>
      <c r="I22" s="66">
        <f t="shared" si="26"/>
        <v>7.7491654744873632E-3</v>
      </c>
      <c r="J22" s="66">
        <f t="shared" si="26"/>
        <v>8.082479475593457E-3</v>
      </c>
      <c r="K22" s="66">
        <f t="shared" si="26"/>
        <v>5.4925709457080496E-3</v>
      </c>
      <c r="L22" s="66">
        <f t="shared" si="26"/>
        <v>4.4034606019789672E-3</v>
      </c>
      <c r="M22" s="66">
        <f t="shared" si="26"/>
        <v>4.0000000000000001E-3</v>
      </c>
      <c r="N22" s="66">
        <f t="shared" si="26"/>
        <v>3.753518923991242E-3</v>
      </c>
      <c r="O22" s="66">
        <f t="shared" si="26"/>
        <v>3.937007874015748E-3</v>
      </c>
      <c r="P22" s="66">
        <f t="shared" si="26"/>
        <v>3.8919825160170052E-3</v>
      </c>
      <c r="Q22" s="66">
        <f t="shared" si="26"/>
        <v>3.5390798392417972E-3</v>
      </c>
      <c r="R22" s="66">
        <f t="shared" si="26"/>
        <v>4.0498065764023213E-3</v>
      </c>
      <c r="S22" s="66">
        <f t="shared" si="26"/>
        <v>2.8925141733194492E-3</v>
      </c>
      <c r="T22" s="66">
        <f t="shared" si="26"/>
        <v>3.8516728343780679E-3</v>
      </c>
      <c r="U22" s="66">
        <f t="shared" si="26"/>
        <v>4.9035115469788044E-3</v>
      </c>
      <c r="V22" s="66">
        <f t="shared" si="26"/>
        <v>5.2824401465451139E-3</v>
      </c>
      <c r="W22" s="66">
        <f t="shared" ref="W22:Y22" si="27">IF(W8=0,0,W8/W$7)</f>
        <v>6.2959076600209865E-3</v>
      </c>
      <c r="X22" s="66">
        <f t="shared" si="27"/>
        <v>6.7711356161733408E-3</v>
      </c>
      <c r="Y22" s="66">
        <f t="shared" si="27"/>
        <v>5.8473425916257702E-3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0.99418604651162801</v>
      </c>
      <c r="C23" s="67">
        <f t="shared" si="28"/>
        <v>0.99510403916768664</v>
      </c>
      <c r="D23" s="67">
        <f t="shared" si="28"/>
        <v>0.99598070739549849</v>
      </c>
      <c r="E23" s="67">
        <f t="shared" si="28"/>
        <v>0.99646226415094341</v>
      </c>
      <c r="F23" s="67">
        <f t="shared" ref="F23:V23" si="29">IF(F9=0,0,F9/F$7)</f>
        <v>0.99737441791340531</v>
      </c>
      <c r="G23" s="67">
        <f t="shared" si="29"/>
        <v>0.99503369989357937</v>
      </c>
      <c r="H23" s="67">
        <f t="shared" si="29"/>
        <v>0.99295386312113243</v>
      </c>
      <c r="I23" s="67">
        <f t="shared" si="29"/>
        <v>0.99225083452551266</v>
      </c>
      <c r="J23" s="67">
        <f t="shared" si="29"/>
        <v>0.99191752052440652</v>
      </c>
      <c r="K23" s="67">
        <f t="shared" si="29"/>
        <v>0.99450742905429201</v>
      </c>
      <c r="L23" s="67">
        <f t="shared" si="29"/>
        <v>0.99559653939802095</v>
      </c>
      <c r="M23" s="67">
        <f t="shared" si="29"/>
        <v>0.996</v>
      </c>
      <c r="N23" s="67">
        <f t="shared" si="29"/>
        <v>0.99624648107600877</v>
      </c>
      <c r="O23" s="67">
        <f t="shared" si="29"/>
        <v>0.99606299212598426</v>
      </c>
      <c r="P23" s="67">
        <f t="shared" si="29"/>
        <v>0.99610801748398292</v>
      </c>
      <c r="Q23" s="67">
        <f t="shared" si="29"/>
        <v>0.99646092016075816</v>
      </c>
      <c r="R23" s="67">
        <f t="shared" si="29"/>
        <v>0.9959501934235977</v>
      </c>
      <c r="S23" s="67">
        <f t="shared" si="29"/>
        <v>0.99710748582668052</v>
      </c>
      <c r="T23" s="67">
        <f t="shared" si="29"/>
        <v>0.99614832716562196</v>
      </c>
      <c r="U23" s="67">
        <f t="shared" si="29"/>
        <v>0.99509648845302123</v>
      </c>
      <c r="V23" s="67">
        <f t="shared" si="29"/>
        <v>0.99471755985345489</v>
      </c>
      <c r="W23" s="67">
        <f t="shared" ref="W23:Y23" si="30">IF(W9=0,0,W9/W$7)</f>
        <v>0.99370409233997903</v>
      </c>
      <c r="X23" s="67">
        <f t="shared" si="30"/>
        <v>0.99322886438382663</v>
      </c>
      <c r="Y23" s="67">
        <f t="shared" si="30"/>
        <v>0.99415265740837433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288.54204643164235</v>
      </c>
      <c r="C3" s="62">
        <f t="shared" ref="C3:V3" si="0">SUM(C4,C10)</f>
        <v>275.93147033533961</v>
      </c>
      <c r="D3" s="62">
        <f t="shared" si="0"/>
        <v>248.89561478933788</v>
      </c>
      <c r="E3" s="62">
        <f t="shared" si="0"/>
        <v>277.2570937231298</v>
      </c>
      <c r="F3" s="62">
        <f t="shared" si="0"/>
        <v>246.95563198624245</v>
      </c>
      <c r="G3" s="62">
        <f t="shared" si="0"/>
        <v>230.12089423903689</v>
      </c>
      <c r="H3" s="62">
        <f t="shared" si="0"/>
        <v>145.61384350816854</v>
      </c>
      <c r="I3" s="62">
        <f t="shared" si="0"/>
        <v>151.15313843508167</v>
      </c>
      <c r="J3" s="62">
        <f t="shared" si="0"/>
        <v>151.76362854686158</v>
      </c>
      <c r="K3" s="62">
        <f t="shared" si="0"/>
        <v>126.83525365434218</v>
      </c>
      <c r="L3" s="62">
        <f t="shared" si="0"/>
        <v>149.54763542562344</v>
      </c>
      <c r="M3" s="62">
        <f t="shared" si="0"/>
        <v>144.11530524505591</v>
      </c>
      <c r="N3" s="62">
        <f t="shared" si="0"/>
        <v>140.45236457437665</v>
      </c>
      <c r="O3" s="62">
        <f t="shared" si="0"/>
        <v>144.52226999140152</v>
      </c>
      <c r="P3" s="62">
        <f t="shared" si="0"/>
        <v>139.63834909716255</v>
      </c>
      <c r="Q3" s="62">
        <f t="shared" si="0"/>
        <v>135.67016337059331</v>
      </c>
      <c r="R3" s="62">
        <f t="shared" si="0"/>
        <v>131.49853826311261</v>
      </c>
      <c r="S3" s="62">
        <f t="shared" si="0"/>
        <v>134.63404987102322</v>
      </c>
      <c r="T3" s="62">
        <f t="shared" si="0"/>
        <v>132.22321582115214</v>
      </c>
      <c r="U3" s="62">
        <f t="shared" si="0"/>
        <v>143.42175408426479</v>
      </c>
      <c r="V3" s="62">
        <f t="shared" si="0"/>
        <v>153.09398108340497</v>
      </c>
      <c r="W3" s="62">
        <f t="shared" ref="W3:Y3" si="1">SUM(W4,W10)</f>
        <v>149.29398108340499</v>
      </c>
      <c r="X3" s="62">
        <f t="shared" si="1"/>
        <v>150.63533963886499</v>
      </c>
      <c r="Y3" s="62">
        <f t="shared" si="1"/>
        <v>142.21358555460017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16.767268479576607</v>
      </c>
      <c r="C4" s="71">
        <f t="shared" ref="C4:V4" si="2">SUM(C5:C9)</f>
        <v>13.583205230683582</v>
      </c>
      <c r="D4" s="71">
        <f t="shared" si="2"/>
        <v>10.650109486832735</v>
      </c>
      <c r="E4" s="71">
        <f t="shared" si="2"/>
        <v>10.333919438663772</v>
      </c>
      <c r="F4" s="71">
        <f t="shared" si="2"/>
        <v>6.8504456469907069</v>
      </c>
      <c r="G4" s="71">
        <f t="shared" si="2"/>
        <v>12.045283863766137</v>
      </c>
      <c r="H4" s="71">
        <f t="shared" si="2"/>
        <v>10.230087438693655</v>
      </c>
      <c r="I4" s="71">
        <f t="shared" si="2"/>
        <v>11.656363753687408</v>
      </c>
      <c r="J4" s="71">
        <f t="shared" si="2"/>
        <v>12.784398104336312</v>
      </c>
      <c r="K4" s="71">
        <f t="shared" si="2"/>
        <v>7.2831846901378574</v>
      </c>
      <c r="L4" s="71">
        <f t="shared" si="2"/>
        <v>7.2920645789718366</v>
      </c>
      <c r="M4" s="71">
        <f t="shared" si="2"/>
        <v>6.3750442498785747</v>
      </c>
      <c r="N4" s="71">
        <f t="shared" si="2"/>
        <v>5.6501525478795864</v>
      </c>
      <c r="O4" s="71">
        <f t="shared" si="2"/>
        <v>5.8262807957801792</v>
      </c>
      <c r="P4" s="71">
        <f t="shared" si="2"/>
        <v>5.6713205562709303</v>
      </c>
      <c r="Q4" s="71">
        <f t="shared" si="2"/>
        <v>4.9662346246173472</v>
      </c>
      <c r="R4" s="71">
        <f t="shared" si="2"/>
        <v>5.7267944551778083</v>
      </c>
      <c r="S4" s="71">
        <f t="shared" si="2"/>
        <v>4.5306602082564806</v>
      </c>
      <c r="T4" s="71">
        <f t="shared" si="2"/>
        <v>5.755984029040965</v>
      </c>
      <c r="U4" s="71">
        <f t="shared" si="2"/>
        <v>7.6601486086602</v>
      </c>
      <c r="V4" s="71">
        <f t="shared" si="2"/>
        <v>8.3173125596761555</v>
      </c>
      <c r="W4" s="71">
        <f t="shared" ref="W4:Y4" si="3">SUM(W5:W9)</f>
        <v>9.6426266365975142</v>
      </c>
      <c r="X4" s="71">
        <f t="shared" si="3"/>
        <v>10.868980039110467</v>
      </c>
      <c r="Y4" s="71">
        <f t="shared" si="3"/>
        <v>8.964157879696895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8.6797370108483687</v>
      </c>
      <c r="C5" s="73">
        <v>7.4880635555744108</v>
      </c>
      <c r="D5" s="73">
        <v>6.6438347968496032</v>
      </c>
      <c r="E5" s="73">
        <v>5.9540073042304327</v>
      </c>
      <c r="F5" s="73">
        <v>4.5977818105610879</v>
      </c>
      <c r="G5" s="73">
        <v>8.4947212816090119</v>
      </c>
      <c r="H5" s="73">
        <v>9.6931236660691855</v>
      </c>
      <c r="I5" s="73">
        <v>11.361664288999558</v>
      </c>
      <c r="J5" s="73">
        <v>12.462479550089837</v>
      </c>
      <c r="K5" s="73">
        <v>7.0637452100989666</v>
      </c>
      <c r="L5" s="73">
        <v>7.198894946118668</v>
      </c>
      <c r="M5" s="73">
        <v>6.3327825919434515</v>
      </c>
      <c r="N5" s="73">
        <v>5.6117195244039788</v>
      </c>
      <c r="O5" s="73">
        <v>5.7877657808991687</v>
      </c>
      <c r="P5" s="73">
        <v>5.6325186624826982</v>
      </c>
      <c r="Q5" s="73">
        <v>4.9312629589050694</v>
      </c>
      <c r="R5" s="73">
        <v>5.6851876754735979</v>
      </c>
      <c r="S5" s="73">
        <v>4.4888661689077178</v>
      </c>
      <c r="T5" s="73">
        <v>5.7227115579635344</v>
      </c>
      <c r="U5" s="73">
        <v>7.624428695903771</v>
      </c>
      <c r="V5" s="73">
        <v>8.2858601585780836</v>
      </c>
      <c r="W5" s="73">
        <v>9.6052343561970677</v>
      </c>
      <c r="X5" s="73">
        <v>10.834168560187173</v>
      </c>
      <c r="Y5" s="73">
        <v>8.9337470012977587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8.0875314687282369</v>
      </c>
      <c r="C6" s="73">
        <v>6.0951416751091712</v>
      </c>
      <c r="D6" s="73">
        <v>4.0062746899831314</v>
      </c>
      <c r="E6" s="73">
        <v>4.3799121344333392</v>
      </c>
      <c r="F6" s="73">
        <v>2.2526638364296194</v>
      </c>
      <c r="G6" s="73">
        <v>3.5505625821571254</v>
      </c>
      <c r="H6" s="73">
        <v>0.53696377262447026</v>
      </c>
      <c r="I6" s="73">
        <v>0.29469946468785108</v>
      </c>
      <c r="J6" s="73">
        <v>0.32191855424647492</v>
      </c>
      <c r="K6" s="73">
        <v>0.21943948003889041</v>
      </c>
      <c r="L6" s="73">
        <v>9.3169632853168219E-2</v>
      </c>
      <c r="M6" s="73">
        <v>4.2261657935123216E-2</v>
      </c>
      <c r="N6" s="73">
        <v>3.8433023475607828E-2</v>
      </c>
      <c r="O6" s="73">
        <v>3.8515014881010598E-2</v>
      </c>
      <c r="P6" s="73">
        <v>3.8801893788232011E-2</v>
      </c>
      <c r="Q6" s="73">
        <v>3.4971665712277715E-2</v>
      </c>
      <c r="R6" s="73">
        <v>4.1606779704210207E-2</v>
      </c>
      <c r="S6" s="73">
        <v>4.1794039348762455E-2</v>
      </c>
      <c r="T6" s="73">
        <v>3.3272471077430435E-2</v>
      </c>
      <c r="U6" s="73">
        <v>3.57199127564286E-2</v>
      </c>
      <c r="V6" s="73">
        <v>3.1452401098072319E-2</v>
      </c>
      <c r="W6" s="73">
        <v>3.7392280400446315E-2</v>
      </c>
      <c r="X6" s="73">
        <v>3.4811478923293525E-2</v>
      </c>
      <c r="Y6" s="73">
        <v>3.0410878399135671E-2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271.77477795206573</v>
      </c>
      <c r="C10" s="71">
        <f t="shared" ref="C10:V10" si="4">SUM(C11:C15)</f>
        <v>262.34826510465604</v>
      </c>
      <c r="D10" s="71">
        <f t="shared" si="4"/>
        <v>238.24550530250514</v>
      </c>
      <c r="E10" s="71">
        <f t="shared" si="4"/>
        <v>266.92317428446603</v>
      </c>
      <c r="F10" s="71">
        <f t="shared" si="4"/>
        <v>240.10518633925176</v>
      </c>
      <c r="G10" s="71">
        <f t="shared" si="4"/>
        <v>218.07561037527074</v>
      </c>
      <c r="H10" s="71">
        <f t="shared" si="4"/>
        <v>135.38375606947488</v>
      </c>
      <c r="I10" s="71">
        <f t="shared" si="4"/>
        <v>139.49677468139427</v>
      </c>
      <c r="J10" s="71">
        <f t="shared" si="4"/>
        <v>138.97923044252528</v>
      </c>
      <c r="K10" s="71">
        <f t="shared" si="4"/>
        <v>119.55206896420432</v>
      </c>
      <c r="L10" s="71">
        <f t="shared" si="4"/>
        <v>142.25557084665161</v>
      </c>
      <c r="M10" s="71">
        <f t="shared" si="4"/>
        <v>137.74026099517732</v>
      </c>
      <c r="N10" s="71">
        <f t="shared" si="4"/>
        <v>134.80221202649705</v>
      </c>
      <c r="O10" s="71">
        <f t="shared" si="4"/>
        <v>138.69598919562134</v>
      </c>
      <c r="P10" s="71">
        <f t="shared" si="4"/>
        <v>133.96702854089162</v>
      </c>
      <c r="Q10" s="71">
        <f t="shared" si="4"/>
        <v>130.70392874597596</v>
      </c>
      <c r="R10" s="71">
        <f t="shared" si="4"/>
        <v>125.77174380793481</v>
      </c>
      <c r="S10" s="71">
        <f t="shared" si="4"/>
        <v>130.10338966276674</v>
      </c>
      <c r="T10" s="71">
        <f t="shared" si="4"/>
        <v>126.46723179211118</v>
      </c>
      <c r="U10" s="71">
        <f t="shared" si="4"/>
        <v>135.7616054756046</v>
      </c>
      <c r="V10" s="71">
        <f t="shared" si="4"/>
        <v>144.7766685237288</v>
      </c>
      <c r="W10" s="71">
        <f t="shared" ref="W10:Y10" si="5">SUM(W11:W15)</f>
        <v>139.65135444680746</v>
      </c>
      <c r="X10" s="71">
        <f t="shared" si="5"/>
        <v>139.76635959975454</v>
      </c>
      <c r="Y10" s="71">
        <f t="shared" si="5"/>
        <v>133.24942767490327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140.68681500978795</v>
      </c>
      <c r="C11" s="73">
        <v>144.62569396807129</v>
      </c>
      <c r="D11" s="73">
        <v>148.62417896067399</v>
      </c>
      <c r="E11" s="73">
        <v>153.79087661666378</v>
      </c>
      <c r="F11" s="73">
        <v>161.15028353767622</v>
      </c>
      <c r="G11" s="73">
        <v>153.79392876138317</v>
      </c>
      <c r="H11" s="73">
        <v>128.2776415961836</v>
      </c>
      <c r="I11" s="73">
        <v>135.96997801538564</v>
      </c>
      <c r="J11" s="73">
        <v>135.47965286607527</v>
      </c>
      <c r="K11" s="73">
        <v>115.95001231354674</v>
      </c>
      <c r="L11" s="73">
        <v>140.43799241415655</v>
      </c>
      <c r="M11" s="73">
        <v>136.82714862043832</v>
      </c>
      <c r="N11" s="73">
        <v>133.88527101729855</v>
      </c>
      <c r="O11" s="73">
        <v>137.77913017782822</v>
      </c>
      <c r="P11" s="73">
        <v>133.05045640200572</v>
      </c>
      <c r="Q11" s="73">
        <v>129.78352637901412</v>
      </c>
      <c r="R11" s="73">
        <v>124.85797655496491</v>
      </c>
      <c r="S11" s="73">
        <v>128.90322325499599</v>
      </c>
      <c r="T11" s="73">
        <v>125.73618784014475</v>
      </c>
      <c r="U11" s="73">
        <v>135.12853777013231</v>
      </c>
      <c r="V11" s="73">
        <v>144.22918713290943</v>
      </c>
      <c r="W11" s="73">
        <v>139.10981293529045</v>
      </c>
      <c r="X11" s="73">
        <v>139.31871192132616</v>
      </c>
      <c r="Y11" s="73">
        <v>132.79737939595071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131.08796294227781</v>
      </c>
      <c r="C12" s="73">
        <v>117.72257113658475</v>
      </c>
      <c r="D12" s="73">
        <v>89.621326341831136</v>
      </c>
      <c r="E12" s="73">
        <v>113.13229766780225</v>
      </c>
      <c r="F12" s="73">
        <v>78.954902801575528</v>
      </c>
      <c r="G12" s="73">
        <v>64.281681613887585</v>
      </c>
      <c r="H12" s="73">
        <v>7.1061144732912753</v>
      </c>
      <c r="I12" s="73">
        <v>3.5267966660086363</v>
      </c>
      <c r="J12" s="73">
        <v>3.4995775764500134</v>
      </c>
      <c r="K12" s="73">
        <v>3.6020566506575835</v>
      </c>
      <c r="L12" s="73">
        <v>1.8175784324950617</v>
      </c>
      <c r="M12" s="73">
        <v>0.91311237473899165</v>
      </c>
      <c r="N12" s="73">
        <v>0.91694100919850718</v>
      </c>
      <c r="O12" s="73">
        <v>0.9168590177931043</v>
      </c>
      <c r="P12" s="73">
        <v>0.91657213888588296</v>
      </c>
      <c r="Q12" s="73">
        <v>0.92040236696183708</v>
      </c>
      <c r="R12" s="73">
        <v>0.9137672529699048</v>
      </c>
      <c r="S12" s="73">
        <v>1.2001664077707475</v>
      </c>
      <c r="T12" s="73">
        <v>0.73104395196642102</v>
      </c>
      <c r="U12" s="73">
        <v>0.63306770547229108</v>
      </c>
      <c r="V12" s="73">
        <v>0.54748139081937774</v>
      </c>
      <c r="W12" s="73">
        <v>0.5415415115170038</v>
      </c>
      <c r="X12" s="73">
        <v>0.44764767842839059</v>
      </c>
      <c r="Y12" s="73">
        <v>0.4520482789525484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1421.6695232146351</v>
      </c>
      <c r="C19" s="62">
        <f>IF(C3=0,0,C3/TrNavi_act!C7*100)</f>
        <v>1350.9496711644533</v>
      </c>
      <c r="D19" s="62">
        <f>IF(D3=0,0,D3/TrNavi_act!D7*100)</f>
        <v>1250.4803797695834</v>
      </c>
      <c r="E19" s="62">
        <f>IF(E3=0,0,E3/TrNavi_act!E7*100)</f>
        <v>1307.8164798260839</v>
      </c>
      <c r="F19" s="62">
        <f>IF(F3=0,0,F3/TrNavi_act!F7*100)</f>
        <v>1223.4005349561203</v>
      </c>
      <c r="G19" s="62">
        <f>IF(G3=0,0,G3/TrNavi_act!G7*100)</f>
        <v>1166.1728791315911</v>
      </c>
      <c r="H19" s="62">
        <f>IF(H3=0,0,H3/TrNavi_act!H7*100)</f>
        <v>892.18701984050347</v>
      </c>
      <c r="I19" s="62">
        <f>IF(I3=0,0,I3/TrNavi_act!I7*100)</f>
        <v>901.0082167088799</v>
      </c>
      <c r="J19" s="62">
        <f>IF(J3=0,0,J3/TrNavi_act!J7*100)</f>
        <v>965.84756919023459</v>
      </c>
      <c r="K19" s="62">
        <f>IF(K3=0,0,K3/TrNavi_act!K7*100)</f>
        <v>893.14311424788536</v>
      </c>
      <c r="L19" s="62">
        <f>IF(L3=0,0,L3/TrNavi_act!L7*100)</f>
        <v>774.73778907746691</v>
      </c>
      <c r="M19" s="62">
        <f>IF(M3=0,0,M3/TrNavi_act!M7*100)</f>
        <v>800.64058469475515</v>
      </c>
      <c r="N19" s="62">
        <f>IF(N3=0,0,N3/TrNavi_act!N7*100)</f>
        <v>732.20917826283312</v>
      </c>
      <c r="O19" s="62">
        <f>IF(O3=0,0,O3/TrNavi_act!O7*100)</f>
        <v>849.23181332354852</v>
      </c>
      <c r="P19" s="62">
        <f>IF(P3=0,0,P3/TrNavi_act!P7*100)</f>
        <v>836.10771269482382</v>
      </c>
      <c r="Q19" s="62">
        <f>IF(Q3=0,0,Q3/TrNavi_act!Q7*100)</f>
        <v>813.8093897822165</v>
      </c>
      <c r="R19" s="62">
        <f>IF(R3=0,0,R3/TrNavi_act!R7*100)</f>
        <v>794.8412612615607</v>
      </c>
      <c r="S19" s="62">
        <f>IF(S3=0,0,S3/TrNavi_act!S7*100)</f>
        <v>778.8617949266644</v>
      </c>
      <c r="T19" s="62">
        <f>IF(T3=0,0,T3/TrNavi_act!T7*100)</f>
        <v>998.58934990674527</v>
      </c>
      <c r="U19" s="62">
        <f>IF(U3=0,0,U3/TrNavi_act!U7*100)</f>
        <v>1134.3068181292692</v>
      </c>
      <c r="V19" s="62">
        <f>IF(V3=0,0,V3/TrNavi_act!V7*100)</f>
        <v>1304.3706320474139</v>
      </c>
      <c r="W19" s="62">
        <f>IF(W3=0,0,W3/TrNavi_act!W7*100)</f>
        <v>1205.052716792356</v>
      </c>
      <c r="X19" s="62">
        <f>IF(X3=0,0,X3/TrNavi_act!X7*100)</f>
        <v>1457.1033046901237</v>
      </c>
      <c r="Y19" s="62">
        <f>IF(Y3=0,0,Y3/TrNavi_act!Y7*100)</f>
        <v>1484.9492070021945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14209.549558963226</v>
      </c>
      <c r="C20" s="63">
        <f>IF(C4=0,0,C4/TrNavi_act!C8*100)</f>
        <v>13583.205230683581</v>
      </c>
      <c r="D20" s="63">
        <f>IF(D4=0,0,D4/TrNavi_act!D8*100)</f>
        <v>13312.636858540918</v>
      </c>
      <c r="E20" s="63">
        <f>IF(E4=0,0,E4/TrNavi_act!E8*100)</f>
        <v>13778.559251551695</v>
      </c>
      <c r="F20" s="63">
        <f>IF(F4=0,0,F4/TrNavi_act!F8*100)</f>
        <v>12925.369145265486</v>
      </c>
      <c r="G20" s="63">
        <f>IF(G4=0,0,G4/TrNavi_act!G8*100)</f>
        <v>12291.105983434834</v>
      </c>
      <c r="H20" s="63">
        <f>IF(H4=0,0,H4/TrNavi_act!H8*100)</f>
        <v>8895.7282075596995</v>
      </c>
      <c r="I20" s="63">
        <f>IF(I4=0,0,I4/TrNavi_act!I8*100)</f>
        <v>8966.4336566826205</v>
      </c>
      <c r="J20" s="63">
        <f>IF(J4=0,0,J4/TrNavi_act!J8*100)</f>
        <v>10066.455200264812</v>
      </c>
      <c r="K20" s="63">
        <f>IF(K4=0,0,K4/TrNavi_act!K8*100)</f>
        <v>9337.4162694075094</v>
      </c>
      <c r="L20" s="63">
        <f>IF(L4=0,0,L4/TrNavi_act!L8*100)</f>
        <v>8578.8995046727487</v>
      </c>
      <c r="M20" s="63">
        <f>IF(M4=0,0,M4/TrNavi_act!M8*100)</f>
        <v>8854.2281248313539</v>
      </c>
      <c r="N20" s="63">
        <f>IF(N4=0,0,N4/TrNavi_act!N8*100)</f>
        <v>7847.4340942772042</v>
      </c>
      <c r="O20" s="63">
        <f>IF(O4=0,0,O4/TrNavi_act!O8*100)</f>
        <v>8695.9414862390731</v>
      </c>
      <c r="P20" s="63">
        <f>IF(P4=0,0,P4/TrNavi_act!P8*100)</f>
        <v>8725.1085481091231</v>
      </c>
      <c r="Q20" s="63">
        <f>IF(Q4=0,0,Q4/TrNavi_act!Q8*100)</f>
        <v>8417.3468213853339</v>
      </c>
      <c r="R20" s="63">
        <f>IF(R4=0,0,R4/TrNavi_act!R8*100)</f>
        <v>8547.454410713146</v>
      </c>
      <c r="S20" s="63">
        <f>IF(S4=0,0,S4/TrNavi_act!S8*100)</f>
        <v>9061.3204165129609</v>
      </c>
      <c r="T20" s="63">
        <f>IF(T4=0,0,T4/TrNavi_act!T8*100)</f>
        <v>11286.24319419797</v>
      </c>
      <c r="U20" s="63">
        <f>IF(U4=0,0,U4/TrNavi_act!U8*100)</f>
        <v>12355.078401064839</v>
      </c>
      <c r="V20" s="63">
        <f>IF(V4=0,0,V4/TrNavi_act!V8*100)</f>
        <v>13415.020257542186</v>
      </c>
      <c r="W20" s="63">
        <f>IF(W4=0,0,W4/TrNavi_act!W8*100)</f>
        <v>12362.341841791686</v>
      </c>
      <c r="X20" s="63">
        <f>IF(X4=0,0,X4/TrNavi_act!X8*100)</f>
        <v>15527.114341586381</v>
      </c>
      <c r="Y20" s="63">
        <f>IF(Y4=0,0,Y4/TrNavi_act!Y8*100)</f>
        <v>16007.424785173027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1346.8865990289707</v>
      </c>
      <c r="C21" s="64">
        <f>IF(C10=0,0,C10/TrNavi_act!C9*100)</f>
        <v>1290.7663719786274</v>
      </c>
      <c r="D21" s="64">
        <f>IF(D10=0,0,D10/TrNavi_act!D9*100)</f>
        <v>1201.803396400853</v>
      </c>
      <c r="E21" s="64">
        <f>IF(E10=0,0,E10/TrNavi_act!E9*100)</f>
        <v>1263.5416534175906</v>
      </c>
      <c r="F21" s="64">
        <f>IF(F10=0,0,F10/TrNavi_act!F9*100)</f>
        <v>1192.5951737905518</v>
      </c>
      <c r="G21" s="64">
        <f>IF(G10=0,0,G10/TrNavi_act!G9*100)</f>
        <v>1110.6473663115391</v>
      </c>
      <c r="H21" s="64">
        <f>IF(H10=0,0,H10/TrNavi_act!H9*100)</f>
        <v>835.39279322149139</v>
      </c>
      <c r="I21" s="64">
        <f>IF(I10=0,0,I10/TrNavi_act!I9*100)</f>
        <v>838.01979263122826</v>
      </c>
      <c r="J21" s="64">
        <f>IF(J10=0,0,J10/TrNavi_act!J9*100)</f>
        <v>891.69273991097953</v>
      </c>
      <c r="K21" s="64">
        <f>IF(K10=0,0,K10/TrNavi_act!K9*100)</f>
        <v>846.50618823340892</v>
      </c>
      <c r="L21" s="64">
        <f>IF(L10=0,0,L10/TrNavi_act!L9*100)</f>
        <v>740.22047479785419</v>
      </c>
      <c r="M21" s="64">
        <f>IF(M10=0,0,M10/TrNavi_act!M9*100)</f>
        <v>768.29685963396537</v>
      </c>
      <c r="N21" s="64">
        <f>IF(N10=0,0,N10/TrNavi_act!N9*100)</f>
        <v>705.40142347722167</v>
      </c>
      <c r="O21" s="64">
        <f>IF(O10=0,0,O10/TrNavi_act!O9*100)</f>
        <v>818.21715058475206</v>
      </c>
      <c r="P21" s="64">
        <f>IF(P10=0,0,P10/TrNavi_act!P9*100)</f>
        <v>805.28389360959136</v>
      </c>
      <c r="Q21" s="64">
        <f>IF(Q10=0,0,Q10/TrNavi_act!Q9*100)</f>
        <v>786.8042905488561</v>
      </c>
      <c r="R21" s="64">
        <f>IF(R10=0,0,R10/TrNavi_act!R9*100)</f>
        <v>763.31701042625969</v>
      </c>
      <c r="S21" s="64">
        <f>IF(S10=0,0,S10/TrNavi_act!S9*100)</f>
        <v>754.83516861665544</v>
      </c>
      <c r="T21" s="64">
        <f>IF(T10=0,0,T10/TrNavi_act!T9*100)</f>
        <v>958.81146165361008</v>
      </c>
      <c r="U21" s="64">
        <f>IF(U10=0,0,U10/TrNavi_act!U9*100)</f>
        <v>1079.0145086282355</v>
      </c>
      <c r="V21" s="64">
        <f>IF(V10=0,0,V10/TrNavi_act!V9*100)</f>
        <v>1240.0571179762637</v>
      </c>
      <c r="W21" s="64">
        <f>IF(W10=0,0,W10/TrNavi_act!W9*100)</f>
        <v>1134.3623949866578</v>
      </c>
      <c r="X21" s="64">
        <f>IF(X10=0,0,X10/TrNavi_act!X9*100)</f>
        <v>1361.1838683263977</v>
      </c>
      <c r="Y21" s="64">
        <f>IF(Y10=0,0,Y10/TrNavi_act!Y9*100)</f>
        <v>1399.5318524829668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38.488694700624578</v>
      </c>
      <c r="C23" s="62">
        <f>IF(C3=0,0,C3/TrNavi_act!C3*1000)</f>
        <v>34.902175683678863</v>
      </c>
      <c r="D23" s="62">
        <f>IF(D3=0,0,D3/TrNavi_act!D3*1000)</f>
        <v>30.03218952266413</v>
      </c>
      <c r="E23" s="62">
        <f>IF(E3=0,0,E3/TrNavi_act!E3*1000)</f>
        <v>32.876055842584314</v>
      </c>
      <c r="F23" s="62">
        <f>IF(F3=0,0,F3/TrNavi_act!F3*1000)</f>
        <v>28.907136404186701</v>
      </c>
      <c r="G23" s="62">
        <f>IF(G3=0,0,G3/TrNavi_act!G3*1000)</f>
        <v>26.028601290367181</v>
      </c>
      <c r="H23" s="62">
        <f>IF(H3=0,0,H3/TrNavi_act!H3*1000)</f>
        <v>15.761682155864165</v>
      </c>
      <c r="I23" s="62">
        <f>IF(I3=0,0,I3/TrNavi_act!I3*1000)</f>
        <v>16.091955545081362</v>
      </c>
      <c r="J23" s="62">
        <f>IF(J3=0,0,J3/TrNavi_act!J3*1000)</f>
        <v>16.629144810229089</v>
      </c>
      <c r="K23" s="62">
        <f>IF(K3=0,0,K3/TrNavi_act!K3*1000)</f>
        <v>17.317449806917978</v>
      </c>
      <c r="L23" s="62">
        <f>IF(L3=0,0,L3/TrNavi_act!L3*1000)</f>
        <v>16.032373086631015</v>
      </c>
      <c r="M23" s="62">
        <f>IF(M3=0,0,M3/TrNavi_act!M3*1000)</f>
        <v>15.24274322524149</v>
      </c>
      <c r="N23" s="62">
        <f>IF(N3=0,0,N3/TrNavi_act!N3*1000)</f>
        <v>13.218334464664739</v>
      </c>
      <c r="O23" s="62">
        <f>IF(O3=0,0,O3/TrNavi_act!O3*1000)</f>
        <v>13.685729006121409</v>
      </c>
      <c r="P23" s="62">
        <f>IF(P3=0,0,P3/TrNavi_act!P3*1000)</f>
        <v>13.122036580051105</v>
      </c>
      <c r="Q23" s="62">
        <f>IF(Q3=0,0,Q3/TrNavi_act!Q3*1000)</f>
        <v>12.783443653235002</v>
      </c>
      <c r="R23" s="62">
        <f>IF(R3=0,0,R3/TrNavi_act!R3*1000)</f>
        <v>12.466002582824483</v>
      </c>
      <c r="S23" s="62">
        <f>IF(S3=0,0,S3/TrNavi_act!S3*1000)</f>
        <v>11.953466949034217</v>
      </c>
      <c r="T23" s="62">
        <f>IF(T3=0,0,T3/TrNavi_act!T3*1000)</f>
        <v>16.223018730879911</v>
      </c>
      <c r="U23" s="62">
        <f>IF(U3=0,0,U3/TrNavi_act!U3*1000)</f>
        <v>18.018401370028108</v>
      </c>
      <c r="V23" s="62">
        <f>IF(V3=0,0,V3/TrNavi_act!V3*1000)</f>
        <v>20.156571910825321</v>
      </c>
      <c r="W23" s="62">
        <f>IF(W3=0,0,W3/TrNavi_act!W3*1000)</f>
        <v>17.684275816104186</v>
      </c>
      <c r="X23" s="62">
        <f>IF(X3=0,0,X3/TrNavi_act!X3*1000)</f>
        <v>19.333934047074784</v>
      </c>
      <c r="Y23" s="62">
        <f>IF(Y3=0,0,Y3/TrNavi_act!Y3*1000)</f>
        <v>19.914262802912607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59.500597869327919</v>
      </c>
      <c r="C24" s="63">
        <f>IF(C4=0,0,C4/TrNavi_act!C4*1000)</f>
        <v>54.148067715688398</v>
      </c>
      <c r="D24" s="63">
        <f>IF(D4=0,0,D4/TrNavi_act!D4*1000)</f>
        <v>49.621249263063227</v>
      </c>
      <c r="E24" s="63">
        <f>IF(E4=0,0,E4/TrNavi_act!E4*1000)</f>
        <v>50.80464806009573</v>
      </c>
      <c r="F24" s="63">
        <f>IF(F4=0,0,F4/TrNavi_act!F4*1000)</f>
        <v>45.346768653789724</v>
      </c>
      <c r="G24" s="63">
        <f>IF(G4=0,0,G4/TrNavi_act!G4*1000)</f>
        <v>43.788612189146853</v>
      </c>
      <c r="H24" s="63">
        <f>IF(H4=0,0,H4/TrNavi_act!H4*1000)</f>
        <v>30.956082193879812</v>
      </c>
      <c r="I24" s="63">
        <f>IF(I4=0,0,I4/TrNavi_act!I4*1000)</f>
        <v>30.113033384452095</v>
      </c>
      <c r="J24" s="63">
        <f>IF(J4=0,0,J4/TrNavi_act!J4*1000)</f>
        <v>33.610957147196672</v>
      </c>
      <c r="K24" s="63">
        <f>IF(K4=0,0,K4/TrNavi_act!K4*1000)</f>
        <v>30.713889807860063</v>
      </c>
      <c r="L24" s="63">
        <f>IF(L4=0,0,L4/TrNavi_act!L4*1000)</f>
        <v>28.279819506278116</v>
      </c>
      <c r="M24" s="63">
        <f>IF(M4=0,0,M4/TrNavi_act!M4*1000)</f>
        <v>31.298852873723263</v>
      </c>
      <c r="N24" s="63">
        <f>IF(N4=0,0,N4/TrNavi_act!N4*1000)</f>
        <v>27.485029808921382</v>
      </c>
      <c r="O24" s="63">
        <f>IF(O4=0,0,O4/TrNavi_act!O4*1000)</f>
        <v>29.867488226236496</v>
      </c>
      <c r="P24" s="63">
        <f>IF(P4=0,0,P4/TrNavi_act!P4*1000)</f>
        <v>29.768367615520724</v>
      </c>
      <c r="Q24" s="63">
        <f>IF(Q4=0,0,Q4/TrNavi_act!Q4*1000)</f>
        <v>26.563228433064722</v>
      </c>
      <c r="R24" s="63">
        <f>IF(R4=0,0,R4/TrNavi_act!R4*1000)</f>
        <v>26.321255188731175</v>
      </c>
      <c r="S24" s="63">
        <f>IF(S4=0,0,S4/TrNavi_act!S4*1000)</f>
        <v>27.428624580799614</v>
      </c>
      <c r="T24" s="63">
        <f>IF(T4=0,0,T4/TrNavi_act!T4*1000)</f>
        <v>35.023572396291755</v>
      </c>
      <c r="U24" s="63">
        <f>IF(U4=0,0,U4/TrNavi_act!U4*1000)</f>
        <v>39.743841944298474</v>
      </c>
      <c r="V24" s="63">
        <f>IF(V4=0,0,V4/TrNavi_act!V4*1000)</f>
        <v>40.133915718933963</v>
      </c>
      <c r="W24" s="63">
        <f>IF(W4=0,0,W4/TrNavi_act!W4*1000)</f>
        <v>36.777528478029183</v>
      </c>
      <c r="X24" s="63">
        <f>IF(X4=0,0,X4/TrNavi_act!X4*1000)</f>
        <v>46.800435922642713</v>
      </c>
      <c r="Y24" s="63">
        <f>IF(Y4=0,0,Y4/TrNavi_act!Y4*1000)</f>
        <v>47.107134154681965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37.668021892178203</v>
      </c>
      <c r="C25" s="64">
        <f>IF(C10=0,0,C10/TrNavi_act!C5*1000)</f>
        <v>34.271491195905426</v>
      </c>
      <c r="D25" s="64">
        <f>IF(D10=0,0,D10/TrNavi_act!D5*1000)</f>
        <v>29.511396668215674</v>
      </c>
      <c r="E25" s="64">
        <f>IF(E10=0,0,E10/TrNavi_act!E5*1000)</f>
        <v>32.432949487784448</v>
      </c>
      <c r="F25" s="64">
        <f>IF(F10=0,0,F10/TrNavi_act!F5*1000)</f>
        <v>28.611199516116752</v>
      </c>
      <c r="G25" s="64">
        <f>IF(G10=0,0,G10/TrNavi_act!G5*1000)</f>
        <v>25.458278119924206</v>
      </c>
      <c r="H25" s="64">
        <f>IF(H10=0,0,H10/TrNavi_act!H5*1000)</f>
        <v>15.197996864557128</v>
      </c>
      <c r="I25" s="64">
        <f>IF(I10=0,0,I10/TrNavi_act!I5*1000)</f>
        <v>15.489315420985374</v>
      </c>
      <c r="J25" s="64">
        <f>IF(J10=0,0,J10/TrNavi_act!J5*1000)</f>
        <v>15.890604898527931</v>
      </c>
      <c r="K25" s="64">
        <f>IF(K10=0,0,K10/TrNavi_act!K5*1000)</f>
        <v>16.869206852575747</v>
      </c>
      <c r="L25" s="64">
        <f>IF(L10=0,0,L10/TrNavi_act!L5*1000)</f>
        <v>15.684186421902051</v>
      </c>
      <c r="M25" s="64">
        <f>IF(M10=0,0,M10/TrNavi_act!M5*1000)</f>
        <v>14.889229380086189</v>
      </c>
      <c r="N25" s="64">
        <f>IF(N10=0,0,N10/TrNavi_act!N5*1000)</f>
        <v>12.936872555326012</v>
      </c>
      <c r="O25" s="64">
        <f>IF(O10=0,0,O10/TrNavi_act!O5*1000)</f>
        <v>13.381185643571763</v>
      </c>
      <c r="P25" s="64">
        <f>IF(P10=0,0,P10/TrNavi_act!P5*1000)</f>
        <v>12.818584684804479</v>
      </c>
      <c r="Q25" s="64">
        <f>IF(Q10=0,0,Q10/TrNavi_act!Q5*1000)</f>
        <v>12.5363445948567</v>
      </c>
      <c r="R25" s="64">
        <f>IF(R10=0,0,R10/TrNavi_act!R5*1000)</f>
        <v>12.174208092917898</v>
      </c>
      <c r="S25" s="64">
        <f>IF(S10=0,0,S10/TrNavi_act!S5*1000)</f>
        <v>11.723138372929064</v>
      </c>
      <c r="T25" s="64">
        <f>IF(T10=0,0,T10/TrNavi_act!T5*1000)</f>
        <v>15.836117179077281</v>
      </c>
      <c r="U25" s="64">
        <f>IF(U10=0,0,U10/TrNavi_act!U5*1000)</f>
        <v>17.479284855878021</v>
      </c>
      <c r="V25" s="64">
        <f>IF(V10=0,0,V10/TrNavi_act!V5*1000)</f>
        <v>19.596192274462478</v>
      </c>
      <c r="W25" s="64">
        <f>IF(W10=0,0,W10/TrNavi_act!W5*1000)</f>
        <v>17.072292719658613</v>
      </c>
      <c r="X25" s="64">
        <f>IF(X10=0,0,X10/TrNavi_act!X5*1000)</f>
        <v>18.490059478734558</v>
      </c>
      <c r="Y25" s="64">
        <f>IF(Y10=0,0,Y10/TrNavi_act!Y5*1000)</f>
        <v>19.169821273903509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5.8110312472428143E-2</v>
      </c>
      <c r="C28" s="77">
        <f t="shared" si="9"/>
        <v>4.922673450105531E-2</v>
      </c>
      <c r="D28" s="77">
        <f t="shared" si="9"/>
        <v>4.2789462143986962E-2</v>
      </c>
      <c r="E28" s="77">
        <f t="shared" si="9"/>
        <v>3.727197490204983E-2</v>
      </c>
      <c r="F28" s="77">
        <f t="shared" si="9"/>
        <v>2.7739580554989471E-2</v>
      </c>
      <c r="G28" s="77">
        <f t="shared" si="9"/>
        <v>5.2343286356492956E-2</v>
      </c>
      <c r="H28" s="77">
        <f t="shared" si="9"/>
        <v>7.0254909782116792E-2</v>
      </c>
      <c r="I28" s="77">
        <f t="shared" si="9"/>
        <v>7.7116253584729011E-2</v>
      </c>
      <c r="J28" s="77">
        <f t="shared" si="9"/>
        <v>8.4238880071246747E-2</v>
      </c>
      <c r="K28" s="77">
        <f t="shared" si="9"/>
        <v>5.7422400163178282E-2</v>
      </c>
      <c r="L28" s="77">
        <f t="shared" si="9"/>
        <v>4.87608149618554E-2</v>
      </c>
      <c r="M28" s="77">
        <f t="shared" si="9"/>
        <v>4.4235719717890823E-2</v>
      </c>
      <c r="N28" s="77">
        <f t="shared" si="9"/>
        <v>4.0228247954398409E-2</v>
      </c>
      <c r="O28" s="77">
        <f t="shared" si="9"/>
        <v>4.0314069216646119E-2</v>
      </c>
      <c r="P28" s="77">
        <f t="shared" si="9"/>
        <v>4.0614348371626315E-2</v>
      </c>
      <c r="Q28" s="77">
        <f t="shared" si="9"/>
        <v>3.660520855312676E-2</v>
      </c>
      <c r="R28" s="77">
        <f t="shared" si="9"/>
        <v>4.3550251818915191E-2</v>
      </c>
      <c r="S28" s="77">
        <f t="shared" si="9"/>
        <v>3.3651666963868086E-2</v>
      </c>
      <c r="T28" s="77">
        <f t="shared" si="9"/>
        <v>4.3532325191868185E-2</v>
      </c>
      <c r="U28" s="77">
        <f t="shared" si="9"/>
        <v>5.3409949261669337E-2</v>
      </c>
      <c r="V28" s="77">
        <f t="shared" ref="V28:W28" si="10">IF(V4=0,0,V4/V$3)</f>
        <v>5.4328148636652918E-2</v>
      </c>
      <c r="W28" s="77">
        <f t="shared" si="10"/>
        <v>6.4588180760016961E-2</v>
      </c>
      <c r="X28" s="77">
        <f t="shared" ref="X28:Y28" si="11">IF(X4=0,0,X4/X$3)</f>
        <v>7.2154250557458111E-2</v>
      </c>
      <c r="Y28" s="77">
        <f t="shared" si="11"/>
        <v>6.3033062873274356E-2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0.94188968752757185</v>
      </c>
      <c r="C29" s="78">
        <f t="shared" si="12"/>
        <v>0.9507732654989447</v>
      </c>
      <c r="D29" s="78">
        <f t="shared" si="12"/>
        <v>0.95721053785601296</v>
      </c>
      <c r="E29" s="78">
        <f t="shared" si="12"/>
        <v>0.96272802509795019</v>
      </c>
      <c r="F29" s="78">
        <f t="shared" si="12"/>
        <v>0.97226041944501063</v>
      </c>
      <c r="G29" s="78">
        <f t="shared" si="12"/>
        <v>0.94765671364350701</v>
      </c>
      <c r="H29" s="78">
        <f t="shared" si="12"/>
        <v>0.92974509021788321</v>
      </c>
      <c r="I29" s="78">
        <f t="shared" si="12"/>
        <v>0.92288374641527104</v>
      </c>
      <c r="J29" s="78">
        <f t="shared" si="12"/>
        <v>0.91576111992875331</v>
      </c>
      <c r="K29" s="78">
        <f t="shared" si="12"/>
        <v>0.94257759983682166</v>
      </c>
      <c r="L29" s="78">
        <f t="shared" si="12"/>
        <v>0.95123918503814464</v>
      </c>
      <c r="M29" s="78">
        <f t="shared" si="12"/>
        <v>0.95576428028210914</v>
      </c>
      <c r="N29" s="78">
        <f t="shared" si="12"/>
        <v>0.9597717520456015</v>
      </c>
      <c r="O29" s="78">
        <f t="shared" si="12"/>
        <v>0.95968593078335385</v>
      </c>
      <c r="P29" s="78">
        <f t="shared" si="12"/>
        <v>0.95938565162837375</v>
      </c>
      <c r="Q29" s="78">
        <f t="shared" si="12"/>
        <v>0.96339479144687312</v>
      </c>
      <c r="R29" s="78">
        <f t="shared" si="12"/>
        <v>0.95644974818108486</v>
      </c>
      <c r="S29" s="78">
        <f t="shared" si="12"/>
        <v>0.96634833303613188</v>
      </c>
      <c r="T29" s="78">
        <f t="shared" si="12"/>
        <v>0.95646767480813188</v>
      </c>
      <c r="U29" s="78">
        <f t="shared" si="12"/>
        <v>0.94659005073833069</v>
      </c>
      <c r="V29" s="78">
        <f t="shared" ref="V29:W29" si="13">IF(V10=0,0,V10/V$3)</f>
        <v>0.94567185136334697</v>
      </c>
      <c r="W29" s="78">
        <f t="shared" si="13"/>
        <v>0.93541181923998296</v>
      </c>
      <c r="X29" s="78">
        <f t="shared" ref="X29:Y29" si="14">IF(X10=0,0,X10/X$3)</f>
        <v>0.92784574944254194</v>
      </c>
      <c r="Y29" s="78">
        <f t="shared" si="14"/>
        <v>0.93696693712672563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912.27886812000008</v>
      </c>
      <c r="C3" s="54">
        <f t="shared" ref="C3:V3" si="1">SUM(C4:C5)</f>
        <v>871.27017228</v>
      </c>
      <c r="D3" s="54">
        <f t="shared" si="1"/>
        <v>785.11443587999997</v>
      </c>
      <c r="E3" s="54">
        <f t="shared" si="1"/>
        <v>876.40362396</v>
      </c>
      <c r="F3" s="54">
        <f t="shared" si="1"/>
        <v>777.37979016000008</v>
      </c>
      <c r="G3" s="54">
        <f t="shared" si="1"/>
        <v>723.30338987999994</v>
      </c>
      <c r="H3" s="54">
        <f t="shared" si="1"/>
        <v>452.81112696000002</v>
      </c>
      <c r="I3" s="54">
        <f t="shared" si="1"/>
        <v>469.46833307999998</v>
      </c>
      <c r="J3" s="54">
        <f t="shared" si="1"/>
        <v>471.36232908000005</v>
      </c>
      <c r="K3" s="54">
        <f t="shared" si="1"/>
        <v>394.02407015999989</v>
      </c>
      <c r="L3" s="54">
        <f t="shared" si="1"/>
        <v>464.22339300000027</v>
      </c>
      <c r="M3" s="54">
        <f t="shared" si="1"/>
        <v>447.23803104000007</v>
      </c>
      <c r="N3" s="54">
        <f t="shared" si="1"/>
        <v>435.87405504000009</v>
      </c>
      <c r="O3" s="54">
        <f t="shared" si="1"/>
        <v>448.50060611999993</v>
      </c>
      <c r="P3" s="54">
        <f t="shared" si="1"/>
        <v>433.34863812000003</v>
      </c>
      <c r="Q3" s="54">
        <f t="shared" si="1"/>
        <v>421.03766412000004</v>
      </c>
      <c r="R3" s="54">
        <f t="shared" si="1"/>
        <v>408.09553596000001</v>
      </c>
      <c r="S3" s="54">
        <f t="shared" si="1"/>
        <v>417.86280216000011</v>
      </c>
      <c r="T3" s="54">
        <f t="shared" si="1"/>
        <v>410.31739187999978</v>
      </c>
      <c r="U3" s="54">
        <f t="shared" si="1"/>
        <v>445.04674883999985</v>
      </c>
      <c r="V3" s="54">
        <f t="shared" si="1"/>
        <v>475.04163311999991</v>
      </c>
      <c r="W3" s="54">
        <f t="shared" ref="W3:Y3" si="2">SUM(W4:W5)</f>
        <v>463.25244168</v>
      </c>
      <c r="X3" s="54">
        <f t="shared" si="2"/>
        <v>467.40056831999999</v>
      </c>
      <c r="Y3" s="54">
        <f t="shared" si="2"/>
        <v>441.27276012000004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53.012810088446273</v>
      </c>
      <c r="C4" s="56">
        <v>42.889785449516282</v>
      </c>
      <c r="D4" s="56">
        <v>33.59462443278494</v>
      </c>
      <c r="E4" s="56">
        <v>32.665293876302641</v>
      </c>
      <c r="F4" s="56">
        <v>21.564189310964132</v>
      </c>
      <c r="G4" s="56">
        <v>37.8600764591109</v>
      </c>
      <c r="H4" s="56">
        <v>31.812204872913441</v>
      </c>
      <c r="I4" s="56">
        <v>36.203639023797308</v>
      </c>
      <c r="J4" s="56">
        <v>39.70703470947366</v>
      </c>
      <c r="K4" s="56">
        <v>22.625807830651748</v>
      </c>
      <c r="L4" s="56">
        <v>22.635910967037692</v>
      </c>
      <c r="M4" s="56">
        <v>19.783896188266802</v>
      </c>
      <c r="N4" s="56">
        <v>17.534449563038223</v>
      </c>
      <c r="O4" s="56">
        <v>18.080884478829415</v>
      </c>
      <c r="P4" s="56">
        <v>17.600172554975508</v>
      </c>
      <c r="Q4" s="56">
        <v>15.412171503833939</v>
      </c>
      <c r="R4" s="56">
        <v>17.772663357233153</v>
      </c>
      <c r="S4" s="56">
        <v>14.06177985487702</v>
      </c>
      <c r="T4" s="56">
        <v>17.862070135199364</v>
      </c>
      <c r="U4" s="56">
        <v>23.769924274615292</v>
      </c>
      <c r="V4" s="56">
        <v>25.808132452741702</v>
      </c>
      <c r="W4" s="56">
        <v>29.920632440747056</v>
      </c>
      <c r="X4" s="56">
        <v>33.7249377172596</v>
      </c>
      <c r="Y4" s="56">
        <v>27.814773632907276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859.26605803155383</v>
      </c>
      <c r="C5" s="58">
        <v>828.38038683048376</v>
      </c>
      <c r="D5" s="58">
        <v>751.51981144721503</v>
      </c>
      <c r="E5" s="58">
        <v>843.73833008369741</v>
      </c>
      <c r="F5" s="58">
        <v>755.81560084903595</v>
      </c>
      <c r="G5" s="58">
        <v>685.44331342088901</v>
      </c>
      <c r="H5" s="58">
        <v>420.99892208708656</v>
      </c>
      <c r="I5" s="58">
        <v>433.2646940562027</v>
      </c>
      <c r="J5" s="58">
        <v>431.65529437052641</v>
      </c>
      <c r="K5" s="58">
        <v>371.39826232934814</v>
      </c>
      <c r="L5" s="58">
        <v>441.58748203296255</v>
      </c>
      <c r="M5" s="58">
        <v>427.45413485173327</v>
      </c>
      <c r="N5" s="58">
        <v>418.33960547696188</v>
      </c>
      <c r="O5" s="58">
        <v>430.4197216411705</v>
      </c>
      <c r="P5" s="58">
        <v>415.7484655650245</v>
      </c>
      <c r="Q5" s="58">
        <v>405.62549261616613</v>
      </c>
      <c r="R5" s="58">
        <v>390.32287260276684</v>
      </c>
      <c r="S5" s="58">
        <v>403.80102230512307</v>
      </c>
      <c r="T5" s="58">
        <v>392.45532174480041</v>
      </c>
      <c r="U5" s="58">
        <v>421.27682456538457</v>
      </c>
      <c r="V5" s="58">
        <v>449.23350066725823</v>
      </c>
      <c r="W5" s="58">
        <v>433.33180923925295</v>
      </c>
      <c r="X5" s="58">
        <v>433.6756306027404</v>
      </c>
      <c r="Y5" s="58">
        <v>413.45798648709274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3.1616843347512802</v>
      </c>
      <c r="C9" s="79">
        <f>IF(C3=0,0,C3/TrNavi_ene!C3)</f>
        <v>3.1575599956798879</v>
      </c>
      <c r="D9" s="79">
        <f>IF(D3=0,0,D3/TrNavi_ene!D3)</f>
        <v>3.1543924007842041</v>
      </c>
      <c r="E9" s="79">
        <f>IF(E3=0,0,E3/TrNavi_ene!E3)</f>
        <v>3.1609781816265472</v>
      </c>
      <c r="F9" s="79">
        <f>IF(F3=0,0,F3/TrNavi_ene!F3)</f>
        <v>3.1478520409014474</v>
      </c>
      <c r="G9" s="79">
        <f>IF(G3=0,0,G3/TrNavi_ene!G3)</f>
        <v>3.143145224912399</v>
      </c>
      <c r="H9" s="79">
        <f>IF(H3=0,0,H3/TrNavi_ene!H3)</f>
        <v>3.1096708667991346</v>
      </c>
      <c r="I9" s="79">
        <f>IF(I3=0,0,I3/TrNavi_ene!I3)</f>
        <v>3.1059119111948217</v>
      </c>
      <c r="J9" s="79">
        <f>IF(J3=0,0,J3/TrNavi_ene!J3)</f>
        <v>3.1058978596736222</v>
      </c>
      <c r="K9" s="79">
        <f>IF(K3=0,0,K3/TrNavi_ene!K3)</f>
        <v>3.1065816388384739</v>
      </c>
      <c r="L9" s="79">
        <f>IF(L3=0,0,L3/TrNavi_ene!L3)</f>
        <v>3.1041841061464246</v>
      </c>
      <c r="M9" s="79">
        <f>IF(M3=0,0,M3/TrNavi_ene!M3)</f>
        <v>3.1033347240913072</v>
      </c>
      <c r="N9" s="79">
        <f>IF(N3=0,0,N3/TrNavi_ene!N3)</f>
        <v>3.1033586110199138</v>
      </c>
      <c r="O9" s="79">
        <f>IF(O3=0,0,O3/TrNavi_ene!O3)</f>
        <v>3.1033321449122262</v>
      </c>
      <c r="P9" s="79">
        <f>IF(P3=0,0,P3/TrNavi_ene!P3)</f>
        <v>3.1033640896059955</v>
      </c>
      <c r="Q9" s="79">
        <f>IF(Q3=0,0,Q3/TrNavi_ene!Q3)</f>
        <v>3.1033917381665108</v>
      </c>
      <c r="R9" s="79">
        <f>IF(R3=0,0,R3/TrNavi_ene!R3)</f>
        <v>3.1034226034014947</v>
      </c>
      <c r="S9" s="79">
        <f>IF(S3=0,0,S3/TrNavi_ene!S3)</f>
        <v>3.1036933269132474</v>
      </c>
      <c r="T9" s="79">
        <f>IF(T3=0,0,T3/TrNavi_ene!T3)</f>
        <v>3.1032174594437607</v>
      </c>
      <c r="U9" s="79">
        <f>IF(U3=0,0,U3/TrNavi_ene!U3)</f>
        <v>3.1030630721370267</v>
      </c>
      <c r="V9" s="79">
        <f>IF(V3=0,0,V3/TrNavi_ene!V3)</f>
        <v>3.1029412767128917</v>
      </c>
      <c r="W9" s="79">
        <f>IF(W3=0,0,W3/TrNavi_ene!W3)</f>
        <v>3.1029545753837064</v>
      </c>
      <c r="X9" s="79">
        <f>IF(X3=0,0,X3/TrNavi_ene!X3)</f>
        <v>3.1028613168765831</v>
      </c>
      <c r="Y9" s="79">
        <f>IF(Y3=0,0,Y3/TrNavi_ene!Y3)</f>
        <v>3.1028875223076477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3.1616843347512802</v>
      </c>
      <c r="C10" s="80">
        <f>IF(C4=0,0,C4/TrNavi_ene!C4)</f>
        <v>3.1575599956798879</v>
      </c>
      <c r="D10" s="80">
        <f>IF(D4=0,0,D4/TrNavi_ene!D4)</f>
        <v>3.1543924007842041</v>
      </c>
      <c r="E10" s="80">
        <f>IF(E4=0,0,E4/TrNavi_ene!E4)</f>
        <v>3.1609781816265476</v>
      </c>
      <c r="F10" s="80">
        <f>IF(F4=0,0,F4/TrNavi_ene!F4)</f>
        <v>3.147852040901447</v>
      </c>
      <c r="G10" s="80">
        <f>IF(G4=0,0,G4/TrNavi_ene!G4)</f>
        <v>3.1431452249123986</v>
      </c>
      <c r="H10" s="80">
        <f>IF(H4=0,0,H4/TrNavi_ene!H4)</f>
        <v>3.1096708667991351</v>
      </c>
      <c r="I10" s="80">
        <f>IF(I4=0,0,I4/TrNavi_ene!I4)</f>
        <v>3.1059119111948221</v>
      </c>
      <c r="J10" s="80">
        <f>IF(J4=0,0,J4/TrNavi_ene!J4)</f>
        <v>3.1058978596736222</v>
      </c>
      <c r="K10" s="80">
        <f>IF(K4=0,0,K4/TrNavi_ene!K4)</f>
        <v>3.1065816388384739</v>
      </c>
      <c r="L10" s="80">
        <f>IF(L4=0,0,L4/TrNavi_ene!L4)</f>
        <v>3.1041841061464241</v>
      </c>
      <c r="M10" s="80">
        <f>IF(M4=0,0,M4/TrNavi_ene!M4)</f>
        <v>3.1033347240913072</v>
      </c>
      <c r="N10" s="80">
        <f>IF(N4=0,0,N4/TrNavi_ene!N4)</f>
        <v>3.1033586110199143</v>
      </c>
      <c r="O10" s="80">
        <f>IF(O4=0,0,O4/TrNavi_ene!O4)</f>
        <v>3.1033321449122262</v>
      </c>
      <c r="P10" s="80">
        <f>IF(P4=0,0,P4/TrNavi_ene!P4)</f>
        <v>3.1033640896059964</v>
      </c>
      <c r="Q10" s="80">
        <f>IF(Q4=0,0,Q4/TrNavi_ene!Q4)</f>
        <v>3.1033917381665108</v>
      </c>
      <c r="R10" s="80">
        <f>IF(R4=0,0,R4/TrNavi_ene!R4)</f>
        <v>3.1034226034014938</v>
      </c>
      <c r="S10" s="80">
        <f>IF(S4=0,0,S4/TrNavi_ene!S4)</f>
        <v>3.103693326913247</v>
      </c>
      <c r="T10" s="80">
        <f>IF(T4=0,0,T4/TrNavi_ene!T4)</f>
        <v>3.1032174594437607</v>
      </c>
      <c r="U10" s="80">
        <f>IF(U4=0,0,U4/TrNavi_ene!U4)</f>
        <v>3.1030630721370267</v>
      </c>
      <c r="V10" s="80">
        <f>IF(V4=0,0,V4/TrNavi_ene!V4)</f>
        <v>3.1029412767128921</v>
      </c>
      <c r="W10" s="80">
        <f>IF(W4=0,0,W4/TrNavi_ene!W4)</f>
        <v>3.1029545753837064</v>
      </c>
      <c r="X10" s="80">
        <f>IF(X4=0,0,X4/TrNavi_ene!X4)</f>
        <v>3.1028613168765835</v>
      </c>
      <c r="Y10" s="80">
        <f>IF(Y4=0,0,Y4/TrNavi_ene!Y4)</f>
        <v>3.1028875223076477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3.1616843347512802</v>
      </c>
      <c r="C11" s="81">
        <f>IF(C5=0,0,C5/TrNavi_ene!C10)</f>
        <v>3.1575599956798879</v>
      </c>
      <c r="D11" s="81">
        <f>IF(D5=0,0,D5/TrNavi_ene!D10)</f>
        <v>3.1543924007842041</v>
      </c>
      <c r="E11" s="81">
        <f>IF(E5=0,0,E5/TrNavi_ene!E10)</f>
        <v>3.1609781816265472</v>
      </c>
      <c r="F11" s="81">
        <f>IF(F5=0,0,F5/TrNavi_ene!F10)</f>
        <v>3.1478520409014474</v>
      </c>
      <c r="G11" s="81">
        <f>IF(G5=0,0,G5/TrNavi_ene!G10)</f>
        <v>3.143145224912399</v>
      </c>
      <c r="H11" s="81">
        <f>IF(H5=0,0,H5/TrNavi_ene!H10)</f>
        <v>3.1096708667991346</v>
      </c>
      <c r="I11" s="81">
        <f>IF(I5=0,0,I5/TrNavi_ene!I10)</f>
        <v>3.1059119111948217</v>
      </c>
      <c r="J11" s="81">
        <f>IF(J5=0,0,J5/TrNavi_ene!J10)</f>
        <v>3.1058978596736222</v>
      </c>
      <c r="K11" s="81">
        <f>IF(K5=0,0,K5/TrNavi_ene!K10)</f>
        <v>3.1065816388384739</v>
      </c>
      <c r="L11" s="81">
        <f>IF(L5=0,0,L5/TrNavi_ene!L10)</f>
        <v>3.1041841061464241</v>
      </c>
      <c r="M11" s="81">
        <f>IF(M5=0,0,M5/TrNavi_ene!M10)</f>
        <v>3.1033347240913072</v>
      </c>
      <c r="N11" s="81">
        <f>IF(N5=0,0,N5/TrNavi_ene!N10)</f>
        <v>3.1033586110199143</v>
      </c>
      <c r="O11" s="81">
        <f>IF(O5=0,0,O5/TrNavi_ene!O10)</f>
        <v>3.1033321449122262</v>
      </c>
      <c r="P11" s="81">
        <f>IF(P5=0,0,P5/TrNavi_ene!P10)</f>
        <v>3.1033640896059951</v>
      </c>
      <c r="Q11" s="81">
        <f>IF(Q5=0,0,Q5/TrNavi_ene!Q10)</f>
        <v>3.1033917381665108</v>
      </c>
      <c r="R11" s="81">
        <f>IF(R5=0,0,R5/TrNavi_ene!R10)</f>
        <v>3.1034226034014942</v>
      </c>
      <c r="S11" s="81">
        <f>IF(S5=0,0,S5/TrNavi_ene!S10)</f>
        <v>3.103693326913247</v>
      </c>
      <c r="T11" s="81">
        <f>IF(T5=0,0,T5/TrNavi_ene!T10)</f>
        <v>3.1032174594437603</v>
      </c>
      <c r="U11" s="81">
        <f>IF(U5=0,0,U5/TrNavi_ene!U10)</f>
        <v>3.1030630721370267</v>
      </c>
      <c r="V11" s="81">
        <f>IF(V5=0,0,V5/TrNavi_ene!V10)</f>
        <v>3.1029412767128921</v>
      </c>
      <c r="W11" s="81">
        <f>IF(W5=0,0,W5/TrNavi_ene!W10)</f>
        <v>3.1029545753837064</v>
      </c>
      <c r="X11" s="81">
        <f>IF(X5=0,0,X5/TrNavi_ene!X10)</f>
        <v>3.1028613168765831</v>
      </c>
      <c r="Y11" s="81">
        <f>IF(Y5=0,0,Y5/TrNavi_ene!Y10)</f>
        <v>3.1028875223076477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44948.702607410334</v>
      </c>
      <c r="C13" s="54">
        <f>IF(C3=0,0,C3/TrNavi_act!C7*1000)</f>
        <v>42657.046378457773</v>
      </c>
      <c r="D13" s="54">
        <f>IF(D3=0,0,D3/TrNavi_act!D7*1000)</f>
        <v>39445.058072749198</v>
      </c>
      <c r="E13" s="54">
        <f>IF(E3=0,0,E3/TrNavi_act!E7*1000)</f>
        <v>41339.793583018865</v>
      </c>
      <c r="F13" s="54">
        <f>IF(F3=0,0,F3/TrNavi_act!F7*1000)</f>
        <v>38510.838708015464</v>
      </c>
      <c r="G13" s="54">
        <f>IF(G3=0,0,G3/TrNavi_act!G7*1000)</f>
        <v>36654.507164648043</v>
      </c>
      <c r="H13" s="54">
        <f>IF(H3=0,0,H3/TrNavi_act!H7*1000)</f>
        <v>27744.079833343552</v>
      </c>
      <c r="I13" s="54">
        <f>IF(I3=0,0,I3/TrNavi_act!I7*1000)</f>
        <v>27984.521523605148</v>
      </c>
      <c r="J13" s="54">
        <f>IF(J3=0,0,J3/TrNavi_act!J7*1000)</f>
        <v>29998.238979189206</v>
      </c>
      <c r="K13" s="54">
        <f>IF(K3=0,0,K3/TrNavi_act!K7*1000)</f>
        <v>27746.21999577494</v>
      </c>
      <c r="L13" s="54">
        <f>IF(L3=0,0,L3/TrNavi_act!L7*1000)</f>
        <v>24049.287312852935</v>
      </c>
      <c r="M13" s="54">
        <f>IF(M3=0,0,M3/TrNavi_act!M7*1000)</f>
        <v>24846.557280000001</v>
      </c>
      <c r="N13" s="54">
        <f>IF(N3=0,0,N3/TrNavi_act!N7*1000)</f>
        <v>22723.076584297785</v>
      </c>
      <c r="O13" s="54">
        <f>IF(O3=0,0,O3/TrNavi_act!O7*1000)</f>
        <v>26354.483847690677</v>
      </c>
      <c r="P13" s="54">
        <f>IF(P3=0,0,P3/TrNavi_act!P7*1000)</f>
        <v>25947.466506197234</v>
      </c>
      <c r="Q13" s="54">
        <f>IF(Q3=0,0,Q3/TrNavi_act!Q7*1000)</f>
        <v>25255.693366924603</v>
      </c>
      <c r="R13" s="54">
        <f>IF(R3=0,0,R3/TrNavi_act!R7*1000)</f>
        <v>24667.283363152805</v>
      </c>
      <c r="S13" s="54">
        <f>IF(S3=0,0,S3/TrNavi_act!S7*1000)</f>
        <v>24173.481555015624</v>
      </c>
      <c r="T13" s="54">
        <f>IF(T3=0,0,T3/TrNavi_act!T7*1000)</f>
        <v>30988.399054452064</v>
      </c>
      <c r="U13" s="54">
        <f>IF(U3=0,0,U3/TrNavi_act!U7*1000)</f>
        <v>35198.255998101857</v>
      </c>
      <c r="V13" s="54">
        <f>IF(V3=0,0,V3/TrNavi_act!V7*1000)</f>
        <v>40473.854743120042</v>
      </c>
      <c r="W13" s="54">
        <f>IF(W3=0,0,W3/TrNavi_act!W7*1000)</f>
        <v>37392.238411494072</v>
      </c>
      <c r="X13" s="54">
        <f>IF(X3=0,0,X3/TrNavi_act!X7*1000)</f>
        <v>45211.894788160178</v>
      </c>
      <c r="Y13" s="54">
        <f>IF(Y3=0,0,Y3/TrNavi_act!Y7*1000)</f>
        <v>46076.303656677461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449261.10244445992</v>
      </c>
      <c r="C14" s="56">
        <f>IF(C4=0,0,C4/TrNavi_act!C8*1000)</f>
        <v>428897.85449516278</v>
      </c>
      <c r="D14" s="56">
        <f>IF(D4=0,0,D4/TrNavi_act!D8*1000)</f>
        <v>419932.80540981173</v>
      </c>
      <c r="E14" s="56">
        <f>IF(E4=0,0,E4/TrNavi_act!E8*1000)</f>
        <v>435537.25168403523</v>
      </c>
      <c r="F14" s="56">
        <f>IF(F4=0,0,F4/TrNavi_act!F8*1000)</f>
        <v>406871.49643328553</v>
      </c>
      <c r="G14" s="56">
        <f>IF(G4=0,0,G4/TrNavi_act!G8*1000)</f>
        <v>386327.31080725405</v>
      </c>
      <c r="H14" s="56">
        <f>IF(H4=0,0,H4/TrNavi_act!H8*1000)</f>
        <v>276627.86846011685</v>
      </c>
      <c r="I14" s="56">
        <f>IF(I4=0,0,I4/TrNavi_act!I8*1000)</f>
        <v>278489.53095228702</v>
      </c>
      <c r="J14" s="56">
        <f>IF(J4=0,0,J4/TrNavi_act!J8*1000)</f>
        <v>312653.81661002879</v>
      </c>
      <c r="K14" s="56">
        <f>IF(K4=0,0,K4/TrNavi_act!K8*1000)</f>
        <v>290074.45936733013</v>
      </c>
      <c r="L14" s="56">
        <f>IF(L4=0,0,L4/TrNavi_act!L8*1000)</f>
        <v>266304.83490632579</v>
      </c>
      <c r="M14" s="56">
        <f>IF(M4=0,0,M4/TrNavi_act!M8*1000)</f>
        <v>274776.33594815008</v>
      </c>
      <c r="N14" s="56">
        <f>IF(N4=0,0,N4/TrNavi_act!N8*1000)</f>
        <v>243534.02170886422</v>
      </c>
      <c r="O14" s="56">
        <f>IF(O4=0,0,O4/TrNavi_act!O8*1000)</f>
        <v>269863.94744521508</v>
      </c>
      <c r="P14" s="56">
        <f>IF(P4=0,0,P4/TrNavi_act!P8*1000)</f>
        <v>270771.88546116167</v>
      </c>
      <c r="Q14" s="56">
        <f>IF(Q4=0,0,Q4/TrNavi_act!Q8*1000)</f>
        <v>261223.24582769393</v>
      </c>
      <c r="R14" s="56">
        <f>IF(R4=0,0,R4/TrNavi_act!R8*1000)</f>
        <v>265263.63219750969</v>
      </c>
      <c r="S14" s="56">
        <f>IF(S4=0,0,S4/TrNavi_act!S8*1000)</f>
        <v>281235.59709754039</v>
      </c>
      <c r="T14" s="56">
        <f>IF(T4=0,0,T4/TrNavi_act!T8*1000)</f>
        <v>350236.6693176346</v>
      </c>
      <c r="U14" s="56">
        <f>IF(U4=0,0,U4/TrNavi_act!U8*1000)</f>
        <v>383385.87539702083</v>
      </c>
      <c r="V14" s="56">
        <f>IF(V4=0,0,V4/TrNavi_act!V8*1000)</f>
        <v>416260.20085067261</v>
      </c>
      <c r="W14" s="56">
        <f>IF(W4=0,0,W4/TrNavi_act!W8*1000)</f>
        <v>383597.8518044494</v>
      </c>
      <c r="X14" s="56">
        <f>IF(X4=0,0,X4/TrNavi_act!X8*1000)</f>
        <v>481784.82453227998</v>
      </c>
      <c r="Y14" s="56">
        <f>IF(Y4=0,0,Y4/TrNavi_act!Y8*1000)</f>
        <v>496692.38630191563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42584.302608363258</v>
      </c>
      <c r="C15" s="58">
        <f>IF(C5=0,0,C5/TrNavi_act!C9*1000)</f>
        <v>40756.722599285793</v>
      </c>
      <c r="D15" s="58">
        <f>IF(D5=0,0,D5/TrNavi_act!D9*1000)</f>
        <v>37909.595008434975</v>
      </c>
      <c r="E15" s="58">
        <f>IF(E5=0,0,E5/TrNavi_act!E9*1000)</f>
        <v>39940.275980293372</v>
      </c>
      <c r="F15" s="58">
        <f>IF(F5=0,0,F5/TrNavi_act!F9*1000)</f>
        <v>37541.131517858041</v>
      </c>
      <c r="G15" s="58">
        <f>IF(G5=0,0,G5/TrNavi_act!G9*1000)</f>
        <v>34909.259659836462</v>
      </c>
      <c r="H15" s="58">
        <f>IF(H5=0,0,H5/TrNavi_act!H9*1000)</f>
        <v>25977.966314148252</v>
      </c>
      <c r="I15" s="58">
        <f>IF(I5=0,0,I5/TrNavi_act!I9*1000)</f>
        <v>26028.156557503466</v>
      </c>
      <c r="J15" s="58">
        <f>IF(J5=0,0,J5/TrNavi_act!J9*1000)</f>
        <v>27695.065723760195</v>
      </c>
      <c r="K15" s="58">
        <f>IF(K5=0,0,K5/TrNavi_act!K9*1000)</f>
        <v>26297.405815290531</v>
      </c>
      <c r="L15" s="58">
        <f>IF(L5=0,0,L5/TrNavi_act!L9*1000)</f>
        <v>22977.806329116585</v>
      </c>
      <c r="M15" s="58">
        <f>IF(M5=0,0,M5/TrNavi_act!M9*1000)</f>
        <v>23842.823229123896</v>
      </c>
      <c r="N15" s="58">
        <f>IF(N5=0,0,N5/TrNavi_act!N9*1000)</f>
        <v>21891.13581773741</v>
      </c>
      <c r="O15" s="58">
        <f>IF(O5=0,0,O5/TrNavi_act!O9*1000)</f>
        <v>25391.995849281484</v>
      </c>
      <c r="P15" s="58">
        <f>IF(P5=0,0,P5/TrNavi_act!P9*1000)</f>
        <v>24990.89117366101</v>
      </c>
      <c r="Q15" s="58">
        <f>IF(Q5=0,0,Q5/TrNavi_act!Q9*1000)</f>
        <v>24417.619348432829</v>
      </c>
      <c r="R15" s="58">
        <f>IF(R5=0,0,R5/TrNavi_act!R9*1000)</f>
        <v>23688.952637177084</v>
      </c>
      <c r="S15" s="58">
        <f>IF(S5=0,0,S5/TrNavi_act!S9*1000)</f>
        <v>23427.768757549493</v>
      </c>
      <c r="T15" s="58">
        <f>IF(T5=0,0,T5/TrNavi_act!T9*1000)</f>
        <v>29754.004681182745</v>
      </c>
      <c r="U15" s="58">
        <f>IF(U5=0,0,U5/TrNavi_act!U9*1000)</f>
        <v>33482.500760243565</v>
      </c>
      <c r="V15" s="58">
        <f>IF(V5=0,0,V5/TrNavi_act!V9*1000)</f>
        <v>38478.244168501777</v>
      </c>
      <c r="W15" s="58">
        <f>IF(W5=0,0,W5/TrNavi_act!W9*1000)</f>
        <v>35198.7498366707</v>
      </c>
      <c r="X15" s="58">
        <f>IF(X5=0,0,X5/TrNavi_act!X9*1000)</f>
        <v>42235.64770186408</v>
      </c>
      <c r="Y15" s="58">
        <f>IF(Y5=0,0,Y5/TrNavi_act!Y9*1000)</f>
        <v>43425.899221415049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121.68910309998934</v>
      </c>
      <c r="C17" s="62">
        <f>IF(C3=0,0,C3/TrNavi_act!C3*1000)</f>
        <v>110.20571370097572</v>
      </c>
      <c r="D17" s="62">
        <f>IF(D3=0,0,D3/TrNavi_act!D3*1000)</f>
        <v>94.733310409202716</v>
      </c>
      <c r="E17" s="62">
        <f>IF(E3=0,0,E3/TrNavi_act!E3*1000)</f>
        <v>103.92049521634499</v>
      </c>
      <c r="F17" s="62">
        <f>IF(F3=0,0,F3/TrNavi_act!F3*1000)</f>
        <v>90.995388326535647</v>
      </c>
      <c r="G17" s="62">
        <f>IF(G3=0,0,G3/TrNavi_act!G3*1000)</f>
        <v>81.811673856966308</v>
      </c>
      <c r="H17" s="62">
        <f>IF(H3=0,0,H3/TrNavi_act!H3*1000)</f>
        <v>49.013643811838563</v>
      </c>
      <c r="I17" s="62">
        <f>IF(I3=0,0,I3/TrNavi_act!I3*1000)</f>
        <v>49.98019640188577</v>
      </c>
      <c r="J17" s="62">
        <f>IF(J3=0,0,J3/TrNavi_act!J3*1000)</f>
        <v>51.648425274293253</v>
      </c>
      <c r="K17" s="62">
        <f>IF(K3=0,0,K3/TrNavi_act!K3*1000)</f>
        <v>53.798071601678274</v>
      </c>
      <c r="L17" s="62">
        <f>IF(L3=0,0,L3/TrNavi_act!L3*1000)</f>
        <v>49.767437719329692</v>
      </c>
      <c r="M17" s="62">
        <f>IF(M3=0,0,M3/TrNavi_act!M3*1000)</f>
        <v>47.30333434129944</v>
      </c>
      <c r="N17" s="62">
        <f>IF(N3=0,0,N3/TrNavi_act!N3*1000)</f>
        <v>41.021232084258628</v>
      </c>
      <c r="O17" s="62">
        <f>IF(O3=0,0,O3/TrNavi_act!O3*1000)</f>
        <v>42.471362751254226</v>
      </c>
      <c r="P17" s="62">
        <f>IF(P3=0,0,P3/TrNavi_act!P3*1000)</f>
        <v>40.722457105026869</v>
      </c>
      <c r="Q17" s="62">
        <f>IF(Q3=0,0,Q3/TrNavi_act!Q3*1000)</f>
        <v>39.672033418766624</v>
      </c>
      <c r="R17" s="62">
        <f>IF(R3=0,0,R3/TrNavi_act!R3*1000)</f>
        <v>38.687274189598917</v>
      </c>
      <c r="S17" s="62">
        <f>IF(S3=0,0,S3/TrNavi_act!S3*1000)</f>
        <v>37.099895603195556</v>
      </c>
      <c r="T17" s="62">
        <f>IF(T3=0,0,T3/TrNavi_act!T3*1000)</f>
        <v>50.343554970549697</v>
      </c>
      <c r="U17" s="62">
        <f>IF(U3=0,0,U3/TrNavi_act!U3*1000)</f>
        <v>55.912235910277424</v>
      </c>
      <c r="V17" s="62">
        <f>IF(V3=0,0,V3/TrNavi_act!V3*1000)</f>
        <v>62.544658979131526</v>
      </c>
      <c r="W17" s="62">
        <f>IF(W3=0,0,W3/TrNavi_act!W3*1000)</f>
        <v>54.873504555927916</v>
      </c>
      <c r="X17" s="62">
        <f>IF(X3=0,0,X3/TrNavi_act!X3*1000)</f>
        <v>59.990516057711474</v>
      </c>
      <c r="Y17" s="62">
        <f>IF(Y3=0,0,Y3/TrNavi_act!Y3*1000)</f>
        <v>61.791717567112855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188.12210819178947</v>
      </c>
      <c r="C18" s="63">
        <f>IF(C4=0,0,C4/TrNavi_act!C4*1000)</f>
        <v>170.97577246242332</v>
      </c>
      <c r="D18" s="63">
        <f>IF(D4=0,0,D4/TrNavi_act!D4*1000)</f>
        <v>156.52489159282544</v>
      </c>
      <c r="E18" s="63">
        <f>IF(E4=0,0,E4/TrNavi_act!E4*1000)</f>
        <v>160.5923840431781</v>
      </c>
      <c r="F18" s="63">
        <f>IF(F4=0,0,F4/TrNavi_act!F4*1000)</f>
        <v>142.74491825511777</v>
      </c>
      <c r="G18" s="63">
        <f>IF(G4=0,0,G4/TrNavi_act!G4*1000)</f>
        <v>137.6339673078578</v>
      </c>
      <c r="H18" s="63">
        <f>IF(H4=0,0,H4/TrNavi_act!H4*1000)</f>
        <v>96.263226948547498</v>
      </c>
      <c r="I18" s="63">
        <f>IF(I4=0,0,I4/TrNavi_act!I4*1000)</f>
        <v>93.528429070977097</v>
      </c>
      <c r="J18" s="63">
        <f>IF(J4=0,0,J4/TrNavi_act!J4*1000)</f>
        <v>104.39219986505995</v>
      </c>
      <c r="K18" s="63">
        <f>IF(K4=0,0,K4/TrNavi_act!K4*1000)</f>
        <v>95.415206134406219</v>
      </c>
      <c r="L18" s="63">
        <f>IF(L4=0,0,L4/TrNavi_act!L4*1000)</f>
        <v>87.785766236078146</v>
      </c>
      <c r="M18" s="63">
        <f>IF(M4=0,0,M4/TrNavi_act!M4*1000)</f>
        <v>97.130816947250395</v>
      </c>
      <c r="N18" s="63">
        <f>IF(N4=0,0,N4/TrNavi_act!N4*1000)</f>
        <v>85.295903931655204</v>
      </c>
      <c r="O18" s="63">
        <f>IF(O4=0,0,O4/TrNavi_act!O4*1000)</f>
        <v>92.688736300267152</v>
      </c>
      <c r="P18" s="63">
        <f>IF(P4=0,0,P4/TrNavi_act!P4*1000)</f>
        <v>92.38208306419709</v>
      </c>
      <c r="Q18" s="63">
        <f>IF(Q4=0,0,Q4/TrNavi_act!Q4*1000)</f>
        <v>82.436103658202811</v>
      </c>
      <c r="R18" s="63">
        <f>IF(R4=0,0,R4/TrNavi_act!R4*1000)</f>
        <v>81.685978302607182</v>
      </c>
      <c r="S18" s="63">
        <f>IF(S4=0,0,S4/TrNavi_act!S4*1000)</f>
        <v>85.130039077836429</v>
      </c>
      <c r="T18" s="63">
        <f>IF(T4=0,0,T4/TrNavi_act!T4*1000)</f>
        <v>108.68576135226513</v>
      </c>
      <c r="U18" s="63">
        <f>IF(U4=0,0,U4/TrNavi_act!U4*1000)</f>
        <v>123.32764828220326</v>
      </c>
      <c r="V18" s="63">
        <f>IF(V4=0,0,V4/TrNavi_act!V4*1000)</f>
        <v>124.53318368039655</v>
      </c>
      <c r="W18" s="63">
        <f>IF(W4=0,0,W4/TrNavi_act!W4*1000)</f>
        <v>114.1190002622052</v>
      </c>
      <c r="X18" s="63">
        <f>IF(X4=0,0,X4/TrNavi_act!X4*1000)</f>
        <v>145.21526223732931</v>
      </c>
      <c r="Y18" s="63">
        <f>IF(Y4=0,0,Y4/TrNavi_act!Y4*1000)</f>
        <v>146.16813878023507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119.09439473756809</v>
      </c>
      <c r="C19" s="64">
        <f>IF(C5=0,0,C5/TrNavi_act!C5*1000)</f>
        <v>108.21428959248645</v>
      </c>
      <c r="D19" s="64">
        <f>IF(D5=0,0,D5/TrNavi_act!D5*1000)</f>
        <v>93.090525386747814</v>
      </c>
      <c r="E19" s="64">
        <f>IF(E5=0,0,E5/TrNavi_act!E5*1000)</f>
        <v>102.51984569668255</v>
      </c>
      <c r="F19" s="64">
        <f>IF(F5=0,0,F5/TrNavi_act!F5*1000)</f>
        <v>90.063822789446604</v>
      </c>
      <c r="G19" s="64">
        <f>IF(G5=0,0,G5/TrNavi_act!G5*1000)</f>
        <v>80.019065307131569</v>
      </c>
      <c r="H19" s="64">
        <f>IF(H5=0,0,H5/TrNavi_act!H5*1000)</f>
        <v>47.260768083417894</v>
      </c>
      <c r="I19" s="64">
        <f>IF(I5=0,0,I5/TrNavi_act!I5*1000)</f>
        <v>48.108449262292105</v>
      </c>
      <c r="J19" s="64">
        <f>IF(J5=0,0,J5/TrNavi_act!J5*1000)</f>
        <v>49.354595743257072</v>
      </c>
      <c r="K19" s="64">
        <f>IF(K5=0,0,K5/TrNavi_act!K5*1000)</f>
        <v>52.40556826997998</v>
      </c>
      <c r="L19" s="64">
        <f>IF(L5=0,0,L5/TrNavi_act!L5*1000)</f>
        <v>48.686602208705899</v>
      </c>
      <c r="M19" s="64">
        <f>IF(M5=0,0,M5/TrNavi_act!M5*1000)</f>
        <v>46.206262550181954</v>
      </c>
      <c r="N19" s="64">
        <f>IF(N5=0,0,N5/TrNavi_act!N5*1000)</f>
        <v>40.147754844238186</v>
      </c>
      <c r="O19" s="64">
        <f>IF(O5=0,0,O5/TrNavi_act!O5*1000)</f>
        <v>41.526263544734249</v>
      </c>
      <c r="P19" s="64">
        <f>IF(P5=0,0,P5/TrNavi_act!P5*1000)</f>
        <v>39.780735390395613</v>
      </c>
      <c r="Q19" s="64">
        <f>IF(Q5=0,0,Q5/TrNavi_act!Q5*1000)</f>
        <v>38.905188242486673</v>
      </c>
      <c r="R19" s="64">
        <f>IF(R5=0,0,R5/TrNavi_act!R5*1000)</f>
        <v>37.78171257407481</v>
      </c>
      <c r="S19" s="64">
        <f>IF(S5=0,0,S5/TrNavi_act!S5*1000)</f>
        <v>36.385026338540555</v>
      </c>
      <c r="T19" s="64">
        <f>IF(T5=0,0,T5/TrNavi_act!T5*1000)</f>
        <v>49.142915319909889</v>
      </c>
      <c r="U19" s="64">
        <f>IF(U5=0,0,U5/TrNavi_act!U5*1000)</f>
        <v>54.239323363639059</v>
      </c>
      <c r="V19" s="64">
        <f>IF(V5=0,0,V5/TrNavi_act!V5*1000)</f>
        <v>60.805833874831919</v>
      </c>
      <c r="W19" s="64">
        <f>IF(W5=0,0,W5/TrNavi_act!W5*1000)</f>
        <v>52.97454880675464</v>
      </c>
      <c r="X19" s="64">
        <f>IF(X5=0,0,X5/TrNavi_act!X5*1000)</f>
        <v>57.37209030331266</v>
      </c>
      <c r="Y19" s="64">
        <f>IF(Y5=0,0,Y5/TrNavi_act!Y5*1000)</f>
        <v>59.481799235662884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5.8110312472428143E-2</v>
      </c>
      <c r="C22" s="77">
        <f t="shared" si="6"/>
        <v>4.922673450105531E-2</v>
      </c>
      <c r="D22" s="77">
        <f t="shared" si="6"/>
        <v>4.2789462143986962E-2</v>
      </c>
      <c r="E22" s="77">
        <f t="shared" si="6"/>
        <v>3.7271974902049837E-2</v>
      </c>
      <c r="F22" s="77">
        <f t="shared" si="6"/>
        <v>2.7739580554989467E-2</v>
      </c>
      <c r="G22" s="77">
        <f t="shared" si="6"/>
        <v>5.2343286356492949E-2</v>
      </c>
      <c r="H22" s="77">
        <f t="shared" si="6"/>
        <v>7.0254909782116806E-2</v>
      </c>
      <c r="I22" s="77">
        <f t="shared" si="6"/>
        <v>7.7116253584729025E-2</v>
      </c>
      <c r="J22" s="77">
        <f t="shared" si="6"/>
        <v>8.4238880071246733E-2</v>
      </c>
      <c r="K22" s="77">
        <f t="shared" si="6"/>
        <v>5.7422400163178282E-2</v>
      </c>
      <c r="L22" s="77">
        <f t="shared" si="6"/>
        <v>4.87608149618554E-2</v>
      </c>
      <c r="M22" s="77">
        <f t="shared" si="6"/>
        <v>4.423571971789083E-2</v>
      </c>
      <c r="N22" s="77">
        <f t="shared" si="6"/>
        <v>4.0228247954398409E-2</v>
      </c>
      <c r="O22" s="77">
        <f t="shared" si="6"/>
        <v>4.0314069216646119E-2</v>
      </c>
      <c r="P22" s="77">
        <f t="shared" si="6"/>
        <v>4.0614348371626321E-2</v>
      </c>
      <c r="Q22" s="77">
        <f t="shared" si="6"/>
        <v>3.660520855312676E-2</v>
      </c>
      <c r="R22" s="77">
        <f t="shared" si="6"/>
        <v>4.3550251818915177E-2</v>
      </c>
      <c r="S22" s="77">
        <f t="shared" si="6"/>
        <v>3.3651666963868079E-2</v>
      </c>
      <c r="T22" s="77">
        <f t="shared" si="6"/>
        <v>4.3532325191868185E-2</v>
      </c>
      <c r="U22" s="77">
        <f t="shared" si="6"/>
        <v>5.3409949261669344E-2</v>
      </c>
      <c r="V22" s="77">
        <f t="shared" ref="V22:W22" si="7">IF(V4=0,0,V4/V$3)</f>
        <v>5.4328148636652925E-2</v>
      </c>
      <c r="W22" s="77">
        <f t="shared" si="7"/>
        <v>6.4588180760016961E-2</v>
      </c>
      <c r="X22" s="77">
        <f t="shared" ref="X22:Y22" si="8">IF(X4=0,0,X4/X$3)</f>
        <v>7.2154250557458111E-2</v>
      </c>
      <c r="Y22" s="77">
        <f t="shared" si="8"/>
        <v>6.3033062873274356E-2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0.94188968752757185</v>
      </c>
      <c r="C23" s="78">
        <f t="shared" si="9"/>
        <v>0.9507732654989447</v>
      </c>
      <c r="D23" s="78">
        <f t="shared" si="9"/>
        <v>0.95721053785601307</v>
      </c>
      <c r="E23" s="78">
        <f t="shared" si="9"/>
        <v>0.96272802509795019</v>
      </c>
      <c r="F23" s="78">
        <f t="shared" si="9"/>
        <v>0.97226041944501052</v>
      </c>
      <c r="G23" s="78">
        <f t="shared" si="9"/>
        <v>0.94765671364350701</v>
      </c>
      <c r="H23" s="78">
        <f t="shared" si="9"/>
        <v>0.9297450902178831</v>
      </c>
      <c r="I23" s="78">
        <f t="shared" si="9"/>
        <v>0.92288374641527104</v>
      </c>
      <c r="J23" s="78">
        <f t="shared" si="9"/>
        <v>0.91576111992875331</v>
      </c>
      <c r="K23" s="78">
        <f t="shared" si="9"/>
        <v>0.94257759983682166</v>
      </c>
      <c r="L23" s="78">
        <f t="shared" si="9"/>
        <v>0.95123918503814453</v>
      </c>
      <c r="M23" s="78">
        <f t="shared" si="9"/>
        <v>0.95576428028210914</v>
      </c>
      <c r="N23" s="78">
        <f t="shared" si="9"/>
        <v>0.95977175204560161</v>
      </c>
      <c r="O23" s="78">
        <f t="shared" si="9"/>
        <v>0.95968593078335385</v>
      </c>
      <c r="P23" s="78">
        <f t="shared" si="9"/>
        <v>0.95938565162837364</v>
      </c>
      <c r="Q23" s="78">
        <f t="shared" si="9"/>
        <v>0.96339479144687323</v>
      </c>
      <c r="R23" s="78">
        <f t="shared" si="9"/>
        <v>0.95644974818108475</v>
      </c>
      <c r="S23" s="78">
        <f t="shared" si="9"/>
        <v>0.96634833303613188</v>
      </c>
      <c r="T23" s="78">
        <f t="shared" si="9"/>
        <v>0.95646767480813177</v>
      </c>
      <c r="U23" s="78">
        <f t="shared" si="9"/>
        <v>0.94659005073833069</v>
      </c>
      <c r="V23" s="78">
        <f t="shared" ref="V23:W23" si="10">IF(V5=0,0,V5/V$3)</f>
        <v>0.94567185136334708</v>
      </c>
      <c r="W23" s="78">
        <f t="shared" si="10"/>
        <v>0.93541181923998307</v>
      </c>
      <c r="X23" s="78">
        <f t="shared" ref="X23:Y23" si="11">IF(X5=0,0,X5/X$3)</f>
        <v>0.92784574944254194</v>
      </c>
      <c r="Y23" s="78">
        <f t="shared" si="11"/>
        <v>0.93696693712672563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536916.56472699996</v>
      </c>
      <c r="C3" s="54">
        <f t="shared" si="0"/>
        <v>520691.82786900003</v>
      </c>
      <c r="D3" s="54">
        <f t="shared" si="0"/>
        <v>531595.50188899995</v>
      </c>
      <c r="E3" s="54">
        <f t="shared" si="0"/>
        <v>574420.27238299989</v>
      </c>
      <c r="F3" s="54">
        <f t="shared" si="0"/>
        <v>613771.14148300001</v>
      </c>
      <c r="G3" s="54">
        <f t="shared" si="0"/>
        <v>664874.12805900001</v>
      </c>
      <c r="H3" s="54">
        <f t="shared" si="0"/>
        <v>708968.74720900005</v>
      </c>
      <c r="I3" s="54">
        <f t="shared" si="0"/>
        <v>781322.25958099996</v>
      </c>
      <c r="J3" s="54">
        <f t="shared" si="0"/>
        <v>813581.504128</v>
      </c>
      <c r="K3" s="54">
        <f t="shared" si="0"/>
        <v>669504.83432400005</v>
      </c>
      <c r="L3" s="54">
        <f t="shared" si="0"/>
        <v>739165.99785699998</v>
      </c>
      <c r="M3" s="54">
        <f t="shared" si="0"/>
        <v>790637.17215100012</v>
      </c>
      <c r="N3" s="54">
        <f t="shared" si="0"/>
        <v>738084.92249000003</v>
      </c>
      <c r="O3" s="54">
        <f t="shared" si="0"/>
        <v>750287.93105100002</v>
      </c>
      <c r="P3" s="54">
        <f t="shared" si="0"/>
        <v>776085.00841999997</v>
      </c>
      <c r="Q3" s="54">
        <f t="shared" si="0"/>
        <v>796288.66436399997</v>
      </c>
      <c r="R3" s="54">
        <f t="shared" ref="R3:W3" si="1">SUM(R4:R5)</f>
        <v>808204.62106800009</v>
      </c>
      <c r="S3" s="54">
        <f t="shared" si="1"/>
        <v>887239.77969999996</v>
      </c>
      <c r="T3" s="54">
        <f t="shared" si="1"/>
        <v>925120.13366799988</v>
      </c>
      <c r="U3" s="54">
        <f t="shared" si="1"/>
        <v>957578.57390800002</v>
      </c>
      <c r="V3" s="54">
        <f t="shared" si="1"/>
        <v>929165.93140799995</v>
      </c>
      <c r="W3" s="54">
        <f t="shared" si="1"/>
        <v>999101.31787699985</v>
      </c>
      <c r="X3" s="54">
        <f t="shared" ref="X3:Y3" si="2">SUM(X4:X5)</f>
        <v>1002580.5164259999</v>
      </c>
      <c r="Y3" s="54">
        <f t="shared" si="2"/>
        <v>955781.52598399995</v>
      </c>
      <c r="DA3" s="172" t="s">
        <v>388</v>
      </c>
    </row>
    <row r="4" spans="1:105" ht="11.45" customHeight="1" x14ac:dyDescent="0.25">
      <c r="A4" s="55" t="s">
        <v>166</v>
      </c>
      <c r="B4" s="56">
        <v>49184.657199000001</v>
      </c>
      <c r="C4" s="56">
        <v>49571.621654000002</v>
      </c>
      <c r="D4" s="56">
        <v>46311.462051999995</v>
      </c>
      <c r="E4" s="56">
        <v>49835.065215000002</v>
      </c>
      <c r="F4" s="56">
        <v>45353.962316000005</v>
      </c>
      <c r="G4" s="56">
        <v>42186.861394</v>
      </c>
      <c r="H4" s="56">
        <v>43542.823435999999</v>
      </c>
      <c r="I4" s="56">
        <v>45916.212125000005</v>
      </c>
      <c r="J4" s="56">
        <v>47033.962696000002</v>
      </c>
      <c r="K4" s="56">
        <v>38142.209949999997</v>
      </c>
      <c r="L4" s="56">
        <v>46831.924543000001</v>
      </c>
      <c r="M4" s="56">
        <v>45203.572231000006</v>
      </c>
      <c r="N4" s="56">
        <v>46983.007283999999</v>
      </c>
      <c r="O4" s="56">
        <v>50501.311792</v>
      </c>
      <c r="P4" s="56">
        <v>54921.373045</v>
      </c>
      <c r="Q4" s="56">
        <v>59910.052713000005</v>
      </c>
      <c r="R4" s="56">
        <v>74330.511014000003</v>
      </c>
      <c r="S4" s="56">
        <v>71080.777851999999</v>
      </c>
      <c r="T4" s="56">
        <v>68278.003192999997</v>
      </c>
      <c r="U4" s="56">
        <v>73707.247208000001</v>
      </c>
      <c r="V4" s="56">
        <v>73016.350895999989</v>
      </c>
      <c r="W4" s="56">
        <v>78781.264410999996</v>
      </c>
      <c r="X4" s="56">
        <v>80759.409822000001</v>
      </c>
      <c r="Y4" s="56">
        <v>86938.288992999995</v>
      </c>
      <c r="DA4" s="181" t="s">
        <v>389</v>
      </c>
    </row>
    <row r="5" spans="1:105" ht="11.45" customHeight="1" x14ac:dyDescent="0.25">
      <c r="A5" s="57" t="s">
        <v>167</v>
      </c>
      <c r="B5" s="58">
        <v>487731.90752800001</v>
      </c>
      <c r="C5" s="58">
        <v>471120.20621500001</v>
      </c>
      <c r="D5" s="58">
        <v>485284.03983699996</v>
      </c>
      <c r="E5" s="58">
        <v>524585.20716799994</v>
      </c>
      <c r="F5" s="58">
        <v>568417.17916699999</v>
      </c>
      <c r="G5" s="58">
        <v>622687.266665</v>
      </c>
      <c r="H5" s="58">
        <v>665425.92377300002</v>
      </c>
      <c r="I5" s="58">
        <v>735406.047456</v>
      </c>
      <c r="J5" s="58">
        <v>766547.541432</v>
      </c>
      <c r="K5" s="58">
        <v>631362.62437400001</v>
      </c>
      <c r="L5" s="58">
        <v>692334.07331400004</v>
      </c>
      <c r="M5" s="58">
        <v>745433.59992000007</v>
      </c>
      <c r="N5" s="58">
        <v>691101.91520599998</v>
      </c>
      <c r="O5" s="58">
        <v>699786.61925900006</v>
      </c>
      <c r="P5" s="58">
        <v>721163.63537499995</v>
      </c>
      <c r="Q5" s="58">
        <v>736378.61165099998</v>
      </c>
      <c r="R5" s="58">
        <v>733874.11005400005</v>
      </c>
      <c r="S5" s="58">
        <v>816159.00184799999</v>
      </c>
      <c r="T5" s="58">
        <v>856842.1304749999</v>
      </c>
      <c r="U5" s="58">
        <v>883871.32669999998</v>
      </c>
      <c r="V5" s="58">
        <v>856149.5805119999</v>
      </c>
      <c r="W5" s="58">
        <v>920320.0534659999</v>
      </c>
      <c r="X5" s="58">
        <v>921821.10660399997</v>
      </c>
      <c r="Y5" s="58">
        <v>868843.23699100001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26.299203000000002</v>
      </c>
      <c r="C7" s="59">
        <f t="shared" si="3"/>
        <v>24.330481999999996</v>
      </c>
      <c r="D7" s="59">
        <f t="shared" si="3"/>
        <v>23.310168000000001</v>
      </c>
      <c r="E7" s="59">
        <f t="shared" si="3"/>
        <v>25.374106000000005</v>
      </c>
      <c r="F7" s="59">
        <f t="shared" si="3"/>
        <v>25.288091999999999</v>
      </c>
      <c r="G7" s="59">
        <f t="shared" si="3"/>
        <v>26.894259999999999</v>
      </c>
      <c r="H7" s="59">
        <f t="shared" si="3"/>
        <v>27.510511999999999</v>
      </c>
      <c r="I7" s="59">
        <f t="shared" si="3"/>
        <v>29.513676</v>
      </c>
      <c r="J7" s="59">
        <f t="shared" si="3"/>
        <v>29.990597000000001</v>
      </c>
      <c r="K7" s="59">
        <f t="shared" si="3"/>
        <v>25.037919000000002</v>
      </c>
      <c r="L7" s="59">
        <f t="shared" si="3"/>
        <v>26.528578000000003</v>
      </c>
      <c r="M7" s="59">
        <f t="shared" si="3"/>
        <v>27.176814999999998</v>
      </c>
      <c r="N7" s="59">
        <f t="shared" si="3"/>
        <v>25.267959000000001</v>
      </c>
      <c r="O7" s="59">
        <f t="shared" si="3"/>
        <v>25.374814000000001</v>
      </c>
      <c r="P7" s="59">
        <f t="shared" si="3"/>
        <v>26.329005000000002</v>
      </c>
      <c r="Q7" s="59">
        <f t="shared" si="3"/>
        <v>25.882351</v>
      </c>
      <c r="R7" s="59">
        <f t="shared" si="3"/>
        <v>27.074329999999996</v>
      </c>
      <c r="S7" s="59">
        <f t="shared" si="3"/>
        <v>27.980859000000002</v>
      </c>
      <c r="T7" s="59">
        <f t="shared" si="3"/>
        <v>28.721951999999998</v>
      </c>
      <c r="U7" s="59">
        <f t="shared" si="3"/>
        <v>30.212495000000001</v>
      </c>
      <c r="V7" s="59">
        <f t="shared" si="3"/>
        <v>28.703571</v>
      </c>
      <c r="W7" s="59">
        <f t="shared" si="3"/>
        <v>30.690383999999998</v>
      </c>
      <c r="X7" s="59">
        <f t="shared" ref="X7:Y7" si="4">SUM(X8:X9)</f>
        <v>32.744191000000001</v>
      </c>
      <c r="Y7" s="59">
        <f t="shared" si="4"/>
        <v>31.282699999999998</v>
      </c>
      <c r="DA7" s="172" t="s">
        <v>963</v>
      </c>
    </row>
    <row r="8" spans="1:105" ht="11.45" customHeight="1" x14ac:dyDescent="0.25">
      <c r="A8" s="55" t="s">
        <v>166</v>
      </c>
      <c r="B8" s="60">
        <v>7.7110709999999996</v>
      </c>
      <c r="C8" s="60">
        <v>7.4206710000000005</v>
      </c>
      <c r="D8" s="60">
        <v>6.5252879999999998</v>
      </c>
      <c r="E8" s="60">
        <v>6.9530989999999999</v>
      </c>
      <c r="F8" s="60">
        <v>6.0563539999999998</v>
      </c>
      <c r="G8" s="60">
        <v>5.6521170000000005</v>
      </c>
      <c r="H8" s="60">
        <v>5.7237970000000002</v>
      </c>
      <c r="I8" s="60">
        <v>5.8430840000000002</v>
      </c>
      <c r="J8" s="60">
        <v>5.9455809999999998</v>
      </c>
      <c r="K8" s="60">
        <v>4.7636430000000001</v>
      </c>
      <c r="L8" s="60">
        <v>5.8643190000000001</v>
      </c>
      <c r="M8" s="60">
        <v>6.0345420000000001</v>
      </c>
      <c r="N8" s="60">
        <v>6.2243550000000001</v>
      </c>
      <c r="O8" s="60">
        <v>6.5314239999999995</v>
      </c>
      <c r="P8" s="60">
        <v>7.122109</v>
      </c>
      <c r="Q8" s="60">
        <v>7.200812</v>
      </c>
      <c r="R8" s="60">
        <v>8.6187500000000004</v>
      </c>
      <c r="S8" s="60">
        <v>8.1405820000000002</v>
      </c>
      <c r="T8" s="60">
        <v>7.9996930000000006</v>
      </c>
      <c r="U8" s="60">
        <v>8.8345330000000004</v>
      </c>
      <c r="V8" s="60">
        <v>7.9765090000000001</v>
      </c>
      <c r="W8" s="60">
        <v>9.0992169999999994</v>
      </c>
      <c r="X8" s="60">
        <v>9.2646470000000001</v>
      </c>
      <c r="Y8" s="60">
        <v>9.5652419999999996</v>
      </c>
      <c r="DA8" s="181" t="s">
        <v>964</v>
      </c>
    </row>
    <row r="9" spans="1:105" ht="11.45" customHeight="1" x14ac:dyDescent="0.25">
      <c r="A9" s="57" t="s">
        <v>167</v>
      </c>
      <c r="B9" s="61">
        <v>18.588132000000002</v>
      </c>
      <c r="C9" s="61">
        <v>16.909810999999998</v>
      </c>
      <c r="D9" s="61">
        <v>16.784880000000001</v>
      </c>
      <c r="E9" s="61">
        <v>18.421007000000003</v>
      </c>
      <c r="F9" s="61">
        <v>19.231738</v>
      </c>
      <c r="G9" s="61">
        <v>21.242142999999999</v>
      </c>
      <c r="H9" s="61">
        <v>21.786714999999997</v>
      </c>
      <c r="I9" s="61">
        <v>23.670591999999999</v>
      </c>
      <c r="J9" s="61">
        <v>24.045016</v>
      </c>
      <c r="K9" s="61">
        <v>20.274276</v>
      </c>
      <c r="L9" s="61">
        <v>20.664259000000001</v>
      </c>
      <c r="M9" s="61">
        <v>21.142272999999999</v>
      </c>
      <c r="N9" s="61">
        <v>19.043604000000002</v>
      </c>
      <c r="O9" s="61">
        <v>18.843389999999999</v>
      </c>
      <c r="P9" s="61">
        <v>19.206896</v>
      </c>
      <c r="Q9" s="61">
        <v>18.681539000000001</v>
      </c>
      <c r="R9" s="61">
        <v>18.455579999999998</v>
      </c>
      <c r="S9" s="61">
        <v>19.840277</v>
      </c>
      <c r="T9" s="61">
        <v>20.722258999999998</v>
      </c>
      <c r="U9" s="61">
        <v>21.377962</v>
      </c>
      <c r="V9" s="61">
        <v>20.727062</v>
      </c>
      <c r="W9" s="61">
        <v>21.591166999999999</v>
      </c>
      <c r="X9" s="61">
        <v>23.479544000000001</v>
      </c>
      <c r="Y9" s="61">
        <v>21.717458000000001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20415.69718774367</v>
      </c>
      <c r="C13" s="62">
        <f t="shared" si="5"/>
        <v>21400.80200092214</v>
      </c>
      <c r="D13" s="62">
        <f t="shared" si="5"/>
        <v>22805.305473945959</v>
      </c>
      <c r="E13" s="62">
        <f t="shared" si="5"/>
        <v>22638.049686676637</v>
      </c>
      <c r="F13" s="62">
        <f t="shared" si="5"/>
        <v>24271.152662802717</v>
      </c>
      <c r="G13" s="62">
        <f t="shared" si="5"/>
        <v>24721.785543048965</v>
      </c>
      <c r="H13" s="62">
        <f t="shared" si="5"/>
        <v>25770.830699515882</v>
      </c>
      <c r="I13" s="62">
        <f t="shared" si="5"/>
        <v>26473.227515982759</v>
      </c>
      <c r="J13" s="62">
        <f t="shared" si="5"/>
        <v>27127.886254748446</v>
      </c>
      <c r="K13" s="62">
        <f t="shared" si="5"/>
        <v>26739.63576302008</v>
      </c>
      <c r="L13" s="62">
        <f t="shared" si="5"/>
        <v>27863.008633821228</v>
      </c>
      <c r="M13" s="62">
        <f t="shared" si="5"/>
        <v>29092.341105865431</v>
      </c>
      <c r="N13" s="62">
        <f t="shared" si="5"/>
        <v>29210.310278325211</v>
      </c>
      <c r="O13" s="62">
        <f t="shared" si="5"/>
        <v>29568.214019263352</v>
      </c>
      <c r="P13" s="62">
        <f t="shared" si="5"/>
        <v>29476.42755280725</v>
      </c>
      <c r="Q13" s="62">
        <f t="shared" si="5"/>
        <v>30765.700703309369</v>
      </c>
      <c r="R13" s="62">
        <f t="shared" si="5"/>
        <v>29851.324892176472</v>
      </c>
      <c r="S13" s="62">
        <f t="shared" si="5"/>
        <v>31708.811359222385</v>
      </c>
      <c r="T13" s="62">
        <f t="shared" si="5"/>
        <v>32209.514648168759</v>
      </c>
      <c r="U13" s="62">
        <f t="shared" si="5"/>
        <v>31694.786342802869</v>
      </c>
      <c r="V13" s="62">
        <f t="shared" si="5"/>
        <v>32371.09178533918</v>
      </c>
      <c r="W13" s="62">
        <f t="shared" si="5"/>
        <v>32554.213654576623</v>
      </c>
      <c r="X13" s="62">
        <f t="shared" ref="X13:Y13" si="6">IF(X3=0,0,X3/X7)</f>
        <v>30618.57648051222</v>
      </c>
      <c r="Y13" s="62">
        <f t="shared" si="6"/>
        <v>30553.038132386271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6378.4469367484753</v>
      </c>
      <c r="C14" s="63">
        <f t="shared" si="5"/>
        <v>6680.2074440438064</v>
      </c>
      <c r="D14" s="63">
        <f t="shared" si="5"/>
        <v>7097.2288199386749</v>
      </c>
      <c r="E14" s="63">
        <f t="shared" si="5"/>
        <v>7167.3170790463364</v>
      </c>
      <c r="F14" s="63">
        <f t="shared" si="5"/>
        <v>7488.6577495304937</v>
      </c>
      <c r="G14" s="63">
        <f t="shared" si="5"/>
        <v>7463.9044793304874</v>
      </c>
      <c r="H14" s="63">
        <f t="shared" si="5"/>
        <v>7607.3318875564592</v>
      </c>
      <c r="I14" s="63">
        <f t="shared" si="5"/>
        <v>7858.215306334806</v>
      </c>
      <c r="J14" s="63">
        <f t="shared" si="5"/>
        <v>7910.7429023336836</v>
      </c>
      <c r="K14" s="63">
        <f t="shared" si="5"/>
        <v>8006.941315711525</v>
      </c>
      <c r="L14" s="63">
        <f t="shared" si="5"/>
        <v>7985.91013602773</v>
      </c>
      <c r="M14" s="63">
        <f t="shared" si="5"/>
        <v>7490.8041456998735</v>
      </c>
      <c r="N14" s="63">
        <f t="shared" si="5"/>
        <v>7548.2531577970731</v>
      </c>
      <c r="O14" s="63">
        <f t="shared" si="5"/>
        <v>7732.0522740523356</v>
      </c>
      <c r="P14" s="63">
        <f t="shared" si="5"/>
        <v>7711.3918145594234</v>
      </c>
      <c r="Q14" s="63">
        <f t="shared" si="5"/>
        <v>8319.9023544844677</v>
      </c>
      <c r="R14" s="63">
        <f t="shared" si="5"/>
        <v>8624.2797405656274</v>
      </c>
      <c r="S14" s="63">
        <f t="shared" si="5"/>
        <v>8731.6579885811607</v>
      </c>
      <c r="T14" s="63">
        <f t="shared" si="5"/>
        <v>8535.0779327406672</v>
      </c>
      <c r="U14" s="63">
        <f t="shared" si="5"/>
        <v>8343.0835798564567</v>
      </c>
      <c r="V14" s="63">
        <f t="shared" si="5"/>
        <v>9153.9232132753805</v>
      </c>
      <c r="W14" s="63">
        <f t="shared" si="5"/>
        <v>8658.0267742817869</v>
      </c>
      <c r="X14" s="63">
        <f t="shared" ref="X14:Y14" si="7">IF(X4=0,0,X4/X8)</f>
        <v>8716.9440802223762</v>
      </c>
      <c r="Y14" s="63">
        <f t="shared" si="7"/>
        <v>9088.9795567116853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26238.887669185908</v>
      </c>
      <c r="C15" s="64">
        <f t="shared" si="5"/>
        <v>27860.761200406087</v>
      </c>
      <c r="D15" s="64">
        <f t="shared" si="5"/>
        <v>28911.975530179538</v>
      </c>
      <c r="E15" s="64">
        <f t="shared" si="5"/>
        <v>28477.553217801818</v>
      </c>
      <c r="F15" s="64">
        <f t="shared" si="5"/>
        <v>29556.204393331482</v>
      </c>
      <c r="G15" s="64">
        <f t="shared" si="5"/>
        <v>29313.768703327158</v>
      </c>
      <c r="H15" s="64">
        <f t="shared" si="5"/>
        <v>30542.737800214494</v>
      </c>
      <c r="I15" s="64">
        <f t="shared" si="5"/>
        <v>31068.341993981394</v>
      </c>
      <c r="J15" s="64">
        <f t="shared" si="5"/>
        <v>31879.685230070132</v>
      </c>
      <c r="K15" s="64">
        <f t="shared" si="5"/>
        <v>31141.068828992957</v>
      </c>
      <c r="L15" s="64">
        <f t="shared" si="5"/>
        <v>33503.939014411306</v>
      </c>
      <c r="M15" s="64">
        <f t="shared" si="5"/>
        <v>35257.968711311223</v>
      </c>
      <c r="N15" s="64">
        <f t="shared" si="5"/>
        <v>36290.500222856972</v>
      </c>
      <c r="O15" s="64">
        <f t="shared" si="5"/>
        <v>37136.981151427637</v>
      </c>
      <c r="P15" s="64">
        <f t="shared" si="5"/>
        <v>37547.120335060907</v>
      </c>
      <c r="Q15" s="64">
        <f t="shared" si="5"/>
        <v>39417.449046944152</v>
      </c>
      <c r="R15" s="64">
        <f t="shared" si="5"/>
        <v>39764.348237985483</v>
      </c>
      <c r="S15" s="64">
        <f t="shared" si="5"/>
        <v>41136.472129295369</v>
      </c>
      <c r="T15" s="64">
        <f t="shared" si="5"/>
        <v>41348.876610170737</v>
      </c>
      <c r="U15" s="64">
        <f t="shared" si="5"/>
        <v>41344.976041214781</v>
      </c>
      <c r="V15" s="64">
        <f t="shared" si="5"/>
        <v>41305.882160819507</v>
      </c>
      <c r="W15" s="64">
        <f t="shared" si="5"/>
        <v>42624.840679802066</v>
      </c>
      <c r="X15" s="64">
        <f t="shared" ref="X15:Y15" si="8">IF(X5=0,0,X5/X9)</f>
        <v>39260.605172059557</v>
      </c>
      <c r="Y15" s="64">
        <f t="shared" si="8"/>
        <v>40006.67283394769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9.1605773466885643E-2</v>
      </c>
      <c r="C18" s="66">
        <f t="shared" si="9"/>
        <v>9.520337942863133E-2</v>
      </c>
      <c r="D18" s="66">
        <f t="shared" si="9"/>
        <v>8.7117859138074655E-2</v>
      </c>
      <c r="E18" s="66">
        <f t="shared" si="9"/>
        <v>8.675714909617957E-2</v>
      </c>
      <c r="F18" s="66">
        <f t="shared" si="9"/>
        <v>7.3893930898111804E-2</v>
      </c>
      <c r="G18" s="66">
        <f t="shared" si="9"/>
        <v>6.3450899371221128E-2</v>
      </c>
      <c r="H18" s="66">
        <f t="shared" si="9"/>
        <v>6.1417126787908768E-2</v>
      </c>
      <c r="I18" s="66">
        <f t="shared" si="9"/>
        <v>5.8767315997912968E-2</v>
      </c>
      <c r="J18" s="66">
        <f t="shared" si="9"/>
        <v>5.7811002901806623E-2</v>
      </c>
      <c r="K18" s="66">
        <f t="shared" si="9"/>
        <v>5.6970776004197546E-2</v>
      </c>
      <c r="L18" s="66">
        <f t="shared" si="9"/>
        <v>6.3357790643476228E-2</v>
      </c>
      <c r="M18" s="66">
        <f t="shared" si="9"/>
        <v>5.7173598488949852E-2</v>
      </c>
      <c r="N18" s="66">
        <f t="shared" si="9"/>
        <v>6.3655286610514047E-2</v>
      </c>
      <c r="O18" s="66">
        <f t="shared" si="9"/>
        <v>6.7309241828344468E-2</v>
      </c>
      <c r="P18" s="66">
        <f t="shared" si="9"/>
        <v>7.0767212933042223E-2</v>
      </c>
      <c r="Q18" s="66">
        <f t="shared" si="9"/>
        <v>7.5236601240393747E-2</v>
      </c>
      <c r="R18" s="66">
        <f t="shared" si="9"/>
        <v>9.1969915880678987E-2</v>
      </c>
      <c r="S18" s="66">
        <f t="shared" si="9"/>
        <v>8.0114507350013492E-2</v>
      </c>
      <c r="T18" s="66">
        <f t="shared" si="9"/>
        <v>7.3804472206528679E-2</v>
      </c>
      <c r="U18" s="66">
        <f t="shared" si="9"/>
        <v>7.6972531775843053E-2</v>
      </c>
      <c r="V18" s="66">
        <f t="shared" si="9"/>
        <v>7.8582681981630098E-2</v>
      </c>
      <c r="W18" s="66">
        <f t="shared" si="9"/>
        <v>7.8852127408262335E-2</v>
      </c>
      <c r="X18" s="66">
        <f t="shared" ref="X18:Y18" si="11">IF(X4=0,0,X4/X$3)</f>
        <v>8.055154523637785E-2</v>
      </c>
      <c r="Y18" s="66">
        <f t="shared" si="11"/>
        <v>9.0960419959461913E-2</v>
      </c>
      <c r="DA18" s="181"/>
    </row>
    <row r="19" spans="1:105" ht="11.45" customHeight="1" x14ac:dyDescent="0.25">
      <c r="A19" s="57" t="s">
        <v>167</v>
      </c>
      <c r="B19" s="67">
        <f t="shared" si="9"/>
        <v>0.90839422653311441</v>
      </c>
      <c r="C19" s="67">
        <f t="shared" si="9"/>
        <v>0.90479662057136867</v>
      </c>
      <c r="D19" s="67">
        <f t="shared" si="9"/>
        <v>0.91288214086192532</v>
      </c>
      <c r="E19" s="67">
        <f t="shared" si="9"/>
        <v>0.91324285090382051</v>
      </c>
      <c r="F19" s="67">
        <f t="shared" si="9"/>
        <v>0.9261060691018882</v>
      </c>
      <c r="G19" s="67">
        <f t="shared" si="9"/>
        <v>0.93654910062877883</v>
      </c>
      <c r="H19" s="67">
        <f t="shared" si="9"/>
        <v>0.93858287321209122</v>
      </c>
      <c r="I19" s="67">
        <f t="shared" si="9"/>
        <v>0.94123268400208704</v>
      </c>
      <c r="J19" s="67">
        <f t="shared" si="9"/>
        <v>0.94218899709819337</v>
      </c>
      <c r="K19" s="67">
        <f t="shared" si="9"/>
        <v>0.94302922399580236</v>
      </c>
      <c r="L19" s="67">
        <f t="shared" si="9"/>
        <v>0.93664220935652387</v>
      </c>
      <c r="M19" s="67">
        <f t="shared" si="9"/>
        <v>0.94282640151105013</v>
      </c>
      <c r="N19" s="67">
        <f t="shared" si="9"/>
        <v>0.93634471338948588</v>
      </c>
      <c r="O19" s="67">
        <f t="shared" si="9"/>
        <v>0.93269075817165559</v>
      </c>
      <c r="P19" s="67">
        <f t="shared" si="9"/>
        <v>0.92923278706695778</v>
      </c>
      <c r="Q19" s="67">
        <f t="shared" si="9"/>
        <v>0.92476339875960623</v>
      </c>
      <c r="R19" s="67">
        <f t="shared" si="9"/>
        <v>0.90803008411932096</v>
      </c>
      <c r="S19" s="67">
        <f t="shared" si="9"/>
        <v>0.91988549264998654</v>
      </c>
      <c r="T19" s="67">
        <f t="shared" si="9"/>
        <v>0.92619552779347136</v>
      </c>
      <c r="U19" s="67">
        <f t="shared" si="9"/>
        <v>0.92302746822415693</v>
      </c>
      <c r="V19" s="67">
        <f t="shared" si="9"/>
        <v>0.92141731801836979</v>
      </c>
      <c r="W19" s="67">
        <f t="shared" si="9"/>
        <v>0.92114787259173769</v>
      </c>
      <c r="X19" s="67">
        <f t="shared" ref="X19:Y19" si="12">IF(X5=0,0,X5/X$3)</f>
        <v>0.91944845476362214</v>
      </c>
      <c r="Y19" s="67">
        <f t="shared" si="12"/>
        <v>0.9090395800405382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0.29320550132260659</v>
      </c>
      <c r="C22" s="66">
        <f t="shared" si="13"/>
        <v>0.30499482089997237</v>
      </c>
      <c r="D22" s="66">
        <f t="shared" si="13"/>
        <v>0.2799331175991524</v>
      </c>
      <c r="E22" s="66">
        <f t="shared" si="13"/>
        <v>0.27402340795770297</v>
      </c>
      <c r="F22" s="66">
        <f t="shared" si="13"/>
        <v>0.23949430427570415</v>
      </c>
      <c r="G22" s="66">
        <f t="shared" si="13"/>
        <v>0.2101607183094088</v>
      </c>
      <c r="H22" s="66">
        <f t="shared" si="13"/>
        <v>0.20805854140410038</v>
      </c>
      <c r="I22" s="66">
        <f t="shared" si="13"/>
        <v>0.19797886240941318</v>
      </c>
      <c r="J22" s="66">
        <f t="shared" si="13"/>
        <v>0.19824817091837149</v>
      </c>
      <c r="K22" s="66">
        <f t="shared" si="13"/>
        <v>0.19025714557188239</v>
      </c>
      <c r="L22" s="66">
        <f t="shared" si="13"/>
        <v>0.22105666575871497</v>
      </c>
      <c r="M22" s="66">
        <f t="shared" si="13"/>
        <v>0.22204743271056598</v>
      </c>
      <c r="N22" s="66">
        <f t="shared" si="13"/>
        <v>0.24633390453103077</v>
      </c>
      <c r="O22" s="66">
        <f t="shared" si="13"/>
        <v>0.25739790644376742</v>
      </c>
      <c r="P22" s="66">
        <f t="shared" si="13"/>
        <v>0.27050429744686516</v>
      </c>
      <c r="Q22" s="66">
        <f t="shared" si="13"/>
        <v>0.27821321177508179</v>
      </c>
      <c r="R22" s="66">
        <f t="shared" si="13"/>
        <v>0.31833659410962345</v>
      </c>
      <c r="S22" s="66">
        <f t="shared" si="13"/>
        <v>0.29093395595896465</v>
      </c>
      <c r="T22" s="66">
        <f t="shared" si="13"/>
        <v>0.2785219124382633</v>
      </c>
      <c r="U22" s="66">
        <f t="shared" si="13"/>
        <v>0.29241322174815421</v>
      </c>
      <c r="V22" s="66">
        <f t="shared" si="13"/>
        <v>0.27789256605040535</v>
      </c>
      <c r="W22" s="66">
        <f t="shared" si="13"/>
        <v>0.29648429944701898</v>
      </c>
      <c r="X22" s="66">
        <f t="shared" ref="X22:Y22" si="15">IF(X8=0,0,X8/X$7)</f>
        <v>0.28294017097567015</v>
      </c>
      <c r="Y22" s="66">
        <f t="shared" si="15"/>
        <v>0.3057677885860236</v>
      </c>
      <c r="DA22" s="181"/>
    </row>
    <row r="23" spans="1:105" ht="11.45" customHeight="1" x14ac:dyDescent="0.25">
      <c r="A23" s="57" t="s">
        <v>167</v>
      </c>
      <c r="B23" s="67">
        <f t="shared" si="13"/>
        <v>0.70679449867739341</v>
      </c>
      <c r="C23" s="67">
        <f t="shared" si="13"/>
        <v>0.69500517910002768</v>
      </c>
      <c r="D23" s="67">
        <f t="shared" si="13"/>
        <v>0.7200668824008476</v>
      </c>
      <c r="E23" s="67">
        <f t="shared" si="13"/>
        <v>0.72597659204229692</v>
      </c>
      <c r="F23" s="67">
        <f t="shared" si="13"/>
        <v>0.76050569572429583</v>
      </c>
      <c r="G23" s="67">
        <f t="shared" si="13"/>
        <v>0.78983928169059126</v>
      </c>
      <c r="H23" s="67">
        <f t="shared" si="13"/>
        <v>0.79194145859589959</v>
      </c>
      <c r="I23" s="67">
        <f t="shared" si="13"/>
        <v>0.8020211375905868</v>
      </c>
      <c r="J23" s="67">
        <f t="shared" si="13"/>
        <v>0.80175182908162845</v>
      </c>
      <c r="K23" s="67">
        <f t="shared" si="13"/>
        <v>0.80974285442811755</v>
      </c>
      <c r="L23" s="67">
        <f t="shared" si="13"/>
        <v>0.77894333424128492</v>
      </c>
      <c r="M23" s="67">
        <f t="shared" si="13"/>
        <v>0.77795256728943407</v>
      </c>
      <c r="N23" s="67">
        <f t="shared" si="13"/>
        <v>0.75366609546896923</v>
      </c>
      <c r="O23" s="67">
        <f t="shared" si="13"/>
        <v>0.74260209355623252</v>
      </c>
      <c r="P23" s="67">
        <f t="shared" si="13"/>
        <v>0.72949570255313478</v>
      </c>
      <c r="Q23" s="67">
        <f t="shared" si="13"/>
        <v>0.72178678822491826</v>
      </c>
      <c r="R23" s="67">
        <f t="shared" si="13"/>
        <v>0.68166340589037666</v>
      </c>
      <c r="S23" s="67">
        <f t="shared" si="13"/>
        <v>0.70906604404103524</v>
      </c>
      <c r="T23" s="67">
        <f t="shared" si="13"/>
        <v>0.7214780875617367</v>
      </c>
      <c r="U23" s="67">
        <f t="shared" si="13"/>
        <v>0.70758677825184579</v>
      </c>
      <c r="V23" s="67">
        <f t="shared" si="13"/>
        <v>0.72210743394959465</v>
      </c>
      <c r="W23" s="67">
        <f t="shared" si="13"/>
        <v>0.70351570055298107</v>
      </c>
      <c r="X23" s="67">
        <f t="shared" ref="X23:Y23" si="16">IF(X9=0,0,X9/X$7)</f>
        <v>0.71705982902432985</v>
      </c>
      <c r="Y23" s="67">
        <f t="shared" si="16"/>
        <v>0.69423221141397651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5340.7423043852104</v>
      </c>
      <c r="C3" s="62">
        <f t="shared" ref="C3:W3" si="0">SUM(C4,C10)</f>
        <v>5220.4500429922609</v>
      </c>
      <c r="D3" s="62">
        <f t="shared" si="0"/>
        <v>6810.6668959587269</v>
      </c>
      <c r="E3" s="62">
        <f t="shared" si="0"/>
        <v>7440.7423903697336</v>
      </c>
      <c r="F3" s="62">
        <f t="shared" si="0"/>
        <v>7709.2194325021501</v>
      </c>
      <c r="G3" s="62">
        <f t="shared" si="0"/>
        <v>7630.3334479793648</v>
      </c>
      <c r="H3" s="62">
        <f t="shared" si="0"/>
        <v>8261.0681857265681</v>
      </c>
      <c r="I3" s="62">
        <f t="shared" si="0"/>
        <v>9234.9814273430784</v>
      </c>
      <c r="J3" s="62">
        <f t="shared" si="0"/>
        <v>9523.9562338779033</v>
      </c>
      <c r="K3" s="62">
        <f t="shared" si="0"/>
        <v>6986.252020636286</v>
      </c>
      <c r="L3" s="62">
        <f t="shared" si="0"/>
        <v>7596.4269131556321</v>
      </c>
      <c r="M3" s="62">
        <f t="shared" si="0"/>
        <v>6749.9235597592433</v>
      </c>
      <c r="N3" s="62">
        <f t="shared" si="0"/>
        <v>6044.2343078245913</v>
      </c>
      <c r="O3" s="62">
        <f t="shared" si="0"/>
        <v>6156.324591573517</v>
      </c>
      <c r="P3" s="62">
        <f t="shared" si="0"/>
        <v>5380.7203783319001</v>
      </c>
      <c r="Q3" s="62">
        <f t="shared" si="0"/>
        <v>5821.295442820292</v>
      </c>
      <c r="R3" s="62">
        <f t="shared" si="0"/>
        <v>6663.7966466036114</v>
      </c>
      <c r="S3" s="62">
        <f t="shared" si="0"/>
        <v>7493.3091143594147</v>
      </c>
      <c r="T3" s="62">
        <f t="shared" si="0"/>
        <v>9282.4941530524484</v>
      </c>
      <c r="U3" s="62">
        <f t="shared" si="0"/>
        <v>8197.5016337059333</v>
      </c>
      <c r="V3" s="62">
        <f t="shared" si="0"/>
        <v>6376.6165950128971</v>
      </c>
      <c r="W3" s="62">
        <f t="shared" si="0"/>
        <v>7575.1032674118651</v>
      </c>
      <c r="X3" s="62">
        <f t="shared" ref="X3:Y3" si="1">SUM(X4,X10)</f>
        <v>7646.274720550301</v>
      </c>
      <c r="Y3" s="62">
        <f t="shared" si="1"/>
        <v>6925.539552880482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1618.6596698740461</v>
      </c>
      <c r="C4" s="71">
        <f t="shared" ref="C4:W4" si="2">SUM(C5:C9)</f>
        <v>1625.9181424556909</v>
      </c>
      <c r="D4" s="71">
        <f t="shared" si="2"/>
        <v>1995.8880712876944</v>
      </c>
      <c r="E4" s="71">
        <f t="shared" si="2"/>
        <v>2171.4322969736104</v>
      </c>
      <c r="F4" s="71">
        <f t="shared" si="2"/>
        <v>2018.7577964193956</v>
      </c>
      <c r="G4" s="71">
        <f t="shared" si="2"/>
        <v>1795.5196151711302</v>
      </c>
      <c r="H4" s="71">
        <f t="shared" si="2"/>
        <v>1899.9424893199784</v>
      </c>
      <c r="I4" s="71">
        <f t="shared" si="2"/>
        <v>2056.5096523924658</v>
      </c>
      <c r="J4" s="71">
        <f t="shared" si="2"/>
        <v>2099.326578385545</v>
      </c>
      <c r="K4" s="71">
        <f t="shared" si="2"/>
        <v>1519.1183958541008</v>
      </c>
      <c r="L4" s="71">
        <f t="shared" si="2"/>
        <v>1800.9488311561936</v>
      </c>
      <c r="M4" s="71">
        <f t="shared" si="2"/>
        <v>1509.3387293914086</v>
      </c>
      <c r="N4" s="71">
        <f t="shared" si="2"/>
        <v>1463.0628171683463</v>
      </c>
      <c r="O4" s="71">
        <f t="shared" si="2"/>
        <v>1552.9533764603079</v>
      </c>
      <c r="P4" s="71">
        <f t="shared" si="2"/>
        <v>1405.4562257730606</v>
      </c>
      <c r="Q4" s="71">
        <f t="shared" si="2"/>
        <v>1583.0861871217712</v>
      </c>
      <c r="R4" s="71">
        <f t="shared" si="2"/>
        <v>2057.1122197633094</v>
      </c>
      <c r="S4" s="71">
        <f t="shared" si="2"/>
        <v>2123.8317350079124</v>
      </c>
      <c r="T4" s="71">
        <f t="shared" si="2"/>
        <v>2494.0297074773971</v>
      </c>
      <c r="U4" s="71">
        <f t="shared" si="2"/>
        <v>2291.1559939835511</v>
      </c>
      <c r="V4" s="71">
        <f t="shared" si="2"/>
        <v>1562.407944827678</v>
      </c>
      <c r="W4" s="71">
        <f t="shared" si="2"/>
        <v>1937.8138493753793</v>
      </c>
      <c r="X4" s="71">
        <f t="shared" ref="X4:Y4" si="3">SUM(X5:X9)</f>
        <v>2121.4418871620019</v>
      </c>
      <c r="Y4" s="71">
        <f t="shared" si="3"/>
        <v>2079.7339859080103</v>
      </c>
      <c r="DA4" s="186" t="s">
        <v>971</v>
      </c>
    </row>
    <row r="5" spans="1:105" ht="11.45" customHeight="1" x14ac:dyDescent="0.25">
      <c r="A5" s="72" t="s">
        <v>144</v>
      </c>
      <c r="B5" s="73">
        <v>558.8999382295026</v>
      </c>
      <c r="C5" s="73">
        <v>554.81251546413489</v>
      </c>
      <c r="D5" s="73">
        <v>531.79336518615196</v>
      </c>
      <c r="E5" s="73">
        <v>461.45933292443164</v>
      </c>
      <c r="F5" s="73">
        <v>325.6658304972953</v>
      </c>
      <c r="G5" s="73">
        <v>323.23070714294806</v>
      </c>
      <c r="H5" s="73">
        <v>396.99286541854889</v>
      </c>
      <c r="I5" s="73">
        <v>319.24214677550032</v>
      </c>
      <c r="J5" s="73">
        <v>220.13472108868979</v>
      </c>
      <c r="K5" s="73">
        <v>211.86402459588615</v>
      </c>
      <c r="L5" s="73">
        <v>308.03003551030457</v>
      </c>
      <c r="M5" s="73">
        <v>264.1094091203625</v>
      </c>
      <c r="N5" s="73">
        <v>317.55133123210157</v>
      </c>
      <c r="O5" s="73">
        <v>328.10105996886597</v>
      </c>
      <c r="P5" s="73">
        <v>397.97338488764325</v>
      </c>
      <c r="Q5" s="73">
        <v>1015.7647692037514</v>
      </c>
      <c r="R5" s="73">
        <v>1024.717946504773</v>
      </c>
      <c r="S5" s="73">
        <v>721.15236659256448</v>
      </c>
      <c r="T5" s="73">
        <v>864.40672064637886</v>
      </c>
      <c r="U5" s="73">
        <v>788.3272254104827</v>
      </c>
      <c r="V5" s="73">
        <v>865.06084488594593</v>
      </c>
      <c r="W5" s="73">
        <v>983.76374885873327</v>
      </c>
      <c r="X5" s="73">
        <v>972.67637168462511</v>
      </c>
      <c r="Y5" s="73">
        <v>854.95849856087762</v>
      </c>
      <c r="DA5" s="187" t="s">
        <v>972</v>
      </c>
    </row>
    <row r="6" spans="1:105" ht="11.45" customHeight="1" x14ac:dyDescent="0.25">
      <c r="A6" s="72" t="s">
        <v>145</v>
      </c>
      <c r="B6" s="73">
        <v>1059.7597316445435</v>
      </c>
      <c r="C6" s="73">
        <v>1071.1056269915559</v>
      </c>
      <c r="D6" s="73">
        <v>1464.0947061015424</v>
      </c>
      <c r="E6" s="73">
        <v>1709.9729640491787</v>
      </c>
      <c r="F6" s="73">
        <v>1693.0919659221004</v>
      </c>
      <c r="G6" s="73">
        <v>1472.288908028182</v>
      </c>
      <c r="H6" s="73">
        <v>1502.9496239014295</v>
      </c>
      <c r="I6" s="73">
        <v>1737.2675056169655</v>
      </c>
      <c r="J6" s="73">
        <v>1879.191857296855</v>
      </c>
      <c r="K6" s="73">
        <v>1307.2543712582146</v>
      </c>
      <c r="L6" s="73">
        <v>1492.9187956458891</v>
      </c>
      <c r="M6" s="73">
        <v>1245.2293202710462</v>
      </c>
      <c r="N6" s="73">
        <v>1145.5114859362448</v>
      </c>
      <c r="O6" s="73">
        <v>1224.852316491442</v>
      </c>
      <c r="P6" s="73">
        <v>1007.4828408854173</v>
      </c>
      <c r="Q6" s="73">
        <v>567.32141791801973</v>
      </c>
      <c r="R6" s="73">
        <v>1032.2391536354055</v>
      </c>
      <c r="S6" s="73">
        <v>1400.8069729707827</v>
      </c>
      <c r="T6" s="73">
        <v>1627.2957659018921</v>
      </c>
      <c r="U6" s="73">
        <v>1500.2819086823799</v>
      </c>
      <c r="V6" s="73">
        <v>696.65745826840055</v>
      </c>
      <c r="W6" s="73">
        <v>952.5532504725536</v>
      </c>
      <c r="X6" s="73">
        <v>1147.6297688272589</v>
      </c>
      <c r="Y6" s="73">
        <v>1213.1418756900434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0.15511962313135255</v>
      </c>
      <c r="S8" s="73">
        <v>1.872395444564938</v>
      </c>
      <c r="T8" s="73">
        <v>2.3272141683212633</v>
      </c>
      <c r="U8" s="73">
        <v>2.5468088912501283</v>
      </c>
      <c r="V8" s="73">
        <v>0.68958326351061638</v>
      </c>
      <c r="W8" s="73">
        <v>1.4961374085242516</v>
      </c>
      <c r="X8" s="73">
        <v>1.1345849473240066</v>
      </c>
      <c r="Y8" s="73">
        <v>11.622794509850479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6.7608049230650325E-6</v>
      </c>
      <c r="U9" s="75">
        <v>5.099943815263311E-5</v>
      </c>
      <c r="V9" s="75">
        <v>5.8409820881660832E-5</v>
      </c>
      <c r="W9" s="75">
        <v>7.1263556839564824E-4</v>
      </c>
      <c r="X9" s="75">
        <v>1.1617027934487144E-3</v>
      </c>
      <c r="Y9" s="75">
        <v>1.0817147238873817E-2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3722.0826345111641</v>
      </c>
      <c r="C10" s="71">
        <f t="shared" ref="C10:W10" si="4">SUM(C11:C15)</f>
        <v>3594.53190053657</v>
      </c>
      <c r="D10" s="71">
        <f t="shared" si="4"/>
        <v>4814.7788246710325</v>
      </c>
      <c r="E10" s="71">
        <f t="shared" si="4"/>
        <v>5269.3100933961232</v>
      </c>
      <c r="F10" s="71">
        <f t="shared" si="4"/>
        <v>5690.461636082754</v>
      </c>
      <c r="G10" s="71">
        <f t="shared" si="4"/>
        <v>5834.813832808235</v>
      </c>
      <c r="H10" s="71">
        <f t="shared" si="4"/>
        <v>6361.1256964065897</v>
      </c>
      <c r="I10" s="71">
        <f t="shared" si="4"/>
        <v>7178.4717749506126</v>
      </c>
      <c r="J10" s="71">
        <f t="shared" si="4"/>
        <v>7424.6296554923574</v>
      </c>
      <c r="K10" s="71">
        <f t="shared" si="4"/>
        <v>5467.1336247821855</v>
      </c>
      <c r="L10" s="71">
        <f t="shared" si="4"/>
        <v>5795.4780819994385</v>
      </c>
      <c r="M10" s="71">
        <f t="shared" si="4"/>
        <v>5240.5848303678349</v>
      </c>
      <c r="N10" s="71">
        <f t="shared" si="4"/>
        <v>4581.1714906562447</v>
      </c>
      <c r="O10" s="71">
        <f t="shared" si="4"/>
        <v>4603.3712151132086</v>
      </c>
      <c r="P10" s="71">
        <f t="shared" si="4"/>
        <v>3975.2641525588392</v>
      </c>
      <c r="Q10" s="71">
        <f t="shared" si="4"/>
        <v>4238.2092556985208</v>
      </c>
      <c r="R10" s="71">
        <f t="shared" si="4"/>
        <v>4606.684426840302</v>
      </c>
      <c r="S10" s="71">
        <f t="shared" si="4"/>
        <v>5369.4773793515023</v>
      </c>
      <c r="T10" s="71">
        <f t="shared" si="4"/>
        <v>6788.4644455750513</v>
      </c>
      <c r="U10" s="71">
        <f t="shared" si="4"/>
        <v>5906.3456397223817</v>
      </c>
      <c r="V10" s="71">
        <f t="shared" si="4"/>
        <v>4814.2086501852191</v>
      </c>
      <c r="W10" s="71">
        <f t="shared" si="4"/>
        <v>5637.2894180364856</v>
      </c>
      <c r="X10" s="71">
        <f t="shared" ref="X10:Y10" si="5">SUM(X11:X15)</f>
        <v>5524.8328333882992</v>
      </c>
      <c r="Y10" s="71">
        <f t="shared" si="5"/>
        <v>4845.8055669724718</v>
      </c>
      <c r="DA10" s="186" t="s">
        <v>977</v>
      </c>
    </row>
    <row r="11" spans="1:105" ht="11.45" customHeight="1" x14ac:dyDescent="0.25">
      <c r="A11" s="72" t="s">
        <v>144</v>
      </c>
      <c r="B11" s="73">
        <v>241.85956306026523</v>
      </c>
      <c r="C11" s="73">
        <v>231.70227387378418</v>
      </c>
      <c r="D11" s="73">
        <v>246.58152733319443</v>
      </c>
      <c r="E11" s="73">
        <v>215.16723629310917</v>
      </c>
      <c r="F11" s="73">
        <v>179.00596657923094</v>
      </c>
      <c r="G11" s="73">
        <v>203.82578468852228</v>
      </c>
      <c r="H11" s="73">
        <v>258.26654988669617</v>
      </c>
      <c r="I11" s="73">
        <v>216.97169673266828</v>
      </c>
      <c r="J11" s="73">
        <v>151.24679223891133</v>
      </c>
      <c r="K11" s="73">
        <v>148.32514135424273</v>
      </c>
      <c r="L11" s="73">
        <v>192.57185614919661</v>
      </c>
      <c r="M11" s="73">
        <v>176.46092621927627</v>
      </c>
      <c r="N11" s="73">
        <v>191.19045724597234</v>
      </c>
      <c r="O11" s="73">
        <v>185.72808878435839</v>
      </c>
      <c r="P11" s="73">
        <v>212.51672689223636</v>
      </c>
      <c r="Q11" s="73">
        <v>520.63531678077163</v>
      </c>
      <c r="R11" s="73">
        <v>438.42332606616401</v>
      </c>
      <c r="S11" s="73">
        <v>350.05425421568947</v>
      </c>
      <c r="T11" s="73">
        <v>453.94667574227117</v>
      </c>
      <c r="U11" s="73">
        <v>391.75016066002428</v>
      </c>
      <c r="V11" s="73">
        <v>517.023333961861</v>
      </c>
      <c r="W11" s="73">
        <v>554.53281176035478</v>
      </c>
      <c r="X11" s="73">
        <v>491.87891636352583</v>
      </c>
      <c r="Y11" s="73">
        <v>385.70263643482349</v>
      </c>
      <c r="DA11" s="187" t="s">
        <v>978</v>
      </c>
    </row>
    <row r="12" spans="1:105" ht="11.45" customHeight="1" x14ac:dyDescent="0.25">
      <c r="A12" s="72" t="s">
        <v>145</v>
      </c>
      <c r="B12" s="73">
        <v>3480.2230714508987</v>
      </c>
      <c r="C12" s="73">
        <v>3362.8296266627858</v>
      </c>
      <c r="D12" s="73">
        <v>4568.1972973378379</v>
      </c>
      <c r="E12" s="73">
        <v>5054.1428571030137</v>
      </c>
      <c r="F12" s="73">
        <v>5511.4556695035235</v>
      </c>
      <c r="G12" s="73">
        <v>5630.9880481197124</v>
      </c>
      <c r="H12" s="73">
        <v>6102.8591465198933</v>
      </c>
      <c r="I12" s="73">
        <v>6961.5000782179441</v>
      </c>
      <c r="J12" s="73">
        <v>7273.382863253446</v>
      </c>
      <c r="K12" s="73">
        <v>5318.8084834279425</v>
      </c>
      <c r="L12" s="73">
        <v>5602.9062258502418</v>
      </c>
      <c r="M12" s="73">
        <v>5064.1239041485587</v>
      </c>
      <c r="N12" s="73">
        <v>4389.9810334102722</v>
      </c>
      <c r="O12" s="73">
        <v>4417.6431263288505</v>
      </c>
      <c r="P12" s="73">
        <v>3762.7474256666028</v>
      </c>
      <c r="Q12" s="73">
        <v>3717.5739389177493</v>
      </c>
      <c r="R12" s="73">
        <v>4167.9137268461081</v>
      </c>
      <c r="S12" s="73">
        <v>5014.6893296947374</v>
      </c>
      <c r="T12" s="73">
        <v>6328.1833398590688</v>
      </c>
      <c r="U12" s="73">
        <v>5508.029957181765</v>
      </c>
      <c r="V12" s="73">
        <v>4295.0603405278162</v>
      </c>
      <c r="W12" s="73">
        <v>5078.4021235601203</v>
      </c>
      <c r="X12" s="73">
        <v>5029.9961125140999</v>
      </c>
      <c r="Y12" s="73">
        <v>4432.9964734071191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0.34737392802943851</v>
      </c>
      <c r="S14" s="73">
        <v>4.733795441075646</v>
      </c>
      <c r="T14" s="73">
        <v>6.3344115715713007</v>
      </c>
      <c r="U14" s="73">
        <v>6.5653904097065974</v>
      </c>
      <c r="V14" s="73">
        <v>2.1247957188171562</v>
      </c>
      <c r="W14" s="73">
        <v>4.3524095896625479</v>
      </c>
      <c r="X14" s="73">
        <v>2.9547791090471316</v>
      </c>
      <c r="Y14" s="73">
        <v>27.081253045456421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1.8402140001017484E-5</v>
      </c>
      <c r="U15" s="75">
        <v>1.3147088629149819E-4</v>
      </c>
      <c r="V15" s="75">
        <v>1.7997672494892157E-4</v>
      </c>
      <c r="W15" s="75">
        <v>2.0731263479864806E-3</v>
      </c>
      <c r="X15" s="75">
        <v>3.0254016264713466E-3</v>
      </c>
      <c r="Y15" s="75">
        <v>2.5204085072452222E-2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20307.620365473471</v>
      </c>
      <c r="C19" s="62">
        <f>IF(C3=0,0,C3/MBunk_act!C7*100)</f>
        <v>21456.41850824107</v>
      </c>
      <c r="D19" s="62">
        <f>IF(D3=0,0,D3/MBunk_act!D7*100)</f>
        <v>29217.579624302693</v>
      </c>
      <c r="E19" s="62">
        <f>IF(E3=0,0,E3/MBunk_act!E7*100)</f>
        <v>29324.155855460413</v>
      </c>
      <c r="F19" s="62">
        <f>IF(F3=0,0,F3/MBunk_act!F7*100)</f>
        <v>30485.571756470006</v>
      </c>
      <c r="G19" s="62">
        <f>IF(G3=0,0,G3/MBunk_act!G7*100)</f>
        <v>28371.605866751361</v>
      </c>
      <c r="H19" s="62">
        <f>IF(H3=0,0,H3/MBunk_act!H7*100)</f>
        <v>30028.769314531728</v>
      </c>
      <c r="I19" s="62">
        <f>IF(I3=0,0,I3/MBunk_act!I7*100)</f>
        <v>31290.5157166565</v>
      </c>
      <c r="J19" s="62">
        <f>IF(J3=0,0,J3/MBunk_act!J7*100)</f>
        <v>31756.474317193162</v>
      </c>
      <c r="K19" s="62">
        <f>IF(K3=0,0,K3/MBunk_act!K7*100)</f>
        <v>27902.686403915141</v>
      </c>
      <c r="L19" s="62">
        <f>IF(L3=0,0,L3/MBunk_act!L7*100)</f>
        <v>28634.881647842685</v>
      </c>
      <c r="M19" s="62">
        <f>IF(M3=0,0,M3/MBunk_act!M7*100)</f>
        <v>24837.066299929716</v>
      </c>
      <c r="N19" s="62">
        <f>IF(N3=0,0,N3/MBunk_act!N7*100)</f>
        <v>23920.548184459974</v>
      </c>
      <c r="O19" s="62">
        <f>IF(O3=0,0,O3/MBunk_act!O7*100)</f>
        <v>24261.555539179586</v>
      </c>
      <c r="P19" s="62">
        <f>IF(P3=0,0,P3/MBunk_act!P7*100)</f>
        <v>20436.474444559906</v>
      </c>
      <c r="Q19" s="62">
        <f>IF(Q3=0,0,Q3/MBunk_act!Q7*100)</f>
        <v>22491.370443203912</v>
      </c>
      <c r="R19" s="62">
        <f>IF(R3=0,0,R3/MBunk_act!R7*100)</f>
        <v>24612.969726688018</v>
      </c>
      <c r="S19" s="62">
        <f>IF(S3=0,0,S3/MBunk_act!S7*100)</f>
        <v>26780.125350545579</v>
      </c>
      <c r="T19" s="62">
        <f>IF(T3=0,0,T3/MBunk_act!T7*100)</f>
        <v>32318.465517428791</v>
      </c>
      <c r="U19" s="62">
        <f>IF(U3=0,0,U3/MBunk_act!U7*100)</f>
        <v>27132.819165401379</v>
      </c>
      <c r="V19" s="62">
        <f>IF(V3=0,0,V3/MBunk_act!V7*100)</f>
        <v>22215.412134653547</v>
      </c>
      <c r="W19" s="62">
        <f>IF(W3=0,0,W3/MBunk_act!W7*100)</f>
        <v>24682.334595135289</v>
      </c>
      <c r="X19" s="62">
        <f>IF(X3=0,0,X3/MBunk_act!X7*100)</f>
        <v>23351.545685005014</v>
      </c>
      <c r="Y19" s="62">
        <f>IF(Y3=0,0,Y3/MBunk_act!Y7*100)</f>
        <v>22138.560779218169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20991.372921790582</v>
      </c>
      <c r="C20" s="63">
        <f>IF(C4=0,0,C4/MBunk_act!C8*100)</f>
        <v>21910.662020398031</v>
      </c>
      <c r="D20" s="63">
        <f>IF(D4=0,0,D4/MBunk_act!D8*100)</f>
        <v>30586.972885912382</v>
      </c>
      <c r="E20" s="63">
        <f>IF(E4=0,0,E4/MBunk_act!E8*100)</f>
        <v>31229.704869348338</v>
      </c>
      <c r="F20" s="63">
        <f>IF(F4=0,0,F4/MBunk_act!F8*100)</f>
        <v>33332.889662978676</v>
      </c>
      <c r="G20" s="63">
        <f>IF(G4=0,0,G4/MBunk_act!G8*100)</f>
        <v>31767.205370503303</v>
      </c>
      <c r="H20" s="63">
        <f>IF(H4=0,0,H4/MBunk_act!H8*100)</f>
        <v>33193.74340704218</v>
      </c>
      <c r="I20" s="63">
        <f>IF(I4=0,0,I4/MBunk_act!I8*100)</f>
        <v>35195.620196328957</v>
      </c>
      <c r="J20" s="63">
        <f>IF(J4=0,0,J4/MBunk_act!J8*100)</f>
        <v>35309.023262580144</v>
      </c>
      <c r="K20" s="63">
        <f>IF(K4=0,0,K4/MBunk_act!K8*100)</f>
        <v>31889.845562610397</v>
      </c>
      <c r="L20" s="63">
        <f>IF(L4=0,0,L4/MBunk_act!L8*100)</f>
        <v>30710.280787184216</v>
      </c>
      <c r="M20" s="63">
        <f>IF(M4=0,0,M4/MBunk_act!M8*100)</f>
        <v>25011.653401225951</v>
      </c>
      <c r="N20" s="63">
        <f>IF(N4=0,0,N4/MBunk_act!N8*100)</f>
        <v>23505.452647998809</v>
      </c>
      <c r="O20" s="63">
        <f>IF(O4=0,0,O4/MBunk_act!O8*100)</f>
        <v>23776.643140306125</v>
      </c>
      <c r="P20" s="63">
        <f>IF(P4=0,0,P4/MBunk_act!P8*100)</f>
        <v>19733.708453114948</v>
      </c>
      <c r="Q20" s="63">
        <f>IF(Q4=0,0,Q4/MBunk_act!Q8*100)</f>
        <v>21984.828754337304</v>
      </c>
      <c r="R20" s="63">
        <f>IF(R4=0,0,R4/MBunk_act!R8*100)</f>
        <v>23867.872020458992</v>
      </c>
      <c r="S20" s="63">
        <f>IF(S4=0,0,S4/MBunk_act!S8*100)</f>
        <v>26089.43359342013</v>
      </c>
      <c r="T20" s="63">
        <f>IF(T4=0,0,T4/MBunk_act!T8*100)</f>
        <v>31176.567744254648</v>
      </c>
      <c r="U20" s="63">
        <f>IF(U4=0,0,U4/MBunk_act!U8*100)</f>
        <v>25934.092882821886</v>
      </c>
      <c r="V20" s="63">
        <f>IF(V4=0,0,V4/MBunk_act!V8*100)</f>
        <v>19587.615895972511</v>
      </c>
      <c r="W20" s="63">
        <f>IF(W4=0,0,W4/MBunk_act!W8*100)</f>
        <v>21296.490119703481</v>
      </c>
      <c r="X20" s="63">
        <f>IF(X4=0,0,X4/MBunk_act!X8*100)</f>
        <v>22898.248440140265</v>
      </c>
      <c r="Y20" s="63">
        <f>IF(Y4=0,0,Y4/MBunk_act!Y8*100)</f>
        <v>21742.617551213134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20023.973546729514</v>
      </c>
      <c r="C21" s="64">
        <f>IF(C10=0,0,C10/MBunk_act!C9*100)</f>
        <v>21257.079103584128</v>
      </c>
      <c r="D21" s="64">
        <f>IF(D10=0,0,D10/MBunk_act!D9*100)</f>
        <v>28685.214458912022</v>
      </c>
      <c r="E21" s="64">
        <f>IF(E10=0,0,E10/MBunk_act!E9*100)</f>
        <v>28604.897079709717</v>
      </c>
      <c r="F21" s="64">
        <f>IF(F10=0,0,F10/MBunk_act!F9*100)</f>
        <v>29588.909936703352</v>
      </c>
      <c r="G21" s="64">
        <f>IF(G10=0,0,G10/MBunk_act!G9*100)</f>
        <v>27468.103537426687</v>
      </c>
      <c r="H21" s="64">
        <f>IF(H10=0,0,H10/MBunk_act!H9*100)</f>
        <v>29197.268594217123</v>
      </c>
      <c r="I21" s="64">
        <f>IF(I10=0,0,I10/MBunk_act!I9*100)</f>
        <v>30326.540945619836</v>
      </c>
      <c r="J21" s="64">
        <f>IF(J10=0,0,J10/MBunk_act!J9*100)</f>
        <v>30878.039987548174</v>
      </c>
      <c r="K21" s="64">
        <f>IF(K10=0,0,K10/MBunk_act!K9*100)</f>
        <v>26965.863662811858</v>
      </c>
      <c r="L21" s="64">
        <f>IF(L10=0,0,L10/MBunk_act!L9*100)</f>
        <v>28045.903228368548</v>
      </c>
      <c r="M21" s="64">
        <f>IF(M10=0,0,M10/MBunk_act!M9*100)</f>
        <v>24787.234704460749</v>
      </c>
      <c r="N21" s="64">
        <f>IF(N10=0,0,N10/MBunk_act!N9*100)</f>
        <v>24056.221136798707</v>
      </c>
      <c r="O21" s="64">
        <f>IF(O10=0,0,O10/MBunk_act!O9*100)</f>
        <v>24429.634026113185</v>
      </c>
      <c r="P21" s="64">
        <f>IF(P10=0,0,P10/MBunk_act!P9*100)</f>
        <v>20697.067097977932</v>
      </c>
      <c r="Q21" s="64">
        <f>IF(Q10=0,0,Q10/MBunk_act!Q9*100)</f>
        <v>22686.617284039181</v>
      </c>
      <c r="R21" s="64">
        <f>IF(R10=0,0,R10/MBunk_act!R9*100)</f>
        <v>24960.930118914184</v>
      </c>
      <c r="S21" s="64">
        <f>IF(S10=0,0,S10/MBunk_act!S9*100)</f>
        <v>27063.520228833004</v>
      </c>
      <c r="T21" s="64">
        <f>IF(T10=0,0,T10/MBunk_act!T9*100)</f>
        <v>32759.287708811342</v>
      </c>
      <c r="U21" s="64">
        <f>IF(U10=0,0,U10/MBunk_act!U9*100)</f>
        <v>27628.197859657444</v>
      </c>
      <c r="V21" s="64">
        <f>IF(V10=0,0,V10/MBunk_act!V9*100)</f>
        <v>23226.681380049034</v>
      </c>
      <c r="W21" s="64">
        <f>IF(W10=0,0,W10/MBunk_act!W9*100)</f>
        <v>26109.239107068577</v>
      </c>
      <c r="X21" s="64">
        <f>IF(X10=0,0,X10/MBunk_act!X9*100)</f>
        <v>23530.409421018991</v>
      </c>
      <c r="Y21" s="64">
        <f>IF(Y10=0,0,Y10/MBunk_act!Y9*100)</f>
        <v>22312.950102044502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9.9470618998330931</v>
      </c>
      <c r="C23" s="62">
        <f>IF(C3=0,0,C3/MBunk_act!C3*1000)</f>
        <v>10.025988048165921</v>
      </c>
      <c r="D23" s="62">
        <f>IF(D3=0,0,D3/MBunk_act!D3*1000)</f>
        <v>12.811746660303442</v>
      </c>
      <c r="E23" s="62">
        <f>IF(E3=0,0,E3/MBunk_act!E3*1000)</f>
        <v>12.953481532783634</v>
      </c>
      <c r="F23" s="62">
        <f>IF(F3=0,0,F3/MBunk_act!F3*1000)</f>
        <v>12.560413664733497</v>
      </c>
      <c r="G23" s="62">
        <f>IF(G3=0,0,G3/MBunk_act!G3*1000)</f>
        <v>11.476357893869288</v>
      </c>
      <c r="H23" s="62">
        <f>IF(H3=0,0,H3/MBunk_act!H3*1000)</f>
        <v>11.652231806053434</v>
      </c>
      <c r="I23" s="62">
        <f>IF(I3=0,0,I3/MBunk_act!I3*1000)</f>
        <v>11.819682997762699</v>
      </c>
      <c r="J23" s="62">
        <f>IF(J3=0,0,J3/MBunk_act!J3*1000)</f>
        <v>11.706210361905557</v>
      </c>
      <c r="K23" s="62">
        <f>IF(K3=0,0,K3/MBunk_act!K3*1000)</f>
        <v>10.434953808347499</v>
      </c>
      <c r="L23" s="62">
        <f>IF(L3=0,0,L3/MBunk_act!L3*1000)</f>
        <v>10.277024288426814</v>
      </c>
      <c r="M23" s="62">
        <f>IF(M3=0,0,M3/MBunk_act!M3*1000)</f>
        <v>8.5373212865712649</v>
      </c>
      <c r="N23" s="62">
        <f>IF(N3=0,0,N3/MBunk_act!N3*1000)</f>
        <v>8.1890770609888488</v>
      </c>
      <c r="O23" s="62">
        <f>IF(O3=0,0,O3/MBunk_act!O3*1000)</f>
        <v>8.2052827145303588</v>
      </c>
      <c r="P23" s="62">
        <f>IF(P3=0,0,P3/MBunk_act!P3*1000)</f>
        <v>6.9331585070639239</v>
      </c>
      <c r="Q23" s="62">
        <f>IF(Q3=0,0,Q3/MBunk_act!Q3*1000)</f>
        <v>7.3105341107295461</v>
      </c>
      <c r="R23" s="62">
        <f>IF(R3=0,0,R3/MBunk_act!R3*1000)</f>
        <v>8.2451850346979612</v>
      </c>
      <c r="S23" s="62">
        <f>IF(S3=0,0,S3/MBunk_act!S3*1000)</f>
        <v>8.4456415118054196</v>
      </c>
      <c r="T23" s="62">
        <f>IF(T3=0,0,T3/MBunk_act!T3*1000)</f>
        <v>10.033825678669835</v>
      </c>
      <c r="U23" s="62">
        <f>IF(U3=0,0,U3/MBunk_act!U3*1000)</f>
        <v>8.5606569080288484</v>
      </c>
      <c r="V23" s="62">
        <f>IF(V3=0,0,V3/MBunk_act!V3*1000)</f>
        <v>6.8627318108297093</v>
      </c>
      <c r="W23" s="62">
        <f>IF(W3=0,0,W3/MBunk_act!W3*1000)</f>
        <v>7.5819170006784455</v>
      </c>
      <c r="X23" s="62">
        <f>IF(X3=0,0,X3/MBunk_act!X3*1000)</f>
        <v>7.6265941690227024</v>
      </c>
      <c r="Y23" s="62">
        <f>IF(Y3=0,0,Y3/MBunk_act!Y3*1000)</f>
        <v>7.2459441458135254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32.90984957615921</v>
      </c>
      <c r="C24" s="63">
        <f>IF(C4=0,0,C4/MBunk_act!C4*1000)</f>
        <v>32.799373678034463</v>
      </c>
      <c r="D24" s="63">
        <f>IF(D4=0,0,D4/MBunk_act!D4*1000)</f>
        <v>43.097064589467017</v>
      </c>
      <c r="E24" s="63">
        <f>IF(E4=0,0,E4/MBunk_act!E4*1000)</f>
        <v>43.572377955272039</v>
      </c>
      <c r="F24" s="63">
        <f>IF(F4=0,0,F4/MBunk_act!F4*1000)</f>
        <v>44.511167124800842</v>
      </c>
      <c r="G24" s="63">
        <f>IF(G4=0,0,G4/MBunk_act!G4*1000)</f>
        <v>42.561109213649559</v>
      </c>
      <c r="H24" s="63">
        <f>IF(H4=0,0,H4/MBunk_act!H4*1000)</f>
        <v>43.633883597662127</v>
      </c>
      <c r="I24" s="63">
        <f>IF(I4=0,0,I4/MBunk_act!I4*1000)</f>
        <v>44.788312389400211</v>
      </c>
      <c r="J24" s="63">
        <f>IF(J4=0,0,J4/MBunk_act!J4*1000)</f>
        <v>44.634269750017936</v>
      </c>
      <c r="K24" s="63">
        <f>IF(K4=0,0,K4/MBunk_act!K4*1000)</f>
        <v>39.827749830056732</v>
      </c>
      <c r="L24" s="63">
        <f>IF(L4=0,0,L4/MBunk_act!L4*1000)</f>
        <v>38.455580220765938</v>
      </c>
      <c r="M24" s="63">
        <f>IF(M4=0,0,M4/MBunk_act!M4*1000)</f>
        <v>33.389810913136735</v>
      </c>
      <c r="N24" s="63">
        <f>IF(N4=0,0,N4/MBunk_act!N4*1000)</f>
        <v>31.140254780297777</v>
      </c>
      <c r="O24" s="63">
        <f>IF(O4=0,0,O4/MBunk_act!O4*1000)</f>
        <v>30.750753225113531</v>
      </c>
      <c r="P24" s="63">
        <f>IF(P4=0,0,P4/MBunk_act!P4*1000)</f>
        <v>25.590333013369779</v>
      </c>
      <c r="Q24" s="63">
        <f>IF(Q4=0,0,Q4/MBunk_act!Q4*1000)</f>
        <v>26.424383144938446</v>
      </c>
      <c r="R24" s="63">
        <f>IF(R4=0,0,R4/MBunk_act!R4*1000)</f>
        <v>27.675206206719828</v>
      </c>
      <c r="S24" s="63">
        <f>IF(S4=0,0,S4/MBunk_act!S4*1000)</f>
        <v>29.879129058351381</v>
      </c>
      <c r="T24" s="63">
        <f>IF(T4=0,0,T4/MBunk_act!T4*1000)</f>
        <v>36.527572436873641</v>
      </c>
      <c r="U24" s="63">
        <f>IF(U4=0,0,U4/MBunk_act!U4*1000)</f>
        <v>31.084541626116714</v>
      </c>
      <c r="V24" s="63">
        <f>IF(V4=0,0,V4/MBunk_act!V4*1000)</f>
        <v>21.398055718411293</v>
      </c>
      <c r="W24" s="63">
        <f>IF(W4=0,0,W4/MBunk_act!W4*1000)</f>
        <v>24.597394619942254</v>
      </c>
      <c r="X24" s="63">
        <f>IF(X4=0,0,X4/MBunk_act!X4*1000)</f>
        <v>26.268665061295323</v>
      </c>
      <c r="Y24" s="63">
        <f>IF(Y4=0,0,Y4/MBunk_act!Y4*1000)</f>
        <v>23.921956712024365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7.6314109802165948</v>
      </c>
      <c r="C25" s="64">
        <f>IF(C10=0,0,C10/MBunk_act!C5*1000)</f>
        <v>7.6297553217154359</v>
      </c>
      <c r="D25" s="64">
        <f>IF(D10=0,0,D10/MBunk_act!D5*1000)</f>
        <v>9.9215684618192839</v>
      </c>
      <c r="E25" s="64">
        <f>IF(E10=0,0,E10/MBunk_act!E5*1000)</f>
        <v>10.044717276422572</v>
      </c>
      <c r="F25" s="64">
        <f>IF(F10=0,0,F10/MBunk_act!F5*1000)</f>
        <v>10.011065542427785</v>
      </c>
      <c r="G25" s="64">
        <f>IF(G10=0,0,G10/MBunk_act!G5*1000)</f>
        <v>9.3703760220735504</v>
      </c>
      <c r="H25" s="64">
        <f>IF(H10=0,0,H10/MBunk_act!H5*1000)</f>
        <v>9.5594798296084882</v>
      </c>
      <c r="I25" s="64">
        <f>IF(I10=0,0,I10/MBunk_act!I5*1000)</f>
        <v>9.761235714314827</v>
      </c>
      <c r="J25" s="64">
        <f>IF(J10=0,0,J10/MBunk_act!J5*1000)</f>
        <v>9.6858045381272575</v>
      </c>
      <c r="K25" s="64">
        <f>IF(K10=0,0,K10/MBunk_act!K5*1000)</f>
        <v>8.6592608015130494</v>
      </c>
      <c r="L25" s="64">
        <f>IF(L10=0,0,L10/MBunk_act!L5*1000)</f>
        <v>8.3709271367479943</v>
      </c>
      <c r="M25" s="64">
        <f>IF(M10=0,0,M10/MBunk_act!M5*1000)</f>
        <v>7.0302503548676292</v>
      </c>
      <c r="N25" s="64">
        <f>IF(N10=0,0,N10/MBunk_act!N5*1000)</f>
        <v>6.6287929317786851</v>
      </c>
      <c r="O25" s="64">
        <f>IF(O10=0,0,O10/MBunk_act!O5*1000)</f>
        <v>6.5782498384831811</v>
      </c>
      <c r="P25" s="64">
        <f>IF(P10=0,0,P10/MBunk_act!P5*1000)</f>
        <v>5.512291465572484</v>
      </c>
      <c r="Q25" s="64">
        <f>IF(Q10=0,0,Q10/MBunk_act!Q5*1000)</f>
        <v>5.7554757683635467</v>
      </c>
      <c r="R25" s="64">
        <f>IF(R10=0,0,R10/MBunk_act!R5*1000)</f>
        <v>6.277213439920005</v>
      </c>
      <c r="S25" s="64">
        <f>IF(S10=0,0,S10/MBunk_act!S5*1000)</f>
        <v>6.5789599418662101</v>
      </c>
      <c r="T25" s="64">
        <f>IF(T10=0,0,T10/MBunk_act!T5*1000)</f>
        <v>7.9226548323572645</v>
      </c>
      <c r="U25" s="64">
        <f>IF(U10=0,0,U10/MBunk_act!U5*1000)</f>
        <v>6.6823591413177388</v>
      </c>
      <c r="V25" s="64">
        <f>IF(V10=0,0,V10/MBunk_act!V5*1000)</f>
        <v>5.6230929264792682</v>
      </c>
      <c r="W25" s="64">
        <f>IF(W10=0,0,W10/MBunk_act!W5*1000)</f>
        <v>6.1253575827300475</v>
      </c>
      <c r="X25" s="64">
        <f>IF(X10=0,0,X10/MBunk_act!X5*1000)</f>
        <v>5.9933893830461846</v>
      </c>
      <c r="Y25" s="64">
        <f>IF(Y10=0,0,Y10/MBunk_act!Y5*1000)</f>
        <v>5.5773071144048822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0.30307765805232484</v>
      </c>
      <c r="C28" s="77">
        <f t="shared" si="6"/>
        <v>0.31145171950036438</v>
      </c>
      <c r="D28" s="77">
        <f t="shared" si="6"/>
        <v>0.29305325040518465</v>
      </c>
      <c r="E28" s="77">
        <f t="shared" si="6"/>
        <v>0.29183005983166566</v>
      </c>
      <c r="F28" s="77">
        <f t="shared" si="6"/>
        <v>0.26186280129844164</v>
      </c>
      <c r="G28" s="77">
        <f t="shared" si="6"/>
        <v>0.23531338799441495</v>
      </c>
      <c r="H28" s="77">
        <f t="shared" si="6"/>
        <v>0.22998750846805616</v>
      </c>
      <c r="I28" s="77">
        <f t="shared" si="6"/>
        <v>0.22268692888796934</v>
      </c>
      <c r="J28" s="77">
        <f t="shared" si="6"/>
        <v>0.2204258951671762</v>
      </c>
      <c r="K28" s="77">
        <f t="shared" si="6"/>
        <v>0.21744397301541152</v>
      </c>
      <c r="L28" s="77">
        <f t="shared" si="6"/>
        <v>0.23707841222526307</v>
      </c>
      <c r="M28" s="77">
        <f t="shared" si="6"/>
        <v>0.22360826993502186</v>
      </c>
      <c r="N28" s="77">
        <f t="shared" si="6"/>
        <v>0.24205924897291484</v>
      </c>
      <c r="O28" s="77">
        <f t="shared" si="6"/>
        <v>0.25225332962233932</v>
      </c>
      <c r="P28" s="77">
        <f t="shared" si="6"/>
        <v>0.26120224188434266</v>
      </c>
      <c r="Q28" s="77">
        <f t="shared" si="6"/>
        <v>0.27194740460635342</v>
      </c>
      <c r="R28" s="77">
        <f t="shared" si="6"/>
        <v>0.30869972912690452</v>
      </c>
      <c r="S28" s="77">
        <f t="shared" si="6"/>
        <v>0.28343041806963726</v>
      </c>
      <c r="T28" s="77">
        <f t="shared" si="6"/>
        <v>0.2686809887897707</v>
      </c>
      <c r="U28" s="77">
        <f t="shared" si="6"/>
        <v>0.27949442358912507</v>
      </c>
      <c r="V28" s="77">
        <f t="shared" si="6"/>
        <v>0.24502146578008552</v>
      </c>
      <c r="W28" s="77">
        <f t="shared" si="6"/>
        <v>0.25581352239934008</v>
      </c>
      <c r="X28" s="77">
        <f t="shared" ref="X28:Y28" si="8">IF(X4=0,0,X4/X$3)</f>
        <v>0.27744777224134604</v>
      </c>
      <c r="Y28" s="77">
        <f t="shared" si="8"/>
        <v>0.30029919979924219</v>
      </c>
      <c r="DA28" s="184"/>
    </row>
    <row r="29" spans="1:105" ht="11.45" customHeight="1" x14ac:dyDescent="0.25">
      <c r="A29" s="57" t="s">
        <v>167</v>
      </c>
      <c r="B29" s="78">
        <f>IF(B10=0,0,B10/B$3)</f>
        <v>0.69692234194767511</v>
      </c>
      <c r="C29" s="78">
        <f t="shared" ref="C29:W29" si="9">IF(C10=0,0,C10/C$3)</f>
        <v>0.68854828049963557</v>
      </c>
      <c r="D29" s="78">
        <f t="shared" si="9"/>
        <v>0.7069467495948154</v>
      </c>
      <c r="E29" s="78">
        <f t="shared" si="9"/>
        <v>0.70816994016833434</v>
      </c>
      <c r="F29" s="78">
        <f t="shared" si="9"/>
        <v>0.73813719870155825</v>
      </c>
      <c r="G29" s="78">
        <f t="shared" si="9"/>
        <v>0.76468661200558508</v>
      </c>
      <c r="H29" s="78">
        <f t="shared" si="9"/>
        <v>0.77001249153194384</v>
      </c>
      <c r="I29" s="78">
        <f t="shared" si="9"/>
        <v>0.77731307111203063</v>
      </c>
      <c r="J29" s="78">
        <f t="shared" si="9"/>
        <v>0.77957410483282374</v>
      </c>
      <c r="K29" s="78">
        <f t="shared" si="9"/>
        <v>0.78255602698458848</v>
      </c>
      <c r="L29" s="78">
        <f t="shared" si="9"/>
        <v>0.76292158777473695</v>
      </c>
      <c r="M29" s="78">
        <f t="shared" si="9"/>
        <v>0.77639173006497819</v>
      </c>
      <c r="N29" s="78">
        <f t="shared" si="9"/>
        <v>0.75794075102708514</v>
      </c>
      <c r="O29" s="78">
        <f t="shared" si="9"/>
        <v>0.74774667037766063</v>
      </c>
      <c r="P29" s="78">
        <f t="shared" si="9"/>
        <v>0.73879775811565729</v>
      </c>
      <c r="Q29" s="78">
        <f t="shared" si="9"/>
        <v>0.72805259539364664</v>
      </c>
      <c r="R29" s="78">
        <f t="shared" si="9"/>
        <v>0.69130027087309553</v>
      </c>
      <c r="S29" s="78">
        <f t="shared" si="9"/>
        <v>0.71656958193036269</v>
      </c>
      <c r="T29" s="78">
        <f t="shared" si="9"/>
        <v>0.73131901121022924</v>
      </c>
      <c r="U29" s="78">
        <f t="shared" si="9"/>
        <v>0.72050557641087487</v>
      </c>
      <c r="V29" s="78">
        <f t="shared" si="9"/>
        <v>0.75497853421991445</v>
      </c>
      <c r="W29" s="78">
        <f t="shared" si="9"/>
        <v>0.74418647760065992</v>
      </c>
      <c r="X29" s="78">
        <f t="shared" ref="X29:Y29" si="10">IF(X10=0,0,X10/X$3)</f>
        <v>0.72255222775865391</v>
      </c>
      <c r="Y29" s="78">
        <f t="shared" si="10"/>
        <v>0.69970080020075787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17196.483331080002</v>
      </c>
      <c r="C3" s="62">
        <f t="shared" ref="C3:W3" si="1">SUM(C4:C5)</f>
        <v>16808.634361800003</v>
      </c>
      <c r="D3" s="62">
        <f t="shared" si="1"/>
        <v>21962.98902384</v>
      </c>
      <c r="E3" s="62">
        <f t="shared" si="1"/>
        <v>24018.859081800008</v>
      </c>
      <c r="F3" s="62">
        <f t="shared" si="1"/>
        <v>24912.639302039999</v>
      </c>
      <c r="G3" s="62">
        <f t="shared" si="1"/>
        <v>24653.909937960008</v>
      </c>
      <c r="H3" s="62">
        <f t="shared" si="1"/>
        <v>26680.145252760001</v>
      </c>
      <c r="I3" s="62">
        <f t="shared" si="1"/>
        <v>29852.640001800006</v>
      </c>
      <c r="J3" s="62">
        <f t="shared" si="1"/>
        <v>30811.860865080005</v>
      </c>
      <c r="K3" s="62">
        <f t="shared" si="1"/>
        <v>22588.043604120001</v>
      </c>
      <c r="L3" s="62">
        <f t="shared" si="1"/>
        <v>24546.999269880005</v>
      </c>
      <c r="M3" s="62">
        <f t="shared" si="1"/>
        <v>21812.817753000003</v>
      </c>
      <c r="N3" s="62">
        <f t="shared" si="1"/>
        <v>19516.554150839998</v>
      </c>
      <c r="O3" s="62">
        <f t="shared" si="1"/>
        <v>19879.089149160001</v>
      </c>
      <c r="P3" s="62">
        <f t="shared" si="1"/>
        <v>17352.324061920001</v>
      </c>
      <c r="Q3" s="62">
        <f t="shared" si="1"/>
        <v>18652.116418200003</v>
      </c>
      <c r="R3" s="62">
        <f t="shared" si="1"/>
        <v>21391.985307240007</v>
      </c>
      <c r="S3" s="62">
        <f t="shared" si="1"/>
        <v>24128.797683959998</v>
      </c>
      <c r="T3" s="62">
        <f t="shared" si="1"/>
        <v>29890.820681577407</v>
      </c>
      <c r="U3" s="62">
        <f t="shared" si="1"/>
        <v>26393.514647214652</v>
      </c>
      <c r="V3" s="62">
        <f t="shared" si="1"/>
        <v>20470.49117627892</v>
      </c>
      <c r="W3" s="62">
        <f t="shared" si="1"/>
        <v>24329.989871456899</v>
      </c>
      <c r="X3" s="62">
        <f t="shared" ref="X3:Y3" si="2">SUM(X4:X5)</f>
        <v>24572.379583270915</v>
      </c>
      <c r="Y3" s="62">
        <f t="shared" si="2"/>
        <v>22236.739374236862</v>
      </c>
      <c r="DA3" s="172" t="s">
        <v>987</v>
      </c>
    </row>
    <row r="4" spans="1:105" ht="11.45" customHeight="1" x14ac:dyDescent="0.25">
      <c r="A4" s="55" t="s">
        <v>166</v>
      </c>
      <c r="B4" s="63">
        <v>5168.181258085865</v>
      </c>
      <c r="C4" s="63">
        <v>5192.267678705527</v>
      </c>
      <c r="D4" s="63">
        <v>6394.3664416703805</v>
      </c>
      <c r="E4" s="63">
        <v>6972.9497696521885</v>
      </c>
      <c r="F4" s="63">
        <v>6496.9571758745533</v>
      </c>
      <c r="G4" s="63">
        <v>5773.8717234800488</v>
      </c>
      <c r="H4" s="63">
        <v>6102.0714308016677</v>
      </c>
      <c r="I4" s="63">
        <v>6620.1827305169163</v>
      </c>
      <c r="J4" s="63">
        <v>6772.6276595712943</v>
      </c>
      <c r="K4" s="63">
        <v>4893.2177526330534</v>
      </c>
      <c r="L4" s="63">
        <v>5793.4208208645668</v>
      </c>
      <c r="M4" s="63">
        <v>4854.6472115296765</v>
      </c>
      <c r="N4" s="63">
        <v>4697.3024967115307</v>
      </c>
      <c r="O4" s="63">
        <v>4987.1427360505868</v>
      </c>
      <c r="P4" s="63">
        <v>4499.5120796366173</v>
      </c>
      <c r="Q4" s="63">
        <v>4989.7799722606933</v>
      </c>
      <c r="R4" s="63">
        <v>6524.5254257511069</v>
      </c>
      <c r="S4" s="63">
        <v>6781.1460755169746</v>
      </c>
      <c r="T4" s="63">
        <v>7960.6051299295186</v>
      </c>
      <c r="U4" s="63">
        <v>7313.4914846857355</v>
      </c>
      <c r="V4" s="63">
        <v>4942.9771733208227</v>
      </c>
      <c r="W4" s="63">
        <v>6142.389329569789</v>
      </c>
      <c r="X4" s="63">
        <v>6739.304117736101</v>
      </c>
      <c r="Y4" s="63">
        <v>6611.0260600388883</v>
      </c>
      <c r="DA4" s="181" t="s">
        <v>988</v>
      </c>
    </row>
    <row r="5" spans="1:105" ht="11.45" customHeight="1" x14ac:dyDescent="0.25">
      <c r="A5" s="57" t="s">
        <v>167</v>
      </c>
      <c r="B5" s="64">
        <v>12028.302072994136</v>
      </c>
      <c r="C5" s="64">
        <v>11616.366683094477</v>
      </c>
      <c r="D5" s="64">
        <v>15568.622582169621</v>
      </c>
      <c r="E5" s="64">
        <v>17045.909312147818</v>
      </c>
      <c r="F5" s="64">
        <v>18415.682126165448</v>
      </c>
      <c r="G5" s="64">
        <v>18880.038214479959</v>
      </c>
      <c r="H5" s="64">
        <v>20578.073821958333</v>
      </c>
      <c r="I5" s="64">
        <v>23232.457271283089</v>
      </c>
      <c r="J5" s="64">
        <v>24039.23320550871</v>
      </c>
      <c r="K5" s="64">
        <v>17694.825851486949</v>
      </c>
      <c r="L5" s="64">
        <v>18753.578449015436</v>
      </c>
      <c r="M5" s="64">
        <v>16958.170541470328</v>
      </c>
      <c r="N5" s="64">
        <v>14819.251654128469</v>
      </c>
      <c r="O5" s="64">
        <v>14891.946413109414</v>
      </c>
      <c r="P5" s="64">
        <v>12852.811982283381</v>
      </c>
      <c r="Q5" s="64">
        <v>13662.336445939309</v>
      </c>
      <c r="R5" s="64">
        <v>14867.459881488901</v>
      </c>
      <c r="S5" s="64">
        <v>17347.651608443022</v>
      </c>
      <c r="T5" s="64">
        <v>21930.215551647889</v>
      </c>
      <c r="U5" s="64">
        <v>19080.023162528916</v>
      </c>
      <c r="V5" s="64">
        <v>15527.514002958098</v>
      </c>
      <c r="W5" s="64">
        <v>18187.60054188711</v>
      </c>
      <c r="X5" s="64">
        <v>17833.075465534814</v>
      </c>
      <c r="Y5" s="64">
        <v>15625.713314197974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3.2198676421740484</v>
      </c>
      <c r="C9" s="79">
        <f>IF(C3=0,0,C3/MBunk_ene!C3)</f>
        <v>3.2197673042314219</v>
      </c>
      <c r="D9" s="79">
        <f>IF(D3=0,0,D3/MBunk_ene!D3)</f>
        <v>3.2247927199129749</v>
      </c>
      <c r="E9" s="79">
        <f>IF(E3=0,0,E3/MBunk_ene!E3)</f>
        <v>3.2280191708943846</v>
      </c>
      <c r="F9" s="79">
        <f>IF(F3=0,0,F3/MBunk_ene!F3)</f>
        <v>3.2315384871531934</v>
      </c>
      <c r="G9" s="79">
        <f>IF(G3=0,0,G3/MBunk_ene!G3)</f>
        <v>3.2310396532524748</v>
      </c>
      <c r="H9" s="79">
        <f>IF(H3=0,0,H3/MBunk_ene!H3)</f>
        <v>3.2296241421730207</v>
      </c>
      <c r="I9" s="79">
        <f>IF(I3=0,0,I3/MBunk_ene!I3)</f>
        <v>3.2325609138110272</v>
      </c>
      <c r="J9" s="79">
        <f>IF(J3=0,0,J3/MBunk_ene!J3)</f>
        <v>3.2351955540784996</v>
      </c>
      <c r="K9" s="79">
        <f>IF(K3=0,0,K3/MBunk_ene!K3)</f>
        <v>3.2332133935905096</v>
      </c>
      <c r="L9" s="79">
        <f>IF(L3=0,0,L3/MBunk_ene!L3)</f>
        <v>3.2313875392349343</v>
      </c>
      <c r="M9" s="79">
        <f>IF(M3=0,0,M3/MBunk_ene!M3)</f>
        <v>3.231565151795293</v>
      </c>
      <c r="N9" s="79">
        <f>IF(N3=0,0,N3/MBunk_ene!N3)</f>
        <v>3.2289539347564262</v>
      </c>
      <c r="O9" s="79">
        <f>IF(O3=0,0,O3/MBunk_ene!O3)</f>
        <v>3.2290514987415624</v>
      </c>
      <c r="P9" s="79">
        <f>IF(P3=0,0,P3/MBunk_ene!P3)</f>
        <v>3.2249072320869177</v>
      </c>
      <c r="Q9" s="79">
        <f>IF(Q3=0,0,Q3/MBunk_ene!Q3)</f>
        <v>3.2041178121623486</v>
      </c>
      <c r="R9" s="79">
        <f>IF(R3=0,0,R3/MBunk_ene!R3)</f>
        <v>3.2101797881456999</v>
      </c>
      <c r="S9" s="79">
        <f>IF(S3=0,0,S3/MBunk_ene!S3)</f>
        <v>3.2200456855199029</v>
      </c>
      <c r="T9" s="79">
        <f>IF(T3=0,0,T3/MBunk_ene!T3)</f>
        <v>3.2201281453808543</v>
      </c>
      <c r="U9" s="79">
        <f>IF(U3=0,0,U3/MBunk_ene!U3)</f>
        <v>3.219702273518505</v>
      </c>
      <c r="V9" s="79">
        <f>IF(V3=0,0,V3/MBunk_ene!V3)</f>
        <v>3.2102433745646137</v>
      </c>
      <c r="W9" s="79">
        <f>IF(W3=0,0,W3/MBunk_ene!W3)</f>
        <v>3.2118360651431179</v>
      </c>
      <c r="X9" s="79">
        <f>IF(X3=0,0,X3/MBunk_ene!X3)</f>
        <v>3.2136406918822353</v>
      </c>
      <c r="Y9" s="79">
        <f>IF(Y3=0,0,Y3/MBunk_ene!Y3)</f>
        <v>3.2108313301002114</v>
      </c>
      <c r="DA9" s="172"/>
    </row>
    <row r="10" spans="1:105" ht="11.45" customHeight="1" x14ac:dyDescent="0.25">
      <c r="A10" s="55" t="s">
        <v>166</v>
      </c>
      <c r="B10" s="80">
        <f>IF(B4=0,0,B4/MBunk_ene!B4)</f>
        <v>3.1928770168765741</v>
      </c>
      <c r="C10" s="80">
        <f>IF(C4=0,0,C4/MBunk_ene!C4)</f>
        <v>3.1934373220434282</v>
      </c>
      <c r="D10" s="80">
        <f>IF(D4=0,0,D4/MBunk_ene!D4)</f>
        <v>3.2037700578794999</v>
      </c>
      <c r="E10" s="80">
        <f>IF(E4=0,0,E4/MBunk_ene!E4)</f>
        <v>3.2112213580734688</v>
      </c>
      <c r="F10" s="80">
        <f>IF(F4=0,0,F4/MBunk_ene!F4)</f>
        <v>3.2182945311210651</v>
      </c>
      <c r="G10" s="80">
        <f>IF(G4=0,0,G4/MBunk_ene!G4)</f>
        <v>3.2157107472923618</v>
      </c>
      <c r="H10" s="80">
        <f>IF(H4=0,0,H4/MBunk_ene!H4)</f>
        <v>3.2117137571809882</v>
      </c>
      <c r="I10" s="80">
        <f>IF(I4=0,0,I4/MBunk_ene!I4)</f>
        <v>3.2191352580403625</v>
      </c>
      <c r="J10" s="80">
        <f>IF(J4=0,0,J4/MBunk_ene!J4)</f>
        <v>3.22609532471107</v>
      </c>
      <c r="K10" s="80">
        <f>IF(K4=0,0,K4/MBunk_ene!K4)</f>
        <v>3.2210904469245913</v>
      </c>
      <c r="L10" s="80">
        <f>IF(L4=0,0,L4/MBunk_ene!L4)</f>
        <v>3.2168714183540912</v>
      </c>
      <c r="M10" s="80">
        <f>IF(M4=0,0,M4/MBunk_ene!M4)</f>
        <v>3.2164067064569091</v>
      </c>
      <c r="N10" s="80">
        <f>IF(N4=0,0,N4/MBunk_ene!N4)</f>
        <v>3.2105952263914577</v>
      </c>
      <c r="O10" s="80">
        <f>IF(O4=0,0,O4/MBunk_ene!O4)</f>
        <v>3.2113924420692701</v>
      </c>
      <c r="P10" s="80">
        <f>IF(P4=0,0,P4/MBunk_ene!P4)</f>
        <v>3.2014601359510109</v>
      </c>
      <c r="Q10" s="80">
        <f>IF(Q4=0,0,Q4/MBunk_ene!Q4)</f>
        <v>3.1519319749309886</v>
      </c>
      <c r="R10" s="80">
        <f>IF(R4=0,0,R4/MBunk_ene!R4)</f>
        <v>3.171691540727815</v>
      </c>
      <c r="S10" s="80">
        <f>IF(S4=0,0,S4/MBunk_ene!S4)</f>
        <v>3.192882921815702</v>
      </c>
      <c r="T10" s="80">
        <f>IF(T4=0,0,T4/MBunk_ene!T4)</f>
        <v>3.1918645981091083</v>
      </c>
      <c r="U10" s="80">
        <f>IF(U4=0,0,U4/MBunk_ene!U4)</f>
        <v>3.1920530526470303</v>
      </c>
      <c r="V10" s="80">
        <f>IF(V4=0,0,V4/MBunk_ene!V4)</f>
        <v>3.1636917808082425</v>
      </c>
      <c r="W10" s="80">
        <f>IF(W4=0,0,W4/MBunk_ene!W4)</f>
        <v>3.1697520025206147</v>
      </c>
      <c r="X10" s="80">
        <f>IF(X4=0,0,X4/MBunk_ene!X4)</f>
        <v>3.1767564120041629</v>
      </c>
      <c r="Y10" s="80">
        <f>IF(Y4=0,0,Y4/MBunk_ene!Y4)</f>
        <v>3.1787844526436007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3.2316053280138584</v>
      </c>
      <c r="C11" s="81">
        <f>IF(C5=0,0,C5/MBunk_ene!C10)</f>
        <v>3.2316771709163175</v>
      </c>
      <c r="D11" s="81">
        <f>IF(D5=0,0,D5/MBunk_ene!D10)</f>
        <v>3.2335073217477106</v>
      </c>
      <c r="E11" s="81">
        <f>IF(E5=0,0,E5/MBunk_ene!E10)</f>
        <v>3.2349413889136973</v>
      </c>
      <c r="F11" s="81">
        <f>IF(F5=0,0,F5/MBunk_ene!F10)</f>
        <v>3.2362369353996003</v>
      </c>
      <c r="G11" s="81">
        <f>IF(G5=0,0,G5/MBunk_ene!G10)</f>
        <v>3.2357567448545645</v>
      </c>
      <c r="H11" s="81">
        <f>IF(H5=0,0,H5/MBunk_ene!H10)</f>
        <v>3.234973620091004</v>
      </c>
      <c r="I11" s="81">
        <f>IF(I5=0,0,I5/MBunk_ene!I10)</f>
        <v>3.2364071350608503</v>
      </c>
      <c r="J11" s="81">
        <f>IF(J5=0,0,J5/MBunk_ene!J10)</f>
        <v>3.2377686593062225</v>
      </c>
      <c r="K11" s="81">
        <f>IF(K5=0,0,K5/MBunk_ene!K10)</f>
        <v>3.2365819213339462</v>
      </c>
      <c r="L11" s="81">
        <f>IF(L5=0,0,L5/MBunk_ene!L10)</f>
        <v>3.2358984338606032</v>
      </c>
      <c r="M11" s="81">
        <f>IF(M5=0,0,M5/MBunk_ene!M10)</f>
        <v>3.2359309295409382</v>
      </c>
      <c r="N11" s="81">
        <f>IF(N5=0,0,N5/MBunk_ene!N10)</f>
        <v>3.2348170515672265</v>
      </c>
      <c r="O11" s="81">
        <f>IF(O5=0,0,O5/MBunk_ene!O10)</f>
        <v>3.2350088048989076</v>
      </c>
      <c r="P11" s="81">
        <f>IF(P5=0,0,P5/MBunk_ene!P10)</f>
        <v>3.2331969622723435</v>
      </c>
      <c r="Q11" s="81">
        <f>IF(Q5=0,0,Q5/MBunk_ene!Q10)</f>
        <v>3.2236106387549168</v>
      </c>
      <c r="R11" s="81">
        <f>IF(R5=0,0,R5/MBunk_ene!R10)</f>
        <v>3.2273666923797526</v>
      </c>
      <c r="S11" s="81">
        <f>IF(S5=0,0,S5/MBunk_ene!S10)</f>
        <v>3.2307895876708548</v>
      </c>
      <c r="T11" s="81">
        <f>IF(T5=0,0,T5/MBunk_ene!T10)</f>
        <v>3.2305119556076836</v>
      </c>
      <c r="U11" s="81">
        <f>IF(U5=0,0,U5/MBunk_ene!U10)</f>
        <v>3.230427801957378</v>
      </c>
      <c r="V11" s="81">
        <f>IF(V5=0,0,V5/MBunk_ene!V10)</f>
        <v>3.2253512739545886</v>
      </c>
      <c r="W11" s="81">
        <f>IF(W5=0,0,W5/MBunk_ene!W10)</f>
        <v>3.2263024289113047</v>
      </c>
      <c r="X11" s="81">
        <f>IF(X5=0,0,X5/MBunk_ene!X10)</f>
        <v>3.2278036283313298</v>
      </c>
      <c r="Y11" s="81">
        <f>IF(Y5=0,0,Y5/MBunk_ene!Y10)</f>
        <v>3.2245852827232806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65387.849704342749</v>
      </c>
      <c r="C13" s="62">
        <f>IF(C3=0,0,C3/MBunk_act!C7*100)</f>
        <v>69084.674778740533</v>
      </c>
      <c r="D13" s="62">
        <f>IF(D3=0,0,D3/MBunk_act!D7*100)</f>
        <v>94220.638065929001</v>
      </c>
      <c r="E13" s="62">
        <f>IF(E3=0,0,E3/MBunk_act!E7*100)</f>
        <v>94658.937271721035</v>
      </c>
      <c r="F13" s="62">
        <f>IF(F3=0,0,F3/MBunk_act!F7*100)</f>
        <v>98515.298433903197</v>
      </c>
      <c r="G13" s="62">
        <f>IF(G3=0,0,G3/MBunk_act!G7*100)</f>
        <v>91669.783581924203</v>
      </c>
      <c r="H13" s="62">
        <f>IF(H3=0,0,H3/MBunk_act!H7*100)</f>
        <v>96981.638337956072</v>
      </c>
      <c r="I13" s="62">
        <f>IF(I3=0,0,I3/MBunk_act!I7*100)</f>
        <v>101148.49807865344</v>
      </c>
      <c r="J13" s="62">
        <f>IF(J3=0,0,J3/MBunk_act!J7*100)</f>
        <v>102738.40452419138</v>
      </c>
      <c r="K13" s="62">
        <f>IF(K3=0,0,K3/MBunk_act!K7*100)</f>
        <v>90215.339398294236</v>
      </c>
      <c r="L13" s="62">
        <f>IF(L3=0,0,L3/MBunk_act!L7*100)</f>
        <v>92530.399744305934</v>
      </c>
      <c r="M13" s="62">
        <f>IF(M3=0,0,M3/MBunk_act!M7*100)</f>
        <v>80262.597927682116</v>
      </c>
      <c r="N13" s="62">
        <f>IF(N3=0,0,N3/MBunk_act!N7*100)</f>
        <v>77238.348181742738</v>
      </c>
      <c r="O13" s="62">
        <f>IF(O3=0,0,O3/MBunk_act!O7*100)</f>
        <v>78341.812275589502</v>
      </c>
      <c r="P13" s="62">
        <f>IF(P3=0,0,P3/MBunk_act!P7*100)</f>
        <v>65905.734234620715</v>
      </c>
      <c r="Q13" s="62">
        <f>IF(Q3=0,0,Q3/MBunk_act!Q7*100)</f>
        <v>72065.00065701142</v>
      </c>
      <c r="R13" s="62">
        <f>IF(R3=0,0,R3/MBunk_act!R7*100)</f>
        <v>79012.05794285587</v>
      </c>
      <c r="S13" s="62">
        <f>IF(S3=0,0,S3/MBunk_act!S7*100)</f>
        <v>86233.227092706467</v>
      </c>
      <c r="T13" s="62">
        <f>IF(T3=0,0,T3/MBunk_act!T7*100)</f>
        <v>104069.60042819308</v>
      </c>
      <c r="U13" s="62">
        <f>IF(U3=0,0,U3/MBunk_act!U7*100)</f>
        <v>87359.599553809283</v>
      </c>
      <c r="V13" s="62">
        <f>IF(V3=0,0,V3/MBunk_act!V7*100)</f>
        <v>71316.879618493869</v>
      </c>
      <c r="W13" s="62">
        <f>IF(W3=0,0,W3/MBunk_act!W7*100)</f>
        <v>79275.612424585182</v>
      </c>
      <c r="X13" s="62">
        <f>IF(X3=0,0,X3/MBunk_act!X7*100)</f>
        <v>75043.477431679145</v>
      </c>
      <c r="Y13" s="62">
        <f>IF(Y3=0,0,Y3/MBunk_act!Y7*100)</f>
        <v>71083.184553241445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67022.872154670418</v>
      </c>
      <c r="C14" s="63">
        <f>IF(C4=0,0,C4/MBunk_act!C8*100)</f>
        <v>69970.325846618536</v>
      </c>
      <c r="D14" s="63">
        <f>IF(D4=0,0,D4/MBunk_act!D8*100)</f>
        <v>97993.627893058219</v>
      </c>
      <c r="E14" s="63">
        <f>IF(E4=0,0,E4/MBunk_act!E8*100)</f>
        <v>100285.49528278239</v>
      </c>
      <c r="F14" s="63">
        <f>IF(F4=0,0,F4/MBunk_act!F8*100)</f>
        <v>107275.05650882615</v>
      </c>
      <c r="G14" s="63">
        <f>IF(G4=0,0,G4/MBunk_act!G8*100)</f>
        <v>102154.1437213711</v>
      </c>
      <c r="H14" s="63">
        <f>IF(H4=0,0,H4/MBunk_act!H8*100)</f>
        <v>106608.80235273312</v>
      </c>
      <c r="I14" s="63">
        <f>IF(I4=0,0,I4/MBunk_act!I8*100)</f>
        <v>113299.4619026</v>
      </c>
      <c r="J14" s="63">
        <f>IF(J4=0,0,J4/MBunk_act!J8*100)</f>
        <v>113910.2748675242</v>
      </c>
      <c r="K14" s="63">
        <f>IF(K4=0,0,K4/MBunk_act!K8*100)</f>
        <v>102720.07689562491</v>
      </c>
      <c r="L14" s="63">
        <f>IF(L4=0,0,L4/MBunk_act!L8*100)</f>
        <v>98791.024513921686</v>
      </c>
      <c r="M14" s="63">
        <f>IF(M4=0,0,M4/MBunk_act!M8*100)</f>
        <v>80447.649739278917</v>
      </c>
      <c r="N14" s="63">
        <f>IF(N4=0,0,N4/MBunk_act!N8*100)</f>
        <v>75466.494065835417</v>
      </c>
      <c r="O14" s="63">
        <f>IF(O4=0,0,O4/MBunk_act!O8*100)</f>
        <v>76356.132078557261</v>
      </c>
      <c r="P14" s="63">
        <f>IF(P4=0,0,P4/MBunk_act!P8*100)</f>
        <v>63176.680947127003</v>
      </c>
      <c r="Q14" s="63">
        <f>IF(Q4=0,0,Q4/MBunk_act!Q8*100)</f>
        <v>69294.684714177973</v>
      </c>
      <c r="R14" s="63">
        <f>IF(R4=0,0,R4/MBunk_act!R8*100)</f>
        <v>75701.527782463891</v>
      </c>
      <c r="S14" s="63">
        <f>IF(S4=0,0,S4/MBunk_act!S8*100)</f>
        <v>83300.50696027599</v>
      </c>
      <c r="T14" s="63">
        <f>IF(T4=0,0,T4/MBunk_act!T8*100)</f>
        <v>99511.382873436742</v>
      </c>
      <c r="U14" s="63">
        <f>IF(U4=0,0,U4/MBunk_act!U8*100)</f>
        <v>82783.000354243239</v>
      </c>
      <c r="V14" s="63">
        <f>IF(V4=0,0,V4/MBunk_act!V8*100)</f>
        <v>61969.17941571711</v>
      </c>
      <c r="W14" s="63">
        <f>IF(W4=0,0,W4/MBunk_act!W8*100)</f>
        <v>67504.592203590582</v>
      </c>
      <c r="X14" s="63">
        <f>IF(X4=0,0,X4/MBunk_act!X8*100)</f>
        <v>72742.157555879909</v>
      </c>
      <c r="Y14" s="63">
        <f>IF(Y4=0,0,Y4/MBunk_act!Y8*100)</f>
        <v>69115.094631572196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64709.579601619655</v>
      </c>
      <c r="C15" s="64">
        <f>IF(C5=0,0,C5/MBunk_act!C9*100)</f>
        <v>68696.017259415137</v>
      </c>
      <c r="D15" s="64">
        <f>IF(D5=0,0,D5/MBunk_act!D9*100)</f>
        <v>92753.850978795323</v>
      </c>
      <c r="E15" s="64">
        <f>IF(E5=0,0,E5/MBunk_act!E9*100)</f>
        <v>92535.165488769504</v>
      </c>
      <c r="F15" s="64">
        <f>IF(F5=0,0,F5/MBunk_act!F9*100)</f>
        <v>95756.723215371632</v>
      </c>
      <c r="G15" s="64">
        <f>IF(G5=0,0,G5/MBunk_act!G9*100)</f>
        <v>88880.101289591927</v>
      </c>
      <c r="H15" s="64">
        <f>IF(H5=0,0,H5/MBunk_act!H9*100)</f>
        <v>94452.39368100393</v>
      </c>
      <c r="I15" s="64">
        <f>IF(I5=0,0,I5/MBunk_act!I9*100)</f>
        <v>98149.033498119054</v>
      </c>
      <c r="J15" s="64">
        <f>IF(J5=0,0,J5/MBunk_act!J9*100)</f>
        <v>99975.950132487793</v>
      </c>
      <c r="K15" s="64">
        <f>IF(K5=0,0,K5/MBunk_act!K9*100)</f>
        <v>87277.226824212848</v>
      </c>
      <c r="L15" s="64">
        <f>IF(L5=0,0,L5/MBunk_act!L9*100)</f>
        <v>90753.694332883824</v>
      </c>
      <c r="M15" s="64">
        <f>IF(M5=0,0,M5/MBunk_act!M9*100)</f>
        <v>80209.779437955076</v>
      </c>
      <c r="N15" s="64">
        <f>IF(N5=0,0,N5/MBunk_act!N9*100)</f>
        <v>77817.474329588396</v>
      </c>
      <c r="O15" s="64">
        <f>IF(O5=0,0,O5/MBunk_act!O9*100)</f>
        <v>79030.081174934094</v>
      </c>
      <c r="P15" s="64">
        <f>IF(P5=0,0,P5/MBunk_act!P9*100)</f>
        <v>66917.694469129114</v>
      </c>
      <c r="Q15" s="64">
        <f>IF(Q5=0,0,Q5/MBunk_act!Q9*100)</f>
        <v>73132.820834189886</v>
      </c>
      <c r="R15" s="64">
        <f>IF(R5=0,0,R5/MBunk_act!R9*100)</f>
        <v>80558.074476602211</v>
      </c>
      <c r="S15" s="64">
        <f>IF(S5=0,0,S5/MBunk_act!S9*100)</f>
        <v>87436.539361033225</v>
      </c>
      <c r="T15" s="64">
        <f>IF(T5=0,0,T5/MBunk_act!T9*100)</f>
        <v>105829.27060050688</v>
      </c>
      <c r="U15" s="64">
        <f>IF(U5=0,0,U5/MBunk_act!U9*100)</f>
        <v>89250.898483816723</v>
      </c>
      <c r="V15" s="64">
        <f>IF(V5=0,0,V5/MBunk_act!V9*100)</f>
        <v>74914.206378878487</v>
      </c>
      <c r="W15" s="64">
        <f>IF(W5=0,0,W5/MBunk_act!W9*100)</f>
        <v>84236.301548161384</v>
      </c>
      <c r="X15" s="64">
        <f>IF(X5=0,0,X5/MBunk_act!X9*100)</f>
        <v>75951.540905286805</v>
      </c>
      <c r="Y15" s="64">
        <f>IF(Y5=0,0,Y5/MBunk_act!Y9*100)</f>
        <v>71950.010513191621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32.028222745974894</v>
      </c>
      <c r="C17" s="62">
        <f>IF(C3=0,0,C3/MBunk_act!C3*1000)</f>
        <v>32.28134851009964</v>
      </c>
      <c r="D17" s="62">
        <f>IF(D3=0,0,D3/MBunk_act!D3*1000)</f>
        <v>41.315227359515909</v>
      </c>
      <c r="E17" s="62">
        <f>IF(E3=0,0,E3/MBunk_act!E3*1000)</f>
        <v>41.814086717651946</v>
      </c>
      <c r="F17" s="62">
        <f>IF(F3=0,0,F3/MBunk_act!F3*1000)</f>
        <v>40.589460172151185</v>
      </c>
      <c r="G17" s="62">
        <f>IF(G3=0,0,G3/MBunk_act!G3*1000)</f>
        <v>37.080567430008735</v>
      </c>
      <c r="H17" s="62">
        <f>IF(H3=0,0,H3/MBunk_act!H3*1000)</f>
        <v>37.632329151026518</v>
      </c>
      <c r="I17" s="62">
        <f>IF(I3=0,0,I3/MBunk_act!I3*1000)</f>
        <v>38.207845272204452</v>
      </c>
      <c r="J17" s="62">
        <f>IF(J3=0,0,J3/MBunk_act!J3*1000)</f>
        <v>37.87187971794453</v>
      </c>
      <c r="K17" s="62">
        <f>IF(K3=0,0,K3/MBunk_act!K3*1000)</f>
        <v>33.738432414647434</v>
      </c>
      <c r="L17" s="62">
        <f>IF(L3=0,0,L3/MBunk_act!L3*1000)</f>
        <v>33.209048226037183</v>
      </c>
      <c r="M17" s="62">
        <f>IF(M3=0,0,M3/MBunk_act!M3*1000)</f>
        <v>27.588909959363857</v>
      </c>
      <c r="N17" s="62">
        <f>IF(N3=0,0,N3/MBunk_act!N3*1000)</f>
        <v>26.442152598103533</v>
      </c>
      <c r="O17" s="62">
        <f>IF(O3=0,0,O3/MBunk_act!O3*1000)</f>
        <v>26.495280446952492</v>
      </c>
      <c r="P17" s="62">
        <f>IF(P3=0,0,P3/MBunk_act!P3*1000)</f>
        <v>22.358793010635388</v>
      </c>
      <c r="Q17" s="62">
        <f>IF(Q3=0,0,Q3/MBunk_act!Q3*1000)</f>
        <v>23.423812560608972</v>
      </c>
      <c r="R17" s="62">
        <f>IF(R3=0,0,R3/MBunk_act!R3*1000)</f>
        <v>26.468526347908799</v>
      </c>
      <c r="S17" s="62">
        <f>IF(S3=0,0,S3/MBunk_act!S3*1000)</f>
        <v>27.195351511536831</v>
      </c>
      <c r="T17" s="62">
        <f>IF(T3=0,0,T3/MBunk_act!T3*1000)</f>
        <v>32.31020447372989</v>
      </c>
      <c r="U17" s="62">
        <f>IF(U3=0,0,U3/MBunk_act!U3*1000)</f>
        <v>27.562766509592379</v>
      </c>
      <c r="V17" s="62">
        <f>IF(V3=0,0,V3/MBunk_act!V3*1000)</f>
        <v>22.031039327129889</v>
      </c>
      <c r="W17" s="62">
        <f>IF(W3=0,0,W3/MBunk_act!W3*1000)</f>
        <v>24.351874465700767</v>
      </c>
      <c r="X17" s="62">
        <f>IF(X3=0,0,X3/MBunk_act!X3*1000)</f>
        <v>24.509133362043141</v>
      </c>
      <c r="Y17" s="62">
        <f>IF(Y3=0,0,Y3/MBunk_act!Y3*1000)</f>
        <v>23.265504479534282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105.07710234058401</v>
      </c>
      <c r="C18" s="63">
        <f>IF(C4=0,0,C4/MBunk_act!C4*1000)</f>
        <v>104.74274404308409</v>
      </c>
      <c r="D18" s="63">
        <f>IF(D4=0,0,D4/MBunk_act!D4*1000)</f>
        <v>138.07308511423329</v>
      </c>
      <c r="E18" s="63">
        <f>IF(E4=0,0,E4/MBunk_act!E4*1000)</f>
        <v>139.92055071201915</v>
      </c>
      <c r="F18" s="63">
        <f>IF(F4=0,0,F4/MBunk_act!F4*1000)</f>
        <v>143.25004573156227</v>
      </c>
      <c r="G18" s="63">
        <f>IF(G4=0,0,G4/MBunk_act!G4*1000)</f>
        <v>136.86421631501682</v>
      </c>
      <c r="H18" s="63">
        <f>IF(H4=0,0,H4/MBunk_act!H4*1000)</f>
        <v>140.13954422984534</v>
      </c>
      <c r="I18" s="63">
        <f>IF(I4=0,0,I4/MBunk_act!I4*1000)</f>
        <v>144.17963556084422</v>
      </c>
      <c r="J18" s="63">
        <f>IF(J4=0,0,J4/MBunk_act!J4*1000)</f>
        <v>143.99440896242561</v>
      </c>
      <c r="K18" s="63">
        <f>IF(K4=0,0,K4/MBunk_act!K4*1000)</f>
        <v>128.28878450009825</v>
      </c>
      <c r="L18" s="63">
        <f>IF(L4=0,0,L4/MBunk_act!L4*1000)</f>
        <v>123.70665688840485</v>
      </c>
      <c r="M18" s="63">
        <f>IF(M4=0,0,M4/MBunk_act!M4*1000)</f>
        <v>107.39521174834108</v>
      </c>
      <c r="N18" s="63">
        <f>IF(N4=0,0,N4/MBunk_act!N4*1000)</f>
        <v>99.978753346237824</v>
      </c>
      <c r="O18" s="63">
        <f>IF(O4=0,0,O4/MBunk_act!O4*1000)</f>
        <v>98.752736495066813</v>
      </c>
      <c r="P18" s="63">
        <f>IF(P4=0,0,P4/MBunk_act!P4*1000)</f>
        <v>81.926431008014461</v>
      </c>
      <c r="Q18" s="63">
        <f>IF(Q4=0,0,Q4/MBunk_act!Q4*1000)</f>
        <v>83.287858152358979</v>
      </c>
      <c r="R18" s="63">
        <f>IF(R4=0,0,R4/MBunk_act!R4*1000)</f>
        <v>87.777217413751202</v>
      </c>
      <c r="S18" s="63">
        <f>IF(S4=0,0,S4/MBunk_act!S4*1000)</f>
        <v>95.400560889137395</v>
      </c>
      <c r="T18" s="63">
        <f>IF(T4=0,0,T4/MBunk_act!T4*1000)</f>
        <v>116.59106531612302</v>
      </c>
      <c r="U18" s="63">
        <f>IF(U4=0,0,U4/MBunk_act!U4*1000)</f>
        <v>99.223505987779546</v>
      </c>
      <c r="V18" s="63">
        <f>IF(V4=0,0,V4/MBunk_act!V4*1000)</f>
        <v>67.696853001614613</v>
      </c>
      <c r="W18" s="63">
        <f>IF(W4=0,0,W4/MBunk_act!W4*1000)</f>
        <v>77.967640853351739</v>
      </c>
      <c r="X18" s="63">
        <f>IF(X4=0,0,X4/MBunk_act!X4*1000)</f>
        <v>83.449150168259635</v>
      </c>
      <c r="Y18" s="63">
        <f>IF(Y4=0,0,Y4/MBunk_act!Y4*1000)</f>
        <v>76.042744072996285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24.661708383931408</v>
      </c>
      <c r="C19" s="64">
        <f>IF(C5=0,0,C5/MBunk_act!C5*1000)</f>
        <v>24.656906092865057</v>
      </c>
      <c r="D19" s="64">
        <f>IF(D5=0,0,D5/MBunk_act!D5*1000)</f>
        <v>32.081464264513833</v>
      </c>
      <c r="E19" s="64">
        <f>IF(E5=0,0,E5/MBunk_act!E5*1000)</f>
        <v>32.494071657435846</v>
      </c>
      <c r="F19" s="64">
        <f>IF(F5=0,0,F5/MBunk_act!F5*1000)</f>
        <v>32.398180071111035</v>
      </c>
      <c r="G19" s="64">
        <f>IF(G5=0,0,G5/MBunk_act!G5*1000)</f>
        <v>30.320257415247976</v>
      </c>
      <c r="H19" s="64">
        <f>IF(H5=0,0,H5/MBunk_act!H5*1000)</f>
        <v>30.924665070575504</v>
      </c>
      <c r="I19" s="64">
        <f>IF(I5=0,0,I5/MBunk_act!I5*1000)</f>
        <v>31.591332912819308</v>
      </c>
      <c r="J19" s="64">
        <f>IF(J5=0,0,J5/MBunk_act!J5*1000)</f>
        <v>31.360394373714414</v>
      </c>
      <c r="K19" s="64">
        <f>IF(K5=0,0,K5/MBunk_act!K5*1000)</f>
        <v>28.026406962292832</v>
      </c>
      <c r="L19" s="64">
        <f>IF(L5=0,0,L5/MBunk_act!L5*1000)</f>
        <v>27.087470011764061</v>
      </c>
      <c r="M19" s="64">
        <f>IF(M5=0,0,M5/MBunk_act!M5*1000)</f>
        <v>22.74940456573232</v>
      </c>
      <c r="N19" s="64">
        <f>IF(N5=0,0,N5/MBunk_act!N5*1000)</f>
        <v>21.442932407025996</v>
      </c>
      <c r="O19" s="64">
        <f>IF(O5=0,0,O5/MBunk_act!O5*1000)</f>
        <v>21.280696148317908</v>
      </c>
      <c r="P19" s="64">
        <f>IF(P5=0,0,P5/MBunk_act!P5*1000)</f>
        <v>17.822324021648722</v>
      </c>
      <c r="Q19" s="64">
        <f>IF(Q5=0,0,Q5/MBunk_act!Q5*1000)</f>
        <v>18.553412917992858</v>
      </c>
      <c r="R19" s="64">
        <f>IF(R5=0,0,R5/MBunk_act!R5*1000)</f>
        <v>20.258869576956357</v>
      </c>
      <c r="S19" s="64">
        <f>IF(S5=0,0,S5/MBunk_act!S5*1000)</f>
        <v>21.255235277885003</v>
      </c>
      <c r="T19" s="64">
        <f>IF(T5=0,0,T5/MBunk_act!T5*1000)</f>
        <v>25.594231156083133</v>
      </c>
      <c r="U19" s="64">
        <f>IF(U5=0,0,U5/MBunk_act!U5*1000)</f>
        <v>21.586878752776851</v>
      </c>
      <c r="V19" s="64">
        <f>IF(V5=0,0,V5/MBunk_act!V5*1000)</f>
        <v>18.136449933984945</v>
      </c>
      <c r="W19" s="64">
        <f>IF(W5=0,0,W5/MBunk_act!W5*1000)</f>
        <v>19.762256047112235</v>
      </c>
      <c r="X19" s="64">
        <f>IF(X5=0,0,X5/MBunk_act!X5*1000)</f>
        <v>19.345483996598947</v>
      </c>
      <c r="Y19" s="64">
        <f>IF(Y5=0,0,Y5/MBunk_act!Y5*1000)</f>
        <v>17.984502438337831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0.30053710160292896</v>
      </c>
      <c r="C22" s="77">
        <f t="shared" si="3"/>
        <v>0.30890479065364701</v>
      </c>
      <c r="D22" s="77">
        <f t="shared" si="3"/>
        <v>0.2911428146109592</v>
      </c>
      <c r="E22" s="77">
        <f t="shared" si="3"/>
        <v>0.29031144842911605</v>
      </c>
      <c r="F22" s="77">
        <f t="shared" si="3"/>
        <v>0.26078959748526293</v>
      </c>
      <c r="G22" s="77">
        <f t="shared" si="3"/>
        <v>0.23419699909708555</v>
      </c>
      <c r="H22" s="77">
        <f t="shared" si="3"/>
        <v>0.22871207682688391</v>
      </c>
      <c r="I22" s="77">
        <f t="shared" si="3"/>
        <v>0.22176205287431006</v>
      </c>
      <c r="J22" s="77">
        <f t="shared" si="3"/>
        <v>0.21980586272369268</v>
      </c>
      <c r="K22" s="77">
        <f t="shared" si="3"/>
        <v>0.21662866596116112</v>
      </c>
      <c r="L22" s="77">
        <f t="shared" si="3"/>
        <v>0.23601340258209438</v>
      </c>
      <c r="M22" s="77">
        <f t="shared" si="3"/>
        <v>0.22255938075043044</v>
      </c>
      <c r="N22" s="77">
        <f t="shared" si="3"/>
        <v>0.24068298432227891</v>
      </c>
      <c r="O22" s="77">
        <f t="shared" si="3"/>
        <v>0.25087380506371543</v>
      </c>
      <c r="P22" s="77">
        <f t="shared" si="3"/>
        <v>0.25930313793014509</v>
      </c>
      <c r="Q22" s="77">
        <f t="shared" si="3"/>
        <v>0.26751816578797794</v>
      </c>
      <c r="R22" s="77">
        <f t="shared" si="3"/>
        <v>0.30499859326020173</v>
      </c>
      <c r="S22" s="77">
        <f t="shared" si="3"/>
        <v>0.28103953476409022</v>
      </c>
      <c r="T22" s="77">
        <f t="shared" si="3"/>
        <v>0.26632273548902169</v>
      </c>
      <c r="U22" s="77">
        <f t="shared" si="3"/>
        <v>0.2770942628308708</v>
      </c>
      <c r="V22" s="77">
        <f t="shared" si="3"/>
        <v>0.24146842060383555</v>
      </c>
      <c r="W22" s="77">
        <f t="shared" si="3"/>
        <v>0.25246164762180306</v>
      </c>
      <c r="X22" s="77">
        <f t="shared" ref="X22:Y22" si="5">IF(X4=0,0,X4/X$3)</f>
        <v>0.27426338970948816</v>
      </c>
      <c r="Y22" s="77">
        <f t="shared" si="5"/>
        <v>0.29730195370722018</v>
      </c>
      <c r="DA22" s="184"/>
    </row>
    <row r="23" spans="1:105" ht="11.45" customHeight="1" x14ac:dyDescent="0.25">
      <c r="A23" s="57" t="s">
        <v>167</v>
      </c>
      <c r="B23" s="78">
        <f t="shared" si="3"/>
        <v>0.69946289839707099</v>
      </c>
      <c r="C23" s="78">
        <f t="shared" si="3"/>
        <v>0.69109520934635305</v>
      </c>
      <c r="D23" s="78">
        <f t="shared" si="3"/>
        <v>0.70885718538904086</v>
      </c>
      <c r="E23" s="78">
        <f t="shared" si="3"/>
        <v>0.70968855157088384</v>
      </c>
      <c r="F23" s="78">
        <f t="shared" si="3"/>
        <v>0.73921040251473713</v>
      </c>
      <c r="G23" s="78">
        <f t="shared" si="3"/>
        <v>0.76580300090291442</v>
      </c>
      <c r="H23" s="78">
        <f t="shared" si="3"/>
        <v>0.77128792317311601</v>
      </c>
      <c r="I23" s="78">
        <f t="shared" si="3"/>
        <v>0.77823794712568994</v>
      </c>
      <c r="J23" s="78">
        <f t="shared" si="3"/>
        <v>0.78019413727630726</v>
      </c>
      <c r="K23" s="78">
        <f t="shared" si="3"/>
        <v>0.78337133403883896</v>
      </c>
      <c r="L23" s="78">
        <f t="shared" si="3"/>
        <v>0.76398659741790553</v>
      </c>
      <c r="M23" s="78">
        <f t="shared" si="3"/>
        <v>0.77744061924956964</v>
      </c>
      <c r="N23" s="78">
        <f t="shared" si="3"/>
        <v>0.75931701567772114</v>
      </c>
      <c r="O23" s="78">
        <f t="shared" si="3"/>
        <v>0.74912619493628452</v>
      </c>
      <c r="P23" s="78">
        <f t="shared" si="3"/>
        <v>0.74069686206985486</v>
      </c>
      <c r="Q23" s="78">
        <f t="shared" si="3"/>
        <v>0.73248183421202206</v>
      </c>
      <c r="R23" s="78">
        <f t="shared" si="3"/>
        <v>0.69500140673979827</v>
      </c>
      <c r="S23" s="78">
        <f t="shared" si="3"/>
        <v>0.71896046523590973</v>
      </c>
      <c r="T23" s="78">
        <f t="shared" si="3"/>
        <v>0.73367726451097837</v>
      </c>
      <c r="U23" s="78">
        <f t="shared" si="3"/>
        <v>0.7229057371691292</v>
      </c>
      <c r="V23" s="78">
        <f t="shared" si="3"/>
        <v>0.75853157939616445</v>
      </c>
      <c r="W23" s="78">
        <f t="shared" si="3"/>
        <v>0.74753835237819699</v>
      </c>
      <c r="X23" s="78">
        <f t="shared" ref="X23:Y23" si="6">IF(X5=0,0,X5/X$3)</f>
        <v>0.72573661029051184</v>
      </c>
      <c r="Y23" s="78">
        <f t="shared" si="6"/>
        <v>0.70269804629277977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2025-11-06T10:19:24Z</dcterms:created>
  <dcterms:modified xsi:type="dcterms:W3CDTF">2025-11-06T10:19:25Z</dcterms:modified>
</cp:coreProperties>
</file>