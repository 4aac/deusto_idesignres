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BE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27" i="6"/>
  <c r="Y119" i="6"/>
  <c r="Y173" i="6" s="1"/>
  <c r="X119" i="6"/>
  <c r="X173" i="6" s="1"/>
  <c r="X26" i="12"/>
  <c r="Y16" i="7"/>
  <c r="X16" i="7"/>
  <c r="Y14" i="13"/>
  <c r="X13" i="12"/>
  <c r="X21" i="12"/>
  <c r="X20" i="12"/>
  <c r="X16" i="8"/>
  <c r="Y14" i="12"/>
  <c r="Y6" i="12"/>
  <c r="Y33" i="10"/>
  <c r="X33" i="10"/>
  <c r="Y22" i="13"/>
  <c r="X22" i="13"/>
  <c r="Y21" i="13"/>
  <c r="X21" i="13"/>
  <c r="Y20" i="13"/>
  <c r="Y18" i="13"/>
  <c r="X18" i="10"/>
  <c r="Y17" i="13"/>
  <c r="X17" i="10"/>
  <c r="Y6" i="13"/>
  <c r="Y18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4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24" i="28" s="1"/>
  <c r="Y14" i="24"/>
  <c r="X13" i="23"/>
  <c r="Y10" i="24"/>
  <c r="X9" i="23"/>
  <c r="Y8" i="23"/>
  <c r="Y7" i="25"/>
  <c r="X24" i="23"/>
  <c r="Y23" i="23"/>
  <c r="X23" i="23"/>
  <c r="Y22" i="23"/>
  <c r="Y20" i="23"/>
  <c r="Y20" i="26" s="1"/>
  <c r="Y33" i="24"/>
  <c r="X33" i="21"/>
  <c r="Y22" i="24"/>
  <c r="Y20" i="21"/>
  <c r="X20" i="21"/>
  <c r="Y18" i="21"/>
  <c r="X18" i="24"/>
  <c r="Y17" i="24"/>
  <c r="X15" i="21"/>
  <c r="X5" i="21"/>
  <c r="Y33" i="25"/>
  <c r="Y33" i="28" s="1"/>
  <c r="X33" i="25"/>
  <c r="X33" i="28" s="1"/>
  <c r="Y26" i="25"/>
  <c r="Y26" i="28" s="1"/>
  <c r="X25" i="25"/>
  <c r="X25" i="28" s="1"/>
  <c r="X24" i="25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Y10" i="30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9" i="36"/>
  <c r="Y33" i="27" l="1"/>
  <c r="Y7" i="28"/>
  <c r="Y17" i="10"/>
  <c r="X7" i="12"/>
  <c r="X21" i="21"/>
  <c r="X5" i="10"/>
  <c r="X8" i="12"/>
  <c r="Y24" i="23"/>
  <c r="Y24" i="26" s="1"/>
  <c r="Y5" i="10"/>
  <c r="X25" i="23"/>
  <c r="Y24" i="12"/>
  <c r="X25" i="12"/>
  <c r="X7" i="21"/>
  <c r="Y23" i="10"/>
  <c r="Y10" i="12"/>
  <c r="X8" i="13"/>
  <c r="X11" i="12"/>
  <c r="Y8" i="13"/>
  <c r="X23" i="21"/>
  <c r="X9" i="21"/>
  <c r="X25" i="24"/>
  <c r="X17" i="24"/>
  <c r="X25" i="13"/>
  <c r="X12" i="12"/>
  <c r="Y23" i="28"/>
  <c r="X7" i="14"/>
  <c r="Y25" i="13"/>
  <c r="X31" i="23"/>
  <c r="X26" i="13"/>
  <c r="Y26" i="24"/>
  <c r="Y26" i="27" s="1"/>
  <c r="Y31" i="23"/>
  <c r="Y31" i="26" s="1"/>
  <c r="Y10" i="13"/>
  <c r="Y26" i="13"/>
  <c r="X8" i="25"/>
  <c r="X27" i="21"/>
  <c r="X32" i="23"/>
  <c r="X11" i="13"/>
  <c r="Y7" i="24"/>
  <c r="Y7" i="27" s="1"/>
  <c r="Y11" i="24"/>
  <c r="Y11" i="27" s="1"/>
  <c r="X13" i="29"/>
  <c r="X5" i="31" s="1"/>
  <c r="X12" i="24"/>
  <c r="X12" i="13"/>
  <c r="X30" i="13"/>
  <c r="Y13" i="29"/>
  <c r="Y5" i="29" s="1"/>
  <c r="Y9" i="25"/>
  <c r="Y9" i="28" s="1"/>
  <c r="Y12" i="24"/>
  <c r="Y12" i="27" s="1"/>
  <c r="Y21" i="25"/>
  <c r="X10" i="14"/>
  <c r="X30" i="14"/>
  <c r="Y12" i="13"/>
  <c r="Y52" i="38"/>
  <c r="X14" i="29"/>
  <c r="X6" i="29" s="1"/>
  <c r="X10" i="25"/>
  <c r="X13" i="21"/>
  <c r="X31" i="24"/>
  <c r="X17" i="23"/>
  <c r="X22" i="24"/>
  <c r="Y10" i="14"/>
  <c r="X31" i="13"/>
  <c r="Y33" i="12"/>
  <c r="Y8" i="24"/>
  <c r="Y8" i="27" s="1"/>
  <c r="X14" i="30"/>
  <c r="Y17" i="23"/>
  <c r="Y17" i="26" s="1"/>
  <c r="X31" i="14"/>
  <c r="Y31" i="13"/>
  <c r="Y14" i="36"/>
  <c r="X8" i="24"/>
  <c r="X9" i="36"/>
  <c r="Y53" i="38"/>
  <c r="Y31" i="14"/>
  <c r="X32" i="10"/>
  <c r="Y8" i="25"/>
  <c r="Y8" i="28" s="1"/>
  <c r="Y14" i="21"/>
  <c r="Y32" i="21"/>
  <c r="X17" i="13"/>
  <c r="Y19" i="22"/>
  <c r="Y45" i="37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17" i="21"/>
  <c r="X32" i="21"/>
  <c r="X7" i="23"/>
  <c r="X11" i="23"/>
  <c r="X11" i="26" s="1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21" i="27" s="1"/>
  <c r="Y8" i="14"/>
  <c r="Y12" i="12"/>
  <c r="Y18" i="12"/>
  <c r="Y28" i="12"/>
  <c r="X82" i="6"/>
  <c r="X81" i="6" s="1"/>
  <c r="X93" i="6" s="1"/>
  <c r="X107" i="6"/>
  <c r="X24" i="28"/>
  <c r="X9" i="25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30" i="23"/>
  <c r="X30" i="26" s="1"/>
  <c r="X18" i="13"/>
  <c r="X20" i="10"/>
  <c r="X10" i="13"/>
  <c r="X14" i="10"/>
  <c r="X19" i="9"/>
  <c r="X19" i="10" s="1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Y29" i="22"/>
  <c r="Y29" i="25" s="1"/>
  <c r="Y29" i="28" s="1"/>
  <c r="Y5" i="21"/>
  <c r="Y23" i="24"/>
  <c r="Y23" i="27" s="1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5" i="28" s="1"/>
  <c r="X28" i="13"/>
  <c r="Y9" i="13"/>
  <c r="Y16" i="9"/>
  <c r="Y16" i="13" s="1"/>
  <c r="Y9" i="39"/>
  <c r="Y5" i="39" s="1"/>
  <c r="Y37" i="39" s="1"/>
  <c r="Y17" i="38"/>
  <c r="Y46" i="37"/>
  <c r="Y17" i="27"/>
  <c r="X6" i="25"/>
  <c r="X6" i="28" s="1"/>
  <c r="Y15" i="21"/>
  <c r="X51" i="39"/>
  <c r="Y32" i="24"/>
  <c r="Y32" i="27" s="1"/>
  <c r="Y16" i="22"/>
  <c r="X6" i="24"/>
  <c r="X24" i="24"/>
  <c r="X30" i="24"/>
  <c r="X6" i="13"/>
  <c r="Y11" i="10"/>
  <c r="Y15" i="10"/>
  <c r="X8" i="14"/>
  <c r="Y22" i="26"/>
  <c r="X13" i="13"/>
  <c r="X9" i="39"/>
  <c r="X5" i="39" s="1"/>
  <c r="X46" i="37"/>
  <c r="X21" i="23"/>
  <c r="Y13" i="13"/>
  <c r="X19" i="7"/>
  <c r="X27" i="12" s="1"/>
  <c r="X29" i="7"/>
  <c r="Y19" i="18"/>
  <c r="Y31" i="25"/>
  <c r="Y31" i="28" s="1"/>
  <c r="Y9" i="38"/>
  <c r="Y52" i="37"/>
  <c r="X32" i="24"/>
  <c r="Y51" i="39"/>
  <c r="Y6" i="24"/>
  <c r="Y24" i="24"/>
  <c r="Y24" i="27" s="1"/>
  <c r="Y18" i="23"/>
  <c r="Y18" i="26" s="1"/>
  <c r="X16" i="9"/>
  <c r="X16" i="13" s="1"/>
  <c r="X19" i="8"/>
  <c r="Y33" i="6"/>
  <c r="X16" i="10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Y22" i="21"/>
  <c r="Y13" i="21"/>
  <c r="Y16" i="19"/>
  <c r="Y16" i="23" s="1"/>
  <c r="Y16" i="26" s="1"/>
  <c r="X8" i="10"/>
  <c r="X26" i="10"/>
  <c r="X30" i="25"/>
  <c r="X30" i="28" s="1"/>
  <c r="Y23" i="21"/>
  <c r="X14" i="21"/>
  <c r="X33" i="23"/>
  <c r="X4" i="1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23" i="24"/>
  <c r="X23" i="27" s="1"/>
  <c r="X25" i="21"/>
  <c r="Y9" i="10"/>
  <c r="Y6" i="21"/>
  <c r="Y103" i="6"/>
  <c r="Y19" i="36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Y33" i="39"/>
  <c r="X30" i="21"/>
  <c r="X19" i="19"/>
  <c r="X11" i="10"/>
  <c r="X19" i="36"/>
  <c r="X12" i="36" s="1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23" i="28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3" i="26"/>
  <c r="X4" i="19"/>
  <c r="X3" i="19" s="1"/>
  <c r="X26" i="23"/>
  <c r="Y9" i="14"/>
  <c r="Y25" i="6"/>
  <c r="Y49" i="37"/>
  <c r="X16" i="29"/>
  <c r="Y9" i="23"/>
  <c r="Y9" i="26" s="1"/>
  <c r="X26" i="6"/>
  <c r="X22" i="15" s="1"/>
  <c r="X33" i="39"/>
  <c r="Y51" i="38"/>
  <c r="X9" i="38"/>
  <c r="X52" i="38"/>
  <c r="X68" i="29"/>
  <c r="X6" i="30" s="1"/>
  <c r="X10" i="23"/>
  <c r="Y12" i="29"/>
  <c r="Y16" i="29"/>
  <c r="X8" i="23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14" s="1"/>
  <c r="Y29" i="8"/>
  <c r="Y29" i="12" s="1"/>
  <c r="Y30" i="12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X123" i="6"/>
  <c r="X14" i="24"/>
  <c r="Y21" i="28"/>
  <c r="Y6" i="27"/>
  <c r="Y10" i="27"/>
  <c r="Y14" i="27"/>
  <c r="Y18" i="27"/>
  <c r="Y22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29" i="13" l="1"/>
  <c r="Y10" i="17"/>
  <c r="X15" i="12"/>
  <c r="X29" i="23"/>
  <c r="X91" i="6"/>
  <c r="X94" i="6"/>
  <c r="Y31" i="6"/>
  <c r="X114" i="6"/>
  <c r="X144" i="6" s="1"/>
  <c r="X90" i="6"/>
  <c r="Y28" i="16"/>
  <c r="Y12" i="36"/>
  <c r="X5" i="29"/>
  <c r="Y5" i="31"/>
  <c r="X18" i="27"/>
  <c r="X17" i="28"/>
  <c r="X21" i="26"/>
  <c r="X22" i="28"/>
  <c r="X31" i="26"/>
  <c r="X7" i="28"/>
  <c r="X22" i="27"/>
  <c r="X25" i="26"/>
  <c r="X29" i="26"/>
  <c r="X17" i="27"/>
  <c r="X14" i="27"/>
  <c r="X8" i="27"/>
  <c r="X32" i="27"/>
  <c r="X14" i="26"/>
  <c r="X26" i="26"/>
  <c r="X12" i="26"/>
  <c r="X9" i="28"/>
  <c r="X17" i="26"/>
  <c r="X28" i="27"/>
  <c r="X7" i="26"/>
  <c r="X8" i="28"/>
  <c r="X10" i="28"/>
  <c r="X18" i="26"/>
  <c r="X8" i="26"/>
  <c r="X31" i="28"/>
  <c r="X10" i="27"/>
  <c r="X163" i="6"/>
  <c r="X31" i="6"/>
  <c r="Y19" i="23"/>
  <c r="Y19" i="26" s="1"/>
  <c r="X4" i="23"/>
  <c r="X4" i="26" s="1"/>
  <c r="X29" i="10"/>
  <c r="Y5" i="37"/>
  <c r="Y33" i="37" s="1"/>
  <c r="X3" i="8"/>
  <c r="X9" i="29"/>
  <c r="X3" i="35" s="1"/>
  <c r="X25" i="27"/>
  <c r="Y27" i="24"/>
  <c r="Y27" i="27" s="1"/>
  <c r="X5" i="26"/>
  <c r="X13" i="26"/>
  <c r="X5" i="27"/>
  <c r="X5" i="32"/>
  <c r="X11" i="27"/>
  <c r="X92" i="6"/>
  <c r="X10" i="26"/>
  <c r="X27" i="13"/>
  <c r="X27" i="16" s="1"/>
  <c r="X28" i="26"/>
  <c r="X33" i="27"/>
  <c r="X9" i="27"/>
  <c r="X13" i="27"/>
  <c r="X113" i="6"/>
  <c r="X143" i="6" s="1"/>
  <c r="Y10" i="16"/>
  <c r="X6" i="27"/>
  <c r="X89" i="6"/>
  <c r="Y139" i="6"/>
  <c r="X26" i="27"/>
  <c r="X21" i="28"/>
  <c r="X22" i="26"/>
  <c r="X4" i="12"/>
  <c r="X7" i="27"/>
  <c r="X30" i="27"/>
  <c r="X24" i="27"/>
  <c r="Y30" i="15"/>
  <c r="X4" i="14"/>
  <c r="X4" i="17" s="1"/>
  <c r="X4" i="13"/>
  <c r="X4" i="16" s="1"/>
  <c r="Y15" i="13"/>
  <c r="X33" i="26"/>
  <c r="X32" i="26"/>
  <c r="Y16" i="25"/>
  <c r="Y16" i="28" s="1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" i="27"/>
  <c r="X24" i="26"/>
  <c r="X58" i="6"/>
  <c r="Y50" i="39"/>
  <c r="Y48" i="38"/>
  <c r="X19" i="14"/>
  <c r="X31" i="27"/>
  <c r="X16" i="23"/>
  <c r="X16" i="26" s="1"/>
  <c r="X5" i="37"/>
  <c r="X44" i="39" s="1"/>
  <c r="X48" i="39"/>
  <c r="Y27" i="23"/>
  <c r="Y27" i="26" s="1"/>
  <c r="X55" i="6"/>
  <c r="X32" i="28"/>
  <c r="X161" i="6"/>
  <c r="Y5" i="16"/>
  <c r="X4" i="15"/>
  <c r="X169" i="6"/>
  <c r="X159" i="6"/>
  <c r="X155" i="6"/>
  <c r="X171" i="6"/>
  <c r="X131" i="6"/>
  <c r="X165" i="6"/>
  <c r="Y14" i="15"/>
  <c r="Y9" i="17"/>
  <c r="Y23" i="16"/>
  <c r="X156" i="6"/>
  <c r="X11" i="29"/>
  <c r="Y147" i="6"/>
  <c r="X168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15" i="16"/>
  <c r="Y9" i="16"/>
  <c r="Y18" i="15"/>
  <c r="Y14" i="16"/>
  <c r="Y5" i="15"/>
  <c r="Y32" i="15"/>
  <c r="Y29" i="15"/>
  <c r="Y20" i="15"/>
  <c r="Y25" i="15"/>
  <c r="Y11" i="16"/>
  <c r="Y17" i="16"/>
  <c r="Y22" i="15"/>
  <c r="Y18" i="16"/>
  <c r="Y17" i="15"/>
  <c r="Y29" i="17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X19" i="17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29" i="16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140" i="6"/>
  <c r="X16" i="15"/>
  <c r="X20" i="17"/>
  <c r="X32" i="16"/>
  <c r="X8" i="15"/>
  <c r="X23" i="15"/>
  <c r="Y34" i="36"/>
  <c r="Y32" i="36"/>
  <c r="X8" i="36"/>
  <c r="X3" i="23"/>
  <c r="X3" i="11"/>
  <c r="Y44" i="37"/>
  <c r="Y159" i="6"/>
  <c r="Y135" i="6"/>
  <c r="Y34" i="37"/>
  <c r="X5" i="38"/>
  <c r="X38" i="38" s="1"/>
  <c r="X44" i="37"/>
  <c r="X3" i="31"/>
  <c r="Y163" i="6"/>
  <c r="Y165" i="6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35" i="39"/>
  <c r="X15" i="15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36" i="39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X129" i="6"/>
  <c r="X153" i="6"/>
  <c r="Y123" i="6"/>
  <c r="Y132" i="6"/>
  <c r="Y156" i="6"/>
  <c r="Y16" i="10"/>
  <c r="Y38" i="39"/>
  <c r="Y35" i="39"/>
  <c r="X31" i="36"/>
  <c r="X34" i="36"/>
  <c r="X32" i="36"/>
  <c r="X38" i="39"/>
  <c r="X37" i="39"/>
  <c r="X33" i="37" l="1"/>
  <c r="X39" i="37"/>
  <c r="X40" i="37"/>
  <c r="Y31" i="36"/>
  <c r="Y38" i="37"/>
  <c r="X3" i="12"/>
  <c r="Y39" i="37"/>
  <c r="X34" i="37"/>
  <c r="Y40" i="37"/>
  <c r="X3" i="29"/>
  <c r="X37" i="37"/>
  <c r="Y44" i="39"/>
  <c r="Y32" i="37"/>
  <c r="Y37" i="37"/>
  <c r="X32" i="37"/>
  <c r="X35" i="37"/>
  <c r="Y35" i="37"/>
  <c r="X36" i="37"/>
  <c r="Y36" i="37"/>
  <c r="Y31" i="37" s="1"/>
  <c r="X38" i="37"/>
  <c r="X31" i="37" s="1"/>
  <c r="X167" i="6"/>
  <c r="X3" i="14"/>
  <c r="X3" i="10"/>
  <c r="Y39" i="38"/>
  <c r="X3" i="13"/>
  <c r="Y44" i="38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X3" i="16" l="1"/>
  <c r="X3" i="17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R7" i="29" l="1"/>
  <c r="T7" i="29"/>
  <c r="V4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3" i="31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9" i="23" l="1"/>
  <c r="R3" i="35"/>
  <c r="N3" i="29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T3" i="14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9" i="24" l="1"/>
  <c r="K29" i="12"/>
  <c r="P29" i="25"/>
  <c r="P29" i="28" s="1"/>
  <c r="K29" i="13"/>
  <c r="N19" i="24"/>
  <c r="O4" i="24"/>
  <c r="C4" i="24"/>
  <c r="J29" i="23"/>
  <c r="E4" i="24"/>
  <c r="K16" i="24"/>
  <c r="E19" i="14"/>
  <c r="E19" i="17" s="1"/>
  <c r="J29" i="12"/>
  <c r="O4" i="23"/>
  <c r="N19" i="23"/>
  <c r="G16" i="12"/>
  <c r="C4" i="13"/>
  <c r="O4" i="12"/>
  <c r="C16" i="13"/>
  <c r="E4" i="23"/>
  <c r="H4" i="12"/>
  <c r="J29" i="13"/>
  <c r="C4" i="12"/>
  <c r="F4" i="24"/>
  <c r="G19" i="24"/>
  <c r="P29" i="12"/>
  <c r="H29" i="23"/>
  <c r="H29" i="26" s="1"/>
  <c r="O29" i="13"/>
  <c r="O29" i="16" s="1"/>
  <c r="P19" i="24"/>
  <c r="P19" i="27" s="1"/>
  <c r="J19" i="23"/>
  <c r="J19" i="26" s="1"/>
  <c r="P29" i="13"/>
  <c r="P29" i="16" s="1"/>
  <c r="H29" i="24"/>
  <c r="G19" i="23"/>
  <c r="G19" i="26" s="1"/>
  <c r="O29" i="23"/>
  <c r="O29" i="12"/>
  <c r="C17" i="16"/>
  <c r="E4" i="13"/>
  <c r="P4" i="12"/>
  <c r="O4" i="13"/>
  <c r="O4" i="16" s="1"/>
  <c r="K4" i="24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O16" i="12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I29" i="26" s="1"/>
  <c r="C19" i="23"/>
  <c r="F4" i="12"/>
  <c r="F4" i="15" s="1"/>
  <c r="E19" i="24"/>
  <c r="E19" i="27" s="1"/>
  <c r="P16" i="25"/>
  <c r="G29" i="12"/>
  <c r="G29" i="13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23"/>
  <c r="O16" i="26" s="1"/>
  <c r="F19" i="12"/>
  <c r="F19" i="15" s="1"/>
  <c r="M16" i="24"/>
  <c r="J4" i="23"/>
  <c r="J4" i="26" s="1"/>
  <c r="P19" i="12"/>
  <c r="P19" i="15" s="1"/>
  <c r="H4" i="24"/>
  <c r="H4" i="27" s="1"/>
  <c r="M4" i="12"/>
  <c r="M4" i="15" s="1"/>
  <c r="O19" i="24"/>
  <c r="O19" i="27" s="1"/>
  <c r="P16" i="24"/>
  <c r="P16" i="27" s="1"/>
  <c r="L19" i="13"/>
  <c r="L19" i="16" s="1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L16" i="13"/>
  <c r="L16" i="16" s="1"/>
  <c r="B29" i="13"/>
  <c r="B29" i="16" s="1"/>
  <c r="L4" i="24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M16" i="15" s="1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P29" i="15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6"/>
  <c r="G29" i="10"/>
  <c r="F3" i="8"/>
  <c r="F16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1"/>
  <c r="D19" i="26"/>
  <c r="Q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43" i="4"/>
  <c r="B28" i="4"/>
  <c r="B35" i="4"/>
  <c r="B23" i="4"/>
  <c r="B11" i="4"/>
  <c r="B29" i="4"/>
  <c r="B24" i="4"/>
  <c r="B22" i="4"/>
  <c r="B8" i="4"/>
  <c r="B20" i="4"/>
  <c r="B14" i="4"/>
  <c r="B33" i="4"/>
  <c r="B7" i="4"/>
  <c r="B15" i="4"/>
  <c r="B13" i="4"/>
  <c r="B39" i="4"/>
  <c r="B4" i="4"/>
  <c r="B42" i="4"/>
  <c r="B37" i="4"/>
  <c r="B36" i="4"/>
  <c r="B12" i="4"/>
  <c r="B26" i="4"/>
  <c r="B27" i="4"/>
  <c r="B34" i="4"/>
  <c r="B17" i="4"/>
  <c r="B30" i="4"/>
  <c r="B38" i="4"/>
  <c r="B45" i="4"/>
  <c r="B44" i="4"/>
  <c r="B10" i="4"/>
  <c r="B9" i="4"/>
  <c r="B25" i="4"/>
  <c r="B21" i="4"/>
  <c r="B16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<sst xmlns="http://schemas.openxmlformats.org/spreadsheetml/2006/main" count="2101" uniqueCount="1057">
  <si>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</si>
  <si>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</si>
  <si>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</si>
  <si>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</si>
  <si>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</si>
  <si>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</si>
  <si>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</si>
  <si>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</si>
  <si>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</si>
  <si>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</si>
  <si>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</si>
  <si>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</si>
  <si>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</si>
  <si>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</si>
  <si>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</si>
  <si>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</si>
  <si>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</si>
  <si>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</si>
  <si>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</si>
  <si>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</si>
  <si>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</si>
  <si>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</si>
  <si>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</si>
  <si>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</si>
  <si>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</si>
  <si>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</si>
  <si>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</si>
  <si>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</si>
  <si>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</si>
  <si>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</si>
  <si>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</si>
  <si>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</si>
  <si>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</si>
  <si>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</si>
  <si>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</si>
  <si>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</si>
  <si>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</si>
  <si>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</si>
  <si>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</si>
  <si>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</si>
  <si>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</si>
  <si>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</si>
  <si>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</si>
  <si>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</si>
  <si>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</si>
  <si>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</si>
  <si>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</si>
  <si>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</si>
  <si>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</si>
  <si>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</si>
  <si>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</si>
  <si>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</si>
  <si>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</si>
  <si>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</si>
  <si>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</si>
  <si>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</si>
  <si>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</si>
  <si>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</si>
  <si>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</si>
  <si>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</si>
  <si>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</si>
  <si>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</si>
  <si>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</si>
  <si>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</si>
  <si>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</si>
  <si>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</si>
  <si>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</si>
  <si>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</si>
  <si>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</si>
  <si>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</si>
  <si>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</si>
  <si>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</si>
  <si>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</si>
  <si>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</si>
  <si>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</si>
  <si>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</si>
  <si>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</si>
  <si>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</si>
  <si>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</si>
  <si>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</si>
  <si>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</si>
  <si>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</si>
  <si>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</si>
  <si>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</si>
  <si>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</si>
  <si>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</si>
  <si>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</si>
  <si>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</si>
  <si>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</si>
  <si>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</si>
  <si>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</si>
  <si>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</si>
  <si>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</si>
  <si>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</si>
  <si>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</si>
  <si>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</si>
  <si>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</si>
  <si>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</si>
  <si>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</si>
  <si>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</si>
  <si>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</si>
  <si>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</si>
  <si>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</si>
  <si>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</si>
  <si>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</si>
  <si>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</si>
  <si>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</si>
  <si>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</si>
  <si>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</si>
  <si>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</si>
  <si>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</si>
  <si>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</si>
  <si>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</si>
  <si>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</si>
  <si>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</si>
  <si>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</si>
  <si>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</si>
  <si>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</si>
  <si>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</si>
  <si>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</si>
  <si>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</si>
  <si>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</si>
  <si>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</si>
  <si>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</si>
  <si>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</si>
  <si>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</si>
  <si>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</si>
  <si>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</si>
  <si>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</si>
  <si>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</si>
  <si>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</si>
  <si>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</si>
  <si>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</si>
  <si>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</si>
  <si>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</si>
  <si>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</si>
  <si>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</si>
  <si>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</si>
  <si>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</si>
  <si>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</si>
  <si>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</si>
  <si>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</si>
  <si>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</si>
  <si>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</si>
  <si>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</si>
  <si>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</si>
  <si>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</si>
  <si>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</si>
  <si>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</si>
  <si>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</si>
  <si>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</si>
  <si>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</si>
  <si>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</si>
  <si>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</si>
  <si>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</si>
  <si>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</si>
  <si>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</si>
  <si>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</si>
  <si>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</si>
  <si>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</si>
  <si>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</si>
  <si>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</si>
  <si>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</si>
  <si>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</si>
  <si>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</si>
  <si>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</si>
  <si>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</si>
  <si>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</si>
  <si>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</si>
  <si>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</si>
  <si>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</si>
  <si>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</si>
  <si>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</si>
  <si>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</si>
  <si>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</si>
  <si>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</si>
  <si>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</si>
  <si>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</si>
  <si>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</si>
  <si>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</si>
  <si>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</si>
  <si>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</si>
  <si>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</si>
  <si>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</si>
  <si>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</si>
  <si>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BE</t>
  </si>
  <si>
    <t>Belgium</t>
  </si>
  <si>
    <t>BE - Services sector summary</t>
  </si>
  <si>
    <t>Macro.number.BE.Population</t>
  </si>
  <si>
    <t>Macro.Meuro2015.BE.GDP</t>
  </si>
  <si>
    <t>Macro.Meuro2015.BE.VA</t>
  </si>
  <si>
    <t>Macro.number.BE.Employees</t>
  </si>
  <si>
    <t>NUM.number.BE.Ser.Bld</t>
  </si>
  <si>
    <t>SurfaceArea.ksqm.BE.Ser.Bld</t>
  </si>
  <si>
    <t>NUM.number.BE.Ser.BldNew</t>
  </si>
  <si>
    <t>SurfaceArea.ksqm.BE.Ser.BldNew</t>
  </si>
  <si>
    <t>HDD.Celsius.BE.Actual</t>
  </si>
  <si>
    <t>HDD.Celsius.BE.Mean</t>
  </si>
  <si>
    <t>HDD.ratio.BE.Relative</t>
  </si>
  <si>
    <t>FEC.ktoe.BE.ES.Ser</t>
  </si>
  <si>
    <t>FEC.ktoe.BE.ES.Ser.Solids</t>
  </si>
  <si>
    <t>FEC.ktoe.BE.ES.Ser.LPG</t>
  </si>
  <si>
    <t>FEC.ktoe.BE.ES.Ser.Oil</t>
  </si>
  <si>
    <t>FEC.ktoe.BE.ES.Ser.NG</t>
  </si>
  <si>
    <t>FEC.ktoe.BE.ES.Ser.Biomass_Waste</t>
  </si>
  <si>
    <t>FEC.ktoe.BE.ES.Ser.Biogas</t>
  </si>
  <si>
    <t>FEC.ktoe.BE.ES.Ser.LiqBio</t>
  </si>
  <si>
    <t>FEC.ktoe.BE.ES.Ser.Solar</t>
  </si>
  <si>
    <t>FEC.ktoe.BE.ES.Ser.Geo</t>
  </si>
  <si>
    <t>FEC.ktoe.BE.ES.Ser.Ambient</t>
  </si>
  <si>
    <t>FEC.ktoe.BE.ES.Ser.Steam_Distr</t>
  </si>
  <si>
    <t>FEC.ktoe.BE.ES.Ser.Elec</t>
  </si>
  <si>
    <t>FEC.ktoe.BE.Ser</t>
  </si>
  <si>
    <t>FEC.ktoe.BE.Ser.Bld.Thermal</t>
  </si>
  <si>
    <t>FEC.ktoe.BE.Ser.Bld.Thermal.SH</t>
  </si>
  <si>
    <t>FEC.ktoe.BE.Ser.Bld.Thermal.SC</t>
  </si>
  <si>
    <t>FEC.ktoe.BE.Ser.Bld.Thermal.HW</t>
  </si>
  <si>
    <t>FEC.ktoe.BE.Ser.Bld.Thermal.CA</t>
  </si>
  <si>
    <t>FEC.ktoe.BE.Ser.SEU</t>
  </si>
  <si>
    <t>EMI.ktCO2.BE.ES.Ser</t>
  </si>
  <si>
    <t>EMI.ktCO2.BE.ES.Ser.Solids</t>
  </si>
  <si>
    <t>EMI.ktCO2.BE.ES.Ser.LPG</t>
  </si>
  <si>
    <t>EMI.ktCO2.BE.ES.Ser.Oil</t>
  </si>
  <si>
    <t>EMI.ktCO2.BE.ES.Ser.NG</t>
  </si>
  <si>
    <t>EMI.ktCO2.BE.ES.Ser.Biomass_Waste</t>
  </si>
  <si>
    <t>EMI.ktCO2.BE.ES.Ser.Biogas</t>
  </si>
  <si>
    <t>EMI.ktCO2.BE.ES.Ser.LiqBio</t>
  </si>
  <si>
    <t>EMI.ktCO2.BE.ES.Ser.Solar</t>
  </si>
  <si>
    <t>EMI.ktCO2.BE.ES.Ser.Geo</t>
  </si>
  <si>
    <t>EMI.ktCO2.BE.ES.Ser.Ambient</t>
  </si>
  <si>
    <t>EMI.ktCO2.BE.ES.Ser.Steam_Distr</t>
  </si>
  <si>
    <t>EMI.ktCO2.BE.ES.Ser.Elec</t>
  </si>
  <si>
    <t>EMI.ktCO2.BE.Ser</t>
  </si>
  <si>
    <t>EMI.ktCO2.BE.Ser.Bld.Thermal</t>
  </si>
  <si>
    <t>EMI.ktCO2.BE.Ser.Bld.Thermal.SH</t>
  </si>
  <si>
    <t>EMI.ktCO2.BE.Ser.Bld.Thermal.SC</t>
  </si>
  <si>
    <t>EMI.ktCO2.BE.Ser.Bld.Thermal.HW</t>
  </si>
  <si>
    <t>EMI.ktCO2.BE.Ser.Bld.Thermal.CA</t>
  </si>
  <si>
    <t>EMI.ktCO2.BE.Ser.SEU</t>
  </si>
  <si>
    <t>Eff.ratio.BE.Ser.Bld.Thermal</t>
  </si>
  <si>
    <t>Eff.ratio.BE.Ser.Bld.Thermal.SH</t>
  </si>
  <si>
    <t>Eff.ratio.BE.Ser.Bld.Thermal.SC</t>
  </si>
  <si>
    <t>Eff.ratio.BE.Ser.Bld.Thermal.HW</t>
  </si>
  <si>
    <t>Eff.ratio.BE.Ser.Bld.Thermal.CA</t>
  </si>
  <si>
    <t>BE - Number of buildings</t>
  </si>
  <si>
    <t>NUM.number.BE.Ser.Bld.Thermal</t>
  </si>
  <si>
    <t>NUM.number.BE.Ser.Bld.Thermal.SH</t>
  </si>
  <si>
    <t>NUM.number.BE.Ser.Bld.Thermal.SH.Solids</t>
  </si>
  <si>
    <t>NUM.number.BE.Ser.Bld.Thermal.SH.LPG</t>
  </si>
  <si>
    <t>NUM.number.BE.Ser.Bld.Thermal.SH.Oil</t>
  </si>
  <si>
    <t>NUM.number.BE.Ser.Bld.Thermal.SH.GasHP</t>
  </si>
  <si>
    <t>NUM.number.BE.Ser.Bld.Thermal.SH.GasTH</t>
  </si>
  <si>
    <t>NUM.number.BE.Ser.Bld.Thermal.SH.Biomass</t>
  </si>
  <si>
    <t>NUM.number.BE.Ser.Bld.Thermal.SH.Geo</t>
  </si>
  <si>
    <t>NUM.number.BE.Ser.Bld.Thermal.SH.DistrHeat</t>
  </si>
  <si>
    <t>NUM.number.BE.Ser.Bld.Thermal.SH.AdvElc</t>
  </si>
  <si>
    <t>NUM.number.BE.Ser.Bld.Thermal.SH.ConvElc</t>
  </si>
  <si>
    <t>NUM.number.BE.Ser.Bld.Thermal.SC</t>
  </si>
  <si>
    <t>NUM.number.BE.Ser.Bld.Thermal.SC.GasHP</t>
  </si>
  <si>
    <t>NUM.number.BE.Ser.Bld.Thermal.SC.AC</t>
  </si>
  <si>
    <t>NUM.number.BE.Ser.Bld.Thermal.HW</t>
  </si>
  <si>
    <t>NUM.number.BE.Ser.Bld.Thermal.HW.Solids</t>
  </si>
  <si>
    <t>NUM.number.BE.Ser.Bld.Thermal.HW.LPG</t>
  </si>
  <si>
    <t>NUM.number.BE.Ser.Bld.Thermal.HW.Oil</t>
  </si>
  <si>
    <t>NUM.number.BE.Ser.Bld.Thermal.HW.Gas</t>
  </si>
  <si>
    <t>NUM.number.BE.Ser.Bld.Thermal.HW.Biomass</t>
  </si>
  <si>
    <t>NUM.number.BE.Ser.Bld.Thermal.HW.DistrHeat</t>
  </si>
  <si>
    <t>NUM.number.BE.Ser.Bld.Thermal.HW.Elc</t>
  </si>
  <si>
    <t>NUM.number.BE.Ser.Bld.Thermal.HW.Solar</t>
  </si>
  <si>
    <t>NUM.number.BE.Ser.Bld.Thermal.CA</t>
  </si>
  <si>
    <t>NUM.number.BE.Ser.Bld.Thermal.CA.LPG</t>
  </si>
  <si>
    <t>NUM.number.BE.Ser.Bld.Thermal.CA.Gas</t>
  </si>
  <si>
    <t>NUM.number.BE.Ser.Bld.Thermal.CA.Biomass</t>
  </si>
  <si>
    <t>NUM.number.BE.Ser.Bld.Thermal.CA.Elc</t>
  </si>
  <si>
    <t>BE - Final energy consumption</t>
  </si>
  <si>
    <t>FEC.ktoe.BE.Ser.Bld.Thermal.SH.Solids.Solids</t>
  </si>
  <si>
    <t>FEC.ktoe.BE.Ser.Bld.Thermal.SH.LPG.LPG</t>
  </si>
  <si>
    <t>FEC.ktoe.BE.Ser.Bld.Thermal.SH.Oil.Oil_LiqBio</t>
  </si>
  <si>
    <t>FEC.ktoe.BE.Ser.Bld.Thermal.SH.GasHP.NG_Biogas</t>
  </si>
  <si>
    <t>FEC.ktoe.BE.Ser.Bld.Thermal.SH.GasTH.NG_Biogas</t>
  </si>
  <si>
    <t>FEC.ktoe.BE.Ser.Bld.Thermal.SH.Biomass.Biomass_Waste</t>
  </si>
  <si>
    <t>FEC.ktoe.BE.Ser.Bld.Thermal.SH.Geo.Geo</t>
  </si>
  <si>
    <t>FEC.ktoe.BE.Ser.Bld.Thermal.SH.DistrHeat.Steam_Distr</t>
  </si>
  <si>
    <t>FEC.ktoe.BE.Ser.Bld.Thermal.SH.AdvElc.Elec</t>
  </si>
  <si>
    <t>FEC.ktoe.BE.Ser.Bld.Thermal.SH.ConvElc.Elec</t>
  </si>
  <si>
    <t>FEC.ktoe.BE.Ser.Bld.Thermal.SH.TotalCirculation.Elec</t>
  </si>
  <si>
    <t>FEC.ktoe.BE.Ser.Bld.Thermal.SC.GasHP.NG_Biogas</t>
  </si>
  <si>
    <t>FEC.ktoe.BE.Ser.Bld.Thermal.SC.AC.Elec</t>
  </si>
  <si>
    <t>FEC.ktoe.BE.Ser.Bld.Thermal.HW.Solids.Solids</t>
  </si>
  <si>
    <t>FEC.ktoe.BE.Ser.Bld.Thermal.HW.LPG.LPG</t>
  </si>
  <si>
    <t>FEC.ktoe.BE.Ser.Bld.Thermal.HW.Oil.Oil_LiqBio</t>
  </si>
  <si>
    <t>FEC.ktoe.BE.Ser.Bld.Thermal.HW.Gas.NG_Biogas</t>
  </si>
  <si>
    <t>FEC.ktoe.BE.Ser.Bld.Thermal.HW.Biomass.Biomass_Waste</t>
  </si>
  <si>
    <t>FEC.ktoe.BE.Ser.Bld.Thermal.HW.DistrHeat.Steam_Distr</t>
  </si>
  <si>
    <t>FEC.ktoe.BE.Ser.Bld.Thermal.HW.Elc.Elec</t>
  </si>
  <si>
    <t>FEC.ktoe.BE.Ser.Bld.Thermal.HW.TotalSolar.Solar</t>
  </si>
  <si>
    <t>FEC.ktoe.BE.Ser.Bld.Thermal.CA.LPG</t>
  </si>
  <si>
    <t>FEC.ktoe.BE.Ser.Bld.Thermal.CA.Gas.NG_Biogas</t>
  </si>
  <si>
    <t>FEC.ktoe.BE.Ser.Bld.Thermal.CA.Biomass.Biomass_Waste</t>
  </si>
  <si>
    <t>FEC.ktoe.BE.Ser.Bld.Thermal.CA.Elc.Elec</t>
  </si>
  <si>
    <t>BE - Thermal energy service</t>
  </si>
  <si>
    <t>TES.ktoe.BE.Ser.Bld.Thermal</t>
  </si>
  <si>
    <t>TES.ktoe.BE.Ser.Bld.Thermal.SH</t>
  </si>
  <si>
    <t>TES.ktoe.BE.Ser.Bld.Thermal.SH.Solids.Solids</t>
  </si>
  <si>
    <t>TES.ktoe.BE.Ser.Bld.Thermal.SH.LPG.LPG</t>
  </si>
  <si>
    <t>TES.ktoe.BE.Ser.Bld.Thermal.SH.Oil.Oil_LiqBio</t>
  </si>
  <si>
    <t>TES.ktoe.BE.Ser.Bld.Thermal.SH.GasHP.NG_Biogas</t>
  </si>
  <si>
    <t>TES.ktoe.BE.Ser.Bld.Thermal.SH.GasTH.NG_Biogas</t>
  </si>
  <si>
    <t>TES.ktoe.BE.Ser.Bld.Thermal.SH.Biomass.Biomass_Waste</t>
  </si>
  <si>
    <t>TES.ktoe.BE.Ser.Bld.Thermal.SH.Geo.Geo</t>
  </si>
  <si>
    <t>TES.ktoe.BE.Ser.Bld.Thermal.SH.DistrHeat.Steam_Distr</t>
  </si>
  <si>
    <t>TES.ktoe.BE.Ser.Bld.Thermal.SH.AdvElc.Elec</t>
  </si>
  <si>
    <t>TES.ktoe.BE.Ser.Bld.Thermal.SH.ConvElc.Elec</t>
  </si>
  <si>
    <t>TES.ktoe.BE.Ser.Bld.Thermal.SH.TotalCirculation.Elec</t>
  </si>
  <si>
    <t>TES.ktoe.BE.Ser.Bld.Thermal.SC</t>
  </si>
  <si>
    <t>TES.ktoe.BE.Ser.Bld.Thermal.SC.GasHP.NG_Biogas</t>
  </si>
  <si>
    <t>TES.ktoe.BE.Ser.Bld.Thermal.SC.AC.Elec</t>
  </si>
  <si>
    <t>TES.ktoe.BE.Ser.Bld.Thermal.HW</t>
  </si>
  <si>
    <t>TES.ktoe.BE.Ser.Bld.Thermal.HW.Solids.Solids</t>
  </si>
  <si>
    <t>TES.ktoe.BE.Ser.Bld.Thermal.HW.LPG.LPG</t>
  </si>
  <si>
    <t>TES.ktoe.BE.Ser.Bld.Thermal.HW.Oil.Oil_LiqBio</t>
  </si>
  <si>
    <t>TES.ktoe.BE.Ser.Bld.Thermal.HW.Gas.NG_Biogas</t>
  </si>
  <si>
    <t>TES.ktoe.BE.Ser.Bld.Thermal.HW.Biomass.Biomass_Waste</t>
  </si>
  <si>
    <t>TES.ktoe.BE.Ser.Bld.Thermal.HW.DistrHeat.Steam_Distr</t>
  </si>
  <si>
    <t>TES.ktoe.BE.Ser.Bld.Thermal.HW.Elc.Elec</t>
  </si>
  <si>
    <t>TES.ktoe.BE.Ser.Bld.Thermal.HW.TotalSolar.Solar</t>
  </si>
  <si>
    <t>TES.ktoe.BE.Ser.Bld.Thermal.CA</t>
  </si>
  <si>
    <t>TES.ktoe.BE.Ser.Bld.Thermal.CA.LPG</t>
  </si>
  <si>
    <t>TES.ktoe.BE.Ser.Bld.Thermal.CA.Gas.NG_Biogas</t>
  </si>
  <si>
    <t>TES.ktoe.BE.Ser.Bld.Thermal.CA.Biomass.Biomass_Waste</t>
  </si>
  <si>
    <t>TES.ktoe.BE.Ser.Bld.Thermal.CA.Elc.Elec</t>
  </si>
  <si>
    <t>BE - System efficiency indicator of total stock</t>
  </si>
  <si>
    <t>Eff.ratio.BE.Ser.Bld.Thermal.SH.Solids.Solids</t>
  </si>
  <si>
    <t>Eff.ratio.BE.Ser.Bld.Thermal.SH.LPG.LPG</t>
  </si>
  <si>
    <t>Eff.ratio.BE.Ser.Bld.Thermal.SH.Oil.Oil_LiqBio</t>
  </si>
  <si>
    <t>Eff.ratio.BE.Ser.Bld.Thermal.SH.GasHP.NG_Biogas</t>
  </si>
  <si>
    <t>Eff.ratio.BE.Ser.Bld.Thermal.SH.GasTH.NG_Biogas</t>
  </si>
  <si>
    <t>Eff.ratio.BE.Ser.Bld.Thermal.SH.Biomass.Biomass_Waste</t>
  </si>
  <si>
    <t>Eff.ratio.BE.Ser.Bld.Thermal.SH.Geo.Geo</t>
  </si>
  <si>
    <t>Eff.ratio.BE.Ser.Bld.Thermal.SH.DistrHeat.Steam_Distr</t>
  </si>
  <si>
    <t>Eff.ratio.BE.Ser.Bld.Thermal.SH.AdvElc.Elec</t>
  </si>
  <si>
    <t>Eff.ratio.BE.Ser.Bld.Thermal.SH.ConvElc.Elec</t>
  </si>
  <si>
    <t>Eff.ratio.BE.Ser.Bld.Thermal.SH.TotalCirculation.Elec</t>
  </si>
  <si>
    <t>Eff.ratio.BE.Ser.Bld.Thermal.SC.GasHP.NG_Biogas</t>
  </si>
  <si>
    <t>Eff.ratio.BE.Ser.Bld.Thermal.SC.AC.Elec</t>
  </si>
  <si>
    <t>Eff.ratio.BE.Ser.Bld.Thermal.HW.Solids.Solids</t>
  </si>
  <si>
    <t>Eff.ratio.BE.Ser.Bld.Thermal.HW.LPG.LPG</t>
  </si>
  <si>
    <t>Eff.ratio.BE.Ser.Bld.Thermal.HW.Oil.Oil_LiqBio</t>
  </si>
  <si>
    <t>Eff.ratio.BE.Ser.Bld.Thermal.HW.Gas.NG_Biogas</t>
  </si>
  <si>
    <t>Eff.ratio.BE.Ser.Bld.Thermal.HW.Biomass.Biomass_Waste</t>
  </si>
  <si>
    <t>Eff.ratio.BE.Ser.Bld.Thermal.HW.DistrHeat.Steam_Distr</t>
  </si>
  <si>
    <t>Eff.ratio.BE.Ser.Bld.Thermal.HW.Elc.Elec</t>
  </si>
  <si>
    <t>Eff.ratio.BE.Ser.Bld.Thermal.HW.TotalSolar.Solar</t>
  </si>
  <si>
    <t>Eff.ratio.BE.Ser.Bld.Thermal.CA.LPG</t>
  </si>
  <si>
    <t>Eff.ratio.BE.Ser.Bld.Thermal.CA.Gas.NG_Biogas</t>
  </si>
  <si>
    <t>Eff.ratio.BE.Ser.Bld.Thermal.CA.Biomass.Biomass_Waste</t>
  </si>
  <si>
    <t>Eff.ratio.BE.Ser.Bld.Thermal.CA.Elc.Elec</t>
  </si>
  <si>
    <t>BE - CO2 emissions</t>
  </si>
  <si>
    <t>EMI.ktCO2.BE.Ser.Bld.Thermal.SH.Solids.Solids</t>
  </si>
  <si>
    <t>EMI.ktCO2.BE.Ser.Bld.Thermal.SH.LPG.LPG</t>
  </si>
  <si>
    <t>EMI.ktCO2.BE.Ser.Bld.Thermal.SH.Oil.Oil_LiqBio</t>
  </si>
  <si>
    <t>EMI.ktCO2.BE.Ser.Bld.Thermal.SH.GasHP.NG_Biogas</t>
  </si>
  <si>
    <t>EMI.ktCO2.BE.Ser.Bld.Thermal.SH.GasTH.NG_Biogas</t>
  </si>
  <si>
    <t>EMI.ktCO2.BE.Ser.Bld.Thermal.SH.Biomass.Biomass_Waste</t>
  </si>
  <si>
    <t>EMI.ktCO2.BE.Ser.Bld.Thermal.SH.Geo.Geo</t>
  </si>
  <si>
    <t>EMI.ktCO2.BE.Ser.Bld.Thermal.SH.DistrHeat.Steam_Distr</t>
  </si>
  <si>
    <t>EMI.ktCO2.BE.Ser.Bld.Thermal.SH.AdvElc.Elec</t>
  </si>
  <si>
    <t>EMI.ktCO2.BE.Ser.Bld.Thermal.SH.ConvElc.Elec</t>
  </si>
  <si>
    <t>EMI.ktCO2.BE.Ser.Bld.Thermal.SH.TotalCirculation.Elec</t>
  </si>
  <si>
    <t>EMI.ktCO2.BE.Ser.Bld.Thermal.SC.GasHP.NG_Biogas</t>
  </si>
  <si>
    <t>EMI.ktCO2.BE.Ser.Bld.Thermal.SC.AC.Elec</t>
  </si>
  <si>
    <t>EMI.ktCO2.BE.Ser.Bld.Thermal.HW.Solids.Solids</t>
  </si>
  <si>
    <t>EMI.ktCO2.BE.Ser.Bld.Thermal.HW.LPG.LPG</t>
  </si>
  <si>
    <t>EMI.ktCO2.BE.Ser.Bld.Thermal.HW.Oil.Oil_LiqBio</t>
  </si>
  <si>
    <t>EMI.ktCO2.BE.Ser.Bld.Thermal.HW.Gas.NG_Biogas</t>
  </si>
  <si>
    <t>EMI.ktCO2.BE.Ser.Bld.Thermal.HW.Biomass.Biomass_Waste</t>
  </si>
  <si>
    <t>EMI.ktCO2.BE.Ser.Bld.Thermal.HW.DistrHeat.Steam_Distr</t>
  </si>
  <si>
    <t>EMI.ktCO2.BE.Ser.Bld.Thermal.HW.Elc.Elec</t>
  </si>
  <si>
    <t>EMI.ktCO2.BE.Ser.Bld.Thermal.HW.TotalSolar.Solar</t>
  </si>
  <si>
    <t>EMI.ktCO2.BE.Ser.Bld.Thermal.CA.LPG</t>
  </si>
  <si>
    <t>EMI.ktCO2.BE.Ser.Bld.Thermal.CA.Gas.NG_Biogas</t>
  </si>
  <si>
    <t>EMI.ktCO2.BE.Ser.Bld.Thermal.CA.Biomass.Biomass_Waste</t>
  </si>
  <si>
    <t>EMI.ktCO2.BE.Ser.Bld.Thermal.CA.Elc.Elec</t>
  </si>
  <si>
    <t>BE - Final energy consumption per building</t>
  </si>
  <si>
    <t>FEC_per_building.kWh.BE.Ser.Bld.Thermal</t>
  </si>
  <si>
    <t>FEC_per_building.kWh.BE.Ser.Bld.Thermal.SH</t>
  </si>
  <si>
    <t>FEC_per_building.kWh.BE.Ser.Bld.Thermal.SH.Solids.Solids</t>
  </si>
  <si>
    <t>FEC_per_building.kWh.BE.Ser.Bld.Thermal.SH.LPG.LPG</t>
  </si>
  <si>
    <t>FEC_per_building.kWh.BE.Ser.Bld.Thermal.SH.Oil.Oil_LiqBio</t>
  </si>
  <si>
    <t>FEC_per_building.kWh.BE.Ser.Bld.Thermal.SH.GasHP.NG_Biogas</t>
  </si>
  <si>
    <t>FEC_per_building.kWh.BE.Ser.Bld.Thermal.SH.GasTH.NG_Biogas</t>
  </si>
  <si>
    <t>FEC_per_building.kWh.BE.Ser.Bld.Thermal.SH.Biomass.Biomass_Waste</t>
  </si>
  <si>
    <t>FEC_per_building.kWh.BE.Ser.Bld.Thermal.SH.Geo.Geo</t>
  </si>
  <si>
    <t>FEC_per_building.kWh.BE.Ser.Bld.Thermal.SH.DistrHeat.Steam_Distr</t>
  </si>
  <si>
    <t>FEC_per_building.kWh.BE.Ser.Bld.Thermal.SH.AdvElc.Elec</t>
  </si>
  <si>
    <t>FEC_per_building.kWh.BE.Ser.Bld.Thermal.SH.ConvElc.Elec</t>
  </si>
  <si>
    <t>FEC_per_building.kWh.BE.Ser.Bld.Thermal.SH.TotalCirculation.Elec</t>
  </si>
  <si>
    <t>FEC_per_building.kWh.BE.Ser.Bld.Thermal.SC</t>
  </si>
  <si>
    <t>FEC_per_building.kWh.BE.Ser.Bld.Thermal.SC.GasHP.NG_Biogas</t>
  </si>
  <si>
    <t>FEC_per_building.kWh.BE.Ser.Bld.Thermal.SC.AC.Elec</t>
  </si>
  <si>
    <t>FEC_per_building.kWh.BE.Ser.Bld.Thermal.HW</t>
  </si>
  <si>
    <t>FEC_per_building.kWh.BE.Ser.Bld.Thermal.HW.Solids.Solids</t>
  </si>
  <si>
    <t>FEC_per_building.kWh.BE.Ser.Bld.Thermal.HW.LPG.LPG</t>
  </si>
  <si>
    <t>FEC_per_building.kWh.BE.Ser.Bld.Thermal.HW.Oil.Oil_LiqBio</t>
  </si>
  <si>
    <t>FEC_per_building.kWh.BE.Ser.Bld.Thermal.HW.Gas.NG_Biogas</t>
  </si>
  <si>
    <t>FEC_per_building.kWh.BE.Ser.Bld.Thermal.HW.Biomass.Biomass_Waste</t>
  </si>
  <si>
    <t>FEC_per_building.kWh.BE.Ser.Bld.Thermal.HW.DistrHeat.Steam_Distr</t>
  </si>
  <si>
    <t>FEC_per_building.kWh.BE.Ser.Bld.Thermal.HW.Elc.Elec</t>
  </si>
  <si>
    <t>FEC_per_building.kWh.BE.Ser.Bld.Thermal.HW.TotalSolar.Solar</t>
  </si>
  <si>
    <t>FEC_per_building.kWh.BE.Ser.Bld.Thermal.CA</t>
  </si>
  <si>
    <t>FEC_per_building.kWh.BE.Ser.Bld.Thermal.CA.LPG</t>
  </si>
  <si>
    <t>FEC_per_building.kWh.BE.Ser.Bld.Thermal.CA.Gas.NG_Biogas</t>
  </si>
  <si>
    <t>FEC_per_building.kWh.BE.Ser.Bld.Thermal.CA.Biomass.Biomass_Waste</t>
  </si>
  <si>
    <t>FEC_per_building.kWh.BE.Ser.Bld.Thermal.CA.Elc.Elec</t>
  </si>
  <si>
    <t>BE - Thermal energy service per building</t>
  </si>
  <si>
    <t>TES_per_building.kWh.BE.Ser.Bld.Thermal</t>
  </si>
  <si>
    <t>TES_per_building.kWh.BE.Ser.Bld.Thermal.SH</t>
  </si>
  <si>
    <t>TES_per_building.kWh.BE.Ser.Bld.Thermal.SH.Solids.Solids</t>
  </si>
  <si>
    <t>TES_per_building.kWh.BE.Ser.Bld.Thermal.SH.LPG.LPG</t>
  </si>
  <si>
    <t>TES_per_building.kWh.BE.Ser.Bld.Thermal.SH.Oil.Oil_LiqBio</t>
  </si>
  <si>
    <t>TES_per_building.kWh.BE.Ser.Bld.Thermal.SH.GasHP.NG_Biogas</t>
  </si>
  <si>
    <t>TES_per_building.kWh.BE.Ser.Bld.Thermal.SH.GasTH.NG_Biogas</t>
  </si>
  <si>
    <t>TES_per_building.kWh.BE.Ser.Bld.Thermal.SH.Biomass.Biomass_Waste</t>
  </si>
  <si>
    <t>TES_per_building.kWh.BE.Ser.Bld.Thermal.SH.Geo.Geo</t>
  </si>
  <si>
    <t>TES_per_building.kWh.BE.Ser.Bld.Thermal.SH.DistrHeat.Steam_Distr</t>
  </si>
  <si>
    <t>TES_per_building.kWh.BE.Ser.Bld.Thermal.SH.AdvElc.Elec</t>
  </si>
  <si>
    <t>TES_per_building.kWh.BE.Ser.Bld.Thermal.SH.ConvElc.Elec</t>
  </si>
  <si>
    <t>TES_per_building.kWh.BE.Ser.Bld.Thermal.SH.TotalCirculation.Elec</t>
  </si>
  <si>
    <t>TES_per_building.kWh.BE.Ser.Bld.Thermal.SC</t>
  </si>
  <si>
    <t>TES_per_building.kWh.BE.Ser.Bld.Thermal.SC.GasHP.NG_Biogas</t>
  </si>
  <si>
    <t>TES_per_building.kWh.BE.Ser.Bld.Thermal.SC.AC.Elec</t>
  </si>
  <si>
    <t>TES_per_building.kWh.BE.Ser.Bld.Thermal.HW</t>
  </si>
  <si>
    <t>TES_per_building.kWh.BE.Ser.Bld.Thermal.HW.Solids.Solids</t>
  </si>
  <si>
    <t>TES_per_building.kWh.BE.Ser.Bld.Thermal.HW.LPG.LPG</t>
  </si>
  <si>
    <t>TES_per_building.kWh.BE.Ser.Bld.Thermal.HW.Oil.Oil_LiqBio</t>
  </si>
  <si>
    <t>TES_per_building.kWh.BE.Ser.Bld.Thermal.HW.Gas.NG_Biogas</t>
  </si>
  <si>
    <t>TES_per_building.kWh.BE.Ser.Bld.Thermal.HW.Biomass.Biomass_Waste</t>
  </si>
  <si>
    <t>TES_per_building.kWh.BE.Ser.Bld.Thermal.HW.DistrHeat.Steam_Distr</t>
  </si>
  <si>
    <t>TES_per_building.kWh.BE.Ser.Bld.Thermal.HW.Elc.Elec</t>
  </si>
  <si>
    <t>TES_per_building.kWh.BE.Ser.Bld.Thermal.HW.TotalSolar.Solar</t>
  </si>
  <si>
    <t>TES_per_building.kWh.BE.Ser.Bld.Thermal.CA</t>
  </si>
  <si>
    <t>TES_per_building.kWh.BE.Ser.Bld.Thermal.CA.LPG</t>
  </si>
  <si>
    <t>TES_per_building.kWh.BE.Ser.Bld.Thermal.CA.Gas.NG_Biogas</t>
  </si>
  <si>
    <t>TES_per_building.kWh.BE.Ser.Bld.Thermal.CA.Biomass.Biomass_Waste</t>
  </si>
  <si>
    <t>TES_per_building.kWh.BE.Ser.Bld.Thermal.CA.Elc.Elec</t>
  </si>
  <si>
    <t>BE - CO2 emissions per building</t>
  </si>
  <si>
    <t>EMI_per_building.kgCO2.BE.Ser.Bld.Thermal</t>
  </si>
  <si>
    <t>EMI_per_building.kgCO2.BE.Ser.Bld.Thermal.SH</t>
  </si>
  <si>
    <t>EMI_per_building.kgCO2.BE.Ser.Bld.Thermal.SH.Solids.Solids</t>
  </si>
  <si>
    <t>EMI_per_building.kgCO2.BE.Ser.Bld.Thermal.SH.LPG.LPG</t>
  </si>
  <si>
    <t>EMI_per_building.kgCO2.BE.Ser.Bld.Thermal.SH.Oil.Oil_LiqBio</t>
  </si>
  <si>
    <t>EMI_per_building.kgCO2.BE.Ser.Bld.Thermal.SH.GasHP.NG_Biogas</t>
  </si>
  <si>
    <t>EMI_per_building.kgCO2.BE.Ser.Bld.Thermal.SH.GasTH.NG_Biogas</t>
  </si>
  <si>
    <t>EMI_per_building.kgCO2.BE.Ser.Bld.Thermal.SH.Biomass.Biomass_Waste</t>
  </si>
  <si>
    <t>EMI_per_building.kgCO2.BE.Ser.Bld.Thermal.SH.Geo.Geo</t>
  </si>
  <si>
    <t>EMI_per_building.kgCO2.BE.Ser.Bld.Thermal.SH.DistrHeat.Steam_Distr</t>
  </si>
  <si>
    <t>EMI_per_building.kgCO2.BE.Ser.Bld.Thermal.SH.AdvElc.Elec</t>
  </si>
  <si>
    <t>EMI_per_building.kgCO2.BE.Ser.Bld.Thermal.SH.ConvElc.Elec</t>
  </si>
  <si>
    <t>EMI_per_building.kgCO2.BE.Ser.Bld.Thermal.SH.TotalCirculation.Elec</t>
  </si>
  <si>
    <t>EMI_per_building.kgCO2.BE.Ser.Bld.Thermal.SC</t>
  </si>
  <si>
    <t>EMI_per_building.kgCO2.BE.Ser.Bld.Thermal.SC.GasHP.NG_Biogas</t>
  </si>
  <si>
    <t>EMI_per_building.kgCO2.BE.Ser.Bld.Thermal.SC.AC.Elec</t>
  </si>
  <si>
    <t>EMI_per_building.kgCO2.BE.Ser.Bld.Thermal.HW</t>
  </si>
  <si>
    <t>EMI_per_building.kgCO2.BE.Ser.Bld.Thermal.HW.Solids.Solids</t>
  </si>
  <si>
    <t>EMI_per_building.kgCO2.BE.Ser.Bld.Thermal.HW.LPG.LPG</t>
  </si>
  <si>
    <t>EMI_per_building.kgCO2.BE.Ser.Bld.Thermal.HW.Oil.Oil_LiqBio</t>
  </si>
  <si>
    <t>EMI_per_building.kgCO2.BE.Ser.Bld.Thermal.HW.Gas.NG_Biogas</t>
  </si>
  <si>
    <t>EMI_per_building.kgCO2.BE.Ser.Bld.Thermal.HW.Biomass.Biomass_Waste</t>
  </si>
  <si>
    <t>EMI_per_building.kgCO2.BE.Ser.Bld.Thermal.HW.DistrHeat.Steam_Distr</t>
  </si>
  <si>
    <t>EMI_per_building.kgCO2.BE.Ser.Bld.Thermal.HW.Elc.Elec</t>
  </si>
  <si>
    <t>EMI_per_building.kgCO2.BE.Ser.Bld.Thermal.HW.TotalSolar.Solar</t>
  </si>
  <si>
    <t>EMI_per_building.kgCO2.BE.Ser.Bld.Thermal.CA</t>
  </si>
  <si>
    <t>EMI_per_building.kgCO2.BE.Ser.Bld.Thermal.CA.LPG</t>
  </si>
  <si>
    <t>EMI_per_building.kgCO2.BE.Ser.Bld.Thermal.CA.Gas.NG_Biogas</t>
  </si>
  <si>
    <t>EMI_per_building.kgCO2.BE.Ser.Bld.Thermal.CA.Biomass.Biomass_Waste</t>
  </si>
  <si>
    <t>EMI_per_building.kgCO2.BE.Ser.Bld.Thermal.CA.Elc.Elec</t>
  </si>
  <si>
    <t>BE - Final energy consumption per useful surface area</t>
  </si>
  <si>
    <t>FEC_per_sqm.kWh.BE.Ser.Bld.Thermal</t>
  </si>
  <si>
    <t>FEC_per_sqm.kWh.BE.Ser.Bld.Thermal.SH</t>
  </si>
  <si>
    <t>FEC_per_sqm.kWh.BE.Ser.Bld.Thermal.SH.Solids.Solids</t>
  </si>
  <si>
    <t>FEC_per_sqm.kWh.BE.Ser.Bld.Thermal.SH.LPG.LPG</t>
  </si>
  <si>
    <t>FEC_per_sqm.kWh.BE.Ser.Bld.Thermal.SH.Oil.Oil_LiqBio</t>
  </si>
  <si>
    <t>FEC_per_sqm.kWh.BE.Ser.Bld.Thermal.SH.GasHP.NG_Biogas</t>
  </si>
  <si>
    <t>FEC_per_sqm.kWh.BE.Ser.Bld.Thermal.SH.GasTH.NG_Biogas</t>
  </si>
  <si>
    <t>FEC_per_sqm.kWh.BE.Ser.Bld.Thermal.SH.Biomass.Biomass_Waste</t>
  </si>
  <si>
    <t>FEC_per_sqm.kWh.BE.Ser.Bld.Thermal.SH.Geo.Geo</t>
  </si>
  <si>
    <t>FEC_per_sqm.kWh.BE.Ser.Bld.Thermal.SH.DistrHeat.Steam_Distr</t>
  </si>
  <si>
    <t>FEC_per_sqm.kWh.BE.Ser.Bld.Thermal.SH.AdvElc.Elec</t>
  </si>
  <si>
    <t>FEC_per_sqm.kWh.BE.Ser.Bld.Thermal.SH.ConvElc.Elec</t>
  </si>
  <si>
    <t>FEC_per_sqm.kWh.BE.Ser.Bld.Thermal.SH.TotalCirculation.Elec</t>
  </si>
  <si>
    <t>FEC_per_sqm.kWh.BE.Ser.Bld.Thermal.SC</t>
  </si>
  <si>
    <t>FEC_per_sqm.kWh.BE.Ser.Bld.Thermal.SC.GasHP.NG_Biogas</t>
  </si>
  <si>
    <t>FEC_per_sqm.kWh.BE.Ser.Bld.Thermal.SC.AC.Elec</t>
  </si>
  <si>
    <t>FEC_per_sqm.kWh.BE.Ser.Bld.Thermal.HW</t>
  </si>
  <si>
    <t>FEC_per_sqm.kWh.BE.Ser.Bld.Thermal.HW.Solids.Solids</t>
  </si>
  <si>
    <t>FEC_per_sqm.kWh.BE.Ser.Bld.Thermal.HW.LPG.LPG</t>
  </si>
  <si>
    <t>FEC_per_sqm.kWh.BE.Ser.Bld.Thermal.HW.Oil.Oil_LiqBio</t>
  </si>
  <si>
    <t>FEC_per_sqm.kWh.BE.Ser.Bld.Thermal.HW.Gas.NG_Biogas</t>
  </si>
  <si>
    <t>FEC_per_sqm.kWh.BE.Ser.Bld.Thermal.HW.Biomass.Biomass_Waste</t>
  </si>
  <si>
    <t>FEC_per_sqm.kWh.BE.Ser.Bld.Thermal.HW.DistrHeat.Steam_Distr</t>
  </si>
  <si>
    <t>FEC_per_sqm.kWh.BE.Ser.Bld.Thermal.HW.Elc.Elec</t>
  </si>
  <si>
    <t>FEC_per_sqm.kWh.BE.Ser.Bld.Thermal.HW.TotalSolar.Solar</t>
  </si>
  <si>
    <t>FEC_per_sqm.kWh.BE.Ser.Bld.Thermal.CA</t>
  </si>
  <si>
    <t>FEC_per_sqm.kWh.BE.Ser.Bld.Thermal.CA.LPG</t>
  </si>
  <si>
    <t>FEC_per_sqm.kWh.BE.Ser.Bld.Thermal.CA.Gas.NG_Biogas</t>
  </si>
  <si>
    <t>FEC_per_sqm.kWh.BE.Ser.Bld.Thermal.CA.Biomass.Biomass_Waste</t>
  </si>
  <si>
    <t>FEC_per_sqm.kWh.BE.Ser.Bld.Thermal.CA.Elc.Elec</t>
  </si>
  <si>
    <t>BE - Thermal energy service per useful surface area</t>
  </si>
  <si>
    <t>TES_per_sqm.kWh.BE.Ser.Bld.Thermal</t>
  </si>
  <si>
    <t>TES_per_sqm.kWh.BE.Ser.Bld.Thermal.SH</t>
  </si>
  <si>
    <t>TES_per_sqm.kWh.BE.Ser.Bld.Thermal.SH.Solids.Solids</t>
  </si>
  <si>
    <t>TES_per_sqm.kWh.BE.Ser.Bld.Thermal.SH.LPG.LPG</t>
  </si>
  <si>
    <t>TES_per_sqm.kWh.BE.Ser.Bld.Thermal.SH.Oil.Oil_LiqBio</t>
  </si>
  <si>
    <t>TES_per_sqm.kWh.BE.Ser.Bld.Thermal.SH.GasHP.NG_Biogas</t>
  </si>
  <si>
    <t>TES_per_sqm.kWh.BE.Ser.Bld.Thermal.SH.GasTH.NG_Biogas</t>
  </si>
  <si>
    <t>TES_per_sqm.kWh.BE.Ser.Bld.Thermal.SH.Biomass.Biomass_Waste</t>
  </si>
  <si>
    <t>TES_per_sqm.kWh.BE.Ser.Bld.Thermal.SH.Geo.Geo</t>
  </si>
  <si>
    <t>TES_per_sqm.kWh.BE.Ser.Bld.Thermal.SH.DistrHeat.Steam_Distr</t>
  </si>
  <si>
    <t>TES_per_sqm.kWh.BE.Ser.Bld.Thermal.SH.AdvElc.Elec</t>
  </si>
  <si>
    <t>TES_per_sqm.kWh.BE.Ser.Bld.Thermal.SH.ConvElc.Elec</t>
  </si>
  <si>
    <t>TES_per_sqm.kWh.BE.Ser.Bld.Thermal.SH.TotalCirculation.Elec</t>
  </si>
  <si>
    <t>TES_per_sqm.kWh.BE.Ser.Bld.Thermal.SC</t>
  </si>
  <si>
    <t>TES_per_sqm.kWh.BE.Ser.Bld.Thermal.SC.GasHP.NG_Biogas</t>
  </si>
  <si>
    <t>TES_per_sqm.kWh.BE.Ser.Bld.Thermal.SC.AC.Elec</t>
  </si>
  <si>
    <t>TES_per_sqm.kWh.BE.Ser.Bld.Thermal.HW</t>
  </si>
  <si>
    <t>TES_per_sqm.kWh.BE.Ser.Bld.Thermal.HW.Solids.Solids</t>
  </si>
  <si>
    <t>TES_per_sqm.kWh.BE.Ser.Bld.Thermal.HW.LPG.LPG</t>
  </si>
  <si>
    <t>TES_per_sqm.kWh.BE.Ser.Bld.Thermal.HW.Oil.Oil_LiqBio</t>
  </si>
  <si>
    <t>TES_per_sqm.kWh.BE.Ser.Bld.Thermal.HW.Gas.NG_Biogas</t>
  </si>
  <si>
    <t>TES_per_sqm.kWh.BE.Ser.Bld.Thermal.HW.Biomass.Biomass_Waste</t>
  </si>
  <si>
    <t>TES_per_sqm.kWh.BE.Ser.Bld.Thermal.HW.DistrHeat.Steam_Distr</t>
  </si>
  <si>
    <t>TES_per_sqm.kWh.BE.Ser.Bld.Thermal.HW.Elc.Elec</t>
  </si>
  <si>
    <t>TES_per_sqm.kWh.BE.Ser.Bld.Thermal.HW.TotalSolar.Solar</t>
  </si>
  <si>
    <t>TES_per_sqm.kWh.BE.Ser.Bld.Thermal.CA</t>
  </si>
  <si>
    <t>TES_per_sqm.kWh.BE.Ser.Bld.Thermal.CA.LPG</t>
  </si>
  <si>
    <t>TES_per_sqm.kWh.BE.Ser.Bld.Thermal.CA.Gas.NG_Biogas</t>
  </si>
  <si>
    <t>TES_per_sqm.kWh.BE.Ser.Bld.Thermal.CA.Biomass.Biomass_Waste</t>
  </si>
  <si>
    <t>TES_per_sqm.kWh.BE.Ser.Bld.Thermal.CA.Elc.Elec</t>
  </si>
  <si>
    <t>BE - CO2 emissions per useful surface area</t>
  </si>
  <si>
    <t>EMI_per_sqm.kgCO2.BE.Ser.Bld.Thermal</t>
  </si>
  <si>
    <t>EMI_per_sqm.kgCO2.BE.Ser.Bld.Thermal.SH</t>
  </si>
  <si>
    <t>EMI_per_sqm.kgCO2.BE.Ser.Bld.Thermal.SH.Solids.Solids</t>
  </si>
  <si>
    <t>EMI_per_sqm.kgCO2.BE.Ser.Bld.Thermal.SH.LPG.LPG</t>
  </si>
  <si>
    <t>EMI_per_sqm.kgCO2.BE.Ser.Bld.Thermal.SH.Oil.Oil_LiqBio</t>
  </si>
  <si>
    <t>EMI_per_sqm.kgCO2.BE.Ser.Bld.Thermal.SH.GasHP.NG_Biogas</t>
  </si>
  <si>
    <t>EMI_per_sqm.kgCO2.BE.Ser.Bld.Thermal.SH.GasTH.NG_Biogas</t>
  </si>
  <si>
    <t>EMI_per_sqm.kgCO2.BE.Ser.Bld.Thermal.SH.Biomass.Biomass_Waste</t>
  </si>
  <si>
    <t>EMI_per_sqm.kgCO2.BE.Ser.Bld.Thermal.SH.Geo.Geo</t>
  </si>
  <si>
    <t>EMI_per_sqm.kgCO2.BE.Ser.Bld.Thermal.SH.DistrHeat.Steam_Distr</t>
  </si>
  <si>
    <t>EMI_per_sqm.kgCO2.BE.Ser.Bld.Thermal.SH.AdvElc.Elec</t>
  </si>
  <si>
    <t>EMI_per_sqm.kgCO2.BE.Ser.Bld.Thermal.SH.ConvElc.Elec</t>
  </si>
  <si>
    <t>EMI_per_sqm.kgCO2.BE.Ser.Bld.Thermal.SH.TotalCirculation.Elec</t>
  </si>
  <si>
    <t>EMI_per_sqm.kgCO2.BE.Ser.Bld.Thermal.SC</t>
  </si>
  <si>
    <t>EMI_per_sqm.kgCO2.BE.Ser.Bld.Thermal.SC.GasHP.NG_Biogas</t>
  </si>
  <si>
    <t>EMI_per_sqm.kgCO2.BE.Ser.Bld.Thermal.SC.AC.Elec</t>
  </si>
  <si>
    <t>EMI_per_sqm.kgCO2.BE.Ser.Bld.Thermal.HW</t>
  </si>
  <si>
    <t>EMI_per_sqm.kgCO2.BE.Ser.Bld.Thermal.HW.Solids.Solids</t>
  </si>
  <si>
    <t>EMI_per_sqm.kgCO2.BE.Ser.Bld.Thermal.HW.LPG.LPG</t>
  </si>
  <si>
    <t>EMI_per_sqm.kgCO2.BE.Ser.Bld.Thermal.HW.Oil.Oil_LiqBio</t>
  </si>
  <si>
    <t>EMI_per_sqm.kgCO2.BE.Ser.Bld.Thermal.HW.Gas.NG_Biogas</t>
  </si>
  <si>
    <t>EMI_per_sqm.kgCO2.BE.Ser.Bld.Thermal.HW.Biomass.Biomass_Waste</t>
  </si>
  <si>
    <t>EMI_per_sqm.kgCO2.BE.Ser.Bld.Thermal.HW.DistrHeat.Steam_Distr</t>
  </si>
  <si>
    <t>EMI_per_sqm.kgCO2.BE.Ser.Bld.Thermal.HW.Elc.Elec</t>
  </si>
  <si>
    <t>EMI_per_sqm.kgCO2.BE.Ser.Bld.Thermal.HW.TotalSolar.Solar</t>
  </si>
  <si>
    <t>EMI_per_sqm.kgCO2.BE.Ser.Bld.Thermal.CA</t>
  </si>
  <si>
    <t>EMI_per_sqm.kgCO2.BE.Ser.Bld.Thermal.CA.LPG</t>
  </si>
  <si>
    <t>EMI_per_sqm.kgCO2.BE.Ser.Bld.Thermal.CA.Gas.NG_Biogas</t>
  </si>
  <si>
    <t>EMI_per_sqm.kgCO2.BE.Ser.Bld.Thermal.CA.Biomass.Biomass_Waste</t>
  </si>
  <si>
    <t>EMI_per_sqm.kgCO2.BE.Ser.Bld.Thermal.CA.Elc.Elec</t>
  </si>
  <si>
    <t>BE - Number of new and renovated buildings</t>
  </si>
  <si>
    <t>NUM.number.BE.Ser.BldNew.Thermal</t>
  </si>
  <si>
    <t>NUM.number.BE.Ser.BldNew.Thermal.SH</t>
  </si>
  <si>
    <t>NUM.number.BE.Ser.BldNew.Thermal.SH.Solids</t>
  </si>
  <si>
    <t>NUM.number.BE.Ser.BldNew.Thermal.SH.LPG</t>
  </si>
  <si>
    <t>NUM.number.BE.Ser.BldNew.Thermal.SH.Oil</t>
  </si>
  <si>
    <t>NUM.number.BE.Ser.BldNew.Thermal.SH.GasHP</t>
  </si>
  <si>
    <t>NUM.number.BE.Ser.BldNew.Thermal.SH.GasTH</t>
  </si>
  <si>
    <t>NUM.number.BE.Ser.BldNew.Thermal.SH.Biomass</t>
  </si>
  <si>
    <t>NUM.number.BE.Ser.BldNew.Thermal.SH.Geo</t>
  </si>
  <si>
    <t>NUM.number.BE.Ser.BldNew.Thermal.SH.DistrHeat</t>
  </si>
  <si>
    <t>NUM.number.BE.Ser.BldNew.Thermal.SH.AdvElc</t>
  </si>
  <si>
    <t>NUM.number.BE.Ser.BldNew.Thermal.SH.ConvElc</t>
  </si>
  <si>
    <t>NUM.number.BE.Ser.BldNew.Thermal.SC</t>
  </si>
  <si>
    <t>NUM.number.BE.Ser.BldNew.Thermal.SC.GasHP</t>
  </si>
  <si>
    <t>NUM.number.BE.Ser.BldNew.Thermal.SC.AC</t>
  </si>
  <si>
    <t>NUM.number.BE.Ser.BldNew.Thermal.HW</t>
  </si>
  <si>
    <t>NUM.number.BE.Ser.BldNew.Thermal.HW.Solids</t>
  </si>
  <si>
    <t>NUM.number.BE.Ser.BldNew.Thermal.HW.LPG</t>
  </si>
  <si>
    <t>NUM.number.BE.Ser.BldNew.Thermal.HW.Oil</t>
  </si>
  <si>
    <t>NUM.number.BE.Ser.BldNew.Thermal.HW.Gas</t>
  </si>
  <si>
    <t>NUM.number.BE.Ser.BldNew.Thermal.HW.Biomass</t>
  </si>
  <si>
    <t>NUM.number.BE.Ser.BldNew.Thermal.HW.DistrHeat</t>
  </si>
  <si>
    <t>NUM.number.BE.Ser.BldNew.Thermal.HW.Elc</t>
  </si>
  <si>
    <t>NUM.number.BE.Ser.BldNew.Thermal.HW.Solar</t>
  </si>
  <si>
    <t>NUM.number.BE.Ser.BldNew.Thermal.CA</t>
  </si>
  <si>
    <t>NUM.number.BE.Ser.BldNew.Thermal.CA.LPG</t>
  </si>
  <si>
    <t>NUM.number.BE.Ser.BldNew.Thermal.CA.Gas</t>
  </si>
  <si>
    <t>NUM.number.BE.Ser.BldNew.Thermal.CA.Biomass</t>
  </si>
  <si>
    <t>NUM.number.BE.Ser.BldNew.Thermal.CA.Elc</t>
  </si>
  <si>
    <t>BE - Final energy consumption in new and renovated buildings</t>
  </si>
  <si>
    <t>FEC.ktoe.BE.Ser.BldNew.Thermal</t>
  </si>
  <si>
    <t>FEC.ktoe.BE.Ser.BldNew.Thermal.SH</t>
  </si>
  <si>
    <t>FEC.ktoe.BE.Ser.BldNew.Thermal.SH.Solids.Solids</t>
  </si>
  <si>
    <t>FEC.ktoe.BE.Ser.BldNew.Thermal.SH.LPG.LPG</t>
  </si>
  <si>
    <t>FEC.ktoe.BE.Ser.BldNew.Thermal.SH.Oil.Oil_LiqBio</t>
  </si>
  <si>
    <t>FEC.ktoe.BE.Ser.BldNew.Thermal.SH.GasHP.NG_Biogas</t>
  </si>
  <si>
    <t>FEC.ktoe.BE.Ser.BldNew.Thermal.SH.GasTH.NG_Biogas</t>
  </si>
  <si>
    <t>FEC.ktoe.BE.Ser.BldNew.Thermal.SH.Biomass.Biomass_Waste</t>
  </si>
  <si>
    <t>FEC.ktoe.BE.Ser.BldNew.Thermal.SH.Geo.Geo</t>
  </si>
  <si>
    <t>FEC.ktoe.BE.Ser.BldNew.Thermal.SH.DistrHeat.Steam_Distr</t>
  </si>
  <si>
    <t>FEC.ktoe.BE.Ser.BldNew.Thermal.SH.AdvElc.Elec</t>
  </si>
  <si>
    <t>FEC.ktoe.BE.Ser.BldNew.Thermal.SH.ConvElc.Elec</t>
  </si>
  <si>
    <t>FEC.ktoe.BE.Ser.BldNew.Thermal.SH.TotalCirculation.Elec</t>
  </si>
  <si>
    <t>FEC.ktoe.BE.Ser.BldNew.Thermal.SC</t>
  </si>
  <si>
    <t>FEC.ktoe.BE.Ser.BldNew.Thermal.SC.GasHP.NG_Biogas</t>
  </si>
  <si>
    <t>FEC.ktoe.BE.Ser.BldNew.Thermal.SC.AC.Elec</t>
  </si>
  <si>
    <t>FEC.ktoe.BE.Ser.BldNew.Thermal.HW</t>
  </si>
  <si>
    <t>FEC.ktoe.BE.Ser.BldNew.Thermal.HW.Solids.Solids</t>
  </si>
  <si>
    <t>FEC.ktoe.BE.Ser.BldNew.Thermal.HW.LPG.LPG</t>
  </si>
  <si>
    <t>FEC.ktoe.BE.Ser.BldNew.Thermal.HW.Oil.Oil_LiqBio</t>
  </si>
  <si>
    <t>FEC.ktoe.BE.Ser.BldNew.Thermal.HW.Gas.NG_Biogas</t>
  </si>
  <si>
    <t>FEC.ktoe.BE.Ser.BldNew.Thermal.HW.Biomass.Biomass_Waste</t>
  </si>
  <si>
    <t>FEC.ktoe.BE.Ser.BldNew.Thermal.HW.DistrHeat.Steam_Distr</t>
  </si>
  <si>
    <t>FEC.ktoe.BE.Ser.BldNew.Thermal.HW.Elc.Elec</t>
  </si>
  <si>
    <t>FEC.ktoe.BE.Ser.BldNew.Thermal.HW.TotalSolar.Solar</t>
  </si>
  <si>
    <t>FEC.ktoe.BE.Ser.BldNew.Thermal.CA</t>
  </si>
  <si>
    <t>FEC.ktoe.BE.Ser.BldNew.Thermal.CA.LPG</t>
  </si>
  <si>
    <t>FEC.ktoe.BE.Ser.BldNew.Thermal.CA.Gas.NG_Biogas</t>
  </si>
  <si>
    <t>FEC.ktoe.BE.Ser.BldNew.Thermal.CA.Biomass.Biomass_Waste</t>
  </si>
  <si>
    <t>FEC.ktoe.BE.Ser.BldNew.Thermal.CA.Elc.Elec</t>
  </si>
  <si>
    <t>BE - Thermal energy service in new and renovated buildings</t>
  </si>
  <si>
    <t>TES.ktoe.BE.Ser.BldNew.Thermal</t>
  </si>
  <si>
    <t>TES.ktoe.BE.Ser.BldNew.Thermal.SH</t>
  </si>
  <si>
    <t>TES.ktoe.BE.Ser.BldNew.Thermal.SH.Solids.Solids</t>
  </si>
  <si>
    <t>TES.ktoe.BE.Ser.BldNew.Thermal.SH.LPG.LPG</t>
  </si>
  <si>
    <t>TES.ktoe.BE.Ser.BldNew.Thermal.SH.Oil.Oil_LiqBio</t>
  </si>
  <si>
    <t>TES.ktoe.BE.Ser.BldNew.Thermal.SH.GasHP.NG_Biogas</t>
  </si>
  <si>
    <t>TES.ktoe.BE.Ser.BldNew.Thermal.SH.GasTH.NG_Biogas</t>
  </si>
  <si>
    <t>TES.ktoe.BE.Ser.BldNew.Thermal.SH.Biomass.Biomass_Waste</t>
  </si>
  <si>
    <t>TES.ktoe.BE.Ser.BldNew.Thermal.SH.Geo.Geo</t>
  </si>
  <si>
    <t>TES.ktoe.BE.Ser.BldNew.Thermal.SH.DistrHeat.Steam_Distr</t>
  </si>
  <si>
    <t>TES.ktoe.BE.Ser.BldNew.Thermal.SH.AdvElc.Elec</t>
  </si>
  <si>
    <t>TES.ktoe.BE.Ser.BldNew.Thermal.SH.ConvElc.Elec</t>
  </si>
  <si>
    <t>TES.ktoe.BE.Ser.BldNew.Thermal.SH.TotalCirculation.Elec</t>
  </si>
  <si>
    <t>TES.ktoe.BE.Ser.BldNew.Thermal.SC</t>
  </si>
  <si>
    <t>TES.ktoe.BE.Ser.BldNew.Thermal.SC.GasHP.NG_Biogas</t>
  </si>
  <si>
    <t>TES.ktoe.BE.Ser.BldNew.Thermal.SC.AC.Elec</t>
  </si>
  <si>
    <t>TES.ktoe.BE.Ser.BldNew.Thermal.HW</t>
  </si>
  <si>
    <t>TES.ktoe.BE.Ser.BldNew.Thermal.HW.Solids.Solids</t>
  </si>
  <si>
    <t>TES.ktoe.BE.Ser.BldNew.Thermal.HW.LPG.LPG</t>
  </si>
  <si>
    <t>TES.ktoe.BE.Ser.BldNew.Thermal.HW.Oil.Oil_LiqBio</t>
  </si>
  <si>
    <t>TES.ktoe.BE.Ser.BldNew.Thermal.HW.Gas.NG_Biogas</t>
  </si>
  <si>
    <t>TES.ktoe.BE.Ser.BldNew.Thermal.HW.Biomass.Biomass_Waste</t>
  </si>
  <si>
    <t>TES.ktoe.BE.Ser.BldNew.Thermal.HW.DistrHeat.Steam_Distr</t>
  </si>
  <si>
    <t>TES.ktoe.BE.Ser.BldNew.Thermal.HW.Elc.Elec</t>
  </si>
  <si>
    <t>TES.ktoe.BE.Ser.BldNew.Thermal.HW.TotalSolar.Solar</t>
  </si>
  <si>
    <t>TES.ktoe.BE.Ser.BldNew.Thermal.CA</t>
  </si>
  <si>
    <t>TES.ktoe.BE.Ser.BldNew.Thermal.CA.LPG</t>
  </si>
  <si>
    <t>TES.ktoe.BE.Ser.BldNew.Thermal.CA.Gas.NG_Biogas</t>
  </si>
  <si>
    <t>TES.ktoe.BE.Ser.BldNew.Thermal.CA.Biomass.Biomass_Waste</t>
  </si>
  <si>
    <t>TES.ktoe.BE.Ser.BldNew.Thermal.CA.Elc.Elec</t>
  </si>
  <si>
    <t>BE - System efficiency indicator of new and renovated buildings</t>
  </si>
  <si>
    <t>Eff.ratio.BE.Ser.BldNew.Thermal</t>
  </si>
  <si>
    <t>Eff.ratio.BE.Ser.BldNew.Thermal.SH</t>
  </si>
  <si>
    <t>Eff.ratio.BE.Ser.BldNew.Thermal.SH.Solids.Solids</t>
  </si>
  <si>
    <t>Eff.ratio.BE.Ser.BldNew.Thermal.SH.LPG.LPG</t>
  </si>
  <si>
    <t>Eff.ratio.BE.Ser.BldNew.Thermal.SH.Oil.Oil_LiqBio</t>
  </si>
  <si>
    <t>Eff.ratio.BE.Ser.BldNew.Thermal.SH.GasHP.NG_Biogas</t>
  </si>
  <si>
    <t>Eff.ratio.BE.Ser.BldNew.Thermal.SH.GasTH.NG_Biogas</t>
  </si>
  <si>
    <t>Eff.ratio.BE.Ser.BldNew.Thermal.SH.Biomass.Biomass_Waste</t>
  </si>
  <si>
    <t>Eff.ratio.BE.Ser.BldNew.Thermal.SH.Geo.Geo</t>
  </si>
  <si>
    <t>Eff.ratio.BE.Ser.BldNew.Thermal.SH.DistrHeat.Steam_Distr</t>
  </si>
  <si>
    <t>Eff.ratio.BE.Ser.BldNew.Thermal.SH.AdvElc.Elec</t>
  </si>
  <si>
    <t>Eff.ratio.BE.Ser.BldNew.Thermal.SH.ConvElc.Elec</t>
  </si>
  <si>
    <t>Eff.ratio.BE.Ser.BldNew.Thermal.SH.TotalCirculation.Elec</t>
  </si>
  <si>
    <t>Eff.ratio.BE.Ser.BldNew.Thermal.SC</t>
  </si>
  <si>
    <t>Eff.ratio.BE.Ser.BldNew.Thermal.SC.GasHP.NG_Biogas</t>
  </si>
  <si>
    <t>Eff.ratio.BE.Ser.BldNew.Thermal.SC.AC.Elec</t>
  </si>
  <si>
    <t>Eff.ratio.BE.Ser.BldNew.Thermal.HW</t>
  </si>
  <si>
    <t>Eff.ratio.BE.Ser.BldNew.Thermal.HW.Solids.Solids</t>
  </si>
  <si>
    <t>Eff.ratio.BE.Ser.BldNew.Thermal.HW.LPG.LPG</t>
  </si>
  <si>
    <t>Eff.ratio.BE.Ser.BldNew.Thermal.HW.Oil.Oil_LiqBio</t>
  </si>
  <si>
    <t>Eff.ratio.BE.Ser.BldNew.Thermal.HW.Gas.NG_Biogas</t>
  </si>
  <si>
    <t>Eff.ratio.BE.Ser.BldNew.Thermal.HW.Biomass.Biomass_Waste</t>
  </si>
  <si>
    <t>Eff.ratio.BE.Ser.BldNew.Thermal.HW.DistrHeat.Steam_Distr</t>
  </si>
  <si>
    <t>Eff.ratio.BE.Ser.BldNew.Thermal.HW.Elc.Elec</t>
  </si>
  <si>
    <t>Eff.ratio.BE.Ser.BldNew.Thermal.HW.TotalSolar.Solar</t>
  </si>
  <si>
    <t>Eff.ratio.BE.Ser.BldNew.Thermal.CA</t>
  </si>
  <si>
    <t>Eff.ratio.BE.Ser.BldNew.Thermal.CA.LPG</t>
  </si>
  <si>
    <t>Eff.ratio.BE.Ser.BldNew.Thermal.CA.Gas.NG_Biogas</t>
  </si>
  <si>
    <t>Eff.ratio.BE.Ser.BldNew.Thermal.CA.Biomass.Biomass_Waste</t>
  </si>
  <si>
    <t>Eff.ratio.BE.Ser.BldNew.Thermal.CA.Elc.Elec</t>
  </si>
  <si>
    <t>BE - CO2 emissions in new and renovated buildings</t>
  </si>
  <si>
    <t>EMI.ktCO2.BE.Ser.BldNew.Thermal</t>
  </si>
  <si>
    <t>EMI.ktCO2.BE.Ser.BldNew.Thermal.SH</t>
  </si>
  <si>
    <t>EMI.ktCO2.BE.Ser.BldNew.Thermal.SH.Solids.Solids</t>
  </si>
  <si>
    <t>EMI.ktCO2.BE.Ser.BldNew.Thermal.SH.LPG.LPG</t>
  </si>
  <si>
    <t>EMI.ktCO2.BE.Ser.BldNew.Thermal.SH.Oil.Oil_LiqBio</t>
  </si>
  <si>
    <t>EMI.ktCO2.BE.Ser.BldNew.Thermal.SH.GasHP.NG_Biogas</t>
  </si>
  <si>
    <t>EMI.ktCO2.BE.Ser.BldNew.Thermal.SH.GasTH.NG_Biogas</t>
  </si>
  <si>
    <t>EMI.ktCO2.BE.Ser.BldNew.Thermal.SH.Biomass.Biomass_Waste</t>
  </si>
  <si>
    <t>EMI.ktCO2.BE.Ser.BldNew.Thermal.SH.Geo.Geo</t>
  </si>
  <si>
    <t>EMI.ktCO2.BE.Ser.BldNew.Thermal.SH.DistrHeat.Steam_Distr</t>
  </si>
  <si>
    <t>EMI.ktCO2.BE.Ser.BldNew.Thermal.SH.AdvElc.Elec</t>
  </si>
  <si>
    <t>EMI.ktCO2.BE.Ser.BldNew.Thermal.SH.ConvElc.Elec</t>
  </si>
  <si>
    <t>EMI.ktCO2.BE.Ser.BldNew.Thermal.SH.TotalCirculation.Elec</t>
  </si>
  <si>
    <t>EMI.ktCO2.BE.Ser.BldNew.Thermal.SC</t>
  </si>
  <si>
    <t>EMI.ktCO2.BE.Ser.BldNew.Thermal.SC.GasHP.NG_Biogas</t>
  </si>
  <si>
    <t>EMI.ktCO2.BE.Ser.BldNew.Thermal.SC.AC.Elec</t>
  </si>
  <si>
    <t>EMI.ktCO2.BE.Ser.BldNew.Thermal.HW</t>
  </si>
  <si>
    <t>EMI.ktCO2.BE.Ser.BldNew.Thermal.HW.Solids.Solids</t>
  </si>
  <si>
    <t>EMI.ktCO2.BE.Ser.BldNew.Thermal.HW.LPG.LPG</t>
  </si>
  <si>
    <t>EMI.ktCO2.BE.Ser.BldNew.Thermal.HW.Oil.Oil_LiqBio</t>
  </si>
  <si>
    <t>EMI.ktCO2.BE.Ser.BldNew.Thermal.HW.Gas.NG_Biogas</t>
  </si>
  <si>
    <t>EMI.ktCO2.BE.Ser.BldNew.Thermal.HW.Biomass.Biomass_Waste</t>
  </si>
  <si>
    <t>EMI.ktCO2.BE.Ser.BldNew.Thermal.HW.DistrHeat.Steam_Distr</t>
  </si>
  <si>
    <t>EMI.ktCO2.BE.Ser.BldNew.Thermal.HW.Elc.Elec</t>
  </si>
  <si>
    <t>EMI.ktCO2.BE.Ser.BldNew.Thermal.HW.TotalSolar.Solar</t>
  </si>
  <si>
    <t>EMI.ktCO2.BE.Ser.BldNew.Thermal.CA</t>
  </si>
  <si>
    <t>EMI.ktCO2.BE.Ser.BldNew.Thermal.CA.LPG</t>
  </si>
  <si>
    <t>EMI.ktCO2.BE.Ser.BldNew.Thermal.CA.Gas.NG_Biogas</t>
  </si>
  <si>
    <t>EMI.ktCO2.BE.Ser.BldNew.Thermal.CA.Biomass.Biomass_Waste</t>
  </si>
  <si>
    <t>EMI.ktCO2.BE.Ser.BldNew.Thermal.CA.Elc.Elec</t>
  </si>
  <si>
    <t>BE - Final energy consumption of new and renovated buildings (per building)</t>
  </si>
  <si>
    <t>FEC_per_building.kWh.BE.Ser.BldNew.Thermal</t>
  </si>
  <si>
    <t>FEC_per_building.kWh.BE.Ser.BldNew.Thermal.SH</t>
  </si>
  <si>
    <t>FEC_per_building.kWh.BE.Ser.BldNew.Thermal.SH.Solids.Solids</t>
  </si>
  <si>
    <t>FEC_per_building.kWh.BE.Ser.BldNew.Thermal.SH.LPG.LPG</t>
  </si>
  <si>
    <t>FEC_per_building.kWh.BE.Ser.BldNew.Thermal.SH.Oil.Oil_LiqBio</t>
  </si>
  <si>
    <t>FEC_per_building.kWh.BE.Ser.BldNew.Thermal.SH.GasHP.NG_Biogas</t>
  </si>
  <si>
    <t>FEC_per_building.kWh.BE.Ser.BldNew.Thermal.SH.GasTH.NG_Biogas</t>
  </si>
  <si>
    <t>FEC_per_building.kWh.BE.Ser.BldNew.Thermal.SH.Biomass.Biomass_Waste</t>
  </si>
  <si>
    <t>FEC_per_building.kWh.BE.Ser.BldNew.Thermal.SH.Geo.Geo</t>
  </si>
  <si>
    <t>FEC_per_building.kWh.BE.Ser.BldNew.Thermal.SH.DistrHeat.Steam_Distr</t>
  </si>
  <si>
    <t>FEC_per_building.kWh.BE.Ser.BldNew.Thermal.SH.AdvElc.Elec</t>
  </si>
  <si>
    <t>FEC_per_building.kWh.BE.Ser.BldNew.Thermal.SH.ConvElc.Elec</t>
  </si>
  <si>
    <t>FEC_per_building.kWh.BE.Ser.BldNew.Thermal.SH.TotalCirculation.Elec</t>
  </si>
  <si>
    <t>FEC_per_building.kWh.BE.Ser.BldNew.Thermal.SC</t>
  </si>
  <si>
    <t>FEC_per_building.kWh.BE.Ser.BldNew.Thermal.SC.GasHP.NG_Biogas</t>
  </si>
  <si>
    <t>FEC_per_building.kWh.BE.Ser.BldNew.Thermal.SC.AC.Elec</t>
  </si>
  <si>
    <t>FEC_per_building.kWh.BE.Ser.BldNew.Thermal.HW</t>
  </si>
  <si>
    <t>FEC_per_building.kWh.BE.Ser.BldNew.Thermal.HW.Solids.Solids</t>
  </si>
  <si>
    <t>FEC_per_building.kWh.BE.Ser.BldNew.Thermal.HW.LPG.LPG</t>
  </si>
  <si>
    <t>FEC_per_building.kWh.BE.Ser.BldNew.Thermal.HW.Oil.Oil_LiqBio</t>
  </si>
  <si>
    <t>FEC_per_building.kWh.BE.Ser.BldNew.Thermal.HW.Gas.NG_Biogas</t>
  </si>
  <si>
    <t>FEC_per_building.kWh.BE.Ser.BldNew.Thermal.HW.Biomass.Biomass_Waste</t>
  </si>
  <si>
    <t>FEC_per_building.kWh.BE.Ser.BldNew.Thermal.HW.DistrHeat.Steam_Distr</t>
  </si>
  <si>
    <t>FEC_per_building.kWh.BE.Ser.BldNew.Thermal.HW.Elc.Elec</t>
  </si>
  <si>
    <t>FEC_per_building.kWh.BE.Ser.BldNew.Thermal.HW.TotalSolar.Solar</t>
  </si>
  <si>
    <t>FEC_per_building.kWh.BE.Ser.BldNew.Thermal.CA</t>
  </si>
  <si>
    <t>FEC_per_building.kWh.BE.Ser.BldNew.Thermal.CA.LPG</t>
  </si>
  <si>
    <t>FEC_per_building.kWh.BE.Ser.BldNew.Thermal.CA.Gas.NG_Biogas</t>
  </si>
  <si>
    <t>FEC_per_building.kWh.BE.Ser.BldNew.Thermal.CA.Biomass.Biomass_Waste</t>
  </si>
  <si>
    <t>FEC_per_building.kWh.BE.Ser.BldNew.Thermal.CA.Elc.Elec</t>
  </si>
  <si>
    <t>BE - Thermal energy service of new and renovated buildings (per building)</t>
  </si>
  <si>
    <t>TES_per_building.kWh.BE.Ser.BldNew.Thermal</t>
  </si>
  <si>
    <t>TES_per_building.kWh.BE.Ser.BldNew.Thermal.SH</t>
  </si>
  <si>
    <t>TES_per_building.kWh.BE.Ser.BldNew.Thermal.SH.Solids.Solids</t>
  </si>
  <si>
    <t>TES_per_building.kWh.BE.Ser.BldNew.Thermal.SH.LPG.LPG</t>
  </si>
  <si>
    <t>TES_per_building.kWh.BE.Ser.BldNew.Thermal.SH.Oil.Oil_LiqBio</t>
  </si>
  <si>
    <t>TES_per_building.kWh.BE.Ser.BldNew.Thermal.SH.GasHP.NG_Biogas</t>
  </si>
  <si>
    <t>TES_per_building.kWh.BE.Ser.BldNew.Thermal.SH.GasTH.NG_Biogas</t>
  </si>
  <si>
    <t>TES_per_building.kWh.BE.Ser.BldNew.Thermal.SH.Biomass.Biomass_Waste</t>
  </si>
  <si>
    <t>TES_per_building.kWh.BE.Ser.BldNew.Thermal.SH.Geo.Geo</t>
  </si>
  <si>
    <t>TES_per_building.kWh.BE.Ser.BldNew.Thermal.SH.DistrHeat.Steam_Distr</t>
  </si>
  <si>
    <t>TES_per_building.kWh.BE.Ser.BldNew.Thermal.SH.AdvElc.Elec</t>
  </si>
  <si>
    <t>TES_per_building.kWh.BE.Ser.BldNew.Thermal.SH.ConvElc.Elec</t>
  </si>
  <si>
    <t>TES_per_building.kWh.BE.Ser.BldNew.Thermal.SH.TotalCirculation.Elec</t>
  </si>
  <si>
    <t>TES_per_building.kWh.BE.Ser.BldNew.Thermal.SC</t>
  </si>
  <si>
    <t>TES_per_building.kWh.BE.Ser.BldNew.Thermal.SC.GasHP.NG_Biogas</t>
  </si>
  <si>
    <t>TES_per_building.kWh.BE.Ser.BldNew.Thermal.SC.AC.Elec</t>
  </si>
  <si>
    <t>TES_per_building.kWh.BE.Ser.BldNew.Thermal.HW</t>
  </si>
  <si>
    <t>TES_per_building.kWh.BE.Ser.BldNew.Thermal.HW.Solids.Solids</t>
  </si>
  <si>
    <t>TES_per_building.kWh.BE.Ser.BldNew.Thermal.HW.LPG.LPG</t>
  </si>
  <si>
    <t>TES_per_building.kWh.BE.Ser.BldNew.Thermal.HW.Oil.Oil_LiqBio</t>
  </si>
  <si>
    <t>TES_per_building.kWh.BE.Ser.BldNew.Thermal.HW.Gas.NG_Biogas</t>
  </si>
  <si>
    <t>TES_per_building.kWh.BE.Ser.BldNew.Thermal.HW.Biomass.Biomass_Waste</t>
  </si>
  <si>
    <t>TES_per_building.kWh.BE.Ser.BldNew.Thermal.HW.DistrHeat.Steam_Distr</t>
  </si>
  <si>
    <t>TES_per_building.kWh.BE.Ser.BldNew.Thermal.HW.Elc.Elec</t>
  </si>
  <si>
    <t>TES_per_building.kWh.BE.Ser.BldNew.Thermal.HW.TotalSolar.Solar</t>
  </si>
  <si>
    <t>TES_per_building.kWh.BE.Ser.BldNew.Thermal.CA</t>
  </si>
  <si>
    <t>TES_per_building.kWh.BE.Ser.BldNew.Thermal.CA.LPG</t>
  </si>
  <si>
    <t>TES_per_building.kWh.BE.Ser.BldNew.Thermal.CA.Gas.NG_Biogas</t>
  </si>
  <si>
    <t>TES_per_building.kWh.BE.Ser.BldNew.Thermal.CA.Biomass.Biomass_Waste</t>
  </si>
  <si>
    <t>TES_per_building.kWh.BE.Ser.BldNew.Thermal.CA.Elc.Elec</t>
  </si>
  <si>
    <t>BE - CO2 emissions in new and renovated buildings (per building)</t>
  </si>
  <si>
    <t>EMI_per_building.kgCO2.BE.Ser.BldNew.Thermal</t>
  </si>
  <si>
    <t>EMI_per_building.kgCO2.BE.Ser.BldNew.Thermal.SH</t>
  </si>
  <si>
    <t>EMI_per_building.kgCO2.BE.Ser.BldNew.Thermal.SH.Solids.Solids</t>
  </si>
  <si>
    <t>EMI_per_building.kgCO2.BE.Ser.BldNew.Thermal.SH.LPG.LPG</t>
  </si>
  <si>
    <t>EMI_per_building.kgCO2.BE.Ser.BldNew.Thermal.SH.Oil.Oil_LiqBio</t>
  </si>
  <si>
    <t>EMI_per_building.kgCO2.BE.Ser.BldNew.Thermal.SH.GasHP.NG_Biogas</t>
  </si>
  <si>
    <t>EMI_per_building.kgCO2.BE.Ser.BldNew.Thermal.SH.GasTH.NG_Biogas</t>
  </si>
  <si>
    <t>EMI_per_building.kgCO2.BE.Ser.BldNew.Thermal.SH.Biomass.Biomass_Waste</t>
  </si>
  <si>
    <t>EMI_per_building.kgCO2.BE.Ser.BldNew.Thermal.SH.Geo.Geo</t>
  </si>
  <si>
    <t>EMI_per_building.kgCO2.BE.Ser.BldNew.Thermal.SH.DistrHeat.Steam_Distr</t>
  </si>
  <si>
    <t>EMI_per_building.kgCO2.BE.Ser.BldNew.Thermal.SH.AdvElc.Elec</t>
  </si>
  <si>
    <t>EMI_per_building.kgCO2.BE.Ser.BldNew.Thermal.SH.ConvElc.Elec</t>
  </si>
  <si>
    <t>EMI_per_building.kgCO2.BE.Ser.BldNew.Thermal.SH.TotalCirculation.Elec</t>
  </si>
  <si>
    <t>EMI_per_building.kgCO2.BE.Ser.BldNew.Thermal.SC</t>
  </si>
  <si>
    <t>EMI_per_building.kgCO2.BE.Ser.BldNew.Thermal.SC.GasHP.NG_Biogas</t>
  </si>
  <si>
    <t>EMI_per_building.kgCO2.BE.Ser.BldNew.Thermal.SC.AC.Elec</t>
  </si>
  <si>
    <t>EMI_per_building.kgCO2.BE.Ser.BldNew.Thermal.HW</t>
  </si>
  <si>
    <t>EMI_per_building.kgCO2.BE.Ser.BldNew.Thermal.HW.Solids.Solids</t>
  </si>
  <si>
    <t>EMI_per_building.kgCO2.BE.Ser.BldNew.Thermal.HW.LPG.LPG</t>
  </si>
  <si>
    <t>EMI_per_building.kgCO2.BE.Ser.BldNew.Thermal.HW.Oil.Oil_LiqBio</t>
  </si>
  <si>
    <t>EMI_per_building.kgCO2.BE.Ser.BldNew.Thermal.HW.Gas.NG_Biogas</t>
  </si>
  <si>
    <t>EMI_per_building.kgCO2.BE.Ser.BldNew.Thermal.HW.Biomass.Biomass_Waste</t>
  </si>
  <si>
    <t>EMI_per_building.kgCO2.BE.Ser.BldNew.Thermal.HW.DistrHeat.Steam_Distr</t>
  </si>
  <si>
    <t>EMI_per_building.kgCO2.BE.Ser.BldNew.Thermal.HW.Elc.Elec</t>
  </si>
  <si>
    <t>EMI_per_building.kgCO2.BE.Ser.BldNew.Thermal.HW.TotalSolar.Solar</t>
  </si>
  <si>
    <t>EMI_per_building.kgCO2.BE.Ser.BldNew.Thermal.CA</t>
  </si>
  <si>
    <t>EMI_per_building.kgCO2.BE.Ser.BldNew.Thermal.CA.LPG</t>
  </si>
  <si>
    <t>EMI_per_building.kgCO2.BE.Ser.BldNew.Thermal.CA.Gas.NG_Biogas</t>
  </si>
  <si>
    <t>EMI_per_building.kgCO2.BE.Ser.BldNew.Thermal.CA.Biomass.Biomass_Waste</t>
  </si>
  <si>
    <t>EMI_per_building.kgCO2.BE.Ser.BldNew.Thermal.CA.Elc.Elec</t>
  </si>
  <si>
    <t>BE - Final energy consumption in new and renovated buildings per surface area</t>
  </si>
  <si>
    <t>FEC_per_sqm.kWh.BE.Ser.BldNew.Thermal</t>
  </si>
  <si>
    <t>FEC_per_sqm.kWh.BE.Ser.BldNew.Thermal.SH</t>
  </si>
  <si>
    <t>FEC_per_sqm.kWh.BE.Ser.BldNew.Thermal.SH.Solids.Solids</t>
  </si>
  <si>
    <t>FEC_per_sqm.kWh.BE.Ser.BldNew.Thermal.SH.LPG.LPG</t>
  </si>
  <si>
    <t>FEC_per_sqm.kWh.BE.Ser.BldNew.Thermal.SH.Oil.Oil_LiqBio</t>
  </si>
  <si>
    <t>FEC_per_sqm.kWh.BE.Ser.BldNew.Thermal.SH.GasHP.NG_Biogas</t>
  </si>
  <si>
    <t>FEC_per_sqm.kWh.BE.Ser.BldNew.Thermal.SH.GasTH.NG_Biogas</t>
  </si>
  <si>
    <t>FEC_per_sqm.kWh.BE.Ser.BldNew.Thermal.SH.Biomass.Biomass_Waste</t>
  </si>
  <si>
    <t>FEC_per_sqm.kWh.BE.Ser.BldNew.Thermal.SH.Geo.Geo</t>
  </si>
  <si>
    <t>FEC_per_sqm.kWh.BE.Ser.BldNew.Thermal.SH.DistrHeat.Steam_Distr</t>
  </si>
  <si>
    <t>FEC_per_sqm.kWh.BE.Ser.BldNew.Thermal.SH.AdvElc.Elec</t>
  </si>
  <si>
    <t>FEC_per_sqm.kWh.BE.Ser.BldNew.Thermal.SH.ConvElc.Elec</t>
  </si>
  <si>
    <t>FEC_per_sqm.kWh.BE.Ser.BldNew.Thermal.SH.TotalCirculation.Elec</t>
  </si>
  <si>
    <t>FEC_per_sqm.kWh.BE.Ser.BldNew.Thermal.SC</t>
  </si>
  <si>
    <t>FEC_per_sqm.kWh.BE.Ser.BldNew.Thermal.SC.GasHP.NG_Biogas</t>
  </si>
  <si>
    <t>FEC_per_sqm.kWh.BE.Ser.BldNew.Thermal.SC.AC.Elec</t>
  </si>
  <si>
    <t>FEC_per_sqm.kWh.BE.Ser.BldNew.Thermal.HW</t>
  </si>
  <si>
    <t>FEC_per_sqm.kWh.BE.Ser.BldNew.Thermal.HW.Solids.Solids</t>
  </si>
  <si>
    <t>FEC_per_sqm.kWh.BE.Ser.BldNew.Thermal.HW.LPG.LPG</t>
  </si>
  <si>
    <t>FEC_per_sqm.kWh.BE.Ser.BldNew.Thermal.HW.Oil.Oil_LiqBio</t>
  </si>
  <si>
    <t>FEC_per_sqm.kWh.BE.Ser.BldNew.Thermal.HW.Gas.NG_Biogas</t>
  </si>
  <si>
    <t>FEC_per_sqm.kWh.BE.Ser.BldNew.Thermal.HW.Biomass.Biomass_Waste</t>
  </si>
  <si>
    <t>FEC_per_sqm.kWh.BE.Ser.BldNew.Thermal.HW.DistrHeat.Steam_Distr</t>
  </si>
  <si>
    <t>FEC_per_sqm.kWh.BE.Ser.BldNew.Thermal.HW.Elc.Elec</t>
  </si>
  <si>
    <t>FEC_per_sqm.kWh.BE.Ser.BldNew.Thermal.HW.TotalSolar.Solar</t>
  </si>
  <si>
    <t>FEC_per_sqm.kWh.BE.Ser.BldNew.Thermal.CA</t>
  </si>
  <si>
    <t>FEC_per_sqm.kWh.BE.Ser.BldNew.Thermal.CA.LPG</t>
  </si>
  <si>
    <t>FEC_per_sqm.kWh.BE.Ser.BldNew.Thermal.CA.Gas.NG_Biogas</t>
  </si>
  <si>
    <t>FEC_per_sqm.kWh.BE.Ser.BldNew.Thermal.CA.Biomass.Biomass_Waste</t>
  </si>
  <si>
    <t>FEC_per_sqm.kWh.BE.Ser.BldNew.Thermal.CA.Elc.Elec</t>
  </si>
  <si>
    <t>BE - Thermal energy service in new and renovated buildings per surface area</t>
  </si>
  <si>
    <t>TES_per_sqm.kWh.BE.Ser.BldNew.Thermal</t>
  </si>
  <si>
    <t>TES_per_sqm.kWh.BE.Ser.BldNew.Thermal.SH</t>
  </si>
  <si>
    <t>TES_per_sqm.kWh.BE.Ser.BldNew.Thermal.SH.Solids.Solids</t>
  </si>
  <si>
    <t>TES_per_sqm.kWh.BE.Ser.BldNew.Thermal.SH.LPG.LPG</t>
  </si>
  <si>
    <t>TES_per_sqm.kWh.BE.Ser.BldNew.Thermal.SH.Oil.Oil_LiqBio</t>
  </si>
  <si>
    <t>TES_per_sqm.kWh.BE.Ser.BldNew.Thermal.SH.GasHP.NG_Biogas</t>
  </si>
  <si>
    <t>TES_per_sqm.kWh.BE.Ser.BldNew.Thermal.SH.GasTH.NG_Biogas</t>
  </si>
  <si>
    <t>TES_per_sqm.kWh.BE.Ser.BldNew.Thermal.SH.Biomass.Biomass_Waste</t>
  </si>
  <si>
    <t>TES_per_sqm.kWh.BE.Ser.BldNew.Thermal.SH.Geo.Geo</t>
  </si>
  <si>
    <t>TES_per_sqm.kWh.BE.Ser.BldNew.Thermal.SH.DistrHeat.Steam_Distr</t>
  </si>
  <si>
    <t>TES_per_sqm.kWh.BE.Ser.BldNew.Thermal.SH.AdvElc.Elec</t>
  </si>
  <si>
    <t>TES_per_sqm.kWh.BE.Ser.BldNew.Thermal.SH.ConvElc.Elec</t>
  </si>
  <si>
    <t>TES_per_sqm.kWh.BE.Ser.BldNew.Thermal.SH.TotalCirculation.Elec</t>
  </si>
  <si>
    <t>TES_per_sqm.kWh.BE.Ser.BldNew.Thermal.SC</t>
  </si>
  <si>
    <t>TES_per_sqm.kWh.BE.Ser.BldNew.Thermal.SC.GasHP.NG_Biogas</t>
  </si>
  <si>
    <t>TES_per_sqm.kWh.BE.Ser.BldNew.Thermal.SC.AC.Elec</t>
  </si>
  <si>
    <t>TES_per_sqm.kWh.BE.Ser.BldNew.Thermal.HW</t>
  </si>
  <si>
    <t>TES_per_sqm.kWh.BE.Ser.BldNew.Thermal.HW.Solids.Solids</t>
  </si>
  <si>
    <t>TES_per_sqm.kWh.BE.Ser.BldNew.Thermal.HW.LPG.LPG</t>
  </si>
  <si>
    <t>TES_per_sqm.kWh.BE.Ser.BldNew.Thermal.HW.Oil.Oil_LiqBio</t>
  </si>
  <si>
    <t>TES_per_sqm.kWh.BE.Ser.BldNew.Thermal.HW.Gas.NG_Biogas</t>
  </si>
  <si>
    <t>TES_per_sqm.kWh.BE.Ser.BldNew.Thermal.HW.Biomass.Biomass_Waste</t>
  </si>
  <si>
    <t>TES_per_sqm.kWh.BE.Ser.BldNew.Thermal.HW.DistrHeat.Steam_Distr</t>
  </si>
  <si>
    <t>TES_per_sqm.kWh.BE.Ser.BldNew.Thermal.HW.Elc.Elec</t>
  </si>
  <si>
    <t>TES_per_sqm.kWh.BE.Ser.BldNew.Thermal.HW.TotalSolar.Solar</t>
  </si>
  <si>
    <t>TES_per_sqm.kWh.BE.Ser.BldNew.Thermal.CA</t>
  </si>
  <si>
    <t>TES_per_sqm.kWh.BE.Ser.BldNew.Thermal.CA.LPG</t>
  </si>
  <si>
    <t>TES_per_sqm.kWh.BE.Ser.BldNew.Thermal.CA.Gas.NG_Biogas</t>
  </si>
  <si>
    <t>TES_per_sqm.kWh.BE.Ser.BldNew.Thermal.CA.Biomass.Biomass_Waste</t>
  </si>
  <si>
    <t>TES_per_sqm.kWh.BE.Ser.BldNew.Thermal.CA.Elc.Elec</t>
  </si>
  <si>
    <t>BE - CO2 emissions in new and renovated buildings per surface area</t>
  </si>
  <si>
    <t>EMI_per_sqm.kgCO2.BE.Ser.BldNew.Thermal</t>
  </si>
  <si>
    <t>EMI_per_sqm.kgCO2.BE.Ser.BldNew.Thermal.SH</t>
  </si>
  <si>
    <t>EMI_per_sqm.kgCO2.BE.Ser.BldNew.Thermal.SH.Solids.Solids</t>
  </si>
  <si>
    <t>EMI_per_sqm.kgCO2.BE.Ser.BldNew.Thermal.SH.LPG.LPG</t>
  </si>
  <si>
    <t>EMI_per_sqm.kgCO2.BE.Ser.BldNew.Thermal.SH.Oil.Oil_LiqBio</t>
  </si>
  <si>
    <t>EMI_per_sqm.kgCO2.BE.Ser.BldNew.Thermal.SH.GasHP.NG_Biogas</t>
  </si>
  <si>
    <t>EMI_per_sqm.kgCO2.BE.Ser.BldNew.Thermal.SH.GasTH.NG_Biogas</t>
  </si>
  <si>
    <t>EMI_per_sqm.kgCO2.BE.Ser.BldNew.Thermal.SH.Biomass.Biomass_Waste</t>
  </si>
  <si>
    <t>EMI_per_sqm.kgCO2.BE.Ser.BldNew.Thermal.SH.Geo.Geo</t>
  </si>
  <si>
    <t>EMI_per_sqm.kgCO2.BE.Ser.BldNew.Thermal.SH.DistrHeat.Steam_Distr</t>
  </si>
  <si>
    <t>EMI_per_sqm.kgCO2.BE.Ser.BldNew.Thermal.SH.AdvElc.Elec</t>
  </si>
  <si>
    <t>EMI_per_sqm.kgCO2.BE.Ser.BldNew.Thermal.SH.ConvElc.Elec</t>
  </si>
  <si>
    <t>EMI_per_sqm.kgCO2.BE.Ser.BldNew.Thermal.SH.TotalCirculation.Elec</t>
  </si>
  <si>
    <t>EMI_per_sqm.kgCO2.BE.Ser.BldNew.Thermal.SC</t>
  </si>
  <si>
    <t>EMI_per_sqm.kgCO2.BE.Ser.BldNew.Thermal.SC.GasHP.NG_Biogas</t>
  </si>
  <si>
    <t>EMI_per_sqm.kgCO2.BE.Ser.BldNew.Thermal.SC.AC.Elec</t>
  </si>
  <si>
    <t>EMI_per_sqm.kgCO2.BE.Ser.BldNew.Thermal.HW</t>
  </si>
  <si>
    <t>EMI_per_sqm.kgCO2.BE.Ser.BldNew.Thermal.HW.Solids.Solids</t>
  </si>
  <si>
    <t>EMI_per_sqm.kgCO2.BE.Ser.BldNew.Thermal.HW.LPG.LPG</t>
  </si>
  <si>
    <t>EMI_per_sqm.kgCO2.BE.Ser.BldNew.Thermal.HW.Oil.Oil_LiqBio</t>
  </si>
  <si>
    <t>EMI_per_sqm.kgCO2.BE.Ser.BldNew.Thermal.HW.Gas.NG_Biogas</t>
  </si>
  <si>
    <t>EMI_per_sqm.kgCO2.BE.Ser.BldNew.Thermal.HW.Biomass.Biomass_Waste</t>
  </si>
  <si>
    <t>EMI_per_sqm.kgCO2.BE.Ser.BldNew.Thermal.HW.DistrHeat.Steam_Distr</t>
  </si>
  <si>
    <t>EMI_per_sqm.kgCO2.BE.Ser.BldNew.Thermal.HW.Elc.Elec</t>
  </si>
  <si>
    <t>EMI_per_sqm.kgCO2.BE.Ser.BldNew.Thermal.HW.TotalSolar.Solar</t>
  </si>
  <si>
    <t>EMI_per_sqm.kgCO2.BE.Ser.BldNew.Thermal.CA</t>
  </si>
  <si>
    <t>EMI_per_sqm.kgCO2.BE.Ser.BldNew.Thermal.CA.LPG</t>
  </si>
  <si>
    <t>EMI_per_sqm.kgCO2.BE.Ser.BldNew.Thermal.CA.Gas.NG_Biogas</t>
  </si>
  <si>
    <t>EMI_per_sqm.kgCO2.BE.Ser.BldNew.Thermal.CA.Biomass.Biomass_Waste</t>
  </si>
  <si>
    <t>EMI_per_sqm.kgCO2.BE.Ser.BldNew.Thermal.CA.Elc.Elec</t>
  </si>
  <si>
    <t>FEC.ktoe.BE.Ser.SEU.VE</t>
  </si>
  <si>
    <t>FEC.ktoe.BE.Ser.SEU.SL</t>
  </si>
  <si>
    <t>FEC.ktoe.BE.Ser.SEU.BL</t>
  </si>
  <si>
    <t>FEC.ktoe.BE.Ser.SEU.CR</t>
  </si>
  <si>
    <t>FEC.ktoe.BE.Ser.SEU.BT</t>
  </si>
  <si>
    <t>FEC.ktoe.BE.Ser.SEU.IT</t>
  </si>
  <si>
    <t>Size.MW.BE.Ser.SEU</t>
  </si>
  <si>
    <t>Size.MW.BE.Ser.SEU.VE</t>
  </si>
  <si>
    <t>Size.MW.BE.Ser.SEU.SL</t>
  </si>
  <si>
    <t>Size.MW.BE.Ser.SEU.BL</t>
  </si>
  <si>
    <t>Size.MW.BE.Ser.SEU.CR</t>
  </si>
  <si>
    <t>Size.MW.BE.Ser.SEU.BT</t>
  </si>
  <si>
    <t>Size.MW.BE.Ser.SEU.IT</t>
  </si>
  <si>
    <t>NUM.Msqm.BE.Ser.SEU.VE</t>
  </si>
  <si>
    <t>NUM.k.BE.Ser.SEU.SL</t>
  </si>
  <si>
    <t>NUM.M.BE.Ser.SEU.BL</t>
  </si>
  <si>
    <t>NUM.k.BE.Ser.SEU.CR</t>
  </si>
  <si>
    <t>NUM.Msqm.BE.Ser.SEU.BT</t>
  </si>
  <si>
    <t>NUM.k.BE.Ser.SEU.IT</t>
  </si>
  <si>
    <t>NUM.Msqm.BE.Ser.SEUnew.VE</t>
  </si>
  <si>
    <t>NUM.k.BE.Ser.SEUnew.SL</t>
  </si>
  <si>
    <t>NUM.M.BE.Ser.SEUnew.BL</t>
  </si>
  <si>
    <t>NUM.k.BE.Ser.SEUnew.CR</t>
  </si>
  <si>
    <t>NUM.Msqm.BE.Ser.SEUnew.BT</t>
  </si>
  <si>
    <t>NUM.k.BE.Ser.SEUnew.IT</t>
  </si>
  <si>
    <t>NUM.Msqm.BE.Ser.SEUrepl.VE</t>
  </si>
  <si>
    <t>NUM.k.BE.Ser.SEUrepl.SL</t>
  </si>
  <si>
    <t>NUM.M.BE.Ser.SEUrepl.BL</t>
  </si>
  <si>
    <t>NUM.k.BE.Ser.SEUrepl.CR</t>
  </si>
  <si>
    <t>NUM.Msqm.BE.Ser.SEUrepl.BT</t>
  </si>
  <si>
    <t>NUM.k.BE.Ser.SEUrepl.IT</t>
  </si>
  <si>
    <t>Op.hours.BE.Ser.SEU.VE</t>
  </si>
  <si>
    <t>Op.hours.BE.Ser.SEU.SL</t>
  </si>
  <si>
    <t>Op.hours.BE.Ser.SEU.BL</t>
  </si>
  <si>
    <t>Op.hours.BE.Ser.SEU.CR</t>
  </si>
  <si>
    <t>Op.hours.BE.Ser.SEU.BT</t>
  </si>
  <si>
    <t>Op.hours.BE.Ser.SEU.IT</t>
  </si>
  <si>
    <t>Size_per_appl.W.BE.Ser.SEU.VE</t>
  </si>
  <si>
    <t>Size_per_appl.W.BE.Ser.SEU.SL</t>
  </si>
  <si>
    <t>Size_per_appl.W.BE.Ser.SEU.BL</t>
  </si>
  <si>
    <t>Size_per_appl.W.BE.Ser.SEU.CR</t>
  </si>
  <si>
    <t>Size_per_appl.W.BE.Ser.SEU.BT</t>
  </si>
  <si>
    <t>Size_per_appl.W.BE.Ser.SEU.IT</t>
  </si>
  <si>
    <t>Size_per_appl.W.BE.Ser.SEUnew.VE</t>
  </si>
  <si>
    <t>Size_per_appl.W.BE.Ser.SEUnew.SL</t>
  </si>
  <si>
    <t>Size_per_appl.W.BE.Ser.SEUnew.BL</t>
  </si>
  <si>
    <t>Size_per_appl.W.BE.Ser.SEUnew.CR</t>
  </si>
  <si>
    <t>Size_per_appl.W.BE.Ser.SEUnew.BT</t>
  </si>
  <si>
    <t>Size_per_appl.W.BE.Ser.SEUnew.IT</t>
  </si>
  <si>
    <t>NUM.sqm_per_building.BE.Ser.SEU.VE</t>
  </si>
  <si>
    <t>NUM.number_per_capita.BE.Ser.SEU.SL</t>
  </si>
  <si>
    <t>NUM.number_per_building.BE.Ser.SEU.BL</t>
  </si>
  <si>
    <t>NUM.number_per_capita.BE.Ser.SEU.CR</t>
  </si>
  <si>
    <t>NUM.sqm_per_building.BE.Ser.SEU.BT</t>
  </si>
  <si>
    <t>NUM.number_per_capita.BE.Ser.SEU.IT</t>
  </si>
  <si>
    <t>Lumens_per_sqm.lumen.BE.Ser.SEU.BL</t>
  </si>
  <si>
    <t>FEC.ktoe.BE.Ser.SEU.IT.DataCenters</t>
  </si>
  <si>
    <t>BE - Services / specific electric uses</t>
  </si>
  <si>
    <t>BE - Ventilation and others</t>
  </si>
  <si>
    <t>BE - Street lighting</t>
  </si>
  <si>
    <t>BE - Building lighting</t>
  </si>
  <si>
    <t>BE - Commercial refrigeration</t>
  </si>
  <si>
    <t>BE - Miscellaneous building technologies</t>
  </si>
  <si>
    <t>BE - ICT and multimedia</t>
  </si>
  <si>
    <t>BE - Agriculture, forestry and fishing</t>
  </si>
  <si>
    <t>VA.Meuro2015.Meuro2023.BE.AGR.AGR</t>
  </si>
  <si>
    <t>OUTPUT.index.index.BE.AGR.AGR</t>
  </si>
  <si>
    <t>CAP.index.index.BE.AGR.AGR</t>
  </si>
  <si>
    <t>NEWCAP.index.index.BE.AGR.AGR</t>
  </si>
  <si>
    <t>CAPOUT.index.BE.AGR.AGR</t>
  </si>
  <si>
    <t>CAPIDLE.index.BE.AGR.AGR</t>
  </si>
  <si>
    <t>FEC.ktoe.BE.ES.AGR</t>
  </si>
  <si>
    <t>FEC.ktoe.BE.ES.AGR.Solids</t>
  </si>
  <si>
    <t>FEC.ktoe.BE.ES.AGR.LPG</t>
  </si>
  <si>
    <t>FEC.ktoe.BE.ES.AGR.Diesel</t>
  </si>
  <si>
    <t>FEC.ktoe.BE.ES.AGR.RFO</t>
  </si>
  <si>
    <t>FEC.ktoe.BE.ES.AGR.NG</t>
  </si>
  <si>
    <t>FEC.ktoe.BE.ES.AGR.Biomass_Waste</t>
  </si>
  <si>
    <t>FEC.ktoe.BE.ES.AGR.Biogas</t>
  </si>
  <si>
    <t>FEC.ktoe.BE.ES.AGR.LiqBio</t>
  </si>
  <si>
    <t>FEC.ktoe.BE.ES.AGR.Solar</t>
  </si>
  <si>
    <t>FEC.ktoe.BE.ES.AGR.Geo</t>
  </si>
  <si>
    <t>FEC.ktoe.BE.ES.AGR.Ambient</t>
  </si>
  <si>
    <t>FEC.ktoe.BE.ES.AGR.Steam_Distr</t>
  </si>
  <si>
    <t>FEC.ktoe.BE.ES.AGR.Elec</t>
  </si>
  <si>
    <t>BE - Agriculture, forestry and fishing / final energy consumption</t>
  </si>
  <si>
    <t>FEC.ktoe.ktoe.BE.AGR.AGR.LIGHT.GENERIC.ELEC</t>
  </si>
  <si>
    <t>FEC.ktoe.ktoe.BE.AGR.AGR.FANS.GENERIC.ELEC</t>
  </si>
  <si>
    <t>FEC.ktoe.ktoe.BE.AGR.AGR.MOTOR.GENERIC.ELEC</t>
  </si>
  <si>
    <t>FEC.ktoe.ktoe.BE.AGR.AGR.LOW_ENTH.THERM.DIESEL_LIQBIO</t>
  </si>
  <si>
    <t>FEC.ktoe.ktoe.BE.AGR.AGR.LOW_ENTH.THERM.NG_BIOGAS</t>
  </si>
  <si>
    <t>FEC.ktoe.ktoe.BE.AGR.AGR.LOW_ENTH.THERM.SOLAR_GEO</t>
  </si>
  <si>
    <t>FEC.ktoe.ktoe.BE.AGR.AGR.LOW_ENTH.HP.AMBIENT</t>
  </si>
  <si>
    <t>FEC.ktoe.ktoe.BE.AGR.AGR.LOW_ENTH.THERM.STEAM_DISTR</t>
  </si>
  <si>
    <t>FEC.ktoe.ktoe.BE.AGR.AGR.LOW_ENTH.THERM.ELEC</t>
  </si>
  <si>
    <t>FEC.ktoe.ktoe.BE.AGR.AGR.FARM_DRIVES.MECH.DIESEL_LIQBIO</t>
  </si>
  <si>
    <t>FEC.ktoe.ktoe.BE.AGR.AGR.HEAT_USE.THERM.SOLIDS</t>
  </si>
  <si>
    <t>FEC.ktoe.ktoe.BE.AGR.AGR.HEAT_USE.THERM.LPG</t>
  </si>
  <si>
    <t>FEC.ktoe.ktoe.BE.AGR.AGR.HEAT_USE.THERM.DIESEL_LIQBIO</t>
  </si>
  <si>
    <t>FEC.ktoe.ktoe.BE.AGR.AGR.HEAT_USE.THERM.RFO</t>
  </si>
  <si>
    <t>FEC.ktoe.ktoe.BE.AGR.AGR.HEAT_USE.THERM.NG_BIOGAS</t>
  </si>
  <si>
    <t>FEC.ktoe.ktoe.BE.AGR.AGR.HEAT_USE.THERM.BIOMASS_WASTE</t>
  </si>
  <si>
    <t>FEC.ktoe.ktoe.BE.AGR.AGR.HEAT_USE.THERM.SOLAR_GEO</t>
  </si>
  <si>
    <t>FEC.ktoe.ktoe.BE.AGR.AGR.FARM_PUMP.MECH.DIESEL_LIQBIO</t>
  </si>
  <si>
    <t>FEC.ktoe.ktoe.BE.AGR.AGR.FARM_PUMP_ELEC.MECH.ELEC</t>
  </si>
  <si>
    <t>FEC.ktoe.ktoe.BE.AGR.AGR.GENERIC.MECH.ELEC</t>
  </si>
  <si>
    <t>BE - Agriculture, forestry and fishing / useful energy demand</t>
  </si>
  <si>
    <t>UED.ktoe.ktoe.BE.AGR.AGR.LIGHT.GENERIC.ELEC</t>
  </si>
  <si>
    <t>UED.ktoe.ktoe.BE.AGR.AGR.FANS.GENERIC.ELEC</t>
  </si>
  <si>
    <t>UED.ktoe.ktoe.BE.AGR.AGR.MOTOR.GENERIC.ELEC</t>
  </si>
  <si>
    <t>UED.ktoe.ktoe.BE.AGR.AGR.LOW_ENTH.THERM.DIESEL_LIQBIO</t>
  </si>
  <si>
    <t>UED.ktoe.ktoe.BE.AGR.AGR.LOW_ENTH.THERM.NG_BIOGAS</t>
  </si>
  <si>
    <t>UED.ktoe.ktoe.BE.AGR.AGR.LOW_ENTH.THERM.SOLAR_GEO</t>
  </si>
  <si>
    <t>UED.ktoe.ktoe.BE.AGR.AGR.LOW_ENTH.HP.AMBIENT</t>
  </si>
  <si>
    <t>UED.ktoe.ktoe.BE.AGR.AGR.LOW_ENTH.THERM.STEAM_DISTR</t>
  </si>
  <si>
    <t>UED.ktoe.ktoe.BE.AGR.AGR.LOW_ENTH.THERM.ELEC</t>
  </si>
  <si>
    <t>UED.ktoe.ktoe.BE.AGR.AGR.FARM_DRIVES.MECH.DIESEL_LIQBIO</t>
  </si>
  <si>
    <t>UED.ktoe.ktoe.BE.AGR.AGR.HEAT_USE.THERM.SOLIDS</t>
  </si>
  <si>
    <t>UED.ktoe.ktoe.BE.AGR.AGR.HEAT_USE.THERM.LPG</t>
  </si>
  <si>
    <t>UED.ktoe.ktoe.BE.AGR.AGR.HEAT_USE.THERM.DIESEL_LIQBIO</t>
  </si>
  <si>
    <t>UED.ktoe.ktoe.BE.AGR.AGR.HEAT_USE.THERM.RFO</t>
  </si>
  <si>
    <t>UED.ktoe.ktoe.BE.AGR.AGR.HEAT_USE.THERM.NG_BIOGAS</t>
  </si>
  <si>
    <t>UED.ktoe.ktoe.BE.AGR.AGR.HEAT_USE.THERM.BIOMASS_WASTE</t>
  </si>
  <si>
    <t>UED.ktoe.ktoe.BE.AGR.AGR.HEAT_USE.THERM.SOLAR_GEO</t>
  </si>
  <si>
    <t>UED.ktoe.ktoe.BE.AGR.AGR.FARM_PUMP.MECH.DIESEL_LIQBIO</t>
  </si>
  <si>
    <t>UED.ktoe.ktoe.BE.AGR.AGR.FARM_PUMP_ELEC.MECH.ELEC</t>
  </si>
  <si>
    <t>UED.ktoe.ktoe.BE.AGR.AGR.GENERIC.MECH.ELEC</t>
  </si>
  <si>
    <t>BE - Agriculture, forestry and fishing / CO2 emissions</t>
  </si>
  <si>
    <t>FUEL_EMI.ktCO2.ktCO2.BE.AGR.AGR.LIGHT.GENERIC.ELEC</t>
  </si>
  <si>
    <t>FUEL_EMI.ktCO2.ktCO2.BE.AGR.AGR.FANS.GENERIC.ELEC</t>
  </si>
  <si>
    <t>FUEL_EMI.ktCO2.ktCO2.BE.AGR.AGR.MOTOR.GENERIC.ELEC</t>
  </si>
  <si>
    <t>FUEL_EMI.ktCO2.ktCO2.BE.AGR.AGR.LOW_ENTH.THERM.DIESEL_LIQBIO</t>
  </si>
  <si>
    <t>FUEL_EMI.ktCO2.ktCO2.BE.AGR.AGR.LOW_ENTH.THERM.NG_BIOGAS</t>
  </si>
  <si>
    <t>FUEL_EMI.ktCO2.ktCO2.BE.AGR.AGR.LOW_ENTH.THERM.SOLAR_GEO</t>
  </si>
  <si>
    <t>FUEL_EMI.ktCO2.ktCO2.BE.AGR.AGR.LOW_ENTH.HP.AMBIENT</t>
  </si>
  <si>
    <t>FUEL_EMI.ktCO2.ktCO2.BE.AGR.AGR.LOW_ENTH.THERM.STEAM_DISTR</t>
  </si>
  <si>
    <t>FUEL_EMI.ktCO2.ktCO2.BE.AGR.AGR.LOW_ENTH.THERM.ELEC</t>
  </si>
  <si>
    <t>FUEL_EMI.ktCO2.ktCO2.BE.AGR.AGR.FARM_DRIVES.MECH.DIESEL_LIQBIO</t>
  </si>
  <si>
    <t>FUEL_EMI.ktCO2.ktCO2.BE.AGR.AGR.HEAT_USE.THERM.SOLIDS</t>
  </si>
  <si>
    <t>FUEL_EMI.ktCO2.ktCO2.BE.AGR.AGR.HEAT_USE.THERM.LPG</t>
  </si>
  <si>
    <t>FUEL_EMI.ktCO2.ktCO2.BE.AGR.AGR.HEAT_USE.THERM.DIESEL_LIQBIO</t>
  </si>
  <si>
    <t>FUEL_EMI.ktCO2.ktCO2.BE.AGR.AGR.HEAT_USE.THERM.RFO</t>
  </si>
  <si>
    <t>FUEL_EMI.ktCO2.ktCO2.BE.AGR.AGR.HEAT_USE.THERM.NG_BIOGAS</t>
  </si>
  <si>
    <t>FUEL_EMI.ktCO2.ktCO2.BE.AGR.AGR.HEAT_USE.THERM.BIOMASS_WASTE</t>
  </si>
  <si>
    <t>FUEL_EMI.ktCO2.ktCO2.BE.AGR.AGR.HEAT_USE.THERM.SOLAR_GEO</t>
  </si>
  <si>
    <t>FUEL_EMI.ktCO2.ktCO2.BE.AGR.AGR.FARM_PUMP.MECH.DIESEL_LIQBIO</t>
  </si>
  <si>
    <t>FUEL_EMI.ktCO2.ktCO2.BE.AGR.AGR.FARM_PUMP_ELEC.MECH.ELEC</t>
  </si>
  <si>
    <t>FUEL_EMI.ktCO2.ktCO2.BE.AGR.AGR.GENERIC.MECH.ELEC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</si>
</sst>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45967.471782407411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10239085</v>
      </c>
      <c r="C3" s="34">
        <v>10263414</v>
      </c>
      <c r="D3" s="34">
        <v>10309725</v>
      </c>
      <c r="E3" s="34">
        <v>10355844</v>
      </c>
      <c r="F3" s="34">
        <v>10396421</v>
      </c>
      <c r="G3" s="34">
        <v>10445852</v>
      </c>
      <c r="H3" s="34">
        <v>10511382</v>
      </c>
      <c r="I3" s="34">
        <v>10584534</v>
      </c>
      <c r="J3" s="34">
        <v>10666866</v>
      </c>
      <c r="K3" s="34">
        <v>10753080</v>
      </c>
      <c r="L3" s="34">
        <v>10839905</v>
      </c>
      <c r="M3" s="34">
        <v>11000638</v>
      </c>
      <c r="N3" s="34">
        <v>11075889</v>
      </c>
      <c r="O3" s="34">
        <v>11137974</v>
      </c>
      <c r="P3" s="34">
        <v>11180840</v>
      </c>
      <c r="Q3" s="34">
        <v>11237274</v>
      </c>
      <c r="R3" s="34">
        <v>11311117</v>
      </c>
      <c r="S3" s="34">
        <v>11351727</v>
      </c>
      <c r="T3" s="34">
        <v>11398589</v>
      </c>
      <c r="U3" s="34">
        <v>11455519</v>
      </c>
      <c r="V3" s="34">
        <v>11522440</v>
      </c>
      <c r="W3" s="34">
        <v>11554767</v>
      </c>
      <c r="X3" s="34">
        <v>11617623</v>
      </c>
      <c r="Y3" s="34">
        <v>11742796</v>
      </c>
      <c r="DA3" s="88" t="s">
        <v>188</v>
      </c>
    </row>
    <row r="4" spans="1:105" ht="12" customHeight="1" x14ac:dyDescent="0.25">
      <c r="A4" s="35" t="s">
        <v>178</v>
      </c>
      <c r="B4" s="36">
        <v>415966.89683475561</v>
      </c>
      <c r="C4" s="36">
        <v>420543.61133340944</v>
      </c>
      <c r="D4" s="36">
        <v>427719.26228622755</v>
      </c>
      <c r="E4" s="36">
        <v>432159.76358358853</v>
      </c>
      <c r="F4" s="36">
        <v>447596.24596036685</v>
      </c>
      <c r="G4" s="36">
        <v>457984.95721803006</v>
      </c>
      <c r="H4" s="36">
        <v>469673.25890688493</v>
      </c>
      <c r="I4" s="36">
        <v>486943.16625484196</v>
      </c>
      <c r="J4" s="36">
        <v>489120.88362348865</v>
      </c>
      <c r="K4" s="36">
        <v>479798.76029974496</v>
      </c>
      <c r="L4" s="36">
        <v>492802.11561091122</v>
      </c>
      <c r="M4" s="36">
        <v>502315.82036696473</v>
      </c>
      <c r="N4" s="36">
        <v>503399.50007445639</v>
      </c>
      <c r="O4" s="36">
        <v>504941.94902310689</v>
      </c>
      <c r="P4" s="36">
        <v>513852.44722876704</v>
      </c>
      <c r="Q4" s="36">
        <v>521429.54854000005</v>
      </c>
      <c r="R4" s="36">
        <v>527654.32169684477</v>
      </c>
      <c r="S4" s="36">
        <v>535433.09670888039</v>
      </c>
      <c r="T4" s="36">
        <v>545485.9418491784</v>
      </c>
      <c r="U4" s="36">
        <v>558811.309450033</v>
      </c>
      <c r="V4" s="36">
        <v>532029.4954671372</v>
      </c>
      <c r="W4" s="36">
        <v>565055.04407051136</v>
      </c>
      <c r="X4" s="36">
        <v>589123.7167610561</v>
      </c>
      <c r="Y4" s="36">
        <v>596202.69999999995</v>
      </c>
      <c r="DA4" s="89" t="s">
        <v>189</v>
      </c>
    </row>
    <row r="5" spans="1:105" ht="12" customHeight="1" x14ac:dyDescent="0.25">
      <c r="A5" s="35" t="s">
        <v>179</v>
      </c>
      <c r="B5" s="36">
        <v>266428.66414277983</v>
      </c>
      <c r="C5" s="36">
        <v>273795.3269553585</v>
      </c>
      <c r="D5" s="36">
        <v>280575.51094867842</v>
      </c>
      <c r="E5" s="36">
        <v>286677.36393790477</v>
      </c>
      <c r="F5" s="36">
        <v>296719.51231185242</v>
      </c>
      <c r="G5" s="36">
        <v>306607.49964819296</v>
      </c>
      <c r="H5" s="36">
        <v>315684.17320328887</v>
      </c>
      <c r="I5" s="36">
        <v>326862.27944817039</v>
      </c>
      <c r="J5" s="36">
        <v>333616.56478405313</v>
      </c>
      <c r="K5" s="36">
        <v>334573.04983213753</v>
      </c>
      <c r="L5" s="36">
        <v>342432.80411786935</v>
      </c>
      <c r="M5" s="36">
        <v>350621.4552514794</v>
      </c>
      <c r="N5" s="36">
        <v>354651.43050009309</v>
      </c>
      <c r="O5" s="36">
        <v>356220.58638324338</v>
      </c>
      <c r="P5" s="36">
        <v>364894.75036896265</v>
      </c>
      <c r="Q5" s="36">
        <v>371122.17674999998</v>
      </c>
      <c r="R5" s="36">
        <v>376414.57216889469</v>
      </c>
      <c r="S5" s="36">
        <v>381437.82221890666</v>
      </c>
      <c r="T5" s="36">
        <v>389963.15889124502</v>
      </c>
      <c r="U5" s="36">
        <v>398574.22544174205</v>
      </c>
      <c r="V5" s="36">
        <v>383110.4848029454</v>
      </c>
      <c r="W5" s="36">
        <v>410212.08284675638</v>
      </c>
      <c r="X5" s="36">
        <v>420651.68146984553</v>
      </c>
      <c r="Y5" s="36">
        <v>430716.59548631089</v>
      </c>
      <c r="DA5" s="89" t="s">
        <v>190</v>
      </c>
    </row>
    <row r="6" spans="1:105" ht="12" customHeight="1" x14ac:dyDescent="0.25">
      <c r="A6" s="37" t="s">
        <v>70</v>
      </c>
      <c r="B6" s="38">
        <v>3112399.9999999995</v>
      </c>
      <c r="C6" s="38">
        <v>3162399.9999999995</v>
      </c>
      <c r="D6" s="38">
        <v>3198200</v>
      </c>
      <c r="E6" s="38">
        <v>3219599.9999999995</v>
      </c>
      <c r="F6" s="38">
        <v>3276200.0000000005</v>
      </c>
      <c r="G6" s="38">
        <v>3339399.9999999995</v>
      </c>
      <c r="H6" s="38">
        <v>3383700.0000000005</v>
      </c>
      <c r="I6" s="38">
        <v>3450400</v>
      </c>
      <c r="J6" s="38">
        <v>3523400</v>
      </c>
      <c r="K6" s="38">
        <v>3569100</v>
      </c>
      <c r="L6" s="38">
        <v>3627500</v>
      </c>
      <c r="M6" s="38">
        <v>3679500</v>
      </c>
      <c r="N6" s="38">
        <v>3699299.9999999995</v>
      </c>
      <c r="O6" s="38">
        <v>3709000</v>
      </c>
      <c r="P6" s="38">
        <v>3743899.9999999995</v>
      </c>
      <c r="Q6" s="38">
        <v>3797900</v>
      </c>
      <c r="R6" s="38">
        <v>3854799.9999999991</v>
      </c>
      <c r="S6" s="38">
        <v>3922600.0000000005</v>
      </c>
      <c r="T6" s="38">
        <v>3982900.0000000005</v>
      </c>
      <c r="U6" s="38">
        <v>4052999.9999999995</v>
      </c>
      <c r="V6" s="38">
        <v>4045299.9999999995</v>
      </c>
      <c r="W6" s="38">
        <v>4115399.9999999995</v>
      </c>
      <c r="X6" s="38">
        <v>4200900.0000000009</v>
      </c>
      <c r="Y6" s="38">
        <v>4240300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194582.59589548144</v>
      </c>
      <c r="C8" s="34">
        <v>196895.60952225293</v>
      </c>
      <c r="D8" s="34">
        <v>206274.69615786386</v>
      </c>
      <c r="E8" s="34">
        <v>208589.1192774307</v>
      </c>
      <c r="F8" s="34">
        <v>213772.81102575356</v>
      </c>
      <c r="G8" s="34">
        <v>217552.12672372436</v>
      </c>
      <c r="H8" s="34">
        <v>222310.24443650412</v>
      </c>
      <c r="I8" s="34">
        <v>227678.79182934939</v>
      </c>
      <c r="J8" s="34">
        <v>231130.56444996872</v>
      </c>
      <c r="K8" s="34">
        <v>229691.75085205151</v>
      </c>
      <c r="L8" s="34">
        <v>234449.35684602661</v>
      </c>
      <c r="M8" s="34">
        <v>238177.76641556036</v>
      </c>
      <c r="N8" s="34">
        <v>239999.1008117426</v>
      </c>
      <c r="O8" s="34">
        <v>241332.70538926564</v>
      </c>
      <c r="P8" s="34">
        <v>242989.94212203036</v>
      </c>
      <c r="Q8" s="34">
        <v>243803.3090639658</v>
      </c>
      <c r="R8" s="34">
        <v>245855.46977946357</v>
      </c>
      <c r="S8" s="34">
        <v>247697.41363382497</v>
      </c>
      <c r="T8" s="34">
        <v>250025.14397531678</v>
      </c>
      <c r="U8" s="34">
        <v>252303.49973374995</v>
      </c>
      <c r="V8" s="34">
        <v>254529.32555555558</v>
      </c>
      <c r="W8" s="34">
        <v>256693.88488644574</v>
      </c>
      <c r="X8" s="34">
        <v>258820.42039984112</v>
      </c>
      <c r="Y8" s="34">
        <v>260919.23266675751</v>
      </c>
      <c r="DA8" s="88" t="s">
        <v>192</v>
      </c>
    </row>
    <row r="9" spans="1:105" ht="12" customHeight="1" x14ac:dyDescent="0.25">
      <c r="A9" s="39" t="s">
        <v>68</v>
      </c>
      <c r="B9" s="40">
        <v>175124.33630593328</v>
      </c>
      <c r="C9" s="40">
        <v>177206.04857002763</v>
      </c>
      <c r="D9" s="40">
        <v>185647.22654207749</v>
      </c>
      <c r="E9" s="40">
        <v>187730.20734968764</v>
      </c>
      <c r="F9" s="40">
        <v>192395.5299231782</v>
      </c>
      <c r="G9" s="40">
        <v>195796.91405135192</v>
      </c>
      <c r="H9" s="40">
        <v>200079.2199928537</v>
      </c>
      <c r="I9" s="40">
        <v>204910.91264641445</v>
      </c>
      <c r="J9" s="40">
        <v>208017.50800497184</v>
      </c>
      <c r="K9" s="40">
        <v>206722.57576684636</v>
      </c>
      <c r="L9" s="40">
        <v>211004.42116142393</v>
      </c>
      <c r="M9" s="40">
        <v>214359.98977400432</v>
      </c>
      <c r="N9" s="40">
        <v>215999.19073056834</v>
      </c>
      <c r="O9" s="40">
        <v>217199.43485033908</v>
      </c>
      <c r="P9" s="40">
        <v>218690.94790982732</v>
      </c>
      <c r="Q9" s="40">
        <v>219422.97815756922</v>
      </c>
      <c r="R9" s="40">
        <v>221269.92280151721</v>
      </c>
      <c r="S9" s="40">
        <v>222927.67227044248</v>
      </c>
      <c r="T9" s="40">
        <v>225022.62957778509</v>
      </c>
      <c r="U9" s="40">
        <v>227073.14976037497</v>
      </c>
      <c r="V9" s="40">
        <v>229076.39300000001</v>
      </c>
      <c r="W9" s="40">
        <v>231024.49639780118</v>
      </c>
      <c r="X9" s="40">
        <v>232938.37835985702</v>
      </c>
      <c r="Y9" s="40">
        <v>234827.30940008178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3091.4191116524958</v>
      </c>
      <c r="D10" s="41">
        <v>10166.83532211085</v>
      </c>
      <c r="E10" s="41">
        <v>3139.5446125426874</v>
      </c>
      <c r="F10" s="41">
        <v>6018.1564429177188</v>
      </c>
      <c r="G10" s="41">
        <v>4634.2186461071578</v>
      </c>
      <c r="H10" s="41">
        <v>5628.2033635468906</v>
      </c>
      <c r="I10" s="41">
        <v>6257.9033969516031</v>
      </c>
      <c r="J10" s="41">
        <v>4362.7347784695139</v>
      </c>
      <c r="K10" s="41">
        <v>924.39301017747914</v>
      </c>
      <c r="L10" s="41">
        <v>5676.1595031407041</v>
      </c>
      <c r="M10" s="41">
        <v>4666.233432038518</v>
      </c>
      <c r="N10" s="41">
        <v>2773.757011216655</v>
      </c>
      <c r="O10" s="41">
        <v>2293.6185438728412</v>
      </c>
      <c r="P10" s="41">
        <v>2622.5062500252075</v>
      </c>
      <c r="Q10" s="41">
        <v>1785.0599103090331</v>
      </c>
      <c r="R10" s="41">
        <v>3315.3902961401063</v>
      </c>
      <c r="S10" s="41">
        <v>3115.8063920787722</v>
      </c>
      <c r="T10" s="41">
        <v>3611.1366297499449</v>
      </c>
      <c r="U10" s="41">
        <v>3573.8228256628672</v>
      </c>
      <c r="V10" s="41">
        <v>3533.0978411513802</v>
      </c>
      <c r="W10" s="41">
        <v>3483.3641265148508</v>
      </c>
      <c r="X10" s="41">
        <v>3456.5556423407138</v>
      </c>
      <c r="Y10" s="41">
        <v>3439.8507145839258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2782.2772004872463</v>
      </c>
      <c r="D11" s="42">
        <v>9150.1517898997663</v>
      </c>
      <c r="E11" s="42">
        <v>2825.5901512884188</v>
      </c>
      <c r="F11" s="42">
        <v>5416.3407986259472</v>
      </c>
      <c r="G11" s="42">
        <v>4170.7967814964422</v>
      </c>
      <c r="H11" s="42">
        <v>5065.3830271922016</v>
      </c>
      <c r="I11" s="42">
        <v>5632.1130572564425</v>
      </c>
      <c r="J11" s="42">
        <v>3926.4613006225627</v>
      </c>
      <c r="K11" s="42">
        <v>831.95370915973115</v>
      </c>
      <c r="L11" s="42">
        <v>5108.5435528266344</v>
      </c>
      <c r="M11" s="42">
        <v>4199.6100888346664</v>
      </c>
      <c r="N11" s="42">
        <v>2496.3813100949897</v>
      </c>
      <c r="O11" s="42">
        <v>2064.2566894855572</v>
      </c>
      <c r="P11" s="42">
        <v>2360.2556250226867</v>
      </c>
      <c r="Q11" s="42">
        <v>1606.5539192781298</v>
      </c>
      <c r="R11" s="42">
        <v>2983.851266526096</v>
      </c>
      <c r="S11" s="42">
        <v>2804.2257528708951</v>
      </c>
      <c r="T11" s="42">
        <v>3250.0229667749504</v>
      </c>
      <c r="U11" s="42">
        <v>3216.4405430965803</v>
      </c>
      <c r="V11" s="42">
        <v>3179.7880570362422</v>
      </c>
      <c r="W11" s="42">
        <v>3135.027713863366</v>
      </c>
      <c r="X11" s="42">
        <v>3110.9000781066429</v>
      </c>
      <c r="Y11" s="42">
        <v>3095.8656431255331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2515.89</v>
      </c>
      <c r="C13" s="43">
        <v>2718.99</v>
      </c>
      <c r="D13" s="43">
        <v>2527.9299999999998</v>
      </c>
      <c r="E13" s="43">
        <v>2687.07</v>
      </c>
      <c r="F13" s="43">
        <v>2773.96</v>
      </c>
      <c r="G13" s="43">
        <v>2661.22</v>
      </c>
      <c r="H13" s="43">
        <v>2588.67</v>
      </c>
      <c r="I13" s="43">
        <v>2439.1799999999998</v>
      </c>
      <c r="J13" s="43">
        <v>2698.26</v>
      </c>
      <c r="K13" s="43">
        <v>2692.13</v>
      </c>
      <c r="L13" s="43">
        <v>3193.64</v>
      </c>
      <c r="M13" s="43">
        <v>2404.6799999999998</v>
      </c>
      <c r="N13" s="43">
        <v>2766.54</v>
      </c>
      <c r="O13" s="43">
        <v>3021.7</v>
      </c>
      <c r="P13" s="43">
        <v>2323.21</v>
      </c>
      <c r="Q13" s="43">
        <v>2632.62</v>
      </c>
      <c r="R13" s="43">
        <v>2695.22</v>
      </c>
      <c r="S13" s="43">
        <v>2584.0700000000002</v>
      </c>
      <c r="T13" s="43">
        <v>2511.15</v>
      </c>
      <c r="U13" s="43">
        <v>2532.35</v>
      </c>
      <c r="V13" s="43">
        <v>2339.09</v>
      </c>
      <c r="W13" s="43">
        <v>2770.92</v>
      </c>
      <c r="X13" s="43">
        <v>2389.91</v>
      </c>
      <c r="Y13" s="43">
        <v>2363.29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2633.6938095238093</v>
      </c>
      <c r="C14" s="44">
        <f t="shared" ref="C14:Y14" si="0">AVERAGE($B$13:$V$13)</f>
        <v>2633.6938095238093</v>
      </c>
      <c r="D14" s="44">
        <f t="shared" si="0"/>
        <v>2633.6938095238093</v>
      </c>
      <c r="E14" s="44">
        <f t="shared" si="0"/>
        <v>2633.6938095238093</v>
      </c>
      <c r="F14" s="44">
        <f t="shared" si="0"/>
        <v>2633.6938095238093</v>
      </c>
      <c r="G14" s="44">
        <f t="shared" si="0"/>
        <v>2633.6938095238093</v>
      </c>
      <c r="H14" s="44">
        <f t="shared" si="0"/>
        <v>2633.6938095238093</v>
      </c>
      <c r="I14" s="44">
        <f t="shared" si="0"/>
        <v>2633.6938095238093</v>
      </c>
      <c r="J14" s="44">
        <f t="shared" si="0"/>
        <v>2633.6938095238093</v>
      </c>
      <c r="K14" s="44">
        <f t="shared" si="0"/>
        <v>2633.6938095238093</v>
      </c>
      <c r="L14" s="44">
        <f t="shared" si="0"/>
        <v>2633.6938095238093</v>
      </c>
      <c r="M14" s="44">
        <f t="shared" si="0"/>
        <v>2633.6938095238093</v>
      </c>
      <c r="N14" s="44">
        <f t="shared" si="0"/>
        <v>2633.6938095238093</v>
      </c>
      <c r="O14" s="44">
        <f t="shared" si="0"/>
        <v>2633.6938095238093</v>
      </c>
      <c r="P14" s="44">
        <f t="shared" si="0"/>
        <v>2633.6938095238093</v>
      </c>
      <c r="Q14" s="44">
        <f t="shared" si="0"/>
        <v>2633.6938095238093</v>
      </c>
      <c r="R14" s="44">
        <f t="shared" si="0"/>
        <v>2633.6938095238093</v>
      </c>
      <c r="S14" s="44">
        <f t="shared" si="0"/>
        <v>2633.6938095238093</v>
      </c>
      <c r="T14" s="44">
        <f t="shared" si="0"/>
        <v>2633.6938095238093</v>
      </c>
      <c r="U14" s="44">
        <f t="shared" si="0"/>
        <v>2633.6938095238093</v>
      </c>
      <c r="V14" s="44">
        <f t="shared" si="0"/>
        <v>2633.6938095238093</v>
      </c>
      <c r="W14" s="44">
        <f t="shared" si="0"/>
        <v>2633.6938095238093</v>
      </c>
      <c r="X14" s="44">
        <f t="shared" si="0"/>
        <v>2633.6938095238093</v>
      </c>
      <c r="Y14" s="44">
        <f t="shared" si="0"/>
        <v>2633.6938095238093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0.95527049913782147</v>
      </c>
      <c r="C15" s="46">
        <f t="shared" ref="C15:W15" si="1">C13/C14</f>
        <v>1.0323865250272251</v>
      </c>
      <c r="D15" s="46">
        <f t="shared" si="1"/>
        <v>0.95984202524175266</v>
      </c>
      <c r="E15" s="46">
        <f t="shared" si="1"/>
        <v>1.0202666651237797</v>
      </c>
      <c r="F15" s="46">
        <f t="shared" si="1"/>
        <v>1.0532583514336284</v>
      </c>
      <c r="G15" s="46">
        <f t="shared" si="1"/>
        <v>1.0104515530152562</v>
      </c>
      <c r="H15" s="46">
        <f t="shared" si="1"/>
        <v>0.98290469098533906</v>
      </c>
      <c r="I15" s="46">
        <f t="shared" si="1"/>
        <v>0.9261441064939212</v>
      </c>
      <c r="J15" s="46">
        <f t="shared" si="1"/>
        <v>1.0245154505974501</v>
      </c>
      <c r="K15" s="46">
        <f t="shared" si="1"/>
        <v>1.0221879211109801</v>
      </c>
      <c r="L15" s="46">
        <f t="shared" si="1"/>
        <v>1.2126086899135147</v>
      </c>
      <c r="M15" s="46">
        <f t="shared" si="1"/>
        <v>0.9130446338539191</v>
      </c>
      <c r="N15" s="46">
        <f t="shared" si="1"/>
        <v>1.0504410155788801</v>
      </c>
      <c r="O15" s="46">
        <f t="shared" si="1"/>
        <v>1.1473239558346173</v>
      </c>
      <c r="P15" s="46">
        <f t="shared" si="1"/>
        <v>0.88211089368055773</v>
      </c>
      <c r="Q15" s="46">
        <f t="shared" si="1"/>
        <v>0.99959228004412426</v>
      </c>
      <c r="R15" s="46">
        <f t="shared" si="1"/>
        <v>1.0233611782256933</v>
      </c>
      <c r="S15" s="46">
        <f t="shared" si="1"/>
        <v>0.98115809463333881</v>
      </c>
      <c r="T15" s="46">
        <f t="shared" si="1"/>
        <v>0.953470745505543</v>
      </c>
      <c r="U15" s="46">
        <f t="shared" si="1"/>
        <v>0.96152027651910943</v>
      </c>
      <c r="V15" s="46">
        <f t="shared" si="1"/>
        <v>0.88814044804355008</v>
      </c>
      <c r="W15" s="46">
        <f t="shared" si="1"/>
        <v>1.0521040790618719</v>
      </c>
      <c r="X15" s="46">
        <f t="shared" ref="X15:Y15" si="2">X13/X14</f>
        <v>0.90743654078456171</v>
      </c>
      <c r="Y15" s="46">
        <f t="shared" si="2"/>
        <v>0.89732906363450793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40625.397370444291</v>
      </c>
      <c r="C19" s="34">
        <f t="shared" si="3"/>
        <v>40975.021696816424</v>
      </c>
      <c r="D19" s="34">
        <f t="shared" ref="D19:W19" si="4">D4*1000000/D3</f>
        <v>41486.971018744684</v>
      </c>
      <c r="E19" s="34">
        <f t="shared" si="4"/>
        <v>41731.003632691696</v>
      </c>
      <c r="F19" s="34">
        <f t="shared" si="4"/>
        <v>43052.916571997892</v>
      </c>
      <c r="G19" s="34">
        <f t="shared" si="4"/>
        <v>43843.714923208761</v>
      </c>
      <c r="H19" s="34">
        <f t="shared" si="4"/>
        <v>44682.350894191171</v>
      </c>
      <c r="I19" s="34">
        <f t="shared" si="4"/>
        <v>46005.158682927562</v>
      </c>
      <c r="J19" s="34">
        <f t="shared" si="4"/>
        <v>45854.225938854826</v>
      </c>
      <c r="K19" s="34">
        <f t="shared" si="4"/>
        <v>44619.658767510788</v>
      </c>
      <c r="L19" s="34">
        <f t="shared" si="4"/>
        <v>45461.848199860717</v>
      </c>
      <c r="M19" s="34">
        <f t="shared" si="4"/>
        <v>45662.426158097805</v>
      </c>
      <c r="N19" s="34">
        <f t="shared" si="4"/>
        <v>45450.031150949268</v>
      </c>
      <c r="O19" s="34">
        <f t="shared" si="4"/>
        <v>45335.170384048921</v>
      </c>
      <c r="P19" s="34">
        <f t="shared" si="4"/>
        <v>45958.304316023394</v>
      </c>
      <c r="Q19" s="34">
        <f t="shared" si="4"/>
        <v>46401.782900372462</v>
      </c>
      <c r="R19" s="34">
        <f t="shared" si="4"/>
        <v>46649.179006533552</v>
      </c>
      <c r="S19" s="34">
        <f t="shared" si="4"/>
        <v>47167.545229803392</v>
      </c>
      <c r="T19" s="34">
        <f t="shared" si="4"/>
        <v>47855.56719776267</v>
      </c>
      <c r="U19" s="34">
        <f t="shared" si="4"/>
        <v>48780.968321909546</v>
      </c>
      <c r="V19" s="34">
        <f t="shared" si="4"/>
        <v>46173.336156850215</v>
      </c>
      <c r="W19" s="34">
        <f t="shared" si="4"/>
        <v>48902.331312306975</v>
      </c>
      <c r="X19" s="34">
        <f t="shared" ref="X19:Y19" si="5">X4*1000000/X3</f>
        <v>50709.488228448812</v>
      </c>
      <c r="Y19" s="34">
        <f t="shared" si="5"/>
        <v>50771.783823886573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85602.321084301468</v>
      </c>
      <c r="C20" s="36">
        <f t="shared" si="6"/>
        <v>86578.335111105029</v>
      </c>
      <c r="D20" s="36">
        <f t="shared" ref="D20:W20" si="7">D5*1000000/D6</f>
        <v>87729.194843561505</v>
      </c>
      <c r="E20" s="36">
        <f t="shared" si="7"/>
        <v>89041.298278638598</v>
      </c>
      <c r="F20" s="36">
        <f t="shared" si="7"/>
        <v>90568.192513232512</v>
      </c>
      <c r="G20" s="36">
        <f t="shared" si="7"/>
        <v>91815.146328140676</v>
      </c>
      <c r="H20" s="36">
        <f t="shared" si="7"/>
        <v>93295.556108191871</v>
      </c>
      <c r="I20" s="36">
        <f t="shared" si="7"/>
        <v>94731.706308883149</v>
      </c>
      <c r="J20" s="36">
        <f t="shared" si="7"/>
        <v>94685.975133125132</v>
      </c>
      <c r="K20" s="36">
        <f t="shared" si="7"/>
        <v>93741.573458893705</v>
      </c>
      <c r="L20" s="36">
        <f t="shared" si="7"/>
        <v>94399.118984939851</v>
      </c>
      <c r="M20" s="36">
        <f t="shared" si="7"/>
        <v>95290.516442853492</v>
      </c>
      <c r="N20" s="36">
        <f t="shared" si="7"/>
        <v>95869.87551701488</v>
      </c>
      <c r="O20" s="36">
        <f t="shared" si="7"/>
        <v>96042.217951804632</v>
      </c>
      <c r="P20" s="36">
        <f t="shared" si="7"/>
        <v>97463.807892561948</v>
      </c>
      <c r="Q20" s="36">
        <f t="shared" si="7"/>
        <v>97717.732628557889</v>
      </c>
      <c r="R20" s="36">
        <f t="shared" si="7"/>
        <v>97648.275440721904</v>
      </c>
      <c r="S20" s="36">
        <f t="shared" si="7"/>
        <v>97241.070264341673</v>
      </c>
      <c r="T20" s="36">
        <f t="shared" si="7"/>
        <v>97909.352203481118</v>
      </c>
      <c r="U20" s="36">
        <f t="shared" si="7"/>
        <v>98340.544150442176</v>
      </c>
      <c r="V20" s="36">
        <f t="shared" si="7"/>
        <v>94705.086100646527</v>
      </c>
      <c r="W20" s="36">
        <f t="shared" si="7"/>
        <v>99677.329748446427</v>
      </c>
      <c r="X20" s="36">
        <f t="shared" ref="X20:Y20" si="8">X5*1000000/X6</f>
        <v>100133.7050322182</v>
      </c>
      <c r="Y20" s="36">
        <f t="shared" si="8"/>
        <v>101576.91566311603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26020.749328946858</v>
      </c>
      <c r="C21" s="36">
        <f t="shared" si="9"/>
        <v>26676.827706195862</v>
      </c>
      <c r="D21" s="36">
        <f t="shared" ref="D21:W21" si="10">D5*1000000/D3</f>
        <v>27214.645487506059</v>
      </c>
      <c r="E21" s="36">
        <f t="shared" si="10"/>
        <v>27682.6653566725</v>
      </c>
      <c r="F21" s="36">
        <f t="shared" si="10"/>
        <v>28540.544126854078</v>
      </c>
      <c r="G21" s="36">
        <f t="shared" si="10"/>
        <v>29352.08153898724</v>
      </c>
      <c r="H21" s="36">
        <f t="shared" si="10"/>
        <v>30032.604009947398</v>
      </c>
      <c r="I21" s="36">
        <f t="shared" si="10"/>
        <v>30881.121402998979</v>
      </c>
      <c r="J21" s="36">
        <f t="shared" si="10"/>
        <v>31275.968478844028</v>
      </c>
      <c r="K21" s="36">
        <f t="shared" si="10"/>
        <v>31114.159834404421</v>
      </c>
      <c r="L21" s="36">
        <f t="shared" si="10"/>
        <v>31590.018927091089</v>
      </c>
      <c r="M21" s="36">
        <f t="shared" si="10"/>
        <v>31872.829126045184</v>
      </c>
      <c r="N21" s="36">
        <f t="shared" si="10"/>
        <v>32020.132244020599</v>
      </c>
      <c r="O21" s="36">
        <f t="shared" si="10"/>
        <v>31982.529891274968</v>
      </c>
      <c r="P21" s="36">
        <f t="shared" si="10"/>
        <v>32635.718816203669</v>
      </c>
      <c r="Q21" s="36">
        <f t="shared" si="10"/>
        <v>33025.996941073077</v>
      </c>
      <c r="R21" s="36">
        <f t="shared" si="10"/>
        <v>33278.284732524182</v>
      </c>
      <c r="S21" s="36">
        <f t="shared" si="10"/>
        <v>33601.74378919672</v>
      </c>
      <c r="T21" s="36">
        <f t="shared" si="10"/>
        <v>34211.529066557712</v>
      </c>
      <c r="U21" s="36">
        <f t="shared" si="10"/>
        <v>34793.205392242991</v>
      </c>
      <c r="V21" s="36">
        <f t="shared" si="10"/>
        <v>33249.076133435745</v>
      </c>
      <c r="W21" s="36">
        <f t="shared" si="10"/>
        <v>35501.545193144651</v>
      </c>
      <c r="X21" s="36">
        <f t="shared" ref="X21:Y21" si="11">X5*1000000/X3</f>
        <v>36208.067818162592</v>
      </c>
      <c r="Y21" s="36">
        <f t="shared" si="11"/>
        <v>36679.219794528573</v>
      </c>
      <c r="DA21" s="89"/>
    </row>
    <row r="22" spans="1:105" ht="12" customHeight="1" x14ac:dyDescent="0.25">
      <c r="A22" s="51" t="s">
        <v>148</v>
      </c>
      <c r="B22" s="52">
        <v>1.4197404502587991</v>
      </c>
      <c r="C22" s="52">
        <v>1.4192383607127093</v>
      </c>
      <c r="D22" s="52">
        <v>1.4192146070399243</v>
      </c>
      <c r="E22" s="52">
        <v>1.427845530569541</v>
      </c>
      <c r="F22" s="52">
        <v>1.4387162228694548</v>
      </c>
      <c r="G22" s="52">
        <v>1.4483744467614013</v>
      </c>
      <c r="H22" s="52">
        <v>1.4379132974886275</v>
      </c>
      <c r="I22" s="52">
        <v>1.4345836645307126</v>
      </c>
      <c r="J22" s="52">
        <v>1.4336188353930774</v>
      </c>
      <c r="K22" s="52">
        <v>1.4592061668080452</v>
      </c>
      <c r="L22" s="52">
        <v>1.4595667137522059</v>
      </c>
      <c r="M22" s="52">
        <v>1.4436258795276597</v>
      </c>
      <c r="N22" s="52">
        <v>1.4549094766778405</v>
      </c>
      <c r="O22" s="52">
        <v>1.444838429265874</v>
      </c>
      <c r="P22" s="52">
        <v>1.4503720821702388</v>
      </c>
      <c r="Q22" s="52">
        <v>1.4437225851006346</v>
      </c>
      <c r="R22" s="52">
        <v>1.430673045037848</v>
      </c>
      <c r="S22" s="52">
        <v>1.4067675117581768</v>
      </c>
      <c r="T22" s="52">
        <v>1.4020590936000681</v>
      </c>
      <c r="U22" s="52">
        <v>1.3993740382754363</v>
      </c>
      <c r="V22" s="52">
        <v>1.412923509271806</v>
      </c>
      <c r="W22" s="52">
        <v>1.4215522044207776</v>
      </c>
      <c r="X22" s="52">
        <v>1.4060787701064319</v>
      </c>
      <c r="Y22" s="52">
        <v>1.4210607939114199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15.995264045463765</v>
      </c>
      <c r="C23" s="53">
        <f t="shared" si="12"/>
        <v>16.061302777005743</v>
      </c>
      <c r="D23" s="53">
        <f t="shared" ref="D23:W23" si="13">D6/D8</f>
        <v>15.504567741805758</v>
      </c>
      <c r="E23" s="53">
        <f t="shared" si="13"/>
        <v>15.435129172379414</v>
      </c>
      <c r="F23" s="53">
        <f t="shared" si="13"/>
        <v>15.325615939088303</v>
      </c>
      <c r="G23" s="53">
        <f t="shared" si="13"/>
        <v>15.349884417543748</v>
      </c>
      <c r="H23" s="53">
        <f t="shared" si="13"/>
        <v>15.220621112521188</v>
      </c>
      <c r="I23" s="53">
        <f t="shared" si="13"/>
        <v>15.154683368954961</v>
      </c>
      <c r="J23" s="53">
        <f t="shared" si="13"/>
        <v>15.244197617847668</v>
      </c>
      <c r="K23" s="53">
        <f t="shared" si="13"/>
        <v>15.538651199968083</v>
      </c>
      <c r="L23" s="53">
        <f t="shared" si="13"/>
        <v>15.472424615702153</v>
      </c>
      <c r="M23" s="53">
        <f t="shared" si="13"/>
        <v>15.448545241541131</v>
      </c>
      <c r="N23" s="53">
        <f t="shared" si="13"/>
        <v>15.413807749645541</v>
      </c>
      <c r="O23" s="53">
        <f t="shared" si="13"/>
        <v>15.36882451973281</v>
      </c>
      <c r="P23" s="53">
        <f t="shared" si="13"/>
        <v>15.407633613574838</v>
      </c>
      <c r="Q23" s="53">
        <f t="shared" si="13"/>
        <v>15.577721297472458</v>
      </c>
      <c r="R23" s="53">
        <f t="shared" si="13"/>
        <v>15.679130521105829</v>
      </c>
      <c r="S23" s="53">
        <f t="shared" si="13"/>
        <v>15.836257401536063</v>
      </c>
      <c r="T23" s="53">
        <f t="shared" si="13"/>
        <v>15.929997826111457</v>
      </c>
      <c r="U23" s="53">
        <f t="shared" si="13"/>
        <v>16.06398644599475</v>
      </c>
      <c r="V23" s="53">
        <f t="shared" si="13"/>
        <v>15.893257058574338</v>
      </c>
      <c r="W23" s="53">
        <f t="shared" si="13"/>
        <v>16.032325825839358</v>
      </c>
      <c r="X23" s="53">
        <f t="shared" ref="X23:Y23" si="14">X6/X8</f>
        <v>16.230944967596457</v>
      </c>
      <c r="Y23" s="53">
        <f t="shared" si="14"/>
        <v>16.251389200640695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17.103514259910263</v>
      </c>
      <c r="C24" s="54">
        <f t="shared" si="15"/>
        <v>17.265799525384789</v>
      </c>
      <c r="D24" s="54">
        <f t="shared" ref="D24:W24" si="16">D9*1000/D3</f>
        <v>18.007000821270935</v>
      </c>
      <c r="E24" s="54">
        <f t="shared" si="16"/>
        <v>18.127948562153662</v>
      </c>
      <c r="F24" s="54">
        <f t="shared" si="16"/>
        <v>18.505938719024382</v>
      </c>
      <c r="G24" s="54">
        <f t="shared" si="16"/>
        <v>18.743986996115964</v>
      </c>
      <c r="H24" s="54">
        <f t="shared" si="16"/>
        <v>19.034530377913551</v>
      </c>
      <c r="I24" s="54">
        <f t="shared" si="16"/>
        <v>19.359464729048483</v>
      </c>
      <c r="J24" s="54">
        <f t="shared" si="16"/>
        <v>19.501276945353194</v>
      </c>
      <c r="K24" s="54">
        <f t="shared" si="16"/>
        <v>19.224499005572948</v>
      </c>
      <c r="L24" s="54">
        <f t="shared" si="16"/>
        <v>19.465523098350392</v>
      </c>
      <c r="M24" s="54">
        <f t="shared" si="16"/>
        <v>19.486141601423874</v>
      </c>
      <c r="N24" s="54">
        <f t="shared" si="16"/>
        <v>19.50174751034146</v>
      </c>
      <c r="O24" s="54">
        <f t="shared" si="16"/>
        <v>19.500802825571245</v>
      </c>
      <c r="P24" s="54">
        <f t="shared" si="16"/>
        <v>19.559438102130727</v>
      </c>
      <c r="Q24" s="54">
        <f t="shared" si="16"/>
        <v>19.526352935557966</v>
      </c>
      <c r="R24" s="54">
        <f t="shared" si="16"/>
        <v>19.562163736925118</v>
      </c>
      <c r="S24" s="54">
        <f t="shared" si="16"/>
        <v>19.638216481989257</v>
      </c>
      <c r="T24" s="54">
        <f t="shared" si="16"/>
        <v>19.741270571101836</v>
      </c>
      <c r="U24" s="54">
        <f t="shared" si="16"/>
        <v>19.822161681227623</v>
      </c>
      <c r="V24" s="54">
        <f t="shared" si="16"/>
        <v>19.880892675509703</v>
      </c>
      <c r="W24" s="54">
        <f t="shared" si="16"/>
        <v>19.993868885266245</v>
      </c>
      <c r="X24" s="54">
        <f t="shared" ref="X24:Y24" si="17">X9*1000/X3</f>
        <v>20.050433583518508</v>
      </c>
      <c r="Y24" s="54">
        <f t="shared" si="17"/>
        <v>19.997563561530132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56.266654769931016</v>
      </c>
      <c r="C25" s="54">
        <f t="shared" si="18"/>
        <v>56.035305012024935</v>
      </c>
      <c r="D25" s="54">
        <f t="shared" ref="D25:W25" si="19">D9*1000/D6</f>
        <v>58.047409962503124</v>
      </c>
      <c r="E25" s="54">
        <f t="shared" si="19"/>
        <v>58.308549928465546</v>
      </c>
      <c r="F25" s="54">
        <f t="shared" si="19"/>
        <v>58.725209060246065</v>
      </c>
      <c r="G25" s="54">
        <f t="shared" si="19"/>
        <v>58.632363314173794</v>
      </c>
      <c r="H25" s="54">
        <f t="shared" si="19"/>
        <v>59.130307058206597</v>
      </c>
      <c r="I25" s="54">
        <f t="shared" si="19"/>
        <v>59.387581916999324</v>
      </c>
      <c r="J25" s="54">
        <f t="shared" si="19"/>
        <v>59.03885678747001</v>
      </c>
      <c r="K25" s="54">
        <f t="shared" si="19"/>
        <v>57.920085110208838</v>
      </c>
      <c r="L25" s="54">
        <f t="shared" si="19"/>
        <v>58.168000320171998</v>
      </c>
      <c r="M25" s="54">
        <f t="shared" si="19"/>
        <v>58.257912698465638</v>
      </c>
      <c r="N25" s="54">
        <f t="shared" si="19"/>
        <v>58.389206263500768</v>
      </c>
      <c r="O25" s="54">
        <f t="shared" si="19"/>
        <v>58.560106457357534</v>
      </c>
      <c r="P25" s="54">
        <f t="shared" si="19"/>
        <v>58.412603945037887</v>
      </c>
      <c r="Q25" s="54">
        <f t="shared" si="19"/>
        <v>57.77481717727408</v>
      </c>
      <c r="R25" s="54">
        <f t="shared" si="19"/>
        <v>57.401142160816974</v>
      </c>
      <c r="S25" s="54">
        <f t="shared" si="19"/>
        <v>56.83160971560762</v>
      </c>
      <c r="T25" s="54">
        <f t="shared" si="19"/>
        <v>56.497182851134873</v>
      </c>
      <c r="U25" s="54">
        <f t="shared" si="19"/>
        <v>56.025943686250926</v>
      </c>
      <c r="V25" s="54">
        <f t="shared" si="19"/>
        <v>56.627788544730926</v>
      </c>
      <c r="W25" s="54">
        <f t="shared" si="19"/>
        <v>56.136583660835207</v>
      </c>
      <c r="X25" s="54">
        <f t="shared" ref="X25:Y25" si="20">X9*1000/X6</f>
        <v>55.449636592124776</v>
      </c>
      <c r="Y25" s="54">
        <f t="shared" si="20"/>
        <v>55.379880999005209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899.99999999999989</v>
      </c>
      <c r="C26" s="55">
        <f t="shared" si="21"/>
        <v>899.99999999999989</v>
      </c>
      <c r="D26" s="55">
        <f t="shared" ref="D26:W26" si="22">D9*1000/D8</f>
        <v>900</v>
      </c>
      <c r="E26" s="55">
        <f t="shared" si="22"/>
        <v>900</v>
      </c>
      <c r="F26" s="55">
        <f t="shared" si="22"/>
        <v>900</v>
      </c>
      <c r="G26" s="55">
        <f t="shared" si="22"/>
        <v>900</v>
      </c>
      <c r="H26" s="55">
        <f t="shared" si="22"/>
        <v>900</v>
      </c>
      <c r="I26" s="55">
        <f t="shared" si="22"/>
        <v>900</v>
      </c>
      <c r="J26" s="55">
        <f t="shared" si="22"/>
        <v>899.99999999999989</v>
      </c>
      <c r="K26" s="55">
        <f t="shared" si="22"/>
        <v>900</v>
      </c>
      <c r="L26" s="55">
        <f t="shared" si="22"/>
        <v>899.99999999999989</v>
      </c>
      <c r="M26" s="55">
        <f t="shared" si="22"/>
        <v>900</v>
      </c>
      <c r="N26" s="55">
        <f t="shared" si="22"/>
        <v>900</v>
      </c>
      <c r="O26" s="55">
        <f t="shared" si="22"/>
        <v>900</v>
      </c>
      <c r="P26" s="55">
        <f t="shared" si="22"/>
        <v>900</v>
      </c>
      <c r="Q26" s="55">
        <f t="shared" si="22"/>
        <v>900</v>
      </c>
      <c r="R26" s="55">
        <f t="shared" si="22"/>
        <v>900</v>
      </c>
      <c r="S26" s="55">
        <f t="shared" si="22"/>
        <v>900.00000000000011</v>
      </c>
      <c r="T26" s="55">
        <f t="shared" si="22"/>
        <v>900</v>
      </c>
      <c r="U26" s="55">
        <f t="shared" si="22"/>
        <v>900</v>
      </c>
      <c r="V26" s="55">
        <f t="shared" si="22"/>
        <v>899.99999999999989</v>
      </c>
      <c r="W26" s="55">
        <f t="shared" si="22"/>
        <v>900.00000000000011</v>
      </c>
      <c r="X26" s="55">
        <f t="shared" ref="X26:Y26" si="23">X9*1000/X8</f>
        <v>900</v>
      </c>
      <c r="Y26" s="55">
        <f t="shared" si="23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</v>
      </c>
      <c r="D27" s="57">
        <f t="shared" ref="D27:W27" si="25">IF(SUM(D11)=0,"",D11*1000/D10)</f>
        <v>900.00000000000011</v>
      </c>
      <c r="E27" s="57">
        <f t="shared" si="25"/>
        <v>900.00000000000011</v>
      </c>
      <c r="F27" s="57">
        <f t="shared" si="25"/>
        <v>900</v>
      </c>
      <c r="G27" s="57">
        <f t="shared" si="25"/>
        <v>900.00000000000011</v>
      </c>
      <c r="H27" s="57">
        <f t="shared" si="25"/>
        <v>900</v>
      </c>
      <c r="I27" s="57">
        <f t="shared" si="25"/>
        <v>900</v>
      </c>
      <c r="J27" s="57">
        <f t="shared" si="25"/>
        <v>900.00000000000011</v>
      </c>
      <c r="K27" s="57">
        <f t="shared" si="25"/>
        <v>899.99999999999989</v>
      </c>
      <c r="L27" s="57">
        <f t="shared" si="25"/>
        <v>900.00000000000011</v>
      </c>
      <c r="M27" s="57">
        <f t="shared" si="25"/>
        <v>900.00000000000011</v>
      </c>
      <c r="N27" s="57">
        <f t="shared" si="25"/>
        <v>900.00000000000011</v>
      </c>
      <c r="O27" s="57">
        <f t="shared" si="25"/>
        <v>900</v>
      </c>
      <c r="P27" s="57">
        <f t="shared" si="25"/>
        <v>899.99999999999989</v>
      </c>
      <c r="Q27" s="57">
        <f t="shared" si="25"/>
        <v>900</v>
      </c>
      <c r="R27" s="57">
        <f t="shared" si="25"/>
        <v>900.00000000000011</v>
      </c>
      <c r="S27" s="57">
        <f t="shared" si="25"/>
        <v>900</v>
      </c>
      <c r="T27" s="57">
        <f t="shared" si="25"/>
        <v>900</v>
      </c>
      <c r="U27" s="57">
        <f t="shared" si="25"/>
        <v>900</v>
      </c>
      <c r="V27" s="57">
        <f t="shared" si="25"/>
        <v>900</v>
      </c>
      <c r="W27" s="57">
        <f t="shared" si="25"/>
        <v>900</v>
      </c>
      <c r="X27" s="57">
        <f t="shared" ref="X27:Y27" si="26">IF(SUM(X11)=0,"",X11*1000/X10)</f>
        <v>900.00000000000011</v>
      </c>
      <c r="Y27" s="57">
        <f t="shared" si="26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3514.3612750761386</v>
      </c>
      <c r="C31" s="80">
        <f t="shared" ref="C31:W31" si="27">SUM(C32:C33,C36:C37,C44:C45)</f>
        <v>3688.4671050814918</v>
      </c>
      <c r="D31" s="80">
        <f t="shared" si="27"/>
        <v>3826.3030369803328</v>
      </c>
      <c r="E31" s="80">
        <f t="shared" si="27"/>
        <v>4035.0828239000098</v>
      </c>
      <c r="F31" s="80">
        <f t="shared" si="27"/>
        <v>4661.9169438670606</v>
      </c>
      <c r="G31" s="80">
        <f t="shared" si="27"/>
        <v>4681.9542005352614</v>
      </c>
      <c r="H31" s="80">
        <f t="shared" si="27"/>
        <v>4550.4090620381457</v>
      </c>
      <c r="I31" s="80">
        <f t="shared" si="27"/>
        <v>4360.2849406859623</v>
      </c>
      <c r="J31" s="80">
        <f t="shared" si="27"/>
        <v>4803.885494885908</v>
      </c>
      <c r="K31" s="80">
        <f t="shared" si="27"/>
        <v>4712.70346198056</v>
      </c>
      <c r="L31" s="80">
        <f t="shared" si="27"/>
        <v>4994.7249577042312</v>
      </c>
      <c r="M31" s="80">
        <f t="shared" si="27"/>
        <v>4403.0612683170157</v>
      </c>
      <c r="N31" s="80">
        <f t="shared" si="27"/>
        <v>4624.5299312528523</v>
      </c>
      <c r="O31" s="80">
        <f t="shared" si="27"/>
        <v>4889.457743801684</v>
      </c>
      <c r="P31" s="80">
        <f t="shared" si="27"/>
        <v>4224.3588476274326</v>
      </c>
      <c r="Q31" s="80">
        <f t="shared" si="27"/>
        <v>4600.2056054629275</v>
      </c>
      <c r="R31" s="80">
        <f t="shared" si="27"/>
        <v>4620.6158507446926</v>
      </c>
      <c r="S31" s="80">
        <f t="shared" si="27"/>
        <v>4604.870003440381</v>
      </c>
      <c r="T31" s="80">
        <f t="shared" si="27"/>
        <v>4614.4942076506895</v>
      </c>
      <c r="U31" s="80">
        <f t="shared" si="27"/>
        <v>4431.0302621077935</v>
      </c>
      <c r="V31" s="80">
        <f t="shared" si="27"/>
        <v>4278.2692212184429</v>
      </c>
      <c r="W31" s="80">
        <f t="shared" si="27"/>
        <v>4464.5434789394676</v>
      </c>
      <c r="X31" s="80">
        <f t="shared" ref="X31:Y31" si="28">SUM(X32:X33,X36:X37,X44:X45)</f>
        <v>3936.8784019014174</v>
      </c>
      <c r="Y31" s="80">
        <f t="shared" si="28"/>
        <v>3777.6372803327708</v>
      </c>
      <c r="DA31" s="103" t="s">
        <v>199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X32" s="59">
        <v>0</v>
      </c>
      <c r="Y32" s="59">
        <v>0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867.77016337059331</v>
      </c>
      <c r="C33" s="55">
        <f t="shared" ref="C33:W33" si="29">SUM(C34:C35)</f>
        <v>889.12527944969895</v>
      </c>
      <c r="D33" s="55">
        <f t="shared" si="29"/>
        <v>1142.3736027515042</v>
      </c>
      <c r="E33" s="55">
        <f t="shared" si="29"/>
        <v>1293.579793637145</v>
      </c>
      <c r="F33" s="55">
        <f t="shared" si="29"/>
        <v>1280.9543422184008</v>
      </c>
      <c r="G33" s="55">
        <f t="shared" si="29"/>
        <v>1246.8447979363718</v>
      </c>
      <c r="H33" s="55">
        <f t="shared" si="29"/>
        <v>1077.1018916595017</v>
      </c>
      <c r="I33" s="55">
        <f t="shared" si="29"/>
        <v>909.51083404987094</v>
      </c>
      <c r="J33" s="55">
        <f t="shared" si="29"/>
        <v>1114.8944110060193</v>
      </c>
      <c r="K33" s="55">
        <f t="shared" si="29"/>
        <v>902.21650902837484</v>
      </c>
      <c r="L33" s="55">
        <f t="shared" si="29"/>
        <v>1009.0809114359414</v>
      </c>
      <c r="M33" s="55">
        <f t="shared" si="29"/>
        <v>850.2173688736026</v>
      </c>
      <c r="N33" s="55">
        <f t="shared" si="29"/>
        <v>844.02407566637999</v>
      </c>
      <c r="O33" s="55">
        <f t="shared" si="29"/>
        <v>919.40619088564051</v>
      </c>
      <c r="P33" s="55">
        <f t="shared" si="29"/>
        <v>721.80662080825448</v>
      </c>
      <c r="Q33" s="55">
        <f t="shared" si="29"/>
        <v>858.66053310404118</v>
      </c>
      <c r="R33" s="55">
        <f t="shared" si="29"/>
        <v>777.61298366294056</v>
      </c>
      <c r="S33" s="55">
        <f t="shared" si="29"/>
        <v>780.23009458297497</v>
      </c>
      <c r="T33" s="55">
        <f t="shared" si="29"/>
        <v>761.8085124677558</v>
      </c>
      <c r="U33" s="55">
        <f t="shared" si="29"/>
        <v>603.96087704213244</v>
      </c>
      <c r="V33" s="55">
        <f t="shared" si="29"/>
        <v>653.9110060189164</v>
      </c>
      <c r="W33" s="55">
        <f t="shared" si="29"/>
        <v>541.45580395528805</v>
      </c>
      <c r="X33" s="55">
        <f t="shared" ref="X33:Y33" si="30">SUM(X34:X35)</f>
        <v>446.12218400687874</v>
      </c>
      <c r="Y33" s="55">
        <f t="shared" si="30"/>
        <v>445.29183147033535</v>
      </c>
      <c r="DA33" s="101"/>
    </row>
    <row r="34" spans="1:105" ht="12" customHeight="1" x14ac:dyDescent="0.25">
      <c r="A34" s="61" t="s">
        <v>52</v>
      </c>
      <c r="B34" s="55">
        <v>75.809716251074803</v>
      </c>
      <c r="C34" s="55">
        <v>74.711006018916592</v>
      </c>
      <c r="D34" s="55">
        <v>59.329320722269991</v>
      </c>
      <c r="E34" s="55">
        <v>47.243680137575232</v>
      </c>
      <c r="F34" s="55">
        <v>48.342390369733437</v>
      </c>
      <c r="G34" s="55">
        <v>13.184264832330181</v>
      </c>
      <c r="H34" s="55">
        <v>12.085640584694749</v>
      </c>
      <c r="I34" s="55">
        <v>10.98693035253654</v>
      </c>
      <c r="J34" s="55">
        <v>12.085640584694749</v>
      </c>
      <c r="K34" s="55">
        <v>12.085640584694749</v>
      </c>
      <c r="L34" s="55">
        <v>14.28297506448839</v>
      </c>
      <c r="M34" s="55">
        <v>10.98693035253654</v>
      </c>
      <c r="N34" s="55">
        <v>12.085640584694749</v>
      </c>
      <c r="O34" s="55">
        <v>13.184264832330181</v>
      </c>
      <c r="P34" s="55">
        <v>10.98693035253654</v>
      </c>
      <c r="Q34" s="55">
        <v>17.579019776440241</v>
      </c>
      <c r="R34" s="55">
        <v>14.28297506448839</v>
      </c>
      <c r="S34" s="55">
        <v>16.590197764402401</v>
      </c>
      <c r="T34" s="55">
        <v>16.480395528804809</v>
      </c>
      <c r="U34" s="55">
        <v>17.579019776440241</v>
      </c>
      <c r="V34" s="55">
        <v>19.77050730868444</v>
      </c>
      <c r="W34" s="55">
        <v>21.465090283748921</v>
      </c>
      <c r="X34" s="55">
        <v>18.527773000859849</v>
      </c>
      <c r="Y34" s="55">
        <v>18.075838349097161</v>
      </c>
      <c r="DA34" s="101" t="s">
        <v>201</v>
      </c>
    </row>
    <row r="35" spans="1:105" ht="12" customHeight="1" x14ac:dyDescent="0.25">
      <c r="A35" s="61" t="s">
        <v>163</v>
      </c>
      <c r="B35" s="55">
        <v>791.96044711951845</v>
      </c>
      <c r="C35" s="55">
        <v>814.41427343078237</v>
      </c>
      <c r="D35" s="55">
        <v>1083.0442820292342</v>
      </c>
      <c r="E35" s="55">
        <v>1246.3361134995698</v>
      </c>
      <c r="F35" s="55">
        <v>1232.6119518486673</v>
      </c>
      <c r="G35" s="55">
        <v>1233.6605331040416</v>
      </c>
      <c r="H35" s="55">
        <v>1065.0162510748069</v>
      </c>
      <c r="I35" s="55">
        <v>898.52390369733439</v>
      </c>
      <c r="J35" s="55">
        <v>1102.8087704213244</v>
      </c>
      <c r="K35" s="55">
        <v>890.13086844368013</v>
      </c>
      <c r="L35" s="55">
        <v>994.79793637145303</v>
      </c>
      <c r="M35" s="55">
        <v>839.23043852106605</v>
      </c>
      <c r="N35" s="55">
        <v>831.93843508168527</v>
      </c>
      <c r="O35" s="55">
        <v>906.22192605331031</v>
      </c>
      <c r="P35" s="55">
        <v>710.81969045571793</v>
      </c>
      <c r="Q35" s="55">
        <v>841.08151332760099</v>
      </c>
      <c r="R35" s="55">
        <v>763.3300085984522</v>
      </c>
      <c r="S35" s="55">
        <v>763.63989681857254</v>
      </c>
      <c r="T35" s="55">
        <v>745.32811693895098</v>
      </c>
      <c r="U35" s="55">
        <v>586.38185726569225</v>
      </c>
      <c r="V35" s="55">
        <v>634.14049871023201</v>
      </c>
      <c r="W35" s="55">
        <v>519.99071367153908</v>
      </c>
      <c r="X35" s="55">
        <v>427.5944110060189</v>
      </c>
      <c r="Y35" s="55">
        <v>427.21599312123817</v>
      </c>
      <c r="DA35" s="101" t="s">
        <v>202</v>
      </c>
    </row>
    <row r="36" spans="1:105" ht="12" customHeight="1" x14ac:dyDescent="0.25">
      <c r="A36" s="60" t="s">
        <v>149</v>
      </c>
      <c r="B36" s="55">
        <v>1545.3049011177991</v>
      </c>
      <c r="C36" s="55">
        <v>1647.6591573516771</v>
      </c>
      <c r="D36" s="55">
        <v>1613.807910576096</v>
      </c>
      <c r="E36" s="55">
        <v>1668.448495270851</v>
      </c>
      <c r="F36" s="55">
        <v>1618.410920034393</v>
      </c>
      <c r="G36" s="55">
        <v>1590.880911435941</v>
      </c>
      <c r="H36" s="55">
        <v>1604.98366294067</v>
      </c>
      <c r="I36" s="55">
        <v>1549.4177987962171</v>
      </c>
      <c r="J36" s="55">
        <v>1768.530524505589</v>
      </c>
      <c r="K36" s="55">
        <v>1848.6167669819431</v>
      </c>
      <c r="L36" s="55">
        <v>2013.8136715391231</v>
      </c>
      <c r="M36" s="55">
        <v>1641.2625107480651</v>
      </c>
      <c r="N36" s="55">
        <v>1831.5963886500431</v>
      </c>
      <c r="O36" s="55">
        <v>1984.206620808254</v>
      </c>
      <c r="P36" s="55">
        <v>1557.081771281169</v>
      </c>
      <c r="Q36" s="55">
        <v>1744.652794496991</v>
      </c>
      <c r="R36" s="55">
        <v>1841.024247635426</v>
      </c>
      <c r="S36" s="55">
        <v>1821.736629406706</v>
      </c>
      <c r="T36" s="55">
        <v>1837.7313765859292</v>
      </c>
      <c r="U36" s="55">
        <v>1820.9640513950817</v>
      </c>
      <c r="V36" s="55">
        <v>1709.3805756480926</v>
      </c>
      <c r="W36" s="55">
        <v>1969.6255485485542</v>
      </c>
      <c r="X36" s="55">
        <v>1553.1335625252739</v>
      </c>
      <c r="Y36" s="55">
        <v>1424.9920975599223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1.2420464316423043</v>
      </c>
      <c r="C37" s="55">
        <f t="shared" ref="C37:W37" si="31">SUM(C38:C42)</f>
        <v>4.0842648323301791</v>
      </c>
      <c r="D37" s="55">
        <f t="shared" si="31"/>
        <v>3.4154772141014611</v>
      </c>
      <c r="E37" s="55">
        <f t="shared" si="31"/>
        <v>3.1766122098022356</v>
      </c>
      <c r="F37" s="55">
        <f t="shared" si="31"/>
        <v>5.0874462596732579</v>
      </c>
      <c r="G37" s="55">
        <f t="shared" si="31"/>
        <v>6.2099742046431636</v>
      </c>
      <c r="H37" s="55">
        <f t="shared" si="31"/>
        <v>6.4151332760103168</v>
      </c>
      <c r="I37" s="55">
        <f t="shared" si="31"/>
        <v>8.0300945829750638</v>
      </c>
      <c r="J37" s="55">
        <f t="shared" si="31"/>
        <v>5.7509888220120393</v>
      </c>
      <c r="K37" s="55">
        <f t="shared" si="31"/>
        <v>7.3123817712811672</v>
      </c>
      <c r="L37" s="55">
        <f t="shared" si="31"/>
        <v>13.896044711951845</v>
      </c>
      <c r="M37" s="55">
        <f t="shared" si="31"/>
        <v>19.953224419604474</v>
      </c>
      <c r="N37" s="55">
        <f t="shared" si="31"/>
        <v>38.159673258813413</v>
      </c>
      <c r="O37" s="55">
        <f t="shared" si="31"/>
        <v>59.402579535683564</v>
      </c>
      <c r="P37" s="55">
        <f t="shared" si="31"/>
        <v>79.071109200343926</v>
      </c>
      <c r="Q37" s="55">
        <f t="shared" si="31"/>
        <v>87.243594153052456</v>
      </c>
      <c r="R37" s="55">
        <f t="shared" si="31"/>
        <v>91.652536543422187</v>
      </c>
      <c r="S37" s="55">
        <f t="shared" si="31"/>
        <v>90.712209802235606</v>
      </c>
      <c r="T37" s="55">
        <f t="shared" si="31"/>
        <v>89.669827197390276</v>
      </c>
      <c r="U37" s="55">
        <f t="shared" si="31"/>
        <v>93.396395724436985</v>
      </c>
      <c r="V37" s="55">
        <f t="shared" si="31"/>
        <v>91.961814721641119</v>
      </c>
      <c r="W37" s="55">
        <f t="shared" si="31"/>
        <v>89.174967358582094</v>
      </c>
      <c r="X37" s="55">
        <f t="shared" ref="X37:Y37" si="32">SUM(X38:X42)</f>
        <v>88.303238850478692</v>
      </c>
      <c r="Y37" s="55">
        <f t="shared" si="32"/>
        <v>82.581591176104936</v>
      </c>
      <c r="DA37" s="101"/>
    </row>
    <row r="38" spans="1:105" ht="12" customHeight="1" x14ac:dyDescent="0.25">
      <c r="A38" s="61" t="s">
        <v>164</v>
      </c>
      <c r="B38" s="55">
        <v>2.3903697334479834E-2</v>
      </c>
      <c r="C38" s="55">
        <v>2.390369733447939E-2</v>
      </c>
      <c r="D38" s="55">
        <v>2.390369733447964E-2</v>
      </c>
      <c r="E38" s="55">
        <v>2.3903697334479945E-2</v>
      </c>
      <c r="F38" s="55">
        <v>4.1081685296646597</v>
      </c>
      <c r="G38" s="55">
        <v>5.1829750644883923</v>
      </c>
      <c r="H38" s="55">
        <v>5.135167669819432</v>
      </c>
      <c r="I38" s="55">
        <v>5.2785038693035258</v>
      </c>
      <c r="J38" s="55">
        <v>2.1974204643164237</v>
      </c>
      <c r="K38" s="55">
        <v>1.3852966466036101</v>
      </c>
      <c r="L38" s="55">
        <v>7.0101461736887343</v>
      </c>
      <c r="M38" s="55">
        <v>8.2855546001719702</v>
      </c>
      <c r="N38" s="55">
        <v>17.82269991401548</v>
      </c>
      <c r="O38" s="55">
        <v>36.469389509888202</v>
      </c>
      <c r="P38" s="55">
        <v>50.174376612209791</v>
      </c>
      <c r="Q38" s="55">
        <v>59.083233018056745</v>
      </c>
      <c r="R38" s="55">
        <v>61.154084264832342</v>
      </c>
      <c r="S38" s="55">
        <v>59.950300945829753</v>
      </c>
      <c r="T38" s="55">
        <v>60.248925193465169</v>
      </c>
      <c r="U38" s="55">
        <v>63.401547721410154</v>
      </c>
      <c r="V38" s="55">
        <v>60.478073946689591</v>
      </c>
      <c r="W38" s="55">
        <v>59.427257093723128</v>
      </c>
      <c r="X38" s="55">
        <v>57.024505588993975</v>
      </c>
      <c r="Y38" s="55">
        <v>49.593981083404977</v>
      </c>
      <c r="DA38" s="101" t="s">
        <v>204</v>
      </c>
    </row>
    <row r="39" spans="1:105" ht="12" customHeight="1" x14ac:dyDescent="0.25">
      <c r="A39" s="61" t="s">
        <v>50</v>
      </c>
      <c r="B39" s="55">
        <v>0.66878761822871879</v>
      </c>
      <c r="C39" s="55">
        <v>3.893207222699913</v>
      </c>
      <c r="D39" s="55">
        <v>3.2005159071367149</v>
      </c>
      <c r="E39" s="55">
        <v>2.8661220980223558</v>
      </c>
      <c r="F39" s="55">
        <v>0.66878761822871879</v>
      </c>
      <c r="G39" s="55">
        <v>0.7165090283748925</v>
      </c>
      <c r="H39" s="55">
        <v>0.88374892519346515</v>
      </c>
      <c r="I39" s="55">
        <v>1.7435941530524499</v>
      </c>
      <c r="J39" s="55">
        <v>1.982459157351677</v>
      </c>
      <c r="K39" s="55">
        <v>3.654342218400688</v>
      </c>
      <c r="L39" s="55">
        <v>6.0045571797076516</v>
      </c>
      <c r="M39" s="55">
        <v>10.728976784178849</v>
      </c>
      <c r="N39" s="55">
        <v>19.39905417024935</v>
      </c>
      <c r="O39" s="55">
        <v>21.94273430782459</v>
      </c>
      <c r="P39" s="55">
        <v>27.43619948409286</v>
      </c>
      <c r="Q39" s="55">
        <v>26.526225279449701</v>
      </c>
      <c r="R39" s="55">
        <v>28.876440240756661</v>
      </c>
      <c r="S39" s="55">
        <v>29.194153052450559</v>
      </c>
      <c r="T39" s="55">
        <v>27.7831547984221</v>
      </c>
      <c r="U39" s="55">
        <v>28.492526420911613</v>
      </c>
      <c r="V39" s="55">
        <v>29.893027103412404</v>
      </c>
      <c r="W39" s="55">
        <v>28.290788510774707</v>
      </c>
      <c r="X39" s="55">
        <v>29.680882874554371</v>
      </c>
      <c r="Y39" s="55">
        <v>31.528280771977681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1.4101461736887359E-2</v>
      </c>
      <c r="I40" s="55">
        <v>0.45864144453998268</v>
      </c>
      <c r="J40" s="55">
        <v>0.83069647463456564</v>
      </c>
      <c r="K40" s="55">
        <v>0.74411006018916592</v>
      </c>
      <c r="L40" s="55">
        <v>8.8392089423903697E-2</v>
      </c>
      <c r="M40" s="55">
        <v>8.8392089423903697E-2</v>
      </c>
      <c r="N40" s="55">
        <v>9.0025795356835761E-2</v>
      </c>
      <c r="O40" s="55">
        <v>9.0025795356835761E-2</v>
      </c>
      <c r="P40" s="55">
        <v>0.4502149613069647</v>
      </c>
      <c r="Q40" s="55">
        <v>0.54024075666380056</v>
      </c>
      <c r="R40" s="55">
        <v>0.27016337059329321</v>
      </c>
      <c r="S40" s="55">
        <v>0.18005159071367149</v>
      </c>
      <c r="T40" s="55">
        <v>9.0025795356835761E-2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0.5493551160791057</v>
      </c>
      <c r="C41" s="55">
        <v>0.16715391229578669</v>
      </c>
      <c r="D41" s="55">
        <v>0.19105760963026661</v>
      </c>
      <c r="E41" s="55">
        <v>0.28658641444539978</v>
      </c>
      <c r="F41" s="55">
        <v>0.31049011177987962</v>
      </c>
      <c r="G41" s="55">
        <v>0.31049011177987962</v>
      </c>
      <c r="H41" s="55">
        <v>0.3821152192605331</v>
      </c>
      <c r="I41" s="55">
        <v>0.5493551160791057</v>
      </c>
      <c r="J41" s="55">
        <v>0.74041272570937233</v>
      </c>
      <c r="K41" s="55">
        <v>1.5286328460877039</v>
      </c>
      <c r="L41" s="55">
        <v>0.79294926913155628</v>
      </c>
      <c r="M41" s="55">
        <v>0.85030094582975058</v>
      </c>
      <c r="N41" s="55">
        <v>0.84789337919174546</v>
      </c>
      <c r="O41" s="55">
        <v>0.9004299226139294</v>
      </c>
      <c r="P41" s="55">
        <v>1.010318142734308</v>
      </c>
      <c r="Q41" s="55">
        <v>1.0938950988822009</v>
      </c>
      <c r="R41" s="55">
        <v>1.3518486672398971</v>
      </c>
      <c r="S41" s="55">
        <v>1.387704213241616</v>
      </c>
      <c r="T41" s="55">
        <v>1.547721410146174</v>
      </c>
      <c r="U41" s="55">
        <v>1.5023215821152189</v>
      </c>
      <c r="V41" s="55">
        <v>1.590713671539123</v>
      </c>
      <c r="W41" s="55">
        <v>1.4569217540842649</v>
      </c>
      <c r="X41" s="55">
        <v>1.597850386930352</v>
      </c>
      <c r="Y41" s="55">
        <v>1.45932932072227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DA42" s="101" t="s">
        <v>208</v>
      </c>
    </row>
    <row r="43" spans="1:105" ht="12" customHeight="1" x14ac:dyDescent="0.25">
      <c r="A43" s="61" t="s">
        <v>151</v>
      </c>
      <c r="B43" s="309">
        <v>1.7311032127271971E-2</v>
      </c>
      <c r="C43" s="309">
        <v>2.903998664237804E-2</v>
      </c>
      <c r="D43" s="55">
        <v>3.4304574828056995E-2</v>
      </c>
      <c r="E43" s="55">
        <v>3.9867993877285075E-2</v>
      </c>
      <c r="F43" s="55">
        <v>6.0536709347679116E-2</v>
      </c>
      <c r="G43" s="55">
        <v>0.11849556171977092</v>
      </c>
      <c r="H43" s="55">
        <v>0.89310933432995843</v>
      </c>
      <c r="I43" s="55">
        <v>1.3332029831394727</v>
      </c>
      <c r="J43" s="55">
        <v>1.780398934763352</v>
      </c>
      <c r="K43" s="55">
        <v>2.2054962007833336</v>
      </c>
      <c r="L43" s="55">
        <v>2.36457437661221</v>
      </c>
      <c r="M43" s="55">
        <v>2.6511607910576105</v>
      </c>
      <c r="N43" s="55">
        <v>3.0572656921754109</v>
      </c>
      <c r="O43" s="55">
        <v>3.6065348237317258</v>
      </c>
      <c r="P43" s="55">
        <v>3.2483233018056716</v>
      </c>
      <c r="Q43" s="55">
        <v>3.1551160791057584</v>
      </c>
      <c r="R43" s="55">
        <v>3.4274290627687036</v>
      </c>
      <c r="S43" s="55">
        <v>3.6137575236457411</v>
      </c>
      <c r="T43" s="55">
        <v>8.99019776440241</v>
      </c>
      <c r="U43" s="55">
        <v>13.650042992261392</v>
      </c>
      <c r="V43" s="55">
        <v>17.30438521066208</v>
      </c>
      <c r="W43" s="55">
        <v>30.725107480653456</v>
      </c>
      <c r="X43" s="55">
        <v>32.614445399827993</v>
      </c>
      <c r="Y43" s="55">
        <v>39.841874462596728</v>
      </c>
      <c r="DA43" s="101" t="s">
        <v>209</v>
      </c>
    </row>
    <row r="44" spans="1:105" ht="12" customHeight="1" x14ac:dyDescent="0.25">
      <c r="A44" s="60" t="s">
        <v>162</v>
      </c>
      <c r="B44" s="55">
        <v>47.960189165950126</v>
      </c>
      <c r="C44" s="55">
        <v>47.793035253654338</v>
      </c>
      <c r="D44" s="55">
        <v>47.124247635425618</v>
      </c>
      <c r="E44" s="55">
        <v>46.168873602751503</v>
      </c>
      <c r="F44" s="55">
        <v>53.024333619948408</v>
      </c>
      <c r="G44" s="55">
        <v>50.873000859845213</v>
      </c>
      <c r="H44" s="55">
        <v>60.214445399828023</v>
      </c>
      <c r="I44" s="55">
        <v>64.759759243336205</v>
      </c>
      <c r="J44" s="55">
        <v>34.891917454858117</v>
      </c>
      <c r="K44" s="55">
        <v>36.564660361134997</v>
      </c>
      <c r="L44" s="55">
        <v>51.2816852966466</v>
      </c>
      <c r="M44" s="55">
        <v>45.546087704213242</v>
      </c>
      <c r="N44" s="55">
        <v>45.182459157351673</v>
      </c>
      <c r="O44" s="55">
        <v>43.600429922613927</v>
      </c>
      <c r="P44" s="55">
        <v>55.587274290627683</v>
      </c>
      <c r="Q44" s="55">
        <v>62.691315563198614</v>
      </c>
      <c r="R44" s="55">
        <v>58.123129836629403</v>
      </c>
      <c r="S44" s="55">
        <v>52.395614789337912</v>
      </c>
      <c r="T44" s="55">
        <v>56.654256233877895</v>
      </c>
      <c r="U44" s="55">
        <v>57.356491831470343</v>
      </c>
      <c r="V44" s="55">
        <v>67.182545141874456</v>
      </c>
      <c r="W44" s="55">
        <v>72.461049011177977</v>
      </c>
      <c r="X44" s="55">
        <v>72.532760103181431</v>
      </c>
      <c r="Y44" s="55">
        <v>85.119862424763539</v>
      </c>
      <c r="DA44" s="101" t="s">
        <v>210</v>
      </c>
    </row>
    <row r="45" spans="1:105" ht="12" customHeight="1" x14ac:dyDescent="0.25">
      <c r="A45" s="62" t="s">
        <v>24</v>
      </c>
      <c r="B45" s="63">
        <v>1052.083974990154</v>
      </c>
      <c r="C45" s="63">
        <v>1099.8053681941315</v>
      </c>
      <c r="D45" s="63">
        <v>1019.5817988032056</v>
      </c>
      <c r="E45" s="63">
        <v>1023.7090491794597</v>
      </c>
      <c r="F45" s="63">
        <v>1704.4399017346452</v>
      </c>
      <c r="G45" s="63">
        <v>1787.1455160984597</v>
      </c>
      <c r="H45" s="63">
        <v>1801.693928762136</v>
      </c>
      <c r="I45" s="63">
        <v>1828.5664540135626</v>
      </c>
      <c r="J45" s="63">
        <v>1879.8176530974292</v>
      </c>
      <c r="K45" s="63">
        <v>1917.9931438378253</v>
      </c>
      <c r="L45" s="63">
        <v>1906.6526447205679</v>
      </c>
      <c r="M45" s="63">
        <v>1846.0820765715305</v>
      </c>
      <c r="N45" s="63">
        <v>1865.5673345202642</v>
      </c>
      <c r="O45" s="63">
        <v>1882.841922649493</v>
      </c>
      <c r="P45" s="63">
        <v>1810.812072047037</v>
      </c>
      <c r="Q45" s="63">
        <v>1846.9573681456438</v>
      </c>
      <c r="R45" s="63">
        <v>1852.2029530662746</v>
      </c>
      <c r="S45" s="63">
        <v>1859.7954548591267</v>
      </c>
      <c r="T45" s="63">
        <v>1868.6302351657371</v>
      </c>
      <c r="U45" s="63">
        <v>1855.3524461146721</v>
      </c>
      <c r="V45" s="63">
        <v>1755.8332796879176</v>
      </c>
      <c r="W45" s="63">
        <v>1791.8261100658649</v>
      </c>
      <c r="X45" s="63">
        <v>1776.7866564156047</v>
      </c>
      <c r="Y45" s="63">
        <v>1739.6518977016447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3514.3612750761386</v>
      </c>
      <c r="C47" s="82">
        <f t="shared" ref="C47:W47" si="34">SUM(C48,C53)</f>
        <v>3688.4671050814914</v>
      </c>
      <c r="D47" s="82">
        <f t="shared" si="34"/>
        <v>3826.3030369803323</v>
      </c>
      <c r="E47" s="82">
        <f t="shared" si="34"/>
        <v>4035.0828239000093</v>
      </c>
      <c r="F47" s="82">
        <f t="shared" si="34"/>
        <v>4661.9169438670615</v>
      </c>
      <c r="G47" s="82">
        <f t="shared" si="34"/>
        <v>4681.9542005352614</v>
      </c>
      <c r="H47" s="82">
        <f t="shared" si="34"/>
        <v>4550.4090620381467</v>
      </c>
      <c r="I47" s="82">
        <f t="shared" si="34"/>
        <v>4360.2849406859623</v>
      </c>
      <c r="J47" s="82">
        <f t="shared" si="34"/>
        <v>4803.885494885908</v>
      </c>
      <c r="K47" s="82">
        <f t="shared" si="34"/>
        <v>4712.70346198056</v>
      </c>
      <c r="L47" s="82">
        <f t="shared" si="34"/>
        <v>4994.7249577042303</v>
      </c>
      <c r="M47" s="82">
        <f t="shared" si="34"/>
        <v>4403.0612683170157</v>
      </c>
      <c r="N47" s="82">
        <f t="shared" si="34"/>
        <v>4624.5299312528523</v>
      </c>
      <c r="O47" s="82">
        <f t="shared" si="34"/>
        <v>4889.4577438016859</v>
      </c>
      <c r="P47" s="82">
        <f t="shared" si="34"/>
        <v>4224.3588476274308</v>
      </c>
      <c r="Q47" s="82">
        <f t="shared" si="34"/>
        <v>4600.2056054629284</v>
      </c>
      <c r="R47" s="82">
        <f t="shared" si="34"/>
        <v>4620.6158507446926</v>
      </c>
      <c r="S47" s="82">
        <f t="shared" si="34"/>
        <v>4604.8700034403828</v>
      </c>
      <c r="T47" s="82">
        <f t="shared" si="34"/>
        <v>4614.4942076506904</v>
      </c>
      <c r="U47" s="82">
        <f t="shared" si="34"/>
        <v>4431.0302621077917</v>
      </c>
      <c r="V47" s="82">
        <f t="shared" si="34"/>
        <v>4278.2692212184411</v>
      </c>
      <c r="W47" s="82">
        <f t="shared" si="34"/>
        <v>4464.5434789394676</v>
      </c>
      <c r="X47" s="82">
        <f t="shared" ref="X47:Y47" si="35">SUM(X48,X53)</f>
        <v>3936.878401901417</v>
      </c>
      <c r="Y47" s="82">
        <f t="shared" si="35"/>
        <v>3777.637280332769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2834.1554701916484</v>
      </c>
      <c r="C48" s="64">
        <f t="shared" ref="C48:W48" si="37">SUM(C49:C52)</f>
        <v>2981.6660202194921</v>
      </c>
      <c r="D48" s="64">
        <f t="shared" si="37"/>
        <v>3079.5991162574305</v>
      </c>
      <c r="E48" s="64">
        <f t="shared" si="37"/>
        <v>3262.703918871422</v>
      </c>
      <c r="F48" s="64">
        <f t="shared" si="37"/>
        <v>3852.1588818819882</v>
      </c>
      <c r="G48" s="64">
        <f t="shared" si="37"/>
        <v>3832.489244824289</v>
      </c>
      <c r="H48" s="64">
        <f t="shared" si="37"/>
        <v>3655.4764080597874</v>
      </c>
      <c r="I48" s="64">
        <f t="shared" si="37"/>
        <v>3422.8483049464935</v>
      </c>
      <c r="J48" s="64">
        <f t="shared" si="37"/>
        <v>3833.4877272575691</v>
      </c>
      <c r="K48" s="64">
        <f t="shared" si="37"/>
        <v>3724.3978120476977</v>
      </c>
      <c r="L48" s="64">
        <f t="shared" si="37"/>
        <v>3977.8353759986112</v>
      </c>
      <c r="M48" s="64">
        <f t="shared" si="37"/>
        <v>3364.0081137873449</v>
      </c>
      <c r="N48" s="64">
        <f t="shared" si="37"/>
        <v>3573.8089493565576</v>
      </c>
      <c r="O48" s="64">
        <f t="shared" si="37"/>
        <v>3829.5156527393437</v>
      </c>
      <c r="P48" s="64">
        <f t="shared" si="37"/>
        <v>3152.1473658988571</v>
      </c>
      <c r="Q48" s="64">
        <f t="shared" si="37"/>
        <v>3512.3908594217428</v>
      </c>
      <c r="R48" s="64">
        <f t="shared" si="37"/>
        <v>3537.9326432394482</v>
      </c>
      <c r="S48" s="64">
        <f t="shared" si="37"/>
        <v>3516.0509805315669</v>
      </c>
      <c r="T48" s="64">
        <f t="shared" si="37"/>
        <v>3543.0256278345105</v>
      </c>
      <c r="U48" s="64">
        <f t="shared" si="37"/>
        <v>3378.5417198038581</v>
      </c>
      <c r="V48" s="64">
        <f t="shared" si="37"/>
        <v>3271.9823598210196</v>
      </c>
      <c r="W48" s="64">
        <f t="shared" si="37"/>
        <v>3470.0787780667492</v>
      </c>
      <c r="X48" s="64">
        <f t="shared" ref="X48:Y48" si="38">SUM(X49:X52)</f>
        <v>2945.7604272406111</v>
      </c>
      <c r="Y48" s="64">
        <f t="shared" si="38"/>
        <v>2794.3598905687832</v>
      </c>
      <c r="DA48" s="108" t="s">
        <v>213</v>
      </c>
    </row>
    <row r="49" spans="1:105" ht="12" customHeight="1" x14ac:dyDescent="0.25">
      <c r="A49" s="61" t="s">
        <v>32</v>
      </c>
      <c r="B49" s="65">
        <v>2203.5920976188963</v>
      </c>
      <c r="C49" s="65">
        <v>2336.1923275495142</v>
      </c>
      <c r="D49" s="65">
        <v>2389.4957721872515</v>
      </c>
      <c r="E49" s="65">
        <v>2546.6742581596291</v>
      </c>
      <c r="F49" s="65">
        <v>3164.1736225893956</v>
      </c>
      <c r="G49" s="65">
        <v>3138.2365013843641</v>
      </c>
      <c r="H49" s="65">
        <v>2933.93220672793</v>
      </c>
      <c r="I49" s="65">
        <v>2688.8886450383538</v>
      </c>
      <c r="J49" s="65">
        <v>3085.2877904001398</v>
      </c>
      <c r="K49" s="65">
        <v>2964.2165087961093</v>
      </c>
      <c r="L49" s="65">
        <v>3197.168046969296</v>
      </c>
      <c r="M49" s="65">
        <v>2570.0182240430809</v>
      </c>
      <c r="N49" s="65">
        <v>2757.3973048745975</v>
      </c>
      <c r="O49" s="65">
        <v>2999.7910772953669</v>
      </c>
      <c r="P49" s="65">
        <v>2306.647606001005</v>
      </c>
      <c r="Q49" s="65">
        <v>2649.0381785335417</v>
      </c>
      <c r="R49" s="65">
        <v>2668.0002186375332</v>
      </c>
      <c r="S49" s="65">
        <v>2647.3228780048998</v>
      </c>
      <c r="T49" s="65">
        <v>2666.6696490940581</v>
      </c>
      <c r="U49" s="65">
        <v>2540.027240915746</v>
      </c>
      <c r="V49" s="65">
        <v>2466.3480753536269</v>
      </c>
      <c r="W49" s="65">
        <v>2650.6629979141103</v>
      </c>
      <c r="X49" s="65">
        <v>2110.9939096362718</v>
      </c>
      <c r="Y49" s="65">
        <v>1960.4041022584868</v>
      </c>
      <c r="DA49" s="109" t="s">
        <v>214</v>
      </c>
    </row>
    <row r="50" spans="1:105" ht="12" customHeight="1" x14ac:dyDescent="0.25">
      <c r="A50" s="61" t="s">
        <v>31</v>
      </c>
      <c r="B50" s="65">
        <v>13.078979416131808</v>
      </c>
      <c r="C50" s="65">
        <v>16.289133522581213</v>
      </c>
      <c r="D50" s="65">
        <v>20.846012005087914</v>
      </c>
      <c r="E50" s="65">
        <v>30.513658114191433</v>
      </c>
      <c r="F50" s="65">
        <v>27.720456009076386</v>
      </c>
      <c r="G50" s="65">
        <v>32.902351031105354</v>
      </c>
      <c r="H50" s="65">
        <v>47.527565231710078</v>
      </c>
      <c r="I50" s="65">
        <v>43.246554387495948</v>
      </c>
      <c r="J50" s="65">
        <v>48.003902661663027</v>
      </c>
      <c r="K50" s="65">
        <v>53.459862433480104</v>
      </c>
      <c r="L50" s="65">
        <v>62.135669373960866</v>
      </c>
      <c r="M50" s="65">
        <v>61.833385199005185</v>
      </c>
      <c r="N50" s="65">
        <v>64.540801353499774</v>
      </c>
      <c r="O50" s="65">
        <v>67.569552670445034</v>
      </c>
      <c r="P50" s="65">
        <v>66.385801432503882</v>
      </c>
      <c r="Q50" s="65">
        <v>74.914914956743516</v>
      </c>
      <c r="R50" s="65">
        <v>73.26152719582926</v>
      </c>
      <c r="S50" s="65">
        <v>68.527102354478117</v>
      </c>
      <c r="T50" s="65">
        <v>77.161142785596425</v>
      </c>
      <c r="U50" s="65">
        <v>73.676670495465444</v>
      </c>
      <c r="V50" s="65">
        <v>78.70130033473724</v>
      </c>
      <c r="W50" s="65">
        <v>63.800728057223274</v>
      </c>
      <c r="X50" s="65">
        <v>72.729115237459396</v>
      </c>
      <c r="Y50" s="65">
        <v>66.191379529590762</v>
      </c>
      <c r="DA50" s="109" t="s">
        <v>215</v>
      </c>
    </row>
    <row r="51" spans="1:105" ht="12" customHeight="1" x14ac:dyDescent="0.25">
      <c r="A51" s="61" t="s">
        <v>35</v>
      </c>
      <c r="B51" s="65">
        <v>361.95269167535128</v>
      </c>
      <c r="C51" s="65">
        <v>365.2188631035483</v>
      </c>
      <c r="D51" s="65">
        <v>387.10612826473448</v>
      </c>
      <c r="E51" s="65">
        <v>398.04556294096528</v>
      </c>
      <c r="F51" s="65">
        <v>382.38212902720892</v>
      </c>
      <c r="G51" s="65">
        <v>381.28610362156991</v>
      </c>
      <c r="H51" s="65">
        <v>387.56003508739366</v>
      </c>
      <c r="I51" s="65">
        <v>391.34986204057407</v>
      </c>
      <c r="J51" s="65">
        <v>392.87472772094333</v>
      </c>
      <c r="K51" s="65">
        <v>394.76196138215357</v>
      </c>
      <c r="L51" s="65">
        <v>399.93390701743891</v>
      </c>
      <c r="M51" s="65">
        <v>407.3828785507788</v>
      </c>
      <c r="N51" s="65">
        <v>414.71098635436493</v>
      </c>
      <c r="O51" s="65">
        <v>420.52901829923485</v>
      </c>
      <c r="P51" s="65">
        <v>423.17352170607734</v>
      </c>
      <c r="Q51" s="65">
        <v>421.96277371524508</v>
      </c>
      <c r="R51" s="65">
        <v>424.40252459782482</v>
      </c>
      <c r="S51" s="65">
        <v>424.05159116744295</v>
      </c>
      <c r="T51" s="65">
        <v>419.76092036964275</v>
      </c>
      <c r="U51" s="65">
        <v>394.6944424383837</v>
      </c>
      <c r="V51" s="65">
        <v>372.69551936290839</v>
      </c>
      <c r="W51" s="65">
        <v>390.62811618483516</v>
      </c>
      <c r="X51" s="65">
        <v>391.51730221622518</v>
      </c>
      <c r="Y51" s="65">
        <v>393.94726148360184</v>
      </c>
      <c r="DA51" s="109" t="s">
        <v>216</v>
      </c>
    </row>
    <row r="52" spans="1:105" ht="12" customHeight="1" x14ac:dyDescent="0.25">
      <c r="A52" s="66" t="s">
        <v>34</v>
      </c>
      <c r="B52" s="67">
        <v>255.5317014812689</v>
      </c>
      <c r="C52" s="67">
        <v>263.96569604384842</v>
      </c>
      <c r="D52" s="67">
        <v>282.15120380035705</v>
      </c>
      <c r="E52" s="67">
        <v>287.47043965663613</v>
      </c>
      <c r="F52" s="67">
        <v>277.88267425630721</v>
      </c>
      <c r="G52" s="67">
        <v>280.0642887872495</v>
      </c>
      <c r="H52" s="67">
        <v>286.45660101275359</v>
      </c>
      <c r="I52" s="67">
        <v>299.36324348006968</v>
      </c>
      <c r="J52" s="67">
        <v>307.32130647482273</v>
      </c>
      <c r="K52" s="67">
        <v>311.95947943595485</v>
      </c>
      <c r="L52" s="67">
        <v>318.59775263791585</v>
      </c>
      <c r="M52" s="67">
        <v>324.77362599448008</v>
      </c>
      <c r="N52" s="67">
        <v>337.15985677409515</v>
      </c>
      <c r="O52" s="67">
        <v>341.62600447429708</v>
      </c>
      <c r="P52" s="67">
        <v>355.94043675927094</v>
      </c>
      <c r="Q52" s="67">
        <v>366.47499221621251</v>
      </c>
      <c r="R52" s="67">
        <v>372.26837280826101</v>
      </c>
      <c r="S52" s="67">
        <v>376.14940900474579</v>
      </c>
      <c r="T52" s="67">
        <v>379.43391558521319</v>
      </c>
      <c r="U52" s="67">
        <v>370.14336595426323</v>
      </c>
      <c r="V52" s="67">
        <v>354.23746476974691</v>
      </c>
      <c r="W52" s="67">
        <v>364.98693591058071</v>
      </c>
      <c r="X52" s="67">
        <v>370.52010015065434</v>
      </c>
      <c r="Y52" s="67">
        <v>373.81714729710416</v>
      </c>
      <c r="DA52" s="110" t="s">
        <v>217</v>
      </c>
    </row>
    <row r="53" spans="1:105" ht="12" customHeight="1" x14ac:dyDescent="0.25">
      <c r="A53" s="78" t="s">
        <v>33</v>
      </c>
      <c r="B53" s="68">
        <v>680.20580488449002</v>
      </c>
      <c r="C53" s="68">
        <v>706.80108486199924</v>
      </c>
      <c r="D53" s="68">
        <v>746.70392072290167</v>
      </c>
      <c r="E53" s="68">
        <v>772.3789050285875</v>
      </c>
      <c r="F53" s="68">
        <v>809.7580619850728</v>
      </c>
      <c r="G53" s="68">
        <v>849.46495571097239</v>
      </c>
      <c r="H53" s="68">
        <v>894.93265397835955</v>
      </c>
      <c r="I53" s="68">
        <v>937.43663573946924</v>
      </c>
      <c r="J53" s="68">
        <v>970.39776762833844</v>
      </c>
      <c r="K53" s="68">
        <v>988.30564993286202</v>
      </c>
      <c r="L53" s="68">
        <v>1016.889581705619</v>
      </c>
      <c r="M53" s="68">
        <v>1039.0531545296708</v>
      </c>
      <c r="N53" s="68">
        <v>1050.7209818962949</v>
      </c>
      <c r="O53" s="68">
        <v>1059.9420910623421</v>
      </c>
      <c r="P53" s="68">
        <v>1072.2114817285742</v>
      </c>
      <c r="Q53" s="68">
        <v>1087.8147460411858</v>
      </c>
      <c r="R53" s="68">
        <v>1082.6832075052441</v>
      </c>
      <c r="S53" s="68">
        <v>1088.8190229088154</v>
      </c>
      <c r="T53" s="68">
        <v>1071.46857981618</v>
      </c>
      <c r="U53" s="68">
        <v>1052.4885423039332</v>
      </c>
      <c r="V53" s="68">
        <v>1006.2868613974213</v>
      </c>
      <c r="W53" s="68">
        <v>994.46470087271837</v>
      </c>
      <c r="X53" s="68">
        <v>991.11797466080588</v>
      </c>
      <c r="Y53" s="68">
        <v>983.27738976398587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0.80644966420825548</v>
      </c>
      <c r="C56" s="70">
        <f t="shared" ref="C56:W56" si="43">IF(C48=0,0,C48/C$47)</f>
        <v>0.80837538610870074</v>
      </c>
      <c r="D56" s="70">
        <f t="shared" si="43"/>
        <v>0.80484976921425688</v>
      </c>
      <c r="E56" s="70">
        <f t="shared" si="43"/>
        <v>0.80858412609184971</v>
      </c>
      <c r="F56" s="70">
        <f t="shared" si="43"/>
        <v>0.82630362751306785</v>
      </c>
      <c r="G56" s="70">
        <f t="shared" si="43"/>
        <v>0.81856615436053226</v>
      </c>
      <c r="H56" s="70">
        <f t="shared" si="43"/>
        <v>0.8033291860627767</v>
      </c>
      <c r="I56" s="70">
        <f t="shared" si="43"/>
        <v>0.78500564791254424</v>
      </c>
      <c r="J56" s="70">
        <f t="shared" si="43"/>
        <v>0.79799731516053007</v>
      </c>
      <c r="K56" s="70">
        <f t="shared" si="43"/>
        <v>0.79028902244625487</v>
      </c>
      <c r="L56" s="70">
        <f t="shared" si="43"/>
        <v>0.79640729162932311</v>
      </c>
      <c r="M56" s="70">
        <f t="shared" si="43"/>
        <v>0.76401574013826323</v>
      </c>
      <c r="N56" s="70">
        <f t="shared" si="43"/>
        <v>0.77279399257523262</v>
      </c>
      <c r="O56" s="70">
        <f t="shared" si="43"/>
        <v>0.78321888712382892</v>
      </c>
      <c r="P56" s="70">
        <f t="shared" si="43"/>
        <v>0.7461836173480455</v>
      </c>
      <c r="Q56" s="70">
        <f t="shared" si="43"/>
        <v>0.76352910297110155</v>
      </c>
      <c r="R56" s="70">
        <f t="shared" si="43"/>
        <v>0.7656842199225995</v>
      </c>
      <c r="S56" s="70">
        <f t="shared" si="43"/>
        <v>0.76355054060259264</v>
      </c>
      <c r="T56" s="70">
        <f t="shared" si="43"/>
        <v>0.7678036786697624</v>
      </c>
      <c r="U56" s="70">
        <f t="shared" si="43"/>
        <v>0.76247317665502101</v>
      </c>
      <c r="V56" s="70">
        <f t="shared" si="43"/>
        <v>0.76479113179538682</v>
      </c>
      <c r="W56" s="70">
        <f t="shared" si="43"/>
        <v>0.7772527682698368</v>
      </c>
      <c r="X56" s="70">
        <f t="shared" ref="X56:Y56" si="44">IF(X48=0,0,X48/X$47)</f>
        <v>0.74824775533272248</v>
      </c>
      <c r="Y56" s="70">
        <f t="shared" si="44"/>
        <v>0.73971101066713063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0.62702492007488775</v>
      </c>
      <c r="C57" s="71">
        <f t="shared" ref="C57:W57" si="46">IF(C49=0,0,C49/C$47)</f>
        <v>0.63337756878216744</v>
      </c>
      <c r="D57" s="71">
        <f t="shared" si="46"/>
        <v>0.62449203554797639</v>
      </c>
      <c r="E57" s="71">
        <f t="shared" si="46"/>
        <v>0.63113308184792205</v>
      </c>
      <c r="F57" s="71">
        <f t="shared" si="46"/>
        <v>0.67872801267984684</v>
      </c>
      <c r="G57" s="71">
        <f t="shared" si="46"/>
        <v>0.67028346860496568</v>
      </c>
      <c r="H57" s="71">
        <f t="shared" si="46"/>
        <v>0.64476229866987167</v>
      </c>
      <c r="I57" s="71">
        <f t="shared" si="46"/>
        <v>0.61667727719999332</v>
      </c>
      <c r="J57" s="71">
        <f t="shared" si="46"/>
        <v>0.64224840364839197</v>
      </c>
      <c r="K57" s="71">
        <f t="shared" si="46"/>
        <v>0.62898430438276887</v>
      </c>
      <c r="L57" s="71">
        <f t="shared" si="46"/>
        <v>0.64010892972950384</v>
      </c>
      <c r="M57" s="71">
        <f t="shared" si="46"/>
        <v>0.58368895353241823</v>
      </c>
      <c r="N57" s="71">
        <f t="shared" si="46"/>
        <v>0.59625461308833572</v>
      </c>
      <c r="O57" s="71">
        <f t="shared" si="46"/>
        <v>0.61352224203147487</v>
      </c>
      <c r="P57" s="71">
        <f t="shared" si="46"/>
        <v>0.54603495801416368</v>
      </c>
      <c r="Q57" s="71">
        <f t="shared" si="46"/>
        <v>0.57585212612838499</v>
      </c>
      <c r="R57" s="71">
        <f t="shared" si="46"/>
        <v>0.57741225516670869</v>
      </c>
      <c r="S57" s="71">
        <f t="shared" si="46"/>
        <v>0.5748963328013682</v>
      </c>
      <c r="T57" s="71">
        <f t="shared" si="46"/>
        <v>0.57788991146045887</v>
      </c>
      <c r="U57" s="71">
        <f t="shared" si="46"/>
        <v>0.57323626575898923</v>
      </c>
      <c r="V57" s="71">
        <f t="shared" si="46"/>
        <v>0.57648267274101483</v>
      </c>
      <c r="W57" s="71">
        <f t="shared" si="46"/>
        <v>0.5937142308990937</v>
      </c>
      <c r="X57" s="71">
        <f t="shared" ref="X57:Y57" si="47">IF(X49=0,0,X49/X$47)</f>
        <v>0.53621008680804383</v>
      </c>
      <c r="Y57" s="71">
        <f t="shared" si="47"/>
        <v>0.51894979765918559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3.7215807916186569E-3</v>
      </c>
      <c r="C58" s="72">
        <f t="shared" ref="C58:W58" si="49">IF(C50=0,0,C50/C$47)</f>
        <v>4.4162339146634E-3</v>
      </c>
      <c r="D58" s="72">
        <f t="shared" si="49"/>
        <v>5.4480818177797307E-3</v>
      </c>
      <c r="E58" s="72">
        <f t="shared" si="49"/>
        <v>7.5620896635522376E-3</v>
      </c>
      <c r="F58" s="72">
        <f t="shared" si="49"/>
        <v>5.9461496939673614E-3</v>
      </c>
      <c r="G58" s="72">
        <f t="shared" si="49"/>
        <v>7.0274824617771389E-3</v>
      </c>
      <c r="H58" s="72">
        <f t="shared" si="49"/>
        <v>1.0444679716425822E-2</v>
      </c>
      <c r="I58" s="72">
        <f t="shared" si="49"/>
        <v>9.9182862991271346E-3</v>
      </c>
      <c r="J58" s="72">
        <f t="shared" si="49"/>
        <v>9.9927241631314351E-3</v>
      </c>
      <c r="K58" s="72">
        <f t="shared" si="49"/>
        <v>1.1343778123271323E-2</v>
      </c>
      <c r="L58" s="72">
        <f t="shared" si="49"/>
        <v>1.2440258452693826E-2</v>
      </c>
      <c r="M58" s="72">
        <f t="shared" si="49"/>
        <v>1.4043271585598397E-2</v>
      </c>
      <c r="N58" s="72">
        <f t="shared" si="49"/>
        <v>1.3956186317949667E-2</v>
      </c>
      <c r="O58" s="72">
        <f t="shared" si="49"/>
        <v>1.3819436880521617E-2</v>
      </c>
      <c r="P58" s="72">
        <f t="shared" si="49"/>
        <v>1.5715000507068384E-2</v>
      </c>
      <c r="Q58" s="72">
        <f t="shared" si="49"/>
        <v>1.6285123184011395E-2</v>
      </c>
      <c r="R58" s="72">
        <f t="shared" si="49"/>
        <v>1.5855359883254934E-2</v>
      </c>
      <c r="S58" s="72">
        <f t="shared" si="49"/>
        <v>1.488144123575264E-2</v>
      </c>
      <c r="T58" s="72">
        <f t="shared" si="49"/>
        <v>1.6721473538240789E-2</v>
      </c>
      <c r="U58" s="72">
        <f t="shared" si="49"/>
        <v>1.6627435638505043E-2</v>
      </c>
      <c r="V58" s="72">
        <f t="shared" si="49"/>
        <v>1.8395593232985768E-2</v>
      </c>
      <c r="W58" s="72">
        <f t="shared" si="49"/>
        <v>1.4290537959410545E-2</v>
      </c>
      <c r="X58" s="72">
        <f t="shared" ref="X58:Y58" si="50">IF(X50=0,0,X50/X$47)</f>
        <v>1.8473802798260924E-2</v>
      </c>
      <c r="Y58" s="72">
        <f t="shared" si="50"/>
        <v>1.7521899170732456E-2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0.10299245391824709</v>
      </c>
      <c r="C59" s="72">
        <f t="shared" ref="C59:W59" si="52">IF(C51=0,0,C51/C$47)</f>
        <v>9.9016434930488367E-2</v>
      </c>
      <c r="D59" s="72">
        <f t="shared" si="52"/>
        <v>0.10116975172207832</v>
      </c>
      <c r="E59" s="72">
        <f t="shared" si="52"/>
        <v>9.864619397235673E-2</v>
      </c>
      <c r="F59" s="72">
        <f t="shared" si="52"/>
        <v>8.2022509974195898E-2</v>
      </c>
      <c r="G59" s="72">
        <f t="shared" si="52"/>
        <v>8.1437384325113563E-2</v>
      </c>
      <c r="H59" s="72">
        <f t="shared" si="52"/>
        <v>8.5170372554111418E-2</v>
      </c>
      <c r="I59" s="72">
        <f t="shared" si="52"/>
        <v>8.9753276990885533E-2</v>
      </c>
      <c r="J59" s="72">
        <f t="shared" si="52"/>
        <v>8.1782700303574596E-2</v>
      </c>
      <c r="K59" s="72">
        <f t="shared" si="52"/>
        <v>8.376549990188667E-2</v>
      </c>
      <c r="L59" s="72">
        <f t="shared" si="52"/>
        <v>8.0071257257229245E-2</v>
      </c>
      <c r="M59" s="72">
        <f t="shared" si="52"/>
        <v>9.2522645887799099E-2</v>
      </c>
      <c r="N59" s="72">
        <f t="shared" si="52"/>
        <v>8.9676354682391185E-2</v>
      </c>
      <c r="O59" s="72">
        <f t="shared" si="52"/>
        <v>8.6007291674078806E-2</v>
      </c>
      <c r="P59" s="72">
        <f t="shared" si="52"/>
        <v>0.10017461512384265</v>
      </c>
      <c r="Q59" s="72">
        <f t="shared" si="52"/>
        <v>9.1726937859939864E-2</v>
      </c>
      <c r="R59" s="72">
        <f t="shared" si="52"/>
        <v>9.184977464192895E-2</v>
      </c>
      <c r="S59" s="72">
        <f t="shared" si="52"/>
        <v>9.2087635666289441E-2</v>
      </c>
      <c r="T59" s="72">
        <f t="shared" si="52"/>
        <v>9.0965748678087391E-2</v>
      </c>
      <c r="U59" s="72">
        <f t="shared" si="52"/>
        <v>8.907509520159132E-2</v>
      </c>
      <c r="V59" s="72">
        <f t="shared" si="52"/>
        <v>8.7113620039265691E-2</v>
      </c>
      <c r="W59" s="72">
        <f t="shared" si="52"/>
        <v>8.7495646089581172E-2</v>
      </c>
      <c r="X59" s="72">
        <f t="shared" ref="X59:Y59" si="53">IF(X51=0,0,X51/X$47)</f>
        <v>9.944866522347548E-2</v>
      </c>
      <c r="Y59" s="72">
        <f t="shared" si="53"/>
        <v>0.10428403582699167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7.271070942350194E-2</v>
      </c>
      <c r="C60" s="73">
        <f t="shared" ref="C60:W60" si="55">IF(C52=0,0,C52/C$47)</f>
        <v>7.1565148481381527E-2</v>
      </c>
      <c r="D60" s="73">
        <f t="shared" si="55"/>
        <v>7.3739900126422564E-2</v>
      </c>
      <c r="E60" s="73">
        <f t="shared" si="55"/>
        <v>7.1242760608018624E-2</v>
      </c>
      <c r="F60" s="73">
        <f t="shared" si="55"/>
        <v>5.9606955165057797E-2</v>
      </c>
      <c r="G60" s="73">
        <f t="shared" si="55"/>
        <v>5.9817818968675801E-2</v>
      </c>
      <c r="H60" s="73">
        <f t="shared" si="55"/>
        <v>6.2951835122367766E-2</v>
      </c>
      <c r="I60" s="73">
        <f t="shared" si="55"/>
        <v>6.8656807422538241E-2</v>
      </c>
      <c r="J60" s="73">
        <f t="shared" si="55"/>
        <v>6.3973487045432084E-2</v>
      </c>
      <c r="K60" s="73">
        <f t="shared" si="55"/>
        <v>6.6195440038327988E-2</v>
      </c>
      <c r="L60" s="73">
        <f t="shared" si="55"/>
        <v>6.378684618989626E-2</v>
      </c>
      <c r="M60" s="73">
        <f t="shared" si="55"/>
        <v>7.3760869132447587E-2</v>
      </c>
      <c r="N60" s="73">
        <f t="shared" si="55"/>
        <v>7.2906838486555894E-2</v>
      </c>
      <c r="O60" s="73">
        <f t="shared" si="55"/>
        <v>6.9869916537753651E-2</v>
      </c>
      <c r="P60" s="73">
        <f t="shared" si="55"/>
        <v>8.4259043702970771E-2</v>
      </c>
      <c r="Q60" s="73">
        <f t="shared" si="55"/>
        <v>7.9664915798765334E-2</v>
      </c>
      <c r="R60" s="73">
        <f t="shared" si="55"/>
        <v>8.0566830230706904E-2</v>
      </c>
      <c r="S60" s="73">
        <f t="shared" si="55"/>
        <v>8.1685130899182321E-2</v>
      </c>
      <c r="T60" s="73">
        <f t="shared" si="55"/>
        <v>8.2226544992975256E-2</v>
      </c>
      <c r="U60" s="73">
        <f t="shared" si="55"/>
        <v>8.3534380055935373E-2</v>
      </c>
      <c r="V60" s="73">
        <f t="shared" si="55"/>
        <v>8.2799245782120487E-2</v>
      </c>
      <c r="W60" s="73">
        <f t="shared" si="55"/>
        <v>8.1752353321751445E-2</v>
      </c>
      <c r="X60" s="73">
        <f t="shared" ref="X60:Y60" si="56">IF(X52=0,0,X52/X$47)</f>
        <v>9.4115200502942156E-2</v>
      </c>
      <c r="Y60" s="73">
        <f t="shared" si="56"/>
        <v>9.8955278010220957E-2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0.19355033579174452</v>
      </c>
      <c r="C61" s="70">
        <f t="shared" ref="C61:W61" si="58">IF(C53=0,0,C53/C$47)</f>
        <v>0.19162461389129928</v>
      </c>
      <c r="D61" s="70">
        <f t="shared" si="58"/>
        <v>0.19515023078574312</v>
      </c>
      <c r="E61" s="70">
        <f t="shared" si="58"/>
        <v>0.19141587390815037</v>
      </c>
      <c r="F61" s="70">
        <f t="shared" si="58"/>
        <v>0.17369637248693201</v>
      </c>
      <c r="G61" s="70">
        <f t="shared" si="58"/>
        <v>0.18143384563946777</v>
      </c>
      <c r="H61" s="70">
        <f t="shared" si="58"/>
        <v>0.19667081393722338</v>
      </c>
      <c r="I61" s="70">
        <f t="shared" si="58"/>
        <v>0.21499435208745582</v>
      </c>
      <c r="J61" s="70">
        <f t="shared" si="58"/>
        <v>0.20200268483946979</v>
      </c>
      <c r="K61" s="70">
        <f t="shared" si="58"/>
        <v>0.2097109775537451</v>
      </c>
      <c r="L61" s="70">
        <f t="shared" si="58"/>
        <v>0.20359270837067692</v>
      </c>
      <c r="M61" s="70">
        <f t="shared" si="58"/>
        <v>0.23598425986173674</v>
      </c>
      <c r="N61" s="70">
        <f t="shared" si="58"/>
        <v>0.22720600742476746</v>
      </c>
      <c r="O61" s="70">
        <f t="shared" si="58"/>
        <v>0.21678111287617111</v>
      </c>
      <c r="P61" s="70">
        <f t="shared" si="58"/>
        <v>0.25381638265195466</v>
      </c>
      <c r="Q61" s="70">
        <f t="shared" si="58"/>
        <v>0.23647089702889851</v>
      </c>
      <c r="R61" s="70">
        <f t="shared" si="58"/>
        <v>0.23431578007740048</v>
      </c>
      <c r="S61" s="70">
        <f t="shared" si="58"/>
        <v>0.23644945939740727</v>
      </c>
      <c r="T61" s="70">
        <f t="shared" si="58"/>
        <v>0.23219632133023763</v>
      </c>
      <c r="U61" s="70">
        <f t="shared" si="58"/>
        <v>0.23752682334497893</v>
      </c>
      <c r="V61" s="70">
        <f t="shared" si="58"/>
        <v>0.23520886820461315</v>
      </c>
      <c r="W61" s="70">
        <f t="shared" si="58"/>
        <v>0.22274723173016314</v>
      </c>
      <c r="X61" s="70">
        <f t="shared" ref="X61:Y61" si="59">IF(X53=0,0,X53/X$47)</f>
        <v>0.25175224466727747</v>
      </c>
      <c r="Y61" s="70">
        <f t="shared" si="59"/>
        <v>0.26028898933286937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6291.8955835200013</v>
      </c>
      <c r="C65" s="80">
        <v>6596.3799892800016</v>
      </c>
      <c r="D65" s="80">
        <v>7309.0722002399989</v>
      </c>
      <c r="E65" s="80">
        <v>7913.9766311999992</v>
      </c>
      <c r="F65" s="80">
        <v>7781.4818553599998</v>
      </c>
      <c r="G65" s="80">
        <v>7634.49443316</v>
      </c>
      <c r="H65" s="80">
        <v>7139.303136720001</v>
      </c>
      <c r="I65" s="80">
        <v>6486.6377412000011</v>
      </c>
      <c r="J65" s="80">
        <v>7607.250719640002</v>
      </c>
      <c r="K65" s="80">
        <v>7134.7282689599997</v>
      </c>
      <c r="L65" s="80">
        <v>7852.9503704400004</v>
      </c>
      <c r="M65" s="80">
        <v>6487.0437794399995</v>
      </c>
      <c r="N65" s="80">
        <v>6913.9711504800007</v>
      </c>
      <c r="O65" s="80">
        <v>7634.3961682799991</v>
      </c>
      <c r="P65" s="80">
        <v>6042.7517881303957</v>
      </c>
      <c r="Q65" s="80">
        <v>6952.6834838856894</v>
      </c>
      <c r="R65" s="80">
        <v>6932.868192046998</v>
      </c>
      <c r="S65" s="80">
        <v>6889.9357887453889</v>
      </c>
      <c r="T65" s="80">
        <v>6868.7953224909988</v>
      </c>
      <c r="U65" s="80">
        <v>6338.8026255361156</v>
      </c>
      <c r="V65" s="80">
        <v>6231.386717909103</v>
      </c>
      <c r="W65" s="80">
        <v>6491.1719086440289</v>
      </c>
      <c r="X65" s="80">
        <v>5188.5122713062756</v>
      </c>
      <c r="Y65" s="80">
        <v>4881.8704920194668</v>
      </c>
      <c r="DA65" s="103" t="s">
        <v>219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2662.2914673600003</v>
      </c>
      <c r="C67" s="55">
        <f t="shared" ref="C67:W67" si="60">SUM(C68:C69)</f>
        <v>2726.3667283200002</v>
      </c>
      <c r="D67" s="55">
        <f t="shared" si="60"/>
        <v>3518.568571679999</v>
      </c>
      <c r="E67" s="55">
        <f t="shared" si="60"/>
        <v>3995.1334814399993</v>
      </c>
      <c r="F67" s="55">
        <f t="shared" si="60"/>
        <v>3955.7137021200006</v>
      </c>
      <c r="G67" s="55">
        <f t="shared" si="60"/>
        <v>3866.953620960001</v>
      </c>
      <c r="H67" s="55">
        <f t="shared" si="60"/>
        <v>3338.9240839200015</v>
      </c>
      <c r="I67" s="55">
        <f t="shared" si="60"/>
        <v>2821.6332723599999</v>
      </c>
      <c r="J67" s="55">
        <f t="shared" si="60"/>
        <v>3453.3354200400013</v>
      </c>
      <c r="K67" s="55">
        <f t="shared" si="60"/>
        <v>2792.7068194799999</v>
      </c>
      <c r="L67" s="55">
        <f t="shared" si="60"/>
        <v>3122.9152905599994</v>
      </c>
      <c r="M67" s="55">
        <f t="shared" si="60"/>
        <v>2632.0549287599997</v>
      </c>
      <c r="N67" s="55">
        <f t="shared" si="60"/>
        <v>2611.9270771199999</v>
      </c>
      <c r="O67" s="55">
        <f t="shared" si="60"/>
        <v>2845.2019751999997</v>
      </c>
      <c r="P67" s="55">
        <f t="shared" si="60"/>
        <v>2233.6417580399998</v>
      </c>
      <c r="Q67" s="55">
        <f t="shared" si="60"/>
        <v>2654.9775666</v>
      </c>
      <c r="R67" s="55">
        <f t="shared" si="60"/>
        <v>2405.1931376399998</v>
      </c>
      <c r="S67" s="55">
        <f t="shared" si="60"/>
        <v>2412.2026346399998</v>
      </c>
      <c r="T67" s="55">
        <f t="shared" si="60"/>
        <v>2355.0733558799998</v>
      </c>
      <c r="U67" s="55">
        <f t="shared" si="60"/>
        <v>1865.0092820399998</v>
      </c>
      <c r="V67" s="55">
        <f t="shared" si="60"/>
        <v>2018.9711116799999</v>
      </c>
      <c r="W67" s="55">
        <f t="shared" si="60"/>
        <v>1669.0403862000001</v>
      </c>
      <c r="X67" s="55">
        <f t="shared" ref="X67:Y67" si="61">SUM(X68:X69)</f>
        <v>1374.2309070000001</v>
      </c>
      <c r="Y67" s="55">
        <f t="shared" si="61"/>
        <v>1371.8049461999999</v>
      </c>
      <c r="DA67" s="101"/>
    </row>
    <row r="68" spans="1:105" ht="12" customHeight="1" x14ac:dyDescent="0.25">
      <c r="A68" s="61" t="s">
        <v>52</v>
      </c>
      <c r="B68" s="55">
        <v>200.27947572000002</v>
      </c>
      <c r="C68" s="55">
        <v>197.37682524000002</v>
      </c>
      <c r="D68" s="55">
        <v>156.74040000000002</v>
      </c>
      <c r="E68" s="55">
        <v>124.81169904000001</v>
      </c>
      <c r="F68" s="55">
        <v>127.71434951999998</v>
      </c>
      <c r="G68" s="55">
        <v>34.831124280000004</v>
      </c>
      <c r="H68" s="55">
        <v>31.92870095999999</v>
      </c>
      <c r="I68" s="55">
        <v>29.026050479999995</v>
      </c>
      <c r="J68" s="55">
        <v>31.92870095999999</v>
      </c>
      <c r="K68" s="55">
        <v>31.92870095999999</v>
      </c>
      <c r="L68" s="55">
        <v>37.733774760000003</v>
      </c>
      <c r="M68" s="55">
        <v>29.026050479999995</v>
      </c>
      <c r="N68" s="55">
        <v>31.92870095999999</v>
      </c>
      <c r="O68" s="55">
        <v>34.831124280000004</v>
      </c>
      <c r="P68" s="55">
        <v>29.026050479999995</v>
      </c>
      <c r="Q68" s="55">
        <v>46.441499040000004</v>
      </c>
      <c r="R68" s="55">
        <v>37.733774760000003</v>
      </c>
      <c r="S68" s="55">
        <v>43.829159039999986</v>
      </c>
      <c r="T68" s="55">
        <v>43.539075719999992</v>
      </c>
      <c r="U68" s="55">
        <v>46.441499040000004</v>
      </c>
      <c r="V68" s="55">
        <v>52.231125960000014</v>
      </c>
      <c r="W68" s="55">
        <v>56.707995239999995</v>
      </c>
      <c r="X68" s="55">
        <v>48.947982480000015</v>
      </c>
      <c r="Y68" s="55">
        <v>47.754029520000003</v>
      </c>
      <c r="DA68" s="101" t="s">
        <v>221</v>
      </c>
    </row>
    <row r="69" spans="1:105" ht="12" customHeight="1" x14ac:dyDescent="0.25">
      <c r="A69" s="61" t="s">
        <v>163</v>
      </c>
      <c r="B69" s="55">
        <v>2462.0119916400004</v>
      </c>
      <c r="C69" s="55">
        <v>2528.9899030800002</v>
      </c>
      <c r="D69" s="55">
        <v>3361.8281716799988</v>
      </c>
      <c r="E69" s="55">
        <v>3870.3217823999994</v>
      </c>
      <c r="F69" s="55">
        <v>3827.9993526000007</v>
      </c>
      <c r="G69" s="55">
        <v>3832.1224966800009</v>
      </c>
      <c r="H69" s="55">
        <v>3306.9953829600017</v>
      </c>
      <c r="I69" s="55">
        <v>2792.60722188</v>
      </c>
      <c r="J69" s="55">
        <v>3421.4067190800015</v>
      </c>
      <c r="K69" s="55">
        <v>2760.7781185200001</v>
      </c>
      <c r="L69" s="55">
        <v>3085.1815157999995</v>
      </c>
      <c r="M69" s="55">
        <v>2603.0288782799998</v>
      </c>
      <c r="N69" s="55">
        <v>2579.9983761600001</v>
      </c>
      <c r="O69" s="55">
        <v>2810.3708509199996</v>
      </c>
      <c r="P69" s="55">
        <v>2204.6157075599999</v>
      </c>
      <c r="Q69" s="55">
        <v>2608.53606756</v>
      </c>
      <c r="R69" s="55">
        <v>2367.4593628799998</v>
      </c>
      <c r="S69" s="55">
        <v>2368.3734755999999</v>
      </c>
      <c r="T69" s="55">
        <v>2311.53428016</v>
      </c>
      <c r="U69" s="55">
        <v>1818.5677829999997</v>
      </c>
      <c r="V69" s="55">
        <v>1966.7399857199998</v>
      </c>
      <c r="W69" s="55">
        <v>1612.3323909600001</v>
      </c>
      <c r="X69" s="55">
        <v>1325.2829245200001</v>
      </c>
      <c r="Y69" s="55">
        <v>1324.05091668</v>
      </c>
      <c r="DA69" s="101" t="s">
        <v>222</v>
      </c>
    </row>
    <row r="70" spans="1:105" ht="12" customHeight="1" x14ac:dyDescent="0.25">
      <c r="A70" s="60" t="s">
        <v>149</v>
      </c>
      <c r="B70" s="55">
        <v>3629.604116160001</v>
      </c>
      <c r="C70" s="55">
        <v>3870.0132609600014</v>
      </c>
      <c r="D70" s="55">
        <v>3790.5036285599999</v>
      </c>
      <c r="E70" s="55">
        <v>3918.84314976</v>
      </c>
      <c r="F70" s="55">
        <v>3801.3151532399988</v>
      </c>
      <c r="G70" s="55">
        <v>3736.6528121999991</v>
      </c>
      <c r="H70" s="55">
        <v>3769.7772815999988</v>
      </c>
      <c r="I70" s="55">
        <v>3639.2644688400014</v>
      </c>
      <c r="J70" s="55">
        <v>4153.9152996000003</v>
      </c>
      <c r="K70" s="55">
        <v>4342.0214494800002</v>
      </c>
      <c r="L70" s="55">
        <v>4730.0350798800009</v>
      </c>
      <c r="M70" s="55">
        <v>3854.9888506799998</v>
      </c>
      <c r="N70" s="55">
        <v>4302.0440733600008</v>
      </c>
      <c r="O70" s="55">
        <v>4660.4941930799996</v>
      </c>
      <c r="P70" s="55">
        <v>3657.2655675599995</v>
      </c>
      <c r="Q70" s="55">
        <v>4097.8314115200019</v>
      </c>
      <c r="R70" s="55">
        <v>4324.1881795200015</v>
      </c>
      <c r="S70" s="55">
        <v>4278.8855221199983</v>
      </c>
      <c r="T70" s="55">
        <v>4316.4539011218731</v>
      </c>
      <c r="U70" s="55">
        <v>4277.0708949037007</v>
      </c>
      <c r="V70" s="55">
        <v>4014.9842073032473</v>
      </c>
      <c r="W70" s="55">
        <v>4626.2462463779921</v>
      </c>
      <c r="X70" s="55">
        <v>3647.9920353648386</v>
      </c>
      <c r="Y70" s="55">
        <v>3347.0140287898384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24.452999999999999</v>
      </c>
      <c r="G71" s="55">
        <f t="shared" si="62"/>
        <v>30.887999999999998</v>
      </c>
      <c r="H71" s="55">
        <f t="shared" si="62"/>
        <v>30.601771200000002</v>
      </c>
      <c r="I71" s="55">
        <f t="shared" si="62"/>
        <v>25.740000000000002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128.69999999999999</v>
      </c>
      <c r="P71" s="55">
        <f t="shared" si="62"/>
        <v>151.8444625303961</v>
      </c>
      <c r="Q71" s="55">
        <f t="shared" si="62"/>
        <v>199.87450576568807</v>
      </c>
      <c r="R71" s="55">
        <f t="shared" si="62"/>
        <v>203.48687488699639</v>
      </c>
      <c r="S71" s="55">
        <f t="shared" si="62"/>
        <v>198.84763198539065</v>
      </c>
      <c r="T71" s="55">
        <f t="shared" si="62"/>
        <v>197.26806548912549</v>
      </c>
      <c r="U71" s="55">
        <f t="shared" si="62"/>
        <v>196.7224485924155</v>
      </c>
      <c r="V71" s="55">
        <f t="shared" si="62"/>
        <v>197.43139892585566</v>
      </c>
      <c r="W71" s="55">
        <f t="shared" si="62"/>
        <v>195.88527606603688</v>
      </c>
      <c r="X71" s="55">
        <f t="shared" ref="X71:Y71" si="63">SUM(X72:X76)</f>
        <v>166.28932894143722</v>
      </c>
      <c r="Y71" s="55">
        <f t="shared" si="63"/>
        <v>163.0515170296288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24.452999999999999</v>
      </c>
      <c r="G72" s="55">
        <v>30.887999999999998</v>
      </c>
      <c r="H72" s="55">
        <v>30.601771200000002</v>
      </c>
      <c r="I72" s="55">
        <v>25.740000000000002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128.69999999999999</v>
      </c>
      <c r="P72" s="55">
        <v>151.8444625303961</v>
      </c>
      <c r="Q72" s="55">
        <v>199.87450576568807</v>
      </c>
      <c r="R72" s="55">
        <v>203.48687488699639</v>
      </c>
      <c r="S72" s="55">
        <v>198.84763198539065</v>
      </c>
      <c r="T72" s="55">
        <v>197.26806548912549</v>
      </c>
      <c r="U72" s="55">
        <v>196.7224485924155</v>
      </c>
      <c r="V72" s="55">
        <v>197.43139892585566</v>
      </c>
      <c r="W72" s="55">
        <v>195.88527606603688</v>
      </c>
      <c r="X72" s="55">
        <v>166.28932894143722</v>
      </c>
      <c r="Y72" s="55">
        <v>163.0515170296288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6291.8955835200013</v>
      </c>
      <c r="C81" s="82">
        <f t="shared" ref="C81:W81" si="65">C82+C87</f>
        <v>6596.3799892800016</v>
      </c>
      <c r="D81" s="82">
        <f t="shared" si="65"/>
        <v>7309.072200239998</v>
      </c>
      <c r="E81" s="82">
        <f t="shared" si="65"/>
        <v>7913.9766312000011</v>
      </c>
      <c r="F81" s="82">
        <f t="shared" si="65"/>
        <v>7781.4818553599998</v>
      </c>
      <c r="G81" s="82">
        <f t="shared" si="65"/>
        <v>7634.49443316</v>
      </c>
      <c r="H81" s="82">
        <f t="shared" si="65"/>
        <v>7139.3031367200019</v>
      </c>
      <c r="I81" s="82">
        <f t="shared" si="65"/>
        <v>6486.6377412000038</v>
      </c>
      <c r="J81" s="82">
        <f t="shared" si="65"/>
        <v>7607.2507196400011</v>
      </c>
      <c r="K81" s="82">
        <f t="shared" si="65"/>
        <v>7134.7282689600033</v>
      </c>
      <c r="L81" s="82">
        <f t="shared" si="65"/>
        <v>7852.9503704400004</v>
      </c>
      <c r="M81" s="82">
        <f t="shared" si="65"/>
        <v>6487.0437794399995</v>
      </c>
      <c r="N81" s="82">
        <f t="shared" si="65"/>
        <v>6913.9711504800016</v>
      </c>
      <c r="O81" s="82">
        <f t="shared" si="65"/>
        <v>7634.3961682800009</v>
      </c>
      <c r="P81" s="82">
        <f t="shared" si="65"/>
        <v>6042.7517881303947</v>
      </c>
      <c r="Q81" s="82">
        <f t="shared" si="65"/>
        <v>6952.6834838856939</v>
      </c>
      <c r="R81" s="82">
        <f t="shared" si="65"/>
        <v>6932.8681920469971</v>
      </c>
      <c r="S81" s="82">
        <f t="shared" si="65"/>
        <v>6889.9357887453925</v>
      </c>
      <c r="T81" s="82">
        <f t="shared" si="65"/>
        <v>6868.7953224909979</v>
      </c>
      <c r="U81" s="82">
        <f t="shared" si="65"/>
        <v>6338.8026255361119</v>
      </c>
      <c r="V81" s="82">
        <f t="shared" si="65"/>
        <v>6231.3867179090985</v>
      </c>
      <c r="W81" s="82">
        <f t="shared" si="65"/>
        <v>6491.1719086440316</v>
      </c>
      <c r="X81" s="82">
        <f t="shared" ref="X81:Y81" si="66">X82+X87</f>
        <v>5188.5122713062738</v>
      </c>
      <c r="Y81" s="82">
        <f t="shared" si="66"/>
        <v>4881.870492019465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6291.8955835200013</v>
      </c>
      <c r="C82" s="64">
        <f t="shared" ref="C82:W82" si="68">SUM(C83:C86)</f>
        <v>6596.3799892800016</v>
      </c>
      <c r="D82" s="64">
        <f t="shared" si="68"/>
        <v>7309.072200239998</v>
      </c>
      <c r="E82" s="64">
        <f t="shared" si="68"/>
        <v>7913.9766312000011</v>
      </c>
      <c r="F82" s="64">
        <f t="shared" si="68"/>
        <v>7781.4818553599998</v>
      </c>
      <c r="G82" s="64">
        <f t="shared" si="68"/>
        <v>7634.49443316</v>
      </c>
      <c r="H82" s="64">
        <f t="shared" si="68"/>
        <v>7139.3031367200019</v>
      </c>
      <c r="I82" s="64">
        <f t="shared" si="68"/>
        <v>6486.6377412000038</v>
      </c>
      <c r="J82" s="64">
        <f t="shared" si="68"/>
        <v>7607.2507196400011</v>
      </c>
      <c r="K82" s="64">
        <f t="shared" si="68"/>
        <v>7134.7282689600033</v>
      </c>
      <c r="L82" s="64">
        <f t="shared" si="68"/>
        <v>7852.9503704400004</v>
      </c>
      <c r="M82" s="64">
        <f t="shared" si="68"/>
        <v>6487.0437794399995</v>
      </c>
      <c r="N82" s="64">
        <f t="shared" si="68"/>
        <v>6913.9711504800016</v>
      </c>
      <c r="O82" s="64">
        <f t="shared" si="68"/>
        <v>7634.3961682800009</v>
      </c>
      <c r="P82" s="64">
        <f t="shared" si="68"/>
        <v>6042.7517881303947</v>
      </c>
      <c r="Q82" s="64">
        <f t="shared" si="68"/>
        <v>6952.6834838856939</v>
      </c>
      <c r="R82" s="64">
        <f t="shared" si="68"/>
        <v>6932.8681920469971</v>
      </c>
      <c r="S82" s="64">
        <f t="shared" si="68"/>
        <v>6889.9357887453925</v>
      </c>
      <c r="T82" s="64">
        <f t="shared" si="68"/>
        <v>6868.7953224909979</v>
      </c>
      <c r="U82" s="64">
        <f t="shared" si="68"/>
        <v>6338.8026255361119</v>
      </c>
      <c r="V82" s="64">
        <f t="shared" si="68"/>
        <v>6231.3867179090985</v>
      </c>
      <c r="W82" s="64">
        <f t="shared" si="68"/>
        <v>6491.1719086440316</v>
      </c>
      <c r="X82" s="64">
        <f t="shared" ref="X82:Y82" si="69">SUM(X83:X86)</f>
        <v>5188.5122713062738</v>
      </c>
      <c r="Y82" s="64">
        <f t="shared" si="69"/>
        <v>4881.870492019465</v>
      </c>
      <c r="DA82" s="108" t="s">
        <v>233</v>
      </c>
    </row>
    <row r="83" spans="1:105" ht="12" customHeight="1" x14ac:dyDescent="0.25">
      <c r="A83" s="61" t="s">
        <v>32</v>
      </c>
      <c r="B83" s="65">
        <v>4970.0938029785757</v>
      </c>
      <c r="C83" s="65">
        <v>5274.5857167602981</v>
      </c>
      <c r="D83" s="65">
        <v>6023.623906236222</v>
      </c>
      <c r="E83" s="65">
        <v>6656.9543964660515</v>
      </c>
      <c r="F83" s="65">
        <v>6519.0127085982513</v>
      </c>
      <c r="G83" s="65">
        <v>6463.4422192460397</v>
      </c>
      <c r="H83" s="65">
        <v>5971.839655583809</v>
      </c>
      <c r="I83" s="65">
        <v>5318.3250129200242</v>
      </c>
      <c r="J83" s="65">
        <v>6443.5509841369885</v>
      </c>
      <c r="K83" s="65">
        <v>5973.2083742807099</v>
      </c>
      <c r="L83" s="65">
        <v>6682.2946435712656</v>
      </c>
      <c r="M83" s="65">
        <v>5313.8097690868135</v>
      </c>
      <c r="N83" s="65">
        <v>5724.8471898085572</v>
      </c>
      <c r="O83" s="65">
        <v>6435.7393703787848</v>
      </c>
      <c r="P83" s="65">
        <v>4862.4335322496963</v>
      </c>
      <c r="Q83" s="65">
        <v>5751.8863457538282</v>
      </c>
      <c r="R83" s="65">
        <v>5754.0275821517871</v>
      </c>
      <c r="S83" s="65">
        <v>5716.1377782256923</v>
      </c>
      <c r="T83" s="65">
        <v>5713.5685661248481</v>
      </c>
      <c r="U83" s="65">
        <v>5237.8339428929121</v>
      </c>
      <c r="V83" s="65">
        <v>5176.5117893233109</v>
      </c>
      <c r="W83" s="65">
        <v>5416.8067982463754</v>
      </c>
      <c r="X83" s="65">
        <v>4152.2734630539235</v>
      </c>
      <c r="Y83" s="65">
        <v>3905.9128673855771</v>
      </c>
      <c r="DA83" s="109" t="s">
        <v>234</v>
      </c>
    </row>
    <row r="84" spans="1:105" ht="12" customHeight="1" x14ac:dyDescent="0.25">
      <c r="A84" s="61" t="s">
        <v>31</v>
      </c>
      <c r="B84" s="65">
        <v>4.8098990776155051E-2</v>
      </c>
      <c r="C84" s="65">
        <v>6.6460658860637151E-2</v>
      </c>
      <c r="D84" s="65">
        <v>9.7417168706156368E-2</v>
      </c>
      <c r="E84" s="65">
        <v>0.12051825480240475</v>
      </c>
      <c r="F84" s="65">
        <v>0.16914347715680009</v>
      </c>
      <c r="G84" s="65">
        <v>0.23697872045647919</v>
      </c>
      <c r="H84" s="65">
        <v>0.33071719174897957</v>
      </c>
      <c r="I84" s="65">
        <v>0.39823879586227789</v>
      </c>
      <c r="J84" s="65">
        <v>0.53745918556233463</v>
      </c>
      <c r="K84" s="65">
        <v>0.67544076127083086</v>
      </c>
      <c r="L84" s="65">
        <v>0.78186757042453314</v>
      </c>
      <c r="M84" s="65">
        <v>0.85053537180063232</v>
      </c>
      <c r="N84" s="65">
        <v>0.96723559043108531</v>
      </c>
      <c r="O84" s="65">
        <v>1.1793082118401914</v>
      </c>
      <c r="P84" s="65">
        <v>1.4706975069383905</v>
      </c>
      <c r="Q84" s="65">
        <v>2.2333074407130455</v>
      </c>
      <c r="R84" s="65">
        <v>2.5584245115209034</v>
      </c>
      <c r="S84" s="65">
        <v>2.5716683715266688</v>
      </c>
      <c r="T84" s="65">
        <v>3.3076657356254753</v>
      </c>
      <c r="U84" s="65">
        <v>3.6527509596942087</v>
      </c>
      <c r="V84" s="65">
        <v>4.3660091111471635</v>
      </c>
      <c r="W84" s="65">
        <v>3.2425619548271407</v>
      </c>
      <c r="X84" s="65">
        <v>3.9432480189492902</v>
      </c>
      <c r="Y84" s="65">
        <v>3.6123379200102512</v>
      </c>
      <c r="DA84" s="109" t="s">
        <v>235</v>
      </c>
    </row>
    <row r="85" spans="1:105" ht="12" customHeight="1" x14ac:dyDescent="0.25">
      <c r="A85" s="61" t="s">
        <v>35</v>
      </c>
      <c r="B85" s="65">
        <v>804.95923335057319</v>
      </c>
      <c r="C85" s="65">
        <v>805.53979057469883</v>
      </c>
      <c r="D85" s="65">
        <v>807.60967551227986</v>
      </c>
      <c r="E85" s="65">
        <v>810.53216392418074</v>
      </c>
      <c r="F85" s="65">
        <v>808.55372307650123</v>
      </c>
      <c r="G85" s="65">
        <v>791.76111070660068</v>
      </c>
      <c r="H85" s="65">
        <v>789.87845753931026</v>
      </c>
      <c r="I85" s="65">
        <v>789.65208972410448</v>
      </c>
      <c r="J85" s="65">
        <v>774.7939404345268</v>
      </c>
      <c r="K85" s="65">
        <v>771.5462595618269</v>
      </c>
      <c r="L85" s="65">
        <v>771.23410819224875</v>
      </c>
      <c r="M85" s="65">
        <v>778.52343462420595</v>
      </c>
      <c r="N85" s="65">
        <v>784.32221011705519</v>
      </c>
      <c r="O85" s="65">
        <v>783.15314870461634</v>
      </c>
      <c r="P85" s="65">
        <v>773.61727968821526</v>
      </c>
      <c r="Q85" s="65">
        <v>772.27160071125115</v>
      </c>
      <c r="R85" s="65">
        <v>758.59116495434512</v>
      </c>
      <c r="S85" s="65">
        <v>749.4108135726957</v>
      </c>
      <c r="T85" s="65">
        <v>730.84481801692857</v>
      </c>
      <c r="U85" s="65">
        <v>673.93878378893396</v>
      </c>
      <c r="V85" s="65">
        <v>640.01886100225272</v>
      </c>
      <c r="W85" s="65">
        <v>682.36343759327701</v>
      </c>
      <c r="X85" s="65">
        <v>628.42075401515012</v>
      </c>
      <c r="Y85" s="65">
        <v>591.93364475545968</v>
      </c>
      <c r="DA85" s="109" t="s">
        <v>236</v>
      </c>
    </row>
    <row r="86" spans="1:105" ht="12" customHeight="1" x14ac:dyDescent="0.25">
      <c r="A86" s="66" t="s">
        <v>34</v>
      </c>
      <c r="B86" s="67">
        <v>516.79444820007552</v>
      </c>
      <c r="C86" s="67">
        <v>516.18802128614379</v>
      </c>
      <c r="D86" s="67">
        <v>477.74120132279018</v>
      </c>
      <c r="E86" s="67">
        <v>446.3695525549652</v>
      </c>
      <c r="F86" s="67">
        <v>453.74628020809098</v>
      </c>
      <c r="G86" s="67">
        <v>379.05412448690407</v>
      </c>
      <c r="H86" s="67">
        <v>377.25430640513451</v>
      </c>
      <c r="I86" s="67">
        <v>378.26239976001301</v>
      </c>
      <c r="J86" s="67">
        <v>388.36833588292279</v>
      </c>
      <c r="K86" s="67">
        <v>389.29819435619521</v>
      </c>
      <c r="L86" s="67">
        <v>398.63975110606134</v>
      </c>
      <c r="M86" s="67">
        <v>393.86004035717917</v>
      </c>
      <c r="N86" s="67">
        <v>403.83451496395844</v>
      </c>
      <c r="O86" s="67">
        <v>414.32434098475954</v>
      </c>
      <c r="P86" s="67">
        <v>405.23027868554419</v>
      </c>
      <c r="Q86" s="67">
        <v>426.29222997990149</v>
      </c>
      <c r="R86" s="67">
        <v>417.69102042934458</v>
      </c>
      <c r="S86" s="67">
        <v>421.81552857547814</v>
      </c>
      <c r="T86" s="67">
        <v>421.07427261359561</v>
      </c>
      <c r="U86" s="67">
        <v>423.37714789457186</v>
      </c>
      <c r="V86" s="67">
        <v>410.49005847238834</v>
      </c>
      <c r="W86" s="67">
        <v>388.75911084955203</v>
      </c>
      <c r="X86" s="67">
        <v>403.87480621825142</v>
      </c>
      <c r="Y86" s="67">
        <v>380.41164195841816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0.78991994336276894</v>
      </c>
      <c r="C91" s="71">
        <f t="shared" ref="C91:W91" si="77">IF(C83=0,0,C83/C$81)</f>
        <v>0.79961823383919728</v>
      </c>
      <c r="D91" s="71">
        <f t="shared" si="77"/>
        <v>0.82412975836227642</v>
      </c>
      <c r="E91" s="71">
        <f t="shared" si="77"/>
        <v>0.84116427261381155</v>
      </c>
      <c r="F91" s="71">
        <f t="shared" si="77"/>
        <v>0.83775980330891076</v>
      </c>
      <c r="G91" s="71">
        <f t="shared" si="77"/>
        <v>0.84661037817677087</v>
      </c>
      <c r="H91" s="71">
        <f t="shared" si="77"/>
        <v>0.83647374837867461</v>
      </c>
      <c r="I91" s="71">
        <f t="shared" si="77"/>
        <v>0.81988932095599865</v>
      </c>
      <c r="J91" s="71">
        <f t="shared" si="77"/>
        <v>0.8470275558949788</v>
      </c>
      <c r="K91" s="71">
        <f t="shared" si="77"/>
        <v>0.83720194366300615</v>
      </c>
      <c r="L91" s="71">
        <f t="shared" si="77"/>
        <v>0.85092790968407162</v>
      </c>
      <c r="M91" s="71">
        <f t="shared" si="77"/>
        <v>0.81914196200253386</v>
      </c>
      <c r="N91" s="71">
        <f t="shared" si="77"/>
        <v>0.82801143730706928</v>
      </c>
      <c r="O91" s="71">
        <f t="shared" si="77"/>
        <v>0.84299258625305673</v>
      </c>
      <c r="P91" s="71">
        <f t="shared" si="77"/>
        <v>0.80467206046768891</v>
      </c>
      <c r="Q91" s="71">
        <f t="shared" si="77"/>
        <v>0.82729011885627102</v>
      </c>
      <c r="R91" s="71">
        <f t="shared" si="77"/>
        <v>0.82996350467941815</v>
      </c>
      <c r="S91" s="71">
        <f t="shared" si="77"/>
        <v>0.8296358563403331</v>
      </c>
      <c r="T91" s="71">
        <f t="shared" si="77"/>
        <v>0.83181523074599317</v>
      </c>
      <c r="U91" s="71">
        <f t="shared" si="77"/>
        <v>0.82631283103722064</v>
      </c>
      <c r="V91" s="71">
        <f t="shared" si="77"/>
        <v>0.8307158620802555</v>
      </c>
      <c r="W91" s="71">
        <f t="shared" si="77"/>
        <v>0.83448826721612968</v>
      </c>
      <c r="X91" s="71">
        <f t="shared" ref="X91:Y91" si="78">IF(X83=0,0,X83/X$81)</f>
        <v>0.80028209358142965</v>
      </c>
      <c r="Y91" s="71">
        <f t="shared" si="78"/>
        <v>0.80008531028643348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7.6445945641783951E-6</v>
      </c>
      <c r="C92" s="72">
        <f t="shared" ref="C92:W92" si="80">IF(C84=0,0,C84/C$81)</f>
        <v>1.0075322975426611E-5</v>
      </c>
      <c r="D92" s="72">
        <f t="shared" si="80"/>
        <v>1.3328253715014283E-5</v>
      </c>
      <c r="E92" s="72">
        <f t="shared" si="80"/>
        <v>1.5228533064815292E-5</v>
      </c>
      <c r="F92" s="72">
        <f t="shared" si="80"/>
        <v>2.1736666653060632E-5</v>
      </c>
      <c r="G92" s="72">
        <f t="shared" si="80"/>
        <v>3.1040525673471624E-5</v>
      </c>
      <c r="H92" s="72">
        <f t="shared" si="80"/>
        <v>4.6323455583218229E-5</v>
      </c>
      <c r="I92" s="72">
        <f t="shared" si="80"/>
        <v>6.1393716090056419E-5</v>
      </c>
      <c r="J92" s="72">
        <f t="shared" si="80"/>
        <v>7.0650909950259778E-5</v>
      </c>
      <c r="K92" s="72">
        <f t="shared" si="80"/>
        <v>9.4669444414494393E-5</v>
      </c>
      <c r="L92" s="72">
        <f t="shared" si="80"/>
        <v>9.9563544087535749E-5</v>
      </c>
      <c r="M92" s="72">
        <f t="shared" si="80"/>
        <v>1.3111293845377063E-4</v>
      </c>
      <c r="N92" s="72">
        <f t="shared" si="80"/>
        <v>1.3989580942407246E-4</v>
      </c>
      <c r="O92" s="72">
        <f t="shared" si="80"/>
        <v>1.5447301736057074E-4</v>
      </c>
      <c r="P92" s="72">
        <f t="shared" si="80"/>
        <v>2.4338208129402896E-4</v>
      </c>
      <c r="Q92" s="72">
        <f t="shared" si="80"/>
        <v>3.2121517481548025E-4</v>
      </c>
      <c r="R92" s="72">
        <f t="shared" si="80"/>
        <v>3.6902829256955824E-4</v>
      </c>
      <c r="S92" s="72">
        <f t="shared" si="80"/>
        <v>3.732499765422271E-4</v>
      </c>
      <c r="T92" s="72">
        <f t="shared" si="80"/>
        <v>4.8154961391773371E-4</v>
      </c>
      <c r="U92" s="72">
        <f t="shared" si="80"/>
        <v>5.7625251573206586E-4</v>
      </c>
      <c r="V92" s="72">
        <f t="shared" si="80"/>
        <v>7.0064807542744674E-4</v>
      </c>
      <c r="W92" s="72">
        <f t="shared" si="80"/>
        <v>4.9953413658774799E-4</v>
      </c>
      <c r="X92" s="72">
        <f t="shared" ref="X92:Y92" si="81">IF(X84=0,0,X84/X$81)</f>
        <v>7.5999589338092237E-4</v>
      </c>
      <c r="Y92" s="72">
        <f t="shared" si="81"/>
        <v>7.3994955948041734E-4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0.1279358855634789</v>
      </c>
      <c r="C93" s="72">
        <f t="shared" ref="C93:W93" si="83">IF(C85=0,0,C85/C$81)</f>
        <v>0.12211846374584372</v>
      </c>
      <c r="D93" s="72">
        <f t="shared" si="83"/>
        <v>0.11049414390594767</v>
      </c>
      <c r="E93" s="72">
        <f t="shared" si="83"/>
        <v>0.10241781113286902</v>
      </c>
      <c r="F93" s="72">
        <f t="shared" si="83"/>
        <v>0.10390742253283769</v>
      </c>
      <c r="G93" s="72">
        <f t="shared" si="83"/>
        <v>0.10370838798016939</v>
      </c>
      <c r="H93" s="72">
        <f t="shared" si="83"/>
        <v>0.11063803321036776</v>
      </c>
      <c r="I93" s="72">
        <f t="shared" si="83"/>
        <v>0.12173519182497491</v>
      </c>
      <c r="J93" s="72">
        <f t="shared" si="83"/>
        <v>0.10184940249625327</v>
      </c>
      <c r="K93" s="72">
        <f t="shared" si="83"/>
        <v>0.10813954371864139</v>
      </c>
      <c r="L93" s="72">
        <f t="shared" si="83"/>
        <v>9.8209471830526363E-2</v>
      </c>
      <c r="M93" s="72">
        <f t="shared" si="83"/>
        <v>0.1200120518828089</v>
      </c>
      <c r="N93" s="72">
        <f t="shared" si="83"/>
        <v>0.11344019132370892</v>
      </c>
      <c r="O93" s="72">
        <f t="shared" si="83"/>
        <v>0.10258219922598773</v>
      </c>
      <c r="P93" s="72">
        <f t="shared" si="83"/>
        <v>0.12802400409823381</v>
      </c>
      <c r="Q93" s="72">
        <f t="shared" si="83"/>
        <v>0.11107532832483356</v>
      </c>
      <c r="R93" s="72">
        <f t="shared" si="83"/>
        <v>0.10941952795591281</v>
      </c>
      <c r="S93" s="72">
        <f t="shared" si="83"/>
        <v>0.10876891114092052</v>
      </c>
      <c r="T93" s="72">
        <f t="shared" si="83"/>
        <v>0.10640072730422903</v>
      </c>
      <c r="U93" s="72">
        <f t="shared" si="83"/>
        <v>0.10631957226021606</v>
      </c>
      <c r="V93" s="72">
        <f t="shared" si="83"/>
        <v>0.10270889771017243</v>
      </c>
      <c r="W93" s="72">
        <f t="shared" si="83"/>
        <v>0.10512176340370853</v>
      </c>
      <c r="X93" s="72">
        <f t="shared" ref="X93:Y93" si="84">IF(X85=0,0,X85/X$81)</f>
        <v>0.12111771566783579</v>
      </c>
      <c r="Y93" s="72">
        <f t="shared" si="84"/>
        <v>0.12125140265869624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8.213652647918783E-2</v>
      </c>
      <c r="C94" s="73">
        <f t="shared" ref="C94:W94" si="86">IF(C86=0,0,C86/C$81)</f>
        <v>7.8253227091983527E-2</v>
      </c>
      <c r="D94" s="73">
        <f t="shared" si="86"/>
        <v>6.536276947806087E-2</v>
      </c>
      <c r="E94" s="73">
        <f t="shared" si="86"/>
        <v>5.6402687720254474E-2</v>
      </c>
      <c r="F94" s="73">
        <f t="shared" si="86"/>
        <v>5.831103749159857E-2</v>
      </c>
      <c r="G94" s="73">
        <f t="shared" si="86"/>
        <v>4.9650193317386369E-2</v>
      </c>
      <c r="H94" s="73">
        <f t="shared" si="86"/>
        <v>5.2841894955374571E-2</v>
      </c>
      <c r="I94" s="73">
        <f t="shared" si="86"/>
        <v>5.8314093502936371E-2</v>
      </c>
      <c r="J94" s="73">
        <f t="shared" si="86"/>
        <v>5.1052390698817611E-2</v>
      </c>
      <c r="K94" s="73">
        <f t="shared" si="86"/>
        <v>5.456384317393792E-2</v>
      </c>
      <c r="L94" s="73">
        <f t="shared" si="86"/>
        <v>5.0763054941314445E-2</v>
      </c>
      <c r="M94" s="73">
        <f t="shared" si="86"/>
        <v>6.0714873176203464E-2</v>
      </c>
      <c r="N94" s="73">
        <f t="shared" si="86"/>
        <v>5.8408475559797828E-2</v>
      </c>
      <c r="O94" s="73">
        <f t="shared" si="86"/>
        <v>5.4270741503594927E-2</v>
      </c>
      <c r="P94" s="73">
        <f t="shared" si="86"/>
        <v>6.7060553352783159E-2</v>
      </c>
      <c r="Q94" s="73">
        <f t="shared" si="86"/>
        <v>6.1313337644079924E-2</v>
      </c>
      <c r="R94" s="73">
        <f t="shared" si="86"/>
        <v>6.024793907209957E-2</v>
      </c>
      <c r="S94" s="73">
        <f t="shared" si="86"/>
        <v>6.1221982542204172E-2</v>
      </c>
      <c r="T94" s="73">
        <f t="shared" si="86"/>
        <v>6.1302492335860027E-2</v>
      </c>
      <c r="U94" s="73">
        <f t="shared" si="86"/>
        <v>6.679134418683122E-2</v>
      </c>
      <c r="V94" s="73">
        <f t="shared" si="86"/>
        <v>6.5874592134144677E-2</v>
      </c>
      <c r="W94" s="73">
        <f t="shared" si="86"/>
        <v>5.9890435243574E-2</v>
      </c>
      <c r="X94" s="73">
        <f t="shared" ref="X94:Y94" si="87">IF(X86=0,0,X86/X$81)</f>
        <v>7.7840194857353745E-2</v>
      </c>
      <c r="Y94" s="73">
        <f t="shared" si="87"/>
        <v>7.7923337495389947E-2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210049.72947883574</v>
      </c>
      <c r="C99" s="82">
        <f t="shared" ref="C99:W99" si="92">C47*11630*1000/C$8</f>
        <v>217866.06890921856</v>
      </c>
      <c r="D99" s="82">
        <f t="shared" si="92"/>
        <v>215731.28041853997</v>
      </c>
      <c r="E99" s="82">
        <f t="shared" si="92"/>
        <v>224978.24145631123</v>
      </c>
      <c r="F99" s="82">
        <f t="shared" si="92"/>
        <v>253624.83562347028</v>
      </c>
      <c r="G99" s="82">
        <f t="shared" si="92"/>
        <v>250290.02553201481</v>
      </c>
      <c r="H99" s="82">
        <f t="shared" si="92"/>
        <v>238051.36612415058</v>
      </c>
      <c r="I99" s="82">
        <f t="shared" si="92"/>
        <v>222726.55899450733</v>
      </c>
      <c r="J99" s="82">
        <f t="shared" si="92"/>
        <v>241721.33373393261</v>
      </c>
      <c r="K99" s="82">
        <f t="shared" si="92"/>
        <v>238618.6750700385</v>
      </c>
      <c r="L99" s="82">
        <f t="shared" si="92"/>
        <v>247766.3067177856</v>
      </c>
      <c r="M99" s="82">
        <f t="shared" si="92"/>
        <v>214997.40853721206</v>
      </c>
      <c r="N99" s="82">
        <f t="shared" si="92"/>
        <v>224097.85252761739</v>
      </c>
      <c r="O99" s="82">
        <f t="shared" si="92"/>
        <v>235626.55326261016</v>
      </c>
      <c r="P99" s="82">
        <f t="shared" si="92"/>
        <v>202186.53072164659</v>
      </c>
      <c r="Q99" s="82">
        <f t="shared" si="92"/>
        <v>219440.79182902785</v>
      </c>
      <c r="R99" s="82">
        <f t="shared" si="92"/>
        <v>218574.60561021659</v>
      </c>
      <c r="S99" s="82">
        <f t="shared" si="92"/>
        <v>216209.92062186942</v>
      </c>
      <c r="T99" s="82">
        <f t="shared" si="92"/>
        <v>214644.68245751972</v>
      </c>
      <c r="U99" s="82">
        <f t="shared" si="92"/>
        <v>204249.57245022393</v>
      </c>
      <c r="V99" s="82">
        <f t="shared" si="92"/>
        <v>195483.45140257827</v>
      </c>
      <c r="W99" s="82">
        <f t="shared" si="92"/>
        <v>202274.55236432745</v>
      </c>
      <c r="X99" s="82">
        <f t="shared" ref="X99:Y99" si="93">X47*11630*1000/X$8</f>
        <v>176902.17697421522</v>
      </c>
      <c r="Y99" s="82">
        <f t="shared" si="93"/>
        <v>168381.30758410558</v>
      </c>
      <c r="DA99" s="107"/>
    </row>
    <row r="100" spans="1:105" ht="12" customHeight="1" x14ac:dyDescent="0.25">
      <c r="A100" s="77" t="s">
        <v>36</v>
      </c>
      <c r="B100" s="64">
        <f t="shared" si="91"/>
        <v>169394.53380524198</v>
      </c>
      <c r="C100" s="64">
        <f t="shared" ref="C100:W100" si="94">C48*11630*1000/C$8</f>
        <v>176117.56757447432</v>
      </c>
      <c r="D100" s="64">
        <f t="shared" si="94"/>
        <v>173631.27125715808</v>
      </c>
      <c r="E100" s="64">
        <f t="shared" si="94"/>
        <v>181913.83475763258</v>
      </c>
      <c r="F100" s="64">
        <f t="shared" si="94"/>
        <v>209571.12170307906</v>
      </c>
      <c r="G100" s="64">
        <f t="shared" si="94"/>
        <v>204878.94367454079</v>
      </c>
      <c r="H100" s="64">
        <f t="shared" si="94"/>
        <v>191233.61018964593</v>
      </c>
      <c r="I100" s="64">
        <f t="shared" si="94"/>
        <v>174841.60675081477</v>
      </c>
      <c r="J100" s="64">
        <f t="shared" si="94"/>
        <v>192892.97533670071</v>
      </c>
      <c r="K100" s="64">
        <f t="shared" si="94"/>
        <v>188577.71945852123</v>
      </c>
      <c r="L100" s="64">
        <f t="shared" si="94"/>
        <v>197322.89329011177</v>
      </c>
      <c r="M100" s="64">
        <f t="shared" si="94"/>
        <v>164261.40421136664</v>
      </c>
      <c r="N100" s="64">
        <f t="shared" si="94"/>
        <v>173181.47418235312</v>
      </c>
      <c r="O100" s="64">
        <f t="shared" si="94"/>
        <v>184547.16682316511</v>
      </c>
      <c r="P100" s="64">
        <f t="shared" si="94"/>
        <v>150868.27687292994</v>
      </c>
      <c r="Q100" s="64">
        <f t="shared" si="94"/>
        <v>167549.43094048588</v>
      </c>
      <c r="R100" s="64">
        <f t="shared" si="94"/>
        <v>167359.12639154852</v>
      </c>
      <c r="S100" s="64">
        <f t="shared" si="94"/>
        <v>165087.20177447202</v>
      </c>
      <c r="T100" s="64">
        <f t="shared" si="94"/>
        <v>164804.97679778672</v>
      </c>
      <c r="U100" s="64">
        <f t="shared" si="94"/>
        <v>155734.8203365521</v>
      </c>
      <c r="V100" s="64">
        <f t="shared" si="94"/>
        <v>149504.01004544634</v>
      </c>
      <c r="W100" s="64">
        <f t="shared" si="94"/>
        <v>157218.45577571559</v>
      </c>
      <c r="X100" s="64">
        <f t="shared" ref="X100:Y100" si="95">X48*11630*1000/X$8</f>
        <v>132366.65683442855</v>
      </c>
      <c r="Y100" s="64">
        <f t="shared" si="95"/>
        <v>124553.50721049172</v>
      </c>
      <c r="DA100" s="108"/>
    </row>
    <row r="101" spans="1:105" ht="12" customHeight="1" x14ac:dyDescent="0.25">
      <c r="A101" s="61" t="s">
        <v>32</v>
      </c>
      <c r="B101" s="65">
        <f t="shared" si="91"/>
        <v>131706.41483821877</v>
      </c>
      <c r="C101" s="65">
        <f t="shared" ref="C101:W101" si="96">C49*11630*1000/C$8</f>
        <v>137991.48104584898</v>
      </c>
      <c r="D101" s="65">
        <f t="shared" si="96"/>
        <v>134722.46643994533</v>
      </c>
      <c r="E101" s="65">
        <f t="shared" si="96"/>
        <v>141991.21087904766</v>
      </c>
      <c r="F101" s="65">
        <f t="shared" si="96"/>
        <v>172142.2806489708</v>
      </c>
      <c r="G101" s="65">
        <f t="shared" si="96"/>
        <v>167765.26647082431</v>
      </c>
      <c r="H101" s="65">
        <f t="shared" si="96"/>
        <v>153486.54602371054</v>
      </c>
      <c r="I101" s="65">
        <f t="shared" si="96"/>
        <v>137350.40796085651</v>
      </c>
      <c r="J101" s="65">
        <f t="shared" si="96"/>
        <v>155245.14071837839</v>
      </c>
      <c r="K101" s="65">
        <f t="shared" si="96"/>
        <v>150087.40135166611</v>
      </c>
      <c r="L101" s="65">
        <f t="shared" si="96"/>
        <v>158597.42541615368</v>
      </c>
      <c r="M101" s="65">
        <f t="shared" si="96"/>
        <v>125491.61240126711</v>
      </c>
      <c r="N101" s="65">
        <f t="shared" si="96"/>
        <v>133619.37835278144</v>
      </c>
      <c r="O101" s="65">
        <f t="shared" si="96"/>
        <v>144562.13123982531</v>
      </c>
      <c r="P101" s="65">
        <f t="shared" si="96"/>
        <v>110400.91381362372</v>
      </c>
      <c r="Q101" s="65">
        <f t="shared" si="96"/>
        <v>126365.44653404201</v>
      </c>
      <c r="R101" s="65">
        <f t="shared" si="96"/>
        <v>126207.6559475691</v>
      </c>
      <c r="S101" s="65">
        <f t="shared" si="96"/>
        <v>124298.29048078763</v>
      </c>
      <c r="T101" s="65">
        <f t="shared" si="96"/>
        <v>124040.99654083441</v>
      </c>
      <c r="U101" s="65">
        <f t="shared" si="96"/>
        <v>117083.26219423651</v>
      </c>
      <c r="V101" s="65">
        <f t="shared" si="96"/>
        <v>112692.82254119658</v>
      </c>
      <c r="W101" s="65">
        <f t="shared" si="96"/>
        <v>120093.28028744512</v>
      </c>
      <c r="X101" s="65">
        <f t="shared" ref="X101:Y101" si="97">X49*11630*1000/X$8</f>
        <v>94856.731671875896</v>
      </c>
      <c r="Y101" s="65">
        <f t="shared" si="97"/>
        <v>87381.445500360685</v>
      </c>
      <c r="DA101" s="109"/>
    </row>
    <row r="102" spans="1:105" ht="12" customHeight="1" x14ac:dyDescent="0.25">
      <c r="A102" s="61" t="s">
        <v>31</v>
      </c>
      <c r="B102" s="65">
        <f t="shared" si="91"/>
        <v>781.71703851313032</v>
      </c>
      <c r="C102" s="65">
        <f t="shared" ref="C102:W102" si="98">C50*11630*1000/C$8</f>
        <v>962.14752237128437</v>
      </c>
      <c r="D102" s="65">
        <f t="shared" si="98"/>
        <v>1175.3216663745884</v>
      </c>
      <c r="E102" s="65">
        <f t="shared" si="98"/>
        <v>1701.3056342409304</v>
      </c>
      <c r="F102" s="65">
        <f t="shared" si="98"/>
        <v>1508.0912387250205</v>
      </c>
      <c r="G102" s="65">
        <f t="shared" si="98"/>
        <v>1758.9087647839863</v>
      </c>
      <c r="H102" s="65">
        <f t="shared" si="98"/>
        <v>2486.3702752243726</v>
      </c>
      <c r="I102" s="65">
        <f t="shared" si="98"/>
        <v>2209.0657785269536</v>
      </c>
      <c r="J102" s="65">
        <f t="shared" si="98"/>
        <v>2415.4546123474265</v>
      </c>
      <c r="K102" s="65">
        <f t="shared" si="98"/>
        <v>2706.8373060634904</v>
      </c>
      <c r="L102" s="65">
        <f t="shared" si="98"/>
        <v>3082.2768914386638</v>
      </c>
      <c r="M102" s="65">
        <f t="shared" si="98"/>
        <v>3019.2669982879202</v>
      </c>
      <c r="N102" s="65">
        <f t="shared" si="98"/>
        <v>3127.551383327836</v>
      </c>
      <c r="O102" s="65">
        <f t="shared" si="98"/>
        <v>3256.2262801875063</v>
      </c>
      <c r="P102" s="65">
        <f t="shared" si="98"/>
        <v>3177.361432813073</v>
      </c>
      <c r="Q102" s="65">
        <f t="shared" si="98"/>
        <v>3573.6203265327199</v>
      </c>
      <c r="R102" s="65">
        <f t="shared" si="98"/>
        <v>3465.5790332904967</v>
      </c>
      <c r="S102" s="65">
        <f t="shared" si="98"/>
        <v>3217.5152283210928</v>
      </c>
      <c r="T102" s="65">
        <f t="shared" si="98"/>
        <v>3589.1753778375141</v>
      </c>
      <c r="U102" s="65">
        <f t="shared" si="98"/>
        <v>3396.1466201082721</v>
      </c>
      <c r="V102" s="65">
        <f t="shared" si="98"/>
        <v>3596.0340557819704</v>
      </c>
      <c r="W102" s="65">
        <f t="shared" si="98"/>
        <v>2890.6121687851974</v>
      </c>
      <c r="X102" s="65">
        <f t="shared" ref="X102:Y102" si="99">X50*11630*1000/X$8</f>
        <v>3268.0559320047068</v>
      </c>
      <c r="Y102" s="65">
        <f t="shared" si="99"/>
        <v>2950.3602937247861</v>
      </c>
      <c r="DA102" s="109"/>
    </row>
    <row r="103" spans="1:105" ht="12" customHeight="1" x14ac:dyDescent="0.25">
      <c r="A103" s="61" t="s">
        <v>35</v>
      </c>
      <c r="B103" s="65">
        <f t="shared" si="91"/>
        <v>21633.537083889256</v>
      </c>
      <c r="C103" s="65">
        <f t="shared" ref="C103:W103" si="100">C51*11630*1000/C$8</f>
        <v>21572.321435710932</v>
      </c>
      <c r="D103" s="65">
        <f t="shared" si="100"/>
        <v>21825.480078629746</v>
      </c>
      <c r="E103" s="65">
        <f t="shared" si="100"/>
        <v>22193.24724625899</v>
      </c>
      <c r="F103" s="65">
        <f t="shared" si="100"/>
        <v>20802.945609629889</v>
      </c>
      <c r="G103" s="65">
        <f t="shared" si="100"/>
        <v>20382.965001993176</v>
      </c>
      <c r="H103" s="65">
        <f t="shared" si="100"/>
        <v>20274.923539809082</v>
      </c>
      <c r="I103" s="65">
        <f t="shared" si="100"/>
        <v>19990.438542660821</v>
      </c>
      <c r="J103" s="65">
        <f t="shared" si="100"/>
        <v>19768.62339374255</v>
      </c>
      <c r="K103" s="65">
        <f t="shared" si="100"/>
        <v>19988.012603167634</v>
      </c>
      <c r="L103" s="65">
        <f t="shared" si="100"/>
        <v>19838.959684873382</v>
      </c>
      <c r="M103" s="65">
        <f t="shared" si="100"/>
        <v>19892.129096882942</v>
      </c>
      <c r="N103" s="65">
        <f t="shared" si="100"/>
        <v>20096.27850682881</v>
      </c>
      <c r="O103" s="65">
        <f t="shared" si="100"/>
        <v>20265.601692615175</v>
      </c>
      <c r="P103" s="65">
        <f t="shared" si="100"/>
        <v>20253.957898265937</v>
      </c>
      <c r="Q103" s="65">
        <f t="shared" si="100"/>
        <v>20128.631876037241</v>
      </c>
      <c r="R103" s="65">
        <f t="shared" si="100"/>
        <v>20076.028267746893</v>
      </c>
      <c r="S103" s="65">
        <f t="shared" si="100"/>
        <v>19910.260397664071</v>
      </c>
      <c r="T103" s="65">
        <f t="shared" si="100"/>
        <v>19525.314239518615</v>
      </c>
      <c r="U103" s="65">
        <f t="shared" si="100"/>
        <v>18193.550110888023</v>
      </c>
      <c r="V103" s="65">
        <f t="shared" si="100"/>
        <v>17029.271109448458</v>
      </c>
      <c r="W103" s="65">
        <f t="shared" si="100"/>
        <v>17698.142646597651</v>
      </c>
      <c r="X103" s="65">
        <f t="shared" ref="X103:Y103" si="101">X51*11630*1000/X$8</f>
        <v>17592.685375212739</v>
      </c>
      <c r="Y103" s="65">
        <f t="shared" si="101"/>
        <v>17559.482312696568</v>
      </c>
      <c r="DA103" s="109"/>
    </row>
    <row r="104" spans="1:105" ht="12" customHeight="1" x14ac:dyDescent="0.25">
      <c r="A104" s="66" t="s">
        <v>34</v>
      </c>
      <c r="B104" s="67">
        <f t="shared" si="91"/>
        <v>15272.864844620815</v>
      </c>
      <c r="C104" s="67">
        <f t="shared" ref="C104:W104" si="102">C52*11630*1000/C$8</f>
        <v>15591.617570543125</v>
      </c>
      <c r="D104" s="67">
        <f t="shared" si="102"/>
        <v>15908.003072208399</v>
      </c>
      <c r="E104" s="67">
        <f t="shared" si="102"/>
        <v>16028.070998084993</v>
      </c>
      <c r="F104" s="67">
        <f t="shared" si="102"/>
        <v>15117.804205753346</v>
      </c>
      <c r="G104" s="67">
        <f t="shared" si="102"/>
        <v>14971.803436939306</v>
      </c>
      <c r="H104" s="67">
        <f t="shared" si="102"/>
        <v>14985.77035090193</v>
      </c>
      <c r="I104" s="67">
        <f t="shared" si="102"/>
        <v>15291.694468770493</v>
      </c>
      <c r="J104" s="67">
        <f t="shared" si="102"/>
        <v>15463.756612232304</v>
      </c>
      <c r="K104" s="67">
        <f t="shared" si="102"/>
        <v>15795.468197624001</v>
      </c>
      <c r="L104" s="67">
        <f t="shared" si="102"/>
        <v>15804.231297646051</v>
      </c>
      <c r="M104" s="67">
        <f t="shared" si="102"/>
        <v>15858.395714928667</v>
      </c>
      <c r="N104" s="67">
        <f t="shared" si="102"/>
        <v>16338.265939415023</v>
      </c>
      <c r="O104" s="67">
        <f t="shared" si="102"/>
        <v>16463.207610537138</v>
      </c>
      <c r="P104" s="67">
        <f t="shared" si="102"/>
        <v>17036.043728227265</v>
      </c>
      <c r="Q104" s="67">
        <f t="shared" si="102"/>
        <v>17481.732203873897</v>
      </c>
      <c r="R104" s="67">
        <f t="shared" si="102"/>
        <v>17609.863142942038</v>
      </c>
      <c r="S104" s="67">
        <f t="shared" si="102"/>
        <v>17661.135667699218</v>
      </c>
      <c r="T104" s="67">
        <f t="shared" si="102"/>
        <v>17649.490639596133</v>
      </c>
      <c r="U104" s="67">
        <f t="shared" si="102"/>
        <v>17061.861411319314</v>
      </c>
      <c r="V104" s="67">
        <f t="shared" si="102"/>
        <v>16185.882339019283</v>
      </c>
      <c r="W104" s="67">
        <f t="shared" si="102"/>
        <v>16536.420672887609</v>
      </c>
      <c r="X104" s="67">
        <f t="shared" ref="X104:Y104" si="103">X52*11630*1000/X$8</f>
        <v>16649.183855335225</v>
      </c>
      <c r="Y104" s="67">
        <f t="shared" si="103"/>
        <v>16662.219103709696</v>
      </c>
      <c r="DA104" s="110"/>
    </row>
    <row r="105" spans="1:105" ht="12" customHeight="1" x14ac:dyDescent="0.25">
      <c r="A105" s="78" t="s">
        <v>33</v>
      </c>
      <c r="B105" s="68">
        <f t="shared" si="91"/>
        <v>40655.195673593757</v>
      </c>
      <c r="C105" s="68">
        <f t="shared" ref="C105:W105" si="104">C53*11630*1000/C$8</f>
        <v>41748.501334744207</v>
      </c>
      <c r="D105" s="68">
        <f t="shared" si="104"/>
        <v>42100.009161381946</v>
      </c>
      <c r="E105" s="68">
        <f t="shared" si="104"/>
        <v>43064.406698678686</v>
      </c>
      <c r="F105" s="68">
        <f t="shared" si="104"/>
        <v>44053.713920391194</v>
      </c>
      <c r="G105" s="68">
        <f t="shared" si="104"/>
        <v>45411.081857474019</v>
      </c>
      <c r="H105" s="68">
        <f t="shared" si="104"/>
        <v>46817.755934504661</v>
      </c>
      <c r="I105" s="68">
        <f t="shared" si="104"/>
        <v>47884.952243692605</v>
      </c>
      <c r="J105" s="68">
        <f t="shared" si="104"/>
        <v>48828.358397231888</v>
      </c>
      <c r="K105" s="68">
        <f t="shared" si="104"/>
        <v>50040.955611517231</v>
      </c>
      <c r="L105" s="68">
        <f t="shared" si="104"/>
        <v>50443.413427673819</v>
      </c>
      <c r="M105" s="68">
        <f t="shared" si="104"/>
        <v>50736.004325845432</v>
      </c>
      <c r="N105" s="68">
        <f t="shared" si="104"/>
        <v>50916.378345264275</v>
      </c>
      <c r="O105" s="68">
        <f t="shared" si="104"/>
        <v>51079.386439445036</v>
      </c>
      <c r="P105" s="68">
        <f t="shared" si="104"/>
        <v>51318.253848716646</v>
      </c>
      <c r="Q105" s="68">
        <f t="shared" si="104"/>
        <v>51891.360888541989</v>
      </c>
      <c r="R105" s="68">
        <f t="shared" si="104"/>
        <v>51215.47921866805</v>
      </c>
      <c r="S105" s="68">
        <f t="shared" si="104"/>
        <v>51122.718847397358</v>
      </c>
      <c r="T105" s="68">
        <f t="shared" si="104"/>
        <v>49839.705659733074</v>
      </c>
      <c r="U105" s="68">
        <f t="shared" si="104"/>
        <v>48514.752113671821</v>
      </c>
      <c r="V105" s="68">
        <f t="shared" si="104"/>
        <v>45979.441357131931</v>
      </c>
      <c r="W105" s="68">
        <f t="shared" si="104"/>
        <v>45056.096588611865</v>
      </c>
      <c r="X105" s="68">
        <f t="shared" ref="X105:Y105" si="105">X53*11630*1000/X$8</f>
        <v>44535.520139786648</v>
      </c>
      <c r="Y105" s="68">
        <f t="shared" si="105"/>
        <v>43827.800373613856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98168.687176288266</v>
      </c>
      <c r="C107" s="85">
        <f t="shared" ref="C107:W107" si="107">SUM(C108:C111)</f>
        <v>103046.37043034745</v>
      </c>
      <c r="D107" s="85">
        <f t="shared" si="107"/>
        <v>101055.60989264444</v>
      </c>
      <c r="E107" s="85">
        <f t="shared" si="107"/>
        <v>106808.14411464328</v>
      </c>
      <c r="F107" s="85">
        <f t="shared" si="107"/>
        <v>130515.11130619462</v>
      </c>
      <c r="G107" s="85">
        <f t="shared" si="107"/>
        <v>129555.86449440633</v>
      </c>
      <c r="H107" s="85">
        <f t="shared" si="107"/>
        <v>124357.90006686232</v>
      </c>
      <c r="I107" s="85">
        <f t="shared" si="107"/>
        <v>115886.72724551351</v>
      </c>
      <c r="J107" s="85">
        <f t="shared" si="107"/>
        <v>127537.46308044759</v>
      </c>
      <c r="K107" s="85">
        <f t="shared" si="107"/>
        <v>127887.26730207251</v>
      </c>
      <c r="L107" s="85">
        <f t="shared" si="107"/>
        <v>135270.51959335452</v>
      </c>
      <c r="M107" s="85">
        <f t="shared" si="107"/>
        <v>116285.9881872188</v>
      </c>
      <c r="N107" s="85">
        <f t="shared" si="107"/>
        <v>124293.37226743516</v>
      </c>
      <c r="O107" s="85">
        <f t="shared" si="107"/>
        <v>134104.51804552277</v>
      </c>
      <c r="P107" s="85">
        <f t="shared" si="107"/>
        <v>113117.6276851713</v>
      </c>
      <c r="Q107" s="85">
        <f t="shared" si="107"/>
        <v>126745.0902381573</v>
      </c>
      <c r="R107" s="85">
        <f t="shared" si="107"/>
        <v>128568.22916020099</v>
      </c>
      <c r="S107" s="85">
        <f t="shared" si="107"/>
        <v>128537.83356434938</v>
      </c>
      <c r="T107" s="85">
        <f t="shared" si="107"/>
        <v>132574.51268838282</v>
      </c>
      <c r="U107" s="85">
        <f t="shared" si="107"/>
        <v>128295.15089740764</v>
      </c>
      <c r="V107" s="85">
        <f t="shared" si="107"/>
        <v>126483.46307706503</v>
      </c>
      <c r="W107" s="85">
        <f t="shared" si="107"/>
        <v>133125.72867820106</v>
      </c>
      <c r="X107" s="85">
        <f t="shared" ref="X107:Y107" si="108">SUM(X108:X111)</f>
        <v>118196.42265725366</v>
      </c>
      <c r="Y107" s="85">
        <f t="shared" si="108"/>
        <v>113076.11411874693</v>
      </c>
      <c r="DA107" s="117"/>
    </row>
    <row r="108" spans="1:105" ht="12" customHeight="1" x14ac:dyDescent="0.25">
      <c r="A108" s="61" t="s">
        <v>32</v>
      </c>
      <c r="B108" s="65">
        <v>73482.304963250266</v>
      </c>
      <c r="C108" s="65">
        <v>77474.430191549414</v>
      </c>
      <c r="D108" s="65">
        <v>73834.768853767673</v>
      </c>
      <c r="E108" s="65">
        <v>77460.994101331642</v>
      </c>
      <c r="F108" s="65">
        <v>103030.3057446052</v>
      </c>
      <c r="G108" s="65">
        <v>101041.08400899995</v>
      </c>
      <c r="H108" s="65">
        <v>93346.437391208558</v>
      </c>
      <c r="I108" s="65">
        <v>85126.974547603531</v>
      </c>
      <c r="J108" s="65">
        <v>95706.12604049567</v>
      </c>
      <c r="K108" s="65">
        <v>94348.580055122366</v>
      </c>
      <c r="L108" s="65">
        <v>100110.06063878455</v>
      </c>
      <c r="M108" s="65">
        <v>80664.497599651542</v>
      </c>
      <c r="N108" s="65">
        <v>87176.234811540635</v>
      </c>
      <c r="O108" s="65">
        <v>95640.840146287708</v>
      </c>
      <c r="P108" s="65">
        <v>73844.693510804034</v>
      </c>
      <c r="Q108" s="65">
        <v>85044.649268190347</v>
      </c>
      <c r="R108" s="65">
        <v>86367.398348776565</v>
      </c>
      <c r="S108" s="65">
        <v>86669.62299314214</v>
      </c>
      <c r="T108" s="65">
        <v>88561.232430103715</v>
      </c>
      <c r="U108" s="65">
        <v>85873.149814942997</v>
      </c>
      <c r="V108" s="65">
        <v>84007.694003637094</v>
      </c>
      <c r="W108" s="65">
        <v>92345.73025222159</v>
      </c>
      <c r="X108" s="65">
        <v>75004.253798850448</v>
      </c>
      <c r="Y108" s="65">
        <v>70728.526413742249</v>
      </c>
      <c r="DA108" s="109"/>
    </row>
    <row r="109" spans="1:105" ht="12" customHeight="1" x14ac:dyDescent="0.25">
      <c r="A109" s="61" t="s">
        <v>31</v>
      </c>
      <c r="B109" s="65">
        <v>1599.7341645661813</v>
      </c>
      <c r="C109" s="65">
        <v>2133.8121407946451</v>
      </c>
      <c r="D109" s="65">
        <v>2823.6731420674832</v>
      </c>
      <c r="E109" s="65">
        <v>4301.1871303596899</v>
      </c>
      <c r="F109" s="65">
        <v>4012.3951897226998</v>
      </c>
      <c r="G109" s="65">
        <v>4909.0694730721698</v>
      </c>
      <c r="H109" s="65">
        <v>7258.0716979782137</v>
      </c>
      <c r="I109" s="65">
        <v>6744.5726275033112</v>
      </c>
      <c r="J109" s="65">
        <v>7666.6486869317569</v>
      </c>
      <c r="K109" s="65">
        <v>8821.8775473907499</v>
      </c>
      <c r="L109" s="65">
        <v>10372.222615891604</v>
      </c>
      <c r="M109" s="65">
        <v>10536.037627858732</v>
      </c>
      <c r="N109" s="65">
        <v>11301.637470147676</v>
      </c>
      <c r="O109" s="65">
        <v>12198.34704981162</v>
      </c>
      <c r="P109" s="65">
        <v>12343.228223887067</v>
      </c>
      <c r="Q109" s="65">
        <v>14377.213974086884</v>
      </c>
      <c r="R109" s="65">
        <v>14480.617194864257</v>
      </c>
      <c r="S109" s="65">
        <v>13903.918734762043</v>
      </c>
      <c r="T109" s="65">
        <v>15961.057802733252</v>
      </c>
      <c r="U109" s="65">
        <v>15500.554230818401</v>
      </c>
      <c r="V109" s="65">
        <v>16820.823268889595</v>
      </c>
      <c r="W109" s="65">
        <v>13831.233111463236</v>
      </c>
      <c r="X109" s="65">
        <v>15887.85017136713</v>
      </c>
      <c r="Y109" s="65">
        <v>14524.529251929449</v>
      </c>
      <c r="DA109" s="109"/>
    </row>
    <row r="110" spans="1:105" ht="12" customHeight="1" x14ac:dyDescent="0.25">
      <c r="A110" s="61" t="s">
        <v>35</v>
      </c>
      <c r="B110" s="65">
        <v>12865.944213608556</v>
      </c>
      <c r="C110" s="65">
        <v>12907.187935128353</v>
      </c>
      <c r="D110" s="65">
        <v>13288.02385459265</v>
      </c>
      <c r="E110" s="65">
        <v>13651.143677521099</v>
      </c>
      <c r="F110" s="65">
        <v>12812.204582417513</v>
      </c>
      <c r="G110" s="65">
        <v>12688.326403937946</v>
      </c>
      <c r="H110" s="65">
        <v>12763.678507991342</v>
      </c>
      <c r="I110" s="65">
        <v>12715.047538163366</v>
      </c>
      <c r="J110" s="65">
        <v>12728.044035267196</v>
      </c>
      <c r="K110" s="65">
        <v>12997.236754516009</v>
      </c>
      <c r="L110" s="65">
        <v>13059.235906116563</v>
      </c>
      <c r="M110" s="65">
        <v>13263.520688101486</v>
      </c>
      <c r="N110" s="65">
        <v>13602.322668029552</v>
      </c>
      <c r="O110" s="65">
        <v>13951.466857536701</v>
      </c>
      <c r="P110" s="65">
        <v>14059.749959936005</v>
      </c>
      <c r="Q110" s="65">
        <v>14115.365608374012</v>
      </c>
      <c r="R110" s="65">
        <v>14315.052575097705</v>
      </c>
      <c r="S110" s="65">
        <v>14473.095602688496</v>
      </c>
      <c r="T110" s="65">
        <v>14497.306706988362</v>
      </c>
      <c r="U110" s="65">
        <v>13821.005896248515</v>
      </c>
      <c r="V110" s="65">
        <v>13197.590665267817</v>
      </c>
      <c r="W110" s="65">
        <v>13975.541189405038</v>
      </c>
      <c r="X110" s="65">
        <v>14227.166462847477</v>
      </c>
      <c r="Y110" s="65">
        <v>14522.60829729428</v>
      </c>
      <c r="DA110" s="109"/>
    </row>
    <row r="111" spans="1:105" ht="12" customHeight="1" x14ac:dyDescent="0.25">
      <c r="A111" s="74" t="s">
        <v>34</v>
      </c>
      <c r="B111" s="68">
        <v>10220.70383486326</v>
      </c>
      <c r="C111" s="68">
        <v>10530.940162875037</v>
      </c>
      <c r="D111" s="68">
        <v>11109.144042216629</v>
      </c>
      <c r="E111" s="68">
        <v>11394.819205430838</v>
      </c>
      <c r="F111" s="68">
        <v>10660.205789449219</v>
      </c>
      <c r="G111" s="68">
        <v>10917.384608396249</v>
      </c>
      <c r="H111" s="68">
        <v>10989.712469684204</v>
      </c>
      <c r="I111" s="68">
        <v>11300.132532243315</v>
      </c>
      <c r="J111" s="68">
        <v>11436.644317752955</v>
      </c>
      <c r="K111" s="68">
        <v>11719.572945043383</v>
      </c>
      <c r="L111" s="68">
        <v>11729.000432561803</v>
      </c>
      <c r="M111" s="68">
        <v>11821.932271607026</v>
      </c>
      <c r="N111" s="68">
        <v>12213.1773177173</v>
      </c>
      <c r="O111" s="68">
        <v>12313.863991886743</v>
      </c>
      <c r="P111" s="68">
        <v>12869.955990544202</v>
      </c>
      <c r="Q111" s="68">
        <v>13207.86138750606</v>
      </c>
      <c r="R111" s="68">
        <v>13405.161041462463</v>
      </c>
      <c r="S111" s="68">
        <v>13491.196233756695</v>
      </c>
      <c r="T111" s="68">
        <v>13554.915748557483</v>
      </c>
      <c r="U111" s="68">
        <v>13100.44095539772</v>
      </c>
      <c r="V111" s="68">
        <v>12457.355139270529</v>
      </c>
      <c r="W111" s="68">
        <v>12973.224125111206</v>
      </c>
      <c r="X111" s="68">
        <v>13077.152224188603</v>
      </c>
      <c r="Y111" s="68">
        <v>13300.450155780958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32335.346101044132</v>
      </c>
      <c r="C113" s="82">
        <f t="shared" ref="C113:W113" si="110">C81*1000000/C$8</f>
        <v>33501.91507715913</v>
      </c>
      <c r="D113" s="82">
        <f t="shared" si="110"/>
        <v>35433.683027443658</v>
      </c>
      <c r="E113" s="82">
        <f t="shared" si="110"/>
        <v>37940.505519245897</v>
      </c>
      <c r="F113" s="82">
        <f t="shared" si="110"/>
        <v>36400.708855451929</v>
      </c>
      <c r="G113" s="82">
        <f t="shared" si="110"/>
        <v>35092.713402224108</v>
      </c>
      <c r="H113" s="82">
        <f t="shared" si="110"/>
        <v>32114.143704066315</v>
      </c>
      <c r="I113" s="82">
        <f t="shared" si="110"/>
        <v>28490.302891548596</v>
      </c>
      <c r="J113" s="82">
        <f t="shared" si="110"/>
        <v>32913.218283108945</v>
      </c>
      <c r="K113" s="82">
        <f t="shared" si="110"/>
        <v>31062.187660172465</v>
      </c>
      <c r="L113" s="82">
        <f t="shared" si="110"/>
        <v>33495.295001373728</v>
      </c>
      <c r="M113" s="82">
        <f t="shared" si="110"/>
        <v>27236.143310378258</v>
      </c>
      <c r="N113" s="82">
        <f t="shared" si="110"/>
        <v>28808.321060766728</v>
      </c>
      <c r="O113" s="82">
        <f t="shared" si="110"/>
        <v>31634.320578165512</v>
      </c>
      <c r="P113" s="82">
        <f t="shared" si="110"/>
        <v>24868.320620018523</v>
      </c>
      <c r="Q113" s="82">
        <f t="shared" si="110"/>
        <v>28517.592770086409</v>
      </c>
      <c r="R113" s="82">
        <f t="shared" si="110"/>
        <v>28198.958511136218</v>
      </c>
      <c r="S113" s="82">
        <f t="shared" si="110"/>
        <v>27815.937549234546</v>
      </c>
      <c r="T113" s="82">
        <f t="shared" si="110"/>
        <v>27472.418226740851</v>
      </c>
      <c r="U113" s="82">
        <f t="shared" si="110"/>
        <v>25123.720567591427</v>
      </c>
      <c r="V113" s="82">
        <f t="shared" si="110"/>
        <v>24481.999095027604</v>
      </c>
      <c r="W113" s="82">
        <f t="shared" si="110"/>
        <v>25287.598539854371</v>
      </c>
      <c r="X113" s="82">
        <f t="shared" ref="X113:Y113" si="111">X81*1000000/X$8</f>
        <v>20046.765488174202</v>
      </c>
      <c r="Y113" s="82">
        <f t="shared" si="111"/>
        <v>18710.274601545083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32335.346101044132</v>
      </c>
      <c r="C114" s="64">
        <f t="shared" ref="C114:W114" si="113">C82*1000000/C$8</f>
        <v>33501.91507715913</v>
      </c>
      <c r="D114" s="64">
        <f t="shared" si="113"/>
        <v>35433.683027443658</v>
      </c>
      <c r="E114" s="64">
        <f t="shared" si="113"/>
        <v>37940.505519245897</v>
      </c>
      <c r="F114" s="64">
        <f t="shared" si="113"/>
        <v>36400.708855451929</v>
      </c>
      <c r="G114" s="64">
        <f t="shared" si="113"/>
        <v>35092.713402224108</v>
      </c>
      <c r="H114" s="64">
        <f t="shared" si="113"/>
        <v>32114.143704066315</v>
      </c>
      <c r="I114" s="64">
        <f t="shared" si="113"/>
        <v>28490.302891548596</v>
      </c>
      <c r="J114" s="64">
        <f t="shared" si="113"/>
        <v>32913.218283108945</v>
      </c>
      <c r="K114" s="64">
        <f t="shared" si="113"/>
        <v>31062.187660172465</v>
      </c>
      <c r="L114" s="64">
        <f t="shared" si="113"/>
        <v>33495.295001373728</v>
      </c>
      <c r="M114" s="64">
        <f t="shared" si="113"/>
        <v>27236.143310378258</v>
      </c>
      <c r="N114" s="64">
        <f t="shared" si="113"/>
        <v>28808.321060766728</v>
      </c>
      <c r="O114" s="64">
        <f t="shared" si="113"/>
        <v>31634.320578165512</v>
      </c>
      <c r="P114" s="64">
        <f t="shared" si="113"/>
        <v>24868.320620018523</v>
      </c>
      <c r="Q114" s="64">
        <f t="shared" si="113"/>
        <v>28517.592770086409</v>
      </c>
      <c r="R114" s="64">
        <f t="shared" si="113"/>
        <v>28198.958511136218</v>
      </c>
      <c r="S114" s="64">
        <f t="shared" si="113"/>
        <v>27815.937549234546</v>
      </c>
      <c r="T114" s="64">
        <f t="shared" si="113"/>
        <v>27472.418226740851</v>
      </c>
      <c r="U114" s="64">
        <f t="shared" si="113"/>
        <v>25123.720567591427</v>
      </c>
      <c r="V114" s="64">
        <f t="shared" si="113"/>
        <v>24481.999095027604</v>
      </c>
      <c r="W114" s="64">
        <f t="shared" si="113"/>
        <v>25287.598539854371</v>
      </c>
      <c r="X114" s="64">
        <f t="shared" ref="X114:Y114" si="114">X82*1000000/X$8</f>
        <v>20046.765488174202</v>
      </c>
      <c r="Y114" s="64">
        <f t="shared" si="114"/>
        <v>18710.274601545083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25542.33476075231</v>
      </c>
      <c r="C115" s="65">
        <f t="shared" ref="C115:W115" si="116">C83*1000000/C$8</f>
        <v>26788.742164228755</v>
      </c>
      <c r="D115" s="65">
        <f t="shared" si="116"/>
        <v>29201.952631292639</v>
      </c>
      <c r="E115" s="65">
        <f t="shared" si="116"/>
        <v>31914.197727696777</v>
      </c>
      <c r="F115" s="65">
        <f t="shared" si="116"/>
        <v>30495.050691048335</v>
      </c>
      <c r="G115" s="65">
        <f t="shared" si="116"/>
        <v>29709.855364705989</v>
      </c>
      <c r="H115" s="65">
        <f t="shared" si="116"/>
        <v>26862.638160111761</v>
      </c>
      <c r="I115" s="65">
        <f t="shared" si="116"/>
        <v>23358.895091582504</v>
      </c>
      <c r="J115" s="65">
        <f t="shared" si="116"/>
        <v>27878.402838979702</v>
      </c>
      <c r="K115" s="65">
        <f t="shared" si="116"/>
        <v>26005.323883521436</v>
      </c>
      <c r="L115" s="65">
        <f t="shared" si="116"/>
        <v>28502.081359770276</v>
      </c>
      <c r="M115" s="65">
        <f t="shared" si="116"/>
        <v>22310.267868645435</v>
      </c>
      <c r="N115" s="65">
        <f t="shared" si="116"/>
        <v>23853.619327928973</v>
      </c>
      <c r="O115" s="65">
        <f t="shared" si="116"/>
        <v>26667.497718546041</v>
      </c>
      <c r="P115" s="65">
        <f t="shared" si="116"/>
        <v>20010.842793681419</v>
      </c>
      <c r="Q115" s="65">
        <f t="shared" si="116"/>
        <v>23592.32271225952</v>
      </c>
      <c r="R115" s="65">
        <f t="shared" si="116"/>
        <v>23404.106434212121</v>
      </c>
      <c r="S115" s="65">
        <f t="shared" si="116"/>
        <v>23077.099168568431</v>
      </c>
      <c r="T115" s="65">
        <f t="shared" si="116"/>
        <v>22851.975906426869</v>
      </c>
      <c r="U115" s="65">
        <f t="shared" si="116"/>
        <v>20760.052668394521</v>
      </c>
      <c r="V115" s="65">
        <f t="shared" si="116"/>
        <v>20337.584983673893</v>
      </c>
      <c r="W115" s="65">
        <f t="shared" si="116"/>
        <v>21102.204287580207</v>
      </c>
      <c r="X115" s="65">
        <f t="shared" ref="X115:Y115" si="117">X83*1000000/X$8</f>
        <v>16043.067454412003</v>
      </c>
      <c r="Y115" s="65">
        <f t="shared" si="117"/>
        <v>14969.815860121573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0.247190611034869</v>
      </c>
      <c r="C116" s="65">
        <f t="shared" ref="C116:W116" si="119">C84*1000000/C$8</f>
        <v>0.33754261469769259</v>
      </c>
      <c r="D116" s="65">
        <f t="shared" si="119"/>
        <v>0.47226911744716449</v>
      </c>
      <c r="E116" s="65">
        <f t="shared" si="119"/>
        <v>0.57777824279564327</v>
      </c>
      <c r="F116" s="65">
        <f t="shared" si="119"/>
        <v>0.79123007432607095</v>
      </c>
      <c r="G116" s="65">
        <f t="shared" si="119"/>
        <v>1.0892962713135195</v>
      </c>
      <c r="H116" s="65">
        <f t="shared" si="119"/>
        <v>1.487638109468403</v>
      </c>
      <c r="I116" s="65">
        <f t="shared" si="119"/>
        <v>1.749125567043448</v>
      </c>
      <c r="J116" s="65">
        <f t="shared" si="119"/>
        <v>2.3253488210931739</v>
      </c>
      <c r="K116" s="65">
        <f t="shared" si="119"/>
        <v>2.9406400480872912</v>
      </c>
      <c r="L116" s="65">
        <f t="shared" si="119"/>
        <v>3.3349102805942885</v>
      </c>
      <c r="M116" s="65">
        <f t="shared" si="119"/>
        <v>3.5710107815717014</v>
      </c>
      <c r="N116" s="65">
        <f t="shared" si="119"/>
        <v>4.0301633929445151</v>
      </c>
      <c r="O116" s="65">
        <f t="shared" si="119"/>
        <v>4.8866489518608214</v>
      </c>
      <c r="P116" s="65">
        <f t="shared" si="119"/>
        <v>6.0525036307873235</v>
      </c>
      <c r="Q116" s="65">
        <f t="shared" si="119"/>
        <v>9.1602835469599828</v>
      </c>
      <c r="R116" s="65">
        <f t="shared" si="119"/>
        <v>10.40621351160441</v>
      </c>
      <c r="S116" s="65">
        <f t="shared" si="119"/>
        <v>10.382298037751848</v>
      </c>
      <c r="T116" s="65">
        <f t="shared" si="119"/>
        <v>13.229332390473566</v>
      </c>
      <c r="U116" s="65">
        <f t="shared" si="119"/>
        <v>14.477607181624006</v>
      </c>
      <c r="V116" s="65">
        <f t="shared" si="119"/>
        <v>17.153265548547584</v>
      </c>
      <c r="W116" s="65">
        <f t="shared" si="119"/>
        <v>12.632018702983752</v>
      </c>
      <c r="X116" s="65">
        <f t="shared" ref="X116:Y116" si="120">X84*1000000/X$8</f>
        <v>15.235459446582796</v>
      </c>
      <c r="Y116" s="65">
        <f t="shared" si="120"/>
        <v>13.844659449170923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4136.8511384386657</v>
      </c>
      <c r="C117" s="65">
        <f t="shared" ref="C117:W117" si="122">C85*1000000/C$8</f>
        <v>4091.2024017663916</v>
      </c>
      <c r="D117" s="65">
        <f t="shared" si="122"/>
        <v>3915.2144715520949</v>
      </c>
      <c r="E117" s="65">
        <f t="shared" si="122"/>
        <v>3885.7835285557017</v>
      </c>
      <c r="F117" s="65">
        <f t="shared" si="122"/>
        <v>3782.3038355382505</v>
      </c>
      <c r="G117" s="65">
        <f t="shared" si="122"/>
        <v>3639.4087367947482</v>
      </c>
      <c r="H117" s="65">
        <f t="shared" si="122"/>
        <v>3553.0456976530113</v>
      </c>
      <c r="I117" s="65">
        <f t="shared" si="122"/>
        <v>3468.2724876543061</v>
      </c>
      <c r="J117" s="65">
        <f t="shared" si="122"/>
        <v>3352.191616363405</v>
      </c>
      <c r="K117" s="65">
        <f t="shared" si="122"/>
        <v>3359.050800473864</v>
      </c>
      <c r="L117" s="65">
        <f t="shared" si="122"/>
        <v>3289.555230892583</v>
      </c>
      <c r="M117" s="65">
        <f t="shared" si="122"/>
        <v>3268.6654440527341</v>
      </c>
      <c r="N117" s="65">
        <f t="shared" si="122"/>
        <v>3268.0214528482106</v>
      </c>
      <c r="O117" s="65">
        <f t="shared" si="122"/>
        <v>3245.1181759281376</v>
      </c>
      <c r="P117" s="65">
        <f t="shared" si="122"/>
        <v>3183.7419809734433</v>
      </c>
      <c r="Q117" s="65">
        <f t="shared" si="122"/>
        <v>3167.6009799712479</v>
      </c>
      <c r="R117" s="65">
        <f t="shared" si="122"/>
        <v>3085.5167291368948</v>
      </c>
      <c r="S117" s="65">
        <f t="shared" si="122"/>
        <v>3025.5092395940865</v>
      </c>
      <c r="T117" s="65">
        <f t="shared" si="122"/>
        <v>2923.0852801311844</v>
      </c>
      <c r="U117" s="65">
        <f t="shared" si="122"/>
        <v>2671.1432243315135</v>
      </c>
      <c r="V117" s="65">
        <f t="shared" si="122"/>
        <v>2514.5191407917241</v>
      </c>
      <c r="W117" s="65">
        <f t="shared" si="122"/>
        <v>2658.2769507545363</v>
      </c>
      <c r="X117" s="65">
        <f t="shared" ref="X117:Y117" si="123">X85*1000000/X$8</f>
        <v>2428.0184424564663</v>
      </c>
      <c r="Y117" s="65">
        <f t="shared" si="123"/>
        <v>2268.6470395667202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2655.913011242114</v>
      </c>
      <c r="C118" s="67">
        <f t="shared" ref="C118:W118" si="125">C86*1000000/C$8</f>
        <v>2621.6329685492797</v>
      </c>
      <c r="D118" s="67">
        <f t="shared" si="125"/>
        <v>2316.0436554814778</v>
      </c>
      <c r="E118" s="67">
        <f t="shared" si="125"/>
        <v>2139.9464847506179</v>
      </c>
      <c r="F118" s="67">
        <f t="shared" si="125"/>
        <v>2122.5630987910217</v>
      </c>
      <c r="G118" s="67">
        <f t="shared" si="125"/>
        <v>1742.3600044520626</v>
      </c>
      <c r="H118" s="67">
        <f t="shared" si="125"/>
        <v>1696.9722081920756</v>
      </c>
      <c r="I118" s="67">
        <f t="shared" si="125"/>
        <v>1661.3861867447433</v>
      </c>
      <c r="J118" s="67">
        <f t="shared" si="125"/>
        <v>1680.2984789447448</v>
      </c>
      <c r="K118" s="67">
        <f t="shared" si="125"/>
        <v>1694.8723361290804</v>
      </c>
      <c r="L118" s="67">
        <f t="shared" si="125"/>
        <v>1700.3235004302694</v>
      </c>
      <c r="M118" s="67">
        <f t="shared" si="125"/>
        <v>1653.6389868985184</v>
      </c>
      <c r="N118" s="67">
        <f t="shared" si="125"/>
        <v>1682.6501165966026</v>
      </c>
      <c r="O118" s="67">
        <f t="shared" si="125"/>
        <v>1716.8180347394743</v>
      </c>
      <c r="P118" s="67">
        <f t="shared" si="125"/>
        <v>1667.6833417328696</v>
      </c>
      <c r="Q118" s="67">
        <f t="shared" si="125"/>
        <v>1748.5087943086808</v>
      </c>
      <c r="R118" s="67">
        <f t="shared" si="125"/>
        <v>1698.9291342755985</v>
      </c>
      <c r="S118" s="67">
        <f t="shared" si="125"/>
        <v>1702.9468430342788</v>
      </c>
      <c r="T118" s="67">
        <f t="shared" si="125"/>
        <v>1684.1277077923223</v>
      </c>
      <c r="U118" s="67">
        <f t="shared" si="125"/>
        <v>1678.0470676837695</v>
      </c>
      <c r="V118" s="67">
        <f t="shared" si="125"/>
        <v>1612.7417050134427</v>
      </c>
      <c r="W118" s="67">
        <f t="shared" si="125"/>
        <v>1514.4852828166447</v>
      </c>
      <c r="X118" s="67">
        <f t="shared" ref="X118:Y118" si="126">X86*1000000/X$8</f>
        <v>1560.4441318591541</v>
      </c>
      <c r="Y118" s="67">
        <f t="shared" si="126"/>
        <v>1457.9670424076201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0.57952688892048765</v>
      </c>
      <c r="C121" s="86">
        <f t="shared" ref="C121:W121" si="131">IF(C107=0,"",C107/C100)</f>
        <v>0.58509989576577892</v>
      </c>
      <c r="D121" s="86">
        <f t="shared" si="131"/>
        <v>0.58201272824280115</v>
      </c>
      <c r="E121" s="86">
        <f t="shared" si="131"/>
        <v>0.58713590561677675</v>
      </c>
      <c r="F121" s="86">
        <f t="shared" si="131"/>
        <v>0.62277240416314994</v>
      </c>
      <c r="G121" s="86">
        <f t="shared" si="131"/>
        <v>0.6323532431922898</v>
      </c>
      <c r="H121" s="86">
        <f t="shared" si="131"/>
        <v>0.65029311502061216</v>
      </c>
      <c r="I121" s="86">
        <f t="shared" si="131"/>
        <v>0.6628097819455292</v>
      </c>
      <c r="J121" s="86">
        <f t="shared" si="131"/>
        <v>0.66118251770354508</v>
      </c>
      <c r="K121" s="86">
        <f t="shared" si="131"/>
        <v>0.67816742969045218</v>
      </c>
      <c r="L121" s="86">
        <f t="shared" si="131"/>
        <v>0.68552876626674308</v>
      </c>
      <c r="M121" s="86">
        <f t="shared" si="131"/>
        <v>0.70793251004712876</v>
      </c>
      <c r="N121" s="86">
        <f t="shared" si="131"/>
        <v>0.71770593739466171</v>
      </c>
      <c r="O121" s="86">
        <f t="shared" si="131"/>
        <v>0.72666798604403948</v>
      </c>
      <c r="P121" s="86">
        <f t="shared" si="131"/>
        <v>0.7497774219324157</v>
      </c>
      <c r="Q121" s="86">
        <f t="shared" si="131"/>
        <v>0.75646386577807945</v>
      </c>
      <c r="R121" s="86">
        <f t="shared" si="131"/>
        <v>0.76821761640537323</v>
      </c>
      <c r="S121" s="86">
        <f t="shared" si="131"/>
        <v>0.77860568343721004</v>
      </c>
      <c r="T121" s="86">
        <f t="shared" si="131"/>
        <v>0.80443270139256651</v>
      </c>
      <c r="U121" s="86">
        <f t="shared" si="131"/>
        <v>0.82380517484885063</v>
      </c>
      <c r="V121" s="86">
        <f t="shared" si="131"/>
        <v>0.84602053843650404</v>
      </c>
      <c r="W121" s="86">
        <f t="shared" si="131"/>
        <v>0.84675636852784841</v>
      </c>
      <c r="X121" s="86">
        <f t="shared" ref="X121:Y121" si="132">IF(X107=0,"",X107/X100)</f>
        <v>0.89294710226836205</v>
      </c>
      <c r="Y121" s="86">
        <f t="shared" si="132"/>
        <v>0.90785170687848771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0.55792502630575791</v>
      </c>
      <c r="C122" s="75">
        <f t="shared" ref="C122:W122" si="134">IF(C108=0,"",C108/C101)</f>
        <v>0.56144357321455085</v>
      </c>
      <c r="D122" s="75">
        <f t="shared" si="134"/>
        <v>0.54805089904348425</v>
      </c>
      <c r="E122" s="75">
        <f t="shared" si="134"/>
        <v>0.54553372438886527</v>
      </c>
      <c r="F122" s="75">
        <f t="shared" si="134"/>
        <v>0.5985183033255066</v>
      </c>
      <c r="G122" s="75">
        <f t="shared" si="134"/>
        <v>0.60227653872902109</v>
      </c>
      <c r="H122" s="75">
        <f t="shared" si="134"/>
        <v>0.60817341851440476</v>
      </c>
      <c r="I122" s="75">
        <f t="shared" si="134"/>
        <v>0.61977955370808846</v>
      </c>
      <c r="J122" s="75">
        <f t="shared" si="134"/>
        <v>0.61648387574404573</v>
      </c>
      <c r="K122" s="75">
        <f t="shared" si="134"/>
        <v>0.62862424964009156</v>
      </c>
      <c r="L122" s="75">
        <f t="shared" si="134"/>
        <v>0.63122122175753803</v>
      </c>
      <c r="M122" s="75">
        <f t="shared" si="134"/>
        <v>0.64278796053493903</v>
      </c>
      <c r="N122" s="75">
        <f t="shared" si="134"/>
        <v>0.65242209540429252</v>
      </c>
      <c r="O122" s="75">
        <f t="shared" si="134"/>
        <v>0.66158985984802421</v>
      </c>
      <c r="P122" s="75">
        <f t="shared" si="134"/>
        <v>0.66887755689655748</v>
      </c>
      <c r="Q122" s="75">
        <f t="shared" si="134"/>
        <v>0.67300556917099863</v>
      </c>
      <c r="R122" s="75">
        <f t="shared" si="134"/>
        <v>0.68432772719157764</v>
      </c>
      <c r="S122" s="75">
        <f t="shared" si="134"/>
        <v>0.69727123887144993</v>
      </c>
      <c r="T122" s="75">
        <f t="shared" si="134"/>
        <v>0.7139674373782483</v>
      </c>
      <c r="U122" s="75">
        <f t="shared" si="134"/>
        <v>0.73343660063453675</v>
      </c>
      <c r="V122" s="75">
        <f t="shared" si="134"/>
        <v>0.74545736018748487</v>
      </c>
      <c r="W122" s="75">
        <f t="shared" si="134"/>
        <v>0.76895001977788147</v>
      </c>
      <c r="X122" s="75">
        <f t="shared" ref="X122:Y122" si="135">IF(X108=0,"",X108/X101)</f>
        <v>0.79071092242880303</v>
      </c>
      <c r="Y122" s="75">
        <f t="shared" si="135"/>
        <v>0.80942270992129906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2.0464363519681821</v>
      </c>
      <c r="C123" s="76">
        <f t="shared" ref="C123:W123" si="137">IF(C109=0,"",C109/C102)</f>
        <v>2.2177598457414365</v>
      </c>
      <c r="D123" s="76">
        <f t="shared" si="137"/>
        <v>2.4024683819344705</v>
      </c>
      <c r="E123" s="76">
        <f t="shared" si="137"/>
        <v>2.528168392435111</v>
      </c>
      <c r="F123" s="76">
        <f t="shared" si="137"/>
        <v>2.6605785423930204</v>
      </c>
      <c r="G123" s="76">
        <f t="shared" si="137"/>
        <v>2.7909744788127533</v>
      </c>
      <c r="H123" s="76">
        <f t="shared" si="137"/>
        <v>2.9191435283400167</v>
      </c>
      <c r="I123" s="76">
        <f t="shared" si="137"/>
        <v>3.0531334526402008</v>
      </c>
      <c r="J123" s="76">
        <f t="shared" si="137"/>
        <v>3.173998239396032</v>
      </c>
      <c r="K123" s="76">
        <f t="shared" si="137"/>
        <v>3.2591088971727906</v>
      </c>
      <c r="L123" s="76">
        <f t="shared" si="137"/>
        <v>3.3651170810453475</v>
      </c>
      <c r="M123" s="76">
        <f t="shared" si="137"/>
        <v>3.4896011627435426</v>
      </c>
      <c r="N123" s="76">
        <f t="shared" si="137"/>
        <v>3.6135737146937918</v>
      </c>
      <c r="O123" s="76">
        <f t="shared" si="137"/>
        <v>3.7461607395138374</v>
      </c>
      <c r="P123" s="76">
        <f t="shared" si="137"/>
        <v>3.884741627570838</v>
      </c>
      <c r="Q123" s="76">
        <f t="shared" si="137"/>
        <v>4.0231509394945366</v>
      </c>
      <c r="R123" s="76">
        <f t="shared" si="137"/>
        <v>4.178412050558606</v>
      </c>
      <c r="S123" s="76">
        <f t="shared" si="137"/>
        <v>4.3213218114330854</v>
      </c>
      <c r="T123" s="76">
        <f t="shared" si="137"/>
        <v>4.4469985783614243</v>
      </c>
      <c r="U123" s="76">
        <f t="shared" si="137"/>
        <v>4.5641593148661617</v>
      </c>
      <c r="V123" s="76">
        <f t="shared" si="137"/>
        <v>4.6776039959476545</v>
      </c>
      <c r="W123" s="76">
        <f t="shared" si="137"/>
        <v>4.7848802619812956</v>
      </c>
      <c r="X123" s="76">
        <f t="shared" ref="X123:Y123" si="138">IF(X109=0,"",X109/X102)</f>
        <v>4.861560053417179</v>
      </c>
      <c r="Y123" s="76">
        <f t="shared" si="138"/>
        <v>4.9229679787997842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0.59472217435908681</v>
      </c>
      <c r="C124" s="76">
        <f t="shared" ref="C124:W124" si="140">IF(C110=0,"",C110/C103)</f>
        <v>0.59832169540000124</v>
      </c>
      <c r="D124" s="76">
        <f t="shared" si="140"/>
        <v>0.60883077058192725</v>
      </c>
      <c r="E124" s="76">
        <f t="shared" si="140"/>
        <v>0.61510348287685601</v>
      </c>
      <c r="F124" s="76">
        <f t="shared" si="140"/>
        <v>0.61588415519803197</v>
      </c>
      <c r="G124" s="76">
        <f t="shared" si="140"/>
        <v>0.6224965996211641</v>
      </c>
      <c r="H124" s="76">
        <f t="shared" si="140"/>
        <v>0.62953029060407151</v>
      </c>
      <c r="I124" s="76">
        <f t="shared" si="140"/>
        <v>0.63605645824270818</v>
      </c>
      <c r="J124" s="76">
        <f t="shared" si="140"/>
        <v>0.64385080244363702</v>
      </c>
      <c r="K124" s="76">
        <f t="shared" si="140"/>
        <v>0.65025157891166474</v>
      </c>
      <c r="L124" s="76">
        <f t="shared" si="140"/>
        <v>0.6582621323674468</v>
      </c>
      <c r="M124" s="76">
        <f t="shared" si="140"/>
        <v>0.6667723009187515</v>
      </c>
      <c r="N124" s="76">
        <f t="shared" si="140"/>
        <v>0.67685779053108852</v>
      </c>
      <c r="O124" s="76">
        <f t="shared" si="140"/>
        <v>0.68843092197063382</v>
      </c>
      <c r="P124" s="76">
        <f t="shared" si="140"/>
        <v>0.69417296266522532</v>
      </c>
      <c r="Q124" s="76">
        <f t="shared" si="140"/>
        <v>0.70125807334069679</v>
      </c>
      <c r="R124" s="76">
        <f t="shared" si="140"/>
        <v>0.71304206111801138</v>
      </c>
      <c r="S124" s="76">
        <f t="shared" si="140"/>
        <v>0.72691643974613818</v>
      </c>
      <c r="T124" s="76">
        <f t="shared" si="140"/>
        <v>0.74248775354643326</v>
      </c>
      <c r="U124" s="76">
        <f t="shared" si="140"/>
        <v>0.75966514572531185</v>
      </c>
      <c r="V124" s="76">
        <f t="shared" si="140"/>
        <v>0.77499445398724753</v>
      </c>
      <c r="W124" s="76">
        <f t="shared" si="140"/>
        <v>0.789661461571039</v>
      </c>
      <c r="X124" s="76">
        <f t="shared" ref="X124:Y124" si="141">IF(X110=0,"",X110/X103)</f>
        <v>0.80869782863808171</v>
      </c>
      <c r="Y124" s="76">
        <f t="shared" si="141"/>
        <v>0.82705218973303996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0.66920672308987572</v>
      </c>
      <c r="C125" s="56">
        <f t="shared" ref="C125:W125" si="143">IF(C111=0,"",C111/C104)</f>
        <v>0.67542319552340058</v>
      </c>
      <c r="D125" s="56">
        <f t="shared" si="143"/>
        <v>0.69833680517855357</v>
      </c>
      <c r="E125" s="56">
        <f t="shared" si="143"/>
        <v>0.71092892006731645</v>
      </c>
      <c r="F125" s="56">
        <f t="shared" si="143"/>
        <v>0.70514246939329261</v>
      </c>
      <c r="G125" s="56">
        <f t="shared" si="143"/>
        <v>0.72919636264127285</v>
      </c>
      <c r="H125" s="56">
        <f t="shared" si="143"/>
        <v>0.73334317905270574</v>
      </c>
      <c r="I125" s="56">
        <f t="shared" si="143"/>
        <v>0.7389719010748641</v>
      </c>
      <c r="J125" s="56">
        <f t="shared" si="143"/>
        <v>0.73957736173280297</v>
      </c>
      <c r="K125" s="56">
        <f t="shared" si="143"/>
        <v>0.74195793365633023</v>
      </c>
      <c r="L125" s="56">
        <f t="shared" si="143"/>
        <v>0.74214305091249644</v>
      </c>
      <c r="M125" s="56">
        <f t="shared" si="143"/>
        <v>0.7454683616248885</v>
      </c>
      <c r="N125" s="56">
        <f t="shared" si="143"/>
        <v>0.74751980185692712</v>
      </c>
      <c r="O125" s="56">
        <f t="shared" si="143"/>
        <v>0.74796262570395811</v>
      </c>
      <c r="P125" s="56">
        <f t="shared" si="143"/>
        <v>0.75545450550938575</v>
      </c>
      <c r="Q125" s="56">
        <f t="shared" si="143"/>
        <v>0.75552360792823725</v>
      </c>
      <c r="R125" s="56">
        <f t="shared" si="143"/>
        <v>0.76123027945479504</v>
      </c>
      <c r="S125" s="56">
        <f t="shared" si="143"/>
        <v>0.7638917727375254</v>
      </c>
      <c r="T125" s="56">
        <f t="shared" si="143"/>
        <v>0.76800605894809293</v>
      </c>
      <c r="U125" s="56">
        <f t="shared" si="143"/>
        <v>0.76782014808223231</v>
      </c>
      <c r="V125" s="56">
        <f t="shared" si="143"/>
        <v>0.76964325319723847</v>
      </c>
      <c r="W125" s="56">
        <f t="shared" si="143"/>
        <v>0.78452431646115151</v>
      </c>
      <c r="X125" s="56">
        <f t="shared" ref="X125:Y125" si="144">IF(X111=0,"",X111/X104)</f>
        <v>0.78545304909934277</v>
      </c>
      <c r="Y125" s="56">
        <f t="shared" si="144"/>
        <v>0.79824002271220462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233.38858830981752</v>
      </c>
      <c r="C129" s="82">
        <f t="shared" ref="C129:W129" si="146">IF(C99=0,0,C99/C$26)</f>
        <v>242.07340989913178</v>
      </c>
      <c r="D129" s="82">
        <f t="shared" si="146"/>
        <v>239.70142268726664</v>
      </c>
      <c r="E129" s="82">
        <f t="shared" si="146"/>
        <v>249.97582384034581</v>
      </c>
      <c r="F129" s="82">
        <f t="shared" si="146"/>
        <v>281.80537291496699</v>
      </c>
      <c r="G129" s="82">
        <f t="shared" si="146"/>
        <v>278.10002836890533</v>
      </c>
      <c r="H129" s="82">
        <f t="shared" si="146"/>
        <v>264.50151791572284</v>
      </c>
      <c r="I129" s="82">
        <f t="shared" si="146"/>
        <v>247.47395443834148</v>
      </c>
      <c r="J129" s="82">
        <f t="shared" si="146"/>
        <v>268.57925970436958</v>
      </c>
      <c r="K129" s="82">
        <f t="shared" si="146"/>
        <v>265.13186118893168</v>
      </c>
      <c r="L129" s="82">
        <f t="shared" si="146"/>
        <v>275.29589635309515</v>
      </c>
      <c r="M129" s="82">
        <f t="shared" si="146"/>
        <v>238.88600948579119</v>
      </c>
      <c r="N129" s="82">
        <f t="shared" si="146"/>
        <v>248.99761391957489</v>
      </c>
      <c r="O129" s="82">
        <f t="shared" si="146"/>
        <v>261.80728140290017</v>
      </c>
      <c r="P129" s="82">
        <f t="shared" si="146"/>
        <v>224.65170080182955</v>
      </c>
      <c r="Q129" s="82">
        <f t="shared" si="146"/>
        <v>243.82310203225316</v>
      </c>
      <c r="R129" s="82">
        <f t="shared" si="146"/>
        <v>242.86067290024064</v>
      </c>
      <c r="S129" s="82">
        <f t="shared" si="146"/>
        <v>240.23324513541044</v>
      </c>
      <c r="T129" s="82">
        <f t="shared" si="146"/>
        <v>238.49409161946636</v>
      </c>
      <c r="U129" s="82">
        <f t="shared" si="146"/>
        <v>226.94396938913769</v>
      </c>
      <c r="V129" s="82">
        <f t="shared" si="146"/>
        <v>217.20383489175367</v>
      </c>
      <c r="W129" s="82">
        <f t="shared" si="146"/>
        <v>224.74950262703047</v>
      </c>
      <c r="X129" s="82">
        <f t="shared" ref="X129:Y129" si="147">IF(X99=0,0,X99/X$26)</f>
        <v>196.55797441579469</v>
      </c>
      <c r="Y129" s="82">
        <f t="shared" si="147"/>
        <v>187.0903417601173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188.21614867249113</v>
      </c>
      <c r="C130" s="64">
        <f t="shared" ref="C130:W130" si="149">IF(C100=0,0,C100/C$26)</f>
        <v>195.68618619386038</v>
      </c>
      <c r="D130" s="64">
        <f t="shared" si="149"/>
        <v>192.92363473017565</v>
      </c>
      <c r="E130" s="64">
        <f t="shared" si="149"/>
        <v>202.12648306403619</v>
      </c>
      <c r="F130" s="64">
        <f t="shared" si="149"/>
        <v>232.85680189231007</v>
      </c>
      <c r="G130" s="64">
        <f t="shared" si="149"/>
        <v>227.64327074948977</v>
      </c>
      <c r="H130" s="64">
        <f t="shared" si="149"/>
        <v>212.4817890996066</v>
      </c>
      <c r="I130" s="64">
        <f t="shared" si="149"/>
        <v>194.26845194534974</v>
      </c>
      <c r="J130" s="64">
        <f t="shared" si="149"/>
        <v>214.3255281518897</v>
      </c>
      <c r="K130" s="64">
        <f t="shared" si="149"/>
        <v>209.53079939835692</v>
      </c>
      <c r="L130" s="64">
        <f t="shared" si="149"/>
        <v>219.24765921123532</v>
      </c>
      <c r="M130" s="64">
        <f t="shared" si="149"/>
        <v>182.51267134596293</v>
      </c>
      <c r="N130" s="64">
        <f t="shared" si="149"/>
        <v>192.42386020261458</v>
      </c>
      <c r="O130" s="64">
        <f t="shared" si="149"/>
        <v>205.05240758129457</v>
      </c>
      <c r="P130" s="64">
        <f t="shared" si="149"/>
        <v>167.63141874769994</v>
      </c>
      <c r="Q130" s="64">
        <f t="shared" si="149"/>
        <v>186.16603437831765</v>
      </c>
      <c r="R130" s="64">
        <f t="shared" si="149"/>
        <v>185.95458487949836</v>
      </c>
      <c r="S130" s="64">
        <f t="shared" si="149"/>
        <v>183.43022419385778</v>
      </c>
      <c r="T130" s="64">
        <f t="shared" si="149"/>
        <v>183.11664088642968</v>
      </c>
      <c r="U130" s="64">
        <f t="shared" si="149"/>
        <v>173.03868926283567</v>
      </c>
      <c r="V130" s="64">
        <f t="shared" si="149"/>
        <v>166.11556671716261</v>
      </c>
      <c r="W130" s="64">
        <f t="shared" si="149"/>
        <v>174.6871730841284</v>
      </c>
      <c r="X130" s="64">
        <f t="shared" ref="X130:Y130" si="150">IF(X100=0,0,X100/X$26)</f>
        <v>147.07406314936506</v>
      </c>
      <c r="Y130" s="64">
        <f t="shared" si="150"/>
        <v>138.39278578943524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146.34046093135422</v>
      </c>
      <c r="C131" s="65">
        <f t="shared" ref="C131:W131" si="152">IF(C101=0,0,C101/C$26)</f>
        <v>153.32386782872112</v>
      </c>
      <c r="D131" s="65">
        <f t="shared" si="152"/>
        <v>149.69162937771705</v>
      </c>
      <c r="E131" s="65">
        <f t="shared" si="152"/>
        <v>157.76801208783073</v>
      </c>
      <c r="F131" s="65">
        <f t="shared" si="152"/>
        <v>191.26920072107868</v>
      </c>
      <c r="G131" s="65">
        <f t="shared" si="152"/>
        <v>186.40585163424925</v>
      </c>
      <c r="H131" s="65">
        <f t="shared" si="152"/>
        <v>170.54060669301171</v>
      </c>
      <c r="I131" s="65">
        <f t="shared" si="152"/>
        <v>152.61156440095166</v>
      </c>
      <c r="J131" s="65">
        <f t="shared" si="152"/>
        <v>172.49460079819823</v>
      </c>
      <c r="K131" s="65">
        <f t="shared" si="152"/>
        <v>166.76377927962901</v>
      </c>
      <c r="L131" s="65">
        <f t="shared" si="152"/>
        <v>176.2193615735041</v>
      </c>
      <c r="M131" s="65">
        <f t="shared" si="152"/>
        <v>139.43512489029678</v>
      </c>
      <c r="N131" s="65">
        <f t="shared" si="152"/>
        <v>148.46597594753493</v>
      </c>
      <c r="O131" s="65">
        <f t="shared" si="152"/>
        <v>160.62459026647255</v>
      </c>
      <c r="P131" s="65">
        <f t="shared" si="152"/>
        <v>122.66768201513746</v>
      </c>
      <c r="Q131" s="65">
        <f t="shared" si="152"/>
        <v>140.40605170449112</v>
      </c>
      <c r="R131" s="65">
        <f t="shared" si="152"/>
        <v>140.23072883063233</v>
      </c>
      <c r="S131" s="65">
        <f t="shared" si="152"/>
        <v>138.10921164531956</v>
      </c>
      <c r="T131" s="65">
        <f t="shared" si="152"/>
        <v>137.82332948981602</v>
      </c>
      <c r="U131" s="65">
        <f t="shared" si="152"/>
        <v>130.09251354915168</v>
      </c>
      <c r="V131" s="65">
        <f t="shared" si="152"/>
        <v>125.21424726799621</v>
      </c>
      <c r="W131" s="65">
        <f t="shared" si="152"/>
        <v>133.43697809716122</v>
      </c>
      <c r="X131" s="65">
        <f t="shared" ref="X131:Y131" si="153">IF(X101=0,0,X101/X$26)</f>
        <v>105.39636852430655</v>
      </c>
      <c r="Y131" s="65">
        <f t="shared" si="153"/>
        <v>97.09049500040075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0.86857448723681152</v>
      </c>
      <c r="C132" s="65">
        <f t="shared" ref="C132:W132" si="155">IF(C102=0,0,C102/C$26)</f>
        <v>1.0690528026347605</v>
      </c>
      <c r="D132" s="65">
        <f t="shared" si="155"/>
        <v>1.3059129626384316</v>
      </c>
      <c r="E132" s="65">
        <f t="shared" si="155"/>
        <v>1.8903395936010339</v>
      </c>
      <c r="F132" s="65">
        <f t="shared" si="155"/>
        <v>1.6756569319166894</v>
      </c>
      <c r="G132" s="65">
        <f t="shared" si="155"/>
        <v>1.954343071982207</v>
      </c>
      <c r="H132" s="65">
        <f t="shared" si="155"/>
        <v>2.7626336391381918</v>
      </c>
      <c r="I132" s="65">
        <f t="shared" si="155"/>
        <v>2.4545175316966152</v>
      </c>
      <c r="J132" s="65">
        <f t="shared" si="155"/>
        <v>2.6838384581638075</v>
      </c>
      <c r="K132" s="65">
        <f t="shared" si="155"/>
        <v>3.0075970067372113</v>
      </c>
      <c r="L132" s="65">
        <f t="shared" si="155"/>
        <v>3.4247521015985156</v>
      </c>
      <c r="M132" s="65">
        <f t="shared" si="155"/>
        <v>3.3547411092088</v>
      </c>
      <c r="N132" s="65">
        <f t="shared" si="155"/>
        <v>3.4750570925864843</v>
      </c>
      <c r="O132" s="65">
        <f t="shared" si="155"/>
        <v>3.6180292002083405</v>
      </c>
      <c r="P132" s="65">
        <f t="shared" si="155"/>
        <v>3.5304015920145253</v>
      </c>
      <c r="Q132" s="65">
        <f t="shared" si="155"/>
        <v>3.9706892517030221</v>
      </c>
      <c r="R132" s="65">
        <f t="shared" si="155"/>
        <v>3.850643370322774</v>
      </c>
      <c r="S132" s="65">
        <f t="shared" si="155"/>
        <v>3.5750169203567692</v>
      </c>
      <c r="T132" s="65">
        <f t="shared" si="155"/>
        <v>3.9879726420416826</v>
      </c>
      <c r="U132" s="65">
        <f t="shared" si="155"/>
        <v>3.7734962445647469</v>
      </c>
      <c r="V132" s="65">
        <f t="shared" si="155"/>
        <v>3.9955933953133012</v>
      </c>
      <c r="W132" s="65">
        <f t="shared" si="155"/>
        <v>3.2117912986502191</v>
      </c>
      <c r="X132" s="65">
        <f t="shared" ref="X132:Y132" si="156">IF(X102=0,0,X102/X$26)</f>
        <v>3.6311732577830078</v>
      </c>
      <c r="Y132" s="65">
        <f t="shared" si="156"/>
        <v>3.2781781041386506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24.037263426543621</v>
      </c>
      <c r="C133" s="65">
        <f t="shared" ref="C133:W133" si="158">IF(C103=0,0,C103/C$26)</f>
        <v>23.969246039678815</v>
      </c>
      <c r="D133" s="65">
        <f t="shared" si="158"/>
        <v>24.250533420699718</v>
      </c>
      <c r="E133" s="65">
        <f t="shared" si="158"/>
        <v>24.659163606954433</v>
      </c>
      <c r="F133" s="65">
        <f t="shared" si="158"/>
        <v>23.114384010699876</v>
      </c>
      <c r="G133" s="65">
        <f t="shared" si="158"/>
        <v>22.647738891103529</v>
      </c>
      <c r="H133" s="65">
        <f t="shared" si="158"/>
        <v>22.527692822010092</v>
      </c>
      <c r="I133" s="65">
        <f t="shared" si="158"/>
        <v>22.211598380734245</v>
      </c>
      <c r="J133" s="65">
        <f t="shared" si="158"/>
        <v>21.965137104158391</v>
      </c>
      <c r="K133" s="65">
        <f t="shared" si="158"/>
        <v>22.208902892408481</v>
      </c>
      <c r="L133" s="65">
        <f t="shared" si="158"/>
        <v>22.043288538748204</v>
      </c>
      <c r="M133" s="65">
        <f t="shared" si="158"/>
        <v>22.102365663203269</v>
      </c>
      <c r="N133" s="65">
        <f t="shared" si="158"/>
        <v>22.3291983409209</v>
      </c>
      <c r="O133" s="65">
        <f t="shared" si="158"/>
        <v>22.51733521401686</v>
      </c>
      <c r="P133" s="65">
        <f t="shared" si="158"/>
        <v>22.50439766473993</v>
      </c>
      <c r="Q133" s="65">
        <f t="shared" si="158"/>
        <v>22.365146528930268</v>
      </c>
      <c r="R133" s="65">
        <f t="shared" si="158"/>
        <v>22.306698075274326</v>
      </c>
      <c r="S133" s="65">
        <f t="shared" si="158"/>
        <v>22.122511552960077</v>
      </c>
      <c r="T133" s="65">
        <f t="shared" si="158"/>
        <v>21.694793599465129</v>
      </c>
      <c r="U133" s="65">
        <f t="shared" si="158"/>
        <v>20.215055678764472</v>
      </c>
      <c r="V133" s="65">
        <f t="shared" si="158"/>
        <v>18.921412343831623</v>
      </c>
      <c r="W133" s="65">
        <f t="shared" si="158"/>
        <v>19.664602940664054</v>
      </c>
      <c r="X133" s="65">
        <f t="shared" ref="X133:Y133" si="159">IF(X103=0,0,X103/X$26)</f>
        <v>19.547428194680823</v>
      </c>
      <c r="Y133" s="65">
        <f t="shared" si="159"/>
        <v>19.510535902996185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16.969849827356462</v>
      </c>
      <c r="C134" s="67">
        <f t="shared" ref="C134:W134" si="161">IF(C104=0,0,C104/C$26)</f>
        <v>17.324019522825697</v>
      </c>
      <c r="D134" s="67">
        <f t="shared" si="161"/>
        <v>17.675558969120445</v>
      </c>
      <c r="E134" s="67">
        <f t="shared" si="161"/>
        <v>17.808967775649993</v>
      </c>
      <c r="F134" s="67">
        <f t="shared" si="161"/>
        <v>16.797560228614827</v>
      </c>
      <c r="G134" s="67">
        <f t="shared" si="161"/>
        <v>16.635337152154786</v>
      </c>
      <c r="H134" s="67">
        <f t="shared" si="161"/>
        <v>16.65085594544659</v>
      </c>
      <c r="I134" s="67">
        <f t="shared" si="161"/>
        <v>16.990771631967213</v>
      </c>
      <c r="J134" s="67">
        <f t="shared" si="161"/>
        <v>17.181951791369229</v>
      </c>
      <c r="K134" s="67">
        <f t="shared" si="161"/>
        <v>17.550520219582221</v>
      </c>
      <c r="L134" s="67">
        <f t="shared" si="161"/>
        <v>17.560256997384503</v>
      </c>
      <c r="M134" s="67">
        <f t="shared" si="161"/>
        <v>17.620439683254073</v>
      </c>
      <c r="N134" s="67">
        <f t="shared" si="161"/>
        <v>18.153628821572248</v>
      </c>
      <c r="O134" s="67">
        <f t="shared" si="161"/>
        <v>18.292452900596821</v>
      </c>
      <c r="P134" s="67">
        <f t="shared" si="161"/>
        <v>18.928937475808073</v>
      </c>
      <c r="Q134" s="67">
        <f t="shared" si="161"/>
        <v>19.424146893193218</v>
      </c>
      <c r="R134" s="67">
        <f t="shared" si="161"/>
        <v>19.566514603268931</v>
      </c>
      <c r="S134" s="67">
        <f t="shared" si="161"/>
        <v>19.623484075221352</v>
      </c>
      <c r="T134" s="67">
        <f t="shared" si="161"/>
        <v>19.610545155106816</v>
      </c>
      <c r="U134" s="67">
        <f t="shared" si="161"/>
        <v>18.957623790354795</v>
      </c>
      <c r="V134" s="67">
        <f t="shared" si="161"/>
        <v>17.984313710021429</v>
      </c>
      <c r="W134" s="67">
        <f t="shared" si="161"/>
        <v>18.373800747652897</v>
      </c>
      <c r="X134" s="67">
        <f t="shared" ref="X134:Y134" si="162">IF(X104=0,0,X104/X$26)</f>
        <v>18.499093172594694</v>
      </c>
      <c r="Y134" s="67">
        <f t="shared" si="162"/>
        <v>18.513576781899662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45.172439637326399</v>
      </c>
      <c r="C135" s="68">
        <f t="shared" ref="C135:W135" si="164">IF(C105=0,0,C105/C$26)</f>
        <v>46.387223705271346</v>
      </c>
      <c r="D135" s="68">
        <f t="shared" si="164"/>
        <v>46.77778795709105</v>
      </c>
      <c r="E135" s="68">
        <f t="shared" si="164"/>
        <v>47.849340776309653</v>
      </c>
      <c r="F135" s="68">
        <f t="shared" si="164"/>
        <v>48.948571022656886</v>
      </c>
      <c r="G135" s="68">
        <f t="shared" si="164"/>
        <v>50.456757619415576</v>
      </c>
      <c r="H135" s="68">
        <f t="shared" si="164"/>
        <v>52.019728816116292</v>
      </c>
      <c r="I135" s="68">
        <f t="shared" si="164"/>
        <v>53.205502492991783</v>
      </c>
      <c r="J135" s="68">
        <f t="shared" si="164"/>
        <v>54.253731552479884</v>
      </c>
      <c r="K135" s="68">
        <f t="shared" si="164"/>
        <v>55.601061790574704</v>
      </c>
      <c r="L135" s="68">
        <f t="shared" si="164"/>
        <v>56.048237141859808</v>
      </c>
      <c r="M135" s="68">
        <f t="shared" si="164"/>
        <v>56.373338139828256</v>
      </c>
      <c r="N135" s="68">
        <f t="shared" si="164"/>
        <v>56.573753716960304</v>
      </c>
      <c r="O135" s="68">
        <f t="shared" si="164"/>
        <v>56.754873821605592</v>
      </c>
      <c r="P135" s="68">
        <f t="shared" si="164"/>
        <v>57.020282054129609</v>
      </c>
      <c r="Q135" s="68">
        <f t="shared" si="164"/>
        <v>57.657067653935542</v>
      </c>
      <c r="R135" s="68">
        <f t="shared" si="164"/>
        <v>56.906088020742274</v>
      </c>
      <c r="S135" s="68">
        <f t="shared" si="164"/>
        <v>56.80302094155261</v>
      </c>
      <c r="T135" s="68">
        <f t="shared" si="164"/>
        <v>55.377450733036746</v>
      </c>
      <c r="U135" s="68">
        <f t="shared" si="164"/>
        <v>53.905280126302024</v>
      </c>
      <c r="V135" s="68">
        <f t="shared" si="164"/>
        <v>51.088268174591043</v>
      </c>
      <c r="W135" s="68">
        <f t="shared" si="164"/>
        <v>50.062329542902063</v>
      </c>
      <c r="X135" s="68">
        <f t="shared" ref="X135:Y135" si="165">IF(X105=0,0,X105/X$26)</f>
        <v>49.483911266429608</v>
      </c>
      <c r="Y135" s="68">
        <f t="shared" si="165"/>
        <v>48.697555970682053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109.07631908476475</v>
      </c>
      <c r="C137" s="85">
        <f t="shared" ref="C137:W137" si="167">IF(C107=0,0,C107/C$26)</f>
        <v>114.49596714483052</v>
      </c>
      <c r="D137" s="85">
        <f t="shared" si="167"/>
        <v>112.28401099182716</v>
      </c>
      <c r="E137" s="85">
        <f t="shared" si="167"/>
        <v>118.67571568293697</v>
      </c>
      <c r="F137" s="85">
        <f t="shared" si="167"/>
        <v>145.01679034021626</v>
      </c>
      <c r="G137" s="85">
        <f t="shared" si="167"/>
        <v>143.95096054934035</v>
      </c>
      <c r="H137" s="85">
        <f t="shared" si="167"/>
        <v>138.1754445187359</v>
      </c>
      <c r="I137" s="85">
        <f t="shared" si="167"/>
        <v>128.76303027279278</v>
      </c>
      <c r="J137" s="85">
        <f t="shared" si="167"/>
        <v>141.70829231160846</v>
      </c>
      <c r="K137" s="85">
        <f t="shared" si="167"/>
        <v>142.09696366896944</v>
      </c>
      <c r="L137" s="85">
        <f t="shared" si="167"/>
        <v>150.30057732594949</v>
      </c>
      <c r="M137" s="85">
        <f t="shared" si="167"/>
        <v>129.20665354135423</v>
      </c>
      <c r="N137" s="85">
        <f t="shared" si="167"/>
        <v>138.10374696381683</v>
      </c>
      <c r="O137" s="85">
        <f t="shared" si="167"/>
        <v>149.00502005058084</v>
      </c>
      <c r="P137" s="85">
        <f t="shared" si="167"/>
        <v>125.68625298352367</v>
      </c>
      <c r="Q137" s="85">
        <f t="shared" si="167"/>
        <v>140.827878042397</v>
      </c>
      <c r="R137" s="85">
        <f t="shared" si="167"/>
        <v>142.85358795577889</v>
      </c>
      <c r="S137" s="85">
        <f t="shared" si="167"/>
        <v>142.81981507149928</v>
      </c>
      <c r="T137" s="85">
        <f t="shared" si="167"/>
        <v>147.30501409820315</v>
      </c>
      <c r="U137" s="85">
        <f t="shared" si="167"/>
        <v>142.55016766378628</v>
      </c>
      <c r="V137" s="85">
        <f t="shared" si="167"/>
        <v>140.53718119673894</v>
      </c>
      <c r="W137" s="85">
        <f t="shared" si="167"/>
        <v>147.91747630911226</v>
      </c>
      <c r="X137" s="85">
        <f t="shared" ref="X137:Y137" si="168">IF(X107=0,0,X107/X$26)</f>
        <v>131.32935850805961</v>
      </c>
      <c r="Y137" s="85">
        <f t="shared" si="168"/>
        <v>125.64012679860768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81.647005514722522</v>
      </c>
      <c r="C138" s="65">
        <f t="shared" ref="C138:W138" si="170">IF(C108=0,0,C108/C$26)</f>
        <v>86.082700212832691</v>
      </c>
      <c r="D138" s="65">
        <f t="shared" si="170"/>
        <v>82.038632059741857</v>
      </c>
      <c r="E138" s="65">
        <f t="shared" si="170"/>
        <v>86.067771223701826</v>
      </c>
      <c r="F138" s="65">
        <f t="shared" si="170"/>
        <v>114.47811749400577</v>
      </c>
      <c r="G138" s="65">
        <f t="shared" si="170"/>
        <v>112.26787112111106</v>
      </c>
      <c r="H138" s="65">
        <f t="shared" si="170"/>
        <v>103.71826376800951</v>
      </c>
      <c r="I138" s="65">
        <f t="shared" si="170"/>
        <v>94.585527275115041</v>
      </c>
      <c r="J138" s="65">
        <f t="shared" si="170"/>
        <v>106.34014004499521</v>
      </c>
      <c r="K138" s="65">
        <f t="shared" si="170"/>
        <v>104.83175561680262</v>
      </c>
      <c r="L138" s="65">
        <f t="shared" si="170"/>
        <v>111.23340070976062</v>
      </c>
      <c r="M138" s="65">
        <f t="shared" si="170"/>
        <v>89.627219555168381</v>
      </c>
      <c r="N138" s="65">
        <f t="shared" si="170"/>
        <v>96.862483123934041</v>
      </c>
      <c r="O138" s="65">
        <f t="shared" si="170"/>
        <v>106.2676001625419</v>
      </c>
      <c r="P138" s="65">
        <f t="shared" si="170"/>
        <v>82.049659456448921</v>
      </c>
      <c r="Q138" s="65">
        <f t="shared" si="170"/>
        <v>94.494054742433718</v>
      </c>
      <c r="R138" s="65">
        <f t="shared" si="170"/>
        <v>95.963775943085068</v>
      </c>
      <c r="S138" s="65">
        <f t="shared" si="170"/>
        <v>96.299581103491249</v>
      </c>
      <c r="T138" s="65">
        <f t="shared" si="170"/>
        <v>98.401369366781907</v>
      </c>
      <c r="U138" s="65">
        <f t="shared" si="170"/>
        <v>95.414610905492225</v>
      </c>
      <c r="V138" s="65">
        <f t="shared" si="170"/>
        <v>93.341882226263451</v>
      </c>
      <c r="W138" s="65">
        <f t="shared" si="170"/>
        <v>102.60636694691287</v>
      </c>
      <c r="X138" s="65">
        <f t="shared" ref="X138:Y138" si="171">IF(X108=0,0,X108/X$26)</f>
        <v>83.338059776500501</v>
      </c>
      <c r="Y138" s="65">
        <f t="shared" si="171"/>
        <v>78.587251570824705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1.7774824050735349</v>
      </c>
      <c r="C139" s="65">
        <f t="shared" ref="C139:W139" si="173">IF(C109=0,0,C109/C$26)</f>
        <v>2.3709023786607171</v>
      </c>
      <c r="D139" s="65">
        <f t="shared" si="173"/>
        <v>3.1374146022972038</v>
      </c>
      <c r="E139" s="65">
        <f t="shared" si="173"/>
        <v>4.779096811510767</v>
      </c>
      <c r="F139" s="65">
        <f t="shared" si="173"/>
        <v>4.4582168774696669</v>
      </c>
      <c r="G139" s="65">
        <f t="shared" si="173"/>
        <v>5.454521636746855</v>
      </c>
      <c r="H139" s="65">
        <f t="shared" si="173"/>
        <v>8.0645241088646813</v>
      </c>
      <c r="I139" s="65">
        <f t="shared" si="173"/>
        <v>7.4939695861147904</v>
      </c>
      <c r="J139" s="65">
        <f t="shared" si="173"/>
        <v>8.5184985410352869</v>
      </c>
      <c r="K139" s="65">
        <f t="shared" si="173"/>
        <v>9.8020861637675001</v>
      </c>
      <c r="L139" s="65">
        <f t="shared" si="173"/>
        <v>11.524691795435118</v>
      </c>
      <c r="M139" s="65">
        <f t="shared" si="173"/>
        <v>11.706708475398591</v>
      </c>
      <c r="N139" s="65">
        <f t="shared" si="173"/>
        <v>12.557374966830752</v>
      </c>
      <c r="O139" s="65">
        <f t="shared" si="173"/>
        <v>13.553718944235134</v>
      </c>
      <c r="P139" s="65">
        <f t="shared" si="173"/>
        <v>13.714698026541186</v>
      </c>
      <c r="Q139" s="65">
        <f t="shared" si="173"/>
        <v>15.974682193429871</v>
      </c>
      <c r="R139" s="65">
        <f t="shared" si="173"/>
        <v>16.089574660960285</v>
      </c>
      <c r="S139" s="65">
        <f t="shared" si="173"/>
        <v>15.448798594180046</v>
      </c>
      <c r="T139" s="65">
        <f t="shared" si="173"/>
        <v>17.734508669703615</v>
      </c>
      <c r="U139" s="65">
        <f t="shared" si="173"/>
        <v>17.222838034242667</v>
      </c>
      <c r="V139" s="65">
        <f t="shared" si="173"/>
        <v>18.689803632099551</v>
      </c>
      <c r="W139" s="65">
        <f t="shared" si="173"/>
        <v>15.368036790514704</v>
      </c>
      <c r="X139" s="65">
        <f t="shared" ref="X139:Y139" si="174">IF(X109=0,0,X109/X$26)</f>
        <v>17.653166857074588</v>
      </c>
      <c r="Y139" s="65">
        <f t="shared" si="174"/>
        <v>16.138365835477163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14.295493570676175</v>
      </c>
      <c r="C140" s="65">
        <f t="shared" ref="C140:W140" si="176">IF(C110=0,0,C110/C$26)</f>
        <v>14.341319927920395</v>
      </c>
      <c r="D140" s="65">
        <f t="shared" si="176"/>
        <v>14.764470949547388</v>
      </c>
      <c r="E140" s="65">
        <f t="shared" si="176"/>
        <v>15.167937419467888</v>
      </c>
      <c r="F140" s="65">
        <f t="shared" si="176"/>
        <v>14.235782869352793</v>
      </c>
      <c r="G140" s="65">
        <f t="shared" si="176"/>
        <v>14.09814044881994</v>
      </c>
      <c r="H140" s="65">
        <f t="shared" si="176"/>
        <v>14.181865008879269</v>
      </c>
      <c r="I140" s="65">
        <f t="shared" si="176"/>
        <v>14.127830597959296</v>
      </c>
      <c r="J140" s="65">
        <f t="shared" si="176"/>
        <v>14.142271150296885</v>
      </c>
      <c r="K140" s="65">
        <f t="shared" si="176"/>
        <v>14.441374171684455</v>
      </c>
      <c r="L140" s="65">
        <f t="shared" si="176"/>
        <v>14.510262117907294</v>
      </c>
      <c r="M140" s="65">
        <f t="shared" si="176"/>
        <v>14.737245209001651</v>
      </c>
      <c r="N140" s="65">
        <f t="shared" si="176"/>
        <v>15.113691853366168</v>
      </c>
      <c r="O140" s="65">
        <f t="shared" si="176"/>
        <v>15.501629841707446</v>
      </c>
      <c r="P140" s="65">
        <f t="shared" si="176"/>
        <v>15.621944399928894</v>
      </c>
      <c r="Q140" s="65">
        <f t="shared" si="176"/>
        <v>15.683739564860012</v>
      </c>
      <c r="R140" s="65">
        <f t="shared" si="176"/>
        <v>15.905613972330784</v>
      </c>
      <c r="S140" s="65">
        <f t="shared" si="176"/>
        <v>16.081217336320549</v>
      </c>
      <c r="T140" s="65">
        <f t="shared" si="176"/>
        <v>16.108118563320403</v>
      </c>
      <c r="U140" s="65">
        <f t="shared" si="176"/>
        <v>15.356673218053905</v>
      </c>
      <c r="V140" s="65">
        <f t="shared" si="176"/>
        <v>14.663989628075354</v>
      </c>
      <c r="W140" s="65">
        <f t="shared" si="176"/>
        <v>15.528379099338929</v>
      </c>
      <c r="X140" s="65">
        <f t="shared" ref="X140:Y140" si="177">IF(X110=0,0,X110/X$26)</f>
        <v>15.807962736497197</v>
      </c>
      <c r="Y140" s="65">
        <f t="shared" si="177"/>
        <v>16.136231441438088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11.356337594292512</v>
      </c>
      <c r="C141" s="68">
        <f t="shared" ref="C141:W141" si="179">IF(C111=0,0,C111/C$26)</f>
        <v>11.701044625416708</v>
      </c>
      <c r="D141" s="68">
        <f t="shared" si="179"/>
        <v>12.343493380240698</v>
      </c>
      <c r="E141" s="68">
        <f t="shared" si="179"/>
        <v>12.660910228256487</v>
      </c>
      <c r="F141" s="68">
        <f t="shared" si="179"/>
        <v>11.844673099388022</v>
      </c>
      <c r="G141" s="68">
        <f t="shared" si="179"/>
        <v>12.130427342662498</v>
      </c>
      <c r="H141" s="68">
        <f t="shared" si="179"/>
        <v>12.210791632982449</v>
      </c>
      <c r="I141" s="68">
        <f t="shared" si="179"/>
        <v>12.555702813603684</v>
      </c>
      <c r="J141" s="68">
        <f t="shared" si="179"/>
        <v>12.707382575281063</v>
      </c>
      <c r="K141" s="68">
        <f t="shared" si="179"/>
        <v>13.02174771671487</v>
      </c>
      <c r="L141" s="68">
        <f t="shared" si="179"/>
        <v>13.032222702846449</v>
      </c>
      <c r="M141" s="68">
        <f t="shared" si="179"/>
        <v>13.135480301785584</v>
      </c>
      <c r="N141" s="68">
        <f t="shared" si="179"/>
        <v>13.570197019685889</v>
      </c>
      <c r="O141" s="68">
        <f t="shared" si="179"/>
        <v>13.682071102096382</v>
      </c>
      <c r="P141" s="68">
        <f t="shared" si="179"/>
        <v>14.29995110060467</v>
      </c>
      <c r="Q141" s="68">
        <f t="shared" si="179"/>
        <v>14.6754015416734</v>
      </c>
      <c r="R141" s="68">
        <f t="shared" si="179"/>
        <v>14.894623379402736</v>
      </c>
      <c r="S141" s="68">
        <f t="shared" si="179"/>
        <v>14.990218037507436</v>
      </c>
      <c r="T141" s="68">
        <f t="shared" si="179"/>
        <v>15.061017498397204</v>
      </c>
      <c r="U141" s="68">
        <f t="shared" si="179"/>
        <v>14.556045505997467</v>
      </c>
      <c r="V141" s="68">
        <f t="shared" si="179"/>
        <v>13.84150571030059</v>
      </c>
      <c r="W141" s="68">
        <f t="shared" si="179"/>
        <v>14.414693472345784</v>
      </c>
      <c r="X141" s="68">
        <f t="shared" ref="X141:Y141" si="180">IF(X111=0,0,X111/X$26)</f>
        <v>14.530169137987336</v>
      </c>
      <c r="Y141" s="68">
        <f t="shared" si="180"/>
        <v>14.778277950867729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35.928162334493486</v>
      </c>
      <c r="C143" s="82">
        <f t="shared" ref="C143:W143" si="182">IF(C113=0,0,C113/C$26)</f>
        <v>37.224350085732375</v>
      </c>
      <c r="D143" s="82">
        <f t="shared" si="182"/>
        <v>39.370758919381842</v>
      </c>
      <c r="E143" s="82">
        <f t="shared" si="182"/>
        <v>42.156117243606552</v>
      </c>
      <c r="F143" s="82">
        <f t="shared" si="182"/>
        <v>40.445232061613254</v>
      </c>
      <c r="G143" s="82">
        <f t="shared" si="182"/>
        <v>38.991903780249011</v>
      </c>
      <c r="H143" s="82">
        <f t="shared" si="182"/>
        <v>35.682381893407019</v>
      </c>
      <c r="I143" s="82">
        <f t="shared" si="182"/>
        <v>31.655892101720664</v>
      </c>
      <c r="J143" s="82">
        <f t="shared" si="182"/>
        <v>36.570242536787724</v>
      </c>
      <c r="K143" s="82">
        <f t="shared" si="182"/>
        <v>34.513541844636073</v>
      </c>
      <c r="L143" s="82">
        <f t="shared" si="182"/>
        <v>37.216994445970812</v>
      </c>
      <c r="M143" s="82">
        <f t="shared" si="182"/>
        <v>30.262381455975842</v>
      </c>
      <c r="N143" s="82">
        <f t="shared" si="182"/>
        <v>32.009245623074143</v>
      </c>
      <c r="O143" s="82">
        <f t="shared" si="182"/>
        <v>35.14924508685057</v>
      </c>
      <c r="P143" s="82">
        <f t="shared" si="182"/>
        <v>27.631467355576138</v>
      </c>
      <c r="Q143" s="82">
        <f t="shared" si="182"/>
        <v>31.686214188984898</v>
      </c>
      <c r="R143" s="82">
        <f t="shared" si="182"/>
        <v>31.332176123484686</v>
      </c>
      <c r="S143" s="82">
        <f t="shared" si="182"/>
        <v>30.906597276927268</v>
      </c>
      <c r="T143" s="82">
        <f t="shared" si="182"/>
        <v>30.524909140823166</v>
      </c>
      <c r="U143" s="82">
        <f t="shared" si="182"/>
        <v>27.915245075101584</v>
      </c>
      <c r="V143" s="82">
        <f t="shared" si="182"/>
        <v>27.202221216697342</v>
      </c>
      <c r="W143" s="82">
        <f t="shared" si="182"/>
        <v>28.097331710949298</v>
      </c>
      <c r="X143" s="82">
        <f t="shared" ref="X143:Y143" si="183">IF(X113=0,0,X113/X$26)</f>
        <v>22.274183875749113</v>
      </c>
      <c r="Y143" s="82">
        <f t="shared" si="183"/>
        <v>20.789194001716755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35.928162334493486</v>
      </c>
      <c r="C144" s="64">
        <f t="shared" ref="C144:W144" si="185">IF(C114=0,0,C114/C$26)</f>
        <v>37.224350085732375</v>
      </c>
      <c r="D144" s="64">
        <f t="shared" si="185"/>
        <v>39.370758919381842</v>
      </c>
      <c r="E144" s="64">
        <f t="shared" si="185"/>
        <v>42.156117243606552</v>
      </c>
      <c r="F144" s="64">
        <f t="shared" si="185"/>
        <v>40.445232061613254</v>
      </c>
      <c r="G144" s="64">
        <f t="shared" si="185"/>
        <v>38.991903780249011</v>
      </c>
      <c r="H144" s="64">
        <f t="shared" si="185"/>
        <v>35.682381893407019</v>
      </c>
      <c r="I144" s="64">
        <f t="shared" si="185"/>
        <v>31.655892101720664</v>
      </c>
      <c r="J144" s="64">
        <f t="shared" si="185"/>
        <v>36.570242536787724</v>
      </c>
      <c r="K144" s="64">
        <f t="shared" si="185"/>
        <v>34.513541844636073</v>
      </c>
      <c r="L144" s="64">
        <f t="shared" si="185"/>
        <v>37.216994445970812</v>
      </c>
      <c r="M144" s="64">
        <f t="shared" si="185"/>
        <v>30.262381455975842</v>
      </c>
      <c r="N144" s="64">
        <f t="shared" si="185"/>
        <v>32.009245623074143</v>
      </c>
      <c r="O144" s="64">
        <f t="shared" si="185"/>
        <v>35.14924508685057</v>
      </c>
      <c r="P144" s="64">
        <f t="shared" si="185"/>
        <v>27.631467355576138</v>
      </c>
      <c r="Q144" s="64">
        <f t="shared" si="185"/>
        <v>31.686214188984898</v>
      </c>
      <c r="R144" s="64">
        <f t="shared" si="185"/>
        <v>31.332176123484686</v>
      </c>
      <c r="S144" s="64">
        <f t="shared" si="185"/>
        <v>30.906597276927268</v>
      </c>
      <c r="T144" s="64">
        <f t="shared" si="185"/>
        <v>30.524909140823166</v>
      </c>
      <c r="U144" s="64">
        <f t="shared" si="185"/>
        <v>27.915245075101584</v>
      </c>
      <c r="V144" s="64">
        <f t="shared" si="185"/>
        <v>27.202221216697342</v>
      </c>
      <c r="W144" s="64">
        <f t="shared" si="185"/>
        <v>28.097331710949298</v>
      </c>
      <c r="X144" s="64">
        <f t="shared" ref="X144:Y144" si="186">IF(X114=0,0,X114/X$26)</f>
        <v>22.274183875749113</v>
      </c>
      <c r="Y144" s="64">
        <f t="shared" si="186"/>
        <v>20.789194001716755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28.38037195639146</v>
      </c>
      <c r="C145" s="65">
        <f t="shared" ref="C145:W145" si="188">IF(C115=0,0,C115/C$26)</f>
        <v>29.765269071365289</v>
      </c>
      <c r="D145" s="65">
        <f t="shared" si="188"/>
        <v>32.446614034769595</v>
      </c>
      <c r="E145" s="65">
        <f t="shared" si="188"/>
        <v>35.460219697440863</v>
      </c>
      <c r="F145" s="65">
        <f t="shared" si="188"/>
        <v>33.883389656720375</v>
      </c>
      <c r="G145" s="65">
        <f t="shared" si="188"/>
        <v>33.010950405228876</v>
      </c>
      <c r="H145" s="65">
        <f t="shared" si="188"/>
        <v>29.847375733457511</v>
      </c>
      <c r="I145" s="65">
        <f t="shared" si="188"/>
        <v>25.954327879536116</v>
      </c>
      <c r="J145" s="65">
        <f t="shared" si="188"/>
        <v>30.976003154421896</v>
      </c>
      <c r="K145" s="65">
        <f t="shared" si="188"/>
        <v>28.894804315023819</v>
      </c>
      <c r="L145" s="65">
        <f t="shared" si="188"/>
        <v>31.668979288633643</v>
      </c>
      <c r="M145" s="65">
        <f t="shared" si="188"/>
        <v>24.789186520717148</v>
      </c>
      <c r="N145" s="65">
        <f t="shared" si="188"/>
        <v>26.504021475476637</v>
      </c>
      <c r="O145" s="65">
        <f t="shared" si="188"/>
        <v>29.630553020606712</v>
      </c>
      <c r="P145" s="65">
        <f t="shared" si="188"/>
        <v>22.23426977075713</v>
      </c>
      <c r="Q145" s="65">
        <f t="shared" si="188"/>
        <v>26.213691902510579</v>
      </c>
      <c r="R145" s="65">
        <f t="shared" si="188"/>
        <v>26.004562704680133</v>
      </c>
      <c r="S145" s="65">
        <f t="shared" si="188"/>
        <v>25.641221298409366</v>
      </c>
      <c r="T145" s="65">
        <f t="shared" si="188"/>
        <v>25.391084340474301</v>
      </c>
      <c r="U145" s="65">
        <f t="shared" si="188"/>
        <v>23.066725187105025</v>
      </c>
      <c r="V145" s="65">
        <f t="shared" si="188"/>
        <v>22.597316648526551</v>
      </c>
      <c r="W145" s="65">
        <f t="shared" si="188"/>
        <v>23.446893652866894</v>
      </c>
      <c r="X145" s="65">
        <f t="shared" ref="X145:Y145" si="189">IF(X115=0,0,X115/X$26)</f>
        <v>17.825630504902225</v>
      </c>
      <c r="Y145" s="65">
        <f t="shared" si="189"/>
        <v>16.633128733468411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2.7465623448318782E-4</v>
      </c>
      <c r="C146" s="65">
        <f t="shared" ref="C146:W146" si="191">IF(C116=0,0,C116/C$26)</f>
        <v>3.7504734966410295E-4</v>
      </c>
      <c r="D146" s="65">
        <f t="shared" si="191"/>
        <v>5.2474346383018274E-4</v>
      </c>
      <c r="E146" s="65">
        <f t="shared" si="191"/>
        <v>6.4197582532849254E-4</v>
      </c>
      <c r="F146" s="65">
        <f t="shared" si="191"/>
        <v>8.7914452702896777E-4</v>
      </c>
      <c r="G146" s="65">
        <f t="shared" si="191"/>
        <v>1.2103291903483549E-3</v>
      </c>
      <c r="H146" s="65">
        <f t="shared" si="191"/>
        <v>1.65293123274267E-3</v>
      </c>
      <c r="I146" s="65">
        <f t="shared" si="191"/>
        <v>1.9434728522704978E-3</v>
      </c>
      <c r="J146" s="65">
        <f t="shared" si="191"/>
        <v>2.5837209123257491E-3</v>
      </c>
      <c r="K146" s="65">
        <f t="shared" si="191"/>
        <v>3.2673778312081012E-3</v>
      </c>
      <c r="L146" s="65">
        <f t="shared" si="191"/>
        <v>3.7054558673269879E-3</v>
      </c>
      <c r="M146" s="65">
        <f t="shared" si="191"/>
        <v>3.9677897573018907E-3</v>
      </c>
      <c r="N146" s="65">
        <f t="shared" si="191"/>
        <v>4.4779593254939054E-3</v>
      </c>
      <c r="O146" s="65">
        <f t="shared" si="191"/>
        <v>5.4296099465120234E-3</v>
      </c>
      <c r="P146" s="65">
        <f t="shared" si="191"/>
        <v>6.7250040342081369E-3</v>
      </c>
      <c r="Q146" s="65">
        <f t="shared" si="191"/>
        <v>1.0178092829955536E-2</v>
      </c>
      <c r="R146" s="65">
        <f t="shared" si="191"/>
        <v>1.1562459457338232E-2</v>
      </c>
      <c r="S146" s="65">
        <f t="shared" si="191"/>
        <v>1.1535886708613163E-2</v>
      </c>
      <c r="T146" s="65">
        <f t="shared" si="191"/>
        <v>1.4699258211637296E-2</v>
      </c>
      <c r="U146" s="65">
        <f t="shared" si="191"/>
        <v>1.6086230201804452E-2</v>
      </c>
      <c r="V146" s="65">
        <f t="shared" si="191"/>
        <v>1.9059183942830651E-2</v>
      </c>
      <c r="W146" s="65">
        <f t="shared" si="191"/>
        <v>1.4035576336648611E-2</v>
      </c>
      <c r="X146" s="65">
        <f t="shared" ref="X146:Y146" si="192">IF(X116=0,0,X116/X$26)</f>
        <v>1.6928288273980886E-2</v>
      </c>
      <c r="Y146" s="65">
        <f t="shared" si="192"/>
        <v>1.5382954943523245E-2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4.5965012649318515</v>
      </c>
      <c r="C147" s="65">
        <f t="shared" ref="C147:W147" si="194">IF(C117=0,0,C117/C$26)</f>
        <v>4.5457804464071021</v>
      </c>
      <c r="D147" s="65">
        <f t="shared" si="194"/>
        <v>4.3502383017245503</v>
      </c>
      <c r="E147" s="65">
        <f t="shared" si="194"/>
        <v>4.3175372539507793</v>
      </c>
      <c r="F147" s="65">
        <f t="shared" si="194"/>
        <v>4.2025598172647225</v>
      </c>
      <c r="G147" s="65">
        <f t="shared" si="194"/>
        <v>4.0437874853274982</v>
      </c>
      <c r="H147" s="65">
        <f t="shared" si="194"/>
        <v>3.9478285529477901</v>
      </c>
      <c r="I147" s="65">
        <f t="shared" si="194"/>
        <v>3.8536360973936734</v>
      </c>
      <c r="J147" s="65">
        <f t="shared" si="194"/>
        <v>3.7246573515148951</v>
      </c>
      <c r="K147" s="65">
        <f t="shared" si="194"/>
        <v>3.732278667193182</v>
      </c>
      <c r="L147" s="65">
        <f t="shared" si="194"/>
        <v>3.6550613676584263</v>
      </c>
      <c r="M147" s="65">
        <f t="shared" si="194"/>
        <v>3.6318504933919269</v>
      </c>
      <c r="N147" s="65">
        <f t="shared" si="194"/>
        <v>3.631134947609123</v>
      </c>
      <c r="O147" s="65">
        <f t="shared" si="194"/>
        <v>3.6056868621423752</v>
      </c>
      <c r="P147" s="65">
        <f t="shared" si="194"/>
        <v>3.5374910899704926</v>
      </c>
      <c r="Q147" s="65">
        <f t="shared" si="194"/>
        <v>3.5195566444124977</v>
      </c>
      <c r="R147" s="65">
        <f t="shared" si="194"/>
        <v>3.4283519212632165</v>
      </c>
      <c r="S147" s="65">
        <f t="shared" si="194"/>
        <v>3.3616769328823177</v>
      </c>
      <c r="T147" s="65">
        <f t="shared" si="194"/>
        <v>3.2478725334790939</v>
      </c>
      <c r="U147" s="65">
        <f t="shared" si="194"/>
        <v>2.9679369159239037</v>
      </c>
      <c r="V147" s="65">
        <f t="shared" si="194"/>
        <v>2.7939101564352495</v>
      </c>
      <c r="W147" s="65">
        <f t="shared" si="194"/>
        <v>2.9536410563939288</v>
      </c>
      <c r="X147" s="65">
        <f t="shared" ref="X147:Y147" si="195">IF(X117=0,0,X117/X$26)</f>
        <v>2.6977982693960736</v>
      </c>
      <c r="Y147" s="65">
        <f t="shared" si="195"/>
        <v>2.5207189328519108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2.9510144569356824</v>
      </c>
      <c r="C148" s="67">
        <f t="shared" ref="C148:W148" si="197">IF(C118=0,0,C118/C$26)</f>
        <v>2.9129255206103113</v>
      </c>
      <c r="D148" s="67">
        <f t="shared" si="197"/>
        <v>2.5733818394238641</v>
      </c>
      <c r="E148" s="67">
        <f t="shared" si="197"/>
        <v>2.3777183163895752</v>
      </c>
      <c r="F148" s="67">
        <f t="shared" si="197"/>
        <v>2.3584034431011354</v>
      </c>
      <c r="G148" s="67">
        <f t="shared" si="197"/>
        <v>1.9359555605022918</v>
      </c>
      <c r="H148" s="67">
        <f t="shared" si="197"/>
        <v>1.885524675768973</v>
      </c>
      <c r="I148" s="67">
        <f t="shared" si="197"/>
        <v>1.8459846519386036</v>
      </c>
      <c r="J148" s="67">
        <f t="shared" si="197"/>
        <v>1.8669983099386056</v>
      </c>
      <c r="K148" s="67">
        <f t="shared" si="197"/>
        <v>1.883191484587867</v>
      </c>
      <c r="L148" s="67">
        <f t="shared" si="197"/>
        <v>1.8892483338114108</v>
      </c>
      <c r="M148" s="67">
        <f t="shared" si="197"/>
        <v>1.837376652109465</v>
      </c>
      <c r="N148" s="67">
        <f t="shared" si="197"/>
        <v>1.8696112406628917</v>
      </c>
      <c r="O148" s="67">
        <f t="shared" si="197"/>
        <v>1.9075755941549715</v>
      </c>
      <c r="P148" s="67">
        <f t="shared" si="197"/>
        <v>1.8529814908142996</v>
      </c>
      <c r="Q148" s="67">
        <f t="shared" si="197"/>
        <v>1.9427875492318676</v>
      </c>
      <c r="R148" s="67">
        <f t="shared" si="197"/>
        <v>1.8876990380839982</v>
      </c>
      <c r="S148" s="67">
        <f t="shared" si="197"/>
        <v>1.8921631589269763</v>
      </c>
      <c r="T148" s="67">
        <f t="shared" si="197"/>
        <v>1.8712530086581358</v>
      </c>
      <c r="U148" s="67">
        <f t="shared" si="197"/>
        <v>1.8644967418708549</v>
      </c>
      <c r="V148" s="67">
        <f t="shared" si="197"/>
        <v>1.7919352277927143</v>
      </c>
      <c r="W148" s="67">
        <f t="shared" si="197"/>
        <v>1.6827614253518273</v>
      </c>
      <c r="X148" s="67">
        <f t="shared" ref="X148:Y148" si="198">IF(X118=0,0,X118/X$26)</f>
        <v>1.733826813176838</v>
      </c>
      <c r="Y148" s="67">
        <f t="shared" si="198"/>
        <v>1.619963380452911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13131.995125670061</v>
      </c>
      <c r="C153" s="82">
        <f t="shared" ref="C153:W153" si="203">IF(C99=0,0,C99/C$23)</f>
        <v>13564.657358998784</v>
      </c>
      <c r="D153" s="82">
        <f t="shared" si="203"/>
        <v>13914.046751323012</v>
      </c>
      <c r="E153" s="82">
        <f t="shared" si="203"/>
        <v>14575.72780530411</v>
      </c>
      <c r="F153" s="82">
        <f t="shared" si="203"/>
        <v>16549.079438732042</v>
      </c>
      <c r="G153" s="82">
        <f t="shared" si="203"/>
        <v>16305.661901007696</v>
      </c>
      <c r="H153" s="82">
        <f t="shared" si="203"/>
        <v>15640.055971718426</v>
      </c>
      <c r="I153" s="82">
        <f t="shared" si="203"/>
        <v>14696.879741530762</v>
      </c>
      <c r="J153" s="82">
        <f t="shared" si="203"/>
        <v>15856.612449770992</v>
      </c>
      <c r="K153" s="82">
        <f t="shared" si="203"/>
        <v>15356.459965490996</v>
      </c>
      <c r="L153" s="82">
        <f t="shared" si="203"/>
        <v>16013.411787208875</v>
      </c>
      <c r="M153" s="82">
        <f t="shared" si="203"/>
        <v>13917.000285508057</v>
      </c>
      <c r="N153" s="82">
        <f t="shared" si="203"/>
        <v>14538.773038269586</v>
      </c>
      <c r="O153" s="82">
        <f t="shared" si="203"/>
        <v>15331.462270265194</v>
      </c>
      <c r="P153" s="82">
        <f t="shared" si="203"/>
        <v>13122.490824516421</v>
      </c>
      <c r="Q153" s="82">
        <f t="shared" si="203"/>
        <v>14086.83514350927</v>
      </c>
      <c r="R153" s="82">
        <f t="shared" si="203"/>
        <v>13940.480010418383</v>
      </c>
      <c r="S153" s="82">
        <f t="shared" si="203"/>
        <v>13652.842028249541</v>
      </c>
      <c r="T153" s="82">
        <f t="shared" si="203"/>
        <v>13474.244303140304</v>
      </c>
      <c r="U153" s="82">
        <f t="shared" si="203"/>
        <v>12714.750048930082</v>
      </c>
      <c r="V153" s="82">
        <f t="shared" si="203"/>
        <v>12299.772833354877</v>
      </c>
      <c r="W153" s="82">
        <f t="shared" si="203"/>
        <v>12616.669256953399</v>
      </c>
      <c r="X153" s="82">
        <f t="shared" ref="X153:Y153" si="204">IF(X99=0,0,X99/X$23)</f>
        <v>10899.068250639975</v>
      </c>
      <c r="Y153" s="82">
        <f t="shared" si="204"/>
        <v>10361.040862738511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10590.293059481068</v>
      </c>
      <c r="C154" s="64">
        <f t="shared" ref="C154:W154" si="206">IF(C100=0,0,C100/C$23)</f>
        <v>10965.335130012869</v>
      </c>
      <c r="D154" s="64">
        <f t="shared" si="206"/>
        <v>11198.717316638709</v>
      </c>
      <c r="E154" s="64">
        <f t="shared" si="206"/>
        <v>11785.702129604499</v>
      </c>
      <c r="F154" s="64">
        <f t="shared" si="206"/>
        <v>13674.564372226212</v>
      </c>
      <c r="G154" s="64">
        <f t="shared" si="206"/>
        <v>13347.262956610915</v>
      </c>
      <c r="H154" s="64">
        <f t="shared" si="206"/>
        <v>12564.113433736833</v>
      </c>
      <c r="I154" s="64">
        <f t="shared" si="206"/>
        <v>11537.133603793103</v>
      </c>
      <c r="J154" s="64">
        <f t="shared" si="206"/>
        <v>12653.534162458287</v>
      </c>
      <c r="K154" s="64">
        <f t="shared" si="206"/>
        <v>12136.041734362927</v>
      </c>
      <c r="L154" s="64">
        <f t="shared" si="206"/>
        <v>12753.197911196097</v>
      </c>
      <c r="M154" s="64">
        <f t="shared" si="206"/>
        <v>10632.807273636859</v>
      </c>
      <c r="N154" s="64">
        <f t="shared" si="206"/>
        <v>11235.476463389499</v>
      </c>
      <c r="O154" s="64">
        <f t="shared" si="206"/>
        <v>12007.890817298075</v>
      </c>
      <c r="P154" s="64">
        <f t="shared" si="206"/>
        <v>9791.7876720541954</v>
      </c>
      <c r="Q154" s="64">
        <f t="shared" si="206"/>
        <v>10755.708600825423</v>
      </c>
      <c r="R154" s="64">
        <f t="shared" si="206"/>
        <v>10674.005562123792</v>
      </c>
      <c r="S154" s="64">
        <f t="shared" si="206"/>
        <v>10424.634911431733</v>
      </c>
      <c r="T154" s="64">
        <f t="shared" si="206"/>
        <v>10345.574343246219</v>
      </c>
      <c r="U154" s="64">
        <f t="shared" si="206"/>
        <v>9694.6558601823035</v>
      </c>
      <c r="V154" s="64">
        <f t="shared" si="206"/>
        <v>9406.7571860476273</v>
      </c>
      <c r="W154" s="64">
        <f t="shared" si="206"/>
        <v>9806.3411063119747</v>
      </c>
      <c r="X154" s="64">
        <f t="shared" ref="X154:Y154" si="207">IF(X100=0,0,X100/X$23)</f>
        <v>8155.2033537595025</v>
      </c>
      <c r="Y154" s="64">
        <f t="shared" si="207"/>
        <v>7664.1760081397424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8234.0881940970849</v>
      </c>
      <c r="C155" s="65">
        <f t="shared" ref="C155:W155" si="209">IF(C101=0,0,C101/C$23)</f>
        <v>8591.5496994057848</v>
      </c>
      <c r="D155" s="65">
        <f t="shared" si="209"/>
        <v>8689.2113784434168</v>
      </c>
      <c r="E155" s="65">
        <f t="shared" si="209"/>
        <v>9199.2240099380324</v>
      </c>
      <c r="F155" s="65">
        <f t="shared" si="209"/>
        <v>11232.323799131513</v>
      </c>
      <c r="G155" s="65">
        <f t="shared" si="209"/>
        <v>10929.415616907278</v>
      </c>
      <c r="H155" s="65">
        <f t="shared" si="209"/>
        <v>10084.118439650627</v>
      </c>
      <c r="I155" s="65">
        <f t="shared" si="209"/>
        <v>9063.2317823429348</v>
      </c>
      <c r="J155" s="65">
        <f t="shared" si="209"/>
        <v>10183.884033136635</v>
      </c>
      <c r="K155" s="65">
        <f t="shared" si="209"/>
        <v>9658.9722891761921</v>
      </c>
      <c r="L155" s="65">
        <f t="shared" si="209"/>
        <v>10250.327880428093</v>
      </c>
      <c r="M155" s="65">
        <f t="shared" si="209"/>
        <v>8123.199332958563</v>
      </c>
      <c r="N155" s="65">
        <f t="shared" si="209"/>
        <v>8668.8104927125605</v>
      </c>
      <c r="O155" s="65">
        <f t="shared" si="209"/>
        <v>9406.1931056740668</v>
      </c>
      <c r="P155" s="65">
        <f t="shared" si="209"/>
        <v>7165.3387264060721</v>
      </c>
      <c r="Q155" s="65">
        <f t="shared" si="209"/>
        <v>8111.9339678098668</v>
      </c>
      <c r="R155" s="65">
        <f t="shared" si="209"/>
        <v>8049.4040009221017</v>
      </c>
      <c r="S155" s="65">
        <f t="shared" si="209"/>
        <v>7848.9688143570538</v>
      </c>
      <c r="T155" s="65">
        <f t="shared" si="209"/>
        <v>7786.6298473383449</v>
      </c>
      <c r="U155" s="65">
        <f t="shared" si="209"/>
        <v>7288.5558381076071</v>
      </c>
      <c r="V155" s="65">
        <f t="shared" si="209"/>
        <v>7090.6059170797425</v>
      </c>
      <c r="W155" s="65">
        <f t="shared" si="209"/>
        <v>7490.696084400327</v>
      </c>
      <c r="X155" s="65">
        <f t="shared" ref="X155:Y155" si="210">IF(X101=0,0,X101/X$23)</f>
        <v>5844.1903328024564</v>
      </c>
      <c r="Y155" s="65">
        <f t="shared" si="210"/>
        <v>5376.8600592567036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48.871780815323532</v>
      </c>
      <c r="C156" s="65">
        <f t="shared" ref="C156:W156" si="212">IF(C102=0,0,C102/C$23)</f>
        <v>59.9046998695989</v>
      </c>
      <c r="D156" s="65">
        <f t="shared" si="212"/>
        <v>75.804865117620054</v>
      </c>
      <c r="E156" s="65">
        <f t="shared" si="212"/>
        <v>110.22296057524113</v>
      </c>
      <c r="F156" s="65">
        <f t="shared" si="212"/>
        <v>98.403303640058098</v>
      </c>
      <c r="G156" s="65">
        <f t="shared" si="212"/>
        <v>114.58775303699926</v>
      </c>
      <c r="H156" s="65">
        <f t="shared" si="212"/>
        <v>163.35537537157199</v>
      </c>
      <c r="I156" s="65">
        <f t="shared" si="212"/>
        <v>145.7678609803437</v>
      </c>
      <c r="J156" s="65">
        <f t="shared" si="212"/>
        <v>158.45075437223736</v>
      </c>
      <c r="K156" s="65">
        <f t="shared" si="212"/>
        <v>174.20027460742864</v>
      </c>
      <c r="L156" s="65">
        <f t="shared" si="212"/>
        <v>199.21098134229217</v>
      </c>
      <c r="M156" s="65">
        <f t="shared" si="212"/>
        <v>195.44021466624005</v>
      </c>
      <c r="N156" s="65">
        <f t="shared" si="212"/>
        <v>202.90582535647351</v>
      </c>
      <c r="O156" s="65">
        <f t="shared" si="212"/>
        <v>211.87217513002852</v>
      </c>
      <c r="P156" s="65">
        <f t="shared" si="212"/>
        <v>206.21994996127572</v>
      </c>
      <c r="Q156" s="65">
        <f t="shared" si="212"/>
        <v>229.40584558490931</v>
      </c>
      <c r="R156" s="65">
        <f t="shared" si="212"/>
        <v>221.03132751050495</v>
      </c>
      <c r="S156" s="65">
        <f t="shared" si="212"/>
        <v>203.17396634440942</v>
      </c>
      <c r="T156" s="65">
        <f t="shared" si="212"/>
        <v>225.30921956275236</v>
      </c>
      <c r="U156" s="65">
        <f t="shared" si="212"/>
        <v>211.41368809826386</v>
      </c>
      <c r="V156" s="65">
        <f t="shared" si="212"/>
        <v>226.2616179005251</v>
      </c>
      <c r="W156" s="65">
        <f t="shared" si="212"/>
        <v>180.29899093782058</v>
      </c>
      <c r="X156" s="65">
        <f t="shared" ref="X156:Y156" si="213">IF(X102=0,0,X102/X$23)</f>
        <v>201.34723754710959</v>
      </c>
      <c r="Y156" s="65">
        <f t="shared" si="213"/>
        <v>181.545113300743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1352.496402835219</v>
      </c>
      <c r="C157" s="65">
        <f t="shared" ref="C157:W157" si="215">IF(C103=0,0,C103/C$23)</f>
        <v>1343.1240127416731</v>
      </c>
      <c r="D157" s="65">
        <f t="shared" si="215"/>
        <v>1407.6806552807395</v>
      </c>
      <c r="E157" s="65">
        <f t="shared" si="215"/>
        <v>1437.840072370303</v>
      </c>
      <c r="F157" s="65">
        <f t="shared" si="215"/>
        <v>1357.3970333271593</v>
      </c>
      <c r="G157" s="65">
        <f t="shared" si="215"/>
        <v>1327.8904549077256</v>
      </c>
      <c r="H157" s="65">
        <f t="shared" si="215"/>
        <v>1332.0693938784134</v>
      </c>
      <c r="I157" s="65">
        <f t="shared" si="215"/>
        <v>1319.0931183433445</v>
      </c>
      <c r="J157" s="65">
        <f t="shared" si="215"/>
        <v>1296.7965838095508</v>
      </c>
      <c r="K157" s="65">
        <f t="shared" si="215"/>
        <v>1286.3415457326626</v>
      </c>
      <c r="L157" s="65">
        <f t="shared" si="215"/>
        <v>1282.2140147795492</v>
      </c>
      <c r="M157" s="65">
        <f t="shared" si="215"/>
        <v>1287.6376892364606</v>
      </c>
      <c r="N157" s="65">
        <f t="shared" si="215"/>
        <v>1303.7841676266494</v>
      </c>
      <c r="O157" s="65">
        <f t="shared" si="215"/>
        <v>1318.6175472688328</v>
      </c>
      <c r="P157" s="65">
        <f t="shared" si="215"/>
        <v>1314.5404678120892</v>
      </c>
      <c r="Q157" s="65">
        <f t="shared" si="215"/>
        <v>1292.1422518518923</v>
      </c>
      <c r="R157" s="65">
        <f t="shared" si="215"/>
        <v>1280.4299473572439</v>
      </c>
      <c r="S157" s="65">
        <f t="shared" si="215"/>
        <v>1257.2579425068479</v>
      </c>
      <c r="T157" s="65">
        <f t="shared" si="215"/>
        <v>1225.6947209066118</v>
      </c>
      <c r="U157" s="65">
        <f t="shared" si="215"/>
        <v>1132.5675710728851</v>
      </c>
      <c r="V157" s="65">
        <f t="shared" si="215"/>
        <v>1071.4777371741588</v>
      </c>
      <c r="W157" s="65">
        <f t="shared" si="215"/>
        <v>1103.9036281356939</v>
      </c>
      <c r="X157" s="65">
        <f t="shared" ref="X157:Y157" si="216">IF(X103=0,0,X103/X$23)</f>
        <v>1083.8977897057052</v>
      </c>
      <c r="Y157" s="65">
        <f t="shared" si="216"/>
        <v>1080.4911565347472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954.8366817334396</v>
      </c>
      <c r="C158" s="67">
        <f t="shared" ref="C158:W158" si="218">IF(C104=0,0,C104/C$23)</f>
        <v>970.75671799581255</v>
      </c>
      <c r="D158" s="67">
        <f t="shared" si="218"/>
        <v>1026.0204177969333</v>
      </c>
      <c r="E158" s="67">
        <f t="shared" si="218"/>
        <v>1038.4150867209214</v>
      </c>
      <c r="F158" s="67">
        <f t="shared" si="218"/>
        <v>986.4402361274806</v>
      </c>
      <c r="G158" s="67">
        <f t="shared" si="218"/>
        <v>975.36913175891254</v>
      </c>
      <c r="H158" s="67">
        <f t="shared" si="218"/>
        <v>984.57022483622177</v>
      </c>
      <c r="I158" s="67">
        <f t="shared" si="218"/>
        <v>1009.0408421264812</v>
      </c>
      <c r="J158" s="67">
        <f t="shared" si="218"/>
        <v>1014.4027911398616</v>
      </c>
      <c r="K158" s="67">
        <f t="shared" si="218"/>
        <v>1016.5276248466434</v>
      </c>
      <c r="L158" s="67">
        <f t="shared" si="218"/>
        <v>1021.4450346461643</v>
      </c>
      <c r="M158" s="67">
        <f t="shared" si="218"/>
        <v>1026.5300367755954</v>
      </c>
      <c r="N158" s="67">
        <f t="shared" si="218"/>
        <v>1059.9759776938142</v>
      </c>
      <c r="O158" s="67">
        <f t="shared" si="218"/>
        <v>1071.2079892251484</v>
      </c>
      <c r="P158" s="67">
        <f t="shared" si="218"/>
        <v>1105.6885278747623</v>
      </c>
      <c r="Q158" s="67">
        <f t="shared" si="218"/>
        <v>1122.2265355787545</v>
      </c>
      <c r="R158" s="67">
        <f t="shared" si="218"/>
        <v>1123.1402863339413</v>
      </c>
      <c r="S158" s="67">
        <f t="shared" si="218"/>
        <v>1115.2341882234214</v>
      </c>
      <c r="T158" s="67">
        <f t="shared" si="218"/>
        <v>1107.9405554385069</v>
      </c>
      <c r="U158" s="67">
        <f t="shared" si="218"/>
        <v>1062.1187629035485</v>
      </c>
      <c r="V158" s="67">
        <f t="shared" si="218"/>
        <v>1018.4119138931987</v>
      </c>
      <c r="W158" s="67">
        <f t="shared" si="218"/>
        <v>1031.4424028381334</v>
      </c>
      <c r="X158" s="67">
        <f t="shared" ref="X158:Y158" si="219">IF(X104=0,0,X104/X$23)</f>
        <v>1025.7679937042324</v>
      </c>
      <c r="Y158" s="67">
        <f t="shared" si="219"/>
        <v>1025.2796790475491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2541.7020661889928</v>
      </c>
      <c r="C159" s="68">
        <f t="shared" ref="C159:W159" si="221">IF(C105=0,0,C105/C$23)</f>
        <v>2599.3222289859132</v>
      </c>
      <c r="D159" s="68">
        <f t="shared" si="221"/>
        <v>2715.3294346843054</v>
      </c>
      <c r="E159" s="68">
        <f t="shared" si="221"/>
        <v>2790.0256756996132</v>
      </c>
      <c r="F159" s="68">
        <f t="shared" si="221"/>
        <v>2874.5150665058281</v>
      </c>
      <c r="G159" s="68">
        <f t="shared" si="221"/>
        <v>2958.3989443967807</v>
      </c>
      <c r="H159" s="68">
        <f t="shared" si="221"/>
        <v>3075.9425379815943</v>
      </c>
      <c r="I159" s="68">
        <f t="shared" si="221"/>
        <v>3159.7461377376612</v>
      </c>
      <c r="J159" s="68">
        <f t="shared" si="221"/>
        <v>3203.0782873127027</v>
      </c>
      <c r="K159" s="68">
        <f t="shared" si="221"/>
        <v>3220.418231128067</v>
      </c>
      <c r="L159" s="68">
        <f t="shared" si="221"/>
        <v>3260.2138760127773</v>
      </c>
      <c r="M159" s="68">
        <f t="shared" si="221"/>
        <v>3284.193011871198</v>
      </c>
      <c r="N159" s="68">
        <f t="shared" si="221"/>
        <v>3303.2965748800884</v>
      </c>
      <c r="O159" s="68">
        <f t="shared" si="221"/>
        <v>3323.5714529671172</v>
      </c>
      <c r="P159" s="68">
        <f t="shared" si="221"/>
        <v>3330.7031524622244</v>
      </c>
      <c r="Q159" s="68">
        <f t="shared" si="221"/>
        <v>3331.126542683849</v>
      </c>
      <c r="R159" s="68">
        <f t="shared" si="221"/>
        <v>3266.4744482945912</v>
      </c>
      <c r="S159" s="68">
        <f t="shared" si="221"/>
        <v>3228.2071168178049</v>
      </c>
      <c r="T159" s="68">
        <f t="shared" si="221"/>
        <v>3128.66995989409</v>
      </c>
      <c r="U159" s="68">
        <f t="shared" si="221"/>
        <v>3020.0941887477784</v>
      </c>
      <c r="V159" s="68">
        <f t="shared" si="221"/>
        <v>2893.0156473072484</v>
      </c>
      <c r="W159" s="68">
        <f t="shared" si="221"/>
        <v>2810.3281506414241</v>
      </c>
      <c r="X159" s="68">
        <f t="shared" ref="X159:Y159" si="222">IF(X105=0,0,X105/X$23)</f>
        <v>2743.8648968804705</v>
      </c>
      <c r="Y159" s="68">
        <f t="shared" si="222"/>
        <v>2696.864854598768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6137.3595895172966</v>
      </c>
      <c r="C161" s="85">
        <f t="shared" ref="C161:W161" si="224">IF(C107=0,0,C107/C$23)</f>
        <v>6415.8164416073632</v>
      </c>
      <c r="D161" s="85">
        <f t="shared" si="224"/>
        <v>6517.7960182767974</v>
      </c>
      <c r="E161" s="85">
        <f t="shared" si="224"/>
        <v>6919.8088931949114</v>
      </c>
      <c r="F161" s="85">
        <f t="shared" si="224"/>
        <v>8516.1413299750711</v>
      </c>
      <c r="G161" s="85">
        <f t="shared" si="224"/>
        <v>8440.1850183532224</v>
      </c>
      <c r="H161" s="85">
        <f t="shared" si="224"/>
        <v>8170.3564622970443</v>
      </c>
      <c r="I161" s="85">
        <f t="shared" si="224"/>
        <v>7646.9250082065455</v>
      </c>
      <c r="J161" s="85">
        <f t="shared" si="224"/>
        <v>8366.2955753819879</v>
      </c>
      <c r="K161" s="85">
        <f t="shared" si="224"/>
        <v>8230.2682296089624</v>
      </c>
      <c r="L161" s="85">
        <f t="shared" si="224"/>
        <v>8742.6840300178646</v>
      </c>
      <c r="M161" s="85">
        <f t="shared" si="224"/>
        <v>7527.3099420731105</v>
      </c>
      <c r="N161" s="85">
        <f t="shared" si="224"/>
        <v>8063.7681672326189</v>
      </c>
      <c r="O161" s="85">
        <f t="shared" si="224"/>
        <v>8725.7498368427077</v>
      </c>
      <c r="P161" s="85">
        <f t="shared" si="224"/>
        <v>7341.6613168624053</v>
      </c>
      <c r="Q161" s="85">
        <f t="shared" si="224"/>
        <v>8136.3049073629372</v>
      </c>
      <c r="R161" s="85">
        <f t="shared" si="224"/>
        <v>8199.9591104324354</v>
      </c>
      <c r="S161" s="85">
        <f t="shared" si="224"/>
        <v>8116.6799897987039</v>
      </c>
      <c r="T161" s="85">
        <f t="shared" si="224"/>
        <v>8322.3183163951835</v>
      </c>
      <c r="U161" s="85">
        <f t="shared" si="224"/>
        <v>7986.5076659969172</v>
      </c>
      <c r="V161" s="85">
        <f t="shared" si="224"/>
        <v>7958.3097794814676</v>
      </c>
      <c r="W161" s="85">
        <f t="shared" si="224"/>
        <v>8303.5817837260911</v>
      </c>
      <c r="X161" s="85">
        <f t="shared" ref="X161:Y161" si="225">IF(X107=0,0,X107/X$23)</f>
        <v>7282.1652031487756</v>
      </c>
      <c r="Y161" s="85">
        <f t="shared" si="225"/>
        <v>6957.9352708068191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4594.0038722955469</v>
      </c>
      <c r="C162" s="65">
        <f t="shared" ref="C162:W162" si="227">IF(C108=0,0,C108/C$23)</f>
        <v>4823.6703626847839</v>
      </c>
      <c r="D162" s="65">
        <f t="shared" si="227"/>
        <v>4762.1301079347868</v>
      </c>
      <c r="E162" s="65">
        <f t="shared" si="227"/>
        <v>5018.4869356289673</v>
      </c>
      <c r="F162" s="65">
        <f t="shared" si="227"/>
        <v>6722.751382658902</v>
      </c>
      <c r="G162" s="65">
        <f t="shared" si="227"/>
        <v>6582.5306080818236</v>
      </c>
      <c r="H162" s="65">
        <f t="shared" si="227"/>
        <v>6132.8927841464665</v>
      </c>
      <c r="I162" s="65">
        <f t="shared" si="227"/>
        <v>5617.2057492134682</v>
      </c>
      <c r="J162" s="65">
        <f t="shared" si="227"/>
        <v>6278.2002988759759</v>
      </c>
      <c r="K162" s="65">
        <f t="shared" si="227"/>
        <v>6071.8642075778216</v>
      </c>
      <c r="L162" s="65">
        <f t="shared" si="227"/>
        <v>6470.2244880991757</v>
      </c>
      <c r="M162" s="65">
        <f t="shared" si="227"/>
        <v>5221.4947322512116</v>
      </c>
      <c r="N162" s="65">
        <f t="shared" si="227"/>
        <v>5655.7235063182461</v>
      </c>
      <c r="O162" s="65">
        <f t="shared" si="227"/>
        <v>6223.0419784863579</v>
      </c>
      <c r="P162" s="65">
        <f t="shared" si="227"/>
        <v>4792.7342616547839</v>
      </c>
      <c r="Q162" s="65">
        <f t="shared" si="227"/>
        <v>5459.3767370834366</v>
      </c>
      <c r="R162" s="65">
        <f t="shared" si="227"/>
        <v>5508.4303451978139</v>
      </c>
      <c r="S162" s="65">
        <f t="shared" si="227"/>
        <v>5472.8602090501181</v>
      </c>
      <c r="T162" s="65">
        <f t="shared" si="227"/>
        <v>5559.400157917139</v>
      </c>
      <c r="U162" s="65">
        <f t="shared" si="227"/>
        <v>5345.6936174366501</v>
      </c>
      <c r="V162" s="65">
        <f t="shared" si="227"/>
        <v>5285.7443690760247</v>
      </c>
      <c r="W162" s="65">
        <f t="shared" si="227"/>
        <v>5759.9709022497309</v>
      </c>
      <c r="X162" s="65">
        <f t="shared" ref="X162:Y162" si="228">IF(X108=0,0,X108/X$23)</f>
        <v>4621.0651288997242</v>
      </c>
      <c r="Y162" s="65">
        <f t="shared" si="228"/>
        <v>4352.1526400311577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100.01298884589929</v>
      </c>
      <c r="C163" s="65">
        <f t="shared" ref="C163:W163" si="230">IF(C109=0,0,C109/C$23)</f>
        <v>132.85423794198871</v>
      </c>
      <c r="D163" s="65">
        <f t="shared" si="230"/>
        <v>182.11879164188946</v>
      </c>
      <c r="E163" s="65">
        <f t="shared" si="230"/>
        <v>278.66220504694599</v>
      </c>
      <c r="F163" s="65">
        <f t="shared" si="230"/>
        <v>261.8097181653236</v>
      </c>
      <c r="G163" s="65">
        <f t="shared" si="230"/>
        <v>319.81149431076352</v>
      </c>
      <c r="H163" s="65">
        <f t="shared" si="230"/>
        <v>476.85778683547858</v>
      </c>
      <c r="I163" s="65">
        <f t="shared" si="230"/>
        <v>445.0487326788936</v>
      </c>
      <c r="J163" s="65">
        <f t="shared" si="230"/>
        <v>502.92241540845447</v>
      </c>
      <c r="K163" s="65">
        <f t="shared" si="230"/>
        <v>567.73766486301406</v>
      </c>
      <c r="L163" s="65">
        <f t="shared" si="230"/>
        <v>670.36827604675341</v>
      </c>
      <c r="M163" s="65">
        <f t="shared" si="230"/>
        <v>682.00840034615885</v>
      </c>
      <c r="N163" s="65">
        <f t="shared" si="230"/>
        <v>733.21515706640184</v>
      </c>
      <c r="O163" s="65">
        <f t="shared" si="230"/>
        <v>793.70722426751286</v>
      </c>
      <c r="P163" s="65">
        <f t="shared" si="230"/>
        <v>801.11122405014305</v>
      </c>
      <c r="Q163" s="65">
        <f t="shared" si="230"/>
        <v>922.93434319046651</v>
      </c>
      <c r="R163" s="65">
        <f t="shared" si="230"/>
        <v>923.55996242085985</v>
      </c>
      <c r="S163" s="65">
        <f t="shared" si="230"/>
        <v>877.98009227946818</v>
      </c>
      <c r="T163" s="65">
        <f t="shared" si="230"/>
        <v>1001.9497790872817</v>
      </c>
      <c r="U163" s="65">
        <f t="shared" si="230"/>
        <v>964.92575382390032</v>
      </c>
      <c r="V163" s="65">
        <f t="shared" si="230"/>
        <v>1058.3622480210774</v>
      </c>
      <c r="W163" s="65">
        <f t="shared" si="230"/>
        <v>862.7090829935222</v>
      </c>
      <c r="X163" s="65">
        <f t="shared" ref="X163:Y163" si="231">IF(X109=0,0,X109/X$23)</f>
        <v>978.86168692492743</v>
      </c>
      <c r="Y163" s="65">
        <f t="shared" si="231"/>
        <v>893.74077948713659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804.35960150700487</v>
      </c>
      <c r="C164" s="65">
        <f t="shared" ref="C164:W164" si="233">IF(C110=0,0,C110/C$23)</f>
        <v>803.62023643605073</v>
      </c>
      <c r="D164" s="65">
        <f t="shared" si="233"/>
        <v>857.03929808784494</v>
      </c>
      <c r="E164" s="65">
        <f t="shared" si="233"/>
        <v>884.42043633488402</v>
      </c>
      <c r="F164" s="65">
        <f t="shared" si="233"/>
        <v>835.9993251390124</v>
      </c>
      <c r="G164" s="65">
        <f t="shared" si="233"/>
        <v>826.6072928494599</v>
      </c>
      <c r="H164" s="65">
        <f t="shared" si="233"/>
        <v>838.5780326330671</v>
      </c>
      <c r="I164" s="65">
        <f t="shared" si="233"/>
        <v>839.01769694579718</v>
      </c>
      <c r="J164" s="65">
        <f t="shared" si="233"/>
        <v>834.94352109194654</v>
      </c>
      <c r="K164" s="65">
        <f t="shared" si="233"/>
        <v>836.44562113233519</v>
      </c>
      <c r="L164" s="65">
        <f t="shared" si="233"/>
        <v>844.03293152021104</v>
      </c>
      <c r="M164" s="65">
        <f t="shared" si="233"/>
        <v>858.56114480189922</v>
      </c>
      <c r="N164" s="65">
        <f t="shared" si="233"/>
        <v>882.47647102918836</v>
      </c>
      <c r="O164" s="65">
        <f t="shared" si="233"/>
        <v>907.77709379293833</v>
      </c>
      <c r="P164" s="65">
        <f t="shared" si="233"/>
        <v>912.51845108444911</v>
      </c>
      <c r="Q164" s="65">
        <f t="shared" si="233"/>
        <v>906.12518601576733</v>
      </c>
      <c r="R164" s="65">
        <f t="shared" si="233"/>
        <v>913.00040878083598</v>
      </c>
      <c r="S164" s="65">
        <f t="shared" si="233"/>
        <v>913.92146740963278</v>
      </c>
      <c r="T164" s="65">
        <f t="shared" si="233"/>
        <v>910.06331985967267</v>
      </c>
      <c r="U164" s="65">
        <f t="shared" si="233"/>
        <v>860.37210892284588</v>
      </c>
      <c r="V164" s="65">
        <f t="shared" si="233"/>
        <v>830.3893038807787</v>
      </c>
      <c r="W164" s="65">
        <f t="shared" si="233"/>
        <v>871.71015242720478</v>
      </c>
      <c r="X164" s="65">
        <f t="shared" ref="X164:Y164" si="234">IF(X110=0,0,X110/X$23)</f>
        <v>876.54578900061983</v>
      </c>
      <c r="Y164" s="65">
        <f t="shared" si="234"/>
        <v>893.6225769992476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638.98312686884572</v>
      </c>
      <c r="C165" s="68">
        <f t="shared" ref="C165:W165" si="236">IF(C111=0,0,C111/C$23)</f>
        <v>655.67160454454029</v>
      </c>
      <c r="D165" s="68">
        <f t="shared" si="236"/>
        <v>716.50782061227517</v>
      </c>
      <c r="E165" s="68">
        <f t="shared" si="236"/>
        <v>738.23931618411336</v>
      </c>
      <c r="F165" s="68">
        <f t="shared" si="236"/>
        <v>695.58090401183438</v>
      </c>
      <c r="G165" s="68">
        <f t="shared" si="236"/>
        <v>711.23562311117541</v>
      </c>
      <c r="H165" s="68">
        <f t="shared" si="236"/>
        <v>722.02785868203216</v>
      </c>
      <c r="I165" s="68">
        <f t="shared" si="236"/>
        <v>745.65282936838764</v>
      </c>
      <c r="J165" s="68">
        <f t="shared" si="236"/>
        <v>750.22934000561042</v>
      </c>
      <c r="K165" s="68">
        <f t="shared" si="236"/>
        <v>754.22073603579281</v>
      </c>
      <c r="L165" s="68">
        <f t="shared" si="236"/>
        <v>758.05833435172497</v>
      </c>
      <c r="M165" s="68">
        <f t="shared" si="236"/>
        <v>765.24566467383966</v>
      </c>
      <c r="N165" s="68">
        <f t="shared" si="236"/>
        <v>792.35303281878271</v>
      </c>
      <c r="O165" s="68">
        <f t="shared" si="236"/>
        <v>801.22354029589906</v>
      </c>
      <c r="P165" s="68">
        <f t="shared" si="236"/>
        <v>835.29738007302922</v>
      </c>
      <c r="Q165" s="68">
        <f t="shared" si="236"/>
        <v>847.86864107326687</v>
      </c>
      <c r="R165" s="68">
        <f t="shared" si="236"/>
        <v>854.96839403292461</v>
      </c>
      <c r="S165" s="68">
        <f t="shared" si="236"/>
        <v>851.91822105948438</v>
      </c>
      <c r="T165" s="68">
        <f t="shared" si="236"/>
        <v>850.9050595310888</v>
      </c>
      <c r="U165" s="68">
        <f t="shared" si="236"/>
        <v>815.51618581351988</v>
      </c>
      <c r="V165" s="68">
        <f t="shared" si="236"/>
        <v>783.81385850358743</v>
      </c>
      <c r="W165" s="68">
        <f t="shared" si="236"/>
        <v>809.19164605563424</v>
      </c>
      <c r="X165" s="68">
        <f t="shared" ref="X165:Y165" si="237">IF(X111=0,0,X111/X$23)</f>
        <v>805.69259832350474</v>
      </c>
      <c r="Y165" s="68">
        <f t="shared" si="237"/>
        <v>818.4192742892775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2021.5575065929838</v>
      </c>
      <c r="C167" s="82">
        <f t="shared" ref="C167:W167" si="239">IF(C113=0,0,C113/C$23)</f>
        <v>2085.8778109284099</v>
      </c>
      <c r="D167" s="82">
        <f t="shared" si="239"/>
        <v>2285.370583528234</v>
      </c>
      <c r="E167" s="82">
        <f t="shared" si="239"/>
        <v>2458.0620670890798</v>
      </c>
      <c r="F167" s="82">
        <f t="shared" si="239"/>
        <v>2375.1547083084056</v>
      </c>
      <c r="G167" s="82">
        <f t="shared" si="239"/>
        <v>2286.1874687548661</v>
      </c>
      <c r="H167" s="82">
        <f t="shared" si="239"/>
        <v>2109.9101979253483</v>
      </c>
      <c r="I167" s="82">
        <f t="shared" si="239"/>
        <v>1879.9668853466276</v>
      </c>
      <c r="J167" s="82">
        <f t="shared" si="239"/>
        <v>2159.0653118124542</v>
      </c>
      <c r="K167" s="82">
        <f t="shared" si="239"/>
        <v>1999.0272810960753</v>
      </c>
      <c r="L167" s="82">
        <f t="shared" si="239"/>
        <v>2164.8381448490695</v>
      </c>
      <c r="M167" s="82">
        <f t="shared" si="239"/>
        <v>1763.0231769099062</v>
      </c>
      <c r="N167" s="82">
        <f t="shared" si="239"/>
        <v>1868.9944450247351</v>
      </c>
      <c r="O167" s="82">
        <f t="shared" si="239"/>
        <v>2058.3435341817203</v>
      </c>
      <c r="P167" s="82">
        <f t="shared" si="239"/>
        <v>1614.0259590615124</v>
      </c>
      <c r="Q167" s="82">
        <f t="shared" si="239"/>
        <v>1830.6652318085503</v>
      </c>
      <c r="R167" s="82">
        <f t="shared" si="239"/>
        <v>1798.5026958718997</v>
      </c>
      <c r="S167" s="82">
        <f t="shared" si="239"/>
        <v>1756.4716740797921</v>
      </c>
      <c r="T167" s="82">
        <f t="shared" si="239"/>
        <v>1724.5713732433649</v>
      </c>
      <c r="U167" s="82">
        <f t="shared" si="239"/>
        <v>1563.9779485655349</v>
      </c>
      <c r="V167" s="82">
        <f t="shared" si="239"/>
        <v>1540.4016310061304</v>
      </c>
      <c r="W167" s="82">
        <f t="shared" si="239"/>
        <v>1577.2882122379435</v>
      </c>
      <c r="X167" s="82">
        <f t="shared" ref="X167:Y167" si="240">IF(X113=0,0,X113/X$23)</f>
        <v>1235.0954012964537</v>
      </c>
      <c r="Y167" s="82">
        <f t="shared" si="240"/>
        <v>1151.303089880307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2021.5575065929838</v>
      </c>
      <c r="C168" s="64">
        <f t="shared" ref="C168:W168" si="242">IF(C114=0,0,C114/C$23)</f>
        <v>2085.8778109284099</v>
      </c>
      <c r="D168" s="64">
        <f t="shared" si="242"/>
        <v>2285.370583528234</v>
      </c>
      <c r="E168" s="64">
        <f t="shared" si="242"/>
        <v>2458.0620670890798</v>
      </c>
      <c r="F168" s="64">
        <f t="shared" si="242"/>
        <v>2375.1547083084056</v>
      </c>
      <c r="G168" s="64">
        <f t="shared" si="242"/>
        <v>2286.1874687548661</v>
      </c>
      <c r="H168" s="64">
        <f t="shared" si="242"/>
        <v>2109.9101979253483</v>
      </c>
      <c r="I168" s="64">
        <f t="shared" si="242"/>
        <v>1879.9668853466276</v>
      </c>
      <c r="J168" s="64">
        <f t="shared" si="242"/>
        <v>2159.0653118124542</v>
      </c>
      <c r="K168" s="64">
        <f t="shared" si="242"/>
        <v>1999.0272810960753</v>
      </c>
      <c r="L168" s="64">
        <f t="shared" si="242"/>
        <v>2164.8381448490695</v>
      </c>
      <c r="M168" s="64">
        <f t="shared" si="242"/>
        <v>1763.0231769099062</v>
      </c>
      <c r="N168" s="64">
        <f t="shared" si="242"/>
        <v>1868.9944450247351</v>
      </c>
      <c r="O168" s="64">
        <f t="shared" si="242"/>
        <v>2058.3435341817203</v>
      </c>
      <c r="P168" s="64">
        <f t="shared" si="242"/>
        <v>1614.0259590615124</v>
      </c>
      <c r="Q168" s="64">
        <f t="shared" si="242"/>
        <v>1830.6652318085503</v>
      </c>
      <c r="R168" s="64">
        <f t="shared" si="242"/>
        <v>1798.5026958718997</v>
      </c>
      <c r="S168" s="64">
        <f t="shared" si="242"/>
        <v>1756.4716740797921</v>
      </c>
      <c r="T168" s="64">
        <f t="shared" si="242"/>
        <v>1724.5713732433649</v>
      </c>
      <c r="U168" s="64">
        <f t="shared" si="242"/>
        <v>1563.9779485655349</v>
      </c>
      <c r="V168" s="64">
        <f t="shared" si="242"/>
        <v>1540.4016310061304</v>
      </c>
      <c r="W168" s="64">
        <f t="shared" si="242"/>
        <v>1577.2882122379435</v>
      </c>
      <c r="X168" s="64">
        <f t="shared" ref="X168:Y168" si="243">IF(X114=0,0,X114/X$23)</f>
        <v>1235.0954012964537</v>
      </c>
      <c r="Y168" s="64">
        <f t="shared" si="243"/>
        <v>1151.303089880307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1596.8685911125101</v>
      </c>
      <c r="C169" s="65">
        <f t="shared" ref="C169:W169" si="245">IF(C115=0,0,C115/C$23)</f>
        <v>1667.905931178946</v>
      </c>
      <c r="D169" s="65">
        <f t="shared" si="245"/>
        <v>1883.4419067713782</v>
      </c>
      <c r="E169" s="65">
        <f t="shared" si="245"/>
        <v>2067.6339907025877</v>
      </c>
      <c r="F169" s="65">
        <f t="shared" si="245"/>
        <v>1989.8091412606832</v>
      </c>
      <c r="G169" s="65">
        <f t="shared" si="245"/>
        <v>1935.510037505552</v>
      </c>
      <c r="H169" s="65">
        <f t="shared" si="245"/>
        <v>1764.8844920010072</v>
      </c>
      <c r="I169" s="65">
        <f t="shared" si="245"/>
        <v>1541.3647730466105</v>
      </c>
      <c r="J169" s="65">
        <f t="shared" si="245"/>
        <v>1828.7878140821335</v>
      </c>
      <c r="K169" s="65">
        <f t="shared" si="245"/>
        <v>1673.589525169009</v>
      </c>
      <c r="L169" s="65">
        <f t="shared" si="245"/>
        <v>1842.1211974007622</v>
      </c>
      <c r="M169" s="65">
        <f t="shared" si="245"/>
        <v>1444.1662641899209</v>
      </c>
      <c r="N169" s="65">
        <f t="shared" si="245"/>
        <v>1547.5487767438592</v>
      </c>
      <c r="O169" s="65">
        <f t="shared" si="245"/>
        <v>1735.1683392771058</v>
      </c>
      <c r="P169" s="65">
        <f t="shared" si="245"/>
        <v>1298.7615941263648</v>
      </c>
      <c r="Q169" s="65">
        <f t="shared" si="245"/>
        <v>1514.4912572089386</v>
      </c>
      <c r="R169" s="65">
        <f t="shared" si="245"/>
        <v>1492.6916006412234</v>
      </c>
      <c r="S169" s="65">
        <f t="shared" si="245"/>
        <v>1457.231881462727</v>
      </c>
      <c r="T169" s="65">
        <f t="shared" si="245"/>
        <v>1434.5247347723637</v>
      </c>
      <c r="U169" s="65">
        <f t="shared" si="245"/>
        <v>1292.3350463589718</v>
      </c>
      <c r="V169" s="65">
        <f t="shared" si="245"/>
        <v>1279.6360688510892</v>
      </c>
      <c r="W169" s="65">
        <f t="shared" si="245"/>
        <v>1316.2285071308686</v>
      </c>
      <c r="X169" s="65">
        <f t="shared" ref="X169:Y169" si="246">IF(X115=0,0,X115/X$23)</f>
        <v>988.42473352232207</v>
      </c>
      <c r="Y169" s="65">
        <f t="shared" si="246"/>
        <v>921.14068990061492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1.5453987526074752E-2</v>
      </c>
      <c r="C170" s="65">
        <f t="shared" ref="C170:W170" si="248">IF(C116=0,0,C116/C$23)</f>
        <v>2.1015892632379574E-2</v>
      </c>
      <c r="D170" s="65">
        <f t="shared" si="248"/>
        <v>3.0459998970094545E-2</v>
      </c>
      <c r="E170" s="65">
        <f t="shared" si="248"/>
        <v>3.743267946403428E-2</v>
      </c>
      <c r="F170" s="65">
        <f t="shared" si="248"/>
        <v>5.1627946143947279E-2</v>
      </c>
      <c r="G170" s="65">
        <f t="shared" si="248"/>
        <v>7.0964460818254554E-2</v>
      </c>
      <c r="H170" s="65">
        <f t="shared" si="248"/>
        <v>9.7738331338174042E-2</v>
      </c>
      <c r="I170" s="65">
        <f t="shared" si="248"/>
        <v>0.11541815321767851</v>
      </c>
      <c r="J170" s="65">
        <f t="shared" si="248"/>
        <v>0.15253992892159124</v>
      </c>
      <c r="K170" s="65">
        <f t="shared" si="248"/>
        <v>0.18924680207078279</v>
      </c>
      <c r="L170" s="65">
        <f t="shared" si="248"/>
        <v>0.21553895807705942</v>
      </c>
      <c r="M170" s="65">
        <f t="shared" si="248"/>
        <v>0.2311551492867597</v>
      </c>
      <c r="N170" s="65">
        <f t="shared" si="248"/>
        <v>0.26146449069583039</v>
      </c>
      <c r="O170" s="65">
        <f t="shared" si="248"/>
        <v>0.31795853648967143</v>
      </c>
      <c r="P170" s="65">
        <f t="shared" si="248"/>
        <v>0.39282499717898195</v>
      </c>
      <c r="Q170" s="65">
        <f t="shared" si="248"/>
        <v>0.58803745246400529</v>
      </c>
      <c r="R170" s="65">
        <f t="shared" si="248"/>
        <v>0.66369837903935458</v>
      </c>
      <c r="S170" s="65">
        <f t="shared" si="248"/>
        <v>0.65560301114736874</v>
      </c>
      <c r="T170" s="65">
        <f t="shared" si="248"/>
        <v>0.83046667895891801</v>
      </c>
      <c r="U170" s="65">
        <f t="shared" si="248"/>
        <v>0.90124622741036498</v>
      </c>
      <c r="V170" s="65">
        <f t="shared" si="248"/>
        <v>1.0792794381497453</v>
      </c>
      <c r="W170" s="65">
        <f t="shared" si="248"/>
        <v>0.78790930525031377</v>
      </c>
      <c r="X170" s="65">
        <f t="shared" ref="X170:Y170" si="249">IF(X116=0,0,X116/X$23)</f>
        <v>0.93866743291896726</v>
      </c>
      <c r="Y170" s="65">
        <f t="shared" si="249"/>
        <v>0.85190621418537626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258.62974982347174</v>
      </c>
      <c r="C171" s="65">
        <f t="shared" ref="C171:W171" si="251">IF(C117=0,0,C117/C$23)</f>
        <v>254.72419383212085</v>
      </c>
      <c r="D171" s="65">
        <f t="shared" si="251"/>
        <v>252.52006613478827</v>
      </c>
      <c r="E171" s="65">
        <f t="shared" si="251"/>
        <v>251.74933653999904</v>
      </c>
      <c r="F171" s="65">
        <f t="shared" si="251"/>
        <v>246.79620385706036</v>
      </c>
      <c r="G171" s="65">
        <f t="shared" si="251"/>
        <v>237.09681700503108</v>
      </c>
      <c r="H171" s="65">
        <f t="shared" si="251"/>
        <v>233.43631454895828</v>
      </c>
      <c r="I171" s="65">
        <f t="shared" si="251"/>
        <v>228.85812941227235</v>
      </c>
      <c r="J171" s="65">
        <f t="shared" si="251"/>
        <v>219.89951195848522</v>
      </c>
      <c r="K171" s="65">
        <f t="shared" si="251"/>
        <v>216.17389805884591</v>
      </c>
      <c r="L171" s="65">
        <f t="shared" si="251"/>
        <v>212.60761080420363</v>
      </c>
      <c r="M171" s="65">
        <f t="shared" si="251"/>
        <v>211.58402897790623</v>
      </c>
      <c r="N171" s="65">
        <f t="shared" si="251"/>
        <v>212.0190874265551</v>
      </c>
      <c r="O171" s="65">
        <f t="shared" si="251"/>
        <v>211.14940649895289</v>
      </c>
      <c r="P171" s="65">
        <f t="shared" si="251"/>
        <v>206.6340659975468</v>
      </c>
      <c r="Q171" s="65">
        <f t="shared" si="251"/>
        <v>203.3417416759923</v>
      </c>
      <c r="R171" s="65">
        <f t="shared" si="251"/>
        <v>196.79131600973989</v>
      </c>
      <c r="S171" s="65">
        <f t="shared" si="251"/>
        <v>191.0495114395288</v>
      </c>
      <c r="T171" s="65">
        <f t="shared" si="251"/>
        <v>183.49564840114704</v>
      </c>
      <c r="U171" s="65">
        <f t="shared" si="251"/>
        <v>166.28146651589788</v>
      </c>
      <c r="V171" s="65">
        <f t="shared" si="251"/>
        <v>158.2129535515914</v>
      </c>
      <c r="W171" s="65">
        <f t="shared" si="251"/>
        <v>165.80731826633547</v>
      </c>
      <c r="X171" s="65">
        <f t="shared" ref="X171:Y171" si="252">IF(X117=0,0,X117/X$23)</f>
        <v>149.59193363687541</v>
      </c>
      <c r="Y171" s="65">
        <f t="shared" si="252"/>
        <v>139.59711453327824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166.04371166947553</v>
      </c>
      <c r="C172" s="67">
        <f t="shared" ref="C172:W172" si="254">IF(C118=0,0,C118/C$23)</f>
        <v>163.2266700247103</v>
      </c>
      <c r="D172" s="67">
        <f t="shared" si="254"/>
        <v>149.37815062309741</v>
      </c>
      <c r="E172" s="67">
        <f t="shared" si="254"/>
        <v>138.64130716702857</v>
      </c>
      <c r="F172" s="67">
        <f t="shared" si="254"/>
        <v>138.49773524451831</v>
      </c>
      <c r="G172" s="67">
        <f t="shared" si="254"/>
        <v>113.50964978346533</v>
      </c>
      <c r="H172" s="67">
        <f t="shared" si="254"/>
        <v>111.49165304404481</v>
      </c>
      <c r="I172" s="67">
        <f t="shared" si="254"/>
        <v>109.6285647345273</v>
      </c>
      <c r="J172" s="67">
        <f t="shared" si="254"/>
        <v>110.22544584291387</v>
      </c>
      <c r="K172" s="67">
        <f t="shared" si="254"/>
        <v>109.0746110661498</v>
      </c>
      <c r="L172" s="67">
        <f t="shared" si="254"/>
        <v>109.89379768602655</v>
      </c>
      <c r="M172" s="67">
        <f t="shared" si="254"/>
        <v>107.04172859279228</v>
      </c>
      <c r="N172" s="67">
        <f t="shared" si="254"/>
        <v>109.16511636362516</v>
      </c>
      <c r="O172" s="67">
        <f t="shared" si="254"/>
        <v>111.70782986917217</v>
      </c>
      <c r="P172" s="67">
        <f t="shared" si="254"/>
        <v>108.23747394042155</v>
      </c>
      <c r="Q172" s="67">
        <f t="shared" si="254"/>
        <v>112.24419547115551</v>
      </c>
      <c r="R172" s="67">
        <f t="shared" si="254"/>
        <v>108.35608084189704</v>
      </c>
      <c r="S172" s="67">
        <f t="shared" si="254"/>
        <v>107.53467816638916</v>
      </c>
      <c r="T172" s="67">
        <f t="shared" si="254"/>
        <v>105.72052339089497</v>
      </c>
      <c r="U172" s="67">
        <f t="shared" si="254"/>
        <v>104.46018946325485</v>
      </c>
      <c r="V172" s="67">
        <f t="shared" si="254"/>
        <v>101.47332916530007</v>
      </c>
      <c r="W172" s="67">
        <f t="shared" si="254"/>
        <v>94.464477535489166</v>
      </c>
      <c r="X172" s="67">
        <f t="shared" ref="X172:Y172" si="255">IF(X118=0,0,X118/X$23)</f>
        <v>96.140066704337485</v>
      </c>
      <c r="Y172" s="67">
        <f t="shared" si="255"/>
        <v>89.713379232228419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194582.59589548147</v>
      </c>
      <c r="C3" s="124">
        <f t="shared" si="0"/>
        <v>196895.60952225293</v>
      </c>
      <c r="D3" s="124">
        <f t="shared" si="0"/>
        <v>206274.6961578638</v>
      </c>
      <c r="E3" s="124">
        <f t="shared" si="0"/>
        <v>208589.11927743076</v>
      </c>
      <c r="F3" s="124">
        <f t="shared" si="0"/>
        <v>213772.81102575353</v>
      </c>
      <c r="G3" s="124">
        <f t="shared" si="0"/>
        <v>217552.12672372436</v>
      </c>
      <c r="H3" s="124">
        <f t="shared" si="0"/>
        <v>222310.24443650406</v>
      </c>
      <c r="I3" s="124">
        <f t="shared" si="0"/>
        <v>227678.79182934933</v>
      </c>
      <c r="J3" s="124">
        <f t="shared" si="0"/>
        <v>231130.56444996869</v>
      </c>
      <c r="K3" s="124">
        <f t="shared" si="0"/>
        <v>229691.75085205151</v>
      </c>
      <c r="L3" s="124">
        <f t="shared" si="0"/>
        <v>234449.35684602655</v>
      </c>
      <c r="M3" s="124">
        <f t="shared" si="0"/>
        <v>238177.76641556036</v>
      </c>
      <c r="N3" s="124">
        <f t="shared" si="0"/>
        <v>239999.10081174265</v>
      </c>
      <c r="O3" s="124">
        <f t="shared" si="0"/>
        <v>241332.70538926564</v>
      </c>
      <c r="P3" s="124">
        <f t="shared" si="0"/>
        <v>242989.94212203036</v>
      </c>
      <c r="Q3" s="124">
        <f t="shared" si="0"/>
        <v>243803.30906396575</v>
      </c>
      <c r="R3" s="124">
        <f t="shared" si="0"/>
        <v>245855.4697794634</v>
      </c>
      <c r="S3" s="124">
        <f t="shared" si="0"/>
        <v>247697.41363382502</v>
      </c>
      <c r="T3" s="124">
        <f t="shared" si="0"/>
        <v>250025.14397531684</v>
      </c>
      <c r="U3" s="124">
        <f t="shared" si="0"/>
        <v>252303.49973375021</v>
      </c>
      <c r="V3" s="124">
        <f t="shared" si="0"/>
        <v>254529.32555555535</v>
      </c>
      <c r="W3" s="124">
        <f t="shared" si="0"/>
        <v>256693.88488644559</v>
      </c>
      <c r="X3" s="124">
        <f t="shared" si="0"/>
        <v>258820.42039984127</v>
      </c>
      <c r="Y3" s="124">
        <f t="shared" si="0"/>
        <v>260919.23266675751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194582.59589548147</v>
      </c>
      <c r="C4" s="139">
        <f t="shared" si="1"/>
        <v>196895.60952225293</v>
      </c>
      <c r="D4" s="139">
        <f t="shared" si="1"/>
        <v>206274.6961578638</v>
      </c>
      <c r="E4" s="139">
        <f t="shared" si="1"/>
        <v>208589.11927743076</v>
      </c>
      <c r="F4" s="139">
        <f t="shared" si="1"/>
        <v>213772.81102575353</v>
      </c>
      <c r="G4" s="139">
        <f t="shared" si="1"/>
        <v>217552.12672372436</v>
      </c>
      <c r="H4" s="139">
        <f t="shared" si="1"/>
        <v>222310.24443650406</v>
      </c>
      <c r="I4" s="139">
        <f t="shared" si="1"/>
        <v>227678.79182934933</v>
      </c>
      <c r="J4" s="139">
        <f t="shared" si="1"/>
        <v>231130.56444996869</v>
      </c>
      <c r="K4" s="139">
        <f t="shared" si="1"/>
        <v>229691.75085205151</v>
      </c>
      <c r="L4" s="139">
        <f t="shared" si="1"/>
        <v>234449.35684602655</v>
      </c>
      <c r="M4" s="139">
        <f t="shared" si="1"/>
        <v>238177.76641556036</v>
      </c>
      <c r="N4" s="139">
        <f t="shared" si="1"/>
        <v>239999.10081174265</v>
      </c>
      <c r="O4" s="139">
        <f t="shared" si="1"/>
        <v>241332.70538926564</v>
      </c>
      <c r="P4" s="139">
        <f t="shared" si="1"/>
        <v>242989.94212203036</v>
      </c>
      <c r="Q4" s="139">
        <f t="shared" si="1"/>
        <v>243803.30906396575</v>
      </c>
      <c r="R4" s="139">
        <f t="shared" ref="R4:W4" si="2">SUM(R5:R14)</f>
        <v>245855.4697794634</v>
      </c>
      <c r="S4" s="139">
        <f t="shared" si="2"/>
        <v>247697.41363382502</v>
      </c>
      <c r="T4" s="139">
        <f t="shared" si="2"/>
        <v>250025.14397531684</v>
      </c>
      <c r="U4" s="139">
        <f t="shared" si="2"/>
        <v>252303.49973375021</v>
      </c>
      <c r="V4" s="139">
        <f t="shared" si="2"/>
        <v>254529.32555555535</v>
      </c>
      <c r="W4" s="139">
        <f t="shared" si="2"/>
        <v>256693.88488644559</v>
      </c>
      <c r="X4" s="139">
        <f t="shared" ref="X4:Y4" si="3">SUM(X5:X14)</f>
        <v>258820.42039984127</v>
      </c>
      <c r="Y4" s="139">
        <f t="shared" si="3"/>
        <v>260919.23266675751</v>
      </c>
      <c r="DA4" s="169" t="s">
        <v>246</v>
      </c>
    </row>
    <row r="5" spans="1:105" ht="12" customHeight="1" x14ac:dyDescent="0.25">
      <c r="A5" s="131" t="s">
        <v>29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54553.515123075173</v>
      </c>
      <c r="C7" s="140">
        <v>60964.071162259876</v>
      </c>
      <c r="D7" s="140">
        <v>66272.332934629652</v>
      </c>
      <c r="E7" s="140">
        <v>68100.133920107415</v>
      </c>
      <c r="F7" s="140">
        <v>68563.226021421229</v>
      </c>
      <c r="G7" s="140">
        <v>67325.465111020938</v>
      </c>
      <c r="H7" s="140">
        <v>65213.321825640618</v>
      </c>
      <c r="I7" s="140">
        <v>62584.889825611928</v>
      </c>
      <c r="J7" s="140">
        <v>62116.330887759301</v>
      </c>
      <c r="K7" s="140">
        <v>59240.429807343739</v>
      </c>
      <c r="L7" s="140">
        <v>59476.768614381166</v>
      </c>
      <c r="M7" s="140">
        <v>59627.359150449083</v>
      </c>
      <c r="N7" s="140">
        <v>59458.85796909764</v>
      </c>
      <c r="O7" s="140">
        <v>60096.764032229519</v>
      </c>
      <c r="P7" s="140">
        <v>60264.210559703657</v>
      </c>
      <c r="Q7" s="140">
        <v>61005.193762644107</v>
      </c>
      <c r="R7" s="140">
        <v>59469.380967130921</v>
      </c>
      <c r="S7" s="140">
        <v>57842.291465324975</v>
      </c>
      <c r="T7" s="140">
        <v>55444.35735186447</v>
      </c>
      <c r="U7" s="140">
        <v>50930.988311113033</v>
      </c>
      <c r="V7" s="140">
        <v>48285.929972403945</v>
      </c>
      <c r="W7" s="140">
        <v>44838.370181781516</v>
      </c>
      <c r="X7" s="140">
        <v>41110.412482571177</v>
      </c>
      <c r="Y7" s="140">
        <v>39987.802235904324</v>
      </c>
      <c r="DA7" s="170" t="s">
        <v>249</v>
      </c>
    </row>
    <row r="8" spans="1:105" ht="12" customHeight="1" x14ac:dyDescent="0.25">
      <c r="A8" s="131" t="s">
        <v>73</v>
      </c>
      <c r="B8" s="140">
        <v>3.5291470963178244</v>
      </c>
      <c r="C8" s="140">
        <v>3.843418474712414</v>
      </c>
      <c r="D8" s="140">
        <v>4.2042611707780502</v>
      </c>
      <c r="E8" s="140">
        <v>4.3796619053870298</v>
      </c>
      <c r="F8" s="140">
        <v>4.4873196041180687</v>
      </c>
      <c r="G8" s="140">
        <v>4.7893534116842549</v>
      </c>
      <c r="H8" s="140">
        <v>5.3549901060444967</v>
      </c>
      <c r="I8" s="140">
        <v>5.9831846737432421</v>
      </c>
      <c r="J8" s="140">
        <v>6.6539847570560786</v>
      </c>
      <c r="K8" s="140">
        <v>7.526616268125375</v>
      </c>
      <c r="L8" s="140">
        <v>8.5452332525096359</v>
      </c>
      <c r="M8" s="140">
        <v>9.9989068740916665</v>
      </c>
      <c r="N8" s="140">
        <v>11.689167595757025</v>
      </c>
      <c r="O8" s="140">
        <v>13.400519321829327</v>
      </c>
      <c r="P8" s="140">
        <v>14.883871877106136</v>
      </c>
      <c r="Q8" s="140">
        <v>16.026436556945477</v>
      </c>
      <c r="R8" s="140">
        <v>16.992240402163088</v>
      </c>
      <c r="S8" s="140">
        <v>17.778950481887833</v>
      </c>
      <c r="T8" s="140">
        <v>18.916990060186453</v>
      </c>
      <c r="U8" s="140">
        <v>20.693015231280924</v>
      </c>
      <c r="V8" s="140">
        <v>24.946841929116697</v>
      </c>
      <c r="W8" s="140">
        <v>32.877025240608624</v>
      </c>
      <c r="X8" s="140">
        <v>46.574604811663662</v>
      </c>
      <c r="Y8" s="140">
        <v>59.418712386760049</v>
      </c>
      <c r="DA8" s="170" t="s">
        <v>250</v>
      </c>
    </row>
    <row r="9" spans="1:105" ht="12" customHeight="1" x14ac:dyDescent="0.25">
      <c r="A9" s="131" t="s">
        <v>78</v>
      </c>
      <c r="B9" s="140">
        <v>108520.03550093039</v>
      </c>
      <c r="C9" s="140">
        <v>105794.32724396707</v>
      </c>
      <c r="D9" s="140">
        <v>111270.77536158722</v>
      </c>
      <c r="E9" s="140">
        <v>109838.52161858694</v>
      </c>
      <c r="F9" s="140">
        <v>95943.965949265665</v>
      </c>
      <c r="G9" s="140">
        <v>88345.433808040209</v>
      </c>
      <c r="H9" s="140">
        <v>88512.244910692243</v>
      </c>
      <c r="I9" s="140">
        <v>96117.488305991719</v>
      </c>
      <c r="J9" s="140">
        <v>103721.15049546422</v>
      </c>
      <c r="K9" s="140">
        <v>107164.08585852105</v>
      </c>
      <c r="L9" s="140">
        <v>115069.9549842741</v>
      </c>
      <c r="M9" s="140">
        <v>119891.78301725666</v>
      </c>
      <c r="N9" s="140">
        <v>124051.22614750026</v>
      </c>
      <c r="O9" s="140">
        <v>126418.28584956573</v>
      </c>
      <c r="P9" s="140">
        <v>128178.74847574018</v>
      </c>
      <c r="Q9" s="140">
        <v>130022.33044964322</v>
      </c>
      <c r="R9" s="140">
        <v>134569.25916057287</v>
      </c>
      <c r="S9" s="140">
        <v>137918.96002509783</v>
      </c>
      <c r="T9" s="140">
        <v>140668.56417445221</v>
      </c>
      <c r="U9" s="140">
        <v>144193.71190385069</v>
      </c>
      <c r="V9" s="140">
        <v>146278.93588378493</v>
      </c>
      <c r="W9" s="140">
        <v>148517.91990025344</v>
      </c>
      <c r="X9" s="140">
        <v>150691.75038073515</v>
      </c>
      <c r="Y9" s="140">
        <v>150952.2954954677</v>
      </c>
      <c r="DA9" s="170" t="s">
        <v>251</v>
      </c>
    </row>
    <row r="10" spans="1:105" ht="12" customHeight="1" x14ac:dyDescent="0.25">
      <c r="A10" s="131" t="s">
        <v>128</v>
      </c>
      <c r="B10" s="140">
        <v>1.2992805706682173</v>
      </c>
      <c r="C10" s="140">
        <v>1.3817832337788081</v>
      </c>
      <c r="D10" s="140">
        <v>22.695770725431156</v>
      </c>
      <c r="E10" s="140">
        <v>71.446731812355551</v>
      </c>
      <c r="F10" s="140">
        <v>170.98810501741212</v>
      </c>
      <c r="G10" s="140">
        <v>246.85113191920308</v>
      </c>
      <c r="H10" s="140">
        <v>272.67925157398389</v>
      </c>
      <c r="I10" s="140">
        <v>246.03877677984246</v>
      </c>
      <c r="J10" s="140">
        <v>179.23666548897867</v>
      </c>
      <c r="K10" s="140">
        <v>193.65965040138516</v>
      </c>
      <c r="L10" s="140">
        <v>379.55392568210362</v>
      </c>
      <c r="M10" s="140">
        <v>748.89673742578282</v>
      </c>
      <c r="N10" s="140">
        <v>1478.6995787374831</v>
      </c>
      <c r="O10" s="140">
        <v>2431.255914838393</v>
      </c>
      <c r="P10" s="140">
        <v>3463.1181432770454</v>
      </c>
      <c r="Q10" s="140">
        <v>3982.1571674253555</v>
      </c>
      <c r="R10" s="140">
        <v>4197.9794785776285</v>
      </c>
      <c r="S10" s="140">
        <v>4218.5279012472838</v>
      </c>
      <c r="T10" s="140">
        <v>4270.0280882492052</v>
      </c>
      <c r="U10" s="140">
        <v>4363.5467708950891</v>
      </c>
      <c r="V10" s="140">
        <v>4389.7323242191387</v>
      </c>
      <c r="W10" s="140">
        <v>4522.5674894405884</v>
      </c>
      <c r="X10" s="140">
        <v>4684.6050072888365</v>
      </c>
      <c r="Y10" s="140">
        <v>4730.3634491234252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253</v>
      </c>
    </row>
    <row r="12" spans="1:105" ht="12" customHeight="1" x14ac:dyDescent="0.25">
      <c r="A12" s="131" t="s">
        <v>162</v>
      </c>
      <c r="B12" s="140">
        <v>5580.6675537199417</v>
      </c>
      <c r="C12" s="140">
        <v>5505.6298089954189</v>
      </c>
      <c r="D12" s="140">
        <v>5372.6342581470508</v>
      </c>
      <c r="E12" s="140">
        <v>5098.7965855089651</v>
      </c>
      <c r="F12" s="140">
        <v>4916.2500125201568</v>
      </c>
      <c r="G12" s="140">
        <v>5110.531965837974</v>
      </c>
      <c r="H12" s="140">
        <v>5427.5975221671279</v>
      </c>
      <c r="I12" s="140">
        <v>5394.5637317537148</v>
      </c>
      <c r="J12" s="140">
        <v>4362.2427173224623</v>
      </c>
      <c r="K12" s="140">
        <v>4071.5736581832916</v>
      </c>
      <c r="L12" s="140">
        <v>4265.0179293841948</v>
      </c>
      <c r="M12" s="140">
        <v>4572.2640774336942</v>
      </c>
      <c r="N12" s="140">
        <v>4817.88653450723</v>
      </c>
      <c r="O12" s="140">
        <v>5150.1618626619775</v>
      </c>
      <c r="P12" s="140">
        <v>6113.0037736947525</v>
      </c>
      <c r="Q12" s="140">
        <v>6416.7630608149957</v>
      </c>
      <c r="R12" s="140">
        <v>6329.2441215125864</v>
      </c>
      <c r="S12" s="140">
        <v>6015.3773552493167</v>
      </c>
      <c r="T12" s="140">
        <v>6181.1427662898104</v>
      </c>
      <c r="U12" s="140">
        <v>6607.7745672635219</v>
      </c>
      <c r="V12" s="140">
        <v>7430.9248173101187</v>
      </c>
      <c r="W12" s="140">
        <v>8255.3824765757854</v>
      </c>
      <c r="X12" s="140">
        <v>9375.369136613479</v>
      </c>
      <c r="Y12" s="140">
        <v>10724.89121226582</v>
      </c>
      <c r="DA12" s="170" t="s">
        <v>254</v>
      </c>
    </row>
    <row r="13" spans="1:105" ht="12" customHeight="1" x14ac:dyDescent="0.25">
      <c r="A13" s="131" t="s">
        <v>77</v>
      </c>
      <c r="B13" s="140">
        <v>7.7104075660905211</v>
      </c>
      <c r="C13" s="140">
        <v>9.3821595888756306</v>
      </c>
      <c r="D13" s="140">
        <v>10.632569785216324</v>
      </c>
      <c r="E13" s="140">
        <v>12.623667872700427</v>
      </c>
      <c r="F13" s="140">
        <v>33.157802227667062</v>
      </c>
      <c r="G13" s="140">
        <v>85.85241431456619</v>
      </c>
      <c r="H13" s="140">
        <v>189.42372261066714</v>
      </c>
      <c r="I13" s="140">
        <v>294.83835607911027</v>
      </c>
      <c r="J13" s="140">
        <v>377.15167312425632</v>
      </c>
      <c r="K13" s="140">
        <v>454.27185136652156</v>
      </c>
      <c r="L13" s="140">
        <v>517.54017845532144</v>
      </c>
      <c r="M13" s="140">
        <v>607.34926239245806</v>
      </c>
      <c r="N13" s="140">
        <v>674.74235703739578</v>
      </c>
      <c r="O13" s="140">
        <v>723.80784663691043</v>
      </c>
      <c r="P13" s="140">
        <v>755.63787081979706</v>
      </c>
      <c r="Q13" s="140">
        <v>734.50961749018563</v>
      </c>
      <c r="R13" s="140">
        <v>825.86146136312152</v>
      </c>
      <c r="S13" s="140">
        <v>1097.6926044980337</v>
      </c>
      <c r="T13" s="140">
        <v>1729.3386195751755</v>
      </c>
      <c r="U13" s="140">
        <v>2603.8219214008864</v>
      </c>
      <c r="V13" s="140">
        <v>3691.4964855325711</v>
      </c>
      <c r="W13" s="140">
        <v>5185.1875791264783</v>
      </c>
      <c r="X13" s="140">
        <v>6809.962354589501</v>
      </c>
      <c r="Y13" s="140">
        <v>8002.2197815872487</v>
      </c>
      <c r="DA13" s="170" t="s">
        <v>255</v>
      </c>
    </row>
    <row r="14" spans="1:105" ht="12" customHeight="1" x14ac:dyDescent="0.25">
      <c r="A14" s="60" t="s">
        <v>76</v>
      </c>
      <c r="B14" s="141">
        <v>25915.838882522847</v>
      </c>
      <c r="C14" s="141">
        <v>24616.973945733189</v>
      </c>
      <c r="D14" s="141">
        <v>23321.421001818457</v>
      </c>
      <c r="E14" s="141">
        <v>25463.217091636972</v>
      </c>
      <c r="F14" s="141">
        <v>44140.735815697299</v>
      </c>
      <c r="G14" s="141">
        <v>56433.202939179799</v>
      </c>
      <c r="H14" s="141">
        <v>62689.622213713366</v>
      </c>
      <c r="I14" s="141">
        <v>63034.989648459305</v>
      </c>
      <c r="J14" s="141">
        <v>60367.798026052427</v>
      </c>
      <c r="K14" s="141">
        <v>58560.203409967398</v>
      </c>
      <c r="L14" s="141">
        <v>54731.975980597184</v>
      </c>
      <c r="M14" s="141">
        <v>52720.115263728534</v>
      </c>
      <c r="N14" s="141">
        <v>49505.999057266868</v>
      </c>
      <c r="O14" s="141">
        <v>46499.029364011243</v>
      </c>
      <c r="P14" s="141">
        <v>44200.339426917824</v>
      </c>
      <c r="Q14" s="141">
        <v>41626.328569390913</v>
      </c>
      <c r="R14" s="141">
        <v>40446.752349904127</v>
      </c>
      <c r="S14" s="141">
        <v>40586.785331925697</v>
      </c>
      <c r="T14" s="141">
        <v>41712.795984825774</v>
      </c>
      <c r="U14" s="141">
        <v>43582.963243995669</v>
      </c>
      <c r="V14" s="141">
        <v>44427.359230375514</v>
      </c>
      <c r="W14" s="141">
        <v>45341.580234027162</v>
      </c>
      <c r="X14" s="141">
        <v>46101.746433231463</v>
      </c>
      <c r="Y14" s="141">
        <v>46462.241780022225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168659.0466053925</v>
      </c>
      <c r="C15" s="143">
        <f t="shared" si="4"/>
        <v>172269.25341693085</v>
      </c>
      <c r="D15" s="143">
        <f t="shared" si="4"/>
        <v>182942.6425862601</v>
      </c>
      <c r="E15" s="143">
        <f t="shared" si="4"/>
        <v>183113.27851792108</v>
      </c>
      <c r="F15" s="143">
        <f t="shared" si="4"/>
        <v>169598.91740782856</v>
      </c>
      <c r="G15" s="143">
        <f t="shared" si="4"/>
        <v>161033.07137023</v>
      </c>
      <c r="H15" s="143">
        <f t="shared" si="4"/>
        <v>159431.19850018003</v>
      </c>
      <c r="I15" s="143">
        <f t="shared" si="4"/>
        <v>164348.96382481093</v>
      </c>
      <c r="J15" s="143">
        <f t="shared" si="4"/>
        <v>170385.61475079201</v>
      </c>
      <c r="K15" s="143">
        <f t="shared" si="4"/>
        <v>170677.27559071759</v>
      </c>
      <c r="L15" s="143">
        <f t="shared" si="4"/>
        <v>179199.84068697406</v>
      </c>
      <c r="M15" s="143">
        <f t="shared" si="4"/>
        <v>184850.30188943935</v>
      </c>
      <c r="N15" s="143">
        <f t="shared" si="4"/>
        <v>189818.35939743838</v>
      </c>
      <c r="O15" s="143">
        <f t="shared" si="4"/>
        <v>194109.86817861747</v>
      </c>
      <c r="P15" s="143">
        <f t="shared" si="4"/>
        <v>198033.96482429272</v>
      </c>
      <c r="Q15" s="143">
        <f t="shared" si="4"/>
        <v>201442.47087708462</v>
      </c>
      <c r="R15" s="143">
        <f t="shared" ref="R15:W15" si="5">SUM(R5:R12)</f>
        <v>204582.85596819615</v>
      </c>
      <c r="S15" s="143">
        <f t="shared" si="5"/>
        <v>206012.93569740129</v>
      </c>
      <c r="T15" s="143">
        <f t="shared" si="5"/>
        <v>206583.00937091588</v>
      </c>
      <c r="U15" s="143">
        <f t="shared" si="5"/>
        <v>206116.71456835364</v>
      </c>
      <c r="V15" s="143">
        <f t="shared" si="5"/>
        <v>206410.46983964724</v>
      </c>
      <c r="W15" s="143">
        <f t="shared" si="5"/>
        <v>206167.11707329194</v>
      </c>
      <c r="X15" s="143">
        <f t="shared" ref="X15:Y15" si="6">SUM(X5:X12)</f>
        <v>205908.7116120203</v>
      </c>
      <c r="Y15" s="143">
        <f t="shared" si="6"/>
        <v>206454.77110514804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11269.963269372285</v>
      </c>
      <c r="C16" s="139">
        <f t="shared" si="7"/>
        <v>14756.408956794796</v>
      </c>
      <c r="D16" s="139">
        <f t="shared" si="7"/>
        <v>20547.596084402125</v>
      </c>
      <c r="E16" s="139">
        <f t="shared" si="7"/>
        <v>24798.128759340249</v>
      </c>
      <c r="F16" s="139">
        <f t="shared" si="7"/>
        <v>30622.690655452236</v>
      </c>
      <c r="G16" s="139">
        <f t="shared" si="7"/>
        <v>37421.29092226793</v>
      </c>
      <c r="H16" s="139">
        <f t="shared" si="7"/>
        <v>45076.326648783594</v>
      </c>
      <c r="I16" s="139">
        <f t="shared" si="7"/>
        <v>54758.365341320954</v>
      </c>
      <c r="J16" s="139">
        <f t="shared" si="7"/>
        <v>62461.612175679802</v>
      </c>
      <c r="K16" s="139">
        <f t="shared" si="7"/>
        <v>70207.172054066119</v>
      </c>
      <c r="L16" s="139">
        <f t="shared" si="7"/>
        <v>78936.989791931905</v>
      </c>
      <c r="M16" s="139">
        <f t="shared" si="7"/>
        <v>86378.226787316293</v>
      </c>
      <c r="N16" s="139">
        <f t="shared" si="7"/>
        <v>91728.869329033419</v>
      </c>
      <c r="O16" s="139">
        <f t="shared" si="7"/>
        <v>97872.568282312539</v>
      </c>
      <c r="P16" s="139">
        <f t="shared" si="7"/>
        <v>102679.07808020727</v>
      </c>
      <c r="Q16" s="139">
        <f t="shared" si="7"/>
        <v>105987.93254061816</v>
      </c>
      <c r="R16" s="139">
        <f t="shared" ref="R16:W16" si="8">SUM(R17:R18)</f>
        <v>110619.14771999541</v>
      </c>
      <c r="S16" s="139">
        <f t="shared" si="8"/>
        <v>112374.78796093448</v>
      </c>
      <c r="T16" s="139">
        <f t="shared" si="8"/>
        <v>113652.10776394642</v>
      </c>
      <c r="U16" s="139">
        <f t="shared" si="8"/>
        <v>115086.27528998489</v>
      </c>
      <c r="V16" s="139">
        <f t="shared" si="8"/>
        <v>117720.15120948511</v>
      </c>
      <c r="W16" s="139">
        <f t="shared" si="8"/>
        <v>119080.08033298039</v>
      </c>
      <c r="X16" s="139">
        <f t="shared" ref="X16:Y16" si="9">SUM(X17:X18)</f>
        <v>121486.3199901116</v>
      </c>
      <c r="Y16" s="139">
        <f t="shared" si="9"/>
        <v>121965.2170296574</v>
      </c>
      <c r="DA16" s="169" t="s">
        <v>257</v>
      </c>
    </row>
    <row r="17" spans="1:105" ht="12.95" customHeight="1" x14ac:dyDescent="0.25">
      <c r="A17" s="131" t="s">
        <v>73</v>
      </c>
      <c r="B17" s="140">
        <v>10.004868598195191</v>
      </c>
      <c r="C17" s="140">
        <v>13.859949330864175</v>
      </c>
      <c r="D17" s="140">
        <v>21.023729969050372</v>
      </c>
      <c r="E17" s="140">
        <v>20.494656578250776</v>
      </c>
      <c r="F17" s="140">
        <v>38.468943273058066</v>
      </c>
      <c r="G17" s="140">
        <v>53.840902516071608</v>
      </c>
      <c r="H17" s="140">
        <v>60.474055814742535</v>
      </c>
      <c r="I17" s="140">
        <v>95.051376001194441</v>
      </c>
      <c r="J17" s="140">
        <v>128.69494096069815</v>
      </c>
      <c r="K17" s="140">
        <v>160.84278272676104</v>
      </c>
      <c r="L17" s="140">
        <v>175.8778476010518</v>
      </c>
      <c r="M17" s="140">
        <v>206.18794806271796</v>
      </c>
      <c r="N17" s="140">
        <v>234.26397091232172</v>
      </c>
      <c r="O17" s="140">
        <v>285.91479221092931</v>
      </c>
      <c r="P17" s="140">
        <v>378.14365573294185</v>
      </c>
      <c r="Q17" s="140">
        <v>516.64456772673441</v>
      </c>
      <c r="R17" s="140">
        <v>617.08051964030915</v>
      </c>
      <c r="S17" s="140">
        <v>658.91640659737368</v>
      </c>
      <c r="T17" s="140">
        <v>750.16664679564235</v>
      </c>
      <c r="U17" s="140">
        <v>870.46428875346373</v>
      </c>
      <c r="V17" s="140">
        <v>932.8169434333978</v>
      </c>
      <c r="W17" s="140">
        <v>960.04917000371233</v>
      </c>
      <c r="X17" s="140">
        <v>980.79628810358258</v>
      </c>
      <c r="Y17" s="140">
        <v>994.00511471830544</v>
      </c>
      <c r="DA17" s="170" t="s">
        <v>258</v>
      </c>
    </row>
    <row r="18" spans="1:105" ht="12" customHeight="1" x14ac:dyDescent="0.25">
      <c r="A18" s="131" t="s">
        <v>72</v>
      </c>
      <c r="B18" s="140">
        <v>11259.95840077409</v>
      </c>
      <c r="C18" s="140">
        <v>14742.549007463931</v>
      </c>
      <c r="D18" s="140">
        <v>20526.572354433076</v>
      </c>
      <c r="E18" s="140">
        <v>24777.634102761996</v>
      </c>
      <c r="F18" s="140">
        <v>30584.221712179176</v>
      </c>
      <c r="G18" s="140">
        <v>37367.450019751857</v>
      </c>
      <c r="H18" s="140">
        <v>45015.852592968848</v>
      </c>
      <c r="I18" s="140">
        <v>54663.313965319758</v>
      </c>
      <c r="J18" s="140">
        <v>62332.917234719105</v>
      </c>
      <c r="K18" s="140">
        <v>70046.32927133936</v>
      </c>
      <c r="L18" s="140">
        <v>78761.111944330856</v>
      </c>
      <c r="M18" s="140">
        <v>86172.038839253568</v>
      </c>
      <c r="N18" s="140">
        <v>91494.605358121102</v>
      </c>
      <c r="O18" s="140">
        <v>97586.653490101613</v>
      </c>
      <c r="P18" s="140">
        <v>102300.93442447433</v>
      </c>
      <c r="Q18" s="140">
        <v>105471.28797289143</v>
      </c>
      <c r="R18" s="140">
        <v>110002.0672003551</v>
      </c>
      <c r="S18" s="140">
        <v>111715.87155433711</v>
      </c>
      <c r="T18" s="140">
        <v>112901.94111715078</v>
      </c>
      <c r="U18" s="140">
        <v>114215.81100123143</v>
      </c>
      <c r="V18" s="140">
        <v>116787.33426605171</v>
      </c>
      <c r="W18" s="140">
        <v>118120.03116297668</v>
      </c>
      <c r="X18" s="140">
        <v>120505.52370200802</v>
      </c>
      <c r="Y18" s="140">
        <v>120971.21191493909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194582.59589548141</v>
      </c>
      <c r="C19" s="139">
        <f t="shared" si="10"/>
        <v>196895.60952225293</v>
      </c>
      <c r="D19" s="139">
        <f t="shared" si="10"/>
        <v>206274.69615786386</v>
      </c>
      <c r="E19" s="139">
        <f t="shared" si="10"/>
        <v>208589.11927743076</v>
      </c>
      <c r="F19" s="139">
        <f t="shared" si="10"/>
        <v>213772.81102575356</v>
      </c>
      <c r="G19" s="139">
        <f t="shared" si="10"/>
        <v>217552.12672372442</v>
      </c>
      <c r="H19" s="139">
        <f t="shared" si="10"/>
        <v>222310.24443650417</v>
      </c>
      <c r="I19" s="139">
        <f t="shared" si="10"/>
        <v>227678.79182934939</v>
      </c>
      <c r="J19" s="139">
        <f t="shared" si="10"/>
        <v>231130.56444996866</v>
      </c>
      <c r="K19" s="139">
        <f t="shared" si="10"/>
        <v>229691.75085205151</v>
      </c>
      <c r="L19" s="139">
        <f t="shared" si="10"/>
        <v>234449.35684602655</v>
      </c>
      <c r="M19" s="139">
        <f t="shared" si="10"/>
        <v>238177.76641556021</v>
      </c>
      <c r="N19" s="139">
        <f t="shared" si="10"/>
        <v>239999.10081174254</v>
      </c>
      <c r="O19" s="139">
        <f t="shared" si="10"/>
        <v>241332.70538926561</v>
      </c>
      <c r="P19" s="139">
        <f t="shared" si="10"/>
        <v>242989.9421220303</v>
      </c>
      <c r="Q19" s="139">
        <f t="shared" si="10"/>
        <v>243803.30906396575</v>
      </c>
      <c r="R19" s="139">
        <f t="shared" ref="R19:W19" si="11">SUM(R20:R26)</f>
        <v>245855.46977946366</v>
      </c>
      <c r="S19" s="139">
        <f t="shared" si="11"/>
        <v>247697.41363382497</v>
      </c>
      <c r="T19" s="139">
        <f t="shared" si="11"/>
        <v>250025.14397531669</v>
      </c>
      <c r="U19" s="139">
        <f t="shared" si="11"/>
        <v>252303.49973374989</v>
      </c>
      <c r="V19" s="139">
        <f t="shared" si="11"/>
        <v>254529.32555555573</v>
      </c>
      <c r="W19" s="139">
        <f t="shared" si="11"/>
        <v>256693.88488644571</v>
      </c>
      <c r="X19" s="139">
        <f t="shared" ref="X19:Y19" si="12">SUM(X20:X26)</f>
        <v>258820.42039984104</v>
      </c>
      <c r="Y19" s="139">
        <f t="shared" si="12"/>
        <v>260919.23266675748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6474.8888824086453</v>
      </c>
      <c r="C21" s="140">
        <v>6458.1931737378854</v>
      </c>
      <c r="D21" s="140">
        <v>6304.6021773311732</v>
      </c>
      <c r="E21" s="140">
        <v>5859.2374520632256</v>
      </c>
      <c r="F21" s="140">
        <v>5172.8217910262629</v>
      </c>
      <c r="G21" s="140">
        <v>3772.6187204706553</v>
      </c>
      <c r="H21" s="140">
        <v>2900.5002727404649</v>
      </c>
      <c r="I21" s="140">
        <v>2218.0892632846776</v>
      </c>
      <c r="J21" s="140">
        <v>1819.5703189964197</v>
      </c>
      <c r="K21" s="140">
        <v>1554.914977022333</v>
      </c>
      <c r="L21" s="140">
        <v>1428.7293196081314</v>
      </c>
      <c r="M21" s="140">
        <v>1486.0487473801491</v>
      </c>
      <c r="N21" s="140">
        <v>1626.7732402432778</v>
      </c>
      <c r="O21" s="140">
        <v>1776.049978465423</v>
      </c>
      <c r="P21" s="140">
        <v>1891.9552513375536</v>
      </c>
      <c r="Q21" s="140">
        <v>2043.2274324132486</v>
      </c>
      <c r="R21" s="140">
        <v>2182.2933892320261</v>
      </c>
      <c r="S21" s="140">
        <v>2353.8771449314131</v>
      </c>
      <c r="T21" s="140">
        <v>2474.5358341480128</v>
      </c>
      <c r="U21" s="140">
        <v>2569.9265240831473</v>
      </c>
      <c r="V21" s="140">
        <v>2719.0708921862893</v>
      </c>
      <c r="W21" s="140">
        <v>3013.8044685100581</v>
      </c>
      <c r="X21" s="140">
        <v>3443.2685244623867</v>
      </c>
      <c r="Y21" s="140">
        <v>3755.2295097790229</v>
      </c>
      <c r="DA21" s="170" t="s">
        <v>262</v>
      </c>
    </row>
    <row r="22" spans="1:105" ht="12" customHeight="1" x14ac:dyDescent="0.25">
      <c r="A22" s="131" t="s">
        <v>161</v>
      </c>
      <c r="B22" s="140">
        <v>55846.441770895995</v>
      </c>
      <c r="C22" s="140">
        <v>54955.811266078716</v>
      </c>
      <c r="D22" s="140">
        <v>53612.324967970831</v>
      </c>
      <c r="E22" s="140">
        <v>52895.851925328359</v>
      </c>
      <c r="F22" s="140">
        <v>53207.332070631383</v>
      </c>
      <c r="G22" s="140">
        <v>53171.5762849456</v>
      </c>
      <c r="H22" s="140">
        <v>52586.940428236805</v>
      </c>
      <c r="I22" s="140">
        <v>51440.785612204367</v>
      </c>
      <c r="J22" s="140">
        <v>49817.946291093351</v>
      </c>
      <c r="K22" s="140">
        <v>48530.52581258586</v>
      </c>
      <c r="L22" s="140">
        <v>47555.82666145535</v>
      </c>
      <c r="M22" s="140">
        <v>46854.525803749006</v>
      </c>
      <c r="N22" s="140">
        <v>46100.502696028299</v>
      </c>
      <c r="O22" s="140">
        <v>45412.430533588413</v>
      </c>
      <c r="P22" s="140">
        <v>44868.164004896651</v>
      </c>
      <c r="Q22" s="140">
        <v>44320.828815751192</v>
      </c>
      <c r="R22" s="140">
        <v>43320.86657166417</v>
      </c>
      <c r="S22" s="140">
        <v>41699.719807412948</v>
      </c>
      <c r="T22" s="140">
        <v>39436.186744958308</v>
      </c>
      <c r="U22" s="140">
        <v>36537.014178223049</v>
      </c>
      <c r="V22" s="140">
        <v>35556.829460102184</v>
      </c>
      <c r="W22" s="140">
        <v>36150.872712266057</v>
      </c>
      <c r="X22" s="140">
        <v>38562.287726845745</v>
      </c>
      <c r="Y22" s="140">
        <v>40227.912789877722</v>
      </c>
      <c r="DA22" s="170" t="s">
        <v>263</v>
      </c>
    </row>
    <row r="23" spans="1:105" ht="12" customHeight="1" x14ac:dyDescent="0.25">
      <c r="A23" s="131" t="s">
        <v>149</v>
      </c>
      <c r="B23" s="140">
        <v>94744.089282089641</v>
      </c>
      <c r="C23" s="140">
        <v>95364.187972849308</v>
      </c>
      <c r="D23" s="140">
        <v>97810.546162230923</v>
      </c>
      <c r="E23" s="140">
        <v>98751.307669790345</v>
      </c>
      <c r="F23" s="140">
        <v>103520.51479965475</v>
      </c>
      <c r="G23" s="140">
        <v>106956.97526975615</v>
      </c>
      <c r="H23" s="140">
        <v>110499.82282042914</v>
      </c>
      <c r="I23" s="140">
        <v>114637.7287145861</v>
      </c>
      <c r="J23" s="140">
        <v>117145.92551502939</v>
      </c>
      <c r="K23" s="140">
        <v>116143.16084221509</v>
      </c>
      <c r="L23" s="140">
        <v>118760.79940075852</v>
      </c>
      <c r="M23" s="140">
        <v>121302.5115435114</v>
      </c>
      <c r="N23" s="140">
        <v>121812.4624384271</v>
      </c>
      <c r="O23" s="140">
        <v>121595.86237916641</v>
      </c>
      <c r="P23" s="140">
        <v>121217.3770397021</v>
      </c>
      <c r="Q23" s="140">
        <v>120211.66169457755</v>
      </c>
      <c r="R23" s="140">
        <v>120115.2906195813</v>
      </c>
      <c r="S23" s="140">
        <v>120816.01197414384</v>
      </c>
      <c r="T23" s="140">
        <v>123106.82927454101</v>
      </c>
      <c r="U23" s="140">
        <v>127433.37870108099</v>
      </c>
      <c r="V23" s="140">
        <v>129147.54569589207</v>
      </c>
      <c r="W23" s="140">
        <v>126445.84296099709</v>
      </c>
      <c r="X23" s="140">
        <v>115842.5351208761</v>
      </c>
      <c r="Y23" s="140">
        <v>105964.36807107255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4568.926833968093</v>
      </c>
      <c r="C25" s="140">
        <v>4505.7385423325113</v>
      </c>
      <c r="D25" s="140">
        <v>4426.2484695295952</v>
      </c>
      <c r="E25" s="140">
        <v>4402.3031819567805</v>
      </c>
      <c r="F25" s="140">
        <v>4491.5697974610703</v>
      </c>
      <c r="G25" s="140">
        <v>4551.5361704390689</v>
      </c>
      <c r="H25" s="140">
        <v>4566.1177800118094</v>
      </c>
      <c r="I25" s="140">
        <v>4527.3883967038018</v>
      </c>
      <c r="J25" s="140">
        <v>4560.0862816766703</v>
      </c>
      <c r="K25" s="140">
        <v>4654.4715268669452</v>
      </c>
      <c r="L25" s="140">
        <v>4892.9171928205933</v>
      </c>
      <c r="M25" s="140">
        <v>4949.5819633994688</v>
      </c>
      <c r="N25" s="140">
        <v>4884.6993548948021</v>
      </c>
      <c r="O25" s="140">
        <v>4778.8605220182653</v>
      </c>
      <c r="P25" s="140">
        <v>4665.6870540126101</v>
      </c>
      <c r="Q25" s="140">
        <v>4710.8395329500108</v>
      </c>
      <c r="R25" s="140">
        <v>4757.4211041098224</v>
      </c>
      <c r="S25" s="140">
        <v>4821.2906535326656</v>
      </c>
      <c r="T25" s="140">
        <v>4883.9898950876486</v>
      </c>
      <c r="U25" s="140">
        <v>4977.5041782025628</v>
      </c>
      <c r="V25" s="140">
        <v>5262.8018269925988</v>
      </c>
      <c r="W25" s="140">
        <v>5781.6085882088473</v>
      </c>
      <c r="X25" s="140">
        <v>6911.0520233500074</v>
      </c>
      <c r="Y25" s="140">
        <v>7758.9261135530169</v>
      </c>
      <c r="DA25" s="170" t="s">
        <v>266</v>
      </c>
    </row>
    <row r="26" spans="1:105" ht="12" customHeight="1" x14ac:dyDescent="0.25">
      <c r="A26" s="131" t="s">
        <v>24</v>
      </c>
      <c r="B26" s="141">
        <v>32948.249126119044</v>
      </c>
      <c r="C26" s="141">
        <v>35611.678567254508</v>
      </c>
      <c r="D26" s="141">
        <v>44120.974380801352</v>
      </c>
      <c r="E26" s="141">
        <v>46680.419048292038</v>
      </c>
      <c r="F26" s="141">
        <v>47380.572566980103</v>
      </c>
      <c r="G26" s="141">
        <v>49099.420278112957</v>
      </c>
      <c r="H26" s="141">
        <v>51756.863135085972</v>
      </c>
      <c r="I26" s="141">
        <v>54854.799842570414</v>
      </c>
      <c r="J26" s="141">
        <v>57787.036043172855</v>
      </c>
      <c r="K26" s="141">
        <v>58808.677693361264</v>
      </c>
      <c r="L26" s="141">
        <v>61811.084271383937</v>
      </c>
      <c r="M26" s="141">
        <v>63585.098357520197</v>
      </c>
      <c r="N26" s="141">
        <v>65574.66308214904</v>
      </c>
      <c r="O26" s="141">
        <v>67769.50197602711</v>
      </c>
      <c r="P26" s="141">
        <v>70346.758772081404</v>
      </c>
      <c r="Q26" s="141">
        <v>72516.751588273735</v>
      </c>
      <c r="R26" s="141">
        <v>75479.598094876346</v>
      </c>
      <c r="S26" s="141">
        <v>78006.514053804087</v>
      </c>
      <c r="T26" s="141">
        <v>80123.602226581716</v>
      </c>
      <c r="U26" s="141">
        <v>80785.676152160115</v>
      </c>
      <c r="V26" s="141">
        <v>81843.077680382587</v>
      </c>
      <c r="W26" s="141">
        <v>85301.756156463642</v>
      </c>
      <c r="X26" s="141">
        <v>94061.27700430683</v>
      </c>
      <c r="Y26" s="141">
        <v>103212.79618247515</v>
      </c>
      <c r="DA26" s="171" t="s">
        <v>267</v>
      </c>
    </row>
    <row r="27" spans="1:105" ht="12" customHeight="1" x14ac:dyDescent="0.25">
      <c r="A27" s="144" t="s">
        <v>26</v>
      </c>
      <c r="B27" s="150">
        <v>854.16480029705406</v>
      </c>
      <c r="C27" s="150">
        <v>254.51933135086756</v>
      </c>
      <c r="D27" s="150">
        <v>287.33445626014856</v>
      </c>
      <c r="E27" s="150">
        <v>425.07331067053468</v>
      </c>
      <c r="F27" s="150">
        <v>468.44161085315466</v>
      </c>
      <c r="G27" s="150">
        <v>479.96125222518202</v>
      </c>
      <c r="H27" s="150">
        <v>593.32883176245366</v>
      </c>
      <c r="I27" s="150">
        <v>893.65444655112606</v>
      </c>
      <c r="J27" s="150">
        <v>1126.3926245917046</v>
      </c>
      <c r="K27" s="150">
        <v>2327.1622933767376</v>
      </c>
      <c r="L27" s="150">
        <v>1206.4223922637982</v>
      </c>
      <c r="M27" s="150">
        <v>1241.073771621551</v>
      </c>
      <c r="N27" s="150">
        <v>1211.2248721551268</v>
      </c>
      <c r="O27" s="150">
        <v>1129.1420673391747</v>
      </c>
      <c r="P27" s="150">
        <v>1216.4621512778249</v>
      </c>
      <c r="Q27" s="150">
        <v>1365.1512921550661</v>
      </c>
      <c r="R27" s="150">
        <v>1869.7194105526148</v>
      </c>
      <c r="S27" s="150">
        <v>1981.1411380453544</v>
      </c>
      <c r="T27" s="150">
        <v>2065.2637775433177</v>
      </c>
      <c r="U27" s="150">
        <v>2107.5676349545215</v>
      </c>
      <c r="V27" s="150">
        <v>1951.3768328095782</v>
      </c>
      <c r="W27" s="150">
        <v>1614.2499277125155</v>
      </c>
      <c r="X27" s="150">
        <v>1990.5762296195228</v>
      </c>
      <c r="Y27" s="150">
        <v>1892.5101333364389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194582.59589548141</v>
      </c>
      <c r="C29" s="139">
        <f t="shared" si="13"/>
        <v>196895.60952225293</v>
      </c>
      <c r="D29" s="139">
        <f t="shared" si="13"/>
        <v>206274.69615786389</v>
      </c>
      <c r="E29" s="139">
        <f t="shared" si="13"/>
        <v>208589.11927743076</v>
      </c>
      <c r="F29" s="139">
        <f t="shared" si="13"/>
        <v>213772.81102575362</v>
      </c>
      <c r="G29" s="139">
        <f t="shared" si="13"/>
        <v>217552.12672372436</v>
      </c>
      <c r="H29" s="139">
        <f t="shared" si="13"/>
        <v>222310.24443650412</v>
      </c>
      <c r="I29" s="139">
        <f t="shared" si="13"/>
        <v>227678.79182934941</v>
      </c>
      <c r="J29" s="139">
        <f t="shared" si="13"/>
        <v>231130.56444996863</v>
      </c>
      <c r="K29" s="139">
        <f t="shared" si="13"/>
        <v>229691.75085205154</v>
      </c>
      <c r="L29" s="139">
        <f t="shared" si="13"/>
        <v>234449.3568460267</v>
      </c>
      <c r="M29" s="139">
        <f t="shared" si="13"/>
        <v>238177.76641556033</v>
      </c>
      <c r="N29" s="139">
        <f t="shared" si="13"/>
        <v>239999.1008117426</v>
      </c>
      <c r="O29" s="139">
        <f t="shared" si="13"/>
        <v>241332.70538926555</v>
      </c>
      <c r="P29" s="139">
        <f t="shared" si="13"/>
        <v>242989.94212203042</v>
      </c>
      <c r="Q29" s="139">
        <f t="shared" si="13"/>
        <v>243803.30906396583</v>
      </c>
      <c r="R29" s="139">
        <f t="shared" ref="R29:W29" si="14">SUM(R30:R33)</f>
        <v>245855.46977946351</v>
      </c>
      <c r="S29" s="139">
        <f t="shared" si="14"/>
        <v>247697.41363382479</v>
      </c>
      <c r="T29" s="139">
        <f t="shared" si="14"/>
        <v>250025.14397531681</v>
      </c>
      <c r="U29" s="139">
        <f t="shared" si="14"/>
        <v>252303.49973374992</v>
      </c>
      <c r="V29" s="139">
        <f t="shared" si="14"/>
        <v>254529.32555555546</v>
      </c>
      <c r="W29" s="139">
        <f t="shared" si="14"/>
        <v>256693.88488644589</v>
      </c>
      <c r="X29" s="139">
        <f t="shared" ref="X29:Y29" si="15">SUM(X30:X33)</f>
        <v>258820.42039984121</v>
      </c>
      <c r="Y29" s="139">
        <f t="shared" si="15"/>
        <v>260919.23266675745</v>
      </c>
      <c r="DA29" s="169" t="s">
        <v>269</v>
      </c>
    </row>
    <row r="30" spans="1:105" ht="12" customHeight="1" x14ac:dyDescent="0.25">
      <c r="A30" s="131" t="s">
        <v>52</v>
      </c>
      <c r="B30" s="140">
        <v>45022.932529674879</v>
      </c>
      <c r="C30" s="140">
        <v>41004.50778949559</v>
      </c>
      <c r="D30" s="140">
        <v>32852.68605580616</v>
      </c>
      <c r="E30" s="140">
        <v>25313.875561403023</v>
      </c>
      <c r="F30" s="140">
        <v>19366.386611064521</v>
      </c>
      <c r="G30" s="140">
        <v>10875.431472536875</v>
      </c>
      <c r="H30" s="140">
        <v>6976.1812966935086</v>
      </c>
      <c r="I30" s="140">
        <v>5009.5096528972454</v>
      </c>
      <c r="J30" s="140">
        <v>5605.1724092837894</v>
      </c>
      <c r="K30" s="140">
        <v>5972.1382035370661</v>
      </c>
      <c r="L30" s="140">
        <v>6349.611065991653</v>
      </c>
      <c r="M30" s="140">
        <v>5878.5393437766788</v>
      </c>
      <c r="N30" s="140">
        <v>5631.849476218491</v>
      </c>
      <c r="O30" s="140">
        <v>5680.2649393641386</v>
      </c>
      <c r="P30" s="140">
        <v>5657.3571468608798</v>
      </c>
      <c r="Q30" s="140">
        <v>6442.642385428383</v>
      </c>
      <c r="R30" s="140">
        <v>6345.1353956729372</v>
      </c>
      <c r="S30" s="140">
        <v>6745.964938882712</v>
      </c>
      <c r="T30" s="140">
        <v>7053.3615317975746</v>
      </c>
      <c r="U30" s="140">
        <v>7901.7396348312259</v>
      </c>
      <c r="V30" s="140">
        <v>8631.4492781377539</v>
      </c>
      <c r="W30" s="140">
        <v>8652.6879930789364</v>
      </c>
      <c r="X30" s="140">
        <v>7576.1845482446934</v>
      </c>
      <c r="Y30" s="140">
        <v>6875.3168283314872</v>
      </c>
      <c r="DA30" s="170" t="s">
        <v>270</v>
      </c>
    </row>
    <row r="31" spans="1:105" ht="12" customHeight="1" x14ac:dyDescent="0.25">
      <c r="A31" s="131" t="s">
        <v>149</v>
      </c>
      <c r="B31" s="140">
        <v>106072.72237494902</v>
      </c>
      <c r="C31" s="140">
        <v>106013.61620121766</v>
      </c>
      <c r="D31" s="140">
        <v>103144.17743506283</v>
      </c>
      <c r="E31" s="140">
        <v>101215.12084727125</v>
      </c>
      <c r="F31" s="140">
        <v>103415.06883854454</v>
      </c>
      <c r="G31" s="140">
        <v>103198.97276796339</v>
      </c>
      <c r="H31" s="140">
        <v>103308.18005945814</v>
      </c>
      <c r="I31" s="140">
        <v>101965.65123530592</v>
      </c>
      <c r="J31" s="140">
        <v>101177.49107052626</v>
      </c>
      <c r="K31" s="140">
        <v>100348.07553804954</v>
      </c>
      <c r="L31" s="140">
        <v>100335.88980891168</v>
      </c>
      <c r="M31" s="140">
        <v>100480.69369393162</v>
      </c>
      <c r="N31" s="140">
        <v>100007.22369144108</v>
      </c>
      <c r="O31" s="140">
        <v>98860.978056782071</v>
      </c>
      <c r="P31" s="140">
        <v>96370.937649625484</v>
      </c>
      <c r="Q31" s="140">
        <v>94300.390832371195</v>
      </c>
      <c r="R31" s="140">
        <v>92735.132530383184</v>
      </c>
      <c r="S31" s="140">
        <v>92218.404708201691</v>
      </c>
      <c r="T31" s="140">
        <v>92555.645348980543</v>
      </c>
      <c r="U31" s="140">
        <v>92885.533763206826</v>
      </c>
      <c r="V31" s="140">
        <v>92672.472514444351</v>
      </c>
      <c r="W31" s="140">
        <v>89787.646318214174</v>
      </c>
      <c r="X31" s="140">
        <v>88886.645722709014</v>
      </c>
      <c r="Y31" s="140">
        <v>87545.757343491467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258.56811500763087</v>
      </c>
      <c r="K32" s="140">
        <v>388.20504528320447</v>
      </c>
      <c r="L32" s="140">
        <v>543.96870917994363</v>
      </c>
      <c r="M32" s="140">
        <v>597.99499040728983</v>
      </c>
      <c r="N32" s="140">
        <v>614.52945766929372</v>
      </c>
      <c r="O32" s="140">
        <v>780.4309001087679</v>
      </c>
      <c r="P32" s="140">
        <v>992.31672506025222</v>
      </c>
      <c r="Q32" s="140">
        <v>1176.0219839438021</v>
      </c>
      <c r="R32" s="140">
        <v>1251.6424918311334</v>
      </c>
      <c r="S32" s="140">
        <v>1280.2124700760958</v>
      </c>
      <c r="T32" s="140">
        <v>1192.3891159853022</v>
      </c>
      <c r="U32" s="140">
        <v>1046.1685471813012</v>
      </c>
      <c r="V32" s="140">
        <v>660.76782823810106</v>
      </c>
      <c r="W32" s="140">
        <v>517.48358144862539</v>
      </c>
      <c r="X32" s="140">
        <v>485.91017036924615</v>
      </c>
      <c r="Y32" s="140">
        <v>455.99478239432733</v>
      </c>
      <c r="DA32" s="170" t="s">
        <v>272</v>
      </c>
    </row>
    <row r="33" spans="1:105" ht="12" customHeight="1" x14ac:dyDescent="0.25">
      <c r="A33" s="62" t="s">
        <v>24</v>
      </c>
      <c r="B33" s="152">
        <v>43486.940990857518</v>
      </c>
      <c r="C33" s="152">
        <v>49877.485531539671</v>
      </c>
      <c r="D33" s="152">
        <v>70277.832666994887</v>
      </c>
      <c r="E33" s="152">
        <v>82060.122868756473</v>
      </c>
      <c r="F33" s="152">
        <v>90991.355576144546</v>
      </c>
      <c r="G33" s="152">
        <v>103477.7224832241</v>
      </c>
      <c r="H33" s="152">
        <v>112025.88308035246</v>
      </c>
      <c r="I33" s="152">
        <v>120703.63094114626</v>
      </c>
      <c r="J33" s="152">
        <v>124089.33285515096</v>
      </c>
      <c r="K33" s="152">
        <v>122983.33206518172</v>
      </c>
      <c r="L33" s="152">
        <v>127219.88726194341</v>
      </c>
      <c r="M33" s="152">
        <v>131220.53838744474</v>
      </c>
      <c r="N33" s="152">
        <v>133745.49818641372</v>
      </c>
      <c r="O33" s="152">
        <v>136011.03149301058</v>
      </c>
      <c r="P33" s="152">
        <v>139969.33060048378</v>
      </c>
      <c r="Q33" s="152">
        <v>141884.25386222245</v>
      </c>
      <c r="R33" s="152">
        <v>145523.55936157625</v>
      </c>
      <c r="S33" s="152">
        <v>147452.8315166643</v>
      </c>
      <c r="T33" s="152">
        <v>149223.74797855338</v>
      </c>
      <c r="U33" s="152">
        <v>150470.05778853057</v>
      </c>
      <c r="V33" s="152">
        <v>152564.63593473527</v>
      </c>
      <c r="W33" s="152">
        <v>157736.06699370415</v>
      </c>
      <c r="X33" s="152">
        <v>161871.67995851827</v>
      </c>
      <c r="Y33" s="152">
        <v>166042.16371254018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2834.1554701916489</v>
      </c>
      <c r="C3" s="125">
        <f t="shared" si="0"/>
        <v>2981.6660202194921</v>
      </c>
      <c r="D3" s="125">
        <f t="shared" si="0"/>
        <v>3079.5991162574305</v>
      </c>
      <c r="E3" s="125">
        <f t="shared" si="0"/>
        <v>3262.703918871422</v>
      </c>
      <c r="F3" s="125">
        <f t="shared" si="0"/>
        <v>3852.1588818819878</v>
      </c>
      <c r="G3" s="125">
        <f t="shared" si="0"/>
        <v>3832.489244824289</v>
      </c>
      <c r="H3" s="125">
        <f t="shared" si="0"/>
        <v>3655.4764080597874</v>
      </c>
      <c r="I3" s="125">
        <f t="shared" si="0"/>
        <v>3422.8483049464935</v>
      </c>
      <c r="J3" s="125">
        <f t="shared" si="0"/>
        <v>3833.4877272575691</v>
      </c>
      <c r="K3" s="125">
        <f t="shared" si="0"/>
        <v>3724.3978120476972</v>
      </c>
      <c r="L3" s="125">
        <f t="shared" si="0"/>
        <v>3977.8353759986112</v>
      </c>
      <c r="M3" s="125">
        <f t="shared" si="0"/>
        <v>3364.0081137873444</v>
      </c>
      <c r="N3" s="125">
        <f t="shared" si="0"/>
        <v>3573.8089493565581</v>
      </c>
      <c r="O3" s="125">
        <f t="shared" si="0"/>
        <v>3829.5156527393433</v>
      </c>
      <c r="P3" s="125">
        <f t="shared" si="0"/>
        <v>3152.1473658988571</v>
      </c>
      <c r="Q3" s="125">
        <f t="shared" si="0"/>
        <v>3512.3908594217428</v>
      </c>
      <c r="R3" s="125">
        <f t="shared" ref="R3:W3" si="1">SUM(R4,R16,R19,R29)</f>
        <v>3537.9326432394487</v>
      </c>
      <c r="S3" s="125">
        <f t="shared" si="1"/>
        <v>3516.0509805315673</v>
      </c>
      <c r="T3" s="125">
        <f t="shared" si="1"/>
        <v>3543.0256278345105</v>
      </c>
      <c r="U3" s="125">
        <f t="shared" si="1"/>
        <v>3378.5417198038585</v>
      </c>
      <c r="V3" s="125">
        <f t="shared" si="1"/>
        <v>3271.9823598210196</v>
      </c>
      <c r="W3" s="125">
        <f t="shared" si="1"/>
        <v>3470.0787780667492</v>
      </c>
      <c r="X3" s="125">
        <f t="shared" ref="X3:Y3" si="2">SUM(X4,X16,X19,X29)</f>
        <v>2945.7604272406111</v>
      </c>
      <c r="Y3" s="125">
        <f t="shared" si="2"/>
        <v>2794.3598905687841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2203.5920976188968</v>
      </c>
      <c r="C4" s="130">
        <f t="shared" si="3"/>
        <v>2336.1923275495142</v>
      </c>
      <c r="D4" s="130">
        <f t="shared" si="3"/>
        <v>2389.4957721872515</v>
      </c>
      <c r="E4" s="130">
        <f t="shared" si="3"/>
        <v>2546.6742581596291</v>
      </c>
      <c r="F4" s="130">
        <f t="shared" si="3"/>
        <v>3164.1736225893951</v>
      </c>
      <c r="G4" s="130">
        <f t="shared" si="3"/>
        <v>3138.2365013843641</v>
      </c>
      <c r="H4" s="130">
        <f t="shared" si="3"/>
        <v>2933.93220672793</v>
      </c>
      <c r="I4" s="130">
        <f t="shared" si="3"/>
        <v>2688.8886450383538</v>
      </c>
      <c r="J4" s="130">
        <f t="shared" si="3"/>
        <v>3085.2877904001398</v>
      </c>
      <c r="K4" s="130">
        <f t="shared" si="3"/>
        <v>2964.2165087961089</v>
      </c>
      <c r="L4" s="130">
        <f t="shared" si="3"/>
        <v>3197.168046969296</v>
      </c>
      <c r="M4" s="130">
        <f t="shared" si="3"/>
        <v>2570.0182240430804</v>
      </c>
      <c r="N4" s="130">
        <f t="shared" si="3"/>
        <v>2757.3973048745979</v>
      </c>
      <c r="O4" s="130">
        <f t="shared" si="3"/>
        <v>2999.7910772953664</v>
      </c>
      <c r="P4" s="130">
        <f t="shared" si="3"/>
        <v>2306.647606001005</v>
      </c>
      <c r="Q4" s="130">
        <f t="shared" si="3"/>
        <v>2649.0381785335417</v>
      </c>
      <c r="R4" s="130">
        <f t="shared" ref="R4:W4" si="4">SUM(R5:R15)</f>
        <v>2668.0002186375332</v>
      </c>
      <c r="S4" s="130">
        <f t="shared" si="4"/>
        <v>2647.3228780049003</v>
      </c>
      <c r="T4" s="130">
        <f t="shared" si="4"/>
        <v>2666.6696490940585</v>
      </c>
      <c r="U4" s="130">
        <f t="shared" si="4"/>
        <v>2540.0272409157465</v>
      </c>
      <c r="V4" s="130">
        <f t="shared" si="4"/>
        <v>2466.3480753536269</v>
      </c>
      <c r="W4" s="130">
        <f t="shared" si="4"/>
        <v>2650.6629979141103</v>
      </c>
      <c r="X4" s="130">
        <f t="shared" ref="X4:Y4" si="5">SUM(X5:X15)</f>
        <v>2110.9939096362718</v>
      </c>
      <c r="Y4" s="130">
        <f t="shared" si="5"/>
        <v>1960.404102258487</v>
      </c>
      <c r="DA4" s="155" t="s">
        <v>214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681.35788906334233</v>
      </c>
      <c r="C7" s="132">
        <v>705.35574825221488</v>
      </c>
      <c r="D7" s="132">
        <v>975.32518630714026</v>
      </c>
      <c r="E7" s="132">
        <v>1139.604583012271</v>
      </c>
      <c r="F7" s="132">
        <v>1127.9321841834294</v>
      </c>
      <c r="G7" s="132">
        <v>1131.0130769333841</v>
      </c>
      <c r="H7" s="132">
        <v>964.07350667118862</v>
      </c>
      <c r="I7" s="132">
        <v>800.15448338318708</v>
      </c>
      <c r="J7" s="132">
        <v>1010.2643609259617</v>
      </c>
      <c r="K7" s="132">
        <v>798.63179534636038</v>
      </c>
      <c r="L7" s="132">
        <v>904.24111203963525</v>
      </c>
      <c r="M7" s="132">
        <v>748.81461501478736</v>
      </c>
      <c r="N7" s="132">
        <v>742.34001371131592</v>
      </c>
      <c r="O7" s="132">
        <v>817.8971384087348</v>
      </c>
      <c r="P7" s="132">
        <v>623.07786609271261</v>
      </c>
      <c r="Q7" s="132">
        <v>753.84150137685106</v>
      </c>
      <c r="R7" s="132">
        <v>678.75840187269432</v>
      </c>
      <c r="S7" s="132">
        <v>681.04665703275543</v>
      </c>
      <c r="T7" s="132">
        <v>666.74077073785998</v>
      </c>
      <c r="U7" s="132">
        <v>523.50447215489658</v>
      </c>
      <c r="V7" s="132">
        <v>576.32801956548724</v>
      </c>
      <c r="W7" s="132">
        <v>459.57812534767783</v>
      </c>
      <c r="X7" s="132">
        <v>360.28942754790961</v>
      </c>
      <c r="Y7" s="132">
        <v>358.37637937394754</v>
      </c>
      <c r="DA7" s="156" t="s">
        <v>277</v>
      </c>
    </row>
    <row r="8" spans="1:105" ht="12" customHeight="1" x14ac:dyDescent="0.25">
      <c r="A8" s="131" t="s">
        <v>73</v>
      </c>
      <c r="B8" s="132">
        <v>2.0881720062078755E-2</v>
      </c>
      <c r="C8" s="132">
        <v>2.2442367973430861E-2</v>
      </c>
      <c r="D8" s="132">
        <v>2.3436994052977608E-2</v>
      </c>
      <c r="E8" s="132">
        <v>2.3802916449319988E-2</v>
      </c>
      <c r="F8" s="132">
        <v>2.7700791438416975E-2</v>
      </c>
      <c r="G8" s="132">
        <v>2.6974972490733648E-2</v>
      </c>
      <c r="H8" s="132">
        <v>2.7886470376940017E-2</v>
      </c>
      <c r="I8" s="132">
        <v>2.5325219734764273E-2</v>
      </c>
      <c r="J8" s="132">
        <v>2.8284805286354704E-2</v>
      </c>
      <c r="K8" s="132">
        <v>3.007399788149075E-2</v>
      </c>
      <c r="L8" s="132">
        <v>3.1561177819400953E-2</v>
      </c>
      <c r="M8" s="132">
        <v>2.789479725572399E-2</v>
      </c>
      <c r="N8" s="132">
        <v>3.3229516766581778E-2</v>
      </c>
      <c r="O8" s="132">
        <v>3.9575266933311065E-2</v>
      </c>
      <c r="P8" s="132">
        <v>3.2665551267693722E-2</v>
      </c>
      <c r="Q8" s="132">
        <v>3.8710051518192561E-2</v>
      </c>
      <c r="R8" s="132">
        <v>4.1154687142696295E-2</v>
      </c>
      <c r="S8" s="132">
        <v>4.0317635757813448E-2</v>
      </c>
      <c r="T8" s="132">
        <v>4.1364106097950513E-2</v>
      </c>
      <c r="U8" s="132">
        <v>4.3154807367610737E-2</v>
      </c>
      <c r="V8" s="132">
        <v>4.5086956141532235E-2</v>
      </c>
      <c r="W8" s="132">
        <v>5.1920726515465296E-2</v>
      </c>
      <c r="X8" s="132">
        <v>7.5711858341034721E-2</v>
      </c>
      <c r="Y8" s="132">
        <v>9.454147847425301E-2</v>
      </c>
      <c r="DA8" s="156" t="s">
        <v>278</v>
      </c>
    </row>
    <row r="9" spans="1:105" ht="12" customHeight="1" x14ac:dyDescent="0.25">
      <c r="A9" s="131" t="s">
        <v>78</v>
      </c>
      <c r="B9" s="132">
        <v>1214.7095314616947</v>
      </c>
      <c r="C9" s="132">
        <v>1316.2021634587456</v>
      </c>
      <c r="D9" s="132">
        <v>1278.1229801117811</v>
      </c>
      <c r="E9" s="132">
        <v>1329.7767966820627</v>
      </c>
      <c r="F9" s="132">
        <v>1274.1960319665336</v>
      </c>
      <c r="G9" s="132">
        <v>1243.4194725218497</v>
      </c>
      <c r="H9" s="132">
        <v>1255.6560169118575</v>
      </c>
      <c r="I9" s="132">
        <v>1196.391194017051</v>
      </c>
      <c r="J9" s="132">
        <v>1411.4742528157656</v>
      </c>
      <c r="K9" s="132">
        <v>1492.3109302297514</v>
      </c>
      <c r="L9" s="132">
        <v>1656.0394969509885</v>
      </c>
      <c r="M9" s="132">
        <v>1281.9156106122787</v>
      </c>
      <c r="N9" s="132">
        <v>1472.7277232422575</v>
      </c>
      <c r="O9" s="132">
        <v>1625.0694246764408</v>
      </c>
      <c r="P9" s="132">
        <v>1206.6139238210951</v>
      </c>
      <c r="Q9" s="132">
        <v>1393.1744739490136</v>
      </c>
      <c r="R9" s="132">
        <v>1493.6148204367776</v>
      </c>
      <c r="S9" s="132">
        <v>1476.5258782891776</v>
      </c>
      <c r="T9" s="132">
        <v>1493.7314682348956</v>
      </c>
      <c r="U9" s="132">
        <v>1481.2116100725577</v>
      </c>
      <c r="V9" s="132">
        <v>1383.3616587018669</v>
      </c>
      <c r="W9" s="132">
        <v>1640.2527491192668</v>
      </c>
      <c r="X9" s="132">
        <v>1245.9094112049554</v>
      </c>
      <c r="Y9" s="132">
        <v>1146.5519100979429</v>
      </c>
      <c r="DA9" s="156" t="s">
        <v>279</v>
      </c>
    </row>
    <row r="10" spans="1:105" ht="12" customHeight="1" x14ac:dyDescent="0.25">
      <c r="A10" s="131" t="s">
        <v>128</v>
      </c>
      <c r="B10" s="132">
        <v>2.3903697334479834E-2</v>
      </c>
      <c r="C10" s="132">
        <v>2.390369733447939E-2</v>
      </c>
      <c r="D10" s="132">
        <v>2.390369733447964E-2</v>
      </c>
      <c r="E10" s="132">
        <v>2.3903697334479945E-2</v>
      </c>
      <c r="F10" s="132">
        <v>4.1081685296646597</v>
      </c>
      <c r="G10" s="132">
        <v>5.1829750644883914</v>
      </c>
      <c r="H10" s="132">
        <v>5.1351676698194311</v>
      </c>
      <c r="I10" s="132">
        <v>5.278503869303524</v>
      </c>
      <c r="J10" s="132">
        <v>1.6677195641573708</v>
      </c>
      <c r="K10" s="132">
        <v>0.92352889924999526</v>
      </c>
      <c r="L10" s="132">
        <v>5.8895756519313611</v>
      </c>
      <c r="M10" s="132">
        <v>7.1209837542451808</v>
      </c>
      <c r="N10" s="132">
        <v>17.186988581576575</v>
      </c>
      <c r="O10" s="132">
        <v>35.204196368514623</v>
      </c>
      <c r="P10" s="132">
        <v>48.270325386979906</v>
      </c>
      <c r="Q10" s="132">
        <v>56.77174716268685</v>
      </c>
      <c r="R10" s="132">
        <v>58.752954629720392</v>
      </c>
      <c r="S10" s="132">
        <v>57.575337953195429</v>
      </c>
      <c r="T10" s="132">
        <v>57.937310233595554</v>
      </c>
      <c r="U10" s="132">
        <v>60.818011914570548</v>
      </c>
      <c r="V10" s="132">
        <v>59.911251814756262</v>
      </c>
      <c r="W10" s="132">
        <v>58.737493707717427</v>
      </c>
      <c r="X10" s="132">
        <v>56.208763524459492</v>
      </c>
      <c r="Y10" s="132">
        <v>48.749414064759506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281</v>
      </c>
    </row>
    <row r="12" spans="1:105" ht="12" customHeight="1" x14ac:dyDescent="0.25">
      <c r="A12" s="131" t="s">
        <v>162</v>
      </c>
      <c r="B12" s="132">
        <v>42.025071051303399</v>
      </c>
      <c r="C12" s="132">
        <v>41.952614216015519</v>
      </c>
      <c r="D12" s="132">
        <v>41.279489622998007</v>
      </c>
      <c r="E12" s="132">
        <v>40.384259965519753</v>
      </c>
      <c r="F12" s="132">
        <v>47.233230552877366</v>
      </c>
      <c r="G12" s="132">
        <v>45.068335460236753</v>
      </c>
      <c r="H12" s="132">
        <v>54.441142611180894</v>
      </c>
      <c r="I12" s="132">
        <v>59.110171881571759</v>
      </c>
      <c r="J12" s="132">
        <v>29.287823730946915</v>
      </c>
      <c r="K12" s="132">
        <v>30.974931570484692</v>
      </c>
      <c r="L12" s="132">
        <v>44.745771072436263</v>
      </c>
      <c r="M12" s="132">
        <v>39.082324896700321</v>
      </c>
      <c r="N12" s="132">
        <v>38.828852446044195</v>
      </c>
      <c r="O12" s="132">
        <v>37.139737596335991</v>
      </c>
      <c r="P12" s="132">
        <v>49.595204586650425</v>
      </c>
      <c r="Q12" s="132">
        <v>56.324390163346131</v>
      </c>
      <c r="R12" s="132">
        <v>51.580503615998722</v>
      </c>
      <c r="S12" s="132">
        <v>45.823316658440262</v>
      </c>
      <c r="T12" s="132">
        <v>50.089589412729595</v>
      </c>
      <c r="U12" s="132">
        <v>50.828867962726477</v>
      </c>
      <c r="V12" s="132">
        <v>60.908284342625286</v>
      </c>
      <c r="W12" s="132">
        <v>66.042788094830485</v>
      </c>
      <c r="X12" s="132">
        <v>62.939362541824998</v>
      </c>
      <c r="Y12" s="132">
        <v>74.582004419330829</v>
      </c>
      <c r="DA12" s="156" t="s">
        <v>282</v>
      </c>
    </row>
    <row r="13" spans="1:105" ht="12" customHeight="1" x14ac:dyDescent="0.25">
      <c r="A13" s="131" t="s">
        <v>77</v>
      </c>
      <c r="B13" s="132">
        <v>2.5307796070576406E-2</v>
      </c>
      <c r="C13" s="132">
        <v>3.8888795296511229E-2</v>
      </c>
      <c r="D13" s="132">
        <v>4.1584769034525446E-2</v>
      </c>
      <c r="E13" s="132">
        <v>4.3947964456142685E-2</v>
      </c>
      <c r="F13" s="132">
        <v>5.4288623758042442E-2</v>
      </c>
      <c r="G13" s="132">
        <v>9.9207428307496778E-2</v>
      </c>
      <c r="H13" s="132">
        <v>0.74530908095676818</v>
      </c>
      <c r="I13" s="132">
        <v>1.0569864897159027</v>
      </c>
      <c r="J13" s="132">
        <v>1.3571474294184835</v>
      </c>
      <c r="K13" s="132">
        <v>1.6190669276685761</v>
      </c>
      <c r="L13" s="132">
        <v>1.6787098688054429</v>
      </c>
      <c r="M13" s="132">
        <v>1.8013369663450149</v>
      </c>
      <c r="N13" s="132">
        <v>1.992974469702443</v>
      </c>
      <c r="O13" s="132">
        <v>2.2648789938140403</v>
      </c>
      <c r="P13" s="132">
        <v>1.9802065419170465</v>
      </c>
      <c r="Q13" s="132">
        <v>1.8992853399761092</v>
      </c>
      <c r="R13" s="132">
        <v>1.9064363332554506</v>
      </c>
      <c r="S13" s="132">
        <v>1.7485789120801949</v>
      </c>
      <c r="T13" s="132">
        <v>3.7839249047204064</v>
      </c>
      <c r="U13" s="132">
        <v>5.2240793847411435</v>
      </c>
      <c r="V13" s="132">
        <v>6.222314830873457</v>
      </c>
      <c r="W13" s="132">
        <v>10.576829318193292</v>
      </c>
      <c r="X13" s="132">
        <v>10.876762950687269</v>
      </c>
      <c r="Y13" s="132">
        <v>13.060751052144711</v>
      </c>
      <c r="DA13" s="156" t="s">
        <v>283</v>
      </c>
    </row>
    <row r="14" spans="1:105" ht="12" customHeight="1" x14ac:dyDescent="0.25">
      <c r="A14" s="60" t="s">
        <v>76</v>
      </c>
      <c r="B14" s="65">
        <v>245.46318157016864</v>
      </c>
      <c r="C14" s="65">
        <v>251.55293482532255</v>
      </c>
      <c r="D14" s="65">
        <v>71.528403201587736</v>
      </c>
      <c r="E14" s="65">
        <v>11.779574145602215</v>
      </c>
      <c r="F14" s="65">
        <v>686.54318353979306</v>
      </c>
      <c r="G14" s="65">
        <v>689.94077661978315</v>
      </c>
      <c r="H14" s="65">
        <v>631.96970454975144</v>
      </c>
      <c r="I14" s="65">
        <v>607.10060784843006</v>
      </c>
      <c r="J14" s="65">
        <v>607.37006529429289</v>
      </c>
      <c r="K14" s="65">
        <v>617.02024436763168</v>
      </c>
      <c r="L14" s="65">
        <v>558.91417947710534</v>
      </c>
      <c r="M14" s="65">
        <v>470.74961220026051</v>
      </c>
      <c r="N14" s="65">
        <v>461.52447120968384</v>
      </c>
      <c r="O14" s="65">
        <v>456.62916260853973</v>
      </c>
      <c r="P14" s="65">
        <v>357.73491601864663</v>
      </c>
      <c r="Q14" s="65">
        <v>364.13874512441714</v>
      </c>
      <c r="R14" s="65">
        <v>359.87848451692975</v>
      </c>
      <c r="S14" s="65">
        <v>360.89453959003652</v>
      </c>
      <c r="T14" s="65">
        <v>370.23043509311549</v>
      </c>
      <c r="U14" s="65">
        <v>395.57370294894992</v>
      </c>
      <c r="V14" s="65">
        <v>356.9650476238449</v>
      </c>
      <c r="W14" s="65">
        <v>390.67045369408339</v>
      </c>
      <c r="X14" s="65">
        <v>355.23903056253732</v>
      </c>
      <c r="Y14" s="65">
        <v>300.29206032023512</v>
      </c>
      <c r="DA14" s="109" t="s">
        <v>284</v>
      </c>
    </row>
    <row r="15" spans="1:105" ht="12" customHeight="1" x14ac:dyDescent="0.25">
      <c r="A15" s="133" t="s">
        <v>80</v>
      </c>
      <c r="B15" s="134">
        <v>19.966331258920469</v>
      </c>
      <c r="C15" s="134">
        <v>21.043631936611497</v>
      </c>
      <c r="D15" s="134">
        <v>23.150787483322539</v>
      </c>
      <c r="E15" s="134">
        <v>25.037389775933519</v>
      </c>
      <c r="F15" s="134">
        <v>24.078834401900775</v>
      </c>
      <c r="G15" s="134">
        <v>23.485682383823857</v>
      </c>
      <c r="H15" s="134">
        <v>21.883472762798103</v>
      </c>
      <c r="I15" s="134">
        <v>19.77137232935964</v>
      </c>
      <c r="J15" s="134">
        <v>23.838135834310261</v>
      </c>
      <c r="K15" s="134">
        <v>22.705937457080957</v>
      </c>
      <c r="L15" s="134">
        <v>25.62764073057469</v>
      </c>
      <c r="M15" s="134">
        <v>20.505845801208203</v>
      </c>
      <c r="N15" s="134">
        <v>22.763051697250678</v>
      </c>
      <c r="O15" s="134">
        <v>25.546963376053323</v>
      </c>
      <c r="P15" s="134">
        <v>19.342498001735361</v>
      </c>
      <c r="Q15" s="134">
        <v>22.849325365732607</v>
      </c>
      <c r="R15" s="134">
        <v>23.467462545014403</v>
      </c>
      <c r="S15" s="134">
        <v>23.668251933457302</v>
      </c>
      <c r="T15" s="134">
        <v>24.114786371043387</v>
      </c>
      <c r="U15" s="134">
        <v>22.823341669935843</v>
      </c>
      <c r="V15" s="134">
        <v>22.606411518031049</v>
      </c>
      <c r="W15" s="134">
        <v>24.752637905825679</v>
      </c>
      <c r="X15" s="134">
        <v>19.455439445556564</v>
      </c>
      <c r="Y15" s="134">
        <v>18.697041451651966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13.078979416131808</v>
      </c>
      <c r="C16" s="130">
        <f t="shared" si="6"/>
        <v>16.289133522581213</v>
      </c>
      <c r="D16" s="130">
        <f t="shared" si="6"/>
        <v>20.846012005087914</v>
      </c>
      <c r="E16" s="130">
        <f t="shared" si="6"/>
        <v>30.513658114191433</v>
      </c>
      <c r="F16" s="130">
        <f t="shared" si="6"/>
        <v>27.720456009076386</v>
      </c>
      <c r="G16" s="130">
        <f t="shared" si="6"/>
        <v>32.902351031105354</v>
      </c>
      <c r="H16" s="130">
        <f t="shared" si="6"/>
        <v>47.527565231710078</v>
      </c>
      <c r="I16" s="130">
        <f t="shared" si="6"/>
        <v>43.246554387495948</v>
      </c>
      <c r="J16" s="130">
        <f t="shared" si="6"/>
        <v>48.003902661663027</v>
      </c>
      <c r="K16" s="130">
        <f t="shared" si="6"/>
        <v>53.459862433480104</v>
      </c>
      <c r="L16" s="130">
        <f t="shared" si="6"/>
        <v>62.135669373960866</v>
      </c>
      <c r="M16" s="130">
        <f t="shared" si="6"/>
        <v>61.833385199005185</v>
      </c>
      <c r="N16" s="130">
        <f t="shared" si="6"/>
        <v>64.540801353499774</v>
      </c>
      <c r="O16" s="130">
        <f t="shared" si="6"/>
        <v>67.569552670445034</v>
      </c>
      <c r="P16" s="130">
        <f t="shared" si="6"/>
        <v>66.385801432503882</v>
      </c>
      <c r="Q16" s="130">
        <f t="shared" si="6"/>
        <v>74.914914956743516</v>
      </c>
      <c r="R16" s="130">
        <f t="shared" ref="R16:W16" si="7">SUM(R17:R18)</f>
        <v>73.26152719582926</v>
      </c>
      <c r="S16" s="130">
        <f t="shared" si="7"/>
        <v>68.527102354478117</v>
      </c>
      <c r="T16" s="130">
        <f t="shared" si="7"/>
        <v>77.161142785596425</v>
      </c>
      <c r="U16" s="130">
        <f t="shared" si="7"/>
        <v>73.676670495465444</v>
      </c>
      <c r="V16" s="130">
        <f t="shared" si="7"/>
        <v>78.70130033473724</v>
      </c>
      <c r="W16" s="130">
        <f t="shared" si="7"/>
        <v>63.800728057223274</v>
      </c>
      <c r="X16" s="130">
        <f t="shared" ref="X16:Y16" si="8">SUM(X17:X18)</f>
        <v>72.729115237459396</v>
      </c>
      <c r="Y16" s="130">
        <f t="shared" si="8"/>
        <v>66.191379529590762</v>
      </c>
      <c r="DA16" s="155" t="s">
        <v>215</v>
      </c>
    </row>
    <row r="17" spans="1:105" ht="12.95" customHeight="1" x14ac:dyDescent="0.25">
      <c r="A17" s="131" t="s">
        <v>73</v>
      </c>
      <c r="B17" s="132">
        <v>2.0487020571643703E-2</v>
      </c>
      <c r="C17" s="132">
        <v>2.8362501854897589E-2</v>
      </c>
      <c r="D17" s="132">
        <v>4.1557639331910236E-2</v>
      </c>
      <c r="E17" s="132">
        <v>5.1398821849601505E-2</v>
      </c>
      <c r="F17" s="132">
        <v>7.2042638009890261E-2</v>
      </c>
      <c r="G17" s="132">
        <v>0.10093919321377905</v>
      </c>
      <c r="H17" s="132">
        <v>0.14088046086056091</v>
      </c>
      <c r="I17" s="132">
        <v>0.16974107009954958</v>
      </c>
      <c r="J17" s="132">
        <v>0.22907989152274122</v>
      </c>
      <c r="K17" s="132">
        <v>0.28813754667842045</v>
      </c>
      <c r="L17" s="132">
        <v>0.33387286658931942</v>
      </c>
      <c r="M17" s="132">
        <v>0.36448281654870895</v>
      </c>
      <c r="N17" s="132">
        <v>0.41616232644107432</v>
      </c>
      <c r="O17" s="132">
        <v>0.50764324782963732</v>
      </c>
      <c r="P17" s="132">
        <v>0.63718277665525802</v>
      </c>
      <c r="Q17" s="132">
        <v>0.96528795025130709</v>
      </c>
      <c r="R17" s="132">
        <v>1.1063347743814571</v>
      </c>
      <c r="S17" s="132">
        <v>1.112434564217311</v>
      </c>
      <c r="T17" s="132">
        <v>1.4295295712917688</v>
      </c>
      <c r="U17" s="132">
        <v>1.5794931754766344</v>
      </c>
      <c r="V17" s="132">
        <v>1.8913360562111123</v>
      </c>
      <c r="W17" s="132">
        <v>1.4003507721942514</v>
      </c>
      <c r="X17" s="132">
        <v>1.7109220266055163</v>
      </c>
      <c r="Y17" s="132">
        <v>1.5719813985417777</v>
      </c>
      <c r="DA17" s="156" t="s">
        <v>286</v>
      </c>
    </row>
    <row r="18" spans="1:105" ht="12" customHeight="1" x14ac:dyDescent="0.25">
      <c r="A18" s="131" t="s">
        <v>72</v>
      </c>
      <c r="B18" s="132">
        <v>13.058492395560165</v>
      </c>
      <c r="C18" s="132">
        <v>16.260771020726317</v>
      </c>
      <c r="D18" s="132">
        <v>20.804454365756005</v>
      </c>
      <c r="E18" s="132">
        <v>30.46225929234183</v>
      </c>
      <c r="F18" s="132">
        <v>27.648413371066496</v>
      </c>
      <c r="G18" s="132">
        <v>32.801411837891578</v>
      </c>
      <c r="H18" s="132">
        <v>47.38668477084952</v>
      </c>
      <c r="I18" s="132">
        <v>43.0768133173964</v>
      </c>
      <c r="J18" s="132">
        <v>47.774822770140283</v>
      </c>
      <c r="K18" s="132">
        <v>53.171724886801684</v>
      </c>
      <c r="L18" s="132">
        <v>61.801796507371549</v>
      </c>
      <c r="M18" s="132">
        <v>61.468902382456477</v>
      </c>
      <c r="N18" s="132">
        <v>64.124639027058706</v>
      </c>
      <c r="O18" s="132">
        <v>67.0619094226154</v>
      </c>
      <c r="P18" s="132">
        <v>65.748618655848631</v>
      </c>
      <c r="Q18" s="132">
        <v>73.949627006492207</v>
      </c>
      <c r="R18" s="132">
        <v>72.155192421447808</v>
      </c>
      <c r="S18" s="132">
        <v>67.414667790260808</v>
      </c>
      <c r="T18" s="132">
        <v>75.731613214304659</v>
      </c>
      <c r="U18" s="132">
        <v>72.097177319988816</v>
      </c>
      <c r="V18" s="132">
        <v>76.809964278526124</v>
      </c>
      <c r="W18" s="132">
        <v>62.400377285029023</v>
      </c>
      <c r="X18" s="132">
        <v>71.01819321085388</v>
      </c>
      <c r="Y18" s="132">
        <v>64.619398131048982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361.95269167535122</v>
      </c>
      <c r="C19" s="130">
        <f t="shared" si="9"/>
        <v>365.2188631035483</v>
      </c>
      <c r="D19" s="130">
        <f t="shared" si="9"/>
        <v>387.10612826473448</v>
      </c>
      <c r="E19" s="130">
        <f t="shared" si="9"/>
        <v>398.0455629409654</v>
      </c>
      <c r="F19" s="130">
        <f t="shared" si="9"/>
        <v>382.38212902720886</v>
      </c>
      <c r="G19" s="130">
        <f t="shared" si="9"/>
        <v>381.28610362156991</v>
      </c>
      <c r="H19" s="130">
        <f t="shared" si="9"/>
        <v>387.56003508739377</v>
      </c>
      <c r="I19" s="130">
        <f t="shared" si="9"/>
        <v>391.34986204057407</v>
      </c>
      <c r="J19" s="130">
        <f t="shared" si="9"/>
        <v>392.87472772094338</v>
      </c>
      <c r="K19" s="130">
        <f t="shared" si="9"/>
        <v>394.76196138215352</v>
      </c>
      <c r="L19" s="130">
        <f t="shared" si="9"/>
        <v>399.93390701743891</v>
      </c>
      <c r="M19" s="130">
        <f t="shared" si="9"/>
        <v>407.38287855077886</v>
      </c>
      <c r="N19" s="130">
        <f t="shared" si="9"/>
        <v>414.71098635436499</v>
      </c>
      <c r="O19" s="130">
        <f t="shared" si="9"/>
        <v>420.52901829923485</v>
      </c>
      <c r="P19" s="130">
        <f t="shared" si="9"/>
        <v>423.17352170607722</v>
      </c>
      <c r="Q19" s="130">
        <f t="shared" si="9"/>
        <v>421.96277371524508</v>
      </c>
      <c r="R19" s="130">
        <f t="shared" ref="R19:W19" si="10">SUM(R20:R27)</f>
        <v>424.40252459782488</v>
      </c>
      <c r="S19" s="130">
        <f t="shared" si="10"/>
        <v>424.05159116744301</v>
      </c>
      <c r="T19" s="130">
        <f t="shared" si="10"/>
        <v>419.76092036964269</v>
      </c>
      <c r="U19" s="130">
        <f t="shared" si="10"/>
        <v>394.6944424383837</v>
      </c>
      <c r="V19" s="130">
        <f t="shared" si="10"/>
        <v>372.69551936290844</v>
      </c>
      <c r="W19" s="130">
        <f t="shared" si="10"/>
        <v>390.62811618483522</v>
      </c>
      <c r="X19" s="130">
        <f t="shared" ref="X19:Y19" si="11">SUM(X20:X27)</f>
        <v>391.51730221622512</v>
      </c>
      <c r="Y19" s="130">
        <f t="shared" si="11"/>
        <v>393.94726148360184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11.967185757704407</v>
      </c>
      <c r="C21" s="132">
        <v>12.145671454530927</v>
      </c>
      <c r="D21" s="132">
        <v>12.063828657853506</v>
      </c>
      <c r="E21" s="132">
        <v>11.797934362929587</v>
      </c>
      <c r="F21" s="132">
        <v>11.421979281569392</v>
      </c>
      <c r="G21" s="132">
        <v>5.2885709445735554</v>
      </c>
      <c r="H21" s="132">
        <v>4.9305045547660855</v>
      </c>
      <c r="I21" s="132">
        <v>4.1171686478182377</v>
      </c>
      <c r="J21" s="132">
        <v>3.0660730132780754</v>
      </c>
      <c r="K21" s="132">
        <v>2.7685000689941455</v>
      </c>
      <c r="L21" s="132">
        <v>2.4042931560960668</v>
      </c>
      <c r="M21" s="132">
        <v>2.623516312231633</v>
      </c>
      <c r="N21" s="132">
        <v>3.0531470188307774</v>
      </c>
      <c r="O21" s="132">
        <v>3.2491552481360504</v>
      </c>
      <c r="P21" s="132">
        <v>3.2717849977508355</v>
      </c>
      <c r="Q21" s="132">
        <v>3.6928347533597545</v>
      </c>
      <c r="R21" s="132">
        <v>3.838078555879441</v>
      </c>
      <c r="S21" s="132">
        <v>4.1512535286968912</v>
      </c>
      <c r="T21" s="132">
        <v>4.3464752804000506</v>
      </c>
      <c r="U21" s="132">
        <v>4.4022128910328098</v>
      </c>
      <c r="V21" s="132">
        <v>3.7802961574167662</v>
      </c>
      <c r="W21" s="132">
        <v>4.2695906104440473</v>
      </c>
      <c r="X21" s="132">
        <v>6.7055278956164415</v>
      </c>
      <c r="Y21" s="132">
        <v>5.6958421177465164</v>
      </c>
      <c r="DA21" s="156" t="s">
        <v>289</v>
      </c>
    </row>
    <row r="22" spans="1:105" ht="12" customHeight="1" x14ac:dyDescent="0.25">
      <c r="A22" s="131" t="s">
        <v>161</v>
      </c>
      <c r="B22" s="132">
        <v>110.60255805617611</v>
      </c>
      <c r="C22" s="132">
        <v>109.05852517856751</v>
      </c>
      <c r="D22" s="132">
        <v>107.71909572209363</v>
      </c>
      <c r="E22" s="132">
        <v>106.73153048729941</v>
      </c>
      <c r="F22" s="132">
        <v>104.67976766523805</v>
      </c>
      <c r="G22" s="132">
        <v>102.64745617065752</v>
      </c>
      <c r="H22" s="132">
        <v>100.95684586535515</v>
      </c>
      <c r="I22" s="132">
        <v>98.828061758687355</v>
      </c>
      <c r="J22" s="132">
        <v>93.375105969997151</v>
      </c>
      <c r="K22" s="132">
        <v>92.243183157509321</v>
      </c>
      <c r="L22" s="132">
        <v>90.64521642124177</v>
      </c>
      <c r="M22" s="132">
        <v>90.504215595702419</v>
      </c>
      <c r="N22" s="132">
        <v>89.68844716572616</v>
      </c>
      <c r="O22" s="132">
        <v>88.414813439932757</v>
      </c>
      <c r="P22" s="132">
        <v>88.19203932431293</v>
      </c>
      <c r="Q22" s="132">
        <v>87.780252707413666</v>
      </c>
      <c r="R22" s="132">
        <v>84.841770096351894</v>
      </c>
      <c r="S22" s="132">
        <v>82.773291376531304</v>
      </c>
      <c r="T22" s="132">
        <v>78.677371996448301</v>
      </c>
      <c r="U22" s="132">
        <v>62.877385110795466</v>
      </c>
      <c r="V22" s="132">
        <v>57.812479144744323</v>
      </c>
      <c r="W22" s="132">
        <v>60.412588323861506</v>
      </c>
      <c r="X22" s="132">
        <v>67.304983458109007</v>
      </c>
      <c r="Y22" s="132">
        <v>68.839613747290429</v>
      </c>
      <c r="DA22" s="156" t="s">
        <v>290</v>
      </c>
    </row>
    <row r="23" spans="1:105" ht="12" customHeight="1" x14ac:dyDescent="0.25">
      <c r="A23" s="131" t="s">
        <v>149</v>
      </c>
      <c r="B23" s="132">
        <v>182.94189252310554</v>
      </c>
      <c r="C23" s="132">
        <v>185.55127055689809</v>
      </c>
      <c r="D23" s="132">
        <v>188.28720969607298</v>
      </c>
      <c r="E23" s="132">
        <v>191.03125802432041</v>
      </c>
      <c r="F23" s="132">
        <v>193.06590122548218</v>
      </c>
      <c r="G23" s="132">
        <v>195.4798531386991</v>
      </c>
      <c r="H23" s="132">
        <v>197.3904339073803</v>
      </c>
      <c r="I23" s="132">
        <v>201.08423575122393</v>
      </c>
      <c r="J23" s="132">
        <v>203.40447255973831</v>
      </c>
      <c r="K23" s="132">
        <v>204.07094070862036</v>
      </c>
      <c r="L23" s="132">
        <v>206.58697335700279</v>
      </c>
      <c r="M23" s="132">
        <v>210.36978718158909</v>
      </c>
      <c r="N23" s="132">
        <v>214.33182665098892</v>
      </c>
      <c r="O23" s="132">
        <v>215.40357200571799</v>
      </c>
      <c r="P23" s="132">
        <v>212.99458324594576</v>
      </c>
      <c r="Q23" s="132">
        <v>211.98318144850887</v>
      </c>
      <c r="R23" s="132">
        <v>209.90441465759037</v>
      </c>
      <c r="S23" s="132">
        <v>208.40892873304097</v>
      </c>
      <c r="T23" s="132">
        <v>205.45480818912398</v>
      </c>
      <c r="U23" s="132">
        <v>202.06815588063469</v>
      </c>
      <c r="V23" s="132">
        <v>195.25455402658804</v>
      </c>
      <c r="W23" s="132">
        <v>208.92045959719201</v>
      </c>
      <c r="X23" s="132">
        <v>174.46621271978788</v>
      </c>
      <c r="Y23" s="132">
        <v>158.19934388796941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5.9351181146467304</v>
      </c>
      <c r="C25" s="132">
        <v>5.8404210376388219</v>
      </c>
      <c r="D25" s="132">
        <v>5.8447580124276231</v>
      </c>
      <c r="E25" s="132">
        <v>5.7846136372317529</v>
      </c>
      <c r="F25" s="132">
        <v>5.791103067071032</v>
      </c>
      <c r="G25" s="132">
        <v>5.8046653996084698</v>
      </c>
      <c r="H25" s="132">
        <v>5.7733027886471477</v>
      </c>
      <c r="I25" s="132">
        <v>5.6495873617644481</v>
      </c>
      <c r="J25" s="132">
        <v>5.6040937239112161</v>
      </c>
      <c r="K25" s="132">
        <v>5.589728790650291</v>
      </c>
      <c r="L25" s="132">
        <v>6.5359142242102974</v>
      </c>
      <c r="M25" s="132">
        <v>6.4637628075129161</v>
      </c>
      <c r="N25" s="132">
        <v>6.3536067113074353</v>
      </c>
      <c r="O25" s="132">
        <v>6.4606923262779512</v>
      </c>
      <c r="P25" s="132">
        <v>5.9920697039772364</v>
      </c>
      <c r="Q25" s="132">
        <v>6.3669253998524429</v>
      </c>
      <c r="R25" s="132">
        <v>6.5426262206306562</v>
      </c>
      <c r="S25" s="132">
        <v>6.5722981308976181</v>
      </c>
      <c r="T25" s="132">
        <v>6.5646668211483306</v>
      </c>
      <c r="U25" s="132">
        <v>6.5276238687438513</v>
      </c>
      <c r="V25" s="132">
        <v>6.2742607992492445</v>
      </c>
      <c r="W25" s="132">
        <v>6.4182609163475686</v>
      </c>
      <c r="X25" s="132">
        <v>9.5933975613563938</v>
      </c>
      <c r="Y25" s="132">
        <v>10.537858005432623</v>
      </c>
      <c r="DA25" s="156" t="s">
        <v>293</v>
      </c>
    </row>
    <row r="26" spans="1:105" ht="12" customHeight="1" x14ac:dyDescent="0.25">
      <c r="A26" s="131" t="s">
        <v>24</v>
      </c>
      <c r="B26" s="65">
        <v>49.956582107639377</v>
      </c>
      <c r="C26" s="65">
        <v>52.455820963617192</v>
      </c>
      <c r="D26" s="65">
        <v>73.000178566656487</v>
      </c>
      <c r="E26" s="65">
        <v>82.413640014738775</v>
      </c>
      <c r="F26" s="65">
        <v>67.11288767606834</v>
      </c>
      <c r="G26" s="65">
        <v>71.755067856251401</v>
      </c>
      <c r="H26" s="65">
        <v>78.126832751984551</v>
      </c>
      <c r="I26" s="65">
        <v>81.121453405000977</v>
      </c>
      <c r="J26" s="65">
        <v>86.684569728309256</v>
      </c>
      <c r="K26" s="65">
        <v>88.560975810291737</v>
      </c>
      <c r="L26" s="65">
        <v>92.968560589756464</v>
      </c>
      <c r="M26" s="65">
        <v>96.571295707913023</v>
      </c>
      <c r="N26" s="65">
        <v>100.43606542831991</v>
      </c>
      <c r="O26" s="65">
        <v>106.10035535655616</v>
      </c>
      <c r="P26" s="65">
        <v>111.71272629135618</v>
      </c>
      <c r="Q26" s="65">
        <v>111.0456843072281</v>
      </c>
      <c r="R26" s="65">
        <v>117.92378640013261</v>
      </c>
      <c r="S26" s="65">
        <v>120.75811518503461</v>
      </c>
      <c r="T26" s="65">
        <v>123.16987667237591</v>
      </c>
      <c r="U26" s="65">
        <v>117.31674310506172</v>
      </c>
      <c r="V26" s="65">
        <v>107.98321556337096</v>
      </c>
      <c r="W26" s="65">
        <v>109.15029498290585</v>
      </c>
      <c r="X26" s="65">
        <v>131.84933019442508</v>
      </c>
      <c r="Y26" s="65">
        <v>149.21527440444058</v>
      </c>
      <c r="DA26" s="109" t="s">
        <v>294</v>
      </c>
    </row>
    <row r="27" spans="1:105" ht="12" customHeight="1" x14ac:dyDescent="0.25">
      <c r="A27" s="144" t="s">
        <v>26</v>
      </c>
      <c r="B27" s="145">
        <v>0.5493551160791057</v>
      </c>
      <c r="C27" s="145">
        <v>0.16715391229578666</v>
      </c>
      <c r="D27" s="145">
        <v>0.19105760963026663</v>
      </c>
      <c r="E27" s="145">
        <v>0.28658641444539978</v>
      </c>
      <c r="F27" s="145">
        <v>0.31049011177987973</v>
      </c>
      <c r="G27" s="145">
        <v>0.31049011177987956</v>
      </c>
      <c r="H27" s="145">
        <v>0.38211521926053305</v>
      </c>
      <c r="I27" s="145">
        <v>0.5493551160791057</v>
      </c>
      <c r="J27" s="145">
        <v>0.74041272570937233</v>
      </c>
      <c r="K27" s="145">
        <v>1.5286328460877034</v>
      </c>
      <c r="L27" s="145">
        <v>0.79294926913155683</v>
      </c>
      <c r="M27" s="145">
        <v>0.85030094582975069</v>
      </c>
      <c r="N27" s="145">
        <v>0.84789337919174557</v>
      </c>
      <c r="O27" s="145">
        <v>0.9004299226139294</v>
      </c>
      <c r="P27" s="145">
        <v>1.0103181427343082</v>
      </c>
      <c r="Q27" s="145">
        <v>1.0938950988822012</v>
      </c>
      <c r="R27" s="145">
        <v>1.3518486672398971</v>
      </c>
      <c r="S27" s="145">
        <v>1.387704213241616</v>
      </c>
      <c r="T27" s="145">
        <v>1.5477214101461743</v>
      </c>
      <c r="U27" s="145">
        <v>1.5023215821152183</v>
      </c>
      <c r="V27" s="145">
        <v>1.5907136715391235</v>
      </c>
      <c r="W27" s="145">
        <v>1.4569217540842658</v>
      </c>
      <c r="X27" s="145">
        <v>1.5978503869303518</v>
      </c>
      <c r="Y27" s="145">
        <v>1.4593293207222711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255.5317014812689</v>
      </c>
      <c r="C29" s="130">
        <f t="shared" si="12"/>
        <v>263.96569604384842</v>
      </c>
      <c r="D29" s="130">
        <f t="shared" si="12"/>
        <v>282.15120380035705</v>
      </c>
      <c r="E29" s="130">
        <f t="shared" si="12"/>
        <v>287.47043965663613</v>
      </c>
      <c r="F29" s="130">
        <f t="shared" si="12"/>
        <v>277.88267425630721</v>
      </c>
      <c r="G29" s="130">
        <f t="shared" si="12"/>
        <v>280.0642887872495</v>
      </c>
      <c r="H29" s="130">
        <f t="shared" si="12"/>
        <v>286.45660101275359</v>
      </c>
      <c r="I29" s="130">
        <f t="shared" si="12"/>
        <v>299.36324348006968</v>
      </c>
      <c r="J29" s="130">
        <f t="shared" si="12"/>
        <v>307.32130647482273</v>
      </c>
      <c r="K29" s="130">
        <f t="shared" si="12"/>
        <v>311.95947943595485</v>
      </c>
      <c r="L29" s="130">
        <f t="shared" si="12"/>
        <v>318.59775263791585</v>
      </c>
      <c r="M29" s="130">
        <f t="shared" si="12"/>
        <v>324.77362599448008</v>
      </c>
      <c r="N29" s="130">
        <f t="shared" si="12"/>
        <v>337.15985677409515</v>
      </c>
      <c r="O29" s="130">
        <f t="shared" si="12"/>
        <v>341.62600447429708</v>
      </c>
      <c r="P29" s="130">
        <f t="shared" si="12"/>
        <v>355.94043675927094</v>
      </c>
      <c r="Q29" s="130">
        <f t="shared" si="12"/>
        <v>366.47499221621251</v>
      </c>
      <c r="R29" s="130">
        <f t="shared" ref="R29:W29" si="13">SUM(R30:R33)</f>
        <v>372.26837280826101</v>
      </c>
      <c r="S29" s="130">
        <f t="shared" si="13"/>
        <v>376.14940900474579</v>
      </c>
      <c r="T29" s="130">
        <f t="shared" si="13"/>
        <v>379.43391558521319</v>
      </c>
      <c r="U29" s="130">
        <f t="shared" si="13"/>
        <v>370.14336595426323</v>
      </c>
      <c r="V29" s="130">
        <f t="shared" si="13"/>
        <v>354.23746476974691</v>
      </c>
      <c r="W29" s="130">
        <f t="shared" si="13"/>
        <v>364.98693591058071</v>
      </c>
      <c r="X29" s="130">
        <f t="shared" ref="X29:Y29" si="14">SUM(X30:X33)</f>
        <v>370.52010015065434</v>
      </c>
      <c r="Y29" s="130">
        <f t="shared" si="14"/>
        <v>373.81714729710416</v>
      </c>
      <c r="DA29" s="155" t="s">
        <v>217</v>
      </c>
    </row>
    <row r="30" spans="1:105" ht="12" customHeight="1" x14ac:dyDescent="0.25">
      <c r="A30" s="131" t="s">
        <v>52</v>
      </c>
      <c r="B30" s="132">
        <v>63.842530493370397</v>
      </c>
      <c r="C30" s="132">
        <v>62.565334564385665</v>
      </c>
      <c r="D30" s="132">
        <v>47.265492064416478</v>
      </c>
      <c r="E30" s="132">
        <v>35.445745774645644</v>
      </c>
      <c r="F30" s="132">
        <v>36.920411088164037</v>
      </c>
      <c r="G30" s="132">
        <v>7.8956938877566261</v>
      </c>
      <c r="H30" s="132">
        <v>7.1551360299286637</v>
      </c>
      <c r="I30" s="132">
        <v>6.8697617047183028</v>
      </c>
      <c r="J30" s="132">
        <v>9.0195675714166779</v>
      </c>
      <c r="K30" s="132">
        <v>9.3171405157006024</v>
      </c>
      <c r="L30" s="132">
        <v>11.878681908392323</v>
      </c>
      <c r="M30" s="132">
        <v>8.3634140403049066</v>
      </c>
      <c r="N30" s="132">
        <v>9.0324935658639713</v>
      </c>
      <c r="O30" s="132">
        <v>9.935109584194139</v>
      </c>
      <c r="P30" s="132">
        <v>7.7151453547857098</v>
      </c>
      <c r="Q30" s="132">
        <v>13.886185023080481</v>
      </c>
      <c r="R30" s="132">
        <v>10.444896508608952</v>
      </c>
      <c r="S30" s="132">
        <v>12.438944235705517</v>
      </c>
      <c r="T30" s="132">
        <v>12.133920248404774</v>
      </c>
      <c r="U30" s="132">
        <v>13.17680688540743</v>
      </c>
      <c r="V30" s="132">
        <v>15.990211151267665</v>
      </c>
      <c r="W30" s="132">
        <v>17.195499673304873</v>
      </c>
      <c r="X30" s="132">
        <v>11.822245105243411</v>
      </c>
      <c r="Y30" s="132">
        <v>12.379996231350656</v>
      </c>
      <c r="DA30" s="156" t="s">
        <v>296</v>
      </c>
    </row>
    <row r="31" spans="1:105" ht="12" customHeight="1" x14ac:dyDescent="0.25">
      <c r="A31" s="131" t="s">
        <v>149</v>
      </c>
      <c r="B31" s="132">
        <v>148.28089601059369</v>
      </c>
      <c r="C31" s="132">
        <v>149.74812568890474</v>
      </c>
      <c r="D31" s="132">
        <v>150.5332420419939</v>
      </c>
      <c r="E31" s="132">
        <v>150.43136092419081</v>
      </c>
      <c r="F31" s="132">
        <v>151.71803103115735</v>
      </c>
      <c r="G31" s="132">
        <v>152.57018063806308</v>
      </c>
      <c r="H31" s="132">
        <v>152.65219411538882</v>
      </c>
      <c r="I31" s="132">
        <v>153.49089689116127</v>
      </c>
      <c r="J31" s="132">
        <v>155.37689359062739</v>
      </c>
      <c r="K31" s="132">
        <v>155.57102671741259</v>
      </c>
      <c r="L31" s="132">
        <v>156.82632436643075</v>
      </c>
      <c r="M31" s="132">
        <v>159.31371212457182</v>
      </c>
      <c r="N31" s="132">
        <v>163.48650108383876</v>
      </c>
      <c r="O31" s="132">
        <v>165.12913991915687</v>
      </c>
      <c r="P31" s="132">
        <v>164.23961537029672</v>
      </c>
      <c r="Q31" s="132">
        <v>165.01736637715047</v>
      </c>
      <c r="R31" s="132">
        <v>165.23396332029012</v>
      </c>
      <c r="S31" s="132">
        <v>164.84322323696412</v>
      </c>
      <c r="T31" s="132">
        <v>164.8573612829413</v>
      </c>
      <c r="U31" s="132">
        <v>164.55416387995515</v>
      </c>
      <c r="V31" s="132">
        <v>158.7209670106964</v>
      </c>
      <c r="W31" s="132">
        <v>147.29085684416091</v>
      </c>
      <c r="X31" s="132">
        <v>160.6521875901382</v>
      </c>
      <c r="Y31" s="132">
        <v>150.10260146897079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0.52970090015905313</v>
      </c>
      <c r="K32" s="132">
        <v>0.46176774735361487</v>
      </c>
      <c r="L32" s="132">
        <v>1.120570521757374</v>
      </c>
      <c r="M32" s="132">
        <v>1.1645708459267918</v>
      </c>
      <c r="N32" s="132">
        <v>0.63571133243891464</v>
      </c>
      <c r="O32" s="132">
        <v>1.2651931413735518</v>
      </c>
      <c r="P32" s="132">
        <v>1.9040512252298587</v>
      </c>
      <c r="Q32" s="132">
        <v>2.3114858553698636</v>
      </c>
      <c r="R32" s="132">
        <v>2.4011296351119449</v>
      </c>
      <c r="S32" s="132">
        <v>2.3749629926343481</v>
      </c>
      <c r="T32" s="132">
        <v>2.3116149598695972</v>
      </c>
      <c r="U32" s="132">
        <v>2.5835358068396279</v>
      </c>
      <c r="V32" s="132">
        <v>0.56682213193327702</v>
      </c>
      <c r="W32" s="132">
        <v>0.6897633860057204</v>
      </c>
      <c r="X32" s="132">
        <v>0.81574206453442122</v>
      </c>
      <c r="Y32" s="132">
        <v>0.84456701864552153</v>
      </c>
      <c r="DA32" s="156" t="s">
        <v>298</v>
      </c>
    </row>
    <row r="33" spans="1:105" ht="12" customHeight="1" x14ac:dyDescent="0.25">
      <c r="A33" s="62" t="s">
        <v>24</v>
      </c>
      <c r="B33" s="68">
        <v>43.408274977304814</v>
      </c>
      <c r="C33" s="68">
        <v>51.652235790558052</v>
      </c>
      <c r="D33" s="68">
        <v>84.352469693946659</v>
      </c>
      <c r="E33" s="68">
        <v>101.5933329577997</v>
      </c>
      <c r="F33" s="68">
        <v>89.244232136985829</v>
      </c>
      <c r="G33" s="68">
        <v>119.59841426142977</v>
      </c>
      <c r="H33" s="68">
        <v>126.64927086743614</v>
      </c>
      <c r="I33" s="68">
        <v>139.0025848841901</v>
      </c>
      <c r="J33" s="68">
        <v>142.39514441261963</v>
      </c>
      <c r="K33" s="68">
        <v>146.60954445548805</v>
      </c>
      <c r="L33" s="68">
        <v>148.77217584133544</v>
      </c>
      <c r="M33" s="68">
        <v>155.93192898367653</v>
      </c>
      <c r="N33" s="68">
        <v>164.0051507919535</v>
      </c>
      <c r="O33" s="68">
        <v>165.29656182957251</v>
      </c>
      <c r="P33" s="68">
        <v>182.08162480895865</v>
      </c>
      <c r="Q33" s="68">
        <v>185.25995496061174</v>
      </c>
      <c r="R33" s="68">
        <v>194.18838334424996</v>
      </c>
      <c r="S33" s="68">
        <v>196.4922785394418</v>
      </c>
      <c r="T33" s="68">
        <v>200.13101909399751</v>
      </c>
      <c r="U33" s="68">
        <v>189.82885938206104</v>
      </c>
      <c r="V33" s="68">
        <v>178.95946447584961</v>
      </c>
      <c r="W33" s="68">
        <v>199.8108160071092</v>
      </c>
      <c r="X33" s="68">
        <v>197.22992539073832</v>
      </c>
      <c r="Y33" s="68">
        <v>210.48998257813716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1642.4693023571474</v>
      </c>
      <c r="C3" s="125">
        <f t="shared" si="0"/>
        <v>1744.5724776387897</v>
      </c>
      <c r="D3" s="125">
        <f t="shared" si="0"/>
        <v>1792.3658835471065</v>
      </c>
      <c r="E3" s="125">
        <f t="shared" si="0"/>
        <v>1915.6506201659795</v>
      </c>
      <c r="F3" s="125">
        <f t="shared" si="0"/>
        <v>2399.0182480880771</v>
      </c>
      <c r="G3" s="125">
        <f t="shared" si="0"/>
        <v>2423.4870034642086</v>
      </c>
      <c r="H3" s="125">
        <f t="shared" si="0"/>
        <v>2377.1311402815568</v>
      </c>
      <c r="I3" s="125">
        <f t="shared" si="0"/>
        <v>2268.6973386342097</v>
      </c>
      <c r="J3" s="125">
        <f t="shared" si="0"/>
        <v>2534.6350670937995</v>
      </c>
      <c r="K3" s="125">
        <f t="shared" si="0"/>
        <v>2525.7652913411307</v>
      </c>
      <c r="L3" s="125">
        <f t="shared" si="0"/>
        <v>2726.9205777205334</v>
      </c>
      <c r="M3" s="125">
        <f t="shared" si="0"/>
        <v>2381.4907078123815</v>
      </c>
      <c r="N3" s="125">
        <f t="shared" si="0"/>
        <v>2564.9439020673799</v>
      </c>
      <c r="O3" s="125">
        <f t="shared" si="0"/>
        <v>2782.7864269002239</v>
      </c>
      <c r="P3" s="125">
        <f t="shared" si="0"/>
        <v>2363.4089255546996</v>
      </c>
      <c r="Q3" s="125">
        <f t="shared" si="0"/>
        <v>2656.9967676417623</v>
      </c>
      <c r="R3" s="125">
        <f t="shared" ref="R3:W3" si="1">SUM(R4,R16,R19,R29)</f>
        <v>2717.9021821921688</v>
      </c>
      <c r="S3" s="125">
        <f t="shared" si="1"/>
        <v>2737.6172766968534</v>
      </c>
      <c r="T3" s="125">
        <f t="shared" si="1"/>
        <v>2850.1256769020106</v>
      </c>
      <c r="U3" s="125">
        <f t="shared" si="1"/>
        <v>2783.2601522171553</v>
      </c>
      <c r="V3" s="125">
        <f t="shared" si="1"/>
        <v>2768.1642778105206</v>
      </c>
      <c r="W3" s="125">
        <f t="shared" si="1"/>
        <v>2938.311304621353</v>
      </c>
      <c r="X3" s="125">
        <f t="shared" ref="X3:Y3" si="2">SUM(X4,X16,X19,X29)</f>
        <v>2630.408237481317</v>
      </c>
      <c r="Y3" s="125">
        <f t="shared" si="2"/>
        <v>2536.8643962856536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1229.4391790311824</v>
      </c>
      <c r="C4" s="130">
        <f t="shared" si="3"/>
        <v>1311.6401680958177</v>
      </c>
      <c r="D4" s="130">
        <f t="shared" si="3"/>
        <v>1309.5653062078275</v>
      </c>
      <c r="E4" s="130">
        <f t="shared" si="3"/>
        <v>1389.2966928590738</v>
      </c>
      <c r="F4" s="130">
        <f t="shared" si="3"/>
        <v>1893.8158280195269</v>
      </c>
      <c r="G4" s="130">
        <f t="shared" si="3"/>
        <v>1890.0862177668475</v>
      </c>
      <c r="H4" s="130">
        <f t="shared" si="3"/>
        <v>1784.3395798552358</v>
      </c>
      <c r="I4" s="130">
        <f t="shared" si="3"/>
        <v>1666.5182043926177</v>
      </c>
      <c r="J4" s="130">
        <f t="shared" si="3"/>
        <v>1902.0301748116606</v>
      </c>
      <c r="K4" s="130">
        <f t="shared" si="3"/>
        <v>1863.3783786127258</v>
      </c>
      <c r="L4" s="130">
        <f t="shared" si="3"/>
        <v>2018.1203207721198</v>
      </c>
      <c r="M4" s="130">
        <f t="shared" si="3"/>
        <v>1651.9767727702776</v>
      </c>
      <c r="N4" s="130">
        <f t="shared" si="3"/>
        <v>1798.9869275084345</v>
      </c>
      <c r="O4" s="130">
        <f t="shared" si="3"/>
        <v>1984.631358401195</v>
      </c>
      <c r="P4" s="130">
        <f t="shared" si="3"/>
        <v>1542.8648153232452</v>
      </c>
      <c r="Q4" s="130">
        <f t="shared" si="3"/>
        <v>1782.8174470996714</v>
      </c>
      <c r="R4" s="130">
        <f t="shared" ref="R4:W4" si="4">SUM(R5:R15)</f>
        <v>1825.7865257668541</v>
      </c>
      <c r="S4" s="130">
        <f t="shared" si="4"/>
        <v>1845.9021028392087</v>
      </c>
      <c r="T4" s="130">
        <f t="shared" si="4"/>
        <v>1903.9152956980379</v>
      </c>
      <c r="U4" s="130">
        <f t="shared" si="4"/>
        <v>1862.9489450963681</v>
      </c>
      <c r="V4" s="130">
        <f t="shared" si="4"/>
        <v>1838.5573255565967</v>
      </c>
      <c r="W4" s="130">
        <f t="shared" si="4"/>
        <v>2038.2273646705521</v>
      </c>
      <c r="X4" s="130">
        <f t="shared" ref="X4:Y4" si="5">SUM(X5:X15)</f>
        <v>1669.1859415300833</v>
      </c>
      <c r="Y4" s="130">
        <f t="shared" si="5"/>
        <v>1586.7956009908955</v>
      </c>
      <c r="DA4" s="155" t="s">
        <v>302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338.02022484329967</v>
      </c>
      <c r="C7" s="132">
        <v>356.24117079753938</v>
      </c>
      <c r="D7" s="132">
        <v>499.81993445287003</v>
      </c>
      <c r="E7" s="132">
        <v>589.82446057160075</v>
      </c>
      <c r="F7" s="132">
        <v>588.85340933198108</v>
      </c>
      <c r="G7" s="132">
        <v>594.75732335455291</v>
      </c>
      <c r="H7" s="132">
        <v>510.51065929955621</v>
      </c>
      <c r="I7" s="132">
        <v>426.79548399934185</v>
      </c>
      <c r="J7" s="132">
        <v>545.05087661119569</v>
      </c>
      <c r="K7" s="132">
        <v>435.02817873996764</v>
      </c>
      <c r="L7" s="132">
        <v>500.41163921217554</v>
      </c>
      <c r="M7" s="132">
        <v>422.1413826605272</v>
      </c>
      <c r="N7" s="132">
        <v>428.07102124087368</v>
      </c>
      <c r="O7" s="132">
        <v>484.25745969802807</v>
      </c>
      <c r="P7" s="132">
        <v>373.49894446584602</v>
      </c>
      <c r="Q7" s="132">
        <v>460.57256676544796</v>
      </c>
      <c r="R7" s="132">
        <v>422.10581424502379</v>
      </c>
      <c r="S7" s="132">
        <v>433.66287266067923</v>
      </c>
      <c r="T7" s="132">
        <v>432.14036806464304</v>
      </c>
      <c r="U7" s="132">
        <v>342.49500607067495</v>
      </c>
      <c r="V7" s="132">
        <v>381.10167101564696</v>
      </c>
      <c r="W7" s="132">
        <v>306.47435228934785</v>
      </c>
      <c r="X7" s="132">
        <v>242.29480984198912</v>
      </c>
      <c r="Y7" s="132">
        <v>244.83758149049982</v>
      </c>
      <c r="DA7" s="156" t="s">
        <v>305</v>
      </c>
    </row>
    <row r="8" spans="1:105" ht="12" customHeight="1" x14ac:dyDescent="0.25">
      <c r="A8" s="131" t="s">
        <v>73</v>
      </c>
      <c r="B8" s="132">
        <v>2.1475776970546825E-2</v>
      </c>
      <c r="C8" s="132">
        <v>2.4895914253006923E-2</v>
      </c>
      <c r="D8" s="132">
        <v>2.8095159319911581E-2</v>
      </c>
      <c r="E8" s="132">
        <v>3.0233036806879058E-2</v>
      </c>
      <c r="F8" s="132">
        <v>3.7104487007125937E-2</v>
      </c>
      <c r="G8" s="132">
        <v>3.883041943306613E-2</v>
      </c>
      <c r="H8" s="132">
        <v>4.3905588910605205E-2</v>
      </c>
      <c r="I8" s="132">
        <v>4.3497761048905417E-2</v>
      </c>
      <c r="J8" s="132">
        <v>5.2818051050565681E-2</v>
      </c>
      <c r="K8" s="132">
        <v>6.1271399894539405E-2</v>
      </c>
      <c r="L8" s="132">
        <v>6.9883393841182556E-2</v>
      </c>
      <c r="M8" s="132">
        <v>6.7409494404196899E-2</v>
      </c>
      <c r="N8" s="132">
        <v>8.7389339693596593E-2</v>
      </c>
      <c r="O8" s="132">
        <v>0.11178152113901445</v>
      </c>
      <c r="P8" s="132">
        <v>9.5479651588919745E-2</v>
      </c>
      <c r="Q8" s="132">
        <v>0.11685423092588065</v>
      </c>
      <c r="R8" s="132">
        <v>0.12837331877142261</v>
      </c>
      <c r="S8" s="132">
        <v>0.13014384752940047</v>
      </c>
      <c r="T8" s="132">
        <v>0.13841793337792532</v>
      </c>
      <c r="U8" s="132">
        <v>0.15007618301522582</v>
      </c>
      <c r="V8" s="132">
        <v>0.16507794029026696</v>
      </c>
      <c r="W8" s="132">
        <v>0.20083281265595043</v>
      </c>
      <c r="X8" s="132">
        <v>0.30738133567140979</v>
      </c>
      <c r="Y8" s="132">
        <v>0.39496453099208462</v>
      </c>
      <c r="DA8" s="156" t="s">
        <v>306</v>
      </c>
    </row>
    <row r="9" spans="1:105" ht="12" customHeight="1" x14ac:dyDescent="0.25">
      <c r="A9" s="131" t="s">
        <v>78</v>
      </c>
      <c r="B9" s="132">
        <v>651.36303006475384</v>
      </c>
      <c r="C9" s="132">
        <v>709.34369054762874</v>
      </c>
      <c r="D9" s="132">
        <v>697.37642500759216</v>
      </c>
      <c r="E9" s="132">
        <v>730.86148345030006</v>
      </c>
      <c r="F9" s="132">
        <v>701.75518727062877</v>
      </c>
      <c r="G9" s="132">
        <v>685.72614060848105</v>
      </c>
      <c r="H9" s="132">
        <v>699.220729424316</v>
      </c>
      <c r="I9" s="132">
        <v>680.54345766624999</v>
      </c>
      <c r="J9" s="132">
        <v>819.30367504495086</v>
      </c>
      <c r="K9" s="132">
        <v>881.09689010336069</v>
      </c>
      <c r="L9" s="132">
        <v>998.08777049199921</v>
      </c>
      <c r="M9" s="132">
        <v>788.50670541395516</v>
      </c>
      <c r="N9" s="132">
        <v>927.61001695238906</v>
      </c>
      <c r="O9" s="132">
        <v>1047.8689691121256</v>
      </c>
      <c r="P9" s="132">
        <v>785.05325572158836</v>
      </c>
      <c r="Q9" s="132">
        <v>918.18165245529849</v>
      </c>
      <c r="R9" s="132">
        <v>1003.8473870272363</v>
      </c>
      <c r="S9" s="132">
        <v>1013.9885386443558</v>
      </c>
      <c r="T9" s="132">
        <v>1048.4154627671098</v>
      </c>
      <c r="U9" s="132">
        <v>1060.3715894558511</v>
      </c>
      <c r="V9" s="132">
        <v>1008.5920354726107</v>
      </c>
      <c r="W9" s="132">
        <v>1222.5235586169863</v>
      </c>
      <c r="X9" s="132">
        <v>953.1056141669203</v>
      </c>
      <c r="Y9" s="132">
        <v>900.7374696962919</v>
      </c>
      <c r="DA9" s="156" t="s">
        <v>307</v>
      </c>
    </row>
    <row r="10" spans="1:105" ht="12" customHeight="1" x14ac:dyDescent="0.25">
      <c r="A10" s="131" t="s">
        <v>128</v>
      </c>
      <c r="B10" s="132">
        <v>8.1945700924919915E-3</v>
      </c>
      <c r="C10" s="132">
        <v>8.4309929147179351E-3</v>
      </c>
      <c r="D10" s="132">
        <v>1.0446154081747143E-2</v>
      </c>
      <c r="E10" s="132">
        <v>1.0697703646526415E-2</v>
      </c>
      <c r="F10" s="132">
        <v>1.8714704525284025</v>
      </c>
      <c r="G10" s="132">
        <v>2.3846485755767666</v>
      </c>
      <c r="H10" s="132">
        <v>2.3723375719642181</v>
      </c>
      <c r="I10" s="132">
        <v>2.4390690929531793</v>
      </c>
      <c r="J10" s="132">
        <v>0.77066464672654722</v>
      </c>
      <c r="K10" s="132">
        <v>0.42962605588673802</v>
      </c>
      <c r="L10" s="132">
        <v>2.8778089508173101</v>
      </c>
      <c r="M10" s="132">
        <v>3.6012314485813128</v>
      </c>
      <c r="N10" s="132">
        <v>8.9103042381838229</v>
      </c>
      <c r="O10" s="132">
        <v>18.51557636985822</v>
      </c>
      <c r="P10" s="132">
        <v>25.625982360849406</v>
      </c>
      <c r="Q10" s="132">
        <v>30.283953568867236</v>
      </c>
      <c r="R10" s="132">
        <v>31.447093570911402</v>
      </c>
      <c r="S10" s="132">
        <v>30.890982560897303</v>
      </c>
      <c r="T10" s="132">
        <v>31.210925787237958</v>
      </c>
      <c r="U10" s="132">
        <v>32.953951194518098</v>
      </c>
      <c r="V10" s="132">
        <v>32.638253696907903</v>
      </c>
      <c r="W10" s="132">
        <v>32.247997194701846</v>
      </c>
      <c r="X10" s="132">
        <v>31.135769033733528</v>
      </c>
      <c r="Y10" s="132">
        <v>27.22652301246934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309</v>
      </c>
    </row>
    <row r="12" spans="1:105" ht="12" customHeight="1" x14ac:dyDescent="0.25">
      <c r="A12" s="131" t="s">
        <v>162</v>
      </c>
      <c r="B12" s="132">
        <v>35.695367234723612</v>
      </c>
      <c r="C12" s="132">
        <v>35.708152597464213</v>
      </c>
      <c r="D12" s="132">
        <v>35.203869236960401</v>
      </c>
      <c r="E12" s="132">
        <v>34.487316668010614</v>
      </c>
      <c r="F12" s="132">
        <v>40.423451919833859</v>
      </c>
      <c r="G12" s="132">
        <v>38.751256455850438</v>
      </c>
      <c r="H12" s="132">
        <v>47.053677097969043</v>
      </c>
      <c r="I12" s="132">
        <v>51.268381314346456</v>
      </c>
      <c r="J12" s="132">
        <v>25.448413858599366</v>
      </c>
      <c r="K12" s="132">
        <v>26.943539491646192</v>
      </c>
      <c r="L12" s="132">
        <v>39.164854128711042</v>
      </c>
      <c r="M12" s="132">
        <v>34.458179950883654</v>
      </c>
      <c r="N12" s="132">
        <v>34.48460022038315</v>
      </c>
      <c r="O12" s="132">
        <v>33.210337014137401</v>
      </c>
      <c r="P12" s="132">
        <v>44.549413405875264</v>
      </c>
      <c r="Q12" s="132">
        <v>50.730451419647132</v>
      </c>
      <c r="R12" s="132">
        <v>46.541098193890534</v>
      </c>
      <c r="S12" s="132">
        <v>41.407911115113954</v>
      </c>
      <c r="T12" s="132">
        <v>45.45146931622466</v>
      </c>
      <c r="U12" s="132">
        <v>46.380872415962578</v>
      </c>
      <c r="V12" s="132">
        <v>55.987522633612087</v>
      </c>
      <c r="W12" s="132">
        <v>61.118402292526127</v>
      </c>
      <c r="X12" s="132">
        <v>58.610722500344046</v>
      </c>
      <c r="Y12" s="132">
        <v>69.814326214848521</v>
      </c>
      <c r="DA12" s="156" t="s">
        <v>310</v>
      </c>
    </row>
    <row r="13" spans="1:105" ht="12" customHeight="1" x14ac:dyDescent="0.25">
      <c r="A13" s="131" t="s">
        <v>77</v>
      </c>
      <c r="B13" s="132">
        <v>4.2024771289380307E-2</v>
      </c>
      <c r="C13" s="132">
        <v>6.5475235659313208E-2</v>
      </c>
      <c r="D13" s="132">
        <v>7.1231178595648467E-2</v>
      </c>
      <c r="E13" s="132">
        <v>7.738583797586869E-2</v>
      </c>
      <c r="F13" s="132">
        <v>0.1054216375370126</v>
      </c>
      <c r="G13" s="132">
        <v>0.20584754308493522</v>
      </c>
      <c r="H13" s="132">
        <v>1.6223992967530614</v>
      </c>
      <c r="I13" s="132">
        <v>2.3720169315412343</v>
      </c>
      <c r="J13" s="132">
        <v>3.1130131184176246</v>
      </c>
      <c r="K13" s="132">
        <v>3.7933657264388612</v>
      </c>
      <c r="L13" s="132">
        <v>4.0049620293958714</v>
      </c>
      <c r="M13" s="132">
        <v>4.4129830602541524</v>
      </c>
      <c r="N13" s="132">
        <v>4.996080338950839</v>
      </c>
      <c r="O13" s="132">
        <v>5.7992075633400626</v>
      </c>
      <c r="P13" s="132">
        <v>5.165715743401492</v>
      </c>
      <c r="Q13" s="132">
        <v>4.9762572396741795</v>
      </c>
      <c r="R13" s="132">
        <v>5.246646764395428</v>
      </c>
      <c r="S13" s="132">
        <v>5.2725102239543489</v>
      </c>
      <c r="T13" s="132">
        <v>12.677068841842841</v>
      </c>
      <c r="U13" s="132">
        <v>18.76720100135492</v>
      </c>
      <c r="V13" s="132">
        <v>23.406709057386802</v>
      </c>
      <c r="W13" s="132">
        <v>41.153024712706262</v>
      </c>
      <c r="X13" s="132">
        <v>43.25953887318488</v>
      </c>
      <c r="Y13" s="132">
        <v>52.602202462223609</v>
      </c>
      <c r="DA13" s="156" t="s">
        <v>311</v>
      </c>
    </row>
    <row r="14" spans="1:105" ht="12" customHeight="1" x14ac:dyDescent="0.25">
      <c r="A14" s="60" t="s">
        <v>76</v>
      </c>
      <c r="B14" s="65">
        <v>184.32253051113241</v>
      </c>
      <c r="C14" s="65">
        <v>189.20472007374664</v>
      </c>
      <c r="D14" s="65">
        <v>53.904517535084992</v>
      </c>
      <c r="E14" s="65">
        <v>8.9677258147997598</v>
      </c>
      <c r="F14" s="65">
        <v>536.69094851810939</v>
      </c>
      <c r="G14" s="65">
        <v>544.73648842604462</v>
      </c>
      <c r="H14" s="65">
        <v>501.63239881296869</v>
      </c>
      <c r="I14" s="65">
        <v>483.28492529777645</v>
      </c>
      <c r="J14" s="65">
        <v>484.45257764640945</v>
      </c>
      <c r="K14" s="65">
        <v>493.31956963845005</v>
      </c>
      <c r="L14" s="65">
        <v>447.87576183460487</v>
      </c>
      <c r="M14" s="65">
        <v>378.28303494046372</v>
      </c>
      <c r="N14" s="65">
        <v>372.06446348070961</v>
      </c>
      <c r="O14" s="65">
        <v>369.3210637465134</v>
      </c>
      <c r="P14" s="65">
        <v>289.53352597236068</v>
      </c>
      <c r="Q14" s="65">
        <v>295.10638605407792</v>
      </c>
      <c r="R14" s="65">
        <v>293.00265010161081</v>
      </c>
      <c r="S14" s="65">
        <v>296.88089185322161</v>
      </c>
      <c r="T14" s="65">
        <v>309.76679661655805</v>
      </c>
      <c r="U14" s="65">
        <v>339.00690710505546</v>
      </c>
      <c r="V14" s="65">
        <v>314.05964422211088</v>
      </c>
      <c r="W14" s="65">
        <v>349.75655884580232</v>
      </c>
      <c r="X14" s="65">
        <v>321.01666633268343</v>
      </c>
      <c r="Y14" s="65">
        <v>272.48549213191825</v>
      </c>
      <c r="DA14" s="109" t="s">
        <v>312</v>
      </c>
    </row>
    <row r="15" spans="1:105" ht="12" customHeight="1" x14ac:dyDescent="0.25">
      <c r="A15" s="133" t="s">
        <v>80</v>
      </c>
      <c r="B15" s="134">
        <v>19.966331258920469</v>
      </c>
      <c r="C15" s="134">
        <v>21.043631936611497</v>
      </c>
      <c r="D15" s="134">
        <v>23.150787483322539</v>
      </c>
      <c r="E15" s="134">
        <v>25.037389775933519</v>
      </c>
      <c r="F15" s="134">
        <v>24.078834401900775</v>
      </c>
      <c r="G15" s="134">
        <v>23.485682383823857</v>
      </c>
      <c r="H15" s="134">
        <v>21.883472762798103</v>
      </c>
      <c r="I15" s="134">
        <v>19.77137232935964</v>
      </c>
      <c r="J15" s="134">
        <v>23.838135834310261</v>
      </c>
      <c r="K15" s="134">
        <v>22.705937457080957</v>
      </c>
      <c r="L15" s="134">
        <v>25.62764073057469</v>
      </c>
      <c r="M15" s="134">
        <v>20.505845801208203</v>
      </c>
      <c r="N15" s="134">
        <v>22.763051697250678</v>
      </c>
      <c r="O15" s="134">
        <v>25.546963376053323</v>
      </c>
      <c r="P15" s="134">
        <v>19.342498001735361</v>
      </c>
      <c r="Q15" s="134">
        <v>22.849325365732607</v>
      </c>
      <c r="R15" s="134">
        <v>23.467462545014403</v>
      </c>
      <c r="S15" s="134">
        <v>23.668251933457302</v>
      </c>
      <c r="T15" s="134">
        <v>24.114786371043387</v>
      </c>
      <c r="U15" s="134">
        <v>22.823341669935843</v>
      </c>
      <c r="V15" s="134">
        <v>22.606411518031049</v>
      </c>
      <c r="W15" s="134">
        <v>24.752637905825679</v>
      </c>
      <c r="X15" s="134">
        <v>19.455439445556564</v>
      </c>
      <c r="Y15" s="134">
        <v>18.697041451651966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26.76529892381572</v>
      </c>
      <c r="C16" s="130">
        <f t="shared" si="6"/>
        <v>36.125386248301375</v>
      </c>
      <c r="D16" s="130">
        <f t="shared" si="6"/>
        <v>50.081884731650106</v>
      </c>
      <c r="E16" s="130">
        <f t="shared" si="6"/>
        <v>77.143665981869944</v>
      </c>
      <c r="F16" s="130">
        <f t="shared" si="6"/>
        <v>73.752450443098297</v>
      </c>
      <c r="G16" s="130">
        <f t="shared" si="6"/>
        <v>91.829622020753533</v>
      </c>
      <c r="H16" s="130">
        <f t="shared" si="6"/>
        <v>138.73978446390444</v>
      </c>
      <c r="I16" s="130">
        <f t="shared" si="6"/>
        <v>132.03750191188772</v>
      </c>
      <c r="J16" s="130">
        <f t="shared" si="6"/>
        <v>152.36430253225697</v>
      </c>
      <c r="K16" s="130">
        <f t="shared" si="6"/>
        <v>174.23151329858842</v>
      </c>
      <c r="L16" s="130">
        <f t="shared" si="6"/>
        <v>209.09380235250194</v>
      </c>
      <c r="M16" s="130">
        <f t="shared" si="6"/>
        <v>215.77385288681779</v>
      </c>
      <c r="N16" s="130">
        <f t="shared" si="6"/>
        <v>233.22294329628036</v>
      </c>
      <c r="O16" s="130">
        <f t="shared" si="6"/>
        <v>253.12640540053354</v>
      </c>
      <c r="P16" s="130">
        <f t="shared" si="6"/>
        <v>257.89168630449956</v>
      </c>
      <c r="Q16" s="130">
        <f t="shared" si="6"/>
        <v>301.39401049037588</v>
      </c>
      <c r="R16" s="130">
        <f t="shared" ref="R16:W16" si="7">SUM(R17:R18)</f>
        <v>306.11684807737981</v>
      </c>
      <c r="S16" s="130">
        <f t="shared" si="7"/>
        <v>296.12766207871391</v>
      </c>
      <c r="T16" s="130">
        <f t="shared" si="7"/>
        <v>343.13549227229026</v>
      </c>
      <c r="U16" s="130">
        <f t="shared" si="7"/>
        <v>336.27206193020385</v>
      </c>
      <c r="V16" s="130">
        <f t="shared" si="7"/>
        <v>368.13351693204299</v>
      </c>
      <c r="W16" s="130">
        <f t="shared" si="7"/>
        <v>305.27884438104371</v>
      </c>
      <c r="X16" s="130">
        <f t="shared" ref="X16:Y16" si="8">SUM(X17:X18)</f>
        <v>353.57696135880747</v>
      </c>
      <c r="Y16" s="130">
        <f t="shared" si="8"/>
        <v>325.85804189675878</v>
      </c>
      <c r="DA16" s="155" t="s">
        <v>314</v>
      </c>
    </row>
    <row r="17" spans="1:105" ht="12.95" customHeight="1" x14ac:dyDescent="0.25">
      <c r="A17" s="131" t="s">
        <v>73</v>
      </c>
      <c r="B17" s="132">
        <v>2.3760796049081219E-2</v>
      </c>
      <c r="C17" s="132">
        <v>3.3930749982962589E-2</v>
      </c>
      <c r="D17" s="132">
        <v>5.1242394322642409E-2</v>
      </c>
      <c r="E17" s="132">
        <v>6.3756138893754838E-2</v>
      </c>
      <c r="F17" s="132">
        <v>9.2649560558435984E-2</v>
      </c>
      <c r="G17" s="132">
        <v>0.13212237219654577</v>
      </c>
      <c r="H17" s="132">
        <v>0.18613223599092724</v>
      </c>
      <c r="I17" s="132">
        <v>0.22919504923596909</v>
      </c>
      <c r="J17" s="132">
        <v>0.31392905555744799</v>
      </c>
      <c r="K17" s="132">
        <v>0.39915980971372272</v>
      </c>
      <c r="L17" s="132">
        <v>0.46587750560810748</v>
      </c>
      <c r="M17" s="132">
        <v>0.51505998244053419</v>
      </c>
      <c r="N17" s="132">
        <v>0.59562200214707084</v>
      </c>
      <c r="O17" s="132">
        <v>0.73945728484854767</v>
      </c>
      <c r="P17" s="132">
        <v>0.94975633659409153</v>
      </c>
      <c r="Q17" s="132">
        <v>1.4691632767301399</v>
      </c>
      <c r="R17" s="132">
        <v>1.7076496029457084</v>
      </c>
      <c r="S17" s="132">
        <v>1.7363625643397824</v>
      </c>
      <c r="T17" s="132">
        <v>2.2648836585513172</v>
      </c>
      <c r="U17" s="132">
        <v>2.5434207552393318</v>
      </c>
      <c r="V17" s="132">
        <v>3.0824732852854559</v>
      </c>
      <c r="W17" s="132">
        <v>2.3085681822440773</v>
      </c>
      <c r="X17" s="132">
        <v>2.8545351549684592</v>
      </c>
      <c r="Y17" s="132">
        <v>2.6557125728611068</v>
      </c>
      <c r="DA17" s="156" t="s">
        <v>315</v>
      </c>
    </row>
    <row r="18" spans="1:105" ht="12" customHeight="1" x14ac:dyDescent="0.25">
      <c r="A18" s="131" t="s">
        <v>72</v>
      </c>
      <c r="B18" s="132">
        <v>26.741538127766638</v>
      </c>
      <c r="C18" s="132">
        <v>36.09145549831841</v>
      </c>
      <c r="D18" s="132">
        <v>50.030642337327464</v>
      </c>
      <c r="E18" s="132">
        <v>77.079909842976193</v>
      </c>
      <c r="F18" s="132">
        <v>73.659800882539855</v>
      </c>
      <c r="G18" s="132">
        <v>91.697499648556985</v>
      </c>
      <c r="H18" s="132">
        <v>138.55365222791352</v>
      </c>
      <c r="I18" s="132">
        <v>131.80830686265173</v>
      </c>
      <c r="J18" s="132">
        <v>152.05037347669952</v>
      </c>
      <c r="K18" s="132">
        <v>173.8323534888747</v>
      </c>
      <c r="L18" s="132">
        <v>208.62792484689382</v>
      </c>
      <c r="M18" s="132">
        <v>215.25879290437726</v>
      </c>
      <c r="N18" s="132">
        <v>232.62732129413328</v>
      </c>
      <c r="O18" s="132">
        <v>252.38694811568499</v>
      </c>
      <c r="P18" s="132">
        <v>256.94192996790548</v>
      </c>
      <c r="Q18" s="132">
        <v>299.92484721364576</v>
      </c>
      <c r="R18" s="132">
        <v>304.40919847443411</v>
      </c>
      <c r="S18" s="132">
        <v>294.39129951437411</v>
      </c>
      <c r="T18" s="132">
        <v>340.87060861373897</v>
      </c>
      <c r="U18" s="132">
        <v>333.72864117496454</v>
      </c>
      <c r="V18" s="132">
        <v>365.05104364675753</v>
      </c>
      <c r="W18" s="132">
        <v>302.97027619879964</v>
      </c>
      <c r="X18" s="132">
        <v>350.72242620383901</v>
      </c>
      <c r="Y18" s="132">
        <v>323.20232932389769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215.26129180828903</v>
      </c>
      <c r="C19" s="130">
        <f t="shared" si="9"/>
        <v>218.51836936417592</v>
      </c>
      <c r="D19" s="130">
        <f t="shared" si="9"/>
        <v>235.68212236840463</v>
      </c>
      <c r="E19" s="130">
        <f t="shared" si="9"/>
        <v>244.83921210866669</v>
      </c>
      <c r="F19" s="130">
        <f t="shared" si="9"/>
        <v>235.50309449874749</v>
      </c>
      <c r="G19" s="130">
        <f t="shared" si="9"/>
        <v>237.34930298723017</v>
      </c>
      <c r="H19" s="130">
        <f t="shared" si="9"/>
        <v>243.98078151509117</v>
      </c>
      <c r="I19" s="130">
        <f t="shared" si="9"/>
        <v>248.92060718329992</v>
      </c>
      <c r="J19" s="130">
        <f t="shared" si="9"/>
        <v>252.95270870295471</v>
      </c>
      <c r="K19" s="130">
        <f t="shared" si="9"/>
        <v>256.69458868301086</v>
      </c>
      <c r="L19" s="130">
        <f t="shared" si="9"/>
        <v>263.26134643934347</v>
      </c>
      <c r="M19" s="130">
        <f t="shared" si="9"/>
        <v>271.63161928620684</v>
      </c>
      <c r="N19" s="130">
        <f t="shared" si="9"/>
        <v>280.70036193278366</v>
      </c>
      <c r="O19" s="130">
        <f t="shared" si="9"/>
        <v>289.50517978314775</v>
      </c>
      <c r="P19" s="130">
        <f t="shared" si="9"/>
        <v>293.75561728418467</v>
      </c>
      <c r="Q19" s="130">
        <f t="shared" si="9"/>
        <v>295.90480171704917</v>
      </c>
      <c r="R19" s="130">
        <f t="shared" ref="R19:W19" si="10">SUM(R20:R27)</f>
        <v>302.61685088292063</v>
      </c>
      <c r="S19" s="130">
        <f t="shared" si="10"/>
        <v>308.2500729201227</v>
      </c>
      <c r="T19" s="130">
        <f t="shared" si="10"/>
        <v>311.66734279183925</v>
      </c>
      <c r="U19" s="130">
        <f t="shared" si="10"/>
        <v>299.83561113192542</v>
      </c>
      <c r="V19" s="130">
        <f t="shared" si="10"/>
        <v>288.8369605321509</v>
      </c>
      <c r="W19" s="130">
        <f t="shared" si="10"/>
        <v>308.46396915725865</v>
      </c>
      <c r="X19" s="130">
        <f t="shared" ref="X19:Y19" si="11">SUM(X20:X27)</f>
        <v>316.6191921765008</v>
      </c>
      <c r="Y19" s="130">
        <f t="shared" si="11"/>
        <v>325.81494524934732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7.1227668507781932</v>
      </c>
      <c r="C21" s="132">
        <v>7.2497901515269065</v>
      </c>
      <c r="D21" s="132">
        <v>7.2177783237489583</v>
      </c>
      <c r="E21" s="132">
        <v>7.064683925900809</v>
      </c>
      <c r="F21" s="132">
        <v>6.8433645822016951</v>
      </c>
      <c r="G21" s="132">
        <v>3.1701519113562364</v>
      </c>
      <c r="H21" s="132">
        <v>2.9555137109195226</v>
      </c>
      <c r="I21" s="132">
        <v>2.4679712097065409</v>
      </c>
      <c r="J21" s="132">
        <v>1.8379082012823162</v>
      </c>
      <c r="K21" s="132">
        <v>1.659532162159673</v>
      </c>
      <c r="L21" s="132">
        <v>1.4412992725305911</v>
      </c>
      <c r="M21" s="132">
        <v>1.604803767011395</v>
      </c>
      <c r="N21" s="132">
        <v>1.9577560405219825</v>
      </c>
      <c r="O21" s="132">
        <v>2.1799605969669806</v>
      </c>
      <c r="P21" s="132">
        <v>2.2065442633899308</v>
      </c>
      <c r="Q21" s="132">
        <v>2.5122489964485903</v>
      </c>
      <c r="R21" s="132">
        <v>2.6488968851953594</v>
      </c>
      <c r="S21" s="132">
        <v>2.9361532490321882</v>
      </c>
      <c r="T21" s="132">
        <v>3.1237181360302575</v>
      </c>
      <c r="U21" s="132">
        <v>3.1933840564472855</v>
      </c>
      <c r="V21" s="132">
        <v>2.7747738803726669</v>
      </c>
      <c r="W21" s="132">
        <v>3.191154785753938</v>
      </c>
      <c r="X21" s="132">
        <v>5.1165899281438429</v>
      </c>
      <c r="Y21" s="132">
        <v>4.4150920858456333</v>
      </c>
      <c r="DA21" s="156" t="s">
        <v>319</v>
      </c>
    </row>
    <row r="22" spans="1:105" ht="12" customHeight="1" x14ac:dyDescent="0.25">
      <c r="A22" s="131" t="s">
        <v>161</v>
      </c>
      <c r="B22" s="132">
        <v>62.037171262819399</v>
      </c>
      <c r="C22" s="132">
        <v>61.319826227531657</v>
      </c>
      <c r="D22" s="132">
        <v>60.711480277567091</v>
      </c>
      <c r="E22" s="132">
        <v>60.348010691257144</v>
      </c>
      <c r="F22" s="132">
        <v>59.444859822693374</v>
      </c>
      <c r="G22" s="132">
        <v>58.551878027451465</v>
      </c>
      <c r="H22" s="132">
        <v>57.848414581797336</v>
      </c>
      <c r="I22" s="132">
        <v>56.892419566466259</v>
      </c>
      <c r="J22" s="132">
        <v>54.022096619384371</v>
      </c>
      <c r="K22" s="132">
        <v>53.696255022582228</v>
      </c>
      <c r="L22" s="132">
        <v>53.179088138594068</v>
      </c>
      <c r="M22" s="132">
        <v>53.639943378523562</v>
      </c>
      <c r="N22" s="132">
        <v>53.896186776342866</v>
      </c>
      <c r="O22" s="132">
        <v>53.999445253920783</v>
      </c>
      <c r="P22" s="132">
        <v>54.171188060578949</v>
      </c>
      <c r="Q22" s="132">
        <v>54.416996378417501</v>
      </c>
      <c r="R22" s="132">
        <v>53.2075229357079</v>
      </c>
      <c r="S22" s="132">
        <v>52.659658166303245</v>
      </c>
      <c r="T22" s="132">
        <v>50.727256372942279</v>
      </c>
      <c r="U22" s="132">
        <v>41.069607925318643</v>
      </c>
      <c r="V22" s="132">
        <v>38.70770957393173</v>
      </c>
      <c r="W22" s="132">
        <v>41.740059877071708</v>
      </c>
      <c r="X22" s="132">
        <v>48.164669101512054</v>
      </c>
      <c r="Y22" s="132">
        <v>50.689900234655113</v>
      </c>
      <c r="DA22" s="156" t="s">
        <v>320</v>
      </c>
    </row>
    <row r="23" spans="1:105" ht="12" customHeight="1" x14ac:dyDescent="0.25">
      <c r="A23" s="131" t="s">
        <v>149</v>
      </c>
      <c r="B23" s="132">
        <v>104.91786328429927</v>
      </c>
      <c r="C23" s="132">
        <v>107.25631667788032</v>
      </c>
      <c r="D23" s="132">
        <v>109.93296003952052</v>
      </c>
      <c r="E23" s="132">
        <v>112.56683162828135</v>
      </c>
      <c r="F23" s="132">
        <v>115.24793672470689</v>
      </c>
      <c r="G23" s="132">
        <v>118.10113800146324</v>
      </c>
      <c r="H23" s="132">
        <v>120.74742545553325</v>
      </c>
      <c r="I23" s="132">
        <v>124.63932340643761</v>
      </c>
      <c r="J23" s="132">
        <v>127.67530434566466</v>
      </c>
      <c r="K23" s="132">
        <v>129.52832568565245</v>
      </c>
      <c r="L23" s="132">
        <v>133.10635165052796</v>
      </c>
      <c r="M23" s="132">
        <v>137.8017654041179</v>
      </c>
      <c r="N23" s="132">
        <v>142.94270546377007</v>
      </c>
      <c r="O23" s="132">
        <v>146.29366655628931</v>
      </c>
      <c r="P23" s="132">
        <v>145.7107313193041</v>
      </c>
      <c r="Q23" s="132">
        <v>146.46954824812514</v>
      </c>
      <c r="R23" s="132">
        <v>147.19913060952632</v>
      </c>
      <c r="S23" s="132">
        <v>149.14672157486814</v>
      </c>
      <c r="T23" s="132">
        <v>150.48466366847023</v>
      </c>
      <c r="U23" s="132">
        <v>151.75557080755257</v>
      </c>
      <c r="V23" s="132">
        <v>149.98494440007966</v>
      </c>
      <c r="W23" s="132">
        <v>163.33598463301024</v>
      </c>
      <c r="X23" s="132">
        <v>137.94809109460329</v>
      </c>
      <c r="Y23" s="132">
        <v>126.55802180705713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5.0793327589308914</v>
      </c>
      <c r="C25" s="132">
        <v>5.0088301976523555</v>
      </c>
      <c r="D25" s="132">
        <v>5.0233377670961739</v>
      </c>
      <c r="E25" s="132">
        <v>4.9852537236053616</v>
      </c>
      <c r="F25" s="132">
        <v>5.0090032353375005</v>
      </c>
      <c r="G25" s="132">
        <v>5.0385781789841424</v>
      </c>
      <c r="H25" s="132">
        <v>5.0285363367018707</v>
      </c>
      <c r="I25" s="132">
        <v>4.9371844591512595</v>
      </c>
      <c r="J25" s="132">
        <v>4.9168118162528192</v>
      </c>
      <c r="K25" s="132">
        <v>4.9258304270333362</v>
      </c>
      <c r="L25" s="132">
        <v>5.7896170747338118</v>
      </c>
      <c r="M25" s="132">
        <v>5.7522935505715607</v>
      </c>
      <c r="N25" s="132">
        <v>5.681173017029896</v>
      </c>
      <c r="O25" s="132">
        <v>5.8026979105984982</v>
      </c>
      <c r="P25" s="132">
        <v>5.3861706725470322</v>
      </c>
      <c r="Q25" s="132">
        <v>5.7369195586772639</v>
      </c>
      <c r="R25" s="132">
        <v>5.9141300517822053</v>
      </c>
      <c r="S25" s="132">
        <v>5.9664093127878894</v>
      </c>
      <c r="T25" s="132">
        <v>5.9869431774348678</v>
      </c>
      <c r="U25" s="132">
        <v>5.9841524674339839</v>
      </c>
      <c r="V25" s="132">
        <v>5.7896041363350497</v>
      </c>
      <c r="W25" s="132">
        <v>5.9652390819612746</v>
      </c>
      <c r="X25" s="132">
        <v>8.9892069252149387</v>
      </c>
      <c r="Y25" s="132">
        <v>9.930171077410769</v>
      </c>
      <c r="DA25" s="156" t="s">
        <v>323</v>
      </c>
    </row>
    <row r="26" spans="1:105" ht="12" customHeight="1" x14ac:dyDescent="0.25">
      <c r="A26" s="131" t="s">
        <v>24</v>
      </c>
      <c r="B26" s="65">
        <v>35.554802535382166</v>
      </c>
      <c r="C26" s="65">
        <v>37.51645219728892</v>
      </c>
      <c r="D26" s="65">
        <v>52.605508350841632</v>
      </c>
      <c r="E26" s="65">
        <v>59.587845725176635</v>
      </c>
      <c r="F26" s="65">
        <v>48.647440022028157</v>
      </c>
      <c r="G26" s="65">
        <v>52.177066756195224</v>
      </c>
      <c r="H26" s="65">
        <v>57.018776210878642</v>
      </c>
      <c r="I26" s="65">
        <v>59.434353425459129</v>
      </c>
      <c r="J26" s="65">
        <v>63.760174994661185</v>
      </c>
      <c r="K26" s="65">
        <v>65.356012539495467</v>
      </c>
      <c r="L26" s="65">
        <v>68.952041033825509</v>
      </c>
      <c r="M26" s="65">
        <v>71.982512240152687</v>
      </c>
      <c r="N26" s="65">
        <v>75.374647255927115</v>
      </c>
      <c r="O26" s="65">
        <v>80.328979542758276</v>
      </c>
      <c r="P26" s="65">
        <v>85.270664825630377</v>
      </c>
      <c r="Q26" s="65">
        <v>85.675193436498446</v>
      </c>
      <c r="R26" s="65">
        <v>92.295321733468995</v>
      </c>
      <c r="S26" s="65">
        <v>96.153426403889611</v>
      </c>
      <c r="T26" s="65">
        <v>99.797040026815452</v>
      </c>
      <c r="U26" s="65">
        <v>96.330574293057751</v>
      </c>
      <c r="V26" s="65">
        <v>89.989214869892692</v>
      </c>
      <c r="W26" s="65">
        <v>92.774609025377231</v>
      </c>
      <c r="X26" s="65">
        <v>114.80278474009634</v>
      </c>
      <c r="Y26" s="65">
        <v>132.76243072365639</v>
      </c>
      <c r="DA26" s="109" t="s">
        <v>324</v>
      </c>
    </row>
    <row r="27" spans="1:105" ht="12" customHeight="1" x14ac:dyDescent="0.25">
      <c r="A27" s="144" t="s">
        <v>26</v>
      </c>
      <c r="B27" s="145">
        <v>0.5493551160791057</v>
      </c>
      <c r="C27" s="145">
        <v>0.16715391229578666</v>
      </c>
      <c r="D27" s="145">
        <v>0.19105760963026663</v>
      </c>
      <c r="E27" s="145">
        <v>0.28658641444539978</v>
      </c>
      <c r="F27" s="145">
        <v>0.31049011177987973</v>
      </c>
      <c r="G27" s="145">
        <v>0.31049011177987956</v>
      </c>
      <c r="H27" s="145">
        <v>0.38211521926053305</v>
      </c>
      <c r="I27" s="145">
        <v>0.5493551160791057</v>
      </c>
      <c r="J27" s="145">
        <v>0.74041272570937233</v>
      </c>
      <c r="K27" s="145">
        <v>1.5286328460877034</v>
      </c>
      <c r="L27" s="145">
        <v>0.79294926913155683</v>
      </c>
      <c r="M27" s="145">
        <v>0.85030094582975069</v>
      </c>
      <c r="N27" s="145">
        <v>0.84789337919174557</v>
      </c>
      <c r="O27" s="145">
        <v>0.9004299226139294</v>
      </c>
      <c r="P27" s="145">
        <v>1.0103181427343082</v>
      </c>
      <c r="Q27" s="145">
        <v>1.0938950988822012</v>
      </c>
      <c r="R27" s="145">
        <v>1.3518486672398971</v>
      </c>
      <c r="S27" s="145">
        <v>1.387704213241616</v>
      </c>
      <c r="T27" s="145">
        <v>1.5477214101461743</v>
      </c>
      <c r="U27" s="145">
        <v>1.5023215821152183</v>
      </c>
      <c r="V27" s="145">
        <v>1.5907136715391235</v>
      </c>
      <c r="W27" s="145">
        <v>1.4569217540842658</v>
      </c>
      <c r="X27" s="145">
        <v>1.5978503869303518</v>
      </c>
      <c r="Y27" s="145">
        <v>1.4593293207222711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171.00353259386026</v>
      </c>
      <c r="C29" s="130">
        <f t="shared" si="12"/>
        <v>178.28855393049474</v>
      </c>
      <c r="D29" s="130">
        <f t="shared" si="12"/>
        <v>197.03657023922426</v>
      </c>
      <c r="E29" s="130">
        <f t="shared" si="12"/>
        <v>204.37104921636902</v>
      </c>
      <c r="F29" s="130">
        <f t="shared" si="12"/>
        <v>195.94687512670444</v>
      </c>
      <c r="G29" s="130">
        <f t="shared" si="12"/>
        <v>204.22186068937737</v>
      </c>
      <c r="H29" s="130">
        <f t="shared" si="12"/>
        <v>210.07099444732523</v>
      </c>
      <c r="I29" s="130">
        <f t="shared" si="12"/>
        <v>221.22102514640454</v>
      </c>
      <c r="J29" s="130">
        <f t="shared" si="12"/>
        <v>227.28788104692751</v>
      </c>
      <c r="K29" s="130">
        <f t="shared" si="12"/>
        <v>231.46081074680558</v>
      </c>
      <c r="L29" s="130">
        <f t="shared" si="12"/>
        <v>236.44510815656781</v>
      </c>
      <c r="M29" s="130">
        <f t="shared" si="12"/>
        <v>242.10846286907935</v>
      </c>
      <c r="N29" s="130">
        <f t="shared" si="12"/>
        <v>252.03366932988152</v>
      </c>
      <c r="O29" s="130">
        <f t="shared" si="12"/>
        <v>255.52348331534733</v>
      </c>
      <c r="P29" s="130">
        <f t="shared" si="12"/>
        <v>268.89680664276989</v>
      </c>
      <c r="Q29" s="130">
        <f t="shared" si="12"/>
        <v>276.88050833466559</v>
      </c>
      <c r="R29" s="130">
        <f t="shared" ref="R29:W29" si="13">SUM(R30:R33)</f>
        <v>283.3819574650143</v>
      </c>
      <c r="S29" s="130">
        <f t="shared" si="13"/>
        <v>287.3374388588075</v>
      </c>
      <c r="T29" s="130">
        <f t="shared" si="13"/>
        <v>291.40754613984296</v>
      </c>
      <c r="U29" s="130">
        <f t="shared" si="13"/>
        <v>284.20353405865825</v>
      </c>
      <c r="V29" s="130">
        <f t="shared" si="13"/>
        <v>272.63647478973007</v>
      </c>
      <c r="W29" s="130">
        <f t="shared" si="13"/>
        <v>286.34112641249862</v>
      </c>
      <c r="X29" s="130">
        <f t="shared" ref="X29:Y29" si="14">SUM(X30:X33)</f>
        <v>291.02614241592551</v>
      </c>
      <c r="Y29" s="130">
        <f t="shared" si="14"/>
        <v>298.39580814865195</v>
      </c>
      <c r="DA29" s="155" t="s">
        <v>326</v>
      </c>
    </row>
    <row r="30" spans="1:105" ht="12" customHeight="1" x14ac:dyDescent="0.25">
      <c r="A30" s="131" t="s">
        <v>52</v>
      </c>
      <c r="B30" s="132">
        <v>40.22030274437666</v>
      </c>
      <c r="C30" s="132">
        <v>39.422231086526388</v>
      </c>
      <c r="D30" s="132">
        <v>29.78248204798173</v>
      </c>
      <c r="E30" s="132">
        <v>22.334907563846162</v>
      </c>
      <c r="F30" s="132">
        <v>23.264116774859662</v>
      </c>
      <c r="G30" s="132">
        <v>4.9751977079746563</v>
      </c>
      <c r="H30" s="132">
        <v>4.5085608538532584</v>
      </c>
      <c r="I30" s="132">
        <v>4.3287421186179698</v>
      </c>
      <c r="J30" s="132">
        <v>5.6900195827587492</v>
      </c>
      <c r="K30" s="132">
        <v>5.9049451517801774</v>
      </c>
      <c r="L30" s="132">
        <v>7.5696647091207456</v>
      </c>
      <c r="M30" s="132">
        <v>5.3295690280603525</v>
      </c>
      <c r="N30" s="132">
        <v>5.7559386301802649</v>
      </c>
      <c r="O30" s="132">
        <v>6.3312968286621274</v>
      </c>
      <c r="P30" s="132">
        <v>4.9165915510544638</v>
      </c>
      <c r="Q30" s="132">
        <v>8.8501646217542245</v>
      </c>
      <c r="R30" s="132">
        <v>6.6573105619626656</v>
      </c>
      <c r="S30" s="132">
        <v>7.932228019871296</v>
      </c>
      <c r="T30" s="132">
        <v>7.7435727825096041</v>
      </c>
      <c r="U30" s="132">
        <v>8.4209667009942066</v>
      </c>
      <c r="V30" s="132">
        <v>10.234561610916696</v>
      </c>
      <c r="W30" s="132">
        <v>11.019884411711637</v>
      </c>
      <c r="X30" s="132">
        <v>7.580821352569961</v>
      </c>
      <c r="Y30" s="132">
        <v>7.939125932068122</v>
      </c>
      <c r="DA30" s="156" t="s">
        <v>327</v>
      </c>
    </row>
    <row r="31" spans="1:105" ht="12" customHeight="1" x14ac:dyDescent="0.25">
      <c r="A31" s="131" t="s">
        <v>149</v>
      </c>
      <c r="B31" s="132">
        <v>94.489536021783707</v>
      </c>
      <c r="C31" s="132">
        <v>95.525010765035304</v>
      </c>
      <c r="D31" s="132">
        <v>96.107233265445458</v>
      </c>
      <c r="E31" s="132">
        <v>96.136363278932848</v>
      </c>
      <c r="F31" s="132">
        <v>97.084930797637753</v>
      </c>
      <c r="G31" s="132">
        <v>97.741988310408587</v>
      </c>
      <c r="H31" s="132">
        <v>97.910250683384092</v>
      </c>
      <c r="I31" s="132">
        <v>98.561874420125974</v>
      </c>
      <c r="J31" s="132">
        <v>99.894904139018152</v>
      </c>
      <c r="K31" s="132">
        <v>100.14675613770385</v>
      </c>
      <c r="L31" s="132">
        <v>101.03706170087219</v>
      </c>
      <c r="M31" s="132">
        <v>102.64680813114242</v>
      </c>
      <c r="N31" s="132">
        <v>105.34505807566497</v>
      </c>
      <c r="O31" s="132">
        <v>106.41612189091173</v>
      </c>
      <c r="P31" s="132">
        <v>105.85412946566132</v>
      </c>
      <c r="Q31" s="132">
        <v>106.37133239008239</v>
      </c>
      <c r="R31" s="132">
        <v>106.54058982775844</v>
      </c>
      <c r="S31" s="132">
        <v>106.33694052228088</v>
      </c>
      <c r="T31" s="132">
        <v>106.41782475187736</v>
      </c>
      <c r="U31" s="132">
        <v>106.30911563770353</v>
      </c>
      <c r="V31" s="132">
        <v>102.63099868230861</v>
      </c>
      <c r="W31" s="132">
        <v>95.309450015623767</v>
      </c>
      <c r="X31" s="132">
        <v>104.03755021345984</v>
      </c>
      <c r="Y31" s="132">
        <v>97.273323751508528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0.32744372987530745</v>
      </c>
      <c r="K32" s="132">
        <v>0.2854972096943969</v>
      </c>
      <c r="L32" s="132">
        <v>0.69298120308578059</v>
      </c>
      <c r="M32" s="132">
        <v>0.72026006670185361</v>
      </c>
      <c r="N32" s="132">
        <v>0.39319103609466804</v>
      </c>
      <c r="O32" s="132">
        <v>0.78274302545502217</v>
      </c>
      <c r="P32" s="132">
        <v>1.178347639023597</v>
      </c>
      <c r="Q32" s="132">
        <v>1.4311513060213716</v>
      </c>
      <c r="R32" s="132">
        <v>1.4875533210324694</v>
      </c>
      <c r="S32" s="132">
        <v>1.4726096072102941</v>
      </c>
      <c r="T32" s="132">
        <v>1.4336656552445568</v>
      </c>
      <c r="U32" s="132">
        <v>1.6027505333431005</v>
      </c>
      <c r="V32" s="132">
        <v>0.35178729572302941</v>
      </c>
      <c r="W32" s="132">
        <v>0.4281635548441039</v>
      </c>
      <c r="X32" s="132">
        <v>0.50660442871587275</v>
      </c>
      <c r="Y32" s="132">
        <v>0.52460488552197648</v>
      </c>
      <c r="DA32" s="156" t="s">
        <v>329</v>
      </c>
    </row>
    <row r="33" spans="1:105" ht="12" customHeight="1" x14ac:dyDescent="0.25">
      <c r="A33" s="62" t="s">
        <v>24</v>
      </c>
      <c r="B33" s="68">
        <v>36.293693827699869</v>
      </c>
      <c r="C33" s="68">
        <v>43.341312078933043</v>
      </c>
      <c r="D33" s="68">
        <v>71.146854925797058</v>
      </c>
      <c r="E33" s="68">
        <v>85.89977837359001</v>
      </c>
      <c r="F33" s="68">
        <v>75.597827554207029</v>
      </c>
      <c r="G33" s="68">
        <v>101.50467467099412</v>
      </c>
      <c r="H33" s="68">
        <v>107.6521829100879</v>
      </c>
      <c r="I33" s="68">
        <v>118.33040860766062</v>
      </c>
      <c r="J33" s="68">
        <v>121.37551359527531</v>
      </c>
      <c r="K33" s="68">
        <v>125.12361224762715</v>
      </c>
      <c r="L33" s="68">
        <v>127.14540054348909</v>
      </c>
      <c r="M33" s="68">
        <v>133.41182564317472</v>
      </c>
      <c r="N33" s="68">
        <v>140.53948158794162</v>
      </c>
      <c r="O33" s="68">
        <v>141.99332157031844</v>
      </c>
      <c r="P33" s="68">
        <v>156.94773798703054</v>
      </c>
      <c r="Q33" s="68">
        <v>160.2278600168076</v>
      </c>
      <c r="R33" s="68">
        <v>168.69650375426073</v>
      </c>
      <c r="S33" s="68">
        <v>171.59566070944504</v>
      </c>
      <c r="T33" s="68">
        <v>175.81248295021143</v>
      </c>
      <c r="U33" s="68">
        <v>167.87070118661742</v>
      </c>
      <c r="V33" s="68">
        <v>159.41912720078173</v>
      </c>
      <c r="W33" s="68">
        <v>179.58362843031912</v>
      </c>
      <c r="X33" s="68">
        <v>178.90116642117985</v>
      </c>
      <c r="Y33" s="68">
        <v>192.65875357955332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0.57952688892048743</v>
      </c>
      <c r="C3" s="126">
        <f>IF(SER_hh_tes!C3=0,"",SER_hh_tes!C3/SER_hh_fec!C3)</f>
        <v>0.58509989576577892</v>
      </c>
      <c r="D3" s="126">
        <f>IF(SER_hh_tes!D3=0,"",SER_hh_tes!D3/SER_hh_fec!D3)</f>
        <v>0.58201272824280115</v>
      </c>
      <c r="E3" s="126">
        <f>IF(SER_hh_tes!E3=0,"",SER_hh_tes!E3/SER_hh_fec!E3)</f>
        <v>0.58713590561677698</v>
      </c>
      <c r="F3" s="126">
        <f>IF(SER_hh_tes!F3=0,"",SER_hh_tes!F3/SER_hh_fec!F3)</f>
        <v>0.62277240416314994</v>
      </c>
      <c r="G3" s="126">
        <f>IF(SER_hh_tes!G3=0,"",SER_hh_tes!G3/SER_hh_fec!G3)</f>
        <v>0.6323532431922898</v>
      </c>
      <c r="H3" s="126">
        <f>IF(SER_hh_tes!H3=0,"",SER_hh_tes!H3/SER_hh_fec!H3)</f>
        <v>0.65029311502061193</v>
      </c>
      <c r="I3" s="126">
        <f>IF(SER_hh_tes!I3=0,"",SER_hh_tes!I3/SER_hh_fec!I3)</f>
        <v>0.6628097819455292</v>
      </c>
      <c r="J3" s="126">
        <f>IF(SER_hh_tes!J3=0,"",SER_hh_tes!J3/SER_hh_fec!J3)</f>
        <v>0.66118251770354486</v>
      </c>
      <c r="K3" s="126">
        <f>IF(SER_hh_tes!K3=0,"",SER_hh_tes!K3/SER_hh_fec!K3)</f>
        <v>0.67816742969045218</v>
      </c>
      <c r="L3" s="126">
        <f>IF(SER_hh_tes!L3=0,"",SER_hh_tes!L3/SER_hh_fec!L3)</f>
        <v>0.68552876626674297</v>
      </c>
      <c r="M3" s="126">
        <f>IF(SER_hh_tes!M3=0,"",SER_hh_tes!M3/SER_hh_fec!M3)</f>
        <v>0.70793251004712865</v>
      </c>
      <c r="N3" s="126">
        <f>IF(SER_hh_tes!N3=0,"",SER_hh_tes!N3/SER_hh_fec!N3)</f>
        <v>0.71770593739466182</v>
      </c>
      <c r="O3" s="126">
        <f>IF(SER_hh_tes!O3=0,"",SER_hh_tes!O3/SER_hh_fec!O3)</f>
        <v>0.72666798604403948</v>
      </c>
      <c r="P3" s="126">
        <f>IF(SER_hh_tes!P3=0,"",SER_hh_tes!P3/SER_hh_fec!P3)</f>
        <v>0.74977742193241559</v>
      </c>
      <c r="Q3" s="126">
        <f>IF(SER_hh_tes!Q3=0,"",SER_hh_tes!Q3/SER_hh_fec!Q3)</f>
        <v>0.75646386577807945</v>
      </c>
      <c r="R3" s="126">
        <f>IF(SER_hh_tes!R3=0,"",SER_hh_tes!R3/SER_hh_fec!R3)</f>
        <v>0.76821761640537256</v>
      </c>
      <c r="S3" s="126">
        <f>IF(SER_hh_tes!S3=0,"",SER_hh_tes!S3/SER_hh_fec!S3)</f>
        <v>0.77860568343721004</v>
      </c>
      <c r="T3" s="126">
        <f>IF(SER_hh_tes!T3=0,"",SER_hh_tes!T3/SER_hh_fec!T3)</f>
        <v>0.80443270139256684</v>
      </c>
      <c r="U3" s="126">
        <f>IF(SER_hh_tes!U3=0,"",SER_hh_tes!U3/SER_hh_fec!U3)</f>
        <v>0.82380517484885096</v>
      </c>
      <c r="V3" s="126">
        <f>IF(SER_hh_tes!V3=0,"",SER_hh_tes!V3/SER_hh_fec!V3)</f>
        <v>0.8460205384365036</v>
      </c>
      <c r="W3" s="126">
        <f>IF(SER_hh_tes!W3=0,"",SER_hh_tes!W3/SER_hh_fec!W3)</f>
        <v>0.84675636852784808</v>
      </c>
      <c r="X3" s="126">
        <f>IF(SER_hh_tes!X3=0,"",SER_hh_tes!X3/SER_hh_fec!X3)</f>
        <v>0.89294710226836249</v>
      </c>
      <c r="Y3" s="126">
        <f>IF(SER_hh_tes!Y3=0,"",SER_hh_tes!Y3/SER_hh_fec!Y3)</f>
        <v>0.90785170687848726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0.55792502630575758</v>
      </c>
      <c r="C4" s="135">
        <f>IF(SER_hh_tes!C4=0,"",SER_hh_tes!C4/SER_hh_fec!C4)</f>
        <v>0.56144357321455085</v>
      </c>
      <c r="D4" s="135">
        <f>IF(SER_hh_tes!D4=0,"",SER_hh_tes!D4/SER_hh_fec!D4)</f>
        <v>0.54805089904348414</v>
      </c>
      <c r="E4" s="135">
        <f>IF(SER_hh_tes!E4=0,"",SER_hh_tes!E4/SER_hh_fec!E4)</f>
        <v>0.5455337243888656</v>
      </c>
      <c r="F4" s="135">
        <f>IF(SER_hh_tes!F4=0,"",SER_hh_tes!F4/SER_hh_fec!F4)</f>
        <v>0.59851830332550671</v>
      </c>
      <c r="G4" s="135">
        <f>IF(SER_hh_tes!G4=0,"",SER_hh_tes!G4/SER_hh_fec!G4)</f>
        <v>0.60227653872902109</v>
      </c>
      <c r="H4" s="135">
        <f>IF(SER_hh_tes!H4=0,"",SER_hh_tes!H4/SER_hh_fec!H4)</f>
        <v>0.60817341851440454</v>
      </c>
      <c r="I4" s="135">
        <f>IF(SER_hh_tes!I4=0,"",SER_hh_tes!I4/SER_hh_fec!I4)</f>
        <v>0.61977955370808846</v>
      </c>
      <c r="J4" s="135">
        <f>IF(SER_hh_tes!J4=0,"",SER_hh_tes!J4/SER_hh_fec!J4)</f>
        <v>0.61648387574404551</v>
      </c>
      <c r="K4" s="135">
        <f>IF(SER_hh_tes!K4=0,"",SER_hh_tes!K4/SER_hh_fec!K4)</f>
        <v>0.62862424964009156</v>
      </c>
      <c r="L4" s="135">
        <f>IF(SER_hh_tes!L4=0,"",SER_hh_tes!L4/SER_hh_fec!L4)</f>
        <v>0.6312212217575377</v>
      </c>
      <c r="M4" s="135">
        <f>IF(SER_hh_tes!M4=0,"",SER_hh_tes!M4/SER_hh_fec!M4)</f>
        <v>0.64278796053493903</v>
      </c>
      <c r="N4" s="135">
        <f>IF(SER_hh_tes!N4=0,"",SER_hh_tes!N4/SER_hh_fec!N4)</f>
        <v>0.65242209540429275</v>
      </c>
      <c r="O4" s="135">
        <f>IF(SER_hh_tes!O4=0,"",SER_hh_tes!O4/SER_hh_fec!O4)</f>
        <v>0.66158985984802421</v>
      </c>
      <c r="P4" s="135">
        <f>IF(SER_hh_tes!P4=0,"",SER_hh_tes!P4/SER_hh_fec!P4)</f>
        <v>0.66887755689655748</v>
      </c>
      <c r="Q4" s="135">
        <f>IF(SER_hh_tes!Q4=0,"",SER_hh_tes!Q4/SER_hh_fec!Q4)</f>
        <v>0.67300556917099852</v>
      </c>
      <c r="R4" s="135">
        <f>IF(SER_hh_tes!R4=0,"",SER_hh_tes!R4/SER_hh_fec!R4)</f>
        <v>0.6843277271915772</v>
      </c>
      <c r="S4" s="135">
        <f>IF(SER_hh_tes!S4=0,"",SER_hh_tes!S4/SER_hh_fec!S4)</f>
        <v>0.69727123887144982</v>
      </c>
      <c r="T4" s="135">
        <f>IF(SER_hh_tes!T4=0,"",SER_hh_tes!T4/SER_hh_fec!T4)</f>
        <v>0.71396743737824842</v>
      </c>
      <c r="U4" s="135">
        <f>IF(SER_hh_tes!U4=0,"",SER_hh_tes!U4/SER_hh_fec!U4)</f>
        <v>0.73343660063453731</v>
      </c>
      <c r="V4" s="135">
        <f>IF(SER_hh_tes!V4=0,"",SER_hh_tes!V4/SER_hh_fec!V4)</f>
        <v>0.74545736018748399</v>
      </c>
      <c r="W4" s="135">
        <f>IF(SER_hh_tes!W4=0,"",SER_hh_tes!W4/SER_hh_fec!W4)</f>
        <v>0.76895001977788091</v>
      </c>
      <c r="X4" s="135">
        <f>IF(SER_hh_tes!X4=0,"",SER_hh_tes!X4/SER_hh_fec!X4)</f>
        <v>0.7907109224288037</v>
      </c>
      <c r="Y4" s="135">
        <f>IF(SER_hh_tes!Y4=0,"",SER_hh_tes!Y4/SER_hh_fec!Y4)</f>
        <v>0.80942270992129883</v>
      </c>
      <c r="DA4" s="162" t="s">
        <v>240</v>
      </c>
    </row>
    <row r="5" spans="1:105" ht="12" customHeight="1" x14ac:dyDescent="0.25">
      <c r="A5" s="131" t="s">
        <v>29</v>
      </c>
      <c r="B5" s="136" t="str">
        <f>IF(SER_hh_tes!B5=0,"",SER_hh_tes!B5/SER_hh_fec!B5)</f>
        <v/>
      </c>
      <c r="C5" s="136" t="str">
        <f>IF(SER_hh_tes!C5=0,"",SER_hh_tes!C5/SER_hh_fec!C5)</f>
        <v/>
      </c>
      <c r="D5" s="136" t="str">
        <f>IF(SER_hh_tes!D5=0,"",SER_hh_tes!D5/SER_hh_fec!D5)</f>
        <v/>
      </c>
      <c r="E5" s="136" t="str">
        <f>IF(SER_hh_tes!E5=0,"",SER_hh_tes!E5/SER_hh_fec!E5)</f>
        <v/>
      </c>
      <c r="F5" s="136" t="str">
        <f>IF(SER_hh_tes!F5=0,"",SER_hh_tes!F5/SER_hh_fec!F5)</f>
        <v/>
      </c>
      <c r="G5" s="136" t="str">
        <f>IF(SER_hh_tes!G5=0,"",SER_hh_tes!G5/SER_hh_fec!G5)</f>
        <v/>
      </c>
      <c r="H5" s="136" t="str">
        <f>IF(SER_hh_tes!H5=0,"",SER_hh_tes!H5/SER_hh_fec!H5)</f>
        <v/>
      </c>
      <c r="I5" s="136" t="str">
        <f>IF(SER_hh_tes!I5=0,"",SER_hh_tes!I5/SER_hh_fec!I5)</f>
        <v/>
      </c>
      <c r="J5" s="136" t="str">
        <f>IF(SER_hh_tes!J5=0,"",SER_hh_tes!J5/SER_hh_fec!J5)</f>
        <v/>
      </c>
      <c r="K5" s="136" t="str">
        <f>IF(SER_hh_tes!K5=0,"",SER_hh_tes!K5/SER_hh_fec!K5)</f>
        <v/>
      </c>
      <c r="L5" s="136" t="str">
        <f>IF(SER_hh_tes!L5=0,"",SER_hh_tes!L5/SER_hh_fec!L5)</f>
        <v/>
      </c>
      <c r="M5" s="136" t="str">
        <f>IF(SER_hh_tes!M5=0,"",SER_hh_tes!M5/SER_hh_fec!M5)</f>
        <v/>
      </c>
      <c r="N5" s="136" t="str">
        <f>IF(SER_hh_tes!N5=0,"",SER_hh_tes!N5/SER_hh_fec!N5)</f>
        <v/>
      </c>
      <c r="O5" s="136" t="str">
        <f>IF(SER_hh_tes!O5=0,"",SER_hh_tes!O5/SER_hh_fec!O5)</f>
        <v/>
      </c>
      <c r="P5" s="136" t="str">
        <f>IF(SER_hh_tes!P5=0,"",SER_hh_tes!P5/SER_hh_fec!P5)</f>
        <v/>
      </c>
      <c r="Q5" s="136" t="str">
        <f>IF(SER_hh_tes!Q5=0,"",SER_hh_tes!Q5/SER_hh_fec!Q5)</f>
        <v/>
      </c>
      <c r="R5" s="136" t="str">
        <f>IF(SER_hh_tes!R5=0,"",SER_hh_tes!R5/SER_hh_fec!R5)</f>
        <v/>
      </c>
      <c r="S5" s="136" t="str">
        <f>IF(SER_hh_tes!S5=0,"",SER_hh_tes!S5/SER_hh_fec!S5)</f>
        <v/>
      </c>
      <c r="T5" s="136" t="str">
        <f>IF(SER_hh_tes!T5=0,"",SER_hh_tes!T5/SER_hh_fec!T5)</f>
        <v/>
      </c>
      <c r="U5" s="136" t="str">
        <f>IF(SER_hh_tes!U5=0,"",SER_hh_tes!U5/SER_hh_fec!U5)</f>
        <v/>
      </c>
      <c r="V5" s="136" t="str">
        <f>IF(SER_hh_tes!V5=0,"",SER_hh_tes!V5/SER_hh_fec!V5)</f>
        <v/>
      </c>
      <c r="W5" s="136" t="str">
        <f>IF(SER_hh_tes!W5=0,"",SER_hh_tes!W5/SER_hh_fec!W5)</f>
        <v/>
      </c>
      <c r="X5" s="136" t="str">
        <f>IF(SER_hh_tes!X5=0,"",SER_hh_tes!X5/SER_hh_fec!X5)</f>
        <v/>
      </c>
      <c r="Y5" s="136" t="str">
        <f>IF(SER_hh_tes!Y5=0,"",SER_hh_tes!Y5/SER_hh_fec!Y5)</f>
        <v/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0.4960979101716626</v>
      </c>
      <c r="C7" s="136">
        <f>IF(SER_hh_tes!C7=0,"",SER_hh_tes!C7/SER_hh_fec!C7)</f>
        <v>0.50505177235779442</v>
      </c>
      <c r="D7" s="136">
        <f>IF(SER_hh_tes!D7=0,"",SER_hh_tes!D7/SER_hh_fec!D7)</f>
        <v>0.51246491064721811</v>
      </c>
      <c r="E7" s="136">
        <f>IF(SER_hh_tes!E7=0,"",SER_hh_tes!E7/SER_hh_fec!E7)</f>
        <v>0.5175694002673642</v>
      </c>
      <c r="F7" s="136">
        <f>IF(SER_hh_tes!F7=0,"",SER_hh_tes!F7/SER_hh_fec!F7)</f>
        <v>0.52206455103352123</v>
      </c>
      <c r="G7" s="136">
        <f>IF(SER_hh_tes!G7=0,"",SER_hh_tes!G7/SER_hh_fec!G7)</f>
        <v>0.52586246391347757</v>
      </c>
      <c r="H7" s="136">
        <f>IF(SER_hh_tes!H7=0,"",SER_hh_tes!H7/SER_hh_fec!H7)</f>
        <v>0.52953499475603094</v>
      </c>
      <c r="I7" s="136">
        <f>IF(SER_hh_tes!I7=0,"",SER_hh_tes!I7/SER_hh_fec!I7)</f>
        <v>0.53339135487284794</v>
      </c>
      <c r="J7" s="136">
        <f>IF(SER_hh_tes!J7=0,"",SER_hh_tes!J7/SER_hh_fec!J7)</f>
        <v>0.53951311923111611</v>
      </c>
      <c r="K7" s="136">
        <f>IF(SER_hh_tes!K7=0,"",SER_hh_tes!K7/SER_hh_fec!K7)</f>
        <v>0.54471682854963133</v>
      </c>
      <c r="L7" s="136">
        <f>IF(SER_hh_tes!L7=0,"",SER_hh_tes!L7/SER_hh_fec!L7)</f>
        <v>0.55340509577520869</v>
      </c>
      <c r="M7" s="136">
        <f>IF(SER_hh_tes!M7=0,"",SER_hh_tes!M7/SER_hh_fec!M7)</f>
        <v>0.56374618523196274</v>
      </c>
      <c r="N7" s="136">
        <f>IF(SER_hh_tes!N7=0,"",SER_hh_tes!N7/SER_hh_fec!N7)</f>
        <v>0.57665087875398247</v>
      </c>
      <c r="O7" s="136">
        <f>IF(SER_hh_tes!O7=0,"",SER_hh_tes!O7/SER_hh_fec!O7)</f>
        <v>0.59207623667711862</v>
      </c>
      <c r="P7" s="136">
        <f>IF(SER_hh_tes!P7=0,"",SER_hh_tes!P7/SER_hh_fec!P7)</f>
        <v>0.59944184313276538</v>
      </c>
      <c r="Q7" s="136">
        <f>IF(SER_hh_tes!Q7=0,"",SER_hh_tes!Q7/SER_hh_fec!Q7)</f>
        <v>0.61096737964709669</v>
      </c>
      <c r="R7" s="136">
        <f>IF(SER_hh_tes!R7=0,"",SER_hh_tes!R7/SER_hh_fec!R7)</f>
        <v>0.62187932124366185</v>
      </c>
      <c r="S7" s="136">
        <f>IF(SER_hh_tes!S7=0,"",SER_hh_tes!S7/SER_hh_fec!S7)</f>
        <v>0.63675941755606014</v>
      </c>
      <c r="T7" s="136">
        <f>IF(SER_hh_tes!T7=0,"",SER_hh_tes!T7/SER_hh_fec!T7)</f>
        <v>0.64813850754380531</v>
      </c>
      <c r="U7" s="136">
        <f>IF(SER_hh_tes!U7=0,"",SER_hh_tes!U7/SER_hh_fec!U7)</f>
        <v>0.65423511027683479</v>
      </c>
      <c r="V7" s="136">
        <f>IF(SER_hh_tes!V7=0,"",SER_hh_tes!V7/SER_hh_fec!V7)</f>
        <v>0.66125827320173003</v>
      </c>
      <c r="W7" s="136">
        <f>IF(SER_hh_tes!W7=0,"",SER_hh_tes!W7/SER_hh_fec!W7)</f>
        <v>0.66686018194946806</v>
      </c>
      <c r="X7" s="136">
        <f>IF(SER_hh_tes!X7=0,"",SER_hh_tes!X7/SER_hh_fec!X7)</f>
        <v>0.67250047133223156</v>
      </c>
      <c r="Y7" s="136">
        <f>IF(SER_hh_tes!Y7=0,"",SER_hh_tes!Y7/SER_hh_fec!Y7)</f>
        <v>0.68318559922450761</v>
      </c>
      <c r="DA7" s="163" t="s">
        <v>334</v>
      </c>
    </row>
    <row r="8" spans="1:105" ht="12" customHeight="1" x14ac:dyDescent="0.25">
      <c r="A8" s="131" t="s">
        <v>73</v>
      </c>
      <c r="B8" s="136">
        <f>IF(SER_hh_tes!B8=0,"",SER_hh_tes!B8/SER_hh_fec!B8)</f>
        <v>1.0284486578070204</v>
      </c>
      <c r="C8" s="136">
        <f>IF(SER_hh_tes!C8=0,"",SER_hh_tes!C8/SER_hh_fec!C8)</f>
        <v>1.1093265328543214</v>
      </c>
      <c r="D8" s="136">
        <f>IF(SER_hh_tes!D8=0,"",SER_hh_tes!D8/SER_hh_fec!D8)</f>
        <v>1.198752675211016</v>
      </c>
      <c r="E8" s="136">
        <f>IF(SER_hh_tes!E8=0,"",SER_hh_tes!E8/SER_hh_fec!E8)</f>
        <v>1.2701400213393921</v>
      </c>
      <c r="F8" s="136">
        <f>IF(SER_hh_tes!F8=0,"",SER_hh_tes!F8/SER_hh_fec!F8)</f>
        <v>1.3394738951634213</v>
      </c>
      <c r="G8" s="136">
        <f>IF(SER_hh_tes!G8=0,"",SER_hh_tes!G8/SER_hh_fec!G8)</f>
        <v>1.4394980178906587</v>
      </c>
      <c r="H8" s="136">
        <f>IF(SER_hh_tes!H8=0,"",SER_hh_tes!H8/SER_hh_fec!H8)</f>
        <v>1.5744405196188533</v>
      </c>
      <c r="I8" s="136">
        <f>IF(SER_hh_tes!I8=0,"",SER_hh_tes!I8/SER_hh_fec!I8)</f>
        <v>1.717566974915343</v>
      </c>
      <c r="J8" s="136">
        <f>IF(SER_hh_tes!J8=0,"",SER_hh_tes!J8/SER_hh_fec!J8)</f>
        <v>1.8673648453944431</v>
      </c>
      <c r="K8" s="136">
        <f>IF(SER_hh_tes!K8=0,"",SER_hh_tes!K8/SER_hh_fec!K8)</f>
        <v>2.0373546655148669</v>
      </c>
      <c r="L8" s="136">
        <f>IF(SER_hh_tes!L8=0,"",SER_hh_tes!L8/SER_hh_fec!L8)</f>
        <v>2.2142200852283964</v>
      </c>
      <c r="M8" s="136">
        <f>IF(SER_hh_tes!M8=0,"",SER_hh_tes!M8/SER_hh_fec!M8)</f>
        <v>2.4165615468083219</v>
      </c>
      <c r="N8" s="136">
        <f>IF(SER_hh_tes!N8=0,"",SER_hh_tes!N8/SER_hh_fec!N8)</f>
        <v>2.6298709158925297</v>
      </c>
      <c r="O8" s="136">
        <f>IF(SER_hh_tes!O8=0,"",SER_hh_tes!O8/SER_hh_fec!O8)</f>
        <v>2.8245298086650767</v>
      </c>
      <c r="P8" s="136">
        <f>IF(SER_hh_tes!P8=0,"",SER_hh_tes!P8/SER_hh_fec!P8)</f>
        <v>2.9229462808224289</v>
      </c>
      <c r="Q8" s="136">
        <f>IF(SER_hh_tes!Q8=0,"",SER_hh_tes!Q8/SER_hh_fec!Q8)</f>
        <v>3.0187051254882129</v>
      </c>
      <c r="R8" s="136">
        <f>IF(SER_hh_tes!R8=0,"",SER_hh_tes!R8/SER_hh_fec!R8)</f>
        <v>3.1192879276742351</v>
      </c>
      <c r="S8" s="136">
        <f>IF(SER_hh_tes!S8=0,"",SER_hh_tes!S8/SER_hh_fec!S8)</f>
        <v>3.2279632742150302</v>
      </c>
      <c r="T8" s="136">
        <f>IF(SER_hh_tes!T8=0,"",SER_hh_tes!T8/SER_hh_fec!T8)</f>
        <v>3.3463296184897753</v>
      </c>
      <c r="U8" s="136">
        <f>IF(SER_hh_tes!U8=0,"",SER_hh_tes!U8/SER_hh_fec!U8)</f>
        <v>3.477623749697548</v>
      </c>
      <c r="V8" s="136">
        <f>IF(SER_hh_tes!V8=0,"",SER_hh_tes!V8/SER_hh_fec!V8)</f>
        <v>3.6613236824431357</v>
      </c>
      <c r="W8" s="136">
        <f>IF(SER_hh_tes!W8=0,"",SER_hh_tes!W8/SER_hh_fec!W8)</f>
        <v>3.8680663028883013</v>
      </c>
      <c r="X8" s="136">
        <f>IF(SER_hh_tes!X8=0,"",SER_hh_tes!X8/SER_hh_fec!X8)</f>
        <v>4.0598836484352097</v>
      </c>
      <c r="Y8" s="136">
        <f>IF(SER_hh_tes!Y8=0,"",SER_hh_tes!Y8/SER_hh_fec!Y8)</f>
        <v>4.1776851532911818</v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0.53622945502119346</v>
      </c>
      <c r="C9" s="136">
        <f>IF(SER_hh_tes!C9=0,"",SER_hh_tes!C9/SER_hh_fec!C9)</f>
        <v>0.53893217185086484</v>
      </c>
      <c r="D9" s="136">
        <f>IF(SER_hh_tes!D9=0,"",SER_hh_tes!D9/SER_hh_fec!D9)</f>
        <v>0.54562544908362542</v>
      </c>
      <c r="E9" s="136">
        <f>IF(SER_hh_tes!E9=0,"",SER_hh_tes!E9/SER_hh_fec!E9)</f>
        <v>0.54961214940272585</v>
      </c>
      <c r="F9" s="136">
        <f>IF(SER_hh_tes!F9=0,"",SER_hh_tes!F9/SER_hh_fec!F9)</f>
        <v>0.55074350387638016</v>
      </c>
      <c r="G9" s="136">
        <f>IF(SER_hh_tes!G9=0,"",SER_hh_tes!G9/SER_hh_fec!G9)</f>
        <v>0.55148415781017235</v>
      </c>
      <c r="H9" s="136">
        <f>IF(SER_hh_tes!H9=0,"",SER_hh_tes!H9/SER_hh_fec!H9)</f>
        <v>0.55685690985973169</v>
      </c>
      <c r="I9" s="136">
        <f>IF(SER_hh_tes!I9=0,"",SER_hh_tes!I9/SER_hh_fec!I9)</f>
        <v>0.56883021295169356</v>
      </c>
      <c r="J9" s="136">
        <f>IF(SER_hh_tes!J9=0,"",SER_hh_tes!J9/SER_hh_fec!J9)</f>
        <v>0.58045952550003155</v>
      </c>
      <c r="K9" s="136">
        <f>IF(SER_hh_tes!K9=0,"",SER_hh_tes!K9/SER_hh_fec!K9)</f>
        <v>0.59042447003166409</v>
      </c>
      <c r="L9" s="136">
        <f>IF(SER_hh_tes!L9=0,"",SER_hh_tes!L9/SER_hh_fec!L9)</f>
        <v>0.60269563155324801</v>
      </c>
      <c r="M9" s="136">
        <f>IF(SER_hh_tes!M9=0,"",SER_hh_tes!M9/SER_hh_fec!M9)</f>
        <v>0.61510032242866775</v>
      </c>
      <c r="N9" s="136">
        <f>IF(SER_hh_tes!N9=0,"",SER_hh_tes!N9/SER_hh_fec!N9)</f>
        <v>0.62985846080918861</v>
      </c>
      <c r="O9" s="136">
        <f>IF(SER_hh_tes!O9=0,"",SER_hh_tes!O9/SER_hh_fec!O9)</f>
        <v>0.64481489418260474</v>
      </c>
      <c r="P9" s="136">
        <f>IF(SER_hh_tes!P9=0,"",SER_hh_tes!P9/SER_hh_fec!P9)</f>
        <v>0.65062505928614522</v>
      </c>
      <c r="Q9" s="136">
        <f>IF(SER_hh_tes!Q9=0,"",SER_hh_tes!Q9/SER_hh_fec!Q9)</f>
        <v>0.65905718890518616</v>
      </c>
      <c r="R9" s="136">
        <f>IF(SER_hh_tes!R9=0,"",SER_hh_tes!R9/SER_hh_fec!R9)</f>
        <v>0.67209254574327359</v>
      </c>
      <c r="S9" s="136">
        <f>IF(SER_hh_tes!S9=0,"",SER_hh_tes!S9/SER_hh_fec!S9)</f>
        <v>0.68673942905710872</v>
      </c>
      <c r="T9" s="136">
        <f>IF(SER_hh_tes!T9=0,"",SER_hh_tes!T9/SER_hh_fec!T9)</f>
        <v>0.7018767998547929</v>
      </c>
      <c r="U9" s="136">
        <f>IF(SER_hh_tes!U9=0,"",SER_hh_tes!U9/SER_hh_fec!U9)</f>
        <v>0.71588123009912696</v>
      </c>
      <c r="V9" s="136">
        <f>IF(SER_hh_tes!V9=0,"",SER_hh_tes!V9/SER_hh_fec!V9)</f>
        <v>0.72908774732058401</v>
      </c>
      <c r="W9" s="136">
        <f>IF(SER_hh_tes!W9=0,"",SER_hh_tes!W9/SER_hh_fec!W9)</f>
        <v>0.74532632807560906</v>
      </c>
      <c r="X9" s="136">
        <f>IF(SER_hh_tes!X9=0,"",SER_hh_tes!X9/SER_hh_fec!X9)</f>
        <v>0.76498789205319828</v>
      </c>
      <c r="Y9" s="136">
        <f>IF(SER_hh_tes!Y9=0,"",SER_hh_tes!Y9/SER_hh_fec!Y9)</f>
        <v>0.7856054852495491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0.34281600782619315</v>
      </c>
      <c r="C10" s="136">
        <f>IF(SER_hh_tes!C10=0,"",SER_hh_tes!C10/SER_hh_fec!C10)</f>
        <v>0.35270664603658719</v>
      </c>
      <c r="D10" s="136">
        <f>IF(SER_hh_tes!D10=0,"",SER_hh_tes!D10/SER_hh_fec!D10)</f>
        <v>0.43700997111769802</v>
      </c>
      <c r="E10" s="136">
        <f>IF(SER_hh_tes!E10=0,"",SER_hh_tes!E10/SER_hh_fec!E10)</f>
        <v>0.44753342952914177</v>
      </c>
      <c r="F10" s="136">
        <f>IF(SER_hh_tes!F10=0,"",SER_hh_tes!F10/SER_hh_fec!F10)</f>
        <v>0.45554860736961206</v>
      </c>
      <c r="G10" s="136">
        <f>IF(SER_hh_tes!G10=0,"",SER_hh_tes!G10/SER_hh_fec!G10)</f>
        <v>0.46009261976107035</v>
      </c>
      <c r="H10" s="136">
        <f>IF(SER_hh_tes!H10=0,"",SER_hh_tes!H10/SER_hh_fec!H10)</f>
        <v>0.46197860021338644</v>
      </c>
      <c r="I10" s="136">
        <f>IF(SER_hh_tes!I10=0,"",SER_hh_tes!I10/SER_hh_fec!I10)</f>
        <v>0.46207583689334381</v>
      </c>
      <c r="J10" s="136">
        <f>IF(SER_hh_tes!J10=0,"",SER_hh_tes!J10/SER_hh_fec!J10)</f>
        <v>0.46210685734560653</v>
      </c>
      <c r="K10" s="136">
        <f>IF(SER_hh_tes!K10=0,"",SER_hh_tes!K10/SER_hh_fec!K10)</f>
        <v>0.46520044606686434</v>
      </c>
      <c r="L10" s="136">
        <f>IF(SER_hh_tes!L10=0,"",SER_hh_tes!L10/SER_hh_fec!L10)</f>
        <v>0.48862755500450933</v>
      </c>
      <c r="M10" s="136">
        <f>IF(SER_hh_tes!M10=0,"",SER_hh_tes!M10/SER_hh_fec!M10)</f>
        <v>0.50572105945817325</v>
      </c>
      <c r="N10" s="136">
        <f>IF(SER_hh_tes!N10=0,"",SER_hh_tes!N10/SER_hh_fec!N10)</f>
        <v>0.5184331272399364</v>
      </c>
      <c r="O10" s="136">
        <f>IF(SER_hh_tes!O10=0,"",SER_hh_tes!O10/SER_hh_fec!O10)</f>
        <v>0.52594799142803017</v>
      </c>
      <c r="P10" s="136">
        <f>IF(SER_hh_tes!P10=0,"",SER_hh_tes!P10/SER_hh_fec!P10)</f>
        <v>0.53088480666760895</v>
      </c>
      <c r="Q10" s="136">
        <f>IF(SER_hh_tes!Q10=0,"",SER_hh_tes!Q10/SER_hh_fec!Q10)</f>
        <v>0.53343353133178406</v>
      </c>
      <c r="R10" s="136">
        <f>IF(SER_hh_tes!R10=0,"",SER_hh_tes!R10/SER_hh_fec!R10)</f>
        <v>0.53524275960419154</v>
      </c>
      <c r="S10" s="136">
        <f>IF(SER_hh_tes!S10=0,"",SER_hh_tes!S10/SER_hh_fec!S10)</f>
        <v>0.53653150218604762</v>
      </c>
      <c r="T10" s="136">
        <f>IF(SER_hh_tes!T10=0,"",SER_hh_tes!T10/SER_hh_fec!T10)</f>
        <v>0.53870167015692727</v>
      </c>
      <c r="U10" s="136">
        <f>IF(SER_hh_tes!U10=0,"",SER_hh_tes!U10/SER_hh_fec!U10)</f>
        <v>0.54184525533007621</v>
      </c>
      <c r="V10" s="136">
        <f>IF(SER_hh_tes!V10=0,"",SER_hh_tes!V10/SER_hh_fec!V10)</f>
        <v>0.54477669399772144</v>
      </c>
      <c r="W10" s="136">
        <f>IF(SER_hh_tes!W10=0,"",SER_hh_tes!W10/SER_hh_fec!W10)</f>
        <v>0.54901895125404088</v>
      </c>
      <c r="X10" s="136">
        <f>IF(SER_hh_tes!X10=0,"",SER_hh_tes!X10/SER_hh_fec!X10)</f>
        <v>0.55393086560576377</v>
      </c>
      <c r="Y10" s="136">
        <f>IF(SER_hh_tes!Y10=0,"",SER_hh_tes!Y10/SER_hh_fec!Y10)</f>
        <v>0.55849949245135933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 t="str">
        <f>IF(SER_hh_tes!G11=0,"",SER_hh_tes!G11/SER_hh_fec!G11)</f>
        <v/>
      </c>
      <c r="H11" s="136" t="str">
        <f>IF(SER_hh_tes!H11=0,"",SER_hh_tes!H11/SER_hh_fec!H11)</f>
        <v/>
      </c>
      <c r="I11" s="136" t="str">
        <f>IF(SER_hh_tes!I11=0,"",SER_hh_tes!I11/SER_hh_fec!I11)</f>
        <v/>
      </c>
      <c r="J11" s="136" t="str">
        <f>IF(SER_hh_tes!J11=0,"",SER_hh_tes!J11/SER_hh_fec!J11)</f>
        <v/>
      </c>
      <c r="K11" s="136" t="str">
        <f>IF(SER_hh_tes!K11=0,"",SER_hh_tes!K11/SER_hh_fec!K11)</f>
        <v/>
      </c>
      <c r="L11" s="136" t="str">
        <f>IF(SER_hh_tes!L11=0,"",SER_hh_tes!L11/SER_hh_fec!L11)</f>
        <v/>
      </c>
      <c r="M11" s="136" t="str">
        <f>IF(SER_hh_tes!M11=0,"",SER_hh_tes!M11/SER_hh_fec!M11)</f>
        <v/>
      </c>
      <c r="N11" s="136" t="str">
        <f>IF(SER_hh_tes!N11=0,"",SER_hh_tes!N11/SER_hh_fec!N11)</f>
        <v/>
      </c>
      <c r="O11" s="136" t="str">
        <f>IF(SER_hh_tes!O11=0,"",SER_hh_tes!O11/SER_hh_fec!O11)</f>
        <v/>
      </c>
      <c r="P11" s="136" t="str">
        <f>IF(SER_hh_tes!P11=0,"",SER_hh_tes!P11/SER_hh_fec!P11)</f>
        <v/>
      </c>
      <c r="Q11" s="136" t="str">
        <f>IF(SER_hh_tes!Q11=0,"",SER_hh_tes!Q11/SER_hh_fec!Q11)</f>
        <v/>
      </c>
      <c r="R11" s="136" t="str">
        <f>IF(SER_hh_tes!R11=0,"",SER_hh_tes!R11/SER_hh_fec!R11)</f>
        <v/>
      </c>
      <c r="S11" s="136" t="str">
        <f>IF(SER_hh_tes!S11=0,"",SER_hh_tes!S11/SER_hh_fec!S11)</f>
        <v/>
      </c>
      <c r="T11" s="136" t="str">
        <f>IF(SER_hh_tes!T11=0,"",SER_hh_tes!T11/SER_hh_fec!T11)</f>
        <v/>
      </c>
      <c r="U11" s="136" t="str">
        <f>IF(SER_hh_tes!U11=0,"",SER_hh_tes!U11/SER_hh_fec!U11)</f>
        <v/>
      </c>
      <c r="V11" s="136" t="str">
        <f>IF(SER_hh_tes!V11=0,"",SER_hh_tes!V11/SER_hh_fec!V11)</f>
        <v/>
      </c>
      <c r="W11" s="136" t="str">
        <f>IF(SER_hh_tes!W11=0,"",SER_hh_tes!W11/SER_hh_fec!W11)</f>
        <v/>
      </c>
      <c r="X11" s="136" t="str">
        <f>IF(SER_hh_tes!X11=0,"",SER_hh_tes!X11/SER_hh_fec!X11)</f>
        <v/>
      </c>
      <c r="Y11" s="136" t="str">
        <f>IF(SER_hh_tes!Y11=0,"",SER_hh_tes!Y11/SER_hh_fec!Y11)</f>
        <v/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0.84938267424098801</v>
      </c>
      <c r="C12" s="136">
        <f>IF(SER_hh_tes!C12=0,"",SER_hh_tes!C12/SER_hh_fec!C12)</f>
        <v>0.8511544099159507</v>
      </c>
      <c r="D12" s="136">
        <f>IF(SER_hh_tes!D12=0,"",SER_hh_tes!D12/SER_hh_fec!D12)</f>
        <v>0.85281745386084662</v>
      </c>
      <c r="E12" s="136">
        <f>IF(SER_hh_tes!E12=0,"",SER_hh_tes!E12/SER_hh_fec!E12)</f>
        <v>0.85397916657271977</v>
      </c>
      <c r="F12" s="136">
        <f>IF(SER_hh_tes!F12=0,"",SER_hh_tes!F12/SER_hh_fec!F12)</f>
        <v>0.85582653243631102</v>
      </c>
      <c r="G12" s="136">
        <f>IF(SER_hh_tes!G12=0,"",SER_hh_tes!G12/SER_hh_fec!G12)</f>
        <v>0.85983331889504111</v>
      </c>
      <c r="H12" s="136">
        <f>IF(SER_hh_tes!H12=0,"",SER_hh_tes!H12/SER_hh_fec!H12)</f>
        <v>0.86430362848970321</v>
      </c>
      <c r="I12" s="136">
        <f>IF(SER_hh_tes!I12=0,"",SER_hh_tes!I12/SER_hh_fec!I12)</f>
        <v>0.86733602157448531</v>
      </c>
      <c r="J12" s="136">
        <f>IF(SER_hh_tes!J12=0,"",SER_hh_tes!J12/SER_hh_fec!J12)</f>
        <v>0.86890764204201887</v>
      </c>
      <c r="K12" s="136">
        <f>IF(SER_hh_tes!K12=0,"",SER_hh_tes!K12/SER_hh_fec!K12)</f>
        <v>0.86984984713638813</v>
      </c>
      <c r="L12" s="136">
        <f>IF(SER_hh_tes!L12=0,"",SER_hh_tes!L12/SER_hh_fec!L12)</f>
        <v>0.87527498554688876</v>
      </c>
      <c r="M12" s="136">
        <f>IF(SER_hh_tes!M12=0,"",SER_hh_tes!M12/SER_hh_fec!M12)</f>
        <v>0.88168193785710336</v>
      </c>
      <c r="N12" s="136">
        <f>IF(SER_hh_tes!N12=0,"",SER_hh_tes!N12/SER_hh_fec!N12)</f>
        <v>0.88811793416512297</v>
      </c>
      <c r="O12" s="136">
        <f>IF(SER_hh_tes!O12=0,"",SER_hh_tes!O12/SER_hh_fec!O12)</f>
        <v>0.89419955991863975</v>
      </c>
      <c r="P12" s="136">
        <f>IF(SER_hh_tes!P12=0,"",SER_hh_tes!P12/SER_hh_fec!P12)</f>
        <v>0.8982605027476116</v>
      </c>
      <c r="Q12" s="136">
        <f>IF(SER_hh_tes!Q12=0,"",SER_hh_tes!Q12/SER_hh_fec!Q12)</f>
        <v>0.90068354530823969</v>
      </c>
      <c r="R12" s="136">
        <f>IF(SER_hh_tes!R12=0,"",SER_hh_tes!R12/SER_hh_fec!R12)</f>
        <v>0.90230018962930181</v>
      </c>
      <c r="S12" s="136">
        <f>IF(SER_hh_tes!S12=0,"",SER_hh_tes!S12/SER_hh_fec!S12)</f>
        <v>0.90364282061383638</v>
      </c>
      <c r="T12" s="136">
        <f>IF(SER_hh_tes!T12=0,"",SER_hh_tes!T12/SER_hh_fec!T12)</f>
        <v>0.90740351137064379</v>
      </c>
      <c r="U12" s="136">
        <f>IF(SER_hh_tes!U12=0,"",SER_hh_tes!U12/SER_hh_fec!U12)</f>
        <v>0.9124907611551436</v>
      </c>
      <c r="V12" s="136">
        <f>IF(SER_hh_tes!V12=0,"",SER_hh_tes!V12/SER_hh_fec!V12)</f>
        <v>0.91921030509852142</v>
      </c>
      <c r="W12" s="136">
        <f>IF(SER_hh_tes!W12=0,"",SER_hh_tes!W12/SER_hh_fec!W12)</f>
        <v>0.92543643379753349</v>
      </c>
      <c r="X12" s="136">
        <f>IF(SER_hh_tes!X12=0,"",SER_hh_tes!X12/SER_hh_fec!X12)</f>
        <v>0.93122523224469511</v>
      </c>
      <c r="Y12" s="136">
        <f>IF(SER_hh_tes!Y12=0,"",SER_hh_tes!Y12/SER_hh_fec!Y12)</f>
        <v>0.93607468394552051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1.660546464503859</v>
      </c>
      <c r="C13" s="136">
        <f>IF(SER_hh_tes!C13=0,"",SER_hh_tes!C13/SER_hh_fec!C13)</f>
        <v>1.6836529689359414</v>
      </c>
      <c r="D13" s="136">
        <f>IF(SER_hh_tes!D13=0,"",SER_hh_tes!D13/SER_hh_fec!D13)</f>
        <v>1.7129150948634417</v>
      </c>
      <c r="E13" s="136">
        <f>IF(SER_hh_tes!E13=0,"",SER_hh_tes!E13/SER_hh_fec!E13)</f>
        <v>1.7608514736352558</v>
      </c>
      <c r="F13" s="136">
        <f>IF(SER_hh_tes!F13=0,"",SER_hh_tes!F13/SER_hh_fec!F13)</f>
        <v>1.9418734578143584</v>
      </c>
      <c r="G13" s="136">
        <f>IF(SER_hh_tes!G13=0,"",SER_hh_tes!G13/SER_hh_fec!G13)</f>
        <v>2.0749206646795018</v>
      </c>
      <c r="H13" s="136">
        <f>IF(SER_hh_tes!H13=0,"",SER_hh_tes!H13/SER_hh_fec!H13)</f>
        <v>2.1768140737938615</v>
      </c>
      <c r="I13" s="136">
        <f>IF(SER_hh_tes!I13=0,"",SER_hh_tes!I13/SER_hh_fec!I13)</f>
        <v>2.244131741152894</v>
      </c>
      <c r="J13" s="136">
        <f>IF(SER_hh_tes!J13=0,"",SER_hh_tes!J13/SER_hh_fec!J13)</f>
        <v>2.2937914119997282</v>
      </c>
      <c r="K13" s="136">
        <f>IF(SER_hh_tes!K13=0,"",SER_hh_tes!K13/SER_hh_fec!K13)</f>
        <v>2.3429332423590616</v>
      </c>
      <c r="L13" s="136">
        <f>IF(SER_hh_tes!L13=0,"",SER_hh_tes!L13/SER_hh_fec!L13)</f>
        <v>2.3857380621975919</v>
      </c>
      <c r="M13" s="136">
        <f>IF(SER_hh_tes!M13=0,"",SER_hh_tes!M13/SER_hh_fec!M13)</f>
        <v>2.4498376165611435</v>
      </c>
      <c r="N13" s="136">
        <f>IF(SER_hh_tes!N13=0,"",SER_hh_tes!N13/SER_hh_fec!N13)</f>
        <v>2.5068461311984436</v>
      </c>
      <c r="O13" s="136">
        <f>IF(SER_hh_tes!O13=0,"",SER_hh_tes!O13/SER_hh_fec!O13)</f>
        <v>2.5604933328355162</v>
      </c>
      <c r="P13" s="136">
        <f>IF(SER_hh_tes!P13=0,"",SER_hh_tes!P13/SER_hh_fec!P13)</f>
        <v>2.6086752235453887</v>
      </c>
      <c r="Q13" s="136">
        <f>IF(SER_hh_tes!Q13=0,"",SER_hh_tes!Q13/SER_hh_fec!Q13)</f>
        <v>2.6200682619583509</v>
      </c>
      <c r="R13" s="136">
        <f>IF(SER_hh_tes!R13=0,"",SER_hh_tes!R13/SER_hh_fec!R13)</f>
        <v>2.7520702752429185</v>
      </c>
      <c r="S13" s="136">
        <f>IF(SER_hh_tes!S13=0,"",SER_hh_tes!S13/SER_hh_fec!S13)</f>
        <v>3.0153115696002035</v>
      </c>
      <c r="T13" s="136">
        <f>IF(SER_hh_tes!T13=0,"",SER_hh_tes!T13/SER_hh_fec!T13)</f>
        <v>3.3502432424143329</v>
      </c>
      <c r="U13" s="136">
        <f>IF(SER_hh_tes!U13=0,"",SER_hh_tes!U13/SER_hh_fec!U13)</f>
        <v>3.5924417718787875</v>
      </c>
      <c r="V13" s="136">
        <f>IF(SER_hh_tes!V13=0,"",SER_hh_tes!V13/SER_hh_fec!V13)</f>
        <v>3.761736539149223</v>
      </c>
      <c r="W13" s="136">
        <f>IF(SER_hh_tes!W13=0,"",SER_hh_tes!W13/SER_hh_fec!W13)</f>
        <v>3.8908659178151437</v>
      </c>
      <c r="X13" s="136">
        <f>IF(SER_hh_tes!X13=0,"",SER_hh_tes!X13/SER_hh_fec!X13)</f>
        <v>3.9772438793888991</v>
      </c>
      <c r="Y13" s="136">
        <f>IF(SER_hh_tes!Y13=0,"",SER_hh_tes!Y13/SER_hh_fec!Y13)</f>
        <v>4.0275021131794544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0.75091722242034731</v>
      </c>
      <c r="C14" s="137">
        <f>IF(SER_hh_tes!C14=0,"",SER_hh_tes!C14/SER_hh_fec!C14)</f>
        <v>0.75214674082466859</v>
      </c>
      <c r="D14" s="137">
        <f>IF(SER_hh_tes!D14=0,"",SER_hh_tes!D14/SER_hh_fec!D14)</f>
        <v>0.7536099664236382</v>
      </c>
      <c r="E14" s="137">
        <f>IF(SER_hh_tes!E14=0,"",SER_hh_tes!E14/SER_hh_fec!E14)</f>
        <v>0.76129456837348997</v>
      </c>
      <c r="F14" s="137">
        <f>IF(SER_hh_tes!F14=0,"",SER_hh_tes!F14/SER_hh_fec!F14)</f>
        <v>0.78172933820557255</v>
      </c>
      <c r="G14" s="137">
        <f>IF(SER_hh_tes!G14=0,"",SER_hh_tes!G14/SER_hh_fec!G14)</f>
        <v>0.78954093870906461</v>
      </c>
      <c r="H14" s="137">
        <f>IF(SER_hh_tes!H14=0,"",SER_hh_tes!H14/SER_hh_fec!H14)</f>
        <v>0.79376019958165256</v>
      </c>
      <c r="I14" s="137">
        <f>IF(SER_hh_tes!I14=0,"",SER_hh_tes!I14/SER_hh_fec!I14)</f>
        <v>0.79605409556505391</v>
      </c>
      <c r="J14" s="137">
        <f>IF(SER_hh_tes!J14=0,"",SER_hh_tes!J14/SER_hh_fec!J14)</f>
        <v>0.7976234018245113</v>
      </c>
      <c r="K14" s="137">
        <f>IF(SER_hh_tes!K14=0,"",SER_hh_tes!K14/SER_hh_fec!K14)</f>
        <v>0.79951926074004376</v>
      </c>
      <c r="L14" s="137">
        <f>IF(SER_hh_tes!L14=0,"",SER_hh_tes!L14/SER_hh_fec!L14)</f>
        <v>0.80133190081814898</v>
      </c>
      <c r="M14" s="137">
        <f>IF(SER_hh_tes!M14=0,"",SER_hh_tes!M14/SER_hh_fec!M14)</f>
        <v>0.80357588224531384</v>
      </c>
      <c r="N14" s="137">
        <f>IF(SER_hh_tes!N14=0,"",SER_hh_tes!N14/SER_hh_fec!N14)</f>
        <v>0.8061641076268522</v>
      </c>
      <c r="O14" s="137">
        <f>IF(SER_hh_tes!O14=0,"",SER_hh_tes!O14/SER_hh_fec!O14)</f>
        <v>0.80879867951650286</v>
      </c>
      <c r="P14" s="137">
        <f>IF(SER_hh_tes!P14=0,"",SER_hh_tes!P14/SER_hh_fec!P14)</f>
        <v>0.80935215716340358</v>
      </c>
      <c r="Q14" s="137">
        <f>IF(SER_hh_tes!Q14=0,"",SER_hh_tes!Q14/SER_hh_fec!Q14)</f>
        <v>0.81042292259574689</v>
      </c>
      <c r="R14" s="137">
        <f>IF(SER_hh_tes!R14=0,"",SER_hh_tes!R14/SER_hh_fec!R14)</f>
        <v>0.81417106803401329</v>
      </c>
      <c r="S14" s="137">
        <f>IF(SER_hh_tes!S14=0,"",SER_hh_tes!S14/SER_hh_fec!S14)</f>
        <v>0.822625058806564</v>
      </c>
      <c r="T14" s="137">
        <f>IF(SER_hh_tes!T14=0,"",SER_hh_tes!T14/SER_hh_fec!T14)</f>
        <v>0.83668647213903302</v>
      </c>
      <c r="U14" s="137">
        <f>IF(SER_hh_tes!U14=0,"",SER_hh_tes!U14/SER_hh_fec!U14)</f>
        <v>0.85700061601113409</v>
      </c>
      <c r="V14" s="137">
        <f>IF(SER_hh_tes!V14=0,"",SER_hh_tes!V14/SER_hh_fec!V14)</f>
        <v>0.87980502940740024</v>
      </c>
      <c r="W14" s="137">
        <f>IF(SER_hh_tes!W14=0,"",SER_hh_tes!W14/SER_hh_fec!W14)</f>
        <v>0.8952726154194427</v>
      </c>
      <c r="X14" s="137">
        <f>IF(SER_hh_tes!X14=0,"",SER_hh_tes!X14/SER_hh_fec!X14)</f>
        <v>0.9036638395965072</v>
      </c>
      <c r="Y14" s="137">
        <f>IF(SER_hh_tes!Y14=0,"",SER_hh_tes!Y14/SER_hh_fec!Y14)</f>
        <v>0.90740158711268082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2.0464363519681821</v>
      </c>
      <c r="C16" s="135">
        <f>IF(SER_hh_tes!C16=0,"",SER_hh_tes!C16/SER_hh_fec!C16)</f>
        <v>2.2177598457414365</v>
      </c>
      <c r="D16" s="135">
        <f>IF(SER_hh_tes!D16=0,"",SER_hh_tes!D16/SER_hh_fec!D16)</f>
        <v>2.4024683819344705</v>
      </c>
      <c r="E16" s="135">
        <f>IF(SER_hh_tes!E16=0,"",SER_hh_tes!E16/SER_hh_fec!E16)</f>
        <v>2.5281683924351115</v>
      </c>
      <c r="F16" s="135">
        <f>IF(SER_hh_tes!F16=0,"",SER_hh_tes!F16/SER_hh_fec!F16)</f>
        <v>2.6605785423930204</v>
      </c>
      <c r="G16" s="135">
        <f>IF(SER_hh_tes!G16=0,"",SER_hh_tes!G16/SER_hh_fec!G16)</f>
        <v>2.7909744788127537</v>
      </c>
      <c r="H16" s="135">
        <f>IF(SER_hh_tes!H16=0,"",SER_hh_tes!H16/SER_hh_fec!H16)</f>
        <v>2.9191435283400162</v>
      </c>
      <c r="I16" s="135">
        <f>IF(SER_hh_tes!I16=0,"",SER_hh_tes!I16/SER_hh_fec!I16)</f>
        <v>3.0531334526402008</v>
      </c>
      <c r="J16" s="135">
        <f>IF(SER_hh_tes!J16=0,"",SER_hh_tes!J16/SER_hh_fec!J16)</f>
        <v>3.1739982393960324</v>
      </c>
      <c r="K16" s="135">
        <f>IF(SER_hh_tes!K16=0,"",SER_hh_tes!K16/SER_hh_fec!K16)</f>
        <v>3.2591088971727902</v>
      </c>
      <c r="L16" s="135">
        <f>IF(SER_hh_tes!L16=0,"",SER_hh_tes!L16/SER_hh_fec!L16)</f>
        <v>3.3651170810453466</v>
      </c>
      <c r="M16" s="135">
        <f>IF(SER_hh_tes!M16=0,"",SER_hh_tes!M16/SER_hh_fec!M16)</f>
        <v>3.4896011627435417</v>
      </c>
      <c r="N16" s="135">
        <f>IF(SER_hh_tes!N16=0,"",SER_hh_tes!N16/SER_hh_fec!N16)</f>
        <v>3.6135737146937932</v>
      </c>
      <c r="O16" s="135">
        <f>IF(SER_hh_tes!O16=0,"",SER_hh_tes!O16/SER_hh_fec!O16)</f>
        <v>3.746160739513837</v>
      </c>
      <c r="P16" s="135">
        <f>IF(SER_hh_tes!P16=0,"",SER_hh_tes!P16/SER_hh_fec!P16)</f>
        <v>3.8847416275708375</v>
      </c>
      <c r="Q16" s="135">
        <f>IF(SER_hh_tes!Q16=0,"",SER_hh_tes!Q16/SER_hh_fec!Q16)</f>
        <v>4.0231509394945348</v>
      </c>
      <c r="R16" s="135">
        <f>IF(SER_hh_tes!R16=0,"",SER_hh_tes!R16/SER_hh_fec!R16)</f>
        <v>4.1784120505586033</v>
      </c>
      <c r="S16" s="135">
        <f>IF(SER_hh_tes!S16=0,"",SER_hh_tes!S16/SER_hh_fec!S16)</f>
        <v>4.3213218114330862</v>
      </c>
      <c r="T16" s="135">
        <f>IF(SER_hh_tes!T16=0,"",SER_hh_tes!T16/SER_hh_fec!T16)</f>
        <v>4.4469985783614252</v>
      </c>
      <c r="U16" s="135">
        <f>IF(SER_hh_tes!U16=0,"",SER_hh_tes!U16/SER_hh_fec!U16)</f>
        <v>4.5641593148661661</v>
      </c>
      <c r="V16" s="135">
        <f>IF(SER_hh_tes!V16=0,"",SER_hh_tes!V16/SER_hh_fec!V16)</f>
        <v>4.6776039959476492</v>
      </c>
      <c r="W16" s="135">
        <f>IF(SER_hh_tes!W16=0,"",SER_hh_tes!W16/SER_hh_fec!W16)</f>
        <v>4.7848802619812929</v>
      </c>
      <c r="X16" s="135">
        <f>IF(SER_hh_tes!X16=0,"",SER_hh_tes!X16/SER_hh_fec!X16)</f>
        <v>4.8615600534171817</v>
      </c>
      <c r="Y16" s="135">
        <f>IF(SER_hh_tes!Y16=0,"",SER_hh_tes!Y16/SER_hh_fec!Y16)</f>
        <v>4.9229679787997833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1.1597975394220468</v>
      </c>
      <c r="C17" s="136">
        <f>IF(SER_hh_tes!C17=0,"",SER_hh_tes!C17/SER_hh_fec!C17)</f>
        <v>1.1963242931301381</v>
      </c>
      <c r="D17" s="136">
        <f>IF(SER_hh_tes!D17=0,"",SER_hh_tes!D17/SER_hh_fec!D17)</f>
        <v>1.2330439155454069</v>
      </c>
      <c r="E17" s="136">
        <f>IF(SER_hh_tes!E17=0,"",SER_hh_tes!E17/SER_hh_fec!E17)</f>
        <v>1.2404202392092212</v>
      </c>
      <c r="F17" s="136">
        <f>IF(SER_hh_tes!F17=0,"",SER_hh_tes!F17/SER_hh_fec!F17)</f>
        <v>1.2860378675433393</v>
      </c>
      <c r="G17" s="136">
        <f>IF(SER_hh_tes!G17=0,"",SER_hh_tes!G17/SER_hh_fec!G17)</f>
        <v>1.3089303370666328</v>
      </c>
      <c r="H17" s="136">
        <f>IF(SER_hh_tes!H17=0,"",SER_hh_tes!H17/SER_hh_fec!H17)</f>
        <v>1.3212068930918328</v>
      </c>
      <c r="I17" s="136">
        <f>IF(SER_hh_tes!I17=0,"",SER_hh_tes!I17/SER_hh_fec!I17)</f>
        <v>1.3502627802543663</v>
      </c>
      <c r="J17" s="136">
        <f>IF(SER_hh_tes!J17=0,"",SER_hh_tes!J17/SER_hh_fec!J17)</f>
        <v>1.3703911481304487</v>
      </c>
      <c r="K17" s="136">
        <f>IF(SER_hh_tes!K17=0,"",SER_hh_tes!K17/SER_hh_fec!K17)</f>
        <v>1.3853099476799879</v>
      </c>
      <c r="L17" s="136">
        <f>IF(SER_hh_tes!L17=0,"",SER_hh_tes!L17/SER_hh_fec!L17)</f>
        <v>1.3953739648486034</v>
      </c>
      <c r="M17" s="136">
        <f>IF(SER_hh_tes!M17=0,"",SER_hh_tes!M17/SER_hh_fec!M17)</f>
        <v>1.4131255550471262</v>
      </c>
      <c r="N17" s="136">
        <f>IF(SER_hh_tes!N17=0,"",SER_hh_tes!N17/SER_hh_fec!N17)</f>
        <v>1.4312251837899286</v>
      </c>
      <c r="O17" s="136">
        <f>IF(SER_hh_tes!O17=0,"",SER_hh_tes!O17/SER_hh_fec!O17)</f>
        <v>1.4566475334991671</v>
      </c>
      <c r="P17" s="136">
        <f>IF(SER_hh_tes!P17=0,"",SER_hh_tes!P17/SER_hh_fec!P17)</f>
        <v>1.4905555695959256</v>
      </c>
      <c r="Q17" s="136">
        <f>IF(SER_hh_tes!Q17=0,"",SER_hh_tes!Q17/SER_hh_fec!Q17)</f>
        <v>1.5219948372375847</v>
      </c>
      <c r="R17" s="136">
        <f>IF(SER_hh_tes!R17=0,"",SER_hh_tes!R17/SER_hh_fec!R17)</f>
        <v>1.5435197758295554</v>
      </c>
      <c r="S17" s="136">
        <f>IF(SER_hh_tes!S17=0,"",SER_hh_tes!S17/SER_hh_fec!S17)</f>
        <v>1.5608671468792916</v>
      </c>
      <c r="T17" s="136">
        <f>IF(SER_hh_tes!T17=0,"",SER_hh_tes!T17/SER_hh_fec!T17)</f>
        <v>1.5843559336129687</v>
      </c>
      <c r="U17" s="136">
        <f>IF(SER_hh_tes!U17=0,"",SER_hh_tes!U17/SER_hh_fec!U17)</f>
        <v>1.6102765081411754</v>
      </c>
      <c r="V17" s="136">
        <f>IF(SER_hh_tes!V17=0,"",SER_hh_tes!V17/SER_hh_fec!V17)</f>
        <v>1.6297861372455049</v>
      </c>
      <c r="W17" s="136">
        <f>IF(SER_hh_tes!W17=0,"",SER_hh_tes!W17/SER_hh_fec!W17)</f>
        <v>1.6485642226816593</v>
      </c>
      <c r="X17" s="136">
        <f>IF(SER_hh_tes!X17=0,"",SER_hh_tes!X17/SER_hh_fec!X17)</f>
        <v>1.6684191977070288</v>
      </c>
      <c r="Y17" s="136">
        <f>IF(SER_hh_tes!Y17=0,"",SER_hh_tes!Y17/SER_hh_fec!Y17)</f>
        <v>1.6894045790393157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2.0478273691730795</v>
      </c>
      <c r="C18" s="136">
        <f>IF(SER_hh_tes!C18=0,"",SER_hh_tes!C18/SER_hh_fec!C18)</f>
        <v>2.219541462844258</v>
      </c>
      <c r="D18" s="136">
        <f>IF(SER_hh_tes!D18=0,"",SER_hh_tes!D18/SER_hh_fec!D18)</f>
        <v>2.4048043489992974</v>
      </c>
      <c r="E18" s="136">
        <f>IF(SER_hh_tes!E18=0,"",SER_hh_tes!E18/SER_hh_fec!E18)</f>
        <v>2.5303412036268096</v>
      </c>
      <c r="F18" s="136">
        <f>IF(SER_hh_tes!F18=0,"",SER_hh_tes!F18/SER_hh_fec!F18)</f>
        <v>2.6641601416312497</v>
      </c>
      <c r="G18" s="136">
        <f>IF(SER_hh_tes!G18=0,"",SER_hh_tes!G18/SER_hh_fec!G18)</f>
        <v>2.7955351465277403</v>
      </c>
      <c r="H18" s="136">
        <f>IF(SER_hh_tes!H18=0,"",SER_hh_tes!H18/SER_hh_fec!H18)</f>
        <v>2.9238941887985046</v>
      </c>
      <c r="I18" s="136">
        <f>IF(SER_hh_tes!I18=0,"",SER_hh_tes!I18/SER_hh_fec!I18)</f>
        <v>3.0598434914734391</v>
      </c>
      <c r="J18" s="136">
        <f>IF(SER_hh_tes!J18=0,"",SER_hh_tes!J18/SER_hh_fec!J18)</f>
        <v>3.1826465209146195</v>
      </c>
      <c r="K18" s="136">
        <f>IF(SER_hh_tes!K18=0,"",SER_hh_tes!K18/SER_hh_fec!K18)</f>
        <v>3.2692630126058497</v>
      </c>
      <c r="L18" s="136">
        <f>IF(SER_hh_tes!L18=0,"",SER_hh_tes!L18/SER_hh_fec!L18)</f>
        <v>3.3757582568333473</v>
      </c>
      <c r="M18" s="136">
        <f>IF(SER_hh_tes!M18=0,"",SER_hh_tes!M18/SER_hh_fec!M18)</f>
        <v>3.5019137248465522</v>
      </c>
      <c r="N18" s="136">
        <f>IF(SER_hh_tes!N18=0,"",SER_hh_tes!N18/SER_hh_fec!N18)</f>
        <v>3.6277369326940212</v>
      </c>
      <c r="O18" s="136">
        <f>IF(SER_hh_tes!O18=0,"",SER_hh_tes!O18/SER_hh_fec!O18)</f>
        <v>3.7634918285009658</v>
      </c>
      <c r="P18" s="136">
        <f>IF(SER_hh_tes!P18=0,"",SER_hh_tes!P18/SER_hh_fec!P18)</f>
        <v>3.9079441548852882</v>
      </c>
      <c r="Q18" s="136">
        <f>IF(SER_hh_tes!Q18=0,"",SER_hh_tes!Q18/SER_hh_fec!Q18)</f>
        <v>4.0557993238737318</v>
      </c>
      <c r="R18" s="136">
        <f>IF(SER_hh_tes!R18=0,"",SER_hh_tes!R18/SER_hh_fec!R18)</f>
        <v>4.2188120945811498</v>
      </c>
      <c r="S18" s="136">
        <f>IF(SER_hh_tes!S18=0,"",SER_hh_tes!S18/SER_hh_fec!S18)</f>
        <v>4.3668731029021544</v>
      </c>
      <c r="T18" s="136">
        <f>IF(SER_hh_tes!T18=0,"",SER_hh_tes!T18/SER_hh_fec!T18)</f>
        <v>4.5010345633222721</v>
      </c>
      <c r="U18" s="136">
        <f>IF(SER_hh_tes!U18=0,"",SER_hh_tes!U18/SER_hh_fec!U18)</f>
        <v>4.6288724965441723</v>
      </c>
      <c r="V18" s="136">
        <f>IF(SER_hh_tes!V18=0,"",SER_hh_tes!V18/SER_hh_fec!V18)</f>
        <v>4.7526521731349822</v>
      </c>
      <c r="W18" s="136">
        <f>IF(SER_hh_tes!W18=0,"",SER_hh_tes!W18/SER_hh_fec!W18)</f>
        <v>4.8552635317396975</v>
      </c>
      <c r="X18" s="136">
        <f>IF(SER_hh_tes!X18=0,"",SER_hh_tes!X18/SER_hh_fec!X18)</f>
        <v>4.9384870319432075</v>
      </c>
      <c r="Y18" s="136">
        <f>IF(SER_hh_tes!Y18=0,"",SER_hh_tes!Y18/SER_hh_fec!Y18)</f>
        <v>5.0016301400461689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0.59472217435908681</v>
      </c>
      <c r="C19" s="135">
        <f>IF(SER_hh_tes!C19=0,"",SER_hh_tes!C19/SER_hh_fec!C19)</f>
        <v>0.59832169540000113</v>
      </c>
      <c r="D19" s="135">
        <f>IF(SER_hh_tes!D19=0,"",SER_hh_tes!D19/SER_hh_fec!D19)</f>
        <v>0.60883077058192714</v>
      </c>
      <c r="E19" s="135">
        <f>IF(SER_hh_tes!E19=0,"",SER_hh_tes!E19/SER_hh_fec!E19)</f>
        <v>0.61510348287685612</v>
      </c>
      <c r="F19" s="135">
        <f>IF(SER_hh_tes!F19=0,"",SER_hh_tes!F19/SER_hh_fec!F19)</f>
        <v>0.61588415519803219</v>
      </c>
      <c r="G19" s="135">
        <f>IF(SER_hh_tes!G19=0,"",SER_hh_tes!G19/SER_hh_fec!G19)</f>
        <v>0.62249659962116433</v>
      </c>
      <c r="H19" s="135">
        <f>IF(SER_hh_tes!H19=0,"",SER_hh_tes!H19/SER_hh_fec!H19)</f>
        <v>0.62953029060407151</v>
      </c>
      <c r="I19" s="135">
        <f>IF(SER_hh_tes!I19=0,"",SER_hh_tes!I19/SER_hh_fec!I19)</f>
        <v>0.63605645824270796</v>
      </c>
      <c r="J19" s="135">
        <f>IF(SER_hh_tes!J19=0,"",SER_hh_tes!J19/SER_hh_fec!J19)</f>
        <v>0.64385080244363679</v>
      </c>
      <c r="K19" s="135">
        <f>IF(SER_hh_tes!K19=0,"",SER_hh_tes!K19/SER_hh_fec!K19)</f>
        <v>0.65025157891166452</v>
      </c>
      <c r="L19" s="135">
        <f>IF(SER_hh_tes!L19=0,"",SER_hh_tes!L19/SER_hh_fec!L19)</f>
        <v>0.65826213236744668</v>
      </c>
      <c r="M19" s="135">
        <f>IF(SER_hh_tes!M19=0,"",SER_hh_tes!M19/SER_hh_fec!M19)</f>
        <v>0.66677230091875084</v>
      </c>
      <c r="N19" s="135">
        <f>IF(SER_hh_tes!N19=0,"",SER_hh_tes!N19/SER_hh_fec!N19)</f>
        <v>0.67685779053108797</v>
      </c>
      <c r="O19" s="135">
        <f>IF(SER_hh_tes!O19=0,"",SER_hh_tes!O19/SER_hh_fec!O19)</f>
        <v>0.68843092197063371</v>
      </c>
      <c r="P19" s="135">
        <f>IF(SER_hh_tes!P19=0,"",SER_hh_tes!P19/SER_hh_fec!P19)</f>
        <v>0.69417296266522532</v>
      </c>
      <c r="Q19" s="135">
        <f>IF(SER_hh_tes!Q19=0,"",SER_hh_tes!Q19/SER_hh_fec!Q19)</f>
        <v>0.70125807334069679</v>
      </c>
      <c r="R19" s="135">
        <f>IF(SER_hh_tes!R19=0,"",SER_hh_tes!R19/SER_hh_fec!R19)</f>
        <v>0.71304206111801149</v>
      </c>
      <c r="S19" s="135">
        <f>IF(SER_hh_tes!S19=0,"",SER_hh_tes!S19/SER_hh_fec!S19)</f>
        <v>0.7269164397461384</v>
      </c>
      <c r="T19" s="135">
        <f>IF(SER_hh_tes!T19=0,"",SER_hh_tes!T19/SER_hh_fec!T19)</f>
        <v>0.74248775354643326</v>
      </c>
      <c r="U19" s="135">
        <f>IF(SER_hh_tes!U19=0,"",SER_hh_tes!U19/SER_hh_fec!U19)</f>
        <v>0.75966514572531174</v>
      </c>
      <c r="V19" s="135">
        <f>IF(SER_hh_tes!V19=0,"",SER_hh_tes!V19/SER_hh_fec!V19)</f>
        <v>0.77499445398724764</v>
      </c>
      <c r="W19" s="135">
        <f>IF(SER_hh_tes!W19=0,"",SER_hh_tes!W19/SER_hh_fec!W19)</f>
        <v>0.78966146157103911</v>
      </c>
      <c r="X19" s="135">
        <f>IF(SER_hh_tes!X19=0,"",SER_hh_tes!X19/SER_hh_fec!X19)</f>
        <v>0.8086978286380816</v>
      </c>
      <c r="Y19" s="135">
        <f>IF(SER_hh_tes!Y19=0,"",SER_hh_tes!Y19/SER_hh_fec!Y19)</f>
        <v>0.82705218973303984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>
        <f>IF(SER_hh_tes!B21=0,"",SER_hh_tes!B21/SER_hh_fec!B21)</f>
        <v>0.59519146731658246</v>
      </c>
      <c r="C21" s="136">
        <f>IF(SER_hh_tes!C21=0,"",SER_hh_tes!C21/SER_hh_fec!C21)</f>
        <v>0.59690319951989002</v>
      </c>
      <c r="D21" s="136">
        <f>IF(SER_hh_tes!D21=0,"",SER_hh_tes!D21/SER_hh_fec!D21)</f>
        <v>0.59829914104841109</v>
      </c>
      <c r="E21" s="136">
        <f>IF(SER_hh_tes!E21=0,"",SER_hh_tes!E21/SER_hh_fec!E21)</f>
        <v>0.59880685114665722</v>
      </c>
      <c r="F21" s="136">
        <f>IF(SER_hh_tes!F21=0,"",SER_hh_tes!F21/SER_hh_fec!F21)</f>
        <v>0.59913999259692319</v>
      </c>
      <c r="G21" s="136">
        <f>IF(SER_hh_tes!G21=0,"",SER_hh_tes!G21/SER_hh_fec!G21)</f>
        <v>0.59943450595269687</v>
      </c>
      <c r="H21" s="136">
        <f>IF(SER_hh_tes!H21=0,"",SER_hh_tes!H21/SER_hh_fec!H21)</f>
        <v>0.59943433336098784</v>
      </c>
      <c r="I21" s="136">
        <f>IF(SER_hh_tes!I21=0,"",SER_hh_tes!I21/SER_hh_fec!I21)</f>
        <v>0.5994340822094727</v>
      </c>
      <c r="J21" s="136">
        <f>IF(SER_hh_tes!J21=0,"",SER_hh_tes!J21/SER_hh_fec!J21)</f>
        <v>0.59943393171753812</v>
      </c>
      <c r="K21" s="136">
        <f>IF(SER_hh_tes!K21=0,"",SER_hh_tes!K21/SER_hh_fec!K21)</f>
        <v>0.59943367195313679</v>
      </c>
      <c r="L21" s="136">
        <f>IF(SER_hh_tes!L21=0,"",SER_hh_tes!L21/SER_hh_fec!L21)</f>
        <v>0.59946902434762916</v>
      </c>
      <c r="M21" s="136">
        <f>IF(SER_hh_tes!M21=0,"",SER_hh_tes!M21/SER_hh_fec!M21)</f>
        <v>0.61169955739528303</v>
      </c>
      <c r="N21" s="136">
        <f>IF(SER_hh_tes!N21=0,"",SER_hh_tes!N21/SER_hh_fec!N21)</f>
        <v>0.64122560376136684</v>
      </c>
      <c r="O21" s="136">
        <f>IF(SER_hh_tes!O21=0,"",SER_hh_tes!O21/SER_hh_fec!O21)</f>
        <v>0.67093149772315841</v>
      </c>
      <c r="P21" s="136">
        <f>IF(SER_hh_tes!P21=0,"",SER_hh_tes!P21/SER_hh_fec!P21)</f>
        <v>0.6744160343380764</v>
      </c>
      <c r="Q21" s="136">
        <f>IF(SER_hh_tes!Q21=0,"",SER_hh_tes!Q21/SER_hh_fec!Q21)</f>
        <v>0.68030365944832405</v>
      </c>
      <c r="R21" s="136">
        <f>IF(SER_hh_tes!R21=0,"",SER_hh_tes!R21/SER_hh_fec!R21)</f>
        <v>0.6901622378566461</v>
      </c>
      <c r="S21" s="136">
        <f>IF(SER_hh_tes!S21=0,"",SER_hh_tes!S21/SER_hh_fec!S21)</f>
        <v>0.70729316548244359</v>
      </c>
      <c r="T21" s="136">
        <f>IF(SER_hh_tes!T21=0,"",SER_hh_tes!T21/SER_hh_fec!T21)</f>
        <v>0.71867845426760368</v>
      </c>
      <c r="U21" s="136">
        <f>IF(SER_hh_tes!U21=0,"",SER_hh_tes!U21/SER_hh_fec!U21)</f>
        <v>0.72540427632478288</v>
      </c>
      <c r="V21" s="136">
        <f>IF(SER_hh_tes!V21=0,"",SER_hh_tes!V21/SER_hh_fec!V21)</f>
        <v>0.73400965554740705</v>
      </c>
      <c r="W21" s="136">
        <f>IF(SER_hh_tes!W21=0,"",SER_hh_tes!W21/SER_hh_fec!W21)</f>
        <v>0.74741470012321642</v>
      </c>
      <c r="X21" s="136">
        <f>IF(SER_hh_tes!X21=0,"",SER_hh_tes!X21/SER_hh_fec!X21)</f>
        <v>0.76304058499088134</v>
      </c>
      <c r="Y21" s="136">
        <f>IF(SER_hh_tes!Y21=0,"",SER_hh_tes!Y21/SER_hh_fec!Y21)</f>
        <v>0.77514298932014736</v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0.56090177617148895</v>
      </c>
      <c r="C22" s="136">
        <f>IF(SER_hh_tes!C22=0,"",SER_hh_tes!C22/SER_hh_fec!C22)</f>
        <v>0.56226531696746629</v>
      </c>
      <c r="D22" s="136">
        <f>IF(SER_hh_tes!D22=0,"",SER_hh_tes!D22/SER_hh_fec!D22)</f>
        <v>0.56360926417538537</v>
      </c>
      <c r="E22" s="136">
        <f>IF(SER_hh_tes!E22=0,"",SER_hh_tes!E22/SER_hh_fec!E22)</f>
        <v>0.56541877002727225</v>
      </c>
      <c r="F22" s="136">
        <f>IF(SER_hh_tes!F22=0,"",SER_hh_tes!F22/SER_hh_fec!F22)</f>
        <v>0.56787344057541089</v>
      </c>
      <c r="G22" s="136">
        <f>IF(SER_hh_tes!G22=0,"",SER_hh_tes!G22/SER_hh_fec!G22)</f>
        <v>0.57041723401411404</v>
      </c>
      <c r="H22" s="136">
        <f>IF(SER_hh_tes!H22=0,"",SER_hh_tes!H22/SER_hh_fec!H22)</f>
        <v>0.57300140556044143</v>
      </c>
      <c r="I22" s="136">
        <f>IF(SER_hh_tes!I22=0,"",SER_hh_tes!I22/SER_hh_fec!I22)</f>
        <v>0.57567070075079363</v>
      </c>
      <c r="J22" s="136">
        <f>IF(SER_hh_tes!J22=0,"",SER_hh_tes!J22/SER_hh_fec!J22)</f>
        <v>0.57854924027333898</v>
      </c>
      <c r="K22" s="136">
        <f>IF(SER_hh_tes!K22=0,"",SER_hh_tes!K22/SER_hh_fec!K22)</f>
        <v>0.58211624083801938</v>
      </c>
      <c r="L22" s="136">
        <f>IF(SER_hh_tes!L22=0,"",SER_hh_tes!L22/SER_hh_fec!L22)</f>
        <v>0.58667285752248588</v>
      </c>
      <c r="M22" s="136">
        <f>IF(SER_hh_tes!M22=0,"",SER_hh_tes!M22/SER_hh_fec!M22)</f>
        <v>0.59267894899108597</v>
      </c>
      <c r="N22" s="136">
        <f>IF(SER_hh_tes!N22=0,"",SER_hh_tes!N22/SER_hh_fec!N22)</f>
        <v>0.60092674674981927</v>
      </c>
      <c r="O22" s="136">
        <f>IF(SER_hh_tes!O22=0,"",SER_hh_tes!O22/SER_hh_fec!O22)</f>
        <v>0.61075110779492758</v>
      </c>
      <c r="P22" s="136">
        <f>IF(SER_hh_tes!P22=0,"",SER_hh_tes!P22/SER_hh_fec!P22)</f>
        <v>0.61424124530528856</v>
      </c>
      <c r="Q22" s="136">
        <f>IF(SER_hh_tes!Q22=0,"",SER_hh_tes!Q22/SER_hh_fec!Q22)</f>
        <v>0.61992298609344965</v>
      </c>
      <c r="R22" s="136">
        <f>IF(SER_hh_tes!R22=0,"",SER_hh_tes!R22/SER_hh_fec!R22)</f>
        <v>0.62713829373529029</v>
      </c>
      <c r="S22" s="136">
        <f>IF(SER_hh_tes!S22=0,"",SER_hh_tes!S22/SER_hh_fec!S22)</f>
        <v>0.63619142468018164</v>
      </c>
      <c r="T22" s="136">
        <f>IF(SER_hh_tes!T22=0,"",SER_hh_tes!T22/SER_hh_fec!T22)</f>
        <v>0.64475026409413161</v>
      </c>
      <c r="U22" s="136">
        <f>IF(SER_hh_tes!U22=0,"",SER_hh_tes!U22/SER_hh_fec!U22)</f>
        <v>0.65316978199634723</v>
      </c>
      <c r="V22" s="136">
        <f>IF(SER_hh_tes!V22=0,"",SER_hh_tes!V22/SER_hh_fec!V22)</f>
        <v>0.66953900172694136</v>
      </c>
      <c r="W22" s="136">
        <f>IF(SER_hh_tes!W22=0,"",SER_hh_tes!W22/SER_hh_fec!W22)</f>
        <v>0.69091659594703048</v>
      </c>
      <c r="X22" s="136">
        <f>IF(SER_hh_tes!X22=0,"",SER_hh_tes!X22/SER_hh_fec!X22)</f>
        <v>0.71561817010905304</v>
      </c>
      <c r="Y22" s="136">
        <f>IF(SER_hh_tes!Y22=0,"",SER_hh_tes!Y22/SER_hh_fec!Y22)</f>
        <v>0.73634783049099106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0.57350376033224959</v>
      </c>
      <c r="C23" s="136">
        <f>IF(SER_hh_tes!C23=0,"",SER_hh_tes!C23/SER_hh_fec!C23)</f>
        <v>0.57804140255127423</v>
      </c>
      <c r="D23" s="136">
        <f>IF(SER_hh_tes!D23=0,"",SER_hh_tes!D23/SER_hh_fec!D23)</f>
        <v>0.5838578213409753</v>
      </c>
      <c r="E23" s="136">
        <f>IF(SER_hh_tes!E23=0,"",SER_hh_tes!E23/SER_hh_fec!E23)</f>
        <v>0.58925870453070217</v>
      </c>
      <c r="F23" s="136">
        <f>IF(SER_hh_tes!F23=0,"",SER_hh_tes!F23/SER_hh_fec!F23)</f>
        <v>0.59693574055891163</v>
      </c>
      <c r="G23" s="136">
        <f>IF(SER_hh_tes!G23=0,"",SER_hh_tes!G23/SER_hh_fec!G23)</f>
        <v>0.6041601531062476</v>
      </c>
      <c r="H23" s="136">
        <f>IF(SER_hh_tes!H23=0,"",SER_hh_tes!H23/SER_hh_fec!H23)</f>
        <v>0.61171872955196227</v>
      </c>
      <c r="I23" s="136">
        <f>IF(SER_hh_tes!I23=0,"",SER_hh_tes!I23/SER_hh_fec!I23)</f>
        <v>0.61983637325323737</v>
      </c>
      <c r="J23" s="136">
        <f>IF(SER_hh_tes!J23=0,"",SER_hh_tes!J23/SER_hh_fec!J23)</f>
        <v>0.62769172545194363</v>
      </c>
      <c r="K23" s="136">
        <f>IF(SER_hh_tes!K23=0,"",SER_hh_tes!K23/SER_hh_fec!K23)</f>
        <v>0.63472204928284004</v>
      </c>
      <c r="L23" s="136">
        <f>IF(SER_hh_tes!L23=0,"",SER_hh_tes!L23/SER_hh_fec!L23)</f>
        <v>0.64431144659110218</v>
      </c>
      <c r="M23" s="136">
        <f>IF(SER_hh_tes!M23=0,"",SER_hh_tes!M23/SER_hh_fec!M23)</f>
        <v>0.65504541907041436</v>
      </c>
      <c r="N23" s="136">
        <f>IF(SER_hh_tes!N23=0,"",SER_hh_tes!N23/SER_hh_fec!N23)</f>
        <v>0.66692244309816573</v>
      </c>
      <c r="O23" s="136">
        <f>IF(SER_hh_tes!O23=0,"",SER_hh_tes!O23/SER_hh_fec!O23)</f>
        <v>0.67916081982338661</v>
      </c>
      <c r="P23" s="136">
        <f>IF(SER_hh_tes!P23=0,"",SER_hh_tes!P23/SER_hh_fec!P23)</f>
        <v>0.68410533779185967</v>
      </c>
      <c r="Q23" s="136">
        <f>IF(SER_hh_tes!Q23=0,"",SER_hh_tes!Q23/SER_hh_fec!Q23)</f>
        <v>0.69094891041487116</v>
      </c>
      <c r="R23" s="136">
        <f>IF(SER_hh_tes!R23=0,"",SER_hh_tes!R23/SER_hh_fec!R23)</f>
        <v>0.70126743570232697</v>
      </c>
      <c r="S23" s="136">
        <f>IF(SER_hh_tes!S23=0,"",SER_hh_tes!S23/SER_hh_fec!S23)</f>
        <v>0.71564458625434391</v>
      </c>
      <c r="T23" s="136">
        <f>IF(SER_hh_tes!T23=0,"",SER_hh_tes!T23/SER_hh_fec!T23)</f>
        <v>0.73244654138221499</v>
      </c>
      <c r="U23" s="136">
        <f>IF(SER_hh_tes!U23=0,"",SER_hh_tes!U23/SER_hh_fec!U23)</f>
        <v>0.75101180661636424</v>
      </c>
      <c r="V23" s="136">
        <f>IF(SER_hh_tes!V23=0,"",SER_hh_tes!V23/SER_hh_fec!V23)</f>
        <v>0.76815081291090415</v>
      </c>
      <c r="W23" s="136">
        <f>IF(SER_hh_tes!W23=0,"",SER_hh_tes!W23/SER_hh_fec!W23)</f>
        <v>0.781809426170751</v>
      </c>
      <c r="X23" s="136">
        <f>IF(SER_hh_tes!X23=0,"",SER_hh_tes!X23/SER_hh_fec!X23)</f>
        <v>0.79068656872928889</v>
      </c>
      <c r="Y23" s="136">
        <f>IF(SER_hh_tes!Y23=0,"",SER_hh_tes!Y23/SER_hh_fec!Y23)</f>
        <v>0.79999081346810497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0.85580988630977284</v>
      </c>
      <c r="C25" s="136">
        <f>IF(SER_hh_tes!C25=0,"",SER_hh_tes!C25/SER_hh_fec!C25)</f>
        <v>0.85761457356802762</v>
      </c>
      <c r="D25" s="136">
        <f>IF(SER_hh_tes!D25=0,"",SER_hh_tes!D25/SER_hh_fec!D25)</f>
        <v>0.85946035001194654</v>
      </c>
      <c r="E25" s="136">
        <f>IF(SER_hh_tes!E25=0,"",SER_hh_tes!E25/SER_hh_fec!E25)</f>
        <v>0.86181273914623491</v>
      </c>
      <c r="F25" s="136">
        <f>IF(SER_hh_tes!F25=0,"",SER_hh_tes!F25/SER_hh_fec!F25)</f>
        <v>0.86494803793414532</v>
      </c>
      <c r="G25" s="136">
        <f>IF(SER_hh_tes!G25=0,"",SER_hh_tes!G25/SER_hh_fec!G25)</f>
        <v>0.86802215668176141</v>
      </c>
      <c r="H25" s="136">
        <f>IF(SER_hh_tes!H25=0,"",SER_hh_tes!H25/SER_hh_fec!H25)</f>
        <v>0.87099819995413796</v>
      </c>
      <c r="I25" s="136">
        <f>IF(SER_hh_tes!I25=0,"",SER_hh_tes!I25/SER_hh_fec!I25)</f>
        <v>0.87390178131687568</v>
      </c>
      <c r="J25" s="136">
        <f>IF(SER_hh_tes!J25=0,"",SER_hh_tes!J25/SER_hh_fec!J25)</f>
        <v>0.87736073993089314</v>
      </c>
      <c r="K25" s="136">
        <f>IF(SER_hh_tes!K25=0,"",SER_hh_tes!K25/SER_hh_fec!K25)</f>
        <v>0.88122887737819577</v>
      </c>
      <c r="L25" s="136">
        <f>IF(SER_hh_tes!L25=0,"",SER_hh_tes!L25/SER_hh_fec!L25)</f>
        <v>0.88581595108576305</v>
      </c>
      <c r="M25" s="136">
        <f>IF(SER_hh_tes!M25=0,"",SER_hh_tes!M25/SER_hh_fec!M25)</f>
        <v>0.8899295537091173</v>
      </c>
      <c r="N25" s="136">
        <f>IF(SER_hh_tes!N25=0,"",SER_hh_tes!N25/SER_hh_fec!N25)</f>
        <v>0.89416504281248355</v>
      </c>
      <c r="O25" s="136">
        <f>IF(SER_hh_tes!O25=0,"",SER_hh_tes!O25/SER_hh_fec!O25)</f>
        <v>0.89815419424894238</v>
      </c>
      <c r="P25" s="136">
        <f>IF(SER_hh_tes!P25=0,"",SER_hh_tes!P25/SER_hh_fec!P25)</f>
        <v>0.89888318037621651</v>
      </c>
      <c r="Q25" s="136">
        <f>IF(SER_hh_tes!Q25=0,"",SER_hh_tes!Q25/SER_hh_fec!Q25)</f>
        <v>0.90105022414904068</v>
      </c>
      <c r="R25" s="136">
        <f>IF(SER_hh_tes!R25=0,"",SER_hh_tes!R25/SER_hh_fec!R25)</f>
        <v>0.9039382431986358</v>
      </c>
      <c r="S25" s="136">
        <f>IF(SER_hh_tes!S25=0,"",SER_hh_tes!S25/SER_hh_fec!S25)</f>
        <v>0.90781172642468388</v>
      </c>
      <c r="T25" s="136">
        <f>IF(SER_hh_tes!T25=0,"",SER_hh_tes!T25/SER_hh_fec!T25)</f>
        <v>0.91199497865568691</v>
      </c>
      <c r="U25" s="136">
        <f>IF(SER_hh_tes!U25=0,"",SER_hh_tes!U25/SER_hh_fec!U25)</f>
        <v>0.91674284360773828</v>
      </c>
      <c r="V25" s="136">
        <f>IF(SER_hh_tes!V25=0,"",SER_hh_tes!V25/SER_hh_fec!V25)</f>
        <v>0.9227547788622068</v>
      </c>
      <c r="W25" s="136">
        <f>IF(SER_hh_tes!W25=0,"",SER_hh_tes!W25/SER_hh_fec!W25)</f>
        <v>0.92941673137151071</v>
      </c>
      <c r="X25" s="136">
        <f>IF(SER_hh_tes!X25=0,"",SER_hh_tes!X25/SER_hh_fec!X25)</f>
        <v>0.93702016076397965</v>
      </c>
      <c r="Y25" s="136">
        <f>IF(SER_hh_tes!Y25=0,"",SER_hh_tes!Y25/SER_hh_fec!Y25)</f>
        <v>0.94233297433799446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0.71171407320808511</v>
      </c>
      <c r="C26" s="137">
        <f>IF(SER_hh_tes!C26=0,"",SER_hh_tes!C26/SER_hh_fec!C26)</f>
        <v>0.71520093496029613</v>
      </c>
      <c r="D26" s="137">
        <f>IF(SER_hh_tes!D26=0,"",SER_hh_tes!D26/SER_hh_fec!D26)</f>
        <v>0.72062163934034118</v>
      </c>
      <c r="E26" s="137">
        <f>IF(SER_hh_tes!E26=0,"",SER_hh_tes!E26/SER_hh_fec!E26)</f>
        <v>0.72303378074940028</v>
      </c>
      <c r="F26" s="137">
        <f>IF(SER_hh_tes!F26=0,"",SER_hh_tes!F26/SER_hh_fec!F26)</f>
        <v>0.724859884689111</v>
      </c>
      <c r="G26" s="137">
        <f>IF(SER_hh_tes!G26=0,"",SER_hh_tes!G26/SER_hh_fec!G26)</f>
        <v>0.72715514478674537</v>
      </c>
      <c r="H26" s="137">
        <f>IF(SER_hh_tes!H26=0,"",SER_hh_tes!H26/SER_hh_fec!H26)</f>
        <v>0.72982321441195597</v>
      </c>
      <c r="I26" s="137">
        <f>IF(SER_hh_tes!I26=0,"",SER_hh_tes!I26/SER_hh_fec!I26)</f>
        <v>0.73265888283252967</v>
      </c>
      <c r="J26" s="137">
        <f>IF(SER_hh_tes!J26=0,"",SER_hh_tes!J26/SER_hh_fec!J26)</f>
        <v>0.73554238308503161</v>
      </c>
      <c r="K26" s="137">
        <f>IF(SER_hh_tes!K26=0,"",SER_hh_tes!K26/SER_hh_fec!K26)</f>
        <v>0.73797755661021514</v>
      </c>
      <c r="L26" s="137">
        <f>IF(SER_hh_tes!L26=0,"",SER_hh_tes!L26/SER_hh_fec!L26)</f>
        <v>0.74167052384613164</v>
      </c>
      <c r="M26" s="137">
        <f>IF(SER_hh_tes!M26=0,"",SER_hh_tes!M26/SER_hh_fec!M26)</f>
        <v>0.74538206940775742</v>
      </c>
      <c r="N26" s="137">
        <f>IF(SER_hh_tes!N26=0,"",SER_hh_tes!N26/SER_hh_fec!N26)</f>
        <v>0.7504739152662363</v>
      </c>
      <c r="O26" s="137">
        <f>IF(SER_hh_tes!O26=0,"",SER_hh_tes!O26/SER_hh_fec!O26)</f>
        <v>0.75710377474993606</v>
      </c>
      <c r="P26" s="137">
        <f>IF(SER_hh_tes!P26=0,"",SER_hh_tes!P26/SER_hh_fec!P26)</f>
        <v>0.76330305110661534</v>
      </c>
      <c r="Q26" s="137">
        <f>IF(SER_hh_tes!Q26=0,"",SER_hh_tes!Q26/SER_hh_fec!Q26)</f>
        <v>0.77153105022490043</v>
      </c>
      <c r="R26" s="137">
        <f>IF(SER_hh_tes!R26=0,"",SER_hh_tes!R26/SER_hh_fec!R26)</f>
        <v>0.78266925232791884</v>
      </c>
      <c r="S26" s="137">
        <f>IF(SER_hh_tes!S26=0,"",SER_hh_tes!S26/SER_hh_fec!S26)</f>
        <v>0.79624815488844081</v>
      </c>
      <c r="T26" s="137">
        <f>IF(SER_hh_tes!T26=0,"",SER_hh_tes!T26/SER_hh_fec!T26)</f>
        <v>0.81023901884930249</v>
      </c>
      <c r="U26" s="137">
        <f>IF(SER_hh_tes!U26=0,"",SER_hh_tes!U26/SER_hh_fec!U26)</f>
        <v>0.82111531349613043</v>
      </c>
      <c r="V26" s="137">
        <f>IF(SER_hh_tes!V26=0,"",SER_hh_tes!V26/SER_hh_fec!V26)</f>
        <v>0.83336298516765017</v>
      </c>
      <c r="W26" s="137">
        <f>IF(SER_hh_tes!W26=0,"",SER_hh_tes!W26/SER_hh_fec!W26)</f>
        <v>0.84997121665962305</v>
      </c>
      <c r="X26" s="137">
        <f>IF(SER_hh_tes!X26=0,"",SER_hh_tes!X26/SER_hh_fec!X26)</f>
        <v>0.87071192982784296</v>
      </c>
      <c r="Y26" s="137">
        <f>IF(SER_hh_tes!Y26=0,"",SER_hh_tes!Y26/SER_hh_fec!Y26)</f>
        <v>0.88973753694819757</v>
      </c>
      <c r="DA26" s="164" t="s">
        <v>351</v>
      </c>
    </row>
    <row r="27" spans="1:105" ht="12" customHeight="1" x14ac:dyDescent="0.25">
      <c r="A27" s="144" t="s">
        <v>26</v>
      </c>
      <c r="B27" s="153">
        <f>IF(SER_hh_tes!B27=0,"",SER_hh_tes!B27/SER_hh_fec!B27)</f>
        <v>1</v>
      </c>
      <c r="C27" s="153">
        <f>IF(SER_hh_tes!C27=0,"",SER_hh_tes!C27/SER_hh_fec!C27)</f>
        <v>1</v>
      </c>
      <c r="D27" s="153">
        <f>IF(SER_hh_tes!D27=0,"",SER_hh_tes!D27/SER_hh_fec!D27)</f>
        <v>1</v>
      </c>
      <c r="E27" s="153">
        <f>IF(SER_hh_tes!E27=0,"",SER_hh_tes!E27/SER_hh_fec!E27)</f>
        <v>1</v>
      </c>
      <c r="F27" s="153">
        <f>IF(SER_hh_tes!F27=0,"",SER_hh_tes!F27/SER_hh_fec!F27)</f>
        <v>1</v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0.6692067230898755</v>
      </c>
      <c r="C29" s="135">
        <f>IF(SER_hh_tes!C29=0,"",SER_hh_tes!C29/SER_hh_fec!C29)</f>
        <v>0.67542319552340047</v>
      </c>
      <c r="D29" s="135">
        <f>IF(SER_hh_tes!D29=0,"",SER_hh_tes!D29/SER_hh_fec!D29)</f>
        <v>0.69833680517855345</v>
      </c>
      <c r="E29" s="135">
        <f>IF(SER_hh_tes!E29=0,"",SER_hh_tes!E29/SER_hh_fec!E29)</f>
        <v>0.71092892006731656</v>
      </c>
      <c r="F29" s="135">
        <f>IF(SER_hh_tes!F29=0,"",SER_hh_tes!F29/SER_hh_fec!F29)</f>
        <v>0.70514246939329273</v>
      </c>
      <c r="G29" s="135">
        <f>IF(SER_hh_tes!G29=0,"",SER_hh_tes!G29/SER_hh_fec!G29)</f>
        <v>0.72919636264127285</v>
      </c>
      <c r="H29" s="135">
        <f>IF(SER_hh_tes!H29=0,"",SER_hh_tes!H29/SER_hh_fec!H29)</f>
        <v>0.73334317905270574</v>
      </c>
      <c r="I29" s="135">
        <f>IF(SER_hh_tes!I29=0,"",SER_hh_tes!I29/SER_hh_fec!I29)</f>
        <v>0.73897190107486421</v>
      </c>
      <c r="J29" s="135">
        <f>IF(SER_hh_tes!J29=0,"",SER_hh_tes!J29/SER_hh_fec!J29)</f>
        <v>0.73957736173280275</v>
      </c>
      <c r="K29" s="135">
        <f>IF(SER_hh_tes!K29=0,"",SER_hh_tes!K29/SER_hh_fec!K29)</f>
        <v>0.74195793365633045</v>
      </c>
      <c r="L29" s="135">
        <f>IF(SER_hh_tes!L29=0,"",SER_hh_tes!L29/SER_hh_fec!L29)</f>
        <v>0.74214305091249666</v>
      </c>
      <c r="M29" s="135">
        <f>IF(SER_hh_tes!M29=0,"",SER_hh_tes!M29/SER_hh_fec!M29)</f>
        <v>0.74546836162488839</v>
      </c>
      <c r="N29" s="135">
        <f>IF(SER_hh_tes!N29=0,"",SER_hh_tes!N29/SER_hh_fec!N29)</f>
        <v>0.74751980185692712</v>
      </c>
      <c r="O29" s="135">
        <f>IF(SER_hh_tes!O29=0,"",SER_hh_tes!O29/SER_hh_fec!O29)</f>
        <v>0.747962625703958</v>
      </c>
      <c r="P29" s="135">
        <f>IF(SER_hh_tes!P29=0,"",SER_hh_tes!P29/SER_hh_fec!P29)</f>
        <v>0.75545450550938598</v>
      </c>
      <c r="Q29" s="135">
        <f>IF(SER_hh_tes!Q29=0,"",SER_hh_tes!Q29/SER_hh_fec!Q29)</f>
        <v>0.75552360792823736</v>
      </c>
      <c r="R29" s="135">
        <f>IF(SER_hh_tes!R29=0,"",SER_hh_tes!R29/SER_hh_fec!R29)</f>
        <v>0.76123027945479493</v>
      </c>
      <c r="S29" s="135">
        <f>IF(SER_hh_tes!S29=0,"",SER_hh_tes!S29/SER_hh_fec!S29)</f>
        <v>0.76389177273752473</v>
      </c>
      <c r="T29" s="135">
        <f>IF(SER_hh_tes!T29=0,"",SER_hh_tes!T29/SER_hh_fec!T29)</f>
        <v>0.76800605894809293</v>
      </c>
      <c r="U29" s="135">
        <f>IF(SER_hh_tes!U29=0,"",SER_hh_tes!U29/SER_hh_fec!U29)</f>
        <v>0.7678201480822322</v>
      </c>
      <c r="V29" s="135">
        <f>IF(SER_hh_tes!V29=0,"",SER_hh_tes!V29/SER_hh_fec!V29)</f>
        <v>0.76964325319723825</v>
      </c>
      <c r="W29" s="135">
        <f>IF(SER_hh_tes!W29=0,"",SER_hh_tes!W29/SER_hh_fec!W29)</f>
        <v>0.78452431646115195</v>
      </c>
      <c r="X29" s="135">
        <f>IF(SER_hh_tes!X29=0,"",SER_hh_tes!X29/SER_hh_fec!X29)</f>
        <v>0.78545304909934333</v>
      </c>
      <c r="Y29" s="135">
        <f>IF(SER_hh_tes!Y29=0,"",SER_hh_tes!Y29/SER_hh_fec!Y29)</f>
        <v>0.79824002271220462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0.62999230189588518</v>
      </c>
      <c r="C30" s="136">
        <f>IF(SER_hh_tes!C30=0,"",SER_hh_tes!C30/SER_hh_fec!C30)</f>
        <v>0.63009702355155106</v>
      </c>
      <c r="D30" s="136">
        <f>IF(SER_hh_tes!D30=0,"",SER_hh_tes!D30/SER_hh_fec!D30)</f>
        <v>0.63011048329703689</v>
      </c>
      <c r="E30" s="136">
        <f>IF(SER_hh_tes!E30=0,"",SER_hh_tes!E30/SER_hh_fec!E30)</f>
        <v>0.63011532345363519</v>
      </c>
      <c r="F30" s="136">
        <f>IF(SER_hh_tes!F30=0,"",SER_hh_tes!F30/SER_hh_fec!F30)</f>
        <v>0.63011532345363519</v>
      </c>
      <c r="G30" s="136">
        <f>IF(SER_hh_tes!G30=0,"",SER_hh_tes!G30/SER_hh_fec!G30)</f>
        <v>0.63011532345363508</v>
      </c>
      <c r="H30" s="136">
        <f>IF(SER_hh_tes!H30=0,"",SER_hh_tes!H30/SER_hh_fec!H30)</f>
        <v>0.63011532345363508</v>
      </c>
      <c r="I30" s="136">
        <f>IF(SER_hh_tes!I30=0,"",SER_hh_tes!I30/SER_hh_fec!I30)</f>
        <v>0.63011532345363519</v>
      </c>
      <c r="J30" s="136">
        <f>IF(SER_hh_tes!J30=0,"",SER_hh_tes!J30/SER_hh_fec!J30)</f>
        <v>0.63085281391877568</v>
      </c>
      <c r="K30" s="136">
        <f>IF(SER_hh_tes!K30=0,"",SER_hh_tes!K30/SER_hh_fec!K30)</f>
        <v>0.63377225467723397</v>
      </c>
      <c r="L30" s="136">
        <f>IF(SER_hh_tes!L30=0,"",SER_hh_tes!L30/SER_hh_fec!L30)</f>
        <v>0.63724786701904657</v>
      </c>
      <c r="M30" s="136">
        <f>IF(SER_hh_tes!M30=0,"",SER_hh_tes!M30/SER_hh_fec!M30)</f>
        <v>0.63724801885643001</v>
      </c>
      <c r="N30" s="136">
        <f>IF(SER_hh_tes!N30=0,"",SER_hh_tes!N30/SER_hh_fec!N30)</f>
        <v>0.63724801885642979</v>
      </c>
      <c r="O30" s="136">
        <f>IF(SER_hh_tes!O30=0,"",SER_hh_tes!O30/SER_hh_fec!O30)</f>
        <v>0.63726492143928115</v>
      </c>
      <c r="P30" s="136">
        <f>IF(SER_hh_tes!P30=0,"",SER_hh_tes!P30/SER_hh_fec!P30)</f>
        <v>0.63726492826278358</v>
      </c>
      <c r="Q30" s="136">
        <f>IF(SER_hh_tes!Q30=0,"",SER_hh_tes!Q30/SER_hh_fec!Q30)</f>
        <v>0.63733592826569752</v>
      </c>
      <c r="R30" s="136">
        <f>IF(SER_hh_tes!R30=0,"",SER_hh_tes!R30/SER_hh_fec!R30)</f>
        <v>0.63737448776783368</v>
      </c>
      <c r="S30" s="136">
        <f>IF(SER_hh_tes!S30=0,"",SER_hh_tes!S30/SER_hh_fec!S30)</f>
        <v>0.63769302840848319</v>
      </c>
      <c r="T30" s="136">
        <f>IF(SER_hh_tes!T30=0,"",SER_hh_tes!T30/SER_hh_fec!T30)</f>
        <v>0.63817567809773912</v>
      </c>
      <c r="U30" s="136">
        <f>IF(SER_hh_tes!U30=0,"",SER_hh_tes!U30/SER_hh_fec!U30)</f>
        <v>0.63907491201984234</v>
      </c>
      <c r="V30" s="136">
        <f>IF(SER_hh_tes!V30=0,"",SER_hh_tes!V30/SER_hh_fec!V30)</f>
        <v>0.64005168625339415</v>
      </c>
      <c r="W30" s="136">
        <f>IF(SER_hh_tes!W30=0,"",SER_hh_tes!W30/SER_hh_fec!W30)</f>
        <v>0.64085863284446676</v>
      </c>
      <c r="X30" s="136">
        <f>IF(SER_hh_tes!X30=0,"",SER_hh_tes!X30/SER_hh_fec!X30)</f>
        <v>0.64123364767726809</v>
      </c>
      <c r="Y30" s="136">
        <f>IF(SER_hh_tes!Y30=0,"",SER_hh_tes!Y30/SER_hh_fec!Y30)</f>
        <v>0.64128661945496923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0.63723337640900857</v>
      </c>
      <c r="C31" s="136">
        <f>IF(SER_hh_tes!C31=0,"",SER_hh_tes!C31/SER_hh_fec!C31)</f>
        <v>0.6379045502277898</v>
      </c>
      <c r="D31" s="136">
        <f>IF(SER_hh_tes!D31=0,"",SER_hh_tes!D31/SER_hh_fec!D31)</f>
        <v>0.63844524944619641</v>
      </c>
      <c r="E31" s="136">
        <f>IF(SER_hh_tes!E31=0,"",SER_hh_tes!E31/SER_hh_fec!E31)</f>
        <v>0.63907128598923146</v>
      </c>
      <c r="F31" s="136">
        <f>IF(SER_hh_tes!F31=0,"",SER_hh_tes!F31/SER_hh_fec!F31)</f>
        <v>0.63990370912274785</v>
      </c>
      <c r="G31" s="136">
        <f>IF(SER_hh_tes!G31=0,"",SER_hh_tes!G31/SER_hh_fec!G31)</f>
        <v>0.64063624950591425</v>
      </c>
      <c r="H31" s="136">
        <f>IF(SER_hh_tes!H31=0,"",SER_hh_tes!H31/SER_hh_fec!H31)</f>
        <v>0.64139432289701881</v>
      </c>
      <c r="I31" s="136">
        <f>IF(SER_hh_tes!I31=0,"",SER_hh_tes!I31/SER_hh_fec!I31)</f>
        <v>0.64213498270203695</v>
      </c>
      <c r="J31" s="136">
        <f>IF(SER_hh_tes!J31=0,"",SER_hh_tes!J31/SER_hh_fec!J31)</f>
        <v>0.64291994665701047</v>
      </c>
      <c r="K31" s="136">
        <f>IF(SER_hh_tes!K31=0,"",SER_hh_tes!K31/SER_hh_fec!K31)</f>
        <v>0.64373655076285952</v>
      </c>
      <c r="L31" s="136">
        <f>IF(SER_hh_tes!L31=0,"",SER_hh_tes!L31/SER_hh_fec!L31)</f>
        <v>0.64426085422237656</v>
      </c>
      <c r="M31" s="136">
        <f>IF(SER_hh_tes!M31=0,"",SER_hh_tes!M31/SER_hh_fec!M31)</f>
        <v>0.64430617278492652</v>
      </c>
      <c r="N31" s="136">
        <f>IF(SER_hh_tes!N31=0,"",SER_hh_tes!N31/SER_hh_fec!N31)</f>
        <v>0.64436548202620203</v>
      </c>
      <c r="O31" s="136">
        <f>IF(SER_hh_tes!O31=0,"",SER_hh_tes!O31/SER_hh_fec!O31)</f>
        <v>0.6444418104703411</v>
      </c>
      <c r="P31" s="136">
        <f>IF(SER_hh_tes!P31=0,"",SER_hh_tes!P31/SER_hh_fec!P31)</f>
        <v>0.64451033465343455</v>
      </c>
      <c r="Q31" s="136">
        <f>IF(SER_hh_tes!Q31=0,"",SER_hh_tes!Q31/SER_hh_fec!Q31)</f>
        <v>0.64460689638549074</v>
      </c>
      <c r="R31" s="136">
        <f>IF(SER_hh_tes!R31=0,"",SER_hh_tes!R31/SER_hh_fec!R31)</f>
        <v>0.64478626359182445</v>
      </c>
      <c r="S31" s="136">
        <f>IF(SER_hh_tes!S31=0,"",SER_hh_tes!S31/SER_hh_fec!S31)</f>
        <v>0.64507923610193096</v>
      </c>
      <c r="T31" s="136">
        <f>IF(SER_hh_tes!T31=0,"",SER_hh_tes!T31/SER_hh_fec!T31)</f>
        <v>0.64551454617324999</v>
      </c>
      <c r="U31" s="136">
        <f>IF(SER_hh_tes!U31=0,"",SER_hh_tes!U31/SER_hh_fec!U31)</f>
        <v>0.64604330350010286</v>
      </c>
      <c r="V31" s="136">
        <f>IF(SER_hh_tes!V31=0,"",SER_hh_tes!V31/SER_hh_fec!V31)</f>
        <v>0.64661273564060495</v>
      </c>
      <c r="W31" s="136">
        <f>IF(SER_hh_tes!W31=0,"",SER_hh_tes!W31/SER_hh_fec!W31)</f>
        <v>0.64708327494125883</v>
      </c>
      <c r="X31" s="136">
        <f>IF(SER_hh_tes!X31=0,"",SER_hh_tes!X31/SER_hh_fec!X31)</f>
        <v>0.64759498002532201</v>
      </c>
      <c r="Y31" s="136">
        <f>IF(SER_hh_tes!Y31=0,"",SER_hh_tes!Y31/SER_hh_fec!Y31)</f>
        <v>0.64804555550369236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>
        <f>IF(SER_hh_tes!J32=0,"",SER_hh_tes!J32/SER_hh_fec!J32)</f>
        <v>0.61816721432224486</v>
      </c>
      <c r="K32" s="136">
        <f>IF(SER_hh_tes!K32=0,"",SER_hh_tes!K32/SER_hh_fec!K32)</f>
        <v>0.61827013976306877</v>
      </c>
      <c r="L32" s="136">
        <f>IF(SER_hh_tes!L32=0,"",SER_hh_tes!L32/SER_hh_fec!L32)</f>
        <v>0.61841819825760591</v>
      </c>
      <c r="M32" s="136">
        <f>IF(SER_hh_tes!M32=0,"",SER_hh_tes!M32/SER_hh_fec!M32)</f>
        <v>0.61847681420244927</v>
      </c>
      <c r="N32" s="136">
        <f>IF(SER_hh_tes!N32=0,"",SER_hh_tes!N32/SER_hh_fec!N32)</f>
        <v>0.61850562673813858</v>
      </c>
      <c r="O32" s="136">
        <f>IF(SER_hh_tes!O32=0,"",SER_hh_tes!O32/SER_hh_fec!O32)</f>
        <v>0.61867473025125663</v>
      </c>
      <c r="P32" s="136">
        <f>IF(SER_hh_tes!P32=0,"",SER_hh_tes!P32/SER_hh_fec!P32)</f>
        <v>0.61886341260663602</v>
      </c>
      <c r="Q32" s="136">
        <f>IF(SER_hh_tes!Q32=0,"",SER_hh_tes!Q32/SER_hh_fec!Q32)</f>
        <v>0.61914776709389441</v>
      </c>
      <c r="R32" s="136">
        <f>IF(SER_hh_tes!R32=0,"",SER_hh_tes!R32/SER_hh_fec!R32)</f>
        <v>0.61952228621055572</v>
      </c>
      <c r="S32" s="136">
        <f>IF(SER_hh_tes!S32=0,"",SER_hh_tes!S32/SER_hh_fec!S32)</f>
        <v>0.62005581214419314</v>
      </c>
      <c r="T32" s="136">
        <f>IF(SER_hh_tes!T32=0,"",SER_hh_tes!T32/SER_hh_fec!T32)</f>
        <v>0.62020088991180122</v>
      </c>
      <c r="U32" s="136">
        <f>IF(SER_hh_tes!U32=0,"",SER_hh_tes!U32/SER_hh_fec!U32)</f>
        <v>0.62037093857959857</v>
      </c>
      <c r="V32" s="136">
        <f>IF(SER_hh_tes!V32=0,"",SER_hh_tes!V32/SER_hh_fec!V32)</f>
        <v>0.62063083973658206</v>
      </c>
      <c r="W32" s="136">
        <f>IF(SER_hh_tes!W32=0,"",SER_hh_tes!W32/SER_hh_fec!W32)</f>
        <v>0.62073975443015617</v>
      </c>
      <c r="X32" s="136">
        <f>IF(SER_hh_tes!X32=0,"",SER_hh_tes!X32/SER_hh_fec!X32)</f>
        <v>0.62103506824183874</v>
      </c>
      <c r="Y32" s="136">
        <f>IF(SER_hh_tes!Y32=0,"",SER_hh_tes!Y32/SER_hh_fec!Y32)</f>
        <v>0.62115246503861132</v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0.83610080904332951</v>
      </c>
      <c r="C33" s="149">
        <f>IF(SER_hh_tes!C33=0,"",SER_hh_tes!C33/SER_hh_fec!C33)</f>
        <v>0.83909847106474655</v>
      </c>
      <c r="D33" s="149">
        <f>IF(SER_hh_tes!D33=0,"",SER_hh_tes!D33/SER_hh_fec!D33)</f>
        <v>0.84344720651258809</v>
      </c>
      <c r="E33" s="149">
        <f>IF(SER_hh_tes!E33=0,"",SER_hh_tes!E33/SER_hh_fec!E33)</f>
        <v>0.84552574339963282</v>
      </c>
      <c r="F33" s="149">
        <f>IF(SER_hh_tes!F33=0,"",SER_hh_tes!F33/SER_hh_fec!F33)</f>
        <v>0.84708922631736927</v>
      </c>
      <c r="G33" s="149">
        <f>IF(SER_hh_tes!G33=0,"",SER_hh_tes!G33/SER_hh_fec!G33)</f>
        <v>0.84871254604693502</v>
      </c>
      <c r="H33" s="149">
        <f>IF(SER_hh_tes!H33=0,"",SER_hh_tes!H33/SER_hh_fec!H33)</f>
        <v>0.85000238985005683</v>
      </c>
      <c r="I33" s="149">
        <f>IF(SER_hh_tes!I33=0,"",SER_hh_tes!I33/SER_hh_fec!I33)</f>
        <v>0.85128207296466829</v>
      </c>
      <c r="J33" s="149">
        <f>IF(SER_hh_tes!J33=0,"",SER_hh_tes!J33/SER_hh_fec!J33)</f>
        <v>0.85238519962144521</v>
      </c>
      <c r="K33" s="149">
        <f>IF(SER_hh_tes!K33=0,"",SER_hh_tes!K33/SER_hh_fec!K33)</f>
        <v>0.8534479300944543</v>
      </c>
      <c r="L33" s="149">
        <f>IF(SER_hh_tes!L33=0,"",SER_hh_tes!L33/SER_hh_fec!L33)</f>
        <v>0.85463158567425157</v>
      </c>
      <c r="M33" s="149">
        <f>IF(SER_hh_tes!M33=0,"",SER_hh_tes!M33/SER_hh_fec!M33)</f>
        <v>0.8555773439905352</v>
      </c>
      <c r="N33" s="149">
        <f>IF(SER_hh_tes!N33=0,"",SER_hh_tes!N33/SER_hh_fec!N33)</f>
        <v>0.8569211449109978</v>
      </c>
      <c r="O33" s="149">
        <f>IF(SER_hh_tes!O33=0,"",SER_hh_tes!O33/SER_hh_fec!O33)</f>
        <v>0.85902162754431244</v>
      </c>
      <c r="P33" s="149">
        <f>IF(SER_hh_tes!P33=0,"",SER_hh_tes!P33/SER_hh_fec!P33)</f>
        <v>0.86196362840951812</v>
      </c>
      <c r="Q33" s="149">
        <f>IF(SER_hh_tes!Q33=0,"",SER_hh_tes!Q33/SER_hh_fec!Q33)</f>
        <v>0.86488124241892306</v>
      </c>
      <c r="R33" s="149">
        <f>IF(SER_hh_tes!R33=0,"",SER_hh_tes!R33/SER_hh_fec!R33)</f>
        <v>0.86872603216023403</v>
      </c>
      <c r="S33" s="149">
        <f>IF(SER_hh_tes!S33=0,"",SER_hh_tes!S33/SER_hh_fec!S33)</f>
        <v>0.87329467592794352</v>
      </c>
      <c r="T33" s="149">
        <f>IF(SER_hh_tes!T33=0,"",SER_hh_tes!T33/SER_hh_fec!T33)</f>
        <v>0.87848692194804567</v>
      </c>
      <c r="U33" s="149">
        <f>IF(SER_hh_tes!U33=0,"",SER_hh_tes!U33/SER_hh_fec!U33)</f>
        <v>0.88432655462966614</v>
      </c>
      <c r="V33" s="149">
        <f>IF(SER_hh_tes!V33=0,"",SER_hh_tes!V33/SER_hh_fec!V33)</f>
        <v>0.89081137825094003</v>
      </c>
      <c r="W33" s="149">
        <f>IF(SER_hh_tes!W33=0,"",SER_hh_tes!W33/SER_hh_fec!W33)</f>
        <v>0.89876830503474647</v>
      </c>
      <c r="X33" s="149">
        <f>IF(SER_hh_tes!X33=0,"",SER_hh_tes!X33/SER_hh_fec!X33)</f>
        <v>0.90706907720394458</v>
      </c>
      <c r="Y33" s="149">
        <f>IF(SER_hh_tes!Y33=0,"",SER_hh_tes!Y33/SER_hh_fec!Y33)</f>
        <v>0.91528704226119351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6291.8955835200013</v>
      </c>
      <c r="C3" s="125">
        <f t="shared" si="0"/>
        <v>6596.3799892800016</v>
      </c>
      <c r="D3" s="125">
        <f t="shared" si="0"/>
        <v>7309.072200239998</v>
      </c>
      <c r="E3" s="125">
        <f t="shared" si="0"/>
        <v>7913.9766312000011</v>
      </c>
      <c r="F3" s="125">
        <f t="shared" si="0"/>
        <v>7781.4818553599998</v>
      </c>
      <c r="G3" s="125">
        <f t="shared" si="0"/>
        <v>7634.49443316</v>
      </c>
      <c r="H3" s="125">
        <f t="shared" si="0"/>
        <v>7139.3031367200019</v>
      </c>
      <c r="I3" s="125">
        <f t="shared" si="0"/>
        <v>6486.6377412000038</v>
      </c>
      <c r="J3" s="125">
        <f t="shared" si="0"/>
        <v>7607.2507196400011</v>
      </c>
      <c r="K3" s="125">
        <f t="shared" si="0"/>
        <v>7134.7282689600033</v>
      </c>
      <c r="L3" s="125">
        <f t="shared" si="0"/>
        <v>7852.9503704400004</v>
      </c>
      <c r="M3" s="125">
        <f t="shared" si="0"/>
        <v>6487.0437794399995</v>
      </c>
      <c r="N3" s="125">
        <f t="shared" si="0"/>
        <v>6913.9711504800016</v>
      </c>
      <c r="O3" s="125">
        <f t="shared" si="0"/>
        <v>7634.3961682800009</v>
      </c>
      <c r="P3" s="125">
        <f t="shared" si="0"/>
        <v>6042.7517881303947</v>
      </c>
      <c r="Q3" s="125">
        <f t="shared" si="0"/>
        <v>6952.6834838856939</v>
      </c>
      <c r="R3" s="125">
        <f t="shared" ref="R3:W3" si="1">SUM(R4,R16,R19,R29)</f>
        <v>6932.8681920469971</v>
      </c>
      <c r="S3" s="125">
        <f t="shared" si="1"/>
        <v>6889.9357887453925</v>
      </c>
      <c r="T3" s="125">
        <f t="shared" si="1"/>
        <v>6868.7953224909979</v>
      </c>
      <c r="U3" s="125">
        <f t="shared" si="1"/>
        <v>6338.8026255361119</v>
      </c>
      <c r="V3" s="125">
        <f t="shared" si="1"/>
        <v>6231.3867179090985</v>
      </c>
      <c r="W3" s="125">
        <f t="shared" si="1"/>
        <v>6491.1719086440316</v>
      </c>
      <c r="X3" s="125">
        <f t="shared" ref="X3:Y3" si="2">SUM(X4,X16,X19,X29)</f>
        <v>5188.5122713062738</v>
      </c>
      <c r="Y3" s="125">
        <f t="shared" si="2"/>
        <v>4881.870492019465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4970.0938029785757</v>
      </c>
      <c r="C4" s="130">
        <f t="shared" si="3"/>
        <v>5274.5857167602981</v>
      </c>
      <c r="D4" s="130">
        <f t="shared" si="3"/>
        <v>6023.623906236222</v>
      </c>
      <c r="E4" s="130">
        <f t="shared" si="3"/>
        <v>6656.9543964660515</v>
      </c>
      <c r="F4" s="130">
        <f t="shared" si="3"/>
        <v>6519.0127085982513</v>
      </c>
      <c r="G4" s="130">
        <f t="shared" si="3"/>
        <v>6463.4422192460397</v>
      </c>
      <c r="H4" s="130">
        <f t="shared" si="3"/>
        <v>5971.839655583809</v>
      </c>
      <c r="I4" s="130">
        <f t="shared" si="3"/>
        <v>5318.3250129200242</v>
      </c>
      <c r="J4" s="130">
        <f t="shared" si="3"/>
        <v>6443.5509841369885</v>
      </c>
      <c r="K4" s="130">
        <f t="shared" si="3"/>
        <v>5973.2083742807099</v>
      </c>
      <c r="L4" s="130">
        <f t="shared" si="3"/>
        <v>6682.2946435712656</v>
      </c>
      <c r="M4" s="130">
        <f t="shared" si="3"/>
        <v>5313.8097690868135</v>
      </c>
      <c r="N4" s="130">
        <f t="shared" si="3"/>
        <v>5724.8471898085572</v>
      </c>
      <c r="O4" s="130">
        <f t="shared" si="3"/>
        <v>6435.7393703787848</v>
      </c>
      <c r="P4" s="130">
        <f t="shared" si="3"/>
        <v>4862.4335322496963</v>
      </c>
      <c r="Q4" s="130">
        <f t="shared" si="3"/>
        <v>5751.8863457538282</v>
      </c>
      <c r="R4" s="130">
        <f t="shared" ref="R4:W4" si="4">SUM(R5:R15)</f>
        <v>5754.0275821517871</v>
      </c>
      <c r="S4" s="130">
        <f t="shared" si="4"/>
        <v>5716.1377782256923</v>
      </c>
      <c r="T4" s="130">
        <f t="shared" si="4"/>
        <v>5713.5685661248481</v>
      </c>
      <c r="U4" s="130">
        <f t="shared" si="4"/>
        <v>5237.8339428929121</v>
      </c>
      <c r="V4" s="130">
        <f t="shared" si="4"/>
        <v>5176.5117893233109</v>
      </c>
      <c r="W4" s="130">
        <f t="shared" si="4"/>
        <v>5416.8067982463754</v>
      </c>
      <c r="X4" s="130">
        <f t="shared" ref="X4:Y4" si="5">SUM(X5:X15)</f>
        <v>4152.2734630539235</v>
      </c>
      <c r="Y4" s="130">
        <f t="shared" si="5"/>
        <v>3905.9128673855771</v>
      </c>
      <c r="DA4" s="155" t="s">
        <v>234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2118.1755977509124</v>
      </c>
      <c r="C7" s="132">
        <v>2190.3319030678795</v>
      </c>
      <c r="D7" s="132">
        <v>3027.462258267924</v>
      </c>
      <c r="E7" s="132">
        <v>3538.8820023602589</v>
      </c>
      <c r="F7" s="132">
        <v>3502.9058937447144</v>
      </c>
      <c r="G7" s="132">
        <v>3513.2684720409743</v>
      </c>
      <c r="H7" s="132">
        <v>2993.5171592081783</v>
      </c>
      <c r="I7" s="132">
        <v>2485.6068685548335</v>
      </c>
      <c r="J7" s="132">
        <v>3131.9333679147944</v>
      </c>
      <c r="K7" s="132">
        <v>2474.9209917752769</v>
      </c>
      <c r="L7" s="132">
        <v>2804.0871453193595</v>
      </c>
      <c r="M7" s="132">
        <v>2322.3428288197051</v>
      </c>
      <c r="N7" s="132">
        <v>2301.8876396546998</v>
      </c>
      <c r="O7" s="132">
        <v>2536.2065149269929</v>
      </c>
      <c r="P7" s="132">
        <v>1931.2601871093884</v>
      </c>
      <c r="Q7" s="132">
        <v>2336.4685335453141</v>
      </c>
      <c r="R7" s="132">
        <v>2104.4166733269371</v>
      </c>
      <c r="S7" s="132">
        <v>2111.7186602962752</v>
      </c>
      <c r="T7" s="132">
        <v>2067.5565285914918</v>
      </c>
      <c r="U7" s="132">
        <v>1623.5638185612333</v>
      </c>
      <c r="V7" s="132">
        <v>1787.4388456117272</v>
      </c>
      <c r="W7" s="132">
        <v>1425.0114053821289</v>
      </c>
      <c r="X7" s="132">
        <v>1116.67836137271</v>
      </c>
      <c r="Y7" s="132">
        <v>1110.6994617869457</v>
      </c>
      <c r="DA7" s="156" t="s">
        <v>360</v>
      </c>
    </row>
    <row r="8" spans="1:105" ht="12" customHeight="1" x14ac:dyDescent="0.25">
      <c r="A8" s="131" t="s">
        <v>73</v>
      </c>
      <c r="B8" s="132">
        <v>4.9025657837546373E-2</v>
      </c>
      <c r="C8" s="132">
        <v>5.2588257888452866E-2</v>
      </c>
      <c r="D8" s="132">
        <v>5.493973287050892E-2</v>
      </c>
      <c r="E8" s="132">
        <v>5.5812289979594899E-2</v>
      </c>
      <c r="F8" s="132">
        <v>6.5036599343376855E-2</v>
      </c>
      <c r="G8" s="132">
        <v>6.3330152160659001E-2</v>
      </c>
      <c r="H8" s="132">
        <v>6.5463550548580954E-2</v>
      </c>
      <c r="I8" s="132">
        <v>5.941688128986812E-2</v>
      </c>
      <c r="J8" s="132">
        <v>6.6360815486436048E-2</v>
      </c>
      <c r="K8" s="132">
        <v>7.0498288951568927E-2</v>
      </c>
      <c r="L8" s="132">
        <v>7.3910352983985475E-2</v>
      </c>
      <c r="M8" s="132">
        <v>6.5093635908154854E-2</v>
      </c>
      <c r="N8" s="132">
        <v>7.7231333129850907E-2</v>
      </c>
      <c r="O8" s="132">
        <v>9.1937472781838406E-2</v>
      </c>
      <c r="P8" s="132">
        <v>7.5396176061672759E-2</v>
      </c>
      <c r="Q8" s="132">
        <v>8.956026651265836E-2</v>
      </c>
      <c r="R8" s="132">
        <v>9.5171156857756567E-2</v>
      </c>
      <c r="S8" s="132">
        <v>9.3204213558440996E-2</v>
      </c>
      <c r="T8" s="132">
        <v>9.5708853578547512E-2</v>
      </c>
      <c r="U8" s="132">
        <v>9.9800218497234486E-2</v>
      </c>
      <c r="V8" s="132">
        <v>0.10407989667482433</v>
      </c>
      <c r="W8" s="132">
        <v>0.1202242865208909</v>
      </c>
      <c r="X8" s="132">
        <v>0.1744969266697568</v>
      </c>
      <c r="Y8" s="132">
        <v>0.21725178683614096</v>
      </c>
      <c r="DA8" s="156" t="s">
        <v>361</v>
      </c>
    </row>
    <row r="9" spans="1:105" ht="12" customHeight="1" x14ac:dyDescent="0.25">
      <c r="A9" s="131" t="s">
        <v>78</v>
      </c>
      <c r="B9" s="132">
        <v>2851.869179569826</v>
      </c>
      <c r="C9" s="132">
        <v>3084.20122543453</v>
      </c>
      <c r="D9" s="132">
        <v>2996.106708235428</v>
      </c>
      <c r="E9" s="132">
        <v>3118.016581815813</v>
      </c>
      <c r="F9" s="132">
        <v>2991.5887782541931</v>
      </c>
      <c r="G9" s="132">
        <v>2919.2224170529048</v>
      </c>
      <c r="H9" s="132">
        <v>2947.6552616250815</v>
      </c>
      <c r="I9" s="132">
        <v>2806.9187274839005</v>
      </c>
      <c r="J9" s="132">
        <v>3311.5512554067077</v>
      </c>
      <c r="K9" s="132">
        <v>3498.2168842164815</v>
      </c>
      <c r="L9" s="132">
        <v>3878.1335878989221</v>
      </c>
      <c r="M9" s="132">
        <v>2991.4018466312004</v>
      </c>
      <c r="N9" s="132">
        <v>3422.8823188207271</v>
      </c>
      <c r="O9" s="132">
        <v>3775.20576807612</v>
      </c>
      <c r="P9" s="132">
        <v>2785.0157829375003</v>
      </c>
      <c r="Q9" s="132">
        <v>3223.273343536282</v>
      </c>
      <c r="R9" s="132">
        <v>3454.0184904816024</v>
      </c>
      <c r="S9" s="132">
        <v>3413.3557362167271</v>
      </c>
      <c r="T9" s="132">
        <v>3456.2169925883127</v>
      </c>
      <c r="U9" s="132">
        <v>3425.4640755697128</v>
      </c>
      <c r="V9" s="132">
        <v>3193.3878625480188</v>
      </c>
      <c r="W9" s="132">
        <v>3798.0635039468398</v>
      </c>
      <c r="X9" s="132">
        <v>2871.5100636535208</v>
      </c>
      <c r="Y9" s="132">
        <v>2634.7213433625825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24.452999999999999</v>
      </c>
      <c r="G10" s="132">
        <v>30.887999999999995</v>
      </c>
      <c r="H10" s="132">
        <v>30.601771199999995</v>
      </c>
      <c r="I10" s="132">
        <v>25.739999999999995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124.23514990288963</v>
      </c>
      <c r="P10" s="132">
        <v>146.08216602674571</v>
      </c>
      <c r="Q10" s="132">
        <v>192.05490840571895</v>
      </c>
      <c r="R10" s="132">
        <v>195.49724718639061</v>
      </c>
      <c r="S10" s="132">
        <v>190.97017749913218</v>
      </c>
      <c r="T10" s="132">
        <v>189.69933609146543</v>
      </c>
      <c r="U10" s="132">
        <v>188.70624854346875</v>
      </c>
      <c r="V10" s="132">
        <v>195.58100126688956</v>
      </c>
      <c r="W10" s="132">
        <v>193.61166463088549</v>
      </c>
      <c r="X10" s="132">
        <v>163.91054110102283</v>
      </c>
      <c r="Y10" s="132">
        <v>160.27481044921245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4.8098990776155051E-2</v>
      </c>
      <c r="C16" s="130">
        <f t="shared" si="6"/>
        <v>6.6460658860637151E-2</v>
      </c>
      <c r="D16" s="130">
        <f t="shared" si="6"/>
        <v>9.7417168706156368E-2</v>
      </c>
      <c r="E16" s="130">
        <f t="shared" si="6"/>
        <v>0.12051825480240475</v>
      </c>
      <c r="F16" s="130">
        <f t="shared" si="6"/>
        <v>0.16914347715680009</v>
      </c>
      <c r="G16" s="130">
        <f t="shared" si="6"/>
        <v>0.23697872045647919</v>
      </c>
      <c r="H16" s="130">
        <f t="shared" si="6"/>
        <v>0.33071719174897957</v>
      </c>
      <c r="I16" s="130">
        <f t="shared" si="6"/>
        <v>0.39823879586227789</v>
      </c>
      <c r="J16" s="130">
        <f t="shared" si="6"/>
        <v>0.53745918556233463</v>
      </c>
      <c r="K16" s="130">
        <f t="shared" si="6"/>
        <v>0.67544076127083086</v>
      </c>
      <c r="L16" s="130">
        <f t="shared" si="6"/>
        <v>0.78186757042453314</v>
      </c>
      <c r="M16" s="130">
        <f t="shared" si="6"/>
        <v>0.85053537180063232</v>
      </c>
      <c r="N16" s="130">
        <f t="shared" si="6"/>
        <v>0.96723559043108531</v>
      </c>
      <c r="O16" s="130">
        <f t="shared" si="6"/>
        <v>1.1793082118401914</v>
      </c>
      <c r="P16" s="130">
        <f t="shared" si="6"/>
        <v>1.4706975069383905</v>
      </c>
      <c r="Q16" s="130">
        <f t="shared" si="6"/>
        <v>2.2333074407130455</v>
      </c>
      <c r="R16" s="130">
        <f t="shared" ref="R16:W16" si="7">SUM(R17:R18)</f>
        <v>2.5584245115209034</v>
      </c>
      <c r="S16" s="130">
        <f t="shared" si="7"/>
        <v>2.5716683715266688</v>
      </c>
      <c r="T16" s="130">
        <f t="shared" si="7"/>
        <v>3.3076657356254753</v>
      </c>
      <c r="U16" s="130">
        <f t="shared" si="7"/>
        <v>3.6527509596942087</v>
      </c>
      <c r="V16" s="130">
        <f t="shared" si="7"/>
        <v>4.3660091111471635</v>
      </c>
      <c r="W16" s="130">
        <f t="shared" si="7"/>
        <v>3.2425619548271407</v>
      </c>
      <c r="X16" s="130">
        <f t="shared" ref="X16:Y16" si="8">SUM(X17:X18)</f>
        <v>3.9432480189492902</v>
      </c>
      <c r="Y16" s="130">
        <f t="shared" si="8"/>
        <v>3.6123379200102512</v>
      </c>
      <c r="DA16" s="155" t="s">
        <v>235</v>
      </c>
    </row>
    <row r="17" spans="1:105" ht="12.95" customHeight="1" x14ac:dyDescent="0.25">
      <c r="A17" s="131" t="s">
        <v>73</v>
      </c>
      <c r="B17" s="132">
        <v>4.8098990776155051E-2</v>
      </c>
      <c r="C17" s="132">
        <v>6.6460658860637151E-2</v>
      </c>
      <c r="D17" s="132">
        <v>9.7417168706156368E-2</v>
      </c>
      <c r="E17" s="132">
        <v>0.12051825480240475</v>
      </c>
      <c r="F17" s="132">
        <v>0.16914347715680009</v>
      </c>
      <c r="G17" s="132">
        <v>0.23697872045647919</v>
      </c>
      <c r="H17" s="132">
        <v>0.33071719174897957</v>
      </c>
      <c r="I17" s="132">
        <v>0.39823879586227789</v>
      </c>
      <c r="J17" s="132">
        <v>0.53745918556233463</v>
      </c>
      <c r="K17" s="132">
        <v>0.67544076127083086</v>
      </c>
      <c r="L17" s="132">
        <v>0.78186757042453314</v>
      </c>
      <c r="M17" s="132">
        <v>0.85053537180063232</v>
      </c>
      <c r="N17" s="132">
        <v>0.96723559043108531</v>
      </c>
      <c r="O17" s="132">
        <v>1.1793082118401914</v>
      </c>
      <c r="P17" s="132">
        <v>1.4706975069383905</v>
      </c>
      <c r="Q17" s="132">
        <v>2.2333074407130455</v>
      </c>
      <c r="R17" s="132">
        <v>2.5584245115209034</v>
      </c>
      <c r="S17" s="132">
        <v>2.5716683715266688</v>
      </c>
      <c r="T17" s="132">
        <v>3.3076657356254753</v>
      </c>
      <c r="U17" s="132">
        <v>3.6527509596942087</v>
      </c>
      <c r="V17" s="132">
        <v>4.3660091111471635</v>
      </c>
      <c r="W17" s="132">
        <v>3.2425619548271407</v>
      </c>
      <c r="X17" s="132">
        <v>3.9432480189492902</v>
      </c>
      <c r="Y17" s="132">
        <v>3.6123379200102512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804.95923335057319</v>
      </c>
      <c r="C19" s="130">
        <f t="shared" si="9"/>
        <v>805.53979057469905</v>
      </c>
      <c r="D19" s="130">
        <f t="shared" si="9"/>
        <v>807.60967551227986</v>
      </c>
      <c r="E19" s="130">
        <f t="shared" si="9"/>
        <v>810.53216392418085</v>
      </c>
      <c r="F19" s="130">
        <f t="shared" si="9"/>
        <v>808.55372307650146</v>
      </c>
      <c r="G19" s="130">
        <f t="shared" si="9"/>
        <v>791.76111070660068</v>
      </c>
      <c r="H19" s="130">
        <f t="shared" si="9"/>
        <v>789.87845753931015</v>
      </c>
      <c r="I19" s="130">
        <f t="shared" si="9"/>
        <v>789.6520897241046</v>
      </c>
      <c r="J19" s="130">
        <f t="shared" si="9"/>
        <v>774.79394043452669</v>
      </c>
      <c r="K19" s="130">
        <f t="shared" si="9"/>
        <v>771.5462595618269</v>
      </c>
      <c r="L19" s="130">
        <f t="shared" si="9"/>
        <v>771.23410819224887</v>
      </c>
      <c r="M19" s="130">
        <f t="shared" si="9"/>
        <v>778.52343462420595</v>
      </c>
      <c r="N19" s="130">
        <f t="shared" si="9"/>
        <v>784.32221011705519</v>
      </c>
      <c r="O19" s="130">
        <f t="shared" si="9"/>
        <v>783.15314870461634</v>
      </c>
      <c r="P19" s="130">
        <f t="shared" si="9"/>
        <v>773.61727968821538</v>
      </c>
      <c r="Q19" s="130">
        <f t="shared" si="9"/>
        <v>772.27160071125127</v>
      </c>
      <c r="R19" s="130">
        <f t="shared" ref="R19:W19" si="10">SUM(R20:R27)</f>
        <v>758.591164954345</v>
      </c>
      <c r="S19" s="130">
        <f t="shared" si="10"/>
        <v>749.4108135726957</v>
      </c>
      <c r="T19" s="130">
        <f t="shared" si="10"/>
        <v>730.84481801692857</v>
      </c>
      <c r="U19" s="130">
        <f t="shared" si="10"/>
        <v>673.93878378893396</v>
      </c>
      <c r="V19" s="130">
        <f t="shared" si="10"/>
        <v>640.01886100225283</v>
      </c>
      <c r="W19" s="130">
        <f t="shared" si="10"/>
        <v>682.36343759327701</v>
      </c>
      <c r="X19" s="130">
        <f t="shared" ref="X19:Y19" si="11">SUM(X20:X27)</f>
        <v>628.42075401515024</v>
      </c>
      <c r="Y19" s="130">
        <f t="shared" si="11"/>
        <v>591.93364475545968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31.615758611455153</v>
      </c>
      <c r="C21" s="132">
        <v>32.087294762118788</v>
      </c>
      <c r="D21" s="132">
        <v>31.871076667386376</v>
      </c>
      <c r="E21" s="132">
        <v>31.168618293740284</v>
      </c>
      <c r="F21" s="132">
        <v>30.175393542183159</v>
      </c>
      <c r="G21" s="132">
        <v>13.971721152197297</v>
      </c>
      <c r="H21" s="132">
        <v>13.025756012503523</v>
      </c>
      <c r="I21" s="132">
        <v>10.877027629346486</v>
      </c>
      <c r="J21" s="132">
        <v>8.1001687644473606</v>
      </c>
      <c r="K21" s="132">
        <v>7.3140194920736192</v>
      </c>
      <c r="L21" s="132">
        <v>6.3518318837300409</v>
      </c>
      <c r="M21" s="132">
        <v>6.9309911386084346</v>
      </c>
      <c r="N21" s="132">
        <v>8.0660199571560813</v>
      </c>
      <c r="O21" s="132">
        <v>8.5838483747173875</v>
      </c>
      <c r="P21" s="132">
        <v>8.6436332494359984</v>
      </c>
      <c r="Q21" s="132">
        <v>9.7559923041263374</v>
      </c>
      <c r="R21" s="132">
        <v>10.139707664884064</v>
      </c>
      <c r="S21" s="132">
        <v>10.967075480861279</v>
      </c>
      <c r="T21" s="132">
        <v>11.482826126210707</v>
      </c>
      <c r="U21" s="132">
        <v>11.630077692203164</v>
      </c>
      <c r="V21" s="132">
        <v>9.9870540336315585</v>
      </c>
      <c r="W21" s="132">
        <v>11.279706761686306</v>
      </c>
      <c r="X21" s="132">
        <v>17.715138346014527</v>
      </c>
      <c r="Y21" s="132">
        <v>15.047678972284686</v>
      </c>
      <c r="DA21" s="156" t="s">
        <v>372</v>
      </c>
    </row>
    <row r="22" spans="1:105" ht="12" customHeight="1" x14ac:dyDescent="0.25">
      <c r="A22" s="131" t="s">
        <v>161</v>
      </c>
      <c r="B22" s="132">
        <v>343.8363938890879</v>
      </c>
      <c r="C22" s="132">
        <v>338.65800001212079</v>
      </c>
      <c r="D22" s="132">
        <v>334.36591341207406</v>
      </c>
      <c r="E22" s="132">
        <v>331.43978003974212</v>
      </c>
      <c r="F22" s="132">
        <v>325.093458855287</v>
      </c>
      <c r="G22" s="132">
        <v>318.85402463902687</v>
      </c>
      <c r="H22" s="132">
        <v>313.47822375182346</v>
      </c>
      <c r="I22" s="132">
        <v>307.0003533251666</v>
      </c>
      <c r="J22" s="132">
        <v>289.47335116520668</v>
      </c>
      <c r="K22" s="132">
        <v>285.85712674472455</v>
      </c>
      <c r="L22" s="132">
        <v>281.09437048064029</v>
      </c>
      <c r="M22" s="132">
        <v>280.68604946029456</v>
      </c>
      <c r="N22" s="132">
        <v>278.11073650530017</v>
      </c>
      <c r="O22" s="132">
        <v>274.16433599300797</v>
      </c>
      <c r="P22" s="132">
        <v>273.35552045061354</v>
      </c>
      <c r="Q22" s="132">
        <v>272.06753401468541</v>
      </c>
      <c r="R22" s="132">
        <v>263.04268955306497</v>
      </c>
      <c r="S22" s="132">
        <v>256.65481530372602</v>
      </c>
      <c r="T22" s="132">
        <v>243.97775156850946</v>
      </c>
      <c r="U22" s="132">
        <v>195.00396443876582</v>
      </c>
      <c r="V22" s="132">
        <v>179.30114010827108</v>
      </c>
      <c r="W22" s="132">
        <v>187.32098557787216</v>
      </c>
      <c r="X22" s="132">
        <v>208.60456314728901</v>
      </c>
      <c r="Y22" s="132">
        <v>213.35145489305378</v>
      </c>
      <c r="DA22" s="156" t="s">
        <v>373</v>
      </c>
    </row>
    <row r="23" spans="1:105" ht="12" customHeight="1" x14ac:dyDescent="0.25">
      <c r="A23" s="131" t="s">
        <v>149</v>
      </c>
      <c r="B23" s="132">
        <v>429.50708085003009</v>
      </c>
      <c r="C23" s="132">
        <v>434.7944958004594</v>
      </c>
      <c r="D23" s="132">
        <v>441.37268543281948</v>
      </c>
      <c r="E23" s="132">
        <v>447.92376559069845</v>
      </c>
      <c r="F23" s="132">
        <v>453.28487067903126</v>
      </c>
      <c r="G23" s="132">
        <v>458.93536491537651</v>
      </c>
      <c r="H23" s="132">
        <v>463.37447777498318</v>
      </c>
      <c r="I23" s="132">
        <v>471.77470876959148</v>
      </c>
      <c r="J23" s="132">
        <v>477.22042050487266</v>
      </c>
      <c r="K23" s="132">
        <v>478.37511332502868</v>
      </c>
      <c r="L23" s="132">
        <v>483.78790582787855</v>
      </c>
      <c r="M23" s="132">
        <v>490.90639402530303</v>
      </c>
      <c r="N23" s="132">
        <v>498.14545365459901</v>
      </c>
      <c r="O23" s="132">
        <v>500.404964336891</v>
      </c>
      <c r="P23" s="132">
        <v>491.61812598816579</v>
      </c>
      <c r="Q23" s="132">
        <v>490.44807439243948</v>
      </c>
      <c r="R23" s="132">
        <v>485.40876773639604</v>
      </c>
      <c r="S23" s="132">
        <v>481.78892278810838</v>
      </c>
      <c r="T23" s="132">
        <v>475.38424032220837</v>
      </c>
      <c r="U23" s="132">
        <v>467.30474165796494</v>
      </c>
      <c r="V23" s="132">
        <v>450.7306668603502</v>
      </c>
      <c r="W23" s="132">
        <v>483.76274525371849</v>
      </c>
      <c r="X23" s="132">
        <v>402.10105252184667</v>
      </c>
      <c r="Y23" s="132">
        <v>363.53451089012117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516.79444820007552</v>
      </c>
      <c r="C29" s="130">
        <f t="shared" si="12"/>
        <v>516.18802128614379</v>
      </c>
      <c r="D29" s="130">
        <f t="shared" si="12"/>
        <v>477.74120132279018</v>
      </c>
      <c r="E29" s="130">
        <f t="shared" si="12"/>
        <v>446.3695525549652</v>
      </c>
      <c r="F29" s="130">
        <f t="shared" si="12"/>
        <v>453.74628020809098</v>
      </c>
      <c r="G29" s="130">
        <f t="shared" si="12"/>
        <v>379.05412448690407</v>
      </c>
      <c r="H29" s="130">
        <f t="shared" si="12"/>
        <v>377.25430640513451</v>
      </c>
      <c r="I29" s="130">
        <f t="shared" si="12"/>
        <v>378.26239976001301</v>
      </c>
      <c r="J29" s="130">
        <f t="shared" si="12"/>
        <v>388.36833588292279</v>
      </c>
      <c r="K29" s="130">
        <f t="shared" si="12"/>
        <v>389.29819435619521</v>
      </c>
      <c r="L29" s="130">
        <f t="shared" si="12"/>
        <v>398.63975110606134</v>
      </c>
      <c r="M29" s="130">
        <f t="shared" si="12"/>
        <v>393.86004035717917</v>
      </c>
      <c r="N29" s="130">
        <f t="shared" si="12"/>
        <v>403.83451496395844</v>
      </c>
      <c r="O29" s="130">
        <f t="shared" si="12"/>
        <v>414.32434098475954</v>
      </c>
      <c r="P29" s="130">
        <f t="shared" si="12"/>
        <v>405.23027868554419</v>
      </c>
      <c r="Q29" s="130">
        <f t="shared" si="12"/>
        <v>426.29222997990149</v>
      </c>
      <c r="R29" s="130">
        <f t="shared" ref="R29:W29" si="13">SUM(R30:R33)</f>
        <v>417.69102042934458</v>
      </c>
      <c r="S29" s="130">
        <f t="shared" si="13"/>
        <v>421.81552857547814</v>
      </c>
      <c r="T29" s="130">
        <f t="shared" si="13"/>
        <v>421.07427261359561</v>
      </c>
      <c r="U29" s="130">
        <f t="shared" si="13"/>
        <v>423.37714789457186</v>
      </c>
      <c r="V29" s="130">
        <f t="shared" si="13"/>
        <v>410.49005847238834</v>
      </c>
      <c r="W29" s="130">
        <f t="shared" si="13"/>
        <v>388.75911084955203</v>
      </c>
      <c r="X29" s="130">
        <f t="shared" ref="X29:Y29" si="14">SUM(X30:X33)</f>
        <v>403.87480621825142</v>
      </c>
      <c r="Y29" s="130">
        <f t="shared" si="14"/>
        <v>380.41164195841816</v>
      </c>
      <c r="DA29" s="155" t="s">
        <v>237</v>
      </c>
    </row>
    <row r="30" spans="1:105" ht="12" customHeight="1" x14ac:dyDescent="0.25">
      <c r="A30" s="131" t="s">
        <v>52</v>
      </c>
      <c r="B30" s="132">
        <v>168.66371710854486</v>
      </c>
      <c r="C30" s="132">
        <v>165.28953047788124</v>
      </c>
      <c r="D30" s="132">
        <v>124.86932333261363</v>
      </c>
      <c r="E30" s="132">
        <v>93.643080746259727</v>
      </c>
      <c r="F30" s="132">
        <v>97.538955977816812</v>
      </c>
      <c r="G30" s="132">
        <v>20.859403127802711</v>
      </c>
      <c r="H30" s="132">
        <v>18.902944947496465</v>
      </c>
      <c r="I30" s="132">
        <v>18.149022850653509</v>
      </c>
      <c r="J30" s="132">
        <v>23.82853219555264</v>
      </c>
      <c r="K30" s="132">
        <v>24.614681467926367</v>
      </c>
      <c r="L30" s="132">
        <v>31.38194287626996</v>
      </c>
      <c r="M30" s="132">
        <v>22.095059341391558</v>
      </c>
      <c r="N30" s="132">
        <v>23.862681002843907</v>
      </c>
      <c r="O30" s="132">
        <v>26.247275905282642</v>
      </c>
      <c r="P30" s="132">
        <v>20.382417230564009</v>
      </c>
      <c r="Q30" s="132">
        <v>36.685506735873652</v>
      </c>
      <c r="R30" s="132">
        <v>27.594067095115943</v>
      </c>
      <c r="S30" s="132">
        <v>32.862083559138725</v>
      </c>
      <c r="T30" s="132">
        <v>32.056249593789325</v>
      </c>
      <c r="U30" s="132">
        <v>34.811421347796838</v>
      </c>
      <c r="V30" s="132">
        <v>42.244071926368434</v>
      </c>
      <c r="W30" s="132">
        <v>45.428288478313689</v>
      </c>
      <c r="X30" s="132">
        <v>31.232844133985498</v>
      </c>
      <c r="Y30" s="132">
        <v>32.706350547715346</v>
      </c>
      <c r="DA30" s="156" t="s">
        <v>379</v>
      </c>
    </row>
    <row r="31" spans="1:105" ht="12" customHeight="1" x14ac:dyDescent="0.25">
      <c r="A31" s="131" t="s">
        <v>149</v>
      </c>
      <c r="B31" s="132">
        <v>348.13073109153072</v>
      </c>
      <c r="C31" s="132">
        <v>350.89849080826258</v>
      </c>
      <c r="D31" s="132">
        <v>352.87187799017653</v>
      </c>
      <c r="E31" s="132">
        <v>352.72647180870547</v>
      </c>
      <c r="F31" s="132">
        <v>356.20732423027414</v>
      </c>
      <c r="G31" s="132">
        <v>358.19472135910138</v>
      </c>
      <c r="H31" s="132">
        <v>358.35136145763806</v>
      </c>
      <c r="I31" s="132">
        <v>360.11337690935949</v>
      </c>
      <c r="J31" s="132">
        <v>364.53980368737012</v>
      </c>
      <c r="K31" s="132">
        <v>364.68351288826887</v>
      </c>
      <c r="L31" s="132">
        <v>367.25780822979135</v>
      </c>
      <c r="M31" s="132">
        <v>371.76498101578761</v>
      </c>
      <c r="N31" s="132">
        <v>379.97183396111456</v>
      </c>
      <c r="O31" s="132">
        <v>383.61221498236665</v>
      </c>
      <c r="P31" s="132">
        <v>379.0855649513299</v>
      </c>
      <c r="Q31" s="132">
        <v>381.78712588405881</v>
      </c>
      <c r="R31" s="132">
        <v>382.10732563362291</v>
      </c>
      <c r="S31" s="132">
        <v>381.07599053008084</v>
      </c>
      <c r="T31" s="132">
        <v>381.44929362214629</v>
      </c>
      <c r="U31" s="132">
        <v>380.5495264978282</v>
      </c>
      <c r="V31" s="132">
        <v>366.39558888705403</v>
      </c>
      <c r="W31" s="132">
        <v>341.0572109360869</v>
      </c>
      <c r="X31" s="132">
        <v>370.26317424385172</v>
      </c>
      <c r="Y31" s="132">
        <v>344.92858483028624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4.464850097110256</v>
      </c>
      <c r="P32" s="132">
        <v>5.7622965036503038</v>
      </c>
      <c r="Q32" s="132">
        <v>7.8195973599690074</v>
      </c>
      <c r="R32" s="132">
        <v>7.989627700605765</v>
      </c>
      <c r="S32" s="132">
        <v>7.8774544862585518</v>
      </c>
      <c r="T32" s="132">
        <v>7.5687293976599976</v>
      </c>
      <c r="U32" s="132">
        <v>8.016200048946839</v>
      </c>
      <c r="V32" s="132">
        <v>1.8503976589659297</v>
      </c>
      <c r="W32" s="132">
        <v>2.2736114351514645</v>
      </c>
      <c r="X32" s="132">
        <v>2.3787878404142182</v>
      </c>
      <c r="Y32" s="132">
        <v>2.7767065804165214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169394.53380524198</v>
      </c>
      <c r="C3" s="125">
        <f>IF(SER_hh_fec!C3=0,0,11630*1000*SER_hh_fec!C3/SER_hh_num!C3)</f>
        <v>176117.56757447435</v>
      </c>
      <c r="D3" s="125">
        <f>IF(SER_hh_fec!D3=0,0,11630*1000*SER_hh_fec!D3/SER_hh_num!D3)</f>
        <v>173631.27125715808</v>
      </c>
      <c r="E3" s="125">
        <f>IF(SER_hh_fec!E3=0,0,11630*1000*SER_hh_fec!E3/SER_hh_num!E3)</f>
        <v>181913.83475763252</v>
      </c>
      <c r="F3" s="125">
        <f>IF(SER_hh_fec!F3=0,0,11630*1000*SER_hh_fec!F3/SER_hh_num!F3)</f>
        <v>209571.12170307909</v>
      </c>
      <c r="G3" s="125">
        <f>IF(SER_hh_fec!G3=0,0,11630*1000*SER_hh_fec!G3/SER_hh_num!G3)</f>
        <v>204878.94367454079</v>
      </c>
      <c r="H3" s="125">
        <f>IF(SER_hh_fec!H3=0,0,11630*1000*SER_hh_fec!H3/SER_hh_num!H3)</f>
        <v>191233.61018964596</v>
      </c>
      <c r="I3" s="125">
        <f>IF(SER_hh_fec!I3=0,0,11630*1000*SER_hh_fec!I3/SER_hh_num!I3)</f>
        <v>174841.6067508148</v>
      </c>
      <c r="J3" s="125">
        <f>IF(SER_hh_fec!J3=0,0,11630*1000*SER_hh_fec!J3/SER_hh_num!J3)</f>
        <v>192892.97533670074</v>
      </c>
      <c r="K3" s="125">
        <f>IF(SER_hh_fec!K3=0,0,11630*1000*SER_hh_fec!K3/SER_hh_num!K3)</f>
        <v>188577.7194585212</v>
      </c>
      <c r="L3" s="125">
        <f>IF(SER_hh_fec!L3=0,0,11630*1000*SER_hh_fec!L3/SER_hh_num!L3)</f>
        <v>197322.89329011182</v>
      </c>
      <c r="M3" s="125">
        <f>IF(SER_hh_fec!M3=0,0,11630*1000*SER_hh_fec!M3/SER_hh_num!M3)</f>
        <v>164261.40421136661</v>
      </c>
      <c r="N3" s="125">
        <f>IF(SER_hh_fec!N3=0,0,11630*1000*SER_hh_fec!N3/SER_hh_num!N3)</f>
        <v>173181.47418235309</v>
      </c>
      <c r="O3" s="125">
        <f>IF(SER_hh_fec!O3=0,0,11630*1000*SER_hh_fec!O3/SER_hh_num!O3)</f>
        <v>184547.16682316511</v>
      </c>
      <c r="P3" s="125">
        <f>IF(SER_hh_fec!P3=0,0,11630*1000*SER_hh_fec!P3/SER_hh_num!P3)</f>
        <v>150868.27687293</v>
      </c>
      <c r="Q3" s="125">
        <f>IF(SER_hh_fec!Q3=0,0,11630*1000*SER_hh_fec!Q3/SER_hh_num!Q3)</f>
        <v>167549.43094048588</v>
      </c>
      <c r="R3" s="125">
        <f>IF(SER_hh_fec!R3=0,0,11630*1000*SER_hh_fec!R3/SER_hh_num!R3)</f>
        <v>167359.12639154866</v>
      </c>
      <c r="S3" s="125">
        <f>IF(SER_hh_fec!S3=0,0,11630*1000*SER_hh_fec!S3/SER_hh_num!S3)</f>
        <v>165087.20177447202</v>
      </c>
      <c r="T3" s="125">
        <f>IF(SER_hh_fec!T3=0,0,11630*1000*SER_hh_fec!T3/SER_hh_num!T3)</f>
        <v>164804.97679778663</v>
      </c>
      <c r="U3" s="125">
        <f>IF(SER_hh_fec!U3=0,0,11630*1000*SER_hh_fec!U3/SER_hh_num!U3)</f>
        <v>155734.82033655199</v>
      </c>
      <c r="V3" s="125">
        <f>IF(SER_hh_fec!V3=0,0,11630*1000*SER_hh_fec!V3/SER_hh_num!V3)</f>
        <v>149504.01004544646</v>
      </c>
      <c r="W3" s="125">
        <f>IF(SER_hh_fec!W3=0,0,11630*1000*SER_hh_fec!W3/SER_hh_num!W3)</f>
        <v>157218.45577571564</v>
      </c>
      <c r="X3" s="125">
        <f>IF(SER_hh_fec!X3=0,0,11630*1000*SER_hh_fec!X3/SER_hh_num!X3)</f>
        <v>132366.65683442849</v>
      </c>
      <c r="Y3" s="125">
        <f>IF(SER_hh_fec!Y3=0,0,11630*1000*SER_hh_fec!Y3/SER_hh_num!Y3)</f>
        <v>124553.50721049176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131706.41483821877</v>
      </c>
      <c r="C4" s="130">
        <f>IF(SER_hh_fec!C4=0,0,11630*1000*SER_hh_fec!C4/SER_hh_num!C4)</f>
        <v>137991.48104584898</v>
      </c>
      <c r="D4" s="130">
        <f>IF(SER_hh_fec!D4=0,0,11630*1000*SER_hh_fec!D4/SER_hh_num!D4)</f>
        <v>134722.46643994536</v>
      </c>
      <c r="E4" s="130">
        <f>IF(SER_hh_fec!E4=0,0,11630*1000*SER_hh_fec!E4/SER_hh_num!E4)</f>
        <v>141991.2108790476</v>
      </c>
      <c r="F4" s="130">
        <f>IF(SER_hh_fec!F4=0,0,11630*1000*SER_hh_fec!F4/SER_hh_num!F4)</f>
        <v>172142.28064897083</v>
      </c>
      <c r="G4" s="130">
        <f>IF(SER_hh_fec!G4=0,0,11630*1000*SER_hh_fec!G4/SER_hh_num!G4)</f>
        <v>167765.26647082431</v>
      </c>
      <c r="H4" s="130">
        <f>IF(SER_hh_fec!H4=0,0,11630*1000*SER_hh_fec!H4/SER_hh_num!H4)</f>
        <v>153486.54602371057</v>
      </c>
      <c r="I4" s="130">
        <f>IF(SER_hh_fec!I4=0,0,11630*1000*SER_hh_fec!I4/SER_hh_num!I4)</f>
        <v>137350.40796085651</v>
      </c>
      <c r="J4" s="130">
        <f>IF(SER_hh_fec!J4=0,0,11630*1000*SER_hh_fec!J4/SER_hh_num!J4)</f>
        <v>155245.14071837842</v>
      </c>
      <c r="K4" s="130">
        <f>IF(SER_hh_fec!K4=0,0,11630*1000*SER_hh_fec!K4/SER_hh_num!K4)</f>
        <v>150087.40135166608</v>
      </c>
      <c r="L4" s="130">
        <f>IF(SER_hh_fec!L4=0,0,11630*1000*SER_hh_fec!L4/SER_hh_num!L4)</f>
        <v>158597.42541615377</v>
      </c>
      <c r="M4" s="130">
        <f>IF(SER_hh_fec!M4=0,0,11630*1000*SER_hh_fec!M4/SER_hh_num!M4)</f>
        <v>125491.61240126706</v>
      </c>
      <c r="N4" s="130">
        <f>IF(SER_hh_fec!N4=0,0,11630*1000*SER_hh_fec!N4/SER_hh_num!N4)</f>
        <v>133619.37835278144</v>
      </c>
      <c r="O4" s="130">
        <f>IF(SER_hh_fec!O4=0,0,11630*1000*SER_hh_fec!O4/SER_hh_num!O4)</f>
        <v>144562.13123982531</v>
      </c>
      <c r="P4" s="130">
        <f>IF(SER_hh_fec!P4=0,0,11630*1000*SER_hh_fec!P4/SER_hh_num!P4)</f>
        <v>110400.9138136237</v>
      </c>
      <c r="Q4" s="130">
        <f>IF(SER_hh_fec!Q4=0,0,11630*1000*SER_hh_fec!Q4/SER_hh_num!Q4)</f>
        <v>126365.44653404203</v>
      </c>
      <c r="R4" s="130">
        <f>IF(SER_hh_fec!R4=0,0,11630*1000*SER_hh_fec!R4/SER_hh_num!R4)</f>
        <v>126207.6559475692</v>
      </c>
      <c r="S4" s="130">
        <f>IF(SER_hh_fec!S4=0,0,11630*1000*SER_hh_fec!S4/SER_hh_num!S4)</f>
        <v>124298.29048078763</v>
      </c>
      <c r="T4" s="130">
        <f>IF(SER_hh_fec!T4=0,0,11630*1000*SER_hh_fec!T4/SER_hh_num!T4)</f>
        <v>124040.99654083441</v>
      </c>
      <c r="U4" s="130">
        <f>IF(SER_hh_fec!U4=0,0,11630*1000*SER_hh_fec!U4/SER_hh_num!U4)</f>
        <v>117083.26219423641</v>
      </c>
      <c r="V4" s="130">
        <f>IF(SER_hh_fec!V4=0,0,11630*1000*SER_hh_fec!V4/SER_hh_num!V4)</f>
        <v>112692.8225411967</v>
      </c>
      <c r="W4" s="130">
        <f>IF(SER_hh_fec!W4=0,0,11630*1000*SER_hh_fec!W4/SER_hh_num!W4)</f>
        <v>120093.2802874452</v>
      </c>
      <c r="X4" s="130">
        <f>IF(SER_hh_fec!X4=0,0,11630*1000*SER_hh_fec!X4/SER_hh_num!X4)</f>
        <v>94856.731671875837</v>
      </c>
      <c r="Y4" s="130">
        <f>IF(SER_hh_fec!Y4=0,0,11630*1000*SER_hh_fec!Y4/SER_hh_num!Y4)</f>
        <v>87381.4455003607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0</v>
      </c>
      <c r="C5" s="132">
        <f>IF(SER_hh_fec!C5=0,0,11630*1000*SER_hh_fec!C5/SER_hh_num!C5)</f>
        <v>0</v>
      </c>
      <c r="D5" s="132">
        <f>IF(SER_hh_fec!D5=0,0,11630*1000*SER_hh_fec!D5/SER_hh_num!D5)</f>
        <v>0</v>
      </c>
      <c r="E5" s="132">
        <f>IF(SER_hh_fec!E5=0,0,11630*1000*SER_hh_fec!E5/SER_hh_num!E5)</f>
        <v>0</v>
      </c>
      <c r="F5" s="132">
        <f>IF(SER_hh_fec!F5=0,0,11630*1000*SER_hh_fec!F5/SER_hh_num!F5)</f>
        <v>0</v>
      </c>
      <c r="G5" s="132">
        <f>IF(SER_hh_fec!G5=0,0,11630*1000*SER_hh_fec!G5/SER_hh_num!G5)</f>
        <v>0</v>
      </c>
      <c r="H5" s="132">
        <f>IF(SER_hh_fec!H5=0,0,11630*1000*SER_hh_fec!H5/SER_hh_num!H5)</f>
        <v>0</v>
      </c>
      <c r="I5" s="132">
        <f>IF(SER_hh_fec!I5=0,0,11630*1000*SER_hh_fec!I5/SER_hh_num!I5)</f>
        <v>0</v>
      </c>
      <c r="J5" s="132">
        <f>IF(SER_hh_fec!J5=0,0,11630*1000*SER_hh_fec!J5/SER_hh_num!J5)</f>
        <v>0</v>
      </c>
      <c r="K5" s="132">
        <f>IF(SER_hh_fec!K5=0,0,11630*1000*SER_hh_fec!K5/SER_hh_num!K5)</f>
        <v>0</v>
      </c>
      <c r="L5" s="132">
        <f>IF(SER_hh_fec!L5=0,0,11630*1000*SER_hh_fec!L5/SER_hh_num!L5)</f>
        <v>0</v>
      </c>
      <c r="M5" s="132">
        <f>IF(SER_hh_fec!M5=0,0,11630*1000*SER_hh_fec!M5/SER_hh_num!M5)</f>
        <v>0</v>
      </c>
      <c r="N5" s="132">
        <f>IF(SER_hh_fec!N5=0,0,11630*1000*SER_hh_fec!N5/SER_hh_num!N5)</f>
        <v>0</v>
      </c>
      <c r="O5" s="132">
        <f>IF(SER_hh_fec!O5=0,0,11630*1000*SER_hh_fec!O5/SER_hh_num!O5)</f>
        <v>0</v>
      </c>
      <c r="P5" s="132">
        <f>IF(SER_hh_fec!P5=0,0,11630*1000*SER_hh_fec!P5/SER_hh_num!P5)</f>
        <v>0</v>
      </c>
      <c r="Q5" s="132">
        <f>IF(SER_hh_fec!Q5=0,0,11630*1000*SER_hh_fec!Q5/SER_hh_num!Q5)</f>
        <v>0</v>
      </c>
      <c r="R5" s="132">
        <f>IF(SER_hh_fec!R5=0,0,11630*1000*SER_hh_fec!R5/SER_hh_num!R5)</f>
        <v>0</v>
      </c>
      <c r="S5" s="132">
        <f>IF(SER_hh_fec!S5=0,0,11630*1000*SER_hh_fec!S5/SER_hh_num!S5)</f>
        <v>0</v>
      </c>
      <c r="T5" s="132">
        <f>IF(SER_hh_fec!T5=0,0,11630*1000*SER_hh_fec!T5/SER_hh_num!T5)</f>
        <v>0</v>
      </c>
      <c r="U5" s="132">
        <f>IF(SER_hh_fec!U5=0,0,11630*1000*SER_hh_fec!U5/SER_hh_num!U5)</f>
        <v>0</v>
      </c>
      <c r="V5" s="132">
        <f>IF(SER_hh_fec!V5=0,0,11630*1000*SER_hh_fec!V5/SER_hh_num!V5)</f>
        <v>0</v>
      </c>
      <c r="W5" s="132">
        <f>IF(SER_hh_fec!W5=0,0,11630*1000*SER_hh_fec!W5/SER_hh_num!W5)</f>
        <v>0</v>
      </c>
      <c r="X5" s="132">
        <f>IF(SER_hh_fec!X5=0,0,11630*1000*SER_hh_fec!X5/SER_hh_num!X5)</f>
        <v>0</v>
      </c>
      <c r="Y5" s="132">
        <f>IF(SER_hh_fec!Y5=0,0,11630*1000*SER_hh_fec!Y5/SER_hh_num!Y5)</f>
        <v>0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145255.392469749</v>
      </c>
      <c r="C7" s="132">
        <f>IF(SER_hh_fec!C7=0,0,11630*1000*SER_hh_fec!C7/SER_hh_num!C7)</f>
        <v>134559.37564175579</v>
      </c>
      <c r="D7" s="132">
        <f>IF(SER_hh_fec!D7=0,0,11630*1000*SER_hh_fec!D7/SER_hh_num!D7)</f>
        <v>171157.87862697834</v>
      </c>
      <c r="E7" s="132">
        <f>IF(SER_hh_fec!E7=0,0,11630*1000*SER_hh_fec!E7/SER_hh_num!E7)</f>
        <v>194619.31331855163</v>
      </c>
      <c r="F7" s="132">
        <f>IF(SER_hh_fec!F7=0,0,11630*1000*SER_hh_fec!F7/SER_hh_num!F7)</f>
        <v>191324.88453730094</v>
      </c>
      <c r="G7" s="132">
        <f>IF(SER_hh_fec!G7=0,0,11630*1000*SER_hh_fec!G7/SER_hh_num!G7)</f>
        <v>195374.54458048812</v>
      </c>
      <c r="H7" s="132">
        <f>IF(SER_hh_fec!H7=0,0,11630*1000*SER_hh_fec!H7/SER_hh_num!H7)</f>
        <v>171930.74311662366</v>
      </c>
      <c r="I7" s="132">
        <f>IF(SER_hh_fec!I7=0,0,11630*1000*SER_hh_fec!I7/SER_hh_num!I7)</f>
        <v>148690.78890569857</v>
      </c>
      <c r="J7" s="132">
        <f>IF(SER_hh_fec!J7=0,0,11630*1000*SER_hh_fec!J7/SER_hh_num!J7)</f>
        <v>189151.13545259763</v>
      </c>
      <c r="K7" s="132">
        <f>IF(SER_hh_fec!K7=0,0,11630*1000*SER_hh_fec!K7/SER_hh_num!K7)</f>
        <v>156786.29966197131</v>
      </c>
      <c r="L7" s="132">
        <f>IF(SER_hh_fec!L7=0,0,11630*1000*SER_hh_fec!L7/SER_hh_num!L7)</f>
        <v>176813.97927321435</v>
      </c>
      <c r="M7" s="132">
        <f>IF(SER_hh_fec!M7=0,0,11630*1000*SER_hh_fec!M7/SER_hh_num!M7)</f>
        <v>146052.31720305674</v>
      </c>
      <c r="N7" s="132">
        <f>IF(SER_hh_fec!N7=0,0,11630*1000*SER_hh_fec!N7/SER_hh_num!N7)</f>
        <v>145199.80124659679</v>
      </c>
      <c r="O7" s="132">
        <f>IF(SER_hh_fec!O7=0,0,11630*1000*SER_hh_fec!O7/SER_hh_num!O7)</f>
        <v>158280.46439559181</v>
      </c>
      <c r="P7" s="132">
        <f>IF(SER_hh_fec!P7=0,0,11630*1000*SER_hh_fec!P7/SER_hh_num!P7)</f>
        <v>120243.76516936625</v>
      </c>
      <c r="Q7" s="132">
        <f>IF(SER_hh_fec!Q7=0,0,11630*1000*SER_hh_fec!Q7/SER_hh_num!Q7)</f>
        <v>143711.97139580705</v>
      </c>
      <c r="R7" s="132">
        <f>IF(SER_hh_fec!R7=0,0,11630*1000*SER_hh_fec!R7/SER_hh_num!R7)</f>
        <v>132739.90893132845</v>
      </c>
      <c r="S7" s="132">
        <f>IF(SER_hh_fec!S7=0,0,11630*1000*SER_hh_fec!S7/SER_hh_num!S7)</f>
        <v>136933.93571793631</v>
      </c>
      <c r="T7" s="132">
        <f>IF(SER_hh_fec!T7=0,0,11630*1000*SER_hh_fec!T7/SER_hh_num!T7)</f>
        <v>139855.44307910634</v>
      </c>
      <c r="U7" s="132">
        <f>IF(SER_hh_fec!U7=0,0,11630*1000*SER_hh_fec!U7/SER_hh_num!U7)</f>
        <v>119541.30899582368</v>
      </c>
      <c r="V7" s="132">
        <f>IF(SER_hh_fec!V7=0,0,11630*1000*SER_hh_fec!V7/SER_hh_num!V7)</f>
        <v>138812.58725631455</v>
      </c>
      <c r="W7" s="132">
        <f>IF(SER_hh_fec!W7=0,0,11630*1000*SER_hh_fec!W7/SER_hh_num!W7)</f>
        <v>119203.56552043458</v>
      </c>
      <c r="X7" s="132">
        <f>IF(SER_hh_fec!X7=0,0,11630*1000*SER_hh_fec!X7/SER_hh_num!X7)</f>
        <v>101924.68986193258</v>
      </c>
      <c r="Y7" s="132">
        <f>IF(SER_hh_fec!Y7=0,0,11630*1000*SER_hh_fec!Y7/SER_hh_num!Y7)</f>
        <v>104229.7165403282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68813.908203305211</v>
      </c>
      <c r="C8" s="132">
        <f>IF(SER_hh_fec!C8=0,0,11630*1000*SER_hh_fec!C8/SER_hh_num!C8)</f>
        <v>67909.529302694718</v>
      </c>
      <c r="D8" s="132">
        <f>IF(SER_hh_fec!D8=0,0,11630*1000*SER_hh_fec!D8/SER_hh_num!D8)</f>
        <v>64832.37595481889</v>
      </c>
      <c r="E8" s="132">
        <f>IF(SER_hh_fec!E8=0,0,11630*1000*SER_hh_fec!E8/SER_hh_num!E8)</f>
        <v>63207.600103809433</v>
      </c>
      <c r="F8" s="132">
        <f>IF(SER_hh_fec!F8=0,0,11630*1000*SER_hh_fec!F8/SER_hh_num!F8)</f>
        <v>71793.460874313256</v>
      </c>
      <c r="G8" s="132">
        <f>IF(SER_hh_fec!G8=0,0,11630*1000*SER_hh_fec!G8/SER_hh_num!G8)</f>
        <v>65503.399540713348</v>
      </c>
      <c r="H8" s="132">
        <f>IF(SER_hh_fec!H8=0,0,11630*1000*SER_hh_fec!H8/SER_hh_num!H8)</f>
        <v>60564.005546477754</v>
      </c>
      <c r="I8" s="132">
        <f>IF(SER_hh_fec!I8=0,0,11630*1000*SER_hh_fec!I8/SER_hh_num!I8)</f>
        <v>49226.678027813759</v>
      </c>
      <c r="J8" s="132">
        <f>IF(SER_hh_fec!J8=0,0,11630*1000*SER_hh_fec!J8/SER_hh_num!J8)</f>
        <v>49436.885939883563</v>
      </c>
      <c r="K8" s="132">
        <f>IF(SER_hh_fec!K8=0,0,11630*1000*SER_hh_fec!K8/SER_hh_num!K8)</f>
        <v>46469.832246257312</v>
      </c>
      <c r="L8" s="132">
        <f>IF(SER_hh_fec!L8=0,0,11630*1000*SER_hh_fec!L8/SER_hh_num!L8)</f>
        <v>42954.532333196737</v>
      </c>
      <c r="M8" s="132">
        <f>IF(SER_hh_fec!M8=0,0,11630*1000*SER_hh_fec!M8/SER_hh_num!M8)</f>
        <v>32445.195876828391</v>
      </c>
      <c r="N8" s="132">
        <f>IF(SER_hh_fec!N8=0,0,11630*1000*SER_hh_fec!N8/SER_hh_num!N8)</f>
        <v>33061.317397453044</v>
      </c>
      <c r="O8" s="132">
        <f>IF(SER_hh_fec!O8=0,0,11630*1000*SER_hh_fec!O8/SER_hh_num!O8)</f>
        <v>34346.45653505739</v>
      </c>
      <c r="P8" s="132">
        <f>IF(SER_hh_fec!P8=0,0,11630*1000*SER_hh_fec!P8/SER_hh_num!P8)</f>
        <v>25524.296660174005</v>
      </c>
      <c r="Q8" s="132">
        <f>IF(SER_hh_fec!Q8=0,0,11630*1000*SER_hh_fec!Q8/SER_hh_num!Q8)</f>
        <v>28090.954439992114</v>
      </c>
      <c r="R8" s="132">
        <f>IF(SER_hh_fec!R8=0,0,11630*1000*SER_hh_fec!R8/SER_hh_num!R8)</f>
        <v>28167.504704596169</v>
      </c>
      <c r="S8" s="132">
        <f>IF(SER_hh_fec!S8=0,0,11630*1000*SER_hh_fec!S8/SER_hh_num!S8)</f>
        <v>26373.553621236115</v>
      </c>
      <c r="T8" s="132">
        <f>IF(SER_hh_fec!T8=0,0,11630*1000*SER_hh_fec!T8/SER_hh_num!T8)</f>
        <v>25430.290568880435</v>
      </c>
      <c r="U8" s="132">
        <f>IF(SER_hh_fec!U8=0,0,11630*1000*SER_hh_fec!U8/SER_hh_num!U8)</f>
        <v>24254.097533675147</v>
      </c>
      <c r="V8" s="132">
        <f>IF(SER_hh_fec!V8=0,0,11630*1000*SER_hh_fec!V8/SER_hh_num!V8)</f>
        <v>21019.145486066987</v>
      </c>
      <c r="W8" s="132">
        <f>IF(SER_hh_fec!W8=0,0,11630*1000*SER_hh_fec!W8/SER_hh_num!W8)</f>
        <v>18366.565860375362</v>
      </c>
      <c r="X8" s="132">
        <f>IF(SER_hh_fec!X8=0,0,11630*1000*SER_hh_fec!X8/SER_hh_num!X8)</f>
        <v>18905.773136817326</v>
      </c>
      <c r="Y8" s="132">
        <f>IF(SER_hh_fec!Y8=0,0,11630*1000*SER_hh_fec!Y8/SER_hh_num!Y8)</f>
        <v>18504.564479599223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130179.38840223096</v>
      </c>
      <c r="C9" s="132">
        <f>IF(SER_hh_fec!C9=0,0,11630*1000*SER_hh_fec!C9/SER_hh_num!C9)</f>
        <v>144690.47216232587</v>
      </c>
      <c r="D9" s="132">
        <f>IF(SER_hh_fec!D9=0,0,11630*1000*SER_hh_fec!D9/SER_hh_num!D9)</f>
        <v>133589.16759945167</v>
      </c>
      <c r="E9" s="132">
        <f>IF(SER_hh_fec!E9=0,0,11630*1000*SER_hh_fec!E9/SER_hh_num!E9)</f>
        <v>140800.36691603961</v>
      </c>
      <c r="F9" s="132">
        <f>IF(SER_hh_fec!F9=0,0,11630*1000*SER_hh_fec!F9/SER_hh_num!F9)</f>
        <v>154453.69289410958</v>
      </c>
      <c r="G9" s="132">
        <f>IF(SER_hh_fec!G9=0,0,11630*1000*SER_hh_fec!G9/SER_hh_num!G9)</f>
        <v>163686.65410427851</v>
      </c>
      <c r="H9" s="132">
        <f>IF(SER_hh_fec!H9=0,0,11630*1000*SER_hh_fec!H9/SER_hh_num!H9)</f>
        <v>164985.9800914487</v>
      </c>
      <c r="I9" s="132">
        <f>IF(SER_hh_fec!I9=0,0,11630*1000*SER_hh_fec!I9/SER_hh_num!I9)</f>
        <v>144760.64482794999</v>
      </c>
      <c r="J9" s="132">
        <f>IF(SER_hh_fec!J9=0,0,11630*1000*SER_hh_fec!J9/SER_hh_num!J9)</f>
        <v>158265.17042891082</v>
      </c>
      <c r="K9" s="132">
        <f>IF(SER_hh_fec!K9=0,0,11630*1000*SER_hh_fec!K9/SER_hh_num!K9)</f>
        <v>161953.28854374768</v>
      </c>
      <c r="L9" s="132">
        <f>IF(SER_hh_fec!L9=0,0,11630*1000*SER_hh_fec!L9/SER_hh_num!L9)</f>
        <v>167374.17992535155</v>
      </c>
      <c r="M9" s="132">
        <f>IF(SER_hh_fec!M9=0,0,11630*1000*SER_hh_fec!M9/SER_hh_num!M9)</f>
        <v>124351.12879483089</v>
      </c>
      <c r="N9" s="132">
        <f>IF(SER_hh_fec!N9=0,0,11630*1000*SER_hh_fec!N9/SER_hh_num!N9)</f>
        <v>138070.56933836357</v>
      </c>
      <c r="O9" s="132">
        <f>IF(SER_hh_fec!O9=0,0,11630*1000*SER_hh_fec!O9/SER_hh_num!O9)</f>
        <v>149500.18727098513</v>
      </c>
      <c r="P9" s="132">
        <f>IF(SER_hh_fec!P9=0,0,11630*1000*SER_hh_fec!P9/SER_hh_num!P9)</f>
        <v>109479.30215354914</v>
      </c>
      <c r="Q9" s="132">
        <f>IF(SER_hh_fec!Q9=0,0,11630*1000*SER_hh_fec!Q9/SER_hh_num!Q9)</f>
        <v>124614.12648116006</v>
      </c>
      <c r="R9" s="132">
        <f>IF(SER_hh_fec!R9=0,0,11630*1000*SER_hh_fec!R9/SER_hh_num!R9)</f>
        <v>129084.01569597951</v>
      </c>
      <c r="S9" s="132">
        <f>IF(SER_hh_fec!S9=0,0,11630*1000*SER_hh_fec!S9/SER_hh_num!S9)</f>
        <v>124507.87013894434</v>
      </c>
      <c r="T9" s="132">
        <f>IF(SER_hh_fec!T9=0,0,11630*1000*SER_hh_fec!T9/SER_hh_num!T9)</f>
        <v>123496.65383679874</v>
      </c>
      <c r="U9" s="132">
        <f>IF(SER_hh_fec!U9=0,0,11630*1000*SER_hh_fec!U9/SER_hh_num!U9)</f>
        <v>119467.69937256751</v>
      </c>
      <c r="V9" s="132">
        <f>IF(SER_hh_fec!V9=0,0,11630*1000*SER_hh_fec!V9/SER_hh_num!V9)</f>
        <v>109985.0500928215</v>
      </c>
      <c r="W9" s="132">
        <f>IF(SER_hh_fec!W9=0,0,11630*1000*SER_hh_fec!W9/SER_hh_num!W9)</f>
        <v>128443.35205521902</v>
      </c>
      <c r="X9" s="132">
        <f>IF(SER_hh_fec!X9=0,0,11630*1000*SER_hh_fec!X9/SER_hh_num!X9)</f>
        <v>96156.069696606719</v>
      </c>
      <c r="Y9" s="132">
        <f>IF(SER_hh_fec!Y9=0,0,11630*1000*SER_hh_fec!Y9/SER_hh_num!Y9)</f>
        <v>88335.183447670308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213964.56337142456</v>
      </c>
      <c r="C10" s="132">
        <f>IF(SER_hh_fec!C10=0,0,11630*1000*SER_hh_fec!C10/SER_hh_num!C10)</f>
        <v>201189.29887413638</v>
      </c>
      <c r="D10" s="132">
        <f>IF(SER_hh_fec!D10=0,0,11630*1000*SER_hh_fec!D10/SER_hh_num!D10)</f>
        <v>12248.978162635936</v>
      </c>
      <c r="E10" s="132">
        <f>IF(SER_hh_fec!E10=0,0,11630*1000*SER_hh_fec!E10/SER_hh_num!E10)</f>
        <v>3891.0107285260901</v>
      </c>
      <c r="F10" s="132">
        <f>IF(SER_hh_fec!F10=0,0,11630*1000*SER_hh_fec!F10/SER_hh_num!F10)</f>
        <v>279422.94579575956</v>
      </c>
      <c r="G10" s="132">
        <f>IF(SER_hh_fec!G10=0,0,11630*1000*SER_hh_fec!G10/SER_hh_num!G10)</f>
        <v>244187.65889933048</v>
      </c>
      <c r="H10" s="132">
        <f>IF(SER_hh_fec!H10=0,0,11630*1000*SER_hh_fec!H10/SER_hh_num!H10)</f>
        <v>219019.231038912</v>
      </c>
      <c r="I10" s="132">
        <f>IF(SER_hh_fec!I10=0,0,11630*1000*SER_hh_fec!I10/SER_hh_num!I10)</f>
        <v>249509.45051613296</v>
      </c>
      <c r="J10" s="132">
        <f>IF(SER_hh_fec!J10=0,0,11630*1000*SER_hh_fec!J10/SER_hh_num!J10)</f>
        <v>108212.11429166463</v>
      </c>
      <c r="K10" s="132">
        <f>IF(SER_hh_fec!K10=0,0,11630*1000*SER_hh_fec!K10/SER_hh_num!K10)</f>
        <v>55461.42976100622</v>
      </c>
      <c r="L10" s="132">
        <f>IF(SER_hh_fec!L10=0,0,11630*1000*SER_hh_fec!L10/SER_hh_num!L10)</f>
        <v>180463.85558749441</v>
      </c>
      <c r="M10" s="132">
        <f>IF(SER_hh_fec!M10=0,0,11630*1000*SER_hh_fec!M10/SER_hh_num!M10)</f>
        <v>110585.39438500197</v>
      </c>
      <c r="N10" s="132">
        <f>IF(SER_hh_fec!N10=0,0,11630*1000*SER_hh_fec!N10/SER_hh_num!N10)</f>
        <v>135175.98846846059</v>
      </c>
      <c r="O10" s="132">
        <f>IF(SER_hh_fec!O10=0,0,11630*1000*SER_hh_fec!O10/SER_hh_num!O10)</f>
        <v>168400.53787305226</v>
      </c>
      <c r="P10" s="132">
        <f>IF(SER_hh_fec!P10=0,0,11630*1000*SER_hh_fec!P10/SER_hh_num!P10)</f>
        <v>162103.59018227298</v>
      </c>
      <c r="Q10" s="132">
        <f>IF(SER_hh_fec!Q10=0,0,11630*1000*SER_hh_fec!Q10/SER_hh_num!Q10)</f>
        <v>165803.45570060285</v>
      </c>
      <c r="R10" s="132">
        <f>IF(SER_hh_fec!R10=0,0,11630*1000*SER_hh_fec!R10/SER_hh_num!R10)</f>
        <v>162768.03300981471</v>
      </c>
      <c r="S10" s="132">
        <f>IF(SER_hh_fec!S10=0,0,11630*1000*SER_hh_fec!S10/SER_hh_num!S10)</f>
        <v>158728.63616658389</v>
      </c>
      <c r="T10" s="132">
        <f>IF(SER_hh_fec!T10=0,0,11630*1000*SER_hh_fec!T10/SER_hh_num!T10)</f>
        <v>157800.1137442147</v>
      </c>
      <c r="U10" s="132">
        <f>IF(SER_hh_fec!U10=0,0,11630*1000*SER_hh_fec!U10/SER_hh_num!U10)</f>
        <v>162096.00027304512</v>
      </c>
      <c r="V10" s="132">
        <f>IF(SER_hh_fec!V10=0,0,11630*1000*SER_hh_fec!V10/SER_hh_num!V10)</f>
        <v>158726.73027496249</v>
      </c>
      <c r="W10" s="132">
        <f>IF(SER_hh_fec!W10=0,0,11630*1000*SER_hh_fec!W10/SER_hh_num!W10)</f>
        <v>151046.29249109354</v>
      </c>
      <c r="X10" s="132">
        <f>IF(SER_hh_fec!X10=0,0,11630*1000*SER_hh_fec!X10/SER_hh_num!X10)</f>
        <v>139543.8716332223</v>
      </c>
      <c r="Y10" s="132">
        <f>IF(SER_hh_fec!Y10=0,0,11630*1000*SER_hh_fec!Y10/SER_hh_num!Y10)</f>
        <v>119854.57178310781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0</v>
      </c>
      <c r="H11" s="132">
        <f>IF(SER_hh_fec!H11=0,0,11630*1000*SER_hh_fec!H11/SER_hh_num!H11)</f>
        <v>0</v>
      </c>
      <c r="I11" s="132">
        <f>IF(SER_hh_fec!I11=0,0,11630*1000*SER_hh_fec!I11/SER_hh_num!I11)</f>
        <v>0</v>
      </c>
      <c r="J11" s="132">
        <f>IF(SER_hh_fec!J11=0,0,11630*1000*SER_hh_fec!J11/SER_hh_num!J11)</f>
        <v>0</v>
      </c>
      <c r="K11" s="132">
        <f>IF(SER_hh_fec!K11=0,0,11630*1000*SER_hh_fec!K11/SER_hh_num!K11)</f>
        <v>0</v>
      </c>
      <c r="L11" s="132">
        <f>IF(SER_hh_fec!L11=0,0,11630*1000*SER_hh_fec!L11/SER_hh_num!L11)</f>
        <v>0</v>
      </c>
      <c r="M11" s="132">
        <f>IF(SER_hh_fec!M11=0,0,11630*1000*SER_hh_fec!M11/SER_hh_num!M11)</f>
        <v>0</v>
      </c>
      <c r="N11" s="132">
        <f>IF(SER_hh_fec!N11=0,0,11630*1000*SER_hh_fec!N11/SER_hh_num!N11)</f>
        <v>0</v>
      </c>
      <c r="O11" s="132">
        <f>IF(SER_hh_fec!O11=0,0,11630*1000*SER_hh_fec!O11/SER_hh_num!O11)</f>
        <v>0</v>
      </c>
      <c r="P11" s="132">
        <f>IF(SER_hh_fec!P11=0,0,11630*1000*SER_hh_fec!P11/SER_hh_num!P11)</f>
        <v>0</v>
      </c>
      <c r="Q11" s="132">
        <f>IF(SER_hh_fec!Q11=0,0,11630*1000*SER_hh_fec!Q11/SER_hh_num!Q11)</f>
        <v>0</v>
      </c>
      <c r="R11" s="132">
        <f>IF(SER_hh_fec!R11=0,0,11630*1000*SER_hh_fec!R11/SER_hh_num!R11)</f>
        <v>0</v>
      </c>
      <c r="S11" s="132">
        <f>IF(SER_hh_fec!S11=0,0,11630*1000*SER_hh_fec!S11/SER_hh_num!S11)</f>
        <v>0</v>
      </c>
      <c r="T11" s="132">
        <f>IF(SER_hh_fec!T11=0,0,11630*1000*SER_hh_fec!T11/SER_hh_num!T11)</f>
        <v>0</v>
      </c>
      <c r="U11" s="132">
        <f>IF(SER_hh_fec!U11=0,0,11630*1000*SER_hh_fec!U11/SER_hh_num!U11)</f>
        <v>0</v>
      </c>
      <c r="V11" s="132">
        <f>IF(SER_hh_fec!V11=0,0,11630*1000*SER_hh_fec!V11/SER_hh_num!V11)</f>
        <v>0</v>
      </c>
      <c r="W11" s="132">
        <f>IF(SER_hh_fec!W11=0,0,11630*1000*SER_hh_fec!W11/SER_hh_num!W11)</f>
        <v>0</v>
      </c>
      <c r="X11" s="132">
        <f>IF(SER_hh_fec!X11=0,0,11630*1000*SER_hh_fec!X11/SER_hh_num!X11)</f>
        <v>0</v>
      </c>
      <c r="Y11" s="132">
        <f>IF(SER_hh_fec!Y11=0,0,11630*1000*SER_hh_fec!Y11/SER_hh_num!Y11)</f>
        <v>0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87579.410818132004</v>
      </c>
      <c r="C12" s="132">
        <f>IF(SER_hh_fec!C12=0,0,11630*1000*SER_hh_fec!C12/SER_hh_num!C12)</f>
        <v>88619.998121756478</v>
      </c>
      <c r="D12" s="132">
        <f>IF(SER_hh_fec!D12=0,0,11630*1000*SER_hh_fec!D12/SER_hh_num!D12)</f>
        <v>89356.624934495369</v>
      </c>
      <c r="E12" s="132">
        <f>IF(SER_hh_fec!E12=0,0,11630*1000*SER_hh_fec!E12/SER_hh_num!E12)</f>
        <v>92113.685165204937</v>
      </c>
      <c r="F12" s="132">
        <f>IF(SER_hh_fec!F12=0,0,11630*1000*SER_hh_fec!F12/SER_hh_num!F12)</f>
        <v>111736.07321251171</v>
      </c>
      <c r="G12" s="132">
        <f>IF(SER_hh_fec!G12=0,0,11630*1000*SER_hh_fec!G12/SER_hh_num!G12)</f>
        <v>102561.67947021332</v>
      </c>
      <c r="H12" s="132">
        <f>IF(SER_hh_fec!H12=0,0,11630*1000*SER_hh_fec!H12/SER_hh_num!H12)</f>
        <v>116653.91289279495</v>
      </c>
      <c r="I12" s="132">
        <f>IF(SER_hh_fec!I12=0,0,11630*1000*SER_hh_fec!I12/SER_hh_num!I12)</f>
        <v>127434.08608488097</v>
      </c>
      <c r="J12" s="132">
        <f>IF(SER_hh_fec!J12=0,0,11630*1000*SER_hh_fec!J12/SER_hh_num!J12)</f>
        <v>78083.089837784864</v>
      </c>
      <c r="K12" s="132">
        <f>IF(SER_hh_fec!K12=0,0,11630*1000*SER_hh_fec!K12/SER_hh_num!K12)</f>
        <v>88476.467431875702</v>
      </c>
      <c r="L12" s="132">
        <f>IF(SER_hh_fec!L12=0,0,11630*1000*SER_hh_fec!L12/SER_hh_num!L12)</f>
        <v>122014.33292627934</v>
      </c>
      <c r="M12" s="132">
        <f>IF(SER_hh_fec!M12=0,0,11630*1000*SER_hh_fec!M12/SER_hh_num!M12)</f>
        <v>99409.708374442896</v>
      </c>
      <c r="N12" s="132">
        <f>IF(SER_hh_fec!N12=0,0,11630*1000*SER_hh_fec!N12/SER_hh_num!N12)</f>
        <v>93729.802624685763</v>
      </c>
      <c r="O12" s="132">
        <f>IF(SER_hh_fec!O12=0,0,11630*1000*SER_hh_fec!O12/SER_hh_num!O12)</f>
        <v>83868.266622232361</v>
      </c>
      <c r="P12" s="132">
        <f>IF(SER_hh_fec!P12=0,0,11630*1000*SER_hh_fec!P12/SER_hh_num!P12)</f>
        <v>94354.960457373687</v>
      </c>
      <c r="Q12" s="132">
        <f>IF(SER_hh_fec!Q12=0,0,11630*1000*SER_hh_fec!Q12/SER_hh_num!Q12)</f>
        <v>102084.59489487788</v>
      </c>
      <c r="R12" s="132">
        <f>IF(SER_hh_fec!R12=0,0,11630*1000*SER_hh_fec!R12/SER_hh_num!R12)</f>
        <v>94779.288890930504</v>
      </c>
      <c r="S12" s="132">
        <f>IF(SER_hh_fec!S12=0,0,11630*1000*SER_hh_fec!S12/SER_hh_num!S12)</f>
        <v>88593.805719038268</v>
      </c>
      <c r="T12" s="132">
        <f>IF(SER_hh_fec!T12=0,0,11630*1000*SER_hh_fec!T12/SER_hh_num!T12)</f>
        <v>94245.020200320025</v>
      </c>
      <c r="U12" s="132">
        <f>IF(SER_hh_fec!U12=0,0,11630*1000*SER_hh_fec!U12/SER_hh_num!U12)</f>
        <v>89461.244234201775</v>
      </c>
      <c r="V12" s="132">
        <f>IF(SER_hh_fec!V12=0,0,11630*1000*SER_hh_fec!V12/SER_hh_num!V12)</f>
        <v>95326.404763862054</v>
      </c>
      <c r="W12" s="132">
        <f>IF(SER_hh_fec!W12=0,0,11630*1000*SER_hh_fec!W12/SER_hh_num!W12)</f>
        <v>93039.617210015218</v>
      </c>
      <c r="X12" s="132">
        <f>IF(SER_hh_fec!X12=0,0,11630*1000*SER_hh_fec!X12/SER_hh_num!X12)</f>
        <v>78075.303030236566</v>
      </c>
      <c r="Y12" s="132">
        <f>IF(SER_hh_fec!Y12=0,0,11630*1000*SER_hh_fec!Y12/SER_hh_num!Y12)</f>
        <v>80876.224684200468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38173.03635092279</v>
      </c>
      <c r="C13" s="132">
        <f>IF(SER_hh_fec!C13=0,0,11630*1000*SER_hh_fec!C13/SER_hh_num!C13)</f>
        <v>48206.032418664814</v>
      </c>
      <c r="D13" s="132">
        <f>IF(SER_hh_fec!D13=0,0,11630*1000*SER_hh_fec!D13/SER_hh_num!D13)</f>
        <v>45485.792582709226</v>
      </c>
      <c r="E13" s="132">
        <f>IF(SER_hh_fec!E13=0,0,11630*1000*SER_hh_fec!E13/SER_hh_num!E13)</f>
        <v>40488.614860524125</v>
      </c>
      <c r="F13" s="132">
        <f>IF(SER_hh_fec!F13=0,0,11630*1000*SER_hh_fec!F13/SER_hh_num!F13)</f>
        <v>19041.572477297945</v>
      </c>
      <c r="G13" s="132">
        <f>IF(SER_hh_fec!G13=0,0,11630*1000*SER_hh_fec!G13/SER_hh_num!G13)</f>
        <v>13439.137389761565</v>
      </c>
      <c r="H13" s="132">
        <f>IF(SER_hh_fec!H13=0,0,11630*1000*SER_hh_fec!H13/SER_hh_num!H13)</f>
        <v>45759.551612988362</v>
      </c>
      <c r="I13" s="132">
        <f>IF(SER_hh_fec!I13=0,0,11630*1000*SER_hh_fec!I13/SER_hh_num!I13)</f>
        <v>41693.194328140904</v>
      </c>
      <c r="J13" s="132">
        <f>IF(SER_hh_fec!J13=0,0,11630*1000*SER_hh_fec!J13/SER_hh_num!J13)</f>
        <v>41849.541521023282</v>
      </c>
      <c r="K13" s="132">
        <f>IF(SER_hh_fec!K13=0,0,11630*1000*SER_hh_fec!K13/SER_hh_num!K13)</f>
        <v>41450.396523893527</v>
      </c>
      <c r="L13" s="132">
        <f>IF(SER_hh_fec!L13=0,0,11630*1000*SER_hh_fec!L13/SER_hh_num!L13)</f>
        <v>37723.439815779886</v>
      </c>
      <c r="M13" s="132">
        <f>IF(SER_hh_fec!M13=0,0,11630*1000*SER_hh_fec!M13/SER_hh_num!M13)</f>
        <v>34493.412959898036</v>
      </c>
      <c r="N13" s="132">
        <f>IF(SER_hh_fec!N13=0,0,11630*1000*SER_hh_fec!N13/SER_hh_num!N13)</f>
        <v>34351.323643603442</v>
      </c>
      <c r="O13" s="132">
        <f>IF(SER_hh_fec!O13=0,0,11630*1000*SER_hh_fec!O13/SER_hh_num!O13)</f>
        <v>36391.623578613551</v>
      </c>
      <c r="P13" s="132">
        <f>IF(SER_hh_fec!P13=0,0,11630*1000*SER_hh_fec!P13/SER_hh_num!P13)</f>
        <v>30477.300002857253</v>
      </c>
      <c r="Q13" s="132">
        <f>IF(SER_hh_fec!Q13=0,0,11630*1000*SER_hh_fec!Q13/SER_hh_num!Q13)</f>
        <v>30072.701538475492</v>
      </c>
      <c r="R13" s="132">
        <f>IF(SER_hh_fec!R13=0,0,11630*1000*SER_hh_fec!R13/SER_hh_num!R13)</f>
        <v>26846.941760867794</v>
      </c>
      <c r="S13" s="132">
        <f>IF(SER_hh_fec!S13=0,0,11630*1000*SER_hh_fec!S13/SER_hh_num!S13)</f>
        <v>18526.108916249963</v>
      </c>
      <c r="T13" s="132">
        <f>IF(SER_hh_fec!T13=0,0,11630*1000*SER_hh_fec!T13/SER_hh_num!T13)</f>
        <v>25447.327749327065</v>
      </c>
      <c r="U13" s="132">
        <f>IF(SER_hh_fec!U13=0,0,11630*1000*SER_hh_fec!U13/SER_hh_num!U13)</f>
        <v>23333.409533572114</v>
      </c>
      <c r="V13" s="132">
        <f>IF(SER_hh_fec!V13=0,0,11630*1000*SER_hh_fec!V13/SER_hh_num!V13)</f>
        <v>19603.30228314389</v>
      </c>
      <c r="W13" s="132">
        <f>IF(SER_hh_fec!W13=0,0,11630*1000*SER_hh_fec!W13/SER_hh_num!W13)</f>
        <v>23723.061720230107</v>
      </c>
      <c r="X13" s="132">
        <f>IF(SER_hh_fec!X13=0,0,11630*1000*SER_hh_fec!X13/SER_hh_num!X13)</f>
        <v>18575.249983759721</v>
      </c>
      <c r="Y13" s="132">
        <f>IF(SER_hh_fec!Y13=0,0,11630*1000*SER_hh_fec!Y13/SER_hh_num!Y13)</f>
        <v>18981.799910813515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110154.13448901482</v>
      </c>
      <c r="C14" s="65">
        <f>IF(SER_hh_fec!C14=0,0,11630*1000*SER_hh_fec!C14/SER_hh_num!C14)</f>
        <v>118843.22737911428</v>
      </c>
      <c r="D14" s="65">
        <f>IF(SER_hh_fec!D14=0,0,11630*1000*SER_hh_fec!D14/SER_hh_num!D14)</f>
        <v>35670.010380996981</v>
      </c>
      <c r="E14" s="65">
        <f>IF(SER_hh_fec!E14=0,0,11630*1000*SER_hh_fec!E14/SER_hh_num!E14)</f>
        <v>5380.1704168146243</v>
      </c>
      <c r="F14" s="65">
        <f>IF(SER_hh_fec!F14=0,0,11630*1000*SER_hh_fec!F14/SER_hh_num!F14)</f>
        <v>180887.27061338091</v>
      </c>
      <c r="G14" s="65">
        <f>IF(SER_hh_fec!G14=0,0,11630*1000*SER_hh_fec!G14/SER_hh_num!G14)</f>
        <v>142185.99714667728</v>
      </c>
      <c r="H14" s="65">
        <f>IF(SER_hh_fec!H14=0,0,11630*1000*SER_hh_fec!H14/SER_hh_num!H14)</f>
        <v>117241.21799390645</v>
      </c>
      <c r="I14" s="65">
        <f>IF(SER_hh_fec!I14=0,0,11630*1000*SER_hh_fec!I14/SER_hh_num!I14)</f>
        <v>112010.48986687373</v>
      </c>
      <c r="J14" s="65">
        <f>IF(SER_hh_fec!J14=0,0,11630*1000*SER_hh_fec!J14/SER_hh_num!J14)</f>
        <v>117011.28897105371</v>
      </c>
      <c r="K14" s="65">
        <f>IF(SER_hh_fec!K14=0,0,11630*1000*SER_hh_fec!K14/SER_hh_num!K14)</f>
        <v>122539.62630147141</v>
      </c>
      <c r="L14" s="65">
        <f>IF(SER_hh_fec!L14=0,0,11630*1000*SER_hh_fec!L14/SER_hh_num!L14)</f>
        <v>118763.69874939442</v>
      </c>
      <c r="M14" s="65">
        <f>IF(SER_hh_fec!M14=0,0,11630*1000*SER_hh_fec!M14/SER_hh_num!M14)</f>
        <v>103846.8516713526</v>
      </c>
      <c r="N14" s="65">
        <f>IF(SER_hh_fec!N14=0,0,11630*1000*SER_hh_fec!N14/SER_hh_num!N14)</f>
        <v>108421.80144591458</v>
      </c>
      <c r="O14" s="65">
        <f>IF(SER_hh_fec!O14=0,0,11630*1000*SER_hh_fec!O14/SER_hh_num!O14)</f>
        <v>114208.77454374453</v>
      </c>
      <c r="P14" s="65">
        <f>IF(SER_hh_fec!P14=0,0,11630*1000*SER_hh_fec!P14/SER_hh_num!P14)</f>
        <v>94127.265248174968</v>
      </c>
      <c r="Q14" s="65">
        <f>IF(SER_hh_fec!Q14=0,0,11630*1000*SER_hh_fec!Q14/SER_hh_num!Q14)</f>
        <v>101736.89948988307</v>
      </c>
      <c r="R14" s="65">
        <f>IF(SER_hh_fec!R14=0,0,11630*1000*SER_hh_fec!R14/SER_hh_num!R14)</f>
        <v>103478.93296164268</v>
      </c>
      <c r="S14" s="65">
        <f>IF(SER_hh_fec!S14=0,0,11630*1000*SER_hh_fec!S14/SER_hh_num!S14)</f>
        <v>103413.05577928072</v>
      </c>
      <c r="T14" s="65">
        <f>IF(SER_hh_fec!T14=0,0,11630*1000*SER_hh_fec!T14/SER_hh_num!T14)</f>
        <v>103224.43889158817</v>
      </c>
      <c r="U14" s="65">
        <f>IF(SER_hh_fec!U14=0,0,11630*1000*SER_hh_fec!U14/SER_hh_num!U14)</f>
        <v>105557.81027418074</v>
      </c>
      <c r="V14" s="65">
        <f>IF(SER_hh_fec!V14=0,0,11630*1000*SER_hh_fec!V14/SER_hh_num!V14)</f>
        <v>93444.750617247657</v>
      </c>
      <c r="W14" s="65">
        <f>IF(SER_hh_fec!W14=0,0,11630*1000*SER_hh_fec!W14/SER_hh_num!W14)</f>
        <v>100205.97767019299</v>
      </c>
      <c r="X14" s="65">
        <f>IF(SER_hh_fec!X14=0,0,11630*1000*SER_hh_fec!X14/SER_hh_num!X14)</f>
        <v>89615.475444640761</v>
      </c>
      <c r="Y14" s="65">
        <f>IF(SER_hh_fec!Y14=0,0,11630*1000*SER_hh_fec!Y14/SER_hh_num!Y14)</f>
        <v>75166.339972557907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1376.792038226906</v>
      </c>
      <c r="C15" s="134">
        <f>IF(SER_hh_fec!C15=0,0,11630*1000*SER_hh_fec!C15/SER_hh_num!C15)</f>
        <v>1420.6681376302906</v>
      </c>
      <c r="D15" s="134">
        <f>IF(SER_hh_fec!D15=0,0,11630*1000*SER_hh_fec!D15/SER_hh_num!D15)</f>
        <v>1471.7381066805615</v>
      </c>
      <c r="E15" s="134">
        <f>IF(SER_hh_fec!E15=0,0,11630*1000*SER_hh_fec!E15/SER_hh_num!E15)</f>
        <v>1590.1896653857843</v>
      </c>
      <c r="F15" s="134">
        <f>IF(SER_hh_fec!F15=0,0,11630*1000*SER_hh_fec!F15/SER_hh_num!F15)</f>
        <v>1651.1711771173118</v>
      </c>
      <c r="G15" s="134">
        <f>IF(SER_hh_fec!G15=0,0,11630*1000*SER_hh_fec!G15/SER_hh_num!G15)</f>
        <v>1696.1639233465321</v>
      </c>
      <c r="H15" s="134">
        <f>IF(SER_hh_fec!H15=0,0,11630*1000*SER_hh_fec!H15/SER_hh_num!H15)</f>
        <v>1596.329894183506</v>
      </c>
      <c r="I15" s="134">
        <f>IF(SER_hh_fec!I15=0,0,11630*1000*SER_hh_fec!I15/SER_hh_num!I15)</f>
        <v>1399.1025853716978</v>
      </c>
      <c r="J15" s="134">
        <f>IF(SER_hh_fec!J15=0,0,11630*1000*SER_hh_fec!J15/SER_hh_num!J15)</f>
        <v>1627.1181118107838</v>
      </c>
      <c r="K15" s="134">
        <f>IF(SER_hh_fec!K15=0,0,11630*1000*SER_hh_fec!K15/SER_hh_num!K15)</f>
        <v>1547.1892887433291</v>
      </c>
      <c r="L15" s="134">
        <f>IF(SER_hh_fec!L15=0,0,11630*1000*SER_hh_fec!L15/SER_hh_num!L15)</f>
        <v>1663.2239211485453</v>
      </c>
      <c r="M15" s="134">
        <f>IF(SER_hh_fec!M15=0,0,11630*1000*SER_hh_fec!M15/SER_hh_num!M15)</f>
        <v>1290.1411803519275</v>
      </c>
      <c r="N15" s="134">
        <f>IF(SER_hh_fec!N15=0,0,11630*1000*SER_hh_fec!N15/SER_hh_num!N15)</f>
        <v>1394.6716854966032</v>
      </c>
      <c r="O15" s="134">
        <f>IF(SER_hh_fec!O15=0,0,11630*1000*SER_hh_fec!O15/SER_hh_num!O15)</f>
        <v>1530.6341035176129</v>
      </c>
      <c r="P15" s="134">
        <f>IF(SER_hh_fec!P15=0,0,11630*1000*SER_hh_fec!P15/SER_hh_num!P15)</f>
        <v>1135.9326768000324</v>
      </c>
      <c r="Q15" s="134">
        <f>IF(SER_hh_fec!Q15=0,0,11630*1000*SER_hh_fec!Q15/SER_hh_num!Q15)</f>
        <v>1319.1739202087974</v>
      </c>
      <c r="R15" s="134">
        <f>IF(SER_hh_fec!R15=0,0,11630*1000*SER_hh_fec!R15/SER_hh_num!R15)</f>
        <v>1334.0638349527483</v>
      </c>
      <c r="S15" s="134">
        <f>IF(SER_hh_fec!S15=0,0,11630*1000*SER_hh_fec!S15/SER_hh_num!S15)</f>
        <v>1336.1382820660453</v>
      </c>
      <c r="T15" s="134">
        <f>IF(SER_hh_fec!T15=0,0,11630*1000*SER_hh_fec!T15/SER_hh_num!T15)</f>
        <v>1357.5896989267062</v>
      </c>
      <c r="U15" s="134">
        <f>IF(SER_hh_fec!U15=0,0,11630*1000*SER_hh_fec!U15/SER_hh_num!U15)</f>
        <v>1287.7920365518373</v>
      </c>
      <c r="V15" s="134">
        <f>IF(SER_hh_fec!V15=0,0,11630*1000*SER_hh_fec!V15/SER_hh_num!V15)</f>
        <v>1273.7365801209032</v>
      </c>
      <c r="W15" s="134">
        <f>IF(SER_hh_fec!W15=0,0,11630*1000*SER_hh_fec!W15/SER_hh_num!W15)</f>
        <v>1396.3098622677758</v>
      </c>
      <c r="X15" s="134">
        <f>IF(SER_hh_fec!X15=0,0,11630*1000*SER_hh_fec!X15/SER_hh_num!X15)</f>
        <v>1098.8692949434885</v>
      </c>
      <c r="Y15" s="134">
        <f>IF(SER_hh_fec!Y15=0,0,11630*1000*SER_hh_fec!Y15/SER_hh_num!Y15)</f>
        <v>1053.240818406498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13496.808017377423</v>
      </c>
      <c r="C16" s="130">
        <f>IF(SER_hh_fec!C16=0,0,11630*1000*SER_hh_fec!C16/SER_hh_num!C16)</f>
        <v>12837.98947442345</v>
      </c>
      <c r="D16" s="130">
        <f>IF(SER_hh_fec!D16=0,0,11630*1000*SER_hh_fec!D16/SER_hh_num!D16)</f>
        <v>11798.904291447032</v>
      </c>
      <c r="E16" s="130">
        <f>IF(SER_hh_fec!E16=0,0,11630*1000*SER_hh_fec!E16/SER_hh_num!E16)</f>
        <v>14310.508962672542</v>
      </c>
      <c r="F16" s="130">
        <f>IF(SER_hh_fec!F16=0,0,11630*1000*SER_hh_fec!F16/SER_hh_num!F16)</f>
        <v>10527.778470314086</v>
      </c>
      <c r="G16" s="130">
        <f>IF(SER_hh_fec!G16=0,0,11630*1000*SER_hh_fec!G16/SER_hh_num!G16)</f>
        <v>10225.578355557285</v>
      </c>
      <c r="H16" s="130">
        <f>IF(SER_hh_fec!H16=0,0,11630*1000*SER_hh_fec!H16/SER_hh_num!H16)</f>
        <v>12262.436288377199</v>
      </c>
      <c r="I16" s="130">
        <f>IF(SER_hh_fec!I16=0,0,11630*1000*SER_hh_fec!I16/SER_hh_num!I16)</f>
        <v>9185.0336362587423</v>
      </c>
      <c r="J16" s="130">
        <f>IF(SER_hh_fec!J16=0,0,11630*1000*SER_hh_fec!J16/SER_hh_num!J16)</f>
        <v>8938.0560076628353</v>
      </c>
      <c r="K16" s="130">
        <f>IF(SER_hh_fec!K16=0,0,11630*1000*SER_hh_fec!K16/SER_hh_num!K16)</f>
        <v>8855.7647589419612</v>
      </c>
      <c r="L16" s="130">
        <f>IF(SER_hh_fec!L16=0,0,11630*1000*SER_hh_fec!L16/SER_hh_num!L16)</f>
        <v>9154.6160643311632</v>
      </c>
      <c r="M16" s="130">
        <f>IF(SER_hh_fec!M16=0,0,11630*1000*SER_hh_fec!M16/SER_hh_num!M16)</f>
        <v>8325.2724281441915</v>
      </c>
      <c r="N16" s="130">
        <f>IF(SER_hh_fec!N16=0,0,11630*1000*SER_hh_fec!N16/SER_hh_num!N16)</f>
        <v>8182.9147707986012</v>
      </c>
      <c r="O16" s="130">
        <f>IF(SER_hh_fec!O16=0,0,11630*1000*SER_hh_fec!O16/SER_hh_num!O16)</f>
        <v>8029.1537388754832</v>
      </c>
      <c r="P16" s="130">
        <f>IF(SER_hh_fec!P16=0,0,11630*1000*SER_hh_fec!P16/SER_hh_num!P16)</f>
        <v>7519.2228552823954</v>
      </c>
      <c r="Q16" s="130">
        <f>IF(SER_hh_fec!Q16=0,0,11630*1000*SER_hh_fec!Q16/SER_hh_num!Q16)</f>
        <v>8220.3741507367413</v>
      </c>
      <c r="R16" s="130">
        <f>IF(SER_hh_fec!R16=0,0,11630*1000*SER_hh_fec!R16/SER_hh_num!R16)</f>
        <v>7702.387686480809</v>
      </c>
      <c r="S16" s="130">
        <f>IF(SER_hh_fec!S16=0,0,11630*1000*SER_hh_fec!S16/SER_hh_num!S16)</f>
        <v>7092.0730071556263</v>
      </c>
      <c r="T16" s="130">
        <f>IF(SER_hh_fec!T16=0,0,11630*1000*SER_hh_fec!T16/SER_hh_num!T16)</f>
        <v>7895.8860354824092</v>
      </c>
      <c r="U16" s="130">
        <f>IF(SER_hh_fec!U16=0,0,11630*1000*SER_hh_fec!U16/SER_hh_num!U16)</f>
        <v>7445.3680571659725</v>
      </c>
      <c r="V16" s="130">
        <f>IF(SER_hh_fec!V16=0,0,11630*1000*SER_hh_fec!V16/SER_hh_num!V16)</f>
        <v>7775.1864357038448</v>
      </c>
      <c r="W16" s="130">
        <f>IF(SER_hh_fec!W16=0,0,11630*1000*SER_hh_fec!W16/SER_hh_num!W16)</f>
        <v>6231.1216555335313</v>
      </c>
      <c r="X16" s="130">
        <f>IF(SER_hh_fec!X16=0,0,11630*1000*SER_hh_fec!X16/SER_hh_num!X16)</f>
        <v>6962.4268006512993</v>
      </c>
      <c r="Y16" s="130">
        <f>IF(SER_hh_fec!Y16=0,0,11630*1000*SER_hh_fec!Y16/SER_hh_num!Y16)</f>
        <v>6311.6826475367352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23814.810450503814</v>
      </c>
      <c r="C17" s="132">
        <f>IF(SER_hh_fec!C17=0,0,11630*1000*SER_hh_fec!C17/SER_hh_num!C17)</f>
        <v>23799.213741562235</v>
      </c>
      <c r="D17" s="132">
        <f>IF(SER_hh_fec!D17=0,0,11630*1000*SER_hh_fec!D17/SER_hh_num!D17)</f>
        <v>22989.03886901222</v>
      </c>
      <c r="E17" s="132">
        <f>IF(SER_hh_fec!E17=0,0,11630*1000*SER_hh_fec!E17/SER_hh_num!E17)</f>
        <v>29167.031700605603</v>
      </c>
      <c r="F17" s="132">
        <f>IF(SER_hh_fec!F17=0,0,11630*1000*SER_hh_fec!F17/SER_hh_num!F17)</f>
        <v>21780.059673274693</v>
      </c>
      <c r="G17" s="132">
        <f>IF(SER_hh_fec!G17=0,0,11630*1000*SER_hh_fec!G17/SER_hh_num!G17)</f>
        <v>21803.550130420495</v>
      </c>
      <c r="H17" s="132">
        <f>IF(SER_hh_fec!H17=0,0,11630*1000*SER_hh_fec!H17/SER_hh_num!H17)</f>
        <v>27093.267314954919</v>
      </c>
      <c r="I17" s="132">
        <f>IF(SER_hh_fec!I17=0,0,11630*1000*SER_hh_fec!I17/SER_hh_num!I17)</f>
        <v>20768.648790870262</v>
      </c>
      <c r="J17" s="132">
        <f>IF(SER_hh_fec!J17=0,0,11630*1000*SER_hh_fec!J17/SER_hh_num!J17)</f>
        <v>20701.66176324751</v>
      </c>
      <c r="K17" s="132">
        <f>IF(SER_hh_fec!K17=0,0,11630*1000*SER_hh_fec!K17/SER_hh_num!K17)</f>
        <v>20834.255731342077</v>
      </c>
      <c r="L17" s="132">
        <f>IF(SER_hh_fec!L17=0,0,11630*1000*SER_hh_fec!L17/SER_hh_num!L17)</f>
        <v>22077.490095521069</v>
      </c>
      <c r="M17" s="132">
        <f>IF(SER_hh_fec!M17=0,0,11630*1000*SER_hh_fec!M17/SER_hh_num!M17)</f>
        <v>20558.598096005549</v>
      </c>
      <c r="N17" s="132">
        <f>IF(SER_hh_fec!N17=0,0,11630*1000*SER_hh_fec!N17/SER_hh_num!N17)</f>
        <v>20660.316811248602</v>
      </c>
      <c r="O17" s="132">
        <f>IF(SER_hh_fec!O17=0,0,11630*1000*SER_hh_fec!O17/SER_hh_num!O17)</f>
        <v>20649.127408221593</v>
      </c>
      <c r="P17" s="132">
        <f>IF(SER_hh_fec!P17=0,0,11630*1000*SER_hh_fec!P17/SER_hh_num!P17)</f>
        <v>19596.879598937809</v>
      </c>
      <c r="Q17" s="132">
        <f>IF(SER_hh_fec!Q17=0,0,11630*1000*SER_hh_fec!Q17/SER_hh_num!Q17)</f>
        <v>21729.249783500207</v>
      </c>
      <c r="R17" s="132">
        <f>IF(SER_hh_fec!R17=0,0,11630*1000*SER_hh_fec!R17/SER_hh_num!R17)</f>
        <v>20850.882529165265</v>
      </c>
      <c r="S17" s="132">
        <f>IF(SER_hh_fec!S17=0,0,11630*1000*SER_hh_fec!S17/SER_hh_num!S17)</f>
        <v>19634.681808359899</v>
      </c>
      <c r="T17" s="132">
        <f>IF(SER_hh_fec!T17=0,0,11630*1000*SER_hh_fec!T17/SER_hh_num!T17)</f>
        <v>22162.314180641399</v>
      </c>
      <c r="U17" s="132">
        <f>IF(SER_hh_fec!U17=0,0,11630*1000*SER_hh_fec!U17/SER_hh_num!U17)</f>
        <v>21103.112290912075</v>
      </c>
      <c r="V17" s="132">
        <f>IF(SER_hh_fec!V17=0,0,11630*1000*SER_hh_fec!V17/SER_hh_num!V17)</f>
        <v>23580.444682720052</v>
      </c>
      <c r="W17" s="132">
        <f>IF(SER_hh_fec!W17=0,0,11630*1000*SER_hh_fec!W17/SER_hh_num!W17)</f>
        <v>16963.797261088377</v>
      </c>
      <c r="X17" s="132">
        <f>IF(SER_hh_fec!X17=0,0,11630*1000*SER_hh_fec!X17/SER_hh_num!X17)</f>
        <v>20287.620794218084</v>
      </c>
      <c r="Y17" s="132">
        <f>IF(SER_hh_fec!Y17=0,0,11630*1000*SER_hh_fec!Y17/SER_hh_num!Y17)</f>
        <v>18392.404017178436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13487.640109747126</v>
      </c>
      <c r="C18" s="132">
        <f>IF(SER_hh_fec!C18=0,0,11630*1000*SER_hh_fec!C18/SER_hh_num!C18)</f>
        <v>12827.684471342243</v>
      </c>
      <c r="D18" s="132">
        <f>IF(SER_hh_fec!D18=0,0,11630*1000*SER_hh_fec!D18/SER_hh_num!D18)</f>
        <v>11787.443129611833</v>
      </c>
      <c r="E18" s="132">
        <f>IF(SER_hh_fec!E18=0,0,11630*1000*SER_hh_fec!E18/SER_hh_num!E18)</f>
        <v>14298.220487905415</v>
      </c>
      <c r="F18" s="132">
        <f>IF(SER_hh_fec!F18=0,0,11630*1000*SER_hh_fec!F18/SER_hh_num!F18)</f>
        <v>10513.625310839807</v>
      </c>
      <c r="G18" s="132">
        <f>IF(SER_hh_fec!G18=0,0,11630*1000*SER_hh_fec!G18/SER_hh_num!G18)</f>
        <v>10208.89623115932</v>
      </c>
      <c r="H18" s="132">
        <f>IF(SER_hh_fec!H18=0,0,11630*1000*SER_hh_fec!H18/SER_hh_num!H18)</f>
        <v>12242.512629230063</v>
      </c>
      <c r="I18" s="132">
        <f>IF(SER_hh_fec!I18=0,0,11630*1000*SER_hh_fec!I18/SER_hh_num!I18)</f>
        <v>9164.8914516811183</v>
      </c>
      <c r="J18" s="132">
        <f>IF(SER_hh_fec!J18=0,0,11630*1000*SER_hh_fec!J18/SER_hh_num!J18)</f>
        <v>8913.7684142794042</v>
      </c>
      <c r="K18" s="132">
        <f>IF(SER_hh_fec!K18=0,0,11630*1000*SER_hh_fec!K18/SER_hh_num!K18)</f>
        <v>8828.2593373030213</v>
      </c>
      <c r="L18" s="132">
        <f>IF(SER_hh_fec!L18=0,0,11630*1000*SER_hh_fec!L18/SER_hh_num!L18)</f>
        <v>9125.7585836110884</v>
      </c>
      <c r="M18" s="132">
        <f>IF(SER_hh_fec!M18=0,0,11630*1000*SER_hh_fec!M18/SER_hh_num!M18)</f>
        <v>8296.0011662428151</v>
      </c>
      <c r="N18" s="132">
        <f>IF(SER_hh_fec!N18=0,0,11630*1000*SER_hh_fec!N18/SER_hh_num!N18)</f>
        <v>8150.9674692366762</v>
      </c>
      <c r="O18" s="132">
        <f>IF(SER_hh_fec!O18=0,0,11630*1000*SER_hh_fec!O18/SER_hh_num!O18)</f>
        <v>7992.1790397713221</v>
      </c>
      <c r="P18" s="132">
        <f>IF(SER_hh_fec!P18=0,0,11630*1000*SER_hh_fec!P18/SER_hh_num!P18)</f>
        <v>7474.5791841426644</v>
      </c>
      <c r="Q18" s="132">
        <f>IF(SER_hh_fec!Q18=0,0,11630*1000*SER_hh_fec!Q18/SER_hh_num!Q18)</f>
        <v>8154.2017606398549</v>
      </c>
      <c r="R18" s="132">
        <f>IF(SER_hh_fec!R18=0,0,11630*1000*SER_hh_fec!R18/SER_hh_num!R18)</f>
        <v>7628.6283450746741</v>
      </c>
      <c r="S18" s="132">
        <f>IF(SER_hh_fec!S18=0,0,11630*1000*SER_hh_fec!S18/SER_hh_num!S18)</f>
        <v>7018.0948820632912</v>
      </c>
      <c r="T18" s="132">
        <f>IF(SER_hh_fec!T18=0,0,11630*1000*SER_hh_fec!T18/SER_hh_num!T18)</f>
        <v>7801.0940553135297</v>
      </c>
      <c r="U18" s="132">
        <f>IF(SER_hh_fec!U18=0,0,11630*1000*SER_hh_fec!U18/SER_hh_num!U18)</f>
        <v>7341.2793279770149</v>
      </c>
      <c r="V18" s="132">
        <f>IF(SER_hh_fec!V18=0,0,11630*1000*SER_hh_fec!V18/SER_hh_num!V18)</f>
        <v>7648.9448977767051</v>
      </c>
      <c r="W18" s="132">
        <f>IF(SER_hh_fec!W18=0,0,11630*1000*SER_hh_fec!W18/SER_hh_num!W18)</f>
        <v>6143.8892343634488</v>
      </c>
      <c r="X18" s="132">
        <f>IF(SER_hh_fec!X18=0,0,11630*1000*SER_hh_fec!X18/SER_hh_num!X18)</f>
        <v>6853.972844304295</v>
      </c>
      <c r="Y18" s="132">
        <f>IF(SER_hh_fec!Y18=0,0,11630*1000*SER_hh_fec!Y18/SER_hh_num!Y18)</f>
        <v>6212.416891322322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21633.537083889256</v>
      </c>
      <c r="C19" s="130">
        <f>IF(SER_hh_fec!C19=0,0,11630*1000*SER_hh_fec!C19/SER_hh_num!C19)</f>
        <v>21572.321435710932</v>
      </c>
      <c r="D19" s="130">
        <f>IF(SER_hh_fec!D19=0,0,11630*1000*SER_hh_fec!D19/SER_hh_num!D19)</f>
        <v>21825.480078629746</v>
      </c>
      <c r="E19" s="130">
        <f>IF(SER_hh_fec!E19=0,0,11630*1000*SER_hh_fec!E19/SER_hh_num!E19)</f>
        <v>22193.247246258987</v>
      </c>
      <c r="F19" s="130">
        <f>IF(SER_hh_fec!F19=0,0,11630*1000*SER_hh_fec!F19/SER_hh_num!F19)</f>
        <v>20802.945609629885</v>
      </c>
      <c r="G19" s="130">
        <f>IF(SER_hh_fec!G19=0,0,11630*1000*SER_hh_fec!G19/SER_hh_num!G19)</f>
        <v>20382.965001993172</v>
      </c>
      <c r="H19" s="130">
        <f>IF(SER_hh_fec!H19=0,0,11630*1000*SER_hh_fec!H19/SER_hh_num!H19)</f>
        <v>20274.923539809086</v>
      </c>
      <c r="I19" s="130">
        <f>IF(SER_hh_fec!I19=0,0,11630*1000*SER_hh_fec!I19/SER_hh_num!I19)</f>
        <v>19990.438542660824</v>
      </c>
      <c r="J19" s="130">
        <f>IF(SER_hh_fec!J19=0,0,11630*1000*SER_hh_fec!J19/SER_hh_num!J19)</f>
        <v>19768.623393742553</v>
      </c>
      <c r="K19" s="130">
        <f>IF(SER_hh_fec!K19=0,0,11630*1000*SER_hh_fec!K19/SER_hh_num!K19)</f>
        <v>19988.01260316763</v>
      </c>
      <c r="L19" s="130">
        <f>IF(SER_hh_fec!L19=0,0,11630*1000*SER_hh_fec!L19/SER_hh_num!L19)</f>
        <v>19838.959684873385</v>
      </c>
      <c r="M19" s="130">
        <f>IF(SER_hh_fec!M19=0,0,11630*1000*SER_hh_fec!M19/SER_hh_num!M19)</f>
        <v>19892.12909688296</v>
      </c>
      <c r="N19" s="130">
        <f>IF(SER_hh_fec!N19=0,0,11630*1000*SER_hh_fec!N19/SER_hh_num!N19)</f>
        <v>20096.278506828821</v>
      </c>
      <c r="O19" s="130">
        <f>IF(SER_hh_fec!O19=0,0,11630*1000*SER_hh_fec!O19/SER_hh_num!O19)</f>
        <v>20265.601692615179</v>
      </c>
      <c r="P19" s="130">
        <f>IF(SER_hh_fec!P19=0,0,11630*1000*SER_hh_fec!P19/SER_hh_num!P19)</f>
        <v>20253.957898265933</v>
      </c>
      <c r="Q19" s="130">
        <f>IF(SER_hh_fec!Q19=0,0,11630*1000*SER_hh_fec!Q19/SER_hh_num!Q19)</f>
        <v>20128.631876037241</v>
      </c>
      <c r="R19" s="130">
        <f>IF(SER_hh_fec!R19=0,0,11630*1000*SER_hh_fec!R19/SER_hh_num!R19)</f>
        <v>20076.028267746889</v>
      </c>
      <c r="S19" s="130">
        <f>IF(SER_hh_fec!S19=0,0,11630*1000*SER_hh_fec!S19/SER_hh_num!S19)</f>
        <v>19910.260397664071</v>
      </c>
      <c r="T19" s="130">
        <f>IF(SER_hh_fec!T19=0,0,11630*1000*SER_hh_fec!T19/SER_hh_num!T19)</f>
        <v>19525.314239518622</v>
      </c>
      <c r="U19" s="130">
        <f>IF(SER_hh_fec!U19=0,0,11630*1000*SER_hh_fec!U19/SER_hh_num!U19)</f>
        <v>18193.550110888023</v>
      </c>
      <c r="V19" s="130">
        <f>IF(SER_hh_fec!V19=0,0,11630*1000*SER_hh_fec!V19/SER_hh_num!V19)</f>
        <v>17029.271109448455</v>
      </c>
      <c r="W19" s="130">
        <f>IF(SER_hh_fec!W19=0,0,11630*1000*SER_hh_fec!W19/SER_hh_num!W19)</f>
        <v>17698.142646597651</v>
      </c>
      <c r="X19" s="130">
        <f>IF(SER_hh_fec!X19=0,0,11630*1000*SER_hh_fec!X19/SER_hh_num!X19)</f>
        <v>17592.685375212746</v>
      </c>
      <c r="Y19" s="130">
        <f>IF(SER_hh_fec!Y19=0,0,11630*1000*SER_hh_fec!Y19/SER_hh_num!Y19)</f>
        <v>17559.482312696571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21495.09789121326</v>
      </c>
      <c r="C21" s="132">
        <f>IF(SER_hh_fec!C21=0,0,11630*1000*SER_hh_fec!C21/SER_hh_num!C21)</f>
        <v>21872.086389518652</v>
      </c>
      <c r="D21" s="132">
        <f>IF(SER_hh_fec!D21=0,0,11630*1000*SER_hh_fec!D21/SER_hh_num!D21)</f>
        <v>22253.954071092274</v>
      </c>
      <c r="E21" s="132">
        <f>IF(SER_hh_fec!E21=0,0,11630*1000*SER_hh_fec!E21/SER_hh_num!E21)</f>
        <v>23417.719074101537</v>
      </c>
      <c r="F21" s="132">
        <f>IF(SER_hh_fec!F21=0,0,11630*1000*SER_hh_fec!F21/SER_hh_num!F21)</f>
        <v>25679.914060657731</v>
      </c>
      <c r="G21" s="132">
        <f>IF(SER_hh_fec!G21=0,0,11630*1000*SER_hh_fec!G21/SER_hh_num!G21)</f>
        <v>16303.285500772054</v>
      </c>
      <c r="H21" s="132">
        <f>IF(SER_hh_fec!H21=0,0,11630*1000*SER_hh_fec!H21/SER_hh_num!H21)</f>
        <v>19769.613025325332</v>
      </c>
      <c r="I21" s="132">
        <f>IF(SER_hh_fec!I21=0,0,11630*1000*SER_hh_fec!I21/SER_hh_num!I21)</f>
        <v>21587.350954135462</v>
      </c>
      <c r="J21" s="132">
        <f>IF(SER_hh_fec!J21=0,0,11630*1000*SER_hh_fec!J21/SER_hh_num!J21)</f>
        <v>19597.170151737442</v>
      </c>
      <c r="K21" s="132">
        <f>IF(SER_hh_fec!K21=0,0,11630*1000*SER_hh_fec!K21/SER_hh_num!K21)</f>
        <v>20707.020176794824</v>
      </c>
      <c r="L21" s="132">
        <f>IF(SER_hh_fec!L21=0,0,11630*1000*SER_hh_fec!L21/SER_hh_num!L21)</f>
        <v>19571.187503219007</v>
      </c>
      <c r="M21" s="132">
        <f>IF(SER_hh_fec!M21=0,0,11630*1000*SER_hh_fec!M21/SER_hh_num!M21)</f>
        <v>20531.960855957499</v>
      </c>
      <c r="N21" s="132">
        <f>IF(SER_hh_fec!N21=0,0,11630*1000*SER_hh_fec!N21/SER_hh_num!N21)</f>
        <v>21827.319844339116</v>
      </c>
      <c r="O21" s="132">
        <f>IF(SER_hh_fec!O21=0,0,11630*1000*SER_hh_fec!O21/SER_hh_num!O21)</f>
        <v>21276.24559781381</v>
      </c>
      <c r="P21" s="132">
        <f>IF(SER_hh_fec!P21=0,0,11630*1000*SER_hh_fec!P21/SER_hh_num!P21)</f>
        <v>20111.923628712382</v>
      </c>
      <c r="Q21" s="132">
        <f>IF(SER_hh_fec!Q21=0,0,11630*1000*SER_hh_fec!Q21/SER_hh_num!Q21)</f>
        <v>21019.524062893284</v>
      </c>
      <c r="R21" s="132">
        <f>IF(SER_hh_fec!R21=0,0,11630*1000*SER_hh_fec!R21/SER_hh_num!R21)</f>
        <v>20454.102929114455</v>
      </c>
      <c r="S21" s="132">
        <f>IF(SER_hh_fec!S21=0,0,11630*1000*SER_hh_fec!S21/SER_hh_num!S21)</f>
        <v>20510.449597041988</v>
      </c>
      <c r="T21" s="132">
        <f>IF(SER_hh_fec!T21=0,0,11630*1000*SER_hh_fec!T21/SER_hh_num!T21)</f>
        <v>20427.874518316228</v>
      </c>
      <c r="U21" s="132">
        <f>IF(SER_hh_fec!U21=0,0,11630*1000*SER_hh_fec!U21/SER_hh_num!U21)</f>
        <v>19921.867587625682</v>
      </c>
      <c r="V21" s="132">
        <f>IF(SER_hh_fec!V21=0,0,11630*1000*SER_hh_fec!V21/SER_hh_num!V21)</f>
        <v>16169.068793718257</v>
      </c>
      <c r="W21" s="132">
        <f>IF(SER_hh_fec!W21=0,0,11630*1000*SER_hh_fec!W21/SER_hh_num!W21)</f>
        <v>16475.965616977304</v>
      </c>
      <c r="X21" s="132">
        <f>IF(SER_hh_fec!X21=0,0,11630*1000*SER_hh_fec!X21/SER_hh_num!X21)</f>
        <v>22648.622630497695</v>
      </c>
      <c r="Y21" s="132">
        <f>IF(SER_hh_fec!Y21=0,0,11630*1000*SER_hh_fec!Y21/SER_hh_num!Y21)</f>
        <v>17640.105260381286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23032.940137354981</v>
      </c>
      <c r="C22" s="132">
        <f>IF(SER_hh_fec!C22=0,0,11630*1000*SER_hh_fec!C22/SER_hh_num!C22)</f>
        <v>23079.463638263587</v>
      </c>
      <c r="D22" s="132">
        <f>IF(SER_hh_fec!D22=0,0,11630*1000*SER_hh_fec!D22/SER_hh_num!D22)</f>
        <v>23367.259002410039</v>
      </c>
      <c r="E22" s="132">
        <f>IF(SER_hh_fec!E22=0,0,11630*1000*SER_hh_fec!E22/SER_hh_num!E22)</f>
        <v>23466.635934318336</v>
      </c>
      <c r="F22" s="132">
        <f>IF(SER_hh_fec!F22=0,0,11630*1000*SER_hh_fec!F22/SER_hh_num!F22)</f>
        <v>22880.788240436803</v>
      </c>
      <c r="G22" s="132">
        <f>IF(SER_hh_fec!G22=0,0,11630*1000*SER_hh_fec!G22/SER_hh_num!G22)</f>
        <v>22451.655539930704</v>
      </c>
      <c r="H22" s="132">
        <f>IF(SER_hh_fec!H22=0,0,11630*1000*SER_hh_fec!H22/SER_hh_num!H22)</f>
        <v>22327.370785458868</v>
      </c>
      <c r="I22" s="132">
        <f>IF(SER_hh_fec!I22=0,0,11630*1000*SER_hh_fec!I22/SER_hh_num!I22)</f>
        <v>22343.56152563978</v>
      </c>
      <c r="J22" s="132">
        <f>IF(SER_hh_fec!J22=0,0,11630*1000*SER_hh_fec!J22/SER_hh_num!J22)</f>
        <v>21798.419310296169</v>
      </c>
      <c r="K22" s="132">
        <f>IF(SER_hh_fec!K22=0,0,11630*1000*SER_hh_fec!K22/SER_hh_num!K22)</f>
        <v>22105.431625956495</v>
      </c>
      <c r="L22" s="132">
        <f>IF(SER_hh_fec!L22=0,0,11630*1000*SER_hh_fec!L22/SER_hh_num!L22)</f>
        <v>22167.711950079265</v>
      </c>
      <c r="M22" s="132">
        <f>IF(SER_hh_fec!M22=0,0,11630*1000*SER_hh_fec!M22/SER_hh_num!M22)</f>
        <v>22464.511364103902</v>
      </c>
      <c r="N22" s="132">
        <f>IF(SER_hh_fec!N22=0,0,11630*1000*SER_hh_fec!N22/SER_hh_num!N22)</f>
        <v>22626.144608771468</v>
      </c>
      <c r="O22" s="132">
        <f>IF(SER_hh_fec!O22=0,0,11630*1000*SER_hh_fec!O22/SER_hh_num!O22)</f>
        <v>22642.793354693546</v>
      </c>
      <c r="P22" s="132">
        <f>IF(SER_hh_fec!P22=0,0,11630*1000*SER_hh_fec!P22/SER_hh_num!P22)</f>
        <v>22859.714456553724</v>
      </c>
      <c r="Q22" s="132">
        <f>IF(SER_hh_fec!Q22=0,0,11630*1000*SER_hh_fec!Q22/SER_hh_num!Q22)</f>
        <v>23033.963178603928</v>
      </c>
      <c r="R22" s="132">
        <f>IF(SER_hh_fec!R22=0,0,11630*1000*SER_hh_fec!R22/SER_hh_num!R22)</f>
        <v>22776.778589788679</v>
      </c>
      <c r="S22" s="132">
        <f>IF(SER_hh_fec!S22=0,0,11630*1000*SER_hh_fec!S22/SER_hh_num!S22)</f>
        <v>23085.368034965271</v>
      </c>
      <c r="T22" s="132">
        <f>IF(SER_hh_fec!T22=0,0,11630*1000*SER_hh_fec!T22/SER_hh_num!T22)</f>
        <v>23202.492731771883</v>
      </c>
      <c r="U22" s="132">
        <f>IF(SER_hh_fec!U22=0,0,11630*1000*SER_hh_fec!U22/SER_hh_num!U22)</f>
        <v>20014.333554229026</v>
      </c>
      <c r="V22" s="132">
        <f>IF(SER_hh_fec!V22=0,0,11630*1000*SER_hh_fec!V22/SER_hh_num!V22)</f>
        <v>18909.423102749395</v>
      </c>
      <c r="W22" s="132">
        <f>IF(SER_hh_fec!W22=0,0,11630*1000*SER_hh_fec!W22/SER_hh_num!W22)</f>
        <v>19435.171255716781</v>
      </c>
      <c r="X22" s="132">
        <f>IF(SER_hh_fec!X22=0,0,11630*1000*SER_hh_fec!X22/SER_hh_num!X22)</f>
        <v>20298.509340587672</v>
      </c>
      <c r="Y22" s="132">
        <f>IF(SER_hh_fec!Y22=0,0,11630*1000*SER_hh_fec!Y22/SER_hh_num!Y22)</f>
        <v>19901.721276537082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22456.432123264076</v>
      </c>
      <c r="C23" s="132">
        <f>IF(SER_hh_fec!C23=0,0,11630*1000*SER_hh_fec!C23/SER_hh_num!C23)</f>
        <v>22628.6336878484</v>
      </c>
      <c r="D23" s="132">
        <f>IF(SER_hh_fec!D23=0,0,11630*1000*SER_hh_fec!D23/SER_hh_num!D23)</f>
        <v>22387.976907247881</v>
      </c>
      <c r="E23" s="132">
        <f>IF(SER_hh_fec!E23=0,0,11630*1000*SER_hh_fec!E23/SER_hh_num!E23)</f>
        <v>22497.864415647622</v>
      </c>
      <c r="F23" s="132">
        <f>IF(SER_hh_fec!F23=0,0,11630*1000*SER_hh_fec!F23/SER_hh_num!F23)</f>
        <v>21689.965854573267</v>
      </c>
      <c r="G23" s="132">
        <f>IF(SER_hh_fec!G23=0,0,11630*1000*SER_hh_fec!G23/SER_hh_num!G23)</f>
        <v>21255.562680874733</v>
      </c>
      <c r="H23" s="132">
        <f>IF(SER_hh_fec!H23=0,0,11630*1000*SER_hh_fec!H23/SER_hh_num!H23)</f>
        <v>20775.153188014112</v>
      </c>
      <c r="I23" s="132">
        <f>IF(SER_hh_fec!I23=0,0,11630*1000*SER_hh_fec!I23/SER_hh_num!I23)</f>
        <v>20399.99996518753</v>
      </c>
      <c r="J23" s="132">
        <f>IF(SER_hh_fec!J23=0,0,11630*1000*SER_hh_fec!J23/SER_hh_num!J23)</f>
        <v>20193.566318841022</v>
      </c>
      <c r="K23" s="132">
        <f>IF(SER_hh_fec!K23=0,0,11630*1000*SER_hh_fec!K23/SER_hh_num!K23)</f>
        <v>20434.651711137209</v>
      </c>
      <c r="L23" s="132">
        <f>IF(SER_hh_fec!L23=0,0,11630*1000*SER_hh_fec!L23/SER_hh_num!L23)</f>
        <v>20230.635969654792</v>
      </c>
      <c r="M23" s="132">
        <f>IF(SER_hh_fec!M23=0,0,11630*1000*SER_hh_fec!M23/SER_hh_num!M23)</f>
        <v>20169.414415168823</v>
      </c>
      <c r="N23" s="132">
        <f>IF(SER_hh_fec!N23=0,0,11630*1000*SER_hh_fec!N23/SER_hh_num!N23)</f>
        <v>20463.252232594699</v>
      </c>
      <c r="O23" s="132">
        <f>IF(SER_hh_fec!O23=0,0,11630*1000*SER_hh_fec!O23/SER_hh_num!O23)</f>
        <v>20602.210415802096</v>
      </c>
      <c r="P23" s="132">
        <f>IF(SER_hh_fec!P23=0,0,11630*1000*SER_hh_fec!P23/SER_hh_num!P23)</f>
        <v>20435.411684737413</v>
      </c>
      <c r="Q23" s="132">
        <f>IF(SER_hh_fec!Q23=0,0,11630*1000*SER_hh_fec!Q23/SER_hh_num!Q23)</f>
        <v>20508.52941796881</v>
      </c>
      <c r="R23" s="132">
        <f>IF(SER_hh_fec!R23=0,0,11630*1000*SER_hh_fec!R23/SER_hh_num!R23)</f>
        <v>20323.71007783926</v>
      </c>
      <c r="S23" s="132">
        <f>IF(SER_hh_fec!S23=0,0,11630*1000*SER_hh_fec!S23/SER_hh_num!S23)</f>
        <v>20061.875918268099</v>
      </c>
      <c r="T23" s="132">
        <f>IF(SER_hh_fec!T23=0,0,11630*1000*SER_hh_fec!T23/SER_hh_num!T23)</f>
        <v>19409.479013636312</v>
      </c>
      <c r="U23" s="132">
        <f>IF(SER_hh_fec!U23=0,0,11630*1000*SER_hh_fec!U23/SER_hh_num!U23)</f>
        <v>18441.421524295238</v>
      </c>
      <c r="V23" s="132">
        <f>IF(SER_hh_fec!V23=0,0,11630*1000*SER_hh_fec!V23/SER_hh_num!V23)</f>
        <v>17583.07098360483</v>
      </c>
      <c r="W23" s="132">
        <f>IF(SER_hh_fec!W23=0,0,11630*1000*SER_hh_fec!W23/SER_hh_num!W23)</f>
        <v>19215.696524438619</v>
      </c>
      <c r="X23" s="132">
        <f>IF(SER_hh_fec!X23=0,0,11630*1000*SER_hh_fec!X23/SER_hh_num!X23)</f>
        <v>17515.518387213517</v>
      </c>
      <c r="Y23" s="132">
        <f>IF(SER_hh_fec!Y23=0,0,11630*1000*SER_hh_fec!Y23/SER_hh_num!Y23)</f>
        <v>17362.991002626961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15107.579127808705</v>
      </c>
      <c r="C25" s="132">
        <f>IF(SER_hh_fec!C25=0,0,11630*1000*SER_hh_fec!C25/SER_hh_num!C25)</f>
        <v>15075.019562181884</v>
      </c>
      <c r="D25" s="132">
        <f>IF(SER_hh_fec!D25=0,0,11630*1000*SER_hh_fec!D25/SER_hh_num!D25)</f>
        <v>15357.14412610852</v>
      </c>
      <c r="E25" s="132">
        <f>IF(SER_hh_fec!E25=0,0,11630*1000*SER_hh_fec!E25/SER_hh_num!E25)</f>
        <v>15281.786333285247</v>
      </c>
      <c r="F25" s="132">
        <f>IF(SER_hh_fec!F25=0,0,11630*1000*SER_hh_fec!F25/SER_hh_num!F25)</f>
        <v>14994.875223381154</v>
      </c>
      <c r="G25" s="132">
        <f>IF(SER_hh_fec!G25=0,0,11630*1000*SER_hh_fec!G25/SER_hh_num!G25)</f>
        <v>14831.972342852818</v>
      </c>
      <c r="H25" s="132">
        <f>IF(SER_hh_fec!H25=0,0,11630*1000*SER_hh_fec!H25/SER_hh_num!H25)</f>
        <v>14704.726129905628</v>
      </c>
      <c r="I25" s="132">
        <f>IF(SER_hh_fec!I25=0,0,11630*1000*SER_hh_fec!I25/SER_hh_num!I25)</f>
        <v>14512.715777854914</v>
      </c>
      <c r="J25" s="132">
        <f>IF(SER_hh_fec!J25=0,0,11630*1000*SER_hh_fec!J25/SER_hh_num!J25)</f>
        <v>14292.626495023998</v>
      </c>
      <c r="K25" s="132">
        <f>IF(SER_hh_fec!K25=0,0,11630*1000*SER_hh_fec!K25/SER_hh_num!K25)</f>
        <v>13966.901604191777</v>
      </c>
      <c r="L25" s="132">
        <f>IF(SER_hh_fec!L25=0,0,11630*1000*SER_hh_fec!L25/SER_hh_num!L25)</f>
        <v>15535.248080449761</v>
      </c>
      <c r="M25" s="132">
        <f>IF(SER_hh_fec!M25=0,0,11630*1000*SER_hh_fec!M25/SER_hh_num!M25)</f>
        <v>15187.860713744916</v>
      </c>
      <c r="N25" s="132">
        <f>IF(SER_hh_fec!N25=0,0,11630*1000*SER_hh_fec!N25/SER_hh_num!N25)</f>
        <v>15127.327330485592</v>
      </c>
      <c r="O25" s="132">
        <f>IF(SER_hh_fec!O25=0,0,11630*1000*SER_hh_fec!O25/SER_hh_num!O25)</f>
        <v>15722.96395938324</v>
      </c>
      <c r="P25" s="132">
        <f>IF(SER_hh_fec!P25=0,0,11630*1000*SER_hh_fec!P25/SER_hh_num!P25)</f>
        <v>14936.229080628544</v>
      </c>
      <c r="Q25" s="132">
        <f>IF(SER_hh_fec!Q25=0,0,11630*1000*SER_hh_fec!Q25/SER_hh_num!Q25)</f>
        <v>15718.502377837134</v>
      </c>
      <c r="R25" s="132">
        <f>IF(SER_hh_fec!R25=0,0,11630*1000*SER_hh_fec!R25/SER_hh_num!R25)</f>
        <v>15994.115568243804</v>
      </c>
      <c r="S25" s="132">
        <f>IF(SER_hh_fec!S25=0,0,11630*1000*SER_hh_fec!S25/SER_hh_num!S25)</f>
        <v>15853.810266828257</v>
      </c>
      <c r="T25" s="132">
        <f>IF(SER_hh_fec!T25=0,0,11630*1000*SER_hh_fec!T25/SER_hh_num!T25)</f>
        <v>15632.111607508752</v>
      </c>
      <c r="U25" s="132">
        <f>IF(SER_hh_fec!U25=0,0,11630*1000*SER_hh_fec!U25/SER_hh_num!U25)</f>
        <v>15251.873805740384</v>
      </c>
      <c r="V25" s="132">
        <f>IF(SER_hh_fec!V25=0,0,11630*1000*SER_hh_fec!V25/SER_hh_num!V25)</f>
        <v>13865.172106806622</v>
      </c>
      <c r="W25" s="132">
        <f>IF(SER_hh_fec!W25=0,0,11630*1000*SER_hh_fec!W25/SER_hh_num!W25)</f>
        <v>12910.658568162806</v>
      </c>
      <c r="X25" s="132">
        <f>IF(SER_hh_fec!X25=0,0,11630*1000*SER_hh_fec!X25/SER_hh_num!X25)</f>
        <v>16143.882763668262</v>
      </c>
      <c r="Y25" s="132">
        <f>IF(SER_hh_fec!Y25=0,0,11630*1000*SER_hh_fec!Y25/SER_hh_num!Y25)</f>
        <v>15795.39317807218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17633.563704338816</v>
      </c>
      <c r="C26" s="65">
        <f>IF(SER_hh_fec!C26=0,0,11630*1000*SER_hh_fec!C26/SER_hh_num!C26)</f>
        <v>17130.930704508512</v>
      </c>
      <c r="D26" s="65">
        <f>IF(SER_hh_fec!D26=0,0,11630*1000*SER_hh_fec!D26/SER_hh_num!D26)</f>
        <v>19242.369159907819</v>
      </c>
      <c r="E26" s="65">
        <f>IF(SER_hh_fec!E26=0,0,11630*1000*SER_hh_fec!E26/SER_hh_num!E26)</f>
        <v>20532.605595932</v>
      </c>
      <c r="F26" s="65">
        <f>IF(SER_hh_fec!F26=0,0,11630*1000*SER_hh_fec!F26/SER_hh_num!F26)</f>
        <v>16473.479347875746</v>
      </c>
      <c r="G26" s="65">
        <f>IF(SER_hh_fec!G26=0,0,11630*1000*SER_hh_fec!G26/SER_hh_num!G26)</f>
        <v>16996.360332592438</v>
      </c>
      <c r="H26" s="65">
        <f>IF(SER_hh_fec!H26=0,0,11630*1000*SER_hh_fec!H26/SER_hh_num!H26)</f>
        <v>17555.450811114366</v>
      </c>
      <c r="I26" s="65">
        <f>IF(SER_hh_fec!I26=0,0,11630*1000*SER_hh_fec!I26/SER_hh_num!I26)</f>
        <v>17198.905215364524</v>
      </c>
      <c r="J26" s="65">
        <f>IF(SER_hh_fec!J26=0,0,11630*1000*SER_hh_fec!J26/SER_hh_num!J26)</f>
        <v>17445.808177236351</v>
      </c>
      <c r="K26" s="65">
        <f>IF(SER_hh_fec!K26=0,0,11630*1000*SER_hh_fec!K26/SER_hh_num!K26)</f>
        <v>17513.812401021944</v>
      </c>
      <c r="L26" s="65">
        <f>IF(SER_hh_fec!L26=0,0,11630*1000*SER_hh_fec!L26/SER_hh_num!L26)</f>
        <v>17492.402412999432</v>
      </c>
      <c r="M26" s="65">
        <f>IF(SER_hh_fec!M26=0,0,11630*1000*SER_hh_fec!M26/SER_hh_num!M26)</f>
        <v>17663.323610321928</v>
      </c>
      <c r="N26" s="65">
        <f>IF(SER_hh_fec!N26=0,0,11630*1000*SER_hh_fec!N26/SER_hh_num!N26)</f>
        <v>17812.847005680414</v>
      </c>
      <c r="O26" s="65">
        <f>IF(SER_hh_fec!O26=0,0,11630*1000*SER_hh_fec!O26/SER_hh_num!O26)</f>
        <v>18208.000602295211</v>
      </c>
      <c r="P26" s="65">
        <f>IF(SER_hh_fec!P26=0,0,11630*1000*SER_hh_fec!P26/SER_hh_num!P26)</f>
        <v>18468.782776159616</v>
      </c>
      <c r="Q26" s="65">
        <f>IF(SER_hh_fec!Q26=0,0,11630*1000*SER_hh_fec!Q26/SER_hh_num!Q26)</f>
        <v>17809.144510851165</v>
      </c>
      <c r="R26" s="65">
        <f>IF(SER_hh_fec!R26=0,0,11630*1000*SER_hh_fec!R26/SER_hh_num!R26)</f>
        <v>18169.858749243107</v>
      </c>
      <c r="S26" s="65">
        <f>IF(SER_hh_fec!S26=0,0,11630*1000*SER_hh_fec!S26/SER_hh_num!S26)</f>
        <v>18003.841046316622</v>
      </c>
      <c r="T26" s="65">
        <f>IF(SER_hh_fec!T26=0,0,11630*1000*SER_hh_fec!T26/SER_hh_num!T26)</f>
        <v>17878.198506962515</v>
      </c>
      <c r="U26" s="65">
        <f>IF(SER_hh_fec!U26=0,0,11630*1000*SER_hh_fec!U26/SER_hh_num!U26)</f>
        <v>16889.05493273371</v>
      </c>
      <c r="V26" s="65">
        <f>IF(SER_hh_fec!V26=0,0,11630*1000*SER_hh_fec!V26/SER_hh_num!V26)</f>
        <v>15344.545105040994</v>
      </c>
      <c r="W26" s="65">
        <f>IF(SER_hh_fec!W26=0,0,11630*1000*SER_hh_fec!W26/SER_hh_num!W26)</f>
        <v>14881.498199436617</v>
      </c>
      <c r="X26" s="65">
        <f>IF(SER_hh_fec!X26=0,0,11630*1000*SER_hh_fec!X26/SER_hh_num!X26)</f>
        <v>16302.220839410384</v>
      </c>
      <c r="Y26" s="65">
        <f>IF(SER_hh_fec!Y26=0,0,11630*1000*SER_hh_fec!Y26/SER_hh_num!Y26)</f>
        <v>16813.551279587355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32.834385678726392</v>
      </c>
      <c r="C27" s="145">
        <f>IF(SER_hh_fec!C27=0,0,11630*1000*SER_hh_fec!C27/SER_hh_num!C19)</f>
        <v>9.8732521497910302</v>
      </c>
      <c r="D27" s="145">
        <f>IF(SER_hh_fec!D27=0,0,11630*1000*SER_hh_fec!D27/SER_hh_num!D19)</f>
        <v>10.772043500185232</v>
      </c>
      <c r="E27" s="145">
        <f>IF(SER_hh_fec!E27=0,0,11630*1000*SER_hh_fec!E27/SER_hh_num!E19)</f>
        <v>15.97878169075058</v>
      </c>
      <c r="F27" s="145">
        <f>IF(SER_hh_fec!F27=0,0,11630*1000*SER_hh_fec!F27/SER_hh_num!F19)</f>
        <v>16.89176459191987</v>
      </c>
      <c r="G27" s="145">
        <f>IF(SER_hh_fec!G27=0,0,11630*1000*SER_hh_fec!G27/SER_hh_num!G19)</f>
        <v>16.598320845586173</v>
      </c>
      <c r="H27" s="145">
        <f>IF(SER_hh_fec!H27=0,0,11630*1000*SER_hh_fec!H27/SER_hh_num!H19)</f>
        <v>19.990081929262086</v>
      </c>
      <c r="I27" s="145">
        <f>IF(SER_hh_fec!I27=0,0,11630*1000*SER_hh_fec!I27/SER_hh_num!I19)</f>
        <v>28.061463031605971</v>
      </c>
      <c r="J27" s="145">
        <f>IF(SER_hh_fec!J27=0,0,11630*1000*SER_hh_fec!J27/SER_hh_num!J19)</f>
        <v>37.255998662452832</v>
      </c>
      <c r="K27" s="145">
        <f>IF(SER_hh_fec!K27=0,0,11630*1000*SER_hh_fec!K27/SER_hh_num!K19)</f>
        <v>77.399383887543763</v>
      </c>
      <c r="L27" s="145">
        <f>IF(SER_hh_fec!L27=0,0,11630*1000*SER_hh_fec!L27/SER_hh_num!L19)</f>
        <v>39.334720828671365</v>
      </c>
      <c r="M27" s="145">
        <f>IF(SER_hh_fec!M27=0,0,11630*1000*SER_hh_fec!M27/SER_hh_num!M19)</f>
        <v>41.51940858638411</v>
      </c>
      <c r="N27" s="145">
        <f>IF(SER_hh_fec!N27=0,0,11630*1000*SER_hh_fec!N27/SER_hh_num!N19)</f>
        <v>41.08765393973313</v>
      </c>
      <c r="O27" s="145">
        <f>IF(SER_hh_fec!O27=0,0,11630*1000*SER_hh_fec!O27/SER_hh_num!O19)</f>
        <v>43.392378099391202</v>
      </c>
      <c r="P27" s="145">
        <f>IF(SER_hh_fec!P27=0,0,11630*1000*SER_hh_fec!P27/SER_hh_num!P19)</f>
        <v>48.355910937659786</v>
      </c>
      <c r="Q27" s="145">
        <f>IF(SER_hh_fec!Q27=0,0,11630*1000*SER_hh_fec!Q27/SER_hh_num!Q19)</f>
        <v>52.181408237827391</v>
      </c>
      <c r="R27" s="145">
        <f>IF(SER_hh_fec!R27=0,0,11630*1000*SER_hh_fec!R27/SER_hh_num!R19)</f>
        <v>63.948139995025905</v>
      </c>
      <c r="S27" s="145">
        <f>IF(SER_hh_fec!S27=0,0,11630*1000*SER_hh_fec!S27/SER_hh_num!S19)</f>
        <v>65.156110284859636</v>
      </c>
      <c r="T27" s="145">
        <f>IF(SER_hh_fec!T27=0,0,11630*1000*SER_hh_fec!T27/SER_hh_num!T19)</f>
        <v>71.99275926335244</v>
      </c>
      <c r="U27" s="145">
        <f>IF(SER_hh_fec!U27=0,0,11630*1000*SER_hh_fec!U27/SER_hh_num!U19)</f>
        <v>69.249931207604291</v>
      </c>
      <c r="V27" s="145">
        <f>IF(SER_hh_fec!V27=0,0,11630*1000*SER_hh_fec!V27/SER_hh_num!V19)</f>
        <v>72.683176917317695</v>
      </c>
      <c r="W27" s="145">
        <f>IF(SER_hh_fec!W27=0,0,11630*1000*SER_hh_fec!W27/SER_hh_num!W19)</f>
        <v>66.008584534437077</v>
      </c>
      <c r="X27" s="145">
        <f>IF(SER_hh_fec!X27=0,0,11630*1000*SER_hh_fec!X27/SER_hh_num!X19)</f>
        <v>71.798816999415578</v>
      </c>
      <c r="Y27" s="145">
        <f>IF(SER_hh_fec!Y27=0,0,11630*1000*SER_hh_fec!Y27/SER_hh_num!Y19)</f>
        <v>65.046948921839046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7479.8212215934063</v>
      </c>
      <c r="C28" s="146">
        <f>IF(SER_hh_fec!C27=0,0,11630*1000*SER_hh_fec!C27/SER_hh_num!C27)</f>
        <v>7637.9267133941121</v>
      </c>
      <c r="D28" s="146">
        <f>IF(SER_hh_fec!D27=0,0,11630*1000*SER_hh_fec!D27/SER_hh_num!D27)</f>
        <v>7733.1484323906961</v>
      </c>
      <c r="E28" s="146">
        <f>IF(SER_hh_fec!E27=0,0,11630*1000*SER_hh_fec!E27/SER_hh_num!E27)</f>
        <v>7841.000402359623</v>
      </c>
      <c r="F28" s="146">
        <f>IF(SER_hh_fec!F27=0,0,11630*1000*SER_hh_fec!F27/SER_hh_num!F27)</f>
        <v>7708.5380895677181</v>
      </c>
      <c r="G28" s="146">
        <f>IF(SER_hh_fec!G27=0,0,11630*1000*SER_hh_fec!G27/SER_hh_num!G27)</f>
        <v>7523.5239996120299</v>
      </c>
      <c r="H28" s="146">
        <f>IF(SER_hh_fec!H27=0,0,11630*1000*SER_hh_fec!H27/SER_hh_num!H27)</f>
        <v>7489.9444660380295</v>
      </c>
      <c r="I28" s="146">
        <f>IF(SER_hh_fec!I27=0,0,11630*1000*SER_hh_fec!I27/SER_hh_num!I27)</f>
        <v>7149.2958208365872</v>
      </c>
      <c r="J28" s="146">
        <f>IF(SER_hh_fec!J27=0,0,11630*1000*SER_hh_fec!J27/SER_hh_num!J27)</f>
        <v>7644.7588629420579</v>
      </c>
      <c r="K28" s="146">
        <f>IF(SER_hh_fec!K27=0,0,11630*1000*SER_hh_fec!K27/SER_hh_num!K27)</f>
        <v>7639.3468777821781</v>
      </c>
      <c r="L28" s="146">
        <f>IF(SER_hh_fec!L27=0,0,11630*1000*SER_hh_fec!L27/SER_hh_num!L27)</f>
        <v>7644.0888855646408</v>
      </c>
      <c r="M28" s="146">
        <f>IF(SER_hh_fec!M27=0,0,11630*1000*SER_hh_fec!M27/SER_hh_num!M27)</f>
        <v>7968.1000647361352</v>
      </c>
      <c r="N28" s="146">
        <f>IF(SER_hh_fec!N27=0,0,11630*1000*SER_hh_fec!N27/SER_hh_num!N27)</f>
        <v>8141.3453659140687</v>
      </c>
      <c r="O28" s="146">
        <f>IF(SER_hh_fec!O27=0,0,11630*1000*SER_hh_fec!O27/SER_hh_num!O27)</f>
        <v>9274.2979850863976</v>
      </c>
      <c r="P28" s="146">
        <f>IF(SER_hh_fec!P27=0,0,11630*1000*SER_hh_fec!P27/SER_hh_num!P27)</f>
        <v>9659.1579011786689</v>
      </c>
      <c r="Q28" s="146">
        <f>IF(SER_hh_fec!Q27=0,0,11630*1000*SER_hh_fec!Q27/SER_hh_num!Q27)</f>
        <v>9319.1136199392913</v>
      </c>
      <c r="R28" s="146">
        <f>IF(SER_hh_fec!R27=0,0,11630*1000*SER_hh_fec!R27/SER_hh_num!R27)</f>
        <v>8408.7483454820649</v>
      </c>
      <c r="S28" s="146">
        <f>IF(SER_hh_fec!S27=0,0,11630*1000*SER_hh_fec!S27/SER_hh_num!S27)</f>
        <v>8146.3151161068481</v>
      </c>
      <c r="T28" s="146">
        <f>IF(SER_hh_fec!T27=0,0,11630*1000*SER_hh_fec!T27/SER_hh_num!T27)</f>
        <v>8715.5937153032592</v>
      </c>
      <c r="U28" s="146">
        <f>IF(SER_hh_fec!U27=0,0,11630*1000*SER_hh_fec!U27/SER_hh_num!U27)</f>
        <v>8290.1254081826937</v>
      </c>
      <c r="V28" s="146">
        <f>IF(SER_hh_fec!V27=0,0,11630*1000*SER_hh_fec!V27/SER_hh_num!V27)</f>
        <v>9480.4856186407833</v>
      </c>
      <c r="W28" s="146">
        <f>IF(SER_hh_fec!W27=0,0,11630*1000*SER_hh_fec!W27/SER_hh_num!W27)</f>
        <v>10496.51587967585</v>
      </c>
      <c r="X28" s="146">
        <f>IF(SER_hh_fec!X27=0,0,11630*1000*SER_hh_fec!X27/SER_hh_num!X27)</f>
        <v>9335.4877464561778</v>
      </c>
      <c r="Y28" s="146">
        <f>IF(SER_hh_fec!Y27=0,0,11630*1000*SER_hh_fec!Y27/SER_hh_num!Y27)</f>
        <v>8967.9836852862081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15272.864844620817</v>
      </c>
      <c r="C29" s="130">
        <f>IF(SER_hh_fec!C29=0,0,11630*1000*SER_hh_fec!C29/SER_hh_num!C29)</f>
        <v>15591.617570543127</v>
      </c>
      <c r="D29" s="130">
        <f>IF(SER_hh_fec!D29=0,0,11630*1000*SER_hh_fec!D29/SER_hh_num!D29)</f>
        <v>15908.003072208397</v>
      </c>
      <c r="E29" s="130">
        <f>IF(SER_hh_fec!E29=0,0,11630*1000*SER_hh_fec!E29/SER_hh_num!E29)</f>
        <v>16028.07099808499</v>
      </c>
      <c r="F29" s="130">
        <f>IF(SER_hh_fec!F29=0,0,11630*1000*SER_hh_fec!F29/SER_hh_num!F29)</f>
        <v>15117.804205753344</v>
      </c>
      <c r="G29" s="130">
        <f>IF(SER_hh_fec!G29=0,0,11630*1000*SER_hh_fec!G29/SER_hh_num!G29)</f>
        <v>14971.803436939306</v>
      </c>
      <c r="H29" s="130">
        <f>IF(SER_hh_fec!H29=0,0,11630*1000*SER_hh_fec!H29/SER_hh_num!H29)</f>
        <v>14985.77035090193</v>
      </c>
      <c r="I29" s="130">
        <f>IF(SER_hh_fec!I29=0,0,11630*1000*SER_hh_fec!I29/SER_hh_num!I29)</f>
        <v>15291.694468770491</v>
      </c>
      <c r="J29" s="130">
        <f>IF(SER_hh_fec!J29=0,0,11630*1000*SER_hh_fec!J29/SER_hh_num!J29)</f>
        <v>15463.75661223231</v>
      </c>
      <c r="K29" s="130">
        <f>IF(SER_hh_fec!K29=0,0,11630*1000*SER_hh_fec!K29/SER_hh_num!K29)</f>
        <v>15795.468197623997</v>
      </c>
      <c r="L29" s="130">
        <f>IF(SER_hh_fec!L29=0,0,11630*1000*SER_hh_fec!L29/SER_hh_num!L29)</f>
        <v>15804.231297646045</v>
      </c>
      <c r="M29" s="130">
        <f>IF(SER_hh_fec!M29=0,0,11630*1000*SER_hh_fec!M29/SER_hh_num!M29)</f>
        <v>15858.395714928669</v>
      </c>
      <c r="N29" s="130">
        <f>IF(SER_hh_fec!N29=0,0,11630*1000*SER_hh_fec!N29/SER_hh_num!N29)</f>
        <v>16338.265939415025</v>
      </c>
      <c r="O29" s="130">
        <f>IF(SER_hh_fec!O29=0,0,11630*1000*SER_hh_fec!O29/SER_hh_num!O29)</f>
        <v>16463.207610537145</v>
      </c>
      <c r="P29" s="130">
        <f>IF(SER_hh_fec!P29=0,0,11630*1000*SER_hh_fec!P29/SER_hh_num!P29)</f>
        <v>17036.043728227258</v>
      </c>
      <c r="Q29" s="130">
        <f>IF(SER_hh_fec!Q29=0,0,11630*1000*SER_hh_fec!Q29/SER_hh_num!Q29)</f>
        <v>17481.732203873893</v>
      </c>
      <c r="R29" s="130">
        <f>IF(SER_hh_fec!R29=0,0,11630*1000*SER_hh_fec!R29/SER_hh_num!R29)</f>
        <v>17609.863142942042</v>
      </c>
      <c r="S29" s="130">
        <f>IF(SER_hh_fec!S29=0,0,11630*1000*SER_hh_fec!S29/SER_hh_num!S29)</f>
        <v>17661.135667699236</v>
      </c>
      <c r="T29" s="130">
        <f>IF(SER_hh_fec!T29=0,0,11630*1000*SER_hh_fec!T29/SER_hh_num!T29)</f>
        <v>17649.49063959613</v>
      </c>
      <c r="U29" s="130">
        <f>IF(SER_hh_fec!U29=0,0,11630*1000*SER_hh_fec!U29/SER_hh_num!U29)</f>
        <v>17061.861411319318</v>
      </c>
      <c r="V29" s="130">
        <f>IF(SER_hh_fec!V29=0,0,11630*1000*SER_hh_fec!V29/SER_hh_num!V29)</f>
        <v>16185.882339019292</v>
      </c>
      <c r="W29" s="130">
        <f>IF(SER_hh_fec!W29=0,0,11630*1000*SER_hh_fec!W29/SER_hh_num!W29)</f>
        <v>16536.420672887602</v>
      </c>
      <c r="X29" s="130">
        <f>IF(SER_hh_fec!X29=0,0,11630*1000*SER_hh_fec!X29/SER_hh_num!X29)</f>
        <v>16649.183855335217</v>
      </c>
      <c r="Y29" s="130">
        <f>IF(SER_hh_fec!Y29=0,0,11630*1000*SER_hh_fec!Y29/SER_hh_num!Y29)</f>
        <v>16662.219103709696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16491.343142708865</v>
      </c>
      <c r="C30" s="132">
        <f>IF(SER_hh_fec!C30=0,0,11630*1000*SER_hh_fec!C30/SER_hh_num!C30)</f>
        <v>17745.240223812871</v>
      </c>
      <c r="D30" s="132">
        <f>IF(SER_hh_fec!D30=0,0,11630*1000*SER_hh_fec!D30/SER_hh_num!D30)</f>
        <v>16732.198754628585</v>
      </c>
      <c r="E30" s="132">
        <f>IF(SER_hh_fec!E30=0,0,11630*1000*SER_hh_fec!E30/SER_hh_num!E30)</f>
        <v>16284.903603922146</v>
      </c>
      <c r="F30" s="132">
        <f>IF(SER_hh_fec!F30=0,0,11630*1000*SER_hh_fec!F30/SER_hh_num!F30)</f>
        <v>22171.63116582777</v>
      </c>
      <c r="G30" s="132">
        <f>IF(SER_hh_fec!G30=0,0,11630*1000*SER_hh_fec!G30/SER_hh_num!G30)</f>
        <v>8443.5197027809882</v>
      </c>
      <c r="H30" s="132">
        <f>IF(SER_hh_fec!H30=0,0,11630*1000*SER_hh_fec!H30/SER_hh_num!H30)</f>
        <v>11928.335645105912</v>
      </c>
      <c r="I30" s="132">
        <f>IF(SER_hh_fec!I30=0,0,11630*1000*SER_hh_fec!I30/SER_hh_num!I30)</f>
        <v>15948.73234342736</v>
      </c>
      <c r="J30" s="132">
        <f>IF(SER_hh_fec!J30=0,0,11630*1000*SER_hh_fec!J30/SER_hh_num!J30)</f>
        <v>18714.423606637898</v>
      </c>
      <c r="K30" s="132">
        <f>IF(SER_hh_fec!K30=0,0,11630*1000*SER_hh_fec!K30/SER_hh_num!K30)</f>
        <v>18143.978003292283</v>
      </c>
      <c r="L30" s="132">
        <f>IF(SER_hh_fec!L30=0,0,11630*1000*SER_hh_fec!L30/SER_hh_num!L30)</f>
        <v>21757.091758663057</v>
      </c>
      <c r="M30" s="132">
        <f>IF(SER_hh_fec!M30=0,0,11630*1000*SER_hh_fec!M30/SER_hh_num!M30)</f>
        <v>16546.03288344363</v>
      </c>
      <c r="N30" s="132">
        <f>IF(SER_hh_fec!N30=0,0,11630*1000*SER_hh_fec!N30/SER_hh_num!N30)</f>
        <v>18652.469426709977</v>
      </c>
      <c r="O30" s="132">
        <f>IF(SER_hh_fec!O30=0,0,11630*1000*SER_hh_fec!O30/SER_hh_num!O30)</f>
        <v>20341.537885574795</v>
      </c>
      <c r="P30" s="132">
        <f>IF(SER_hh_fec!P30=0,0,11630*1000*SER_hh_fec!P30/SER_hh_num!P30)</f>
        <v>15860.257386427345</v>
      </c>
      <c r="Q30" s="132">
        <f>IF(SER_hh_fec!Q30=0,0,11630*1000*SER_hh_fec!Q30/SER_hh_num!Q30)</f>
        <v>25066.785048272985</v>
      </c>
      <c r="R30" s="132">
        <f>IF(SER_hh_fec!R30=0,0,11630*1000*SER_hh_fec!R30/SER_hh_num!R30)</f>
        <v>19144.4530053624</v>
      </c>
      <c r="S30" s="132">
        <f>IF(SER_hh_fec!S30=0,0,11630*1000*SER_hh_fec!S30/SER_hh_num!S30)</f>
        <v>21444.659551582998</v>
      </c>
      <c r="T30" s="132">
        <f>IF(SER_hh_fec!T30=0,0,11630*1000*SER_hh_fec!T30/SER_hh_num!T30)</f>
        <v>20007.12594310804</v>
      </c>
      <c r="U30" s="132">
        <f>IF(SER_hh_fec!U30=0,0,11630*1000*SER_hh_fec!U30/SER_hh_num!U30)</f>
        <v>19393.990584272349</v>
      </c>
      <c r="V30" s="132">
        <f>IF(SER_hh_fec!V30=0,0,11630*1000*SER_hh_fec!V30/SER_hh_num!V30)</f>
        <v>21545.183166431743</v>
      </c>
      <c r="W30" s="132">
        <f>IF(SER_hh_fec!W30=0,0,11630*1000*SER_hh_fec!W30/SER_hh_num!W30)</f>
        <v>23112.316237508796</v>
      </c>
      <c r="X30" s="132">
        <f>IF(SER_hh_fec!X30=0,0,11630*1000*SER_hh_fec!X30/SER_hh_num!X30)</f>
        <v>18148.014966958031</v>
      </c>
      <c r="Y30" s="132">
        <f>IF(SER_hh_fec!Y30=0,0,11630*1000*SER_hh_fec!Y30/SER_hh_num!Y30)</f>
        <v>20941.486736626401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16257.778456061178</v>
      </c>
      <c r="C31" s="132">
        <f>IF(SER_hh_fec!C31=0,0,11630*1000*SER_hh_fec!C31/SER_hh_num!C31)</f>
        <v>16427.802051921313</v>
      </c>
      <c r="D31" s="132">
        <f>IF(SER_hh_fec!D31=0,0,11630*1000*SER_hh_fec!D31/SER_hh_num!D31)</f>
        <v>16973.343997537719</v>
      </c>
      <c r="E31" s="132">
        <f>IF(SER_hh_fec!E31=0,0,11630*1000*SER_hh_fec!E31/SER_hh_num!E31)</f>
        <v>17285.132032675985</v>
      </c>
      <c r="F31" s="132">
        <f>IF(SER_hh_fec!F31=0,0,11630*1000*SER_hh_fec!F31/SER_hh_num!F31)</f>
        <v>17062.123737954797</v>
      </c>
      <c r="G31" s="132">
        <f>IF(SER_hh_fec!G31=0,0,11630*1000*SER_hh_fec!G31/SER_hh_num!G31)</f>
        <v>17193.884330712131</v>
      </c>
      <c r="H31" s="132">
        <f>IF(SER_hh_fec!H31=0,0,11630*1000*SER_hh_fec!H31/SER_hh_num!H31)</f>
        <v>17184.941371924153</v>
      </c>
      <c r="I31" s="132">
        <f>IF(SER_hh_fec!I31=0,0,11630*1000*SER_hh_fec!I31/SER_hh_num!I31)</f>
        <v>17506.867354034115</v>
      </c>
      <c r="J31" s="132">
        <f>IF(SER_hh_fec!J31=0,0,11630*1000*SER_hh_fec!J31/SER_hh_num!J31)</f>
        <v>17860.032437445945</v>
      </c>
      <c r="K31" s="132">
        <f>IF(SER_hh_fec!K31=0,0,11630*1000*SER_hh_fec!K31/SER_hh_num!K31)</f>
        <v>18030.151859140231</v>
      </c>
      <c r="L31" s="132">
        <f>IF(SER_hh_fec!L31=0,0,11630*1000*SER_hh_fec!L31/SER_hh_num!L31)</f>
        <v>18177.84399834559</v>
      </c>
      <c r="M31" s="132">
        <f>IF(SER_hh_fec!M31=0,0,11630*1000*SER_hh_fec!M31/SER_hh_num!M31)</f>
        <v>18439.54698056258</v>
      </c>
      <c r="N31" s="132">
        <f>IF(SER_hh_fec!N31=0,0,11630*1000*SER_hh_fec!N31/SER_hh_num!N31)</f>
        <v>19012.106700125983</v>
      </c>
      <c r="O31" s="132">
        <f>IF(SER_hh_fec!O31=0,0,11630*1000*SER_hh_fec!O31/SER_hh_num!O31)</f>
        <v>19425.78290249929</v>
      </c>
      <c r="P31" s="132">
        <f>IF(SER_hh_fec!P31=0,0,11630*1000*SER_hh_fec!P31/SER_hh_num!P31)</f>
        <v>19820.360508487527</v>
      </c>
      <c r="Q31" s="132">
        <f>IF(SER_hh_fec!Q31=0,0,11630*1000*SER_hh_fec!Q31/SER_hh_num!Q31)</f>
        <v>20351.474198847736</v>
      </c>
      <c r="R31" s="132">
        <f>IF(SER_hh_fec!R31=0,0,11630*1000*SER_hh_fec!R31/SER_hh_num!R31)</f>
        <v>20722.14640751572</v>
      </c>
      <c r="S31" s="132">
        <f>IF(SER_hh_fec!S31=0,0,11630*1000*SER_hh_fec!S31/SER_hh_num!S31)</f>
        <v>20788.981248505461</v>
      </c>
      <c r="T31" s="132">
        <f>IF(SER_hh_fec!T31=0,0,11630*1000*SER_hh_fec!T31/SER_hh_num!T31)</f>
        <v>20715.009921777022</v>
      </c>
      <c r="U31" s="132">
        <f>IF(SER_hh_fec!U31=0,0,11630*1000*SER_hh_fec!U31/SER_hh_num!U31)</f>
        <v>20603.476649040324</v>
      </c>
      <c r="V31" s="132">
        <f>IF(SER_hh_fec!V31=0,0,11630*1000*SER_hh_fec!V31/SER_hh_num!V31)</f>
        <v>19918.804325056561</v>
      </c>
      <c r="W31" s="132">
        <f>IF(SER_hh_fec!W31=0,0,11630*1000*SER_hh_fec!W31/SER_hh_num!W31)</f>
        <v>19078.266725320056</v>
      </c>
      <c r="X31" s="132">
        <f>IF(SER_hh_fec!X31=0,0,11630*1000*SER_hh_fec!X31/SER_hh_num!X31)</f>
        <v>21019.861043040426</v>
      </c>
      <c r="Y31" s="132">
        <f>IF(SER_hh_fec!Y31=0,0,11630*1000*SER_hh_fec!Y31/SER_hh_num!Y31)</f>
        <v>19940.35242889943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23825.139726404323</v>
      </c>
      <c r="K32" s="132">
        <f>IF(SER_hh_fec!K32=0,0,11630*1000*SER_hh_fec!K32/SER_hh_num!K32)</f>
        <v>13833.820469295399</v>
      </c>
      <c r="L32" s="132">
        <f>IF(SER_hh_fec!L32=0,0,11630*1000*SER_hh_fec!L32/SER_hh_num!L32)</f>
        <v>23957.692690972828</v>
      </c>
      <c r="M32" s="132">
        <f>IF(SER_hh_fec!M32=0,0,11630*1000*SER_hh_fec!M32/SER_hh_num!M32)</f>
        <v>22648.950501916246</v>
      </c>
      <c r="N32" s="132">
        <f>IF(SER_hh_fec!N32=0,0,11630*1000*SER_hh_fec!N32/SER_hh_num!N32)</f>
        <v>12030.868014537493</v>
      </c>
      <c r="O32" s="132">
        <f>IF(SER_hh_fec!O32=0,0,11630*1000*SER_hh_fec!O32/SER_hh_num!O32)</f>
        <v>18853.938551284558</v>
      </c>
      <c r="P32" s="132">
        <f>IF(SER_hh_fec!P32=0,0,11630*1000*SER_hh_fec!P32/SER_hh_num!P32)</f>
        <v>22315.572427824085</v>
      </c>
      <c r="Q32" s="132">
        <f>IF(SER_hh_fec!Q32=0,0,11630*1000*SER_hh_fec!Q32/SER_hh_num!Q32)</f>
        <v>22858.90983755295</v>
      </c>
      <c r="R32" s="132">
        <f>IF(SER_hh_fec!R32=0,0,11630*1000*SER_hh_fec!R32/SER_hh_num!R32)</f>
        <v>22310.793887716198</v>
      </c>
      <c r="S32" s="132">
        <f>IF(SER_hh_fec!S32=0,0,11630*1000*SER_hh_fec!S32/SER_hh_num!S32)</f>
        <v>21575.184002617698</v>
      </c>
      <c r="T32" s="132">
        <f>IF(SER_hh_fec!T32=0,0,11630*1000*SER_hh_fec!T32/SER_hh_num!T32)</f>
        <v>22546.400015626106</v>
      </c>
      <c r="U32" s="132">
        <f>IF(SER_hh_fec!U32=0,0,11630*1000*SER_hh_fec!U32/SER_hh_num!U32)</f>
        <v>28720.53601162013</v>
      </c>
      <c r="V32" s="132">
        <f>IF(SER_hh_fec!V32=0,0,11630*1000*SER_hh_fec!V32/SER_hh_num!V32)</f>
        <v>9976.4866155205727</v>
      </c>
      <c r="W32" s="132">
        <f>IF(SER_hh_fec!W32=0,0,11630*1000*SER_hh_fec!W32/SER_hh_num!W32)</f>
        <v>15501.840960422682</v>
      </c>
      <c r="X32" s="132">
        <f>IF(SER_hh_fec!X32=0,0,11630*1000*SER_hh_fec!X32/SER_hh_num!X32)</f>
        <v>19524.349949963031</v>
      </c>
      <c r="Y32" s="132">
        <f>IF(SER_hh_fec!Y32=0,0,11630*1000*SER_hh_fec!Y32/SER_hh_num!Y32)</f>
        <v>21540.409684673636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11608.961828154104</v>
      </c>
      <c r="C33" s="68">
        <f>IF(SER_hh_fec!C33=0,0,11630*1000*SER_hh_fec!C33/SER_hh_num!C33)</f>
        <v>12043.820891178084</v>
      </c>
      <c r="D33" s="68">
        <f>IF(SER_hh_fec!D33=0,0,11630*1000*SER_hh_fec!D33/SER_hh_num!D33)</f>
        <v>13959.155900397071</v>
      </c>
      <c r="E33" s="68">
        <f>IF(SER_hh_fec!E33=0,0,11630*1000*SER_hh_fec!E33/SER_hh_num!E33)</f>
        <v>14398.351123467131</v>
      </c>
      <c r="F33" s="68">
        <f>IF(SER_hh_fec!F33=0,0,11630*1000*SER_hh_fec!F33/SER_hh_num!F33)</f>
        <v>11406.692571851925</v>
      </c>
      <c r="G33" s="68">
        <f>IF(SER_hh_fec!G33=0,0,11630*1000*SER_hh_fec!G33/SER_hh_num!G33)</f>
        <v>13441.826167810437</v>
      </c>
      <c r="H33" s="68">
        <f>IF(SER_hh_fec!H33=0,0,11630*1000*SER_hh_fec!H33/SER_hh_num!H33)</f>
        <v>13148.131304011213</v>
      </c>
      <c r="I33" s="68">
        <f>IF(SER_hh_fec!I33=0,0,11630*1000*SER_hh_fec!I33/SER_hh_num!I33)</f>
        <v>13393.135314971321</v>
      </c>
      <c r="J33" s="68">
        <f>IF(SER_hh_fec!J33=0,0,11630*1000*SER_hh_fec!J33/SER_hh_num!J33)</f>
        <v>13345.671955959939</v>
      </c>
      <c r="K33" s="68">
        <f>IF(SER_hh_fec!K33=0,0,11630*1000*SER_hh_fec!K33/SER_hh_num!K33)</f>
        <v>13864.228374570563</v>
      </c>
      <c r="L33" s="68">
        <f>IF(SER_hh_fec!L33=0,0,11630*1000*SER_hh_fec!L33/SER_hh_num!L33)</f>
        <v>13600.235326983422</v>
      </c>
      <c r="M33" s="68">
        <f>IF(SER_hh_fec!M33=0,0,11630*1000*SER_hh_fec!M33/SER_hh_num!M33)</f>
        <v>13820.156176509588</v>
      </c>
      <c r="N33" s="68">
        <f>IF(SER_hh_fec!N33=0,0,11630*1000*SER_hh_fec!N33/SER_hh_num!N33)</f>
        <v>14261.264338422247</v>
      </c>
      <c r="O33" s="68">
        <f>IF(SER_hh_fec!O33=0,0,11630*1000*SER_hh_fec!O33/SER_hh_num!O33)</f>
        <v>14134.140392698351</v>
      </c>
      <c r="P33" s="68">
        <f>IF(SER_hh_fec!P33=0,0,11630*1000*SER_hh_fec!P33/SER_hh_num!P33)</f>
        <v>15129.094977045421</v>
      </c>
      <c r="Q33" s="68">
        <f>IF(SER_hh_fec!Q33=0,0,11630*1000*SER_hh_fec!Q33/SER_hh_num!Q33)</f>
        <v>15185.429091265658</v>
      </c>
      <c r="R33" s="68">
        <f>IF(SER_hh_fec!R33=0,0,11630*1000*SER_hh_fec!R33/SER_hh_num!R33)</f>
        <v>15519.211516000983</v>
      </c>
      <c r="S33" s="68">
        <f>IF(SER_hh_fec!S33=0,0,11630*1000*SER_hh_fec!S33/SER_hh_num!S33)</f>
        <v>15497.872613965008</v>
      </c>
      <c r="T33" s="68">
        <f>IF(SER_hh_fec!T33=0,0,11630*1000*SER_hh_fec!T33/SER_hh_num!T33)</f>
        <v>15597.542506422675</v>
      </c>
      <c r="U33" s="68">
        <f>IF(SER_hh_fec!U33=0,0,11630*1000*SER_hh_fec!U33/SER_hh_num!U33)</f>
        <v>14672.086041969013</v>
      </c>
      <c r="V33" s="68">
        <f>IF(SER_hh_fec!V33=0,0,11630*1000*SER_hh_fec!V33/SER_hh_num!V33)</f>
        <v>13642.077399538892</v>
      </c>
      <c r="W33" s="68">
        <f>IF(SER_hh_fec!W33=0,0,11630*1000*SER_hh_fec!W33/SER_hh_num!W33)</f>
        <v>14732.203195198419</v>
      </c>
      <c r="X33" s="68">
        <f>IF(SER_hh_fec!X33=0,0,11630*1000*SER_hh_fec!X33/SER_hh_num!X33)</f>
        <v>14170.385041299989</v>
      </c>
      <c r="Y33" s="68">
        <f>IF(SER_hh_fec!Y33=0,0,11630*1000*SER_hh_fec!Y33/SER_hh_num!Y33)</f>
        <v>14743.2341439601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98168.687176288222</v>
      </c>
      <c r="C3" s="125">
        <f>IF(SER_hh_tes!C3=0,0,11630*1000*SER_hh_tes!C3/SER_hh_num!C3)</f>
        <v>103046.37043034747</v>
      </c>
      <c r="D3" s="125">
        <f>IF(SER_hh_tes!D3=0,0,11630*1000*SER_hh_tes!D3/SER_hh_num!D3)</f>
        <v>101055.60989264444</v>
      </c>
      <c r="E3" s="125">
        <f>IF(SER_hh_tes!E3=0,0,11630*1000*SER_hh_tes!E3/SER_hh_num!E3)</f>
        <v>106808.14411464329</v>
      </c>
      <c r="F3" s="125">
        <f>IF(SER_hh_tes!F3=0,0,11630*1000*SER_hh_tes!F3/SER_hh_num!F3)</f>
        <v>130515.11130619464</v>
      </c>
      <c r="G3" s="125">
        <f>IF(SER_hh_tes!G3=0,0,11630*1000*SER_hh_tes!G3/SER_hh_num!G3)</f>
        <v>129555.86449440633</v>
      </c>
      <c r="H3" s="125">
        <f>IF(SER_hh_tes!H3=0,0,11630*1000*SER_hh_tes!H3/SER_hh_num!H3)</f>
        <v>124357.90006686232</v>
      </c>
      <c r="I3" s="125">
        <f>IF(SER_hh_tes!I3=0,0,11630*1000*SER_hh_tes!I3/SER_hh_num!I3)</f>
        <v>115886.72724551351</v>
      </c>
      <c r="J3" s="125">
        <f>IF(SER_hh_tes!J3=0,0,11630*1000*SER_hh_tes!J3/SER_hh_num!J3)</f>
        <v>127537.46308044756</v>
      </c>
      <c r="K3" s="125">
        <f>IF(SER_hh_tes!K3=0,0,11630*1000*SER_hh_tes!K3/SER_hh_num!K3)</f>
        <v>127887.26730207251</v>
      </c>
      <c r="L3" s="125">
        <f>IF(SER_hh_tes!L3=0,0,11630*1000*SER_hh_tes!L3/SER_hh_num!L3)</f>
        <v>135270.51959335455</v>
      </c>
      <c r="M3" s="125">
        <f>IF(SER_hh_tes!M3=0,0,11630*1000*SER_hh_tes!M3/SER_hh_num!M3)</f>
        <v>116285.98818721875</v>
      </c>
      <c r="N3" s="125">
        <f>IF(SER_hh_tes!N3=0,0,11630*1000*SER_hh_tes!N3/SER_hh_num!N3)</f>
        <v>124293.37226743516</v>
      </c>
      <c r="O3" s="125">
        <f>IF(SER_hh_tes!O3=0,0,11630*1000*SER_hh_tes!O3/SER_hh_num!O3)</f>
        <v>134104.51804552277</v>
      </c>
      <c r="P3" s="125">
        <f>IF(SER_hh_tes!P3=0,0,11630*1000*SER_hh_tes!P3/SER_hh_num!P3)</f>
        <v>113117.62768517132</v>
      </c>
      <c r="Q3" s="125">
        <f>IF(SER_hh_tes!Q3=0,0,11630*1000*SER_hh_tes!Q3/SER_hh_num!Q3)</f>
        <v>126745.09023815731</v>
      </c>
      <c r="R3" s="125">
        <f>IF(SER_hh_tes!R3=0,0,11630*1000*SER_hh_tes!R3/SER_hh_num!R3)</f>
        <v>128568.22916020101</v>
      </c>
      <c r="S3" s="125">
        <f>IF(SER_hh_tes!S3=0,0,11630*1000*SER_hh_tes!S3/SER_hh_num!S3)</f>
        <v>128537.83356434938</v>
      </c>
      <c r="T3" s="125">
        <f>IF(SER_hh_tes!T3=0,0,11630*1000*SER_hh_tes!T3/SER_hh_num!T3)</f>
        <v>132574.51268838282</v>
      </c>
      <c r="U3" s="125">
        <f>IF(SER_hh_tes!U3=0,0,11630*1000*SER_hh_tes!U3/SER_hh_num!U3)</f>
        <v>128295.15089740757</v>
      </c>
      <c r="V3" s="125">
        <f>IF(SER_hh_tes!V3=0,0,11630*1000*SER_hh_tes!V3/SER_hh_num!V3)</f>
        <v>126483.46307706505</v>
      </c>
      <c r="W3" s="125">
        <f>IF(SER_hh_tes!W3=0,0,11630*1000*SER_hh_tes!W3/SER_hh_num!W3)</f>
        <v>133125.72867820106</v>
      </c>
      <c r="X3" s="125">
        <f>IF(SER_hh_tes!X3=0,0,11630*1000*SER_hh_tes!X3/SER_hh_num!X3)</f>
        <v>118196.42265725366</v>
      </c>
      <c r="Y3" s="125">
        <f>IF(SER_hh_tes!Y3=0,0,11630*1000*SER_hh_tes!Y3/SER_hh_num!Y3)</f>
        <v>113076.11411874692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73482.304963250237</v>
      </c>
      <c r="C4" s="130">
        <f>IF(SER_hh_tes!C4=0,0,11630*1000*SER_hh_tes!C4/SER_hh_num!C4)</f>
        <v>77474.430191549429</v>
      </c>
      <c r="D4" s="130">
        <f>IF(SER_hh_tes!D4=0,0,11630*1000*SER_hh_tes!D4/SER_hh_num!D4)</f>
        <v>73834.768853767673</v>
      </c>
      <c r="E4" s="130">
        <f>IF(SER_hh_tes!E4=0,0,11630*1000*SER_hh_tes!E4/SER_hh_num!E4)</f>
        <v>77460.994101331657</v>
      </c>
      <c r="F4" s="130">
        <f>IF(SER_hh_tes!F4=0,0,11630*1000*SER_hh_tes!F4/SER_hh_num!F4)</f>
        <v>103030.3057446052</v>
      </c>
      <c r="G4" s="130">
        <f>IF(SER_hh_tes!G4=0,0,11630*1000*SER_hh_tes!G4/SER_hh_num!G4)</f>
        <v>101041.08400899995</v>
      </c>
      <c r="H4" s="130">
        <f>IF(SER_hh_tes!H4=0,0,11630*1000*SER_hh_tes!H4/SER_hh_num!H4)</f>
        <v>93346.437391208543</v>
      </c>
      <c r="I4" s="130">
        <f>IF(SER_hh_tes!I4=0,0,11630*1000*SER_hh_tes!I4/SER_hh_num!I4)</f>
        <v>85126.974547603531</v>
      </c>
      <c r="J4" s="130">
        <f>IF(SER_hh_tes!J4=0,0,11630*1000*SER_hh_tes!J4/SER_hh_num!J4)</f>
        <v>95706.12604049567</v>
      </c>
      <c r="K4" s="130">
        <f>IF(SER_hh_tes!K4=0,0,11630*1000*SER_hh_tes!K4/SER_hh_num!K4)</f>
        <v>94348.580055122366</v>
      </c>
      <c r="L4" s="130">
        <f>IF(SER_hh_tes!L4=0,0,11630*1000*SER_hh_tes!L4/SER_hh_num!L4)</f>
        <v>100110.06063878455</v>
      </c>
      <c r="M4" s="130">
        <f>IF(SER_hh_tes!M4=0,0,11630*1000*SER_hh_tes!M4/SER_hh_num!M4)</f>
        <v>80664.497599651513</v>
      </c>
      <c r="N4" s="130">
        <f>IF(SER_hh_tes!N4=0,0,11630*1000*SER_hh_tes!N4/SER_hh_num!N4)</f>
        <v>87176.234811540635</v>
      </c>
      <c r="O4" s="130">
        <f>IF(SER_hh_tes!O4=0,0,11630*1000*SER_hh_tes!O4/SER_hh_num!O4)</f>
        <v>95640.840146287694</v>
      </c>
      <c r="P4" s="130">
        <f>IF(SER_hh_tes!P4=0,0,11630*1000*SER_hh_tes!P4/SER_hh_num!P4)</f>
        <v>73844.693510804034</v>
      </c>
      <c r="Q4" s="130">
        <f>IF(SER_hh_tes!Q4=0,0,11630*1000*SER_hh_tes!Q4/SER_hh_num!Q4)</f>
        <v>85044.649268190347</v>
      </c>
      <c r="R4" s="130">
        <f>IF(SER_hh_tes!R4=0,0,11630*1000*SER_hh_tes!R4/SER_hh_num!R4)</f>
        <v>86367.398348776565</v>
      </c>
      <c r="S4" s="130">
        <f>IF(SER_hh_tes!S4=0,0,11630*1000*SER_hh_tes!S4/SER_hh_num!S4)</f>
        <v>86669.622993142126</v>
      </c>
      <c r="T4" s="130">
        <f>IF(SER_hh_tes!T4=0,0,11630*1000*SER_hh_tes!T4/SER_hh_num!T4)</f>
        <v>88561.232430103715</v>
      </c>
      <c r="U4" s="130">
        <f>IF(SER_hh_tes!U4=0,0,11630*1000*SER_hh_tes!U4/SER_hh_num!U4)</f>
        <v>85873.149814942983</v>
      </c>
      <c r="V4" s="130">
        <f>IF(SER_hh_tes!V4=0,0,11630*1000*SER_hh_tes!V4/SER_hh_num!V4)</f>
        <v>84007.694003637094</v>
      </c>
      <c r="W4" s="130">
        <f>IF(SER_hh_tes!W4=0,0,11630*1000*SER_hh_tes!W4/SER_hh_num!W4)</f>
        <v>92345.730252221576</v>
      </c>
      <c r="X4" s="130">
        <f>IF(SER_hh_tes!X4=0,0,11630*1000*SER_hh_tes!X4/SER_hh_num!X4)</f>
        <v>75004.253798850463</v>
      </c>
      <c r="Y4" s="130">
        <f>IF(SER_hh_tes!Y4=0,0,11630*1000*SER_hh_tes!Y4/SER_hh_num!Y4)</f>
        <v>70728.526413742249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0</v>
      </c>
      <c r="C5" s="132">
        <f>IF(SER_hh_tes!C5=0,0,11630*1000*SER_hh_tes!C5/SER_hh_num!C5)</f>
        <v>0</v>
      </c>
      <c r="D5" s="132">
        <f>IF(SER_hh_tes!D5=0,0,11630*1000*SER_hh_tes!D5/SER_hh_num!D5)</f>
        <v>0</v>
      </c>
      <c r="E5" s="132">
        <f>IF(SER_hh_tes!E5=0,0,11630*1000*SER_hh_tes!E5/SER_hh_num!E5)</f>
        <v>0</v>
      </c>
      <c r="F5" s="132">
        <f>IF(SER_hh_tes!F5=0,0,11630*1000*SER_hh_tes!F5/SER_hh_num!F5)</f>
        <v>0</v>
      </c>
      <c r="G5" s="132">
        <f>IF(SER_hh_tes!G5=0,0,11630*1000*SER_hh_tes!G5/SER_hh_num!G5)</f>
        <v>0</v>
      </c>
      <c r="H5" s="132">
        <f>IF(SER_hh_tes!H5=0,0,11630*1000*SER_hh_tes!H5/SER_hh_num!H5)</f>
        <v>0</v>
      </c>
      <c r="I5" s="132">
        <f>IF(SER_hh_tes!I5=0,0,11630*1000*SER_hh_tes!I5/SER_hh_num!I5)</f>
        <v>0</v>
      </c>
      <c r="J5" s="132">
        <f>IF(SER_hh_tes!J5=0,0,11630*1000*SER_hh_tes!J5/SER_hh_num!J5)</f>
        <v>0</v>
      </c>
      <c r="K5" s="132">
        <f>IF(SER_hh_tes!K5=0,0,11630*1000*SER_hh_tes!K5/SER_hh_num!K5)</f>
        <v>0</v>
      </c>
      <c r="L5" s="132">
        <f>IF(SER_hh_tes!L5=0,0,11630*1000*SER_hh_tes!L5/SER_hh_num!L5)</f>
        <v>0</v>
      </c>
      <c r="M5" s="132">
        <f>IF(SER_hh_tes!M5=0,0,11630*1000*SER_hh_tes!M5/SER_hh_num!M5)</f>
        <v>0</v>
      </c>
      <c r="N5" s="132">
        <f>IF(SER_hh_tes!N5=0,0,11630*1000*SER_hh_tes!N5/SER_hh_num!N5)</f>
        <v>0</v>
      </c>
      <c r="O5" s="132">
        <f>IF(SER_hh_tes!O5=0,0,11630*1000*SER_hh_tes!O5/SER_hh_num!O5)</f>
        <v>0</v>
      </c>
      <c r="P5" s="132">
        <f>IF(SER_hh_tes!P5=0,0,11630*1000*SER_hh_tes!P5/SER_hh_num!P5)</f>
        <v>0</v>
      </c>
      <c r="Q5" s="132">
        <f>IF(SER_hh_tes!Q5=0,0,11630*1000*SER_hh_tes!Q5/SER_hh_num!Q5)</f>
        <v>0</v>
      </c>
      <c r="R5" s="132">
        <f>IF(SER_hh_tes!R5=0,0,11630*1000*SER_hh_tes!R5/SER_hh_num!R5)</f>
        <v>0</v>
      </c>
      <c r="S5" s="132">
        <f>IF(SER_hh_tes!S5=0,0,11630*1000*SER_hh_tes!S5/SER_hh_num!S5)</f>
        <v>0</v>
      </c>
      <c r="T5" s="132">
        <f>IF(SER_hh_tes!T5=0,0,11630*1000*SER_hh_tes!T5/SER_hh_num!T5)</f>
        <v>0</v>
      </c>
      <c r="U5" s="132">
        <f>IF(SER_hh_tes!U5=0,0,11630*1000*SER_hh_tes!U5/SER_hh_num!U5)</f>
        <v>0</v>
      </c>
      <c r="V5" s="132">
        <f>IF(SER_hh_tes!V5=0,0,11630*1000*SER_hh_tes!V5/SER_hh_num!V5)</f>
        <v>0</v>
      </c>
      <c r="W5" s="132">
        <f>IF(SER_hh_tes!W5=0,0,11630*1000*SER_hh_tes!W5/SER_hh_num!W5)</f>
        <v>0</v>
      </c>
      <c r="X5" s="132">
        <f>IF(SER_hh_tes!X5=0,0,11630*1000*SER_hh_tes!X5/SER_hh_num!X5)</f>
        <v>0</v>
      </c>
      <c r="Y5" s="132">
        <f>IF(SER_hh_tes!Y5=0,0,11630*1000*SER_hh_tes!Y5/SER_hh_num!Y5)</f>
        <v>0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72060.896645407134</v>
      </c>
      <c r="C7" s="132">
        <f>IF(SER_hh_tes!C7=0,0,11630*1000*SER_hh_tes!C7/SER_hh_num!C7)</f>
        <v>67959.451155226998</v>
      </c>
      <c r="D7" s="132">
        <f>IF(SER_hh_tes!D7=0,0,11630*1000*SER_hh_tes!D7/SER_hh_num!D7)</f>
        <v>87712.406977141858</v>
      </c>
      <c r="E7" s="132">
        <f>IF(SER_hh_tes!E7=0,0,11630*1000*SER_hh_tes!E7/SER_hh_num!E7)</f>
        <v>100729.00127472902</v>
      </c>
      <c r="F7" s="132">
        <f>IF(SER_hh_tes!F7=0,0,11630*1000*SER_hh_tes!F7/SER_hh_num!F7)</f>
        <v>99883.939947506311</v>
      </c>
      <c r="G7" s="132">
        <f>IF(SER_hh_tes!G7=0,0,11630*1000*SER_hh_tes!G7/SER_hh_num!G7)</f>
        <v>102740.13939906904</v>
      </c>
      <c r="H7" s="132">
        <f>IF(SER_hh_tes!H7=0,0,11630*1000*SER_hh_tes!H7/SER_hh_num!H7)</f>
        <v>91043.345154661816</v>
      </c>
      <c r="I7" s="132">
        <f>IF(SER_hh_tes!I7=0,0,11630*1000*SER_hh_tes!I7/SER_hh_num!I7)</f>
        <v>79310.381351523189</v>
      </c>
      <c r="J7" s="132">
        <f>IF(SER_hh_tes!J7=0,0,11630*1000*SER_hh_tes!J7/SER_hh_num!J7)</f>
        <v>102049.5190941383</v>
      </c>
      <c r="K7" s="132">
        <f>IF(SER_hh_tes!K7=0,0,11630*1000*SER_hh_tes!K7/SER_hh_num!K7)</f>
        <v>85404.135911901132</v>
      </c>
      <c r="L7" s="132">
        <f>IF(SER_hh_tes!L7=0,0,11630*1000*SER_hh_tes!L7/SER_hh_num!L7)</f>
        <v>97849.757134088955</v>
      </c>
      <c r="M7" s="132">
        <f>IF(SER_hh_tes!M7=0,0,11630*1000*SER_hh_tes!M7/SER_hh_num!M7)</f>
        <v>82336.436667511807</v>
      </c>
      <c r="N7" s="132">
        <f>IF(SER_hh_tes!N7=0,0,11630*1000*SER_hh_tes!N7/SER_hh_num!N7)</f>
        <v>83729.592983753624</v>
      </c>
      <c r="O7" s="132">
        <f>IF(SER_hh_tes!O7=0,0,11630*1000*SER_hh_tes!O7/SER_hh_num!O7)</f>
        <v>93714.101698848652</v>
      </c>
      <c r="P7" s="132">
        <f>IF(SER_hh_tes!P7=0,0,11630*1000*SER_hh_tes!P7/SER_hh_num!P7)</f>
        <v>72079.144218348301</v>
      </c>
      <c r="Q7" s="132">
        <f>IF(SER_hh_tes!Q7=0,0,11630*1000*SER_hh_tes!Q7/SER_hh_num!Q7)</f>
        <v>87803.326587614763</v>
      </c>
      <c r="R7" s="132">
        <f>IF(SER_hh_tes!R7=0,0,11630*1000*SER_hh_tes!R7/SER_hh_num!R7)</f>
        <v>82548.204468160024</v>
      </c>
      <c r="S7" s="132">
        <f>IF(SER_hh_tes!S7=0,0,11630*1000*SER_hh_tes!S7/SER_hh_num!S7)</f>
        <v>87193.973151412109</v>
      </c>
      <c r="T7" s="132">
        <f>IF(SER_hh_tes!T7=0,0,11630*1000*SER_hh_tes!T7/SER_hh_num!T7)</f>
        <v>90645.698149169591</v>
      </c>
      <c r="U7" s="132">
        <f>IF(SER_hh_tes!U7=0,0,11630*1000*SER_hh_tes!U7/SER_hh_num!U7)</f>
        <v>78208.121473519888</v>
      </c>
      <c r="V7" s="132">
        <f>IF(SER_hh_tes!V7=0,0,11630*1000*SER_hh_tes!V7/SER_hh_num!V7)</f>
        <v>91790.971747775024</v>
      </c>
      <c r="W7" s="132">
        <f>IF(SER_hh_tes!W7=0,0,11630*1000*SER_hh_tes!W7/SER_hh_num!W7)</f>
        <v>79492.111391982326</v>
      </c>
      <c r="X7" s="132">
        <f>IF(SER_hh_tes!X7=0,0,11630*1000*SER_hh_tes!X7/SER_hh_num!X7)</f>
        <v>68544.401972541193</v>
      </c>
      <c r="Y7" s="132">
        <f>IF(SER_hh_tes!Y7=0,0,11630*1000*SER_hh_tes!Y7/SER_hh_num!Y7)</f>
        <v>71208.241351604695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70771.571530144764</v>
      </c>
      <c r="C8" s="132">
        <f>IF(SER_hh_tes!C8=0,0,11630*1000*SER_hh_tes!C8/SER_hh_num!C8)</f>
        <v>75333.842689127268</v>
      </c>
      <c r="D8" s="132">
        <f>IF(SER_hh_tes!D8=0,0,11630*1000*SER_hh_tes!D8/SER_hh_num!D8)</f>
        <v>77717.984116125488</v>
      </c>
      <c r="E8" s="132">
        <f>IF(SER_hh_tes!E8=0,0,11630*1000*SER_hh_tes!E8/SER_hh_num!E8)</f>
        <v>80282.502544664283</v>
      </c>
      <c r="F8" s="132">
        <f>IF(SER_hh_tes!F8=0,0,11630*1000*SER_hh_tes!F8/SER_hh_num!F8)</f>
        <v>96165.466684579063</v>
      </c>
      <c r="G8" s="132">
        <f>IF(SER_hh_tes!G8=0,0,11630*1000*SER_hh_tes!G8/SER_hh_num!G8)</f>
        <v>94292.013803956739</v>
      </c>
      <c r="H8" s="132">
        <f>IF(SER_hh_tes!H8=0,0,11630*1000*SER_hh_tes!H8/SER_hh_num!H8)</f>
        <v>95354.424362795558</v>
      </c>
      <c r="I8" s="132">
        <f>IF(SER_hh_tes!I8=0,0,11630*1000*SER_hh_tes!I8/SER_hh_num!I8)</f>
        <v>84550.116465363666</v>
      </c>
      <c r="J8" s="132">
        <f>IF(SER_hh_tes!J8=0,0,11630*1000*SER_hh_tes!J8/SER_hh_num!J8)</f>
        <v>92316.702869913395</v>
      </c>
      <c r="K8" s="132">
        <f>IF(SER_hh_tes!K8=0,0,11630*1000*SER_hh_tes!K8/SER_hh_num!K8)</f>
        <v>94675.529532605549</v>
      </c>
      <c r="L8" s="132">
        <f>IF(SER_hh_tes!L8=0,0,11630*1000*SER_hh_tes!L8/SER_hh_num!L8)</f>
        <v>95110.78824375679</v>
      </c>
      <c r="M8" s="132">
        <f>IF(SER_hh_tes!M8=0,0,11630*1000*SER_hh_tes!M8/SER_hh_num!M8)</f>
        <v>78405.812734607403</v>
      </c>
      <c r="N8" s="132">
        <f>IF(SER_hh_tes!N8=0,0,11630*1000*SER_hh_tes!N8/SER_hh_num!N8)</f>
        <v>86946.997064653449</v>
      </c>
      <c r="O8" s="132">
        <f>IF(SER_hh_tes!O8=0,0,11630*1000*SER_hh_tes!O8/SER_hh_num!O8)</f>
        <v>97012.590305289035</v>
      </c>
      <c r="P8" s="132">
        <f>IF(SER_hh_tes!P8=0,0,11630*1000*SER_hh_tes!P8/SER_hh_num!P8)</f>
        <v>74606.147993463965</v>
      </c>
      <c r="Q8" s="132">
        <f>IF(SER_hh_tes!Q8=0,0,11630*1000*SER_hh_tes!Q8/SER_hh_num!Q8)</f>
        <v>84798.308147860051</v>
      </c>
      <c r="R8" s="132">
        <f>IF(SER_hh_tes!R8=0,0,11630*1000*SER_hh_tes!R8/SER_hh_num!R8)</f>
        <v>87862.557377754056</v>
      </c>
      <c r="S8" s="132">
        <f>IF(SER_hh_tes!S8=0,0,11630*1000*SER_hh_tes!S8/SER_hh_num!S8)</f>
        <v>85132.862499890995</v>
      </c>
      <c r="T8" s="132">
        <f>IF(SER_hh_tes!T8=0,0,11630*1000*SER_hh_tes!T8/SER_hh_num!T8)</f>
        <v>85098.134537445789</v>
      </c>
      <c r="U8" s="132">
        <f>IF(SER_hh_tes!U8=0,0,11630*1000*SER_hh_tes!U8/SER_hh_num!U8)</f>
        <v>84346.625610589414</v>
      </c>
      <c r="V8" s="132">
        <f>IF(SER_hh_tes!V8=0,0,11630*1000*SER_hh_tes!V8/SER_hh_num!V8)</f>
        <v>76957.895152854791</v>
      </c>
      <c r="W8" s="132">
        <f>IF(SER_hh_tes!W8=0,0,11630*1000*SER_hh_tes!W8/SER_hh_num!W8)</f>
        <v>71043.09450429662</v>
      </c>
      <c r="X8" s="132">
        <f>IF(SER_hh_tes!X8=0,0,11630*1000*SER_hh_tes!X8/SER_hh_num!X8)</f>
        <v>76755.239219190305</v>
      </c>
      <c r="Y8" s="132">
        <f>IF(SER_hh_tes!Y8=0,0,11630*1000*SER_hh_tes!Y8/SER_hh_num!Y8)</f>
        <v>77306.244294541044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69806.022497920581</v>
      </c>
      <c r="C9" s="132">
        <f>IF(SER_hh_tes!C9=0,0,11630*1000*SER_hh_tes!C9/SER_hh_num!C9)</f>
        <v>77978.350408569386</v>
      </c>
      <c r="D9" s="132">
        <f>IF(SER_hh_tes!D9=0,0,11630*1000*SER_hh_tes!D9/SER_hh_num!D9)</f>
        <v>72889.649564158521</v>
      </c>
      <c r="E9" s="132">
        <f>IF(SER_hh_tes!E9=0,0,11630*1000*SER_hh_tes!E9/SER_hh_num!E9)</f>
        <v>77385.592297416981</v>
      </c>
      <c r="F9" s="132">
        <f>IF(SER_hh_tes!F9=0,0,11630*1000*SER_hh_tes!F9/SER_hh_num!F9)</f>
        <v>85064.368011148268</v>
      </c>
      <c r="G9" s="132">
        <f>IF(SER_hh_tes!G9=0,0,11630*1000*SER_hh_tes!G9/SER_hh_num!G9)</f>
        <v>90270.596583463033</v>
      </c>
      <c r="H9" s="132">
        <f>IF(SER_hh_tes!H9=0,0,11630*1000*SER_hh_tes!H9/SER_hh_num!H9)</f>
        <v>91873.583043903345</v>
      </c>
      <c r="I9" s="132">
        <f>IF(SER_hh_tes!I9=0,0,11630*1000*SER_hh_tes!I9/SER_hh_num!I9)</f>
        <v>82344.228424507251</v>
      </c>
      <c r="J9" s="132">
        <f>IF(SER_hh_tes!J9=0,0,11630*1000*SER_hh_tes!J9/SER_hh_num!J9)</f>
        <v>91866.525730347217</v>
      </c>
      <c r="K9" s="132">
        <f>IF(SER_hh_tes!K9=0,0,11630*1000*SER_hh_tes!K9/SER_hh_num!K9)</f>
        <v>95621.184558327397</v>
      </c>
      <c r="L9" s="132">
        <f>IF(SER_hh_tes!L9=0,0,11630*1000*SER_hh_tes!L9/SER_hh_num!L9)</f>
        <v>100875.68707581672</v>
      </c>
      <c r="M9" s="132">
        <f>IF(SER_hh_tes!M9=0,0,11630*1000*SER_hh_tes!M9/SER_hh_num!M9)</f>
        <v>76488.419416069271</v>
      </c>
      <c r="N9" s="132">
        <f>IF(SER_hh_tes!N9=0,0,11630*1000*SER_hh_tes!N9/SER_hh_num!N9)</f>
        <v>86964.916286510037</v>
      </c>
      <c r="O9" s="132">
        <f>IF(SER_hh_tes!O9=0,0,11630*1000*SER_hh_tes!O9/SER_hh_num!O9)</f>
        <v>96399.947435419876</v>
      </c>
      <c r="P9" s="132">
        <f>IF(SER_hh_tes!P9=0,0,11630*1000*SER_hh_tes!P9/SER_hh_num!P9)</f>
        <v>71229.977454258711</v>
      </c>
      <c r="Q9" s="132">
        <f>IF(SER_hh_tes!Q9=0,0,11630*1000*SER_hh_tes!Q9/SER_hh_num!Q9)</f>
        <v>82127.83589654867</v>
      </c>
      <c r="R9" s="132">
        <f>IF(SER_hh_tes!R9=0,0,11630*1000*SER_hh_tes!R9/SER_hh_num!R9)</f>
        <v>86756.404723875559</v>
      </c>
      <c r="S9" s="132">
        <f>IF(SER_hh_tes!S9=0,0,11630*1000*SER_hh_tes!S9/SER_hh_num!S9)</f>
        <v>85504.463652335282</v>
      </c>
      <c r="T9" s="132">
        <f>IF(SER_hh_tes!T9=0,0,11630*1000*SER_hh_tes!T9/SER_hh_num!T9)</f>
        <v>86679.436187747444</v>
      </c>
      <c r="U9" s="132">
        <f>IF(SER_hh_tes!U9=0,0,11630*1000*SER_hh_tes!U9/SER_hh_num!U9)</f>
        <v>85524.683583946346</v>
      </c>
      <c r="V9" s="132">
        <f>IF(SER_hh_tes!V9=0,0,11630*1000*SER_hh_tes!V9/SER_hh_num!V9)</f>
        <v>80188.752411116831</v>
      </c>
      <c r="W9" s="132">
        <f>IF(SER_hh_tes!W9=0,0,11630*1000*SER_hh_tes!W9/SER_hh_num!W9)</f>
        <v>95732.211953039136</v>
      </c>
      <c r="X9" s="132">
        <f>IF(SER_hh_tes!X9=0,0,11630*1000*SER_hh_tes!X9/SER_hh_num!X9)</f>
        <v>73558.2290653276</v>
      </c>
      <c r="Y9" s="132">
        <f>IF(SER_hh_tes!Y9=0,0,11630*1000*SER_hh_tes!Y9/SER_hh_num!Y9)</f>
        <v>69396.604657014977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73350.477431266292</v>
      </c>
      <c r="C10" s="132">
        <f>IF(SER_hh_tes!C10=0,0,11630*1000*SER_hh_tes!C10/SER_hh_num!C10)</f>
        <v>70960.802824349186</v>
      </c>
      <c r="D10" s="132">
        <f>IF(SER_hh_tes!D10=0,0,11630*1000*SER_hh_tes!D10/SER_hh_num!D10)</f>
        <v>5352.925593074845</v>
      </c>
      <c r="E10" s="132">
        <f>IF(SER_hh_tes!E10=0,0,11630*1000*SER_hh_tes!E10/SER_hh_num!E10)</f>
        <v>1741.3573756719657</v>
      </c>
      <c r="F10" s="132">
        <f>IF(SER_hh_tes!F10=0,0,11630*1000*SER_hh_tes!F10/SER_hh_num!F10)</f>
        <v>127290.73382437286</v>
      </c>
      <c r="G10" s="132">
        <f>IF(SER_hh_tes!G10=0,0,11630*1000*SER_hh_tes!G10/SER_hh_num!G10)</f>
        <v>112348.9396963156</v>
      </c>
      <c r="H10" s="132">
        <f>IF(SER_hh_tes!H10=0,0,11630*1000*SER_hh_tes!H10/SER_hh_num!H10)</f>
        <v>101182.19777516884</v>
      </c>
      <c r="I10" s="132">
        <f>IF(SER_hh_tes!I10=0,0,11630*1000*SER_hh_tes!I10/SER_hh_num!I10)</f>
        <v>115292.28816004048</v>
      </c>
      <c r="J10" s="132">
        <f>IF(SER_hh_tes!J10=0,0,11630*1000*SER_hh_tes!J10/SER_hh_num!J10)</f>
        <v>50005.560062044737</v>
      </c>
      <c r="K10" s="132">
        <f>IF(SER_hh_tes!K10=0,0,11630*1000*SER_hh_tes!K10/SER_hh_num!K10)</f>
        <v>25800.681864326165</v>
      </c>
      <c r="L10" s="132">
        <f>IF(SER_hh_tes!L10=0,0,11630*1000*SER_hh_tes!L10/SER_hh_num!L10)</f>
        <v>88179.612522404248</v>
      </c>
      <c r="M10" s="132">
        <f>IF(SER_hh_tes!M10=0,0,11630*1000*SER_hh_tes!M10/SER_hh_num!M10)</f>
        <v>55925.362808983118</v>
      </c>
      <c r="N10" s="132">
        <f>IF(SER_hh_tes!N10=0,0,11630*1000*SER_hh_tes!N10/SER_hh_num!N10)</f>
        <v>70079.710429453626</v>
      </c>
      <c r="O10" s="132">
        <f>IF(SER_hh_tes!O10=0,0,11630*1000*SER_hh_tes!O10/SER_hh_num!O10)</f>
        <v>88569.924649731736</v>
      </c>
      <c r="P10" s="132">
        <f>IF(SER_hh_tes!P10=0,0,11630*1000*SER_hh_tes!P10/SER_hh_num!P10)</f>
        <v>86058.333134041313</v>
      </c>
      <c r="Q10" s="132">
        <f>IF(SER_hh_tes!Q10=0,0,11630*1000*SER_hh_tes!Q10/SER_hh_num!Q10)</f>
        <v>88445.1228813856</v>
      </c>
      <c r="R10" s="132">
        <f>IF(SER_hh_tes!R10=0,0,11630*1000*SER_hh_tes!R10/SER_hh_num!R10)</f>
        <v>87120.411163519355</v>
      </c>
      <c r="S10" s="132">
        <f>IF(SER_hh_tes!S10=0,0,11630*1000*SER_hh_tes!S10/SER_hh_num!S10)</f>
        <v>85162.913602399858</v>
      </c>
      <c r="T10" s="132">
        <f>IF(SER_hh_tes!T10=0,0,11630*1000*SER_hh_tes!T10/SER_hh_num!T10)</f>
        <v>85007.184824961572</v>
      </c>
      <c r="U10" s="132">
        <f>IF(SER_hh_tes!U10=0,0,11630*1000*SER_hh_tes!U10/SER_hh_num!U10)</f>
        <v>87830.948655932239</v>
      </c>
      <c r="V10" s="132">
        <f>IF(SER_hh_tes!V10=0,0,11630*1000*SER_hh_tes!V10/SER_hh_num!V10)</f>
        <v>86470.623368262095</v>
      </c>
      <c r="W10" s="132">
        <f>IF(SER_hh_tes!W10=0,0,11630*1000*SER_hh_tes!W10/SER_hh_num!W10)</f>
        <v>82927.277094271267</v>
      </c>
      <c r="X10" s="132">
        <f>IF(SER_hh_tes!X10=0,0,11630*1000*SER_hh_tes!X10/SER_hh_num!X10)</f>
        <v>77297.657603770422</v>
      </c>
      <c r="Y10" s="132">
        <f>IF(SER_hh_tes!Y10=0,0,11630*1000*SER_hh_tes!Y10/SER_hh_num!Y10)</f>
        <v>66938.717508840724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0</v>
      </c>
      <c r="H11" s="132">
        <f>IF(SER_hh_tes!H11=0,0,11630*1000*SER_hh_tes!H11/SER_hh_num!H11)</f>
        <v>0</v>
      </c>
      <c r="I11" s="132">
        <f>IF(SER_hh_tes!I11=0,0,11630*1000*SER_hh_tes!I11/SER_hh_num!I11)</f>
        <v>0</v>
      </c>
      <c r="J11" s="132">
        <f>IF(SER_hh_tes!J11=0,0,11630*1000*SER_hh_tes!J11/SER_hh_num!J11)</f>
        <v>0</v>
      </c>
      <c r="K11" s="132">
        <f>IF(SER_hh_tes!K11=0,0,11630*1000*SER_hh_tes!K11/SER_hh_num!K11)</f>
        <v>0</v>
      </c>
      <c r="L11" s="132">
        <f>IF(SER_hh_tes!L11=0,0,11630*1000*SER_hh_tes!L11/SER_hh_num!L11)</f>
        <v>0</v>
      </c>
      <c r="M11" s="132">
        <f>IF(SER_hh_tes!M11=0,0,11630*1000*SER_hh_tes!M11/SER_hh_num!M11)</f>
        <v>0</v>
      </c>
      <c r="N11" s="132">
        <f>IF(SER_hh_tes!N11=0,0,11630*1000*SER_hh_tes!N11/SER_hh_num!N11)</f>
        <v>0</v>
      </c>
      <c r="O11" s="132">
        <f>IF(SER_hh_tes!O11=0,0,11630*1000*SER_hh_tes!O11/SER_hh_num!O11)</f>
        <v>0</v>
      </c>
      <c r="P11" s="132">
        <f>IF(SER_hh_tes!P11=0,0,11630*1000*SER_hh_tes!P11/SER_hh_num!P11)</f>
        <v>0</v>
      </c>
      <c r="Q11" s="132">
        <f>IF(SER_hh_tes!Q11=0,0,11630*1000*SER_hh_tes!Q11/SER_hh_num!Q11)</f>
        <v>0</v>
      </c>
      <c r="R11" s="132">
        <f>IF(SER_hh_tes!R11=0,0,11630*1000*SER_hh_tes!R11/SER_hh_num!R11)</f>
        <v>0</v>
      </c>
      <c r="S11" s="132">
        <f>IF(SER_hh_tes!S11=0,0,11630*1000*SER_hh_tes!S11/SER_hh_num!S11)</f>
        <v>0</v>
      </c>
      <c r="T11" s="132">
        <f>IF(SER_hh_tes!T11=0,0,11630*1000*SER_hh_tes!T11/SER_hh_num!T11)</f>
        <v>0</v>
      </c>
      <c r="U11" s="132">
        <f>IF(SER_hh_tes!U11=0,0,11630*1000*SER_hh_tes!U11/SER_hh_num!U11)</f>
        <v>0</v>
      </c>
      <c r="V11" s="132">
        <f>IF(SER_hh_tes!V11=0,0,11630*1000*SER_hh_tes!V11/SER_hh_num!V11)</f>
        <v>0</v>
      </c>
      <c r="W11" s="132">
        <f>IF(SER_hh_tes!W11=0,0,11630*1000*SER_hh_tes!W11/SER_hh_num!W11)</f>
        <v>0</v>
      </c>
      <c r="X11" s="132">
        <f>IF(SER_hh_tes!X11=0,0,11630*1000*SER_hh_tes!X11/SER_hh_num!X11)</f>
        <v>0</v>
      </c>
      <c r="Y11" s="132">
        <f>IF(SER_hh_tes!Y11=0,0,11630*1000*SER_hh_tes!Y11/SER_hh_num!Y11)</f>
        <v>0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74388.43416915508</v>
      </c>
      <c r="C12" s="132">
        <f>IF(SER_hh_tes!C12=0,0,11630*1000*SER_hh_tes!C12/SER_hh_num!C12)</f>
        <v>75429.302208076289</v>
      </c>
      <c r="D12" s="132">
        <f>IF(SER_hh_tes!D12=0,0,11630*1000*SER_hh_tes!D12/SER_hh_num!D12)</f>
        <v>76204.889362234986</v>
      </c>
      <c r="E12" s="132">
        <f>IF(SER_hh_tes!E12=0,0,11630*1000*SER_hh_tes!E12/SER_hh_num!E12)</f>
        <v>78663.168087323618</v>
      </c>
      <c r="F12" s="132">
        <f>IF(SER_hh_tes!F12=0,0,11630*1000*SER_hh_tes!F12/SER_hh_num!F12)</f>
        <v>95626.696085513657</v>
      </c>
      <c r="G12" s="132">
        <f>IF(SER_hh_tes!G12=0,0,11630*1000*SER_hh_tes!G12/SER_hh_num!G12)</f>
        <v>88185.949250322912</v>
      </c>
      <c r="H12" s="132">
        <f>IF(SER_hh_tes!H12=0,0,11630*1000*SER_hh_tes!H12/SER_hh_num!H12)</f>
        <v>100824.40019076444</v>
      </c>
      <c r="I12" s="132">
        <f>IF(SER_hh_tes!I12=0,0,11630*1000*SER_hh_tes!I12/SER_hh_num!I12)</f>
        <v>110528.17323784113</v>
      </c>
      <c r="J12" s="132">
        <f>IF(SER_hh_tes!J12=0,0,11630*1000*SER_hh_tes!J12/SER_hh_num!J12)</f>
        <v>67846.993474304778</v>
      </c>
      <c r="K12" s="132">
        <f>IF(SER_hh_tes!K12=0,0,11630*1000*SER_hh_tes!K12/SER_hh_num!K12)</f>
        <v>76961.241670784686</v>
      </c>
      <c r="L12" s="132">
        <f>IF(SER_hh_tes!L12=0,0,11630*1000*SER_hh_tes!L12/SER_hh_num!L12)</f>
        <v>106796.09348856243</v>
      </c>
      <c r="M12" s="132">
        <f>IF(SER_hh_tes!M12=0,0,11630*1000*SER_hh_tes!M12/SER_hh_num!M12)</f>
        <v>87647.744321388323</v>
      </c>
      <c r="N12" s="132">
        <f>IF(SER_hh_tes!N12=0,0,11630*1000*SER_hh_tes!N12/SER_hh_num!N12)</f>
        <v>83243.118676740647</v>
      </c>
      <c r="O12" s="132">
        <f>IF(SER_hh_tes!O12=0,0,11630*1000*SER_hh_tes!O12/SER_hh_num!O12)</f>
        <v>74994.96710473932</v>
      </c>
      <c r="P12" s="132">
        <f>IF(SER_hh_tes!P12=0,0,11630*1000*SER_hh_tes!P12/SER_hh_num!P12)</f>
        <v>84755.33421717149</v>
      </c>
      <c r="Q12" s="132">
        <f>IF(SER_hh_tes!Q12=0,0,11630*1000*SER_hh_tes!Q12/SER_hh_num!Q12)</f>
        <v>91945.914851274036</v>
      </c>
      <c r="R12" s="132">
        <f>IF(SER_hh_tes!R12=0,0,11630*1000*SER_hh_tes!R12/SER_hh_num!R12)</f>
        <v>85519.370339216985</v>
      </c>
      <c r="S12" s="132">
        <f>IF(SER_hh_tes!S12=0,0,11630*1000*SER_hh_tes!S12/SER_hh_num!S12)</f>
        <v>80057.156488865978</v>
      </c>
      <c r="T12" s="132">
        <f>IF(SER_hh_tes!T12=0,0,11630*1000*SER_hh_tes!T12/SER_hh_num!T12)</f>
        <v>85518.262258967647</v>
      </c>
      <c r="U12" s="132">
        <f>IF(SER_hh_tes!U12=0,0,11630*1000*SER_hh_tes!U12/SER_hh_num!U12)</f>
        <v>81632.558845152991</v>
      </c>
      <c r="V12" s="132">
        <f>IF(SER_hh_tes!V12=0,0,11630*1000*SER_hh_tes!V12/SER_hh_num!V12)</f>
        <v>87625.013606934779</v>
      </c>
      <c r="W12" s="132">
        <f>IF(SER_hh_tes!W12=0,0,11630*1000*SER_hh_tes!W12/SER_hh_num!W12)</f>
        <v>86102.251552724119</v>
      </c>
      <c r="X12" s="132">
        <f>IF(SER_hh_tes!X12=0,0,11630*1000*SER_hh_tes!X12/SER_hh_num!X12)</f>
        <v>72705.692196906981</v>
      </c>
      <c r="Y12" s="132">
        <f>IF(SER_hh_tes!Y12=0,0,11630*1000*SER_hh_tes!Y12/SER_hh_num!Y12)</f>
        <v>75706.18645996986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63388.100551902135</v>
      </c>
      <c r="C13" s="132">
        <f>IF(SER_hh_tes!C13=0,0,11630*1000*SER_hh_tes!C13/SER_hh_num!C13)</f>
        <v>81162.229602307256</v>
      </c>
      <c r="D13" s="132">
        <f>IF(SER_hh_tes!D13=0,0,11630*1000*SER_hh_tes!D13/SER_hh_num!D13)</f>
        <v>77913.300716750207</v>
      </c>
      <c r="E13" s="132">
        <f>IF(SER_hh_tes!E13=0,0,11630*1000*SER_hh_tes!E13/SER_hh_num!E13)</f>
        <v>71294.43714260422</v>
      </c>
      <c r="F13" s="132">
        <f>IF(SER_hh_tes!F13=0,0,11630*1000*SER_hh_tes!F13/SER_hh_num!F13)</f>
        <v>36976.324188713275</v>
      </c>
      <c r="G13" s="132">
        <f>IF(SER_hh_tes!G13=0,0,11630*1000*SER_hh_tes!G13/SER_hh_num!G13)</f>
        <v>27885.143885483209</v>
      </c>
      <c r="H13" s="132">
        <f>IF(SER_hh_tes!H13=0,0,11630*1000*SER_hh_tes!H13/SER_hh_num!H13)</f>
        <v>99610.035961649657</v>
      </c>
      <c r="I13" s="132">
        <f>IF(SER_hh_tes!I13=0,0,11630*1000*SER_hh_tes!I13/SER_hh_num!I13)</f>
        <v>93565.020781836807</v>
      </c>
      <c r="J13" s="132">
        <f>IF(SER_hh_tes!J13=0,0,11630*1000*SER_hh_tes!J13/SER_hh_num!J13)</f>
        <v>95994.118937049221</v>
      </c>
      <c r="K13" s="132">
        <f>IF(SER_hh_tes!K13=0,0,11630*1000*SER_hh_tes!K13/SER_hh_num!K13)</f>
        <v>97115.511924794628</v>
      </c>
      <c r="L13" s="132">
        <f>IF(SER_hh_tes!L13=0,0,11630*1000*SER_hh_tes!L13/SER_hh_num!L13)</f>
        <v>89998.2462055262</v>
      </c>
      <c r="M13" s="132">
        <f>IF(SER_hh_tes!M13=0,0,11630*1000*SER_hh_tes!M13/SER_hh_num!M13)</f>
        <v>84503.260592735867</v>
      </c>
      <c r="N13" s="132">
        <f>IF(SER_hh_tes!N13=0,0,11630*1000*SER_hh_tes!N13/SER_hh_num!N13)</f>
        <v>86113.482777512923</v>
      </c>
      <c r="O13" s="132">
        <f>IF(SER_hh_tes!O13=0,0,11630*1000*SER_hh_tes!O13/SER_hh_num!O13)</f>
        <v>93180.509544099768</v>
      </c>
      <c r="P13" s="132">
        <f>IF(SER_hh_tes!P13=0,0,11630*1000*SER_hh_tes!P13/SER_hh_num!P13)</f>
        <v>79505.377398013516</v>
      </c>
      <c r="Q13" s="132">
        <f>IF(SER_hh_tes!Q13=0,0,11630*1000*SER_hh_tes!Q13/SER_hh_num!Q13)</f>
        <v>78792.530852305703</v>
      </c>
      <c r="R13" s="132">
        <f>IF(SER_hh_tes!R13=0,0,11630*1000*SER_hh_tes!R13/SER_hh_num!R13)</f>
        <v>73884.670401262032</v>
      </c>
      <c r="S13" s="132">
        <f>IF(SER_hh_tes!S13=0,0,11630*1000*SER_hh_tes!S13/SER_hh_num!S13)</f>
        <v>55861.990554842007</v>
      </c>
      <c r="T13" s="132">
        <f>IF(SER_hh_tes!T13=0,0,11630*1000*SER_hh_tes!T13/SER_hh_num!T13)</f>
        <v>85254.73782968575</v>
      </c>
      <c r="U13" s="132">
        <f>IF(SER_hh_tes!U13=0,0,11630*1000*SER_hh_tes!U13/SER_hh_num!U13)</f>
        <v>83823.915088759197</v>
      </c>
      <c r="V13" s="132">
        <f>IF(SER_hh_tes!V13=0,0,11630*1000*SER_hh_tes!V13/SER_hh_num!V13)</f>
        <v>73742.458486489762</v>
      </c>
      <c r="W13" s="132">
        <f>IF(SER_hh_tes!W13=0,0,11630*1000*SER_hh_tes!W13/SER_hh_num!W13)</f>
        <v>92303.252313468416</v>
      </c>
      <c r="X13" s="132">
        <f>IF(SER_hh_tes!X13=0,0,11630*1000*SER_hh_tes!X13/SER_hh_num!X13)</f>
        <v>73878.299306027096</v>
      </c>
      <c r="Y13" s="132">
        <f>IF(SER_hh_tes!Y13=0,0,11630*1000*SER_hh_tes!Y13/SER_hh_num!Y13)</f>
        <v>76449.239252751009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82716.636708608392</v>
      </c>
      <c r="C14" s="65">
        <f>IF(SER_hh_tes!C14=0,0,11630*1000*SER_hh_tes!C14/SER_hh_num!C14)</f>
        <v>89387.546142285835</v>
      </c>
      <c r="D14" s="65">
        <f>IF(SER_hh_tes!D14=0,0,11630*1000*SER_hh_tes!D14/SER_hh_num!D14)</f>
        <v>26881.275325553965</v>
      </c>
      <c r="E14" s="65">
        <f>IF(SER_hh_tes!E14=0,0,11630*1000*SER_hh_tes!E14/SER_hh_num!E14)</f>
        <v>4095.8945152447091</v>
      </c>
      <c r="F14" s="65">
        <f>IF(SER_hh_tes!F14=0,0,11630*1000*SER_hh_tes!F14/SER_hh_num!F14)</f>
        <v>141404.88634641061</v>
      </c>
      <c r="G14" s="65">
        <f>IF(SER_hh_tes!G14=0,0,11630*1000*SER_hh_tes!G14/SER_hh_num!G14)</f>
        <v>112261.66565847193</v>
      </c>
      <c r="H14" s="65">
        <f>IF(SER_hh_tes!H14=0,0,11630*1000*SER_hh_tes!H14/SER_hh_num!H14)</f>
        <v>93061.412594039226</v>
      </c>
      <c r="I14" s="65">
        <f>IF(SER_hh_tes!I14=0,0,11630*1000*SER_hh_tes!I14/SER_hh_num!I14)</f>
        <v>89166.409204772805</v>
      </c>
      <c r="J14" s="65">
        <f>IF(SER_hh_tes!J14=0,0,11630*1000*SER_hh_tes!J14/SER_hh_num!J14)</f>
        <v>93330.942360962785</v>
      </c>
      <c r="K14" s="65">
        <f>IF(SER_hh_tes!K14=0,0,11630*1000*SER_hh_tes!K14/SER_hh_num!K14)</f>
        <v>97972.791431913647</v>
      </c>
      <c r="L14" s="65">
        <f>IF(SER_hh_tes!L14=0,0,11630*1000*SER_hh_tes!L14/SER_hh_num!L14)</f>
        <v>95169.140467046251</v>
      </c>
      <c r="M14" s="65">
        <f>IF(SER_hh_tes!M14=0,0,11630*1000*SER_hh_tes!M14/SER_hh_num!M14)</f>
        <v>83448.825450205433</v>
      </c>
      <c r="N14" s="65">
        <f>IF(SER_hh_tes!N14=0,0,11630*1000*SER_hh_tes!N14/SER_hh_num!N14)</f>
        <v>87405.764809941495</v>
      </c>
      <c r="O14" s="65">
        <f>IF(SER_hh_tes!O14=0,0,11630*1000*SER_hh_tes!O14/SER_hh_num!O14)</f>
        <v>92371.906040178583</v>
      </c>
      <c r="P14" s="65">
        <f>IF(SER_hh_tes!P14=0,0,11630*1000*SER_hh_tes!P14/SER_hh_num!P14)</f>
        <v>76182.105176502286</v>
      </c>
      <c r="Q14" s="65">
        <f>IF(SER_hh_tes!Q14=0,0,11630*1000*SER_hh_tes!Q14/SER_hh_num!Q14)</f>
        <v>82449.915420420788</v>
      </c>
      <c r="R14" s="65">
        <f>IF(SER_hh_tes!R14=0,0,11630*1000*SER_hh_tes!R14/SER_hh_num!R14)</f>
        <v>84249.55336840068</v>
      </c>
      <c r="S14" s="65">
        <f>IF(SER_hh_tes!S14=0,0,11630*1000*SER_hh_tes!S14/SER_hh_num!S14)</f>
        <v>85070.171091797281</v>
      </c>
      <c r="T14" s="65">
        <f>IF(SER_hh_tes!T14=0,0,11630*1000*SER_hh_tes!T14/SER_hh_num!T14)</f>
        <v>86366.491614734128</v>
      </c>
      <c r="U14" s="65">
        <f>IF(SER_hh_tes!U14=0,0,11630*1000*SER_hh_tes!U14/SER_hh_num!U14)</f>
        <v>90463.108429759319</v>
      </c>
      <c r="V14" s="65">
        <f>IF(SER_hh_tes!V14=0,0,11630*1000*SER_hh_tes!V14/SER_hh_num!V14)</f>
        <v>82213.161564774768</v>
      </c>
      <c r="W14" s="65">
        <f>IF(SER_hh_tes!W14=0,0,11630*1000*SER_hh_tes!W14/SER_hh_num!W14)</f>
        <v>89711.667709455956</v>
      </c>
      <c r="X14" s="65">
        <f>IF(SER_hh_tes!X14=0,0,11630*1000*SER_hh_tes!X14/SER_hh_num!X14)</f>
        <v>80982.264627570577</v>
      </c>
      <c r="Y14" s="65">
        <f>IF(SER_hh_tes!Y14=0,0,11630*1000*SER_hh_tes!Y14/SER_hh_num!Y14)</f>
        <v>68206.056188550385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1376.792038226906</v>
      </c>
      <c r="C15" s="134">
        <f>IF(SER_hh_tes!C15=0,0,11630*1000*SER_hh_tes!C15/SER_hh_num!C15)</f>
        <v>1420.6681376302906</v>
      </c>
      <c r="D15" s="134">
        <f>IF(SER_hh_tes!D15=0,0,11630*1000*SER_hh_tes!D15/SER_hh_num!D15)</f>
        <v>1471.7381066805615</v>
      </c>
      <c r="E15" s="134">
        <f>IF(SER_hh_tes!E15=0,0,11630*1000*SER_hh_tes!E15/SER_hh_num!E15)</f>
        <v>1590.1896653857843</v>
      </c>
      <c r="F15" s="134">
        <f>IF(SER_hh_tes!F15=0,0,11630*1000*SER_hh_tes!F15/SER_hh_num!F15)</f>
        <v>1651.1711771173118</v>
      </c>
      <c r="G15" s="134">
        <f>IF(SER_hh_tes!G15=0,0,11630*1000*SER_hh_tes!G15/SER_hh_num!G15)</f>
        <v>1696.1639233465321</v>
      </c>
      <c r="H15" s="134">
        <f>IF(SER_hh_tes!H15=0,0,11630*1000*SER_hh_tes!H15/SER_hh_num!H15)</f>
        <v>1596.329894183506</v>
      </c>
      <c r="I15" s="134">
        <f>IF(SER_hh_tes!I15=0,0,11630*1000*SER_hh_tes!I15/SER_hh_num!I15)</f>
        <v>1399.1025853716978</v>
      </c>
      <c r="J15" s="134">
        <f>IF(SER_hh_tes!J15=0,0,11630*1000*SER_hh_tes!J15/SER_hh_num!J15)</f>
        <v>1627.1181118107838</v>
      </c>
      <c r="K15" s="134">
        <f>IF(SER_hh_tes!K15=0,0,11630*1000*SER_hh_tes!K15/SER_hh_num!K15)</f>
        <v>1547.1892887433291</v>
      </c>
      <c r="L15" s="134">
        <f>IF(SER_hh_tes!L15=0,0,11630*1000*SER_hh_tes!L15/SER_hh_num!L15)</f>
        <v>1663.2239211485453</v>
      </c>
      <c r="M15" s="134">
        <f>IF(SER_hh_tes!M15=0,0,11630*1000*SER_hh_tes!M15/SER_hh_num!M15)</f>
        <v>1290.1411803519275</v>
      </c>
      <c r="N15" s="134">
        <f>IF(SER_hh_tes!N15=0,0,11630*1000*SER_hh_tes!N15/SER_hh_num!N15)</f>
        <v>1394.6716854966032</v>
      </c>
      <c r="O15" s="134">
        <f>IF(SER_hh_tes!O15=0,0,11630*1000*SER_hh_tes!O15/SER_hh_num!O15)</f>
        <v>1530.6341035176129</v>
      </c>
      <c r="P15" s="134">
        <f>IF(SER_hh_tes!P15=0,0,11630*1000*SER_hh_tes!P15/SER_hh_num!P15)</f>
        <v>1135.9326768000324</v>
      </c>
      <c r="Q15" s="134">
        <f>IF(SER_hh_tes!Q15=0,0,11630*1000*SER_hh_tes!Q15/SER_hh_num!Q15)</f>
        <v>1319.1739202087974</v>
      </c>
      <c r="R15" s="134">
        <f>IF(SER_hh_tes!R15=0,0,11630*1000*SER_hh_tes!R15/SER_hh_num!R15)</f>
        <v>1334.0638349527483</v>
      </c>
      <c r="S15" s="134">
        <f>IF(SER_hh_tes!S15=0,0,11630*1000*SER_hh_tes!S15/SER_hh_num!S15)</f>
        <v>1336.1382820660453</v>
      </c>
      <c r="T15" s="134">
        <f>IF(SER_hh_tes!T15=0,0,11630*1000*SER_hh_tes!T15/SER_hh_num!T15)</f>
        <v>1357.5896989267062</v>
      </c>
      <c r="U15" s="134">
        <f>IF(SER_hh_tes!U15=0,0,11630*1000*SER_hh_tes!U15/SER_hh_num!U15)</f>
        <v>1287.7920365518373</v>
      </c>
      <c r="V15" s="134">
        <f>IF(SER_hh_tes!V15=0,0,11630*1000*SER_hh_tes!V15/SER_hh_num!V15)</f>
        <v>1273.7365801209032</v>
      </c>
      <c r="W15" s="134">
        <f>IF(SER_hh_tes!W15=0,0,11630*1000*SER_hh_tes!W15/SER_hh_num!W15)</f>
        <v>1396.3098622677758</v>
      </c>
      <c r="X15" s="134">
        <f>IF(SER_hh_tes!X15=0,0,11630*1000*SER_hh_tes!X15/SER_hh_num!X15)</f>
        <v>1098.8692949434885</v>
      </c>
      <c r="Y15" s="134">
        <f>IF(SER_hh_tes!Y15=0,0,11630*1000*SER_hh_tes!Y15/SER_hh_num!Y15)</f>
        <v>1053.240818406498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27620.358562296766</v>
      </c>
      <c r="C16" s="130">
        <f>IF(SER_hh_tes!C16=0,0,11630*1000*SER_hh_tes!C16/SER_hh_num!C16)</f>
        <v>28471.577556427535</v>
      </c>
      <c r="D16" s="130">
        <f>IF(SER_hh_tes!D16=0,0,11630*1000*SER_hh_tes!D16/SER_hh_num!D16)</f>
        <v>28346.494501672427</v>
      </c>
      <c r="E16" s="130">
        <f>IF(SER_hh_tes!E16=0,0,11630*1000*SER_hh_tes!E16/SER_hh_num!E16)</f>
        <v>36179.37643908809</v>
      </c>
      <c r="F16" s="130">
        <f>IF(SER_hh_tes!F16=0,0,11630*1000*SER_hh_tes!F16/SER_hh_num!F16)</f>
        <v>28009.981497184872</v>
      </c>
      <c r="G16" s="130">
        <f>IF(SER_hh_tes!G16=0,0,11630*1000*SER_hh_tes!G16/SER_hh_num!G16)</f>
        <v>28539.328221460466</v>
      </c>
      <c r="H16" s="130">
        <f>IF(SER_hh_tes!H16=0,0,11630*1000*SER_hh_tes!H16/SER_hh_num!H16)</f>
        <v>35795.811532898078</v>
      </c>
      <c r="I16" s="130">
        <f>IF(SER_hh_tes!I16=0,0,11630*1000*SER_hh_tes!I16/SER_hh_num!I16)</f>
        <v>28043.133458487027</v>
      </c>
      <c r="J16" s="130">
        <f>IF(SER_hh_tes!J16=0,0,11630*1000*SER_hh_tes!J16/SER_hh_num!J16)</f>
        <v>28369.374031944975</v>
      </c>
      <c r="K16" s="130">
        <f>IF(SER_hh_tes!K16=0,0,11630*1000*SER_hh_tes!K16/SER_hh_num!K16)</f>
        <v>28861.901717136996</v>
      </c>
      <c r="L16" s="130">
        <f>IF(SER_hh_tes!L16=0,0,11630*1000*SER_hh_tes!L16/SER_hh_num!L16)</f>
        <v>30806.354888492926</v>
      </c>
      <c r="M16" s="130">
        <f>IF(SER_hh_tes!M16=0,0,11630*1000*SER_hh_tes!M16/SER_hh_num!M16)</f>
        <v>29051.880345408717</v>
      </c>
      <c r="N16" s="130">
        <f>IF(SER_hh_tes!N16=0,0,11630*1000*SER_hh_tes!N16/SER_hh_num!N16)</f>
        <v>29569.565725337412</v>
      </c>
      <c r="O16" s="130">
        <f>IF(SER_hh_tes!O16=0,0,11630*1000*SER_hh_tes!O16/SER_hh_num!O16)</f>
        <v>30078.500508096073</v>
      </c>
      <c r="P16" s="130">
        <f>IF(SER_hh_tes!P16=0,0,11630*1000*SER_hh_tes!P16/SER_hh_num!P16)</f>
        <v>29210.238032897571</v>
      </c>
      <c r="Q16" s="130">
        <f>IF(SER_hh_tes!Q16=0,0,11630*1000*SER_hh_tes!Q16/SER_hh_num!Q16)</f>
        <v>33071.805987533116</v>
      </c>
      <c r="R16" s="130">
        <f>IF(SER_hh_tes!R16=0,0,11630*1000*SER_hh_tes!R16/SER_hh_num!R16)</f>
        <v>32183.749527265612</v>
      </c>
      <c r="S16" s="130">
        <f>IF(SER_hh_tes!S16=0,0,11630*1000*SER_hh_tes!S16/SER_hh_num!S16)</f>
        <v>30647.129774097451</v>
      </c>
      <c r="T16" s="130">
        <f>IF(SER_hh_tes!T16=0,0,11630*1000*SER_hh_tes!T16/SER_hh_num!T16)</f>
        <v>35112.993974694102</v>
      </c>
      <c r="U16" s="130">
        <f>IF(SER_hh_tes!U16=0,0,11630*1000*SER_hh_tes!U16/SER_hh_num!U16)</f>
        <v>33981.845970721086</v>
      </c>
      <c r="V16" s="130">
        <f>IF(SER_hh_tes!V16=0,0,11630*1000*SER_hh_tes!V16/SER_hh_num!V16)</f>
        <v>36369.243140886261</v>
      </c>
      <c r="W16" s="130">
        <f>IF(SER_hh_tes!W16=0,0,11630*1000*SER_hh_tes!W16/SER_hh_num!W16)</f>
        <v>29815.171019566591</v>
      </c>
      <c r="X16" s="130">
        <f>IF(SER_hh_tes!X16=0,0,11630*1000*SER_hh_tes!X16/SER_hh_num!X16)</f>
        <v>33848.256008887554</v>
      </c>
      <c r="Y16" s="130">
        <f>IF(SER_hh_tes!Y16=0,0,11630*1000*SER_hh_tes!Y16/SER_hh_num!Y16)</f>
        <v>31072.211566169586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27620.358562296762</v>
      </c>
      <c r="C17" s="132">
        <f>IF(SER_hh_tes!C17=0,0,11630*1000*SER_hh_tes!C17/SER_hh_num!C17)</f>
        <v>28471.577556427506</v>
      </c>
      <c r="D17" s="132">
        <f>IF(SER_hh_tes!D17=0,0,11630*1000*SER_hh_tes!D17/SER_hh_num!D17)</f>
        <v>28346.49450167238</v>
      </c>
      <c r="E17" s="132">
        <f>IF(SER_hh_tes!E17=0,0,11630*1000*SER_hh_tes!E17/SER_hh_num!E17)</f>
        <v>36179.376439088133</v>
      </c>
      <c r="F17" s="132">
        <f>IF(SER_hh_tes!F17=0,0,11630*1000*SER_hh_tes!F17/SER_hh_num!F17)</f>
        <v>28009.981497184865</v>
      </c>
      <c r="G17" s="132">
        <f>IF(SER_hh_tes!G17=0,0,11630*1000*SER_hh_tes!G17/SER_hh_num!G17)</f>
        <v>28539.328221460524</v>
      </c>
      <c r="H17" s="132">
        <f>IF(SER_hh_tes!H17=0,0,11630*1000*SER_hh_tes!H17/SER_hh_num!H17)</f>
        <v>35795.811532898093</v>
      </c>
      <c r="I17" s="132">
        <f>IF(SER_hh_tes!I17=0,0,11630*1000*SER_hh_tes!I17/SER_hh_num!I17)</f>
        <v>28043.133458486962</v>
      </c>
      <c r="J17" s="132">
        <f>IF(SER_hh_tes!J17=0,0,11630*1000*SER_hh_tes!J17/SER_hh_num!J17)</f>
        <v>28369.374031944964</v>
      </c>
      <c r="K17" s="132">
        <f>IF(SER_hh_tes!K17=0,0,11630*1000*SER_hh_tes!K17/SER_hh_num!K17)</f>
        <v>28861.901717136985</v>
      </c>
      <c r="L17" s="132">
        <f>IF(SER_hh_tes!L17=0,0,11630*1000*SER_hh_tes!L17/SER_hh_num!L17)</f>
        <v>30806.354888493002</v>
      </c>
      <c r="M17" s="132">
        <f>IF(SER_hh_tes!M17=0,0,11630*1000*SER_hh_tes!M17/SER_hh_num!M17)</f>
        <v>29051.880345408634</v>
      </c>
      <c r="N17" s="132">
        <f>IF(SER_hh_tes!N17=0,0,11630*1000*SER_hh_tes!N17/SER_hh_num!N17)</f>
        <v>29569.565725337434</v>
      </c>
      <c r="O17" s="132">
        <f>IF(SER_hh_tes!O17=0,0,11630*1000*SER_hh_tes!O17/SER_hh_num!O17)</f>
        <v>30078.500508096036</v>
      </c>
      <c r="P17" s="132">
        <f>IF(SER_hh_tes!P17=0,0,11630*1000*SER_hh_tes!P17/SER_hh_num!P17)</f>
        <v>29210.238032897523</v>
      </c>
      <c r="Q17" s="132">
        <f>IF(SER_hh_tes!Q17=0,0,11630*1000*SER_hh_tes!Q17/SER_hh_num!Q17)</f>
        <v>33071.805987533218</v>
      </c>
      <c r="R17" s="132">
        <f>IF(SER_hh_tes!R17=0,0,11630*1000*SER_hh_tes!R17/SER_hh_num!R17)</f>
        <v>32183.749527265569</v>
      </c>
      <c r="S17" s="132">
        <f>IF(SER_hh_tes!S17=0,0,11630*1000*SER_hh_tes!S17/SER_hh_num!S17)</f>
        <v>30647.129774097448</v>
      </c>
      <c r="T17" s="132">
        <f>IF(SER_hh_tes!T17=0,0,11630*1000*SER_hh_tes!T17/SER_hh_num!T17)</f>
        <v>35112.993974694036</v>
      </c>
      <c r="U17" s="132">
        <f>IF(SER_hh_tes!U17=0,0,11630*1000*SER_hh_tes!U17/SER_hh_num!U17)</f>
        <v>33981.84597072102</v>
      </c>
      <c r="V17" s="132">
        <f>IF(SER_hh_tes!V17=0,0,11630*1000*SER_hh_tes!V17/SER_hh_num!V17)</f>
        <v>38431.081853981617</v>
      </c>
      <c r="W17" s="132">
        <f>IF(SER_hh_tes!W17=0,0,11630*1000*SER_hh_tes!W17/SER_hh_num!W17)</f>
        <v>27965.909245455416</v>
      </c>
      <c r="X17" s="132">
        <f>IF(SER_hh_tes!X17=0,0,11630*1000*SER_hh_tes!X17/SER_hh_num!X17)</f>
        <v>33848.256008873774</v>
      </c>
      <c r="Y17" s="132">
        <f>IF(SER_hh_tes!Y17=0,0,11630*1000*SER_hh_tes!Y17/SER_hh_num!Y17)</f>
        <v>31072.211566162361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27620.358562296766</v>
      </c>
      <c r="C18" s="132">
        <f>IF(SER_hh_tes!C18=0,0,11630*1000*SER_hh_tes!C18/SER_hh_num!C18)</f>
        <v>28471.577556427535</v>
      </c>
      <c r="D18" s="132">
        <f>IF(SER_hh_tes!D18=0,0,11630*1000*SER_hh_tes!D18/SER_hh_num!D18)</f>
        <v>28346.494501672427</v>
      </c>
      <c r="E18" s="132">
        <f>IF(SER_hh_tes!E18=0,0,11630*1000*SER_hh_tes!E18/SER_hh_num!E18)</f>
        <v>36179.376439088097</v>
      </c>
      <c r="F18" s="132">
        <f>IF(SER_hh_tes!F18=0,0,11630*1000*SER_hh_tes!F18/SER_hh_num!F18)</f>
        <v>28009.981497184872</v>
      </c>
      <c r="G18" s="132">
        <f>IF(SER_hh_tes!G18=0,0,11630*1000*SER_hh_tes!G18/SER_hh_num!G18)</f>
        <v>28539.32822146047</v>
      </c>
      <c r="H18" s="132">
        <f>IF(SER_hh_tes!H18=0,0,11630*1000*SER_hh_tes!H18/SER_hh_num!H18)</f>
        <v>35795.811532898078</v>
      </c>
      <c r="I18" s="132">
        <f>IF(SER_hh_tes!I18=0,0,11630*1000*SER_hh_tes!I18/SER_hh_num!I18)</f>
        <v>28043.133458487027</v>
      </c>
      <c r="J18" s="132">
        <f>IF(SER_hh_tes!J18=0,0,11630*1000*SER_hh_tes!J18/SER_hh_num!J18)</f>
        <v>28369.374031944972</v>
      </c>
      <c r="K18" s="132">
        <f>IF(SER_hh_tes!K18=0,0,11630*1000*SER_hh_tes!K18/SER_hh_num!K18)</f>
        <v>28861.901717136996</v>
      </c>
      <c r="L18" s="132">
        <f>IF(SER_hh_tes!L18=0,0,11630*1000*SER_hh_tes!L18/SER_hh_num!L18)</f>
        <v>30806.354888492922</v>
      </c>
      <c r="M18" s="132">
        <f>IF(SER_hh_tes!M18=0,0,11630*1000*SER_hh_tes!M18/SER_hh_num!M18)</f>
        <v>29051.880345408721</v>
      </c>
      <c r="N18" s="132">
        <f>IF(SER_hh_tes!N18=0,0,11630*1000*SER_hh_tes!N18/SER_hh_num!N18)</f>
        <v>29569.565725337408</v>
      </c>
      <c r="O18" s="132">
        <f>IF(SER_hh_tes!O18=0,0,11630*1000*SER_hh_tes!O18/SER_hh_num!O18)</f>
        <v>30078.500508096069</v>
      </c>
      <c r="P18" s="132">
        <f>IF(SER_hh_tes!P18=0,0,11630*1000*SER_hh_tes!P18/SER_hh_num!P18)</f>
        <v>29210.238032897574</v>
      </c>
      <c r="Q18" s="132">
        <f>IF(SER_hh_tes!Q18=0,0,11630*1000*SER_hh_tes!Q18/SER_hh_num!Q18)</f>
        <v>33071.805987533116</v>
      </c>
      <c r="R18" s="132">
        <f>IF(SER_hh_tes!R18=0,0,11630*1000*SER_hh_tes!R18/SER_hh_num!R18)</f>
        <v>32183.749527265612</v>
      </c>
      <c r="S18" s="132">
        <f>IF(SER_hh_tes!S18=0,0,11630*1000*SER_hh_tes!S18/SER_hh_num!S18)</f>
        <v>30647.129774097448</v>
      </c>
      <c r="T18" s="132">
        <f>IF(SER_hh_tes!T18=0,0,11630*1000*SER_hh_tes!T18/SER_hh_num!T18)</f>
        <v>35112.993974694102</v>
      </c>
      <c r="U18" s="132">
        <f>IF(SER_hh_tes!U18=0,0,11630*1000*SER_hh_tes!U18/SER_hh_num!U18)</f>
        <v>33981.845970721086</v>
      </c>
      <c r="V18" s="132">
        <f>IF(SER_hh_tes!V18=0,0,11630*1000*SER_hh_tes!V18/SER_hh_num!V18)</f>
        <v>36352.774590608191</v>
      </c>
      <c r="W18" s="132">
        <f>IF(SER_hh_tes!W18=0,0,11630*1000*SER_hh_tes!W18/SER_hh_num!W18)</f>
        <v>29830.201342652988</v>
      </c>
      <c r="X18" s="132">
        <f>IF(SER_hh_tes!X18=0,0,11630*1000*SER_hh_tes!X18/SER_hh_num!X18)</f>
        <v>33848.256008887663</v>
      </c>
      <c r="Y18" s="132">
        <f>IF(SER_hh_tes!Y18=0,0,11630*1000*SER_hh_tes!Y18/SER_hh_num!Y18)</f>
        <v>31072.211566169648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12865.944213608558</v>
      </c>
      <c r="C19" s="130">
        <f>IF(SER_hh_tes!C19=0,0,11630*1000*SER_hh_tes!C19/SER_hh_num!C19)</f>
        <v>12907.187935128353</v>
      </c>
      <c r="D19" s="130">
        <f>IF(SER_hh_tes!D19=0,0,11630*1000*SER_hh_tes!D19/SER_hh_num!D19)</f>
        <v>13288.023854592651</v>
      </c>
      <c r="E19" s="130">
        <f>IF(SER_hh_tes!E19=0,0,11630*1000*SER_hh_tes!E19/SER_hh_num!E19)</f>
        <v>13651.1436775211</v>
      </c>
      <c r="F19" s="130">
        <f>IF(SER_hh_tes!F19=0,0,11630*1000*SER_hh_tes!F19/SER_hh_num!F19)</f>
        <v>12812.204582417517</v>
      </c>
      <c r="G19" s="130">
        <f>IF(SER_hh_tes!G19=0,0,11630*1000*SER_hh_tes!G19/SER_hh_num!G19)</f>
        <v>12688.326403937948</v>
      </c>
      <c r="H19" s="130">
        <f>IF(SER_hh_tes!H19=0,0,11630*1000*SER_hh_tes!H19/SER_hh_num!H19)</f>
        <v>12763.678507991342</v>
      </c>
      <c r="I19" s="130">
        <f>IF(SER_hh_tes!I19=0,0,11630*1000*SER_hh_tes!I19/SER_hh_num!I19)</f>
        <v>12715.047538163364</v>
      </c>
      <c r="J19" s="130">
        <f>IF(SER_hh_tes!J19=0,0,11630*1000*SER_hh_tes!J19/SER_hh_num!J19)</f>
        <v>12728.044035267194</v>
      </c>
      <c r="K19" s="130">
        <f>IF(SER_hh_tes!K19=0,0,11630*1000*SER_hh_tes!K19/SER_hh_num!K19)</f>
        <v>12997.236754516001</v>
      </c>
      <c r="L19" s="130">
        <f>IF(SER_hh_tes!L19=0,0,11630*1000*SER_hh_tes!L19/SER_hh_num!L19)</f>
        <v>13059.235906116561</v>
      </c>
      <c r="M19" s="130">
        <f>IF(SER_hh_tes!M19=0,0,11630*1000*SER_hh_tes!M19/SER_hh_num!M19)</f>
        <v>13263.520688101482</v>
      </c>
      <c r="N19" s="130">
        <f>IF(SER_hh_tes!N19=0,0,11630*1000*SER_hh_tes!N19/SER_hh_num!N19)</f>
        <v>13602.322668029547</v>
      </c>
      <c r="O19" s="130">
        <f>IF(SER_hh_tes!O19=0,0,11630*1000*SER_hh_tes!O19/SER_hh_num!O19)</f>
        <v>13951.466857536703</v>
      </c>
      <c r="P19" s="130">
        <f>IF(SER_hh_tes!P19=0,0,11630*1000*SER_hh_tes!P19/SER_hh_num!P19)</f>
        <v>14059.749959936004</v>
      </c>
      <c r="Q19" s="130">
        <f>IF(SER_hh_tes!Q19=0,0,11630*1000*SER_hh_tes!Q19/SER_hh_num!Q19)</f>
        <v>14115.36560837401</v>
      </c>
      <c r="R19" s="130">
        <f>IF(SER_hh_tes!R19=0,0,11630*1000*SER_hh_tes!R19/SER_hh_num!R19)</f>
        <v>14315.052575097703</v>
      </c>
      <c r="S19" s="130">
        <f>IF(SER_hh_tes!S19=0,0,11630*1000*SER_hh_tes!S19/SER_hh_num!S19)</f>
        <v>14473.095602688501</v>
      </c>
      <c r="T19" s="130">
        <f>IF(SER_hh_tes!T19=0,0,11630*1000*SER_hh_tes!T19/SER_hh_num!T19)</f>
        <v>14497.306706988365</v>
      </c>
      <c r="U19" s="130">
        <f>IF(SER_hh_tes!U19=0,0,11630*1000*SER_hh_tes!U19/SER_hh_num!U19)</f>
        <v>13821.005896248513</v>
      </c>
      <c r="V19" s="130">
        <f>IF(SER_hh_tes!V19=0,0,11630*1000*SER_hh_tes!V19/SER_hh_num!V19)</f>
        <v>13197.590665267815</v>
      </c>
      <c r="W19" s="130">
        <f>IF(SER_hh_tes!W19=0,0,11630*1000*SER_hh_tes!W19/SER_hh_num!W19)</f>
        <v>13975.541189405041</v>
      </c>
      <c r="X19" s="130">
        <f>IF(SER_hh_tes!X19=0,0,11630*1000*SER_hh_tes!X19/SER_hh_num!X19)</f>
        <v>14227.166462847481</v>
      </c>
      <c r="Y19" s="130">
        <f>IF(SER_hh_tes!Y19=0,0,11630*1000*SER_hh_tes!Y19/SER_hh_num!Y19)</f>
        <v>14522.608297294282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12793.698853984795</v>
      </c>
      <c r="C21" s="132">
        <f>IF(SER_hh_tes!C21=0,0,11630*1000*SER_hh_tes!C21/SER_hh_num!C21)</f>
        <v>13055.518346079123</v>
      </c>
      <c r="D21" s="132">
        <f>IF(SER_hh_tes!D21=0,0,11630*1000*SER_hh_tes!D21/SER_hh_num!D21)</f>
        <v>13314.521605665299</v>
      </c>
      <c r="E21" s="132">
        <f>IF(SER_hh_tes!E21=0,0,11630*1000*SER_hh_tes!E21/SER_hh_num!E21)</f>
        <v>14022.690619799754</v>
      </c>
      <c r="F21" s="132">
        <f>IF(SER_hh_tes!F21=0,0,11630*1000*SER_hh_tes!F21/SER_hh_num!F21)</f>
        <v>15385.863520192095</v>
      </c>
      <c r="G21" s="132">
        <f>IF(SER_hh_tes!G21=0,0,11630*1000*SER_hh_tes!G21/SER_hh_num!G21)</f>
        <v>9772.7518895610629</v>
      </c>
      <c r="H21" s="132">
        <f>IF(SER_hh_tes!H21=0,0,11630*1000*SER_hh_tes!H21/SER_hh_num!H21)</f>
        <v>11850.584804640594</v>
      </c>
      <c r="I21" s="132">
        <f>IF(SER_hh_tes!I21=0,0,11630*1000*SER_hh_tes!I21/SER_hh_num!I21)</f>
        <v>12940.193906525974</v>
      </c>
      <c r="J21" s="132">
        <f>IF(SER_hh_tes!J21=0,0,11630*1000*SER_hh_tes!J21/SER_hh_num!J21)</f>
        <v>11747.208754593561</v>
      </c>
      <c r="K21" s="132">
        <f>IF(SER_hh_tes!K21=0,0,11630*1000*SER_hh_tes!K21/SER_hh_num!K21)</f>
        <v>12412.485139783812</v>
      </c>
      <c r="L21" s="132">
        <f>IF(SER_hh_tes!L21=0,0,11630*1000*SER_hh_tes!L21/SER_hh_num!L21)</f>
        <v>11732.32067787921</v>
      </c>
      <c r="M21" s="132">
        <f>IF(SER_hh_tes!M21=0,0,11630*1000*SER_hh_tes!M21/SER_hh_num!M21)</f>
        <v>12559.391368046478</v>
      </c>
      <c r="N21" s="132">
        <f>IF(SER_hh_tes!N21=0,0,11630*1000*SER_hh_tes!N21/SER_hh_num!N21)</f>
        <v>13996.236345678813</v>
      </c>
      <c r="O21" s="132">
        <f>IF(SER_hh_tes!O21=0,0,11630*1000*SER_hh_tes!O21/SER_hh_num!O21)</f>
        <v>14274.903324866973</v>
      </c>
      <c r="P21" s="132">
        <f>IF(SER_hh_tes!P21=0,0,11630*1000*SER_hh_tes!P21/SER_hh_num!P21)</f>
        <v>13563.803776586461</v>
      </c>
      <c r="Q21" s="132">
        <f>IF(SER_hh_tes!Q21=0,0,11630*1000*SER_hh_tes!Q21/SER_hh_num!Q21)</f>
        <v>14299.659139848407</v>
      </c>
      <c r="R21" s="132">
        <f>IF(SER_hh_tes!R21=0,0,11630*1000*SER_hh_tes!R21/SER_hh_num!R21)</f>
        <v>14116.649450907813</v>
      </c>
      <c r="S21" s="132">
        <f>IF(SER_hh_tes!S21=0,0,11630*1000*SER_hh_tes!S21/SER_hh_num!S21)</f>
        <v>14506.900820959936</v>
      </c>
      <c r="T21" s="132">
        <f>IF(SER_hh_tes!T21=0,0,11630*1000*SER_hh_tes!T21/SER_hh_num!T21)</f>
        <v>14681.073282796076</v>
      </c>
      <c r="U21" s="132">
        <f>IF(SER_hh_tes!U21=0,0,11630*1000*SER_hh_tes!U21/SER_hh_num!U21)</f>
        <v>14451.407940439754</v>
      </c>
      <c r="V21" s="132">
        <f>IF(SER_hh_tes!V21=0,0,11630*1000*SER_hh_tes!V21/SER_hh_num!V21)</f>
        <v>11868.252615799467</v>
      </c>
      <c r="W21" s="132">
        <f>IF(SER_hh_tes!W21=0,0,11630*1000*SER_hh_tes!W21/SER_hh_num!W21)</f>
        <v>12314.378900853513</v>
      </c>
      <c r="X21" s="132">
        <f>IF(SER_hh_tes!X21=0,0,11630*1000*SER_hh_tes!X21/SER_hh_num!X21)</f>
        <v>17281.818261212673</v>
      </c>
      <c r="Y21" s="132">
        <f>IF(SER_hh_tes!Y21=0,0,11630*1000*SER_hh_tes!Y21/SER_hh_num!Y21)</f>
        <v>13673.603923454008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12919.217033493987</v>
      </c>
      <c r="C22" s="132">
        <f>IF(SER_hh_tes!C22=0,0,11630*1000*SER_hh_tes!C22/SER_hh_num!C22)</f>
        <v>12976.781938007387</v>
      </c>
      <c r="D22" s="132">
        <f>IF(SER_hh_tes!D22=0,0,11630*1000*SER_hh_tes!D22/SER_hh_num!D22)</f>
        <v>13170.003652143972</v>
      </c>
      <c r="E22" s="132">
        <f>IF(SER_hh_tes!E22=0,0,11630*1000*SER_hh_tes!E22/SER_hh_num!E22)</f>
        <v>13268.476426660061</v>
      </c>
      <c r="F22" s="132">
        <f>IF(SER_hh_tes!F22=0,0,11630*1000*SER_hh_tes!F22/SER_hh_num!F22)</f>
        <v>12993.39194117425</v>
      </c>
      <c r="G22" s="132">
        <f>IF(SER_hh_tes!G22=0,0,11630*1000*SER_hh_tes!G22/SER_hh_num!G22)</f>
        <v>12806.811252124933</v>
      </c>
      <c r="H22" s="132">
        <f>IF(SER_hh_tes!H22=0,0,11630*1000*SER_hh_tes!H22/SER_hh_num!H22)</f>
        <v>12793.614842537068</v>
      </c>
      <c r="I22" s="132">
        <f>IF(SER_hh_tes!I22=0,0,11630*1000*SER_hh_tes!I22/SER_hh_num!I22)</f>
        <v>12862.533720733525</v>
      </c>
      <c r="J22" s="132">
        <f>IF(SER_hh_tes!J22=0,0,11630*1000*SER_hh_tes!J22/SER_hh_num!J22)</f>
        <v>12611.458931131532</v>
      </c>
      <c r="K22" s="132">
        <f>IF(SER_hh_tes!K22=0,0,11630*1000*SER_hh_tes!K22/SER_hh_num!K22)</f>
        <v>12867.930760203659</v>
      </c>
      <c r="L22" s="132">
        <f>IF(SER_hh_tes!L22=0,0,11630*1000*SER_hh_tes!L22/SER_hh_num!L22)</f>
        <v>13005.194914488358</v>
      </c>
      <c r="M22" s="132">
        <f>IF(SER_hh_tes!M22=0,0,11630*1000*SER_hh_tes!M22/SER_hh_num!M22)</f>
        <v>13314.242984875407</v>
      </c>
      <c r="N22" s="132">
        <f>IF(SER_hh_tes!N22=0,0,11630*1000*SER_hh_tes!N22/SER_hh_num!N22)</f>
        <v>13596.655471239999</v>
      </c>
      <c r="O22" s="132">
        <f>IF(SER_hh_tes!O22=0,0,11630*1000*SER_hh_tes!O22/SER_hh_num!O22)</f>
        <v>13829.111124950707</v>
      </c>
      <c r="P22" s="132">
        <f>IF(SER_hh_tes!P22=0,0,11630*1000*SER_hh_tes!P22/SER_hh_num!P22)</f>
        <v>14041.379475116864</v>
      </c>
      <c r="Q22" s="132">
        <f>IF(SER_hh_tes!Q22=0,0,11630*1000*SER_hh_tes!Q22/SER_hh_num!Q22)</f>
        <v>14279.283235246714</v>
      </c>
      <c r="R22" s="132">
        <f>IF(SER_hh_tes!R22=0,0,11630*1000*SER_hh_tes!R22/SER_hh_num!R22)</f>
        <v>14284.190061586562</v>
      </c>
      <c r="S22" s="132">
        <f>IF(SER_hh_tes!S22=0,0,11630*1000*SER_hh_tes!S22/SER_hh_num!S22)</f>
        <v>14686.713179430883</v>
      </c>
      <c r="T22" s="132">
        <f>IF(SER_hh_tes!T22=0,0,11630*1000*SER_hh_tes!T22/SER_hh_num!T22)</f>
        <v>14959.813316452091</v>
      </c>
      <c r="U22" s="132">
        <f>IF(SER_hh_tes!U22=0,0,11630*1000*SER_hh_tes!U22/SER_hh_num!U22)</f>
        <v>13072.75788441795</v>
      </c>
      <c r="V22" s="132">
        <f>IF(SER_hh_tes!V22=0,0,11630*1000*SER_hh_tes!V22/SER_hh_num!V22)</f>
        <v>12660.596267447192</v>
      </c>
      <c r="W22" s="132">
        <f>IF(SER_hh_tes!W22=0,0,11630*1000*SER_hh_tes!W22/SER_hh_num!W22)</f>
        <v>13428.082365647409</v>
      </c>
      <c r="X22" s="132">
        <f>IF(SER_hh_tes!X22=0,0,11630*1000*SER_hh_tes!X22/SER_hh_num!X22)</f>
        <v>14525.982110252871</v>
      </c>
      <c r="Y22" s="132">
        <f>IF(SER_hh_tes!Y22=0,0,11630*1000*SER_hh_tes!Y22/SER_hh_num!Y22)</f>
        <v>14654.589285014477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12878.848266337871</v>
      </c>
      <c r="C23" s="132">
        <f>IF(SER_hh_tes!C23=0,0,11630*1000*SER_hh_tes!C23/SER_hh_num!C23)</f>
        <v>13080.2871547429</v>
      </c>
      <c r="D23" s="132">
        <f>IF(SER_hh_tes!D23=0,0,11630*1000*SER_hh_tes!D23/SER_hh_num!D23)</f>
        <v>13071.395421297813</v>
      </c>
      <c r="E23" s="132">
        <f>IF(SER_hh_tes!E23=0,0,11630*1000*SER_hh_tes!E23/SER_hh_num!E23)</f>
        <v>13257.062440271902</v>
      </c>
      <c r="F23" s="132">
        <f>IF(SER_hh_tes!F23=0,0,11630*1000*SER_hh_tes!F23/SER_hh_num!F23)</f>
        <v>12947.5158300972</v>
      </c>
      <c r="G23" s="132">
        <f>IF(SER_hh_tes!G23=0,0,11630*1000*SER_hh_tes!G23/SER_hh_num!G23)</f>
        <v>12841.764003636721</v>
      </c>
      <c r="H23" s="132">
        <f>IF(SER_hh_tes!H23=0,0,11630*1000*SER_hh_tes!H23/SER_hh_num!H23)</f>
        <v>12708.55031441939</v>
      </c>
      <c r="I23" s="132">
        <f>IF(SER_hh_tes!I23=0,0,11630*1000*SER_hh_tes!I23/SER_hh_num!I23)</f>
        <v>12644.661992788007</v>
      </c>
      <c r="J23" s="132">
        <f>IF(SER_hh_tes!J23=0,0,11630*1000*SER_hh_tes!J23/SER_hh_num!J23)</f>
        <v>12675.334485701575</v>
      </c>
      <c r="K23" s="132">
        <f>IF(SER_hh_tes!K23=0,0,11630*1000*SER_hh_tes!K23/SER_hh_num!K23)</f>
        <v>12970.324010474103</v>
      </c>
      <c r="L23" s="132">
        <f>IF(SER_hh_tes!L23=0,0,11630*1000*SER_hh_tes!L23/SER_hh_num!L23)</f>
        <v>13034.830327066264</v>
      </c>
      <c r="M23" s="132">
        <f>IF(SER_hh_tes!M23=0,0,11630*1000*SER_hh_tes!M23/SER_hh_num!M23)</f>
        <v>13211.882517989116</v>
      </c>
      <c r="N23" s="132">
        <f>IF(SER_hh_tes!N23=0,0,11630*1000*SER_hh_tes!N23/SER_hh_num!N23)</f>
        <v>13647.402172696049</v>
      </c>
      <c r="O23" s="132">
        <f>IF(SER_hh_tes!O23=0,0,11630*1000*SER_hh_tes!O23/SER_hh_num!O23)</f>
        <v>13992.214116170064</v>
      </c>
      <c r="P23" s="132">
        <f>IF(SER_hh_tes!P23=0,0,11630*1000*SER_hh_tes!P23/SER_hh_num!P23)</f>
        <v>13979.974213503006</v>
      </c>
      <c r="Q23" s="132">
        <f>IF(SER_hh_tes!Q23=0,0,11630*1000*SER_hh_tes!Q23/SER_hh_num!Q23)</f>
        <v>14170.346055556882</v>
      </c>
      <c r="R23" s="132">
        <f>IF(SER_hh_tes!R23=0,0,11630*1000*SER_hh_tes!R23/SER_hh_num!R23)</f>
        <v>14252.356050243878</v>
      </c>
      <c r="S23" s="132">
        <f>IF(SER_hh_tes!S23=0,0,11630*1000*SER_hh_tes!S23/SER_hh_num!S23)</f>
        <v>14357.172891014958</v>
      </c>
      <c r="T23" s="132">
        <f>IF(SER_hh_tes!T23=0,0,11630*1000*SER_hh_tes!T23/SER_hh_num!T23)</f>
        <v>14216.4057735686</v>
      </c>
      <c r="U23" s="132">
        <f>IF(SER_hh_tes!U23=0,0,11630*1000*SER_hh_tes!U23/SER_hh_num!U23)</f>
        <v>13849.725295534872</v>
      </c>
      <c r="V23" s="132">
        <f>IF(SER_hh_tes!V23=0,0,11630*1000*SER_hh_tes!V23/SER_hh_num!V23)</f>
        <v>13506.450269526184</v>
      </c>
      <c r="W23" s="132">
        <f>IF(SER_hh_tes!W23=0,0,11630*1000*SER_hh_tes!W23/SER_hh_num!W23)</f>
        <v>15023.012673242649</v>
      </c>
      <c r="X23" s="132">
        <f>IF(SER_hh_tes!X23=0,0,11630*1000*SER_hh_tes!X23/SER_hh_num!X23)</f>
        <v>13849.285133100622</v>
      </c>
      <c r="Y23" s="132">
        <f>IF(SER_hh_tes!Y23=0,0,11630*1000*SER_hh_tes!Y23/SER_hh_num!Y23)</f>
        <v>13890.23329643093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12929.215575785865</v>
      </c>
      <c r="C25" s="132">
        <f>IF(SER_hh_tes!C25=0,0,11630*1000*SER_hh_tes!C25/SER_hh_num!C25)</f>
        <v>12928.556473350292</v>
      </c>
      <c r="D25" s="132">
        <f>IF(SER_hh_tes!D25=0,0,11630*1000*SER_hh_tes!D25/SER_hh_num!D25)</f>
        <v>13198.856465809138</v>
      </c>
      <c r="E25" s="132">
        <f>IF(SER_hh_tes!E25=0,0,11630*1000*SER_hh_tes!E25/SER_hh_num!E25)</f>
        <v>13170.038138936055</v>
      </c>
      <c r="F25" s="132">
        <f>IF(SER_hh_tes!F25=0,0,11630*1000*SER_hh_tes!F25/SER_hh_num!F25)</f>
        <v>12969.787903530858</v>
      </c>
      <c r="G25" s="132">
        <f>IF(SER_hh_tes!G25=0,0,11630*1000*SER_hh_tes!G25/SER_hh_num!G25)</f>
        <v>12874.480620887342</v>
      </c>
      <c r="H25" s="132">
        <f>IF(SER_hh_tes!H25=0,0,11630*1000*SER_hh_tes!H25/SER_hh_num!H25)</f>
        <v>12807.789989966379</v>
      </c>
      <c r="I25" s="132">
        <f>IF(SER_hh_tes!I25=0,0,11630*1000*SER_hh_tes!I25/SER_hh_num!I25)</f>
        <v>12682.688170012938</v>
      </c>
      <c r="J25" s="132">
        <f>IF(SER_hh_tes!J25=0,0,11630*1000*SER_hh_tes!J25/SER_hh_num!J25)</f>
        <v>12539.789357230144</v>
      </c>
      <c r="K25" s="132">
        <f>IF(SER_hh_tes!K25=0,0,11630*1000*SER_hh_tes!K25/SER_hh_num!K25)</f>
        <v>12308.037021113641</v>
      </c>
      <c r="L25" s="132">
        <f>IF(SER_hh_tes!L25=0,0,11630*1000*SER_hh_tes!L25/SER_hh_num!L25)</f>
        <v>13761.370553736882</v>
      </c>
      <c r="M25" s="132">
        <f>IF(SER_hh_tes!M25=0,0,11630*1000*SER_hh_tes!M25/SER_hh_num!M25)</f>
        <v>13516.126106779249</v>
      </c>
      <c r="N25" s="132">
        <f>IF(SER_hh_tes!N25=0,0,11630*1000*SER_hh_tes!N25/SER_hh_num!N25)</f>
        <v>13526.327290102101</v>
      </c>
      <c r="O25" s="132">
        <f>IF(SER_hh_tes!O25=0,0,11630*1000*SER_hh_tes!O25/SER_hh_num!O25)</f>
        <v>14121.646026145016</v>
      </c>
      <c r="P25" s="132">
        <f>IF(SER_hh_tes!P25=0,0,11630*1000*SER_hh_tes!P25/SER_hh_num!P25)</f>
        <v>13425.925098823116</v>
      </c>
      <c r="Q25" s="132">
        <f>IF(SER_hh_tes!Q25=0,0,11630*1000*SER_hh_tes!Q25/SER_hh_num!Q25)</f>
        <v>14163.160090837377</v>
      </c>
      <c r="R25" s="132">
        <f>IF(SER_hh_tes!R25=0,0,11630*1000*SER_hh_tes!R25/SER_hh_num!R25)</f>
        <v>14457.692728274254</v>
      </c>
      <c r="S25" s="132">
        <f>IF(SER_hh_tes!S25=0,0,11630*1000*SER_hh_tes!S25/SER_hh_num!S25)</f>
        <v>14392.274868738737</v>
      </c>
      <c r="T25" s="132">
        <f>IF(SER_hh_tes!T25=0,0,11630*1000*SER_hh_tes!T25/SER_hh_num!T25)</f>
        <v>14256.407291833259</v>
      </c>
      <c r="U25" s="132">
        <f>IF(SER_hh_tes!U25=0,0,11630*1000*SER_hh_tes!U25/SER_hh_num!U25)</f>
        <v>13982.046163020817</v>
      </c>
      <c r="V25" s="132">
        <f>IF(SER_hh_tes!V25=0,0,11630*1000*SER_hh_tes!V25/SER_hh_num!V25)</f>
        <v>12794.153821302785</v>
      </c>
      <c r="W25" s="132">
        <f>IF(SER_hh_tes!W25=0,0,11630*1000*SER_hh_tes!W25/SER_hh_num!W25)</f>
        <v>11999.382086275464</v>
      </c>
      <c r="X25" s="132">
        <f>IF(SER_hh_tes!X25=0,0,11630*1000*SER_hh_tes!X25/SER_hh_num!X25)</f>
        <v>15127.143622567277</v>
      </c>
      <c r="Y25" s="132">
        <f>IF(SER_hh_tes!Y25=0,0,11630*1000*SER_hh_tes!Y25/SER_hh_num!Y25)</f>
        <v>14884.519834330822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12550.055449189231</v>
      </c>
      <c r="C26" s="65">
        <f>IF(SER_hh_tes!C26=0,0,11630*1000*SER_hh_tes!C26/SER_hh_num!C26)</f>
        <v>12252.057656604533</v>
      </c>
      <c r="D26" s="65">
        <f>IF(SER_hh_tes!D26=0,0,11630*1000*SER_hh_tes!D26/SER_hh_num!D26)</f>
        <v>13866.467608804795</v>
      </c>
      <c r="E26" s="65">
        <f>IF(SER_hh_tes!E26=0,0,11630*1000*SER_hh_tes!E26/SER_hh_num!E26)</f>
        <v>14845.767452663009</v>
      </c>
      <c r="F26" s="65">
        <f>IF(SER_hh_tes!F26=0,0,11630*1000*SER_hh_tes!F26/SER_hh_num!F26)</f>
        <v>11940.964340529665</v>
      </c>
      <c r="G26" s="65">
        <f>IF(SER_hh_tes!G26=0,0,11630*1000*SER_hh_tes!G26/SER_hh_num!G26)</f>
        <v>12358.990858493949</v>
      </c>
      <c r="H26" s="65">
        <f>IF(SER_hh_tes!H26=0,0,11630*1000*SER_hh_tes!H26/SER_hh_num!H26)</f>
        <v>12812.375541418465</v>
      </c>
      <c r="I26" s="65">
        <f>IF(SER_hh_tes!I26=0,0,11630*1000*SER_hh_tes!I26/SER_hh_num!I26)</f>
        <v>12600.930681031541</v>
      </c>
      <c r="J26" s="65">
        <f>IF(SER_hh_tes!J26=0,0,11630*1000*SER_hh_tes!J26/SER_hh_num!J26)</f>
        <v>12832.131321528757</v>
      </c>
      <c r="K26" s="65">
        <f>IF(SER_hh_tes!K26=0,0,11630*1000*SER_hh_tes!K26/SER_hh_num!K26)</f>
        <v>12924.800482635857</v>
      </c>
      <c r="L26" s="65">
        <f>IF(SER_hh_tes!L26=0,0,11630*1000*SER_hh_tes!L26/SER_hh_num!L26)</f>
        <v>12973.599260976627</v>
      </c>
      <c r="M26" s="65">
        <f>IF(SER_hh_tes!M26=0,0,11630*1000*SER_hh_tes!M26/SER_hh_num!M26)</f>
        <v>13165.924705280657</v>
      </c>
      <c r="N26" s="65">
        <f>IF(SER_hh_tes!N26=0,0,11630*1000*SER_hh_tes!N26/SER_hh_num!N26)</f>
        <v>13368.077034391434</v>
      </c>
      <c r="O26" s="65">
        <f>IF(SER_hh_tes!O26=0,0,11630*1000*SER_hh_tes!O26/SER_hh_num!O26)</f>
        <v>13785.345986646815</v>
      </c>
      <c r="P26" s="65">
        <f>IF(SER_hh_tes!P26=0,0,11630*1000*SER_hh_tes!P26/SER_hh_num!P26)</f>
        <v>14097.27824326794</v>
      </c>
      <c r="Q26" s="65">
        <f>IF(SER_hh_tes!Q26=0,0,11630*1000*SER_hh_tes!Q26/SER_hh_num!Q26)</f>
        <v>13740.307968064022</v>
      </c>
      <c r="R26" s="65">
        <f>IF(SER_hh_tes!R26=0,0,11630*1000*SER_hh_tes!R26/SER_hh_num!R26)</f>
        <v>14220.989762173996</v>
      </c>
      <c r="S26" s="65">
        <f>IF(SER_hh_tes!S26=0,0,11630*1000*SER_hh_tes!S26/SER_hh_num!S26)</f>
        <v>14335.525214034385</v>
      </c>
      <c r="T26" s="65">
        <f>IF(SER_hh_tes!T26=0,0,11630*1000*SER_hh_tes!T26/SER_hh_num!T26)</f>
        <v>14485.614017074375</v>
      </c>
      <c r="U26" s="65">
        <f>IF(SER_hh_tes!U26=0,0,11630*1000*SER_hh_tes!U26/SER_hh_num!U26)</f>
        <v>13867.861635745008</v>
      </c>
      <c r="V26" s="65">
        <f>IF(SER_hh_tes!V26=0,0,11630*1000*SER_hh_tes!V26/SER_hh_num!V26)</f>
        <v>12787.575914776617</v>
      </c>
      <c r="W26" s="65">
        <f>IF(SER_hh_tes!W26=0,0,11630*1000*SER_hh_tes!W26/SER_hh_num!W26)</f>
        <v>12648.845130293132</v>
      </c>
      <c r="X26" s="65">
        <f>IF(SER_hh_tes!X26=0,0,11630*1000*SER_hh_tes!X26/SER_hh_num!X26)</f>
        <v>14194.538167562694</v>
      </c>
      <c r="Y26" s="65">
        <f>IF(SER_hh_tes!Y26=0,0,11630*1000*SER_hh_tes!Y26/SER_hh_num!Y26)</f>
        <v>14959.64770285227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32.834385678726392</v>
      </c>
      <c r="C27" s="145">
        <f>IF(SER_hh_tes!C27=0,0,11630*1000*SER_hh_tes!C27/SER_hh_num!C19)</f>
        <v>9.8732521497910302</v>
      </c>
      <c r="D27" s="145">
        <f>IF(SER_hh_tes!D27=0,0,11630*1000*SER_hh_tes!D27/SER_hh_num!D19)</f>
        <v>10.772043500185232</v>
      </c>
      <c r="E27" s="145">
        <f>IF(SER_hh_tes!E27=0,0,11630*1000*SER_hh_tes!E27/SER_hh_num!E19)</f>
        <v>15.97878169075058</v>
      </c>
      <c r="F27" s="145">
        <f>IF(SER_hh_tes!F27=0,0,11630*1000*SER_hh_tes!F27/SER_hh_num!F19)</f>
        <v>16.89176459191987</v>
      </c>
      <c r="G27" s="145">
        <f>IF(SER_hh_tes!G27=0,0,11630*1000*SER_hh_tes!G27/SER_hh_num!G19)</f>
        <v>16.598320845586173</v>
      </c>
      <c r="H27" s="145">
        <f>IF(SER_hh_tes!H27=0,0,11630*1000*SER_hh_tes!H27/SER_hh_num!H19)</f>
        <v>19.990081929262086</v>
      </c>
      <c r="I27" s="145">
        <f>IF(SER_hh_tes!I27=0,0,11630*1000*SER_hh_tes!I27/SER_hh_num!I19)</f>
        <v>28.061463031605971</v>
      </c>
      <c r="J27" s="145">
        <f>IF(SER_hh_tes!J27=0,0,11630*1000*SER_hh_tes!J27/SER_hh_num!J19)</f>
        <v>37.255998662452832</v>
      </c>
      <c r="K27" s="145">
        <f>IF(SER_hh_tes!K27=0,0,11630*1000*SER_hh_tes!K27/SER_hh_num!K19)</f>
        <v>77.399383887543763</v>
      </c>
      <c r="L27" s="145">
        <f>IF(SER_hh_tes!L27=0,0,11630*1000*SER_hh_tes!L27/SER_hh_num!L19)</f>
        <v>39.334720828671365</v>
      </c>
      <c r="M27" s="145">
        <f>IF(SER_hh_tes!M27=0,0,11630*1000*SER_hh_tes!M27/SER_hh_num!M19)</f>
        <v>41.51940858638411</v>
      </c>
      <c r="N27" s="145">
        <f>IF(SER_hh_tes!N27=0,0,11630*1000*SER_hh_tes!N27/SER_hh_num!N19)</f>
        <v>41.08765393973313</v>
      </c>
      <c r="O27" s="145">
        <f>IF(SER_hh_tes!O27=0,0,11630*1000*SER_hh_tes!O27/SER_hh_num!O19)</f>
        <v>43.392378099391202</v>
      </c>
      <c r="P27" s="145">
        <f>IF(SER_hh_tes!P27=0,0,11630*1000*SER_hh_tes!P27/SER_hh_num!P19)</f>
        <v>48.355910937659786</v>
      </c>
      <c r="Q27" s="145">
        <f>IF(SER_hh_tes!Q27=0,0,11630*1000*SER_hh_tes!Q27/SER_hh_num!Q19)</f>
        <v>52.181408237827391</v>
      </c>
      <c r="R27" s="145">
        <f>IF(SER_hh_tes!R27=0,0,11630*1000*SER_hh_tes!R27/SER_hh_num!R19)</f>
        <v>63.948139995025905</v>
      </c>
      <c r="S27" s="145">
        <f>IF(SER_hh_tes!S27=0,0,11630*1000*SER_hh_tes!S27/SER_hh_num!S19)</f>
        <v>65.156110284859636</v>
      </c>
      <c r="T27" s="145">
        <f>IF(SER_hh_tes!T27=0,0,11630*1000*SER_hh_tes!T27/SER_hh_num!T19)</f>
        <v>71.99275926335244</v>
      </c>
      <c r="U27" s="145">
        <f>IF(SER_hh_tes!U27=0,0,11630*1000*SER_hh_tes!U27/SER_hh_num!U19)</f>
        <v>69.249931207604291</v>
      </c>
      <c r="V27" s="145">
        <f>IF(SER_hh_tes!V27=0,0,11630*1000*SER_hh_tes!V27/SER_hh_num!V19)</f>
        <v>72.683176917317695</v>
      </c>
      <c r="W27" s="145">
        <f>IF(SER_hh_tes!W27=0,0,11630*1000*SER_hh_tes!W27/SER_hh_num!W19)</f>
        <v>66.008584534437077</v>
      </c>
      <c r="X27" s="145">
        <f>IF(SER_hh_tes!X27=0,0,11630*1000*SER_hh_tes!X27/SER_hh_num!X19)</f>
        <v>71.798816999415578</v>
      </c>
      <c r="Y27" s="145">
        <f>IF(SER_hh_tes!Y27=0,0,11630*1000*SER_hh_tes!Y27/SER_hh_num!Y19)</f>
        <v>65.046948921839046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7479.8212215934063</v>
      </c>
      <c r="C28" s="146">
        <f>IF(SER_hh_tes!C27=0,0,11630*1000*SER_hh_tes!C27/SER_hh_num!C27)</f>
        <v>7637.9267133941121</v>
      </c>
      <c r="D28" s="146">
        <f>IF(SER_hh_tes!D27=0,0,11630*1000*SER_hh_tes!D27/SER_hh_num!D27)</f>
        <v>7733.1484323906961</v>
      </c>
      <c r="E28" s="146">
        <f>IF(SER_hh_tes!E27=0,0,11630*1000*SER_hh_tes!E27/SER_hh_num!E27)</f>
        <v>7841.000402359623</v>
      </c>
      <c r="F28" s="146">
        <f>IF(SER_hh_tes!F27=0,0,11630*1000*SER_hh_tes!F27/SER_hh_num!F27)</f>
        <v>7708.5380895677181</v>
      </c>
      <c r="G28" s="146">
        <f>IF(SER_hh_tes!G27=0,0,11630*1000*SER_hh_tes!G27/SER_hh_num!G27)</f>
        <v>7523.5239996120299</v>
      </c>
      <c r="H28" s="146">
        <f>IF(SER_hh_tes!H27=0,0,11630*1000*SER_hh_tes!H27/SER_hh_num!H27)</f>
        <v>7489.9444660380295</v>
      </c>
      <c r="I28" s="146">
        <f>IF(SER_hh_tes!I27=0,0,11630*1000*SER_hh_tes!I27/SER_hh_num!I27)</f>
        <v>7149.2958208365872</v>
      </c>
      <c r="J28" s="146">
        <f>IF(SER_hh_tes!J27=0,0,11630*1000*SER_hh_tes!J27/SER_hh_num!J27)</f>
        <v>7644.7588629420579</v>
      </c>
      <c r="K28" s="146">
        <f>IF(SER_hh_tes!K27=0,0,11630*1000*SER_hh_tes!K27/SER_hh_num!K27)</f>
        <v>7639.3468777821781</v>
      </c>
      <c r="L28" s="146">
        <f>IF(SER_hh_tes!L27=0,0,11630*1000*SER_hh_tes!L27/SER_hh_num!L27)</f>
        <v>7644.0888855646408</v>
      </c>
      <c r="M28" s="146">
        <f>IF(SER_hh_tes!M27=0,0,11630*1000*SER_hh_tes!M27/SER_hh_num!M27)</f>
        <v>7968.1000647361352</v>
      </c>
      <c r="N28" s="146">
        <f>IF(SER_hh_tes!N27=0,0,11630*1000*SER_hh_tes!N27/SER_hh_num!N27)</f>
        <v>8141.3453659140687</v>
      </c>
      <c r="O28" s="146">
        <f>IF(SER_hh_tes!O27=0,0,11630*1000*SER_hh_tes!O27/SER_hh_num!O27)</f>
        <v>9274.2979850863976</v>
      </c>
      <c r="P28" s="146">
        <f>IF(SER_hh_tes!P27=0,0,11630*1000*SER_hh_tes!P27/SER_hh_num!P27)</f>
        <v>9659.1579011786689</v>
      </c>
      <c r="Q28" s="146">
        <f>IF(SER_hh_tes!Q27=0,0,11630*1000*SER_hh_tes!Q27/SER_hh_num!Q27)</f>
        <v>9319.1136199392913</v>
      </c>
      <c r="R28" s="146">
        <f>IF(SER_hh_tes!R27=0,0,11630*1000*SER_hh_tes!R27/SER_hh_num!R27)</f>
        <v>8408.7483454820649</v>
      </c>
      <c r="S28" s="146">
        <f>IF(SER_hh_tes!S27=0,0,11630*1000*SER_hh_tes!S27/SER_hh_num!S27)</f>
        <v>8146.3151161068481</v>
      </c>
      <c r="T28" s="146">
        <f>IF(SER_hh_tes!T27=0,0,11630*1000*SER_hh_tes!T27/SER_hh_num!T27)</f>
        <v>8715.5937153032592</v>
      </c>
      <c r="U28" s="146">
        <f>IF(SER_hh_tes!U27=0,0,11630*1000*SER_hh_tes!U27/SER_hh_num!U27)</f>
        <v>8290.1254081826937</v>
      </c>
      <c r="V28" s="146">
        <f>IF(SER_hh_tes!V27=0,0,11630*1000*SER_hh_tes!V27/SER_hh_num!V27)</f>
        <v>9480.4856186407833</v>
      </c>
      <c r="W28" s="146">
        <f>IF(SER_hh_tes!W27=0,0,11630*1000*SER_hh_tes!W27/SER_hh_num!W27)</f>
        <v>10496.51587967585</v>
      </c>
      <c r="X28" s="146">
        <f>IF(SER_hh_tes!X27=0,0,11630*1000*SER_hh_tes!X27/SER_hh_num!X27)</f>
        <v>9335.4877464561778</v>
      </c>
      <c r="Y28" s="146">
        <f>IF(SER_hh_tes!Y27=0,0,11630*1000*SER_hh_tes!Y27/SER_hh_num!Y27)</f>
        <v>8967.9836852862081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10220.70383486326</v>
      </c>
      <c r="C29" s="130">
        <f>IF(SER_hh_tes!C29=0,0,11630*1000*SER_hh_tes!C29/SER_hh_num!C29)</f>
        <v>10530.940162875037</v>
      </c>
      <c r="D29" s="130">
        <f>IF(SER_hh_tes!D29=0,0,11630*1000*SER_hh_tes!D29/SER_hh_num!D29)</f>
        <v>11109.144042216625</v>
      </c>
      <c r="E29" s="130">
        <f>IF(SER_hh_tes!E29=0,0,11630*1000*SER_hh_tes!E29/SER_hh_num!E29)</f>
        <v>11394.819205430837</v>
      </c>
      <c r="F29" s="130">
        <f>IF(SER_hh_tes!F29=0,0,11630*1000*SER_hh_tes!F29/SER_hh_num!F29)</f>
        <v>10660.205789449219</v>
      </c>
      <c r="G29" s="130">
        <f>IF(SER_hh_tes!G29=0,0,11630*1000*SER_hh_tes!G29/SER_hh_num!G29)</f>
        <v>10917.384608396249</v>
      </c>
      <c r="H29" s="130">
        <f>IF(SER_hh_tes!H29=0,0,11630*1000*SER_hh_tes!H29/SER_hh_num!H29)</f>
        <v>10989.712469684202</v>
      </c>
      <c r="I29" s="130">
        <f>IF(SER_hh_tes!I29=0,0,11630*1000*SER_hh_tes!I29/SER_hh_num!I29)</f>
        <v>11300.132532243315</v>
      </c>
      <c r="J29" s="130">
        <f>IF(SER_hh_tes!J29=0,0,11630*1000*SER_hh_tes!J29/SER_hh_num!J29)</f>
        <v>11436.644317752956</v>
      </c>
      <c r="K29" s="130">
        <f>IF(SER_hh_tes!K29=0,0,11630*1000*SER_hh_tes!K29/SER_hh_num!K29)</f>
        <v>11719.572945043383</v>
      </c>
      <c r="L29" s="130">
        <f>IF(SER_hh_tes!L29=0,0,11630*1000*SER_hh_tes!L29/SER_hh_num!L29)</f>
        <v>11729.000432561803</v>
      </c>
      <c r="M29" s="130">
        <f>IF(SER_hh_tes!M29=0,0,11630*1000*SER_hh_tes!M29/SER_hh_num!M29)</f>
        <v>11821.932271607026</v>
      </c>
      <c r="N29" s="130">
        <f>IF(SER_hh_tes!N29=0,0,11630*1000*SER_hh_tes!N29/SER_hh_num!N29)</f>
        <v>12213.177317717298</v>
      </c>
      <c r="O29" s="130">
        <f>IF(SER_hh_tes!O29=0,0,11630*1000*SER_hh_tes!O29/SER_hh_num!O29)</f>
        <v>12313.863991886747</v>
      </c>
      <c r="P29" s="130">
        <f>IF(SER_hh_tes!P29=0,0,11630*1000*SER_hh_tes!P29/SER_hh_num!P29)</f>
        <v>12869.9559905442</v>
      </c>
      <c r="Q29" s="130">
        <f>IF(SER_hh_tes!Q29=0,0,11630*1000*SER_hh_tes!Q29/SER_hh_num!Q29)</f>
        <v>13207.861387506062</v>
      </c>
      <c r="R29" s="130">
        <f>IF(SER_hh_tes!R29=0,0,11630*1000*SER_hh_tes!R29/SER_hh_num!R29)</f>
        <v>13405.161041462463</v>
      </c>
      <c r="S29" s="130">
        <f>IF(SER_hh_tes!S29=0,0,11630*1000*SER_hh_tes!S29/SER_hh_num!S29)</f>
        <v>13491.196233756695</v>
      </c>
      <c r="T29" s="130">
        <f>IF(SER_hh_tes!T29=0,0,11630*1000*SER_hh_tes!T29/SER_hh_num!T29)</f>
        <v>13554.915748557483</v>
      </c>
      <c r="U29" s="130">
        <f>IF(SER_hh_tes!U29=0,0,11630*1000*SER_hh_tes!U29/SER_hh_num!U29)</f>
        <v>13100.44095539772</v>
      </c>
      <c r="V29" s="130">
        <f>IF(SER_hh_tes!V29=0,0,11630*1000*SER_hh_tes!V29/SER_hh_num!V29)</f>
        <v>12457.35513927053</v>
      </c>
      <c r="W29" s="130">
        <f>IF(SER_hh_tes!W29=0,0,11630*1000*SER_hh_tes!W29/SER_hh_num!W29)</f>
        <v>12973.224125111208</v>
      </c>
      <c r="X29" s="130">
        <f>IF(SER_hh_tes!X29=0,0,11630*1000*SER_hh_tes!X29/SER_hh_num!X29)</f>
        <v>13077.152224188607</v>
      </c>
      <c r="Y29" s="130">
        <f>IF(SER_hh_tes!Y29=0,0,11630*1000*SER_hh_tes!Y29/SER_hh_num!Y29)</f>
        <v>13300.450155780958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10389.41922783008</v>
      </c>
      <c r="C30" s="132">
        <f>IF(SER_hh_tes!C30=0,0,11630*1000*SER_hh_tes!C30/SER_hh_num!C30)</f>
        <v>11181.22304723175</v>
      </c>
      <c r="D30" s="132">
        <f>IF(SER_hh_tes!D30=0,0,11630*1000*SER_hh_tes!D30/SER_hh_num!D30)</f>
        <v>10543.133843901096</v>
      </c>
      <c r="E30" s="132">
        <f>IF(SER_hh_tes!E30=0,0,11630*1000*SER_hh_tes!E30/SER_hh_num!E30)</f>
        <v>10261.367301796672</v>
      </c>
      <c r="F30" s="132">
        <f>IF(SER_hh_tes!F30=0,0,11630*1000*SER_hh_tes!F30/SER_hh_num!F30)</f>
        <v>13970.684543550264</v>
      </c>
      <c r="G30" s="132">
        <f>IF(SER_hh_tes!G30=0,0,11630*1000*SER_hh_tes!G30/SER_hh_num!G30)</f>
        <v>5320.3911486049838</v>
      </c>
      <c r="H30" s="132">
        <f>IF(SER_hh_tes!H30=0,0,11630*1000*SER_hh_tes!H30/SER_hh_num!H30)</f>
        <v>7516.2270732794368</v>
      </c>
      <c r="I30" s="132">
        <f>IF(SER_hh_tes!I30=0,0,11630*1000*SER_hh_tes!I30/SER_hh_num!I30)</f>
        <v>10049.540639254184</v>
      </c>
      <c r="J30" s="132">
        <f>IF(SER_hh_tes!J30=0,0,11630*1000*SER_hh_tes!J30/SER_hh_num!J30)</f>
        <v>11806.04679311548</v>
      </c>
      <c r="K30" s="132">
        <f>IF(SER_hh_tes!K30=0,0,11630*1000*SER_hh_tes!K30/SER_hh_num!K30)</f>
        <v>11499.149847960687</v>
      </c>
      <c r="L30" s="132">
        <f>IF(SER_hh_tes!L30=0,0,11630*1000*SER_hh_tes!L30/SER_hh_num!L30)</f>
        <v>13864.660315745707</v>
      </c>
      <c r="M30" s="132">
        <f>IF(SER_hh_tes!M30=0,0,11630*1000*SER_hh_tes!M30/SER_hh_num!M30)</f>
        <v>10543.926674907796</v>
      </c>
      <c r="N30" s="132">
        <f>IF(SER_hh_tes!N30=0,0,11630*1000*SER_hh_tes!N30/SER_hh_num!N30)</f>
        <v>11886.249188951058</v>
      </c>
      <c r="O30" s="132">
        <f>IF(SER_hh_tes!O30=0,0,11630*1000*SER_hh_tes!O30/SER_hh_num!O30)</f>
        <v>12962.948542604981</v>
      </c>
      <c r="P30" s="132">
        <f>IF(SER_hh_tes!P30=0,0,11630*1000*SER_hh_tes!P30/SER_hh_num!P30)</f>
        <v>10107.185785590907</v>
      </c>
      <c r="Q30" s="132">
        <f>IF(SER_hh_tes!Q30=0,0,11630*1000*SER_hh_tes!Q30/SER_hh_num!Q30)</f>
        <v>15975.96271737777</v>
      </c>
      <c r="R30" s="132">
        <f>IF(SER_hh_tes!R30=0,0,11630*1000*SER_hh_tes!R30/SER_hh_num!R30)</f>
        <v>12202.185927888226</v>
      </c>
      <c r="S30" s="132">
        <f>IF(SER_hh_tes!S30=0,0,11630*1000*SER_hh_tes!S30/SER_hh_num!S30)</f>
        <v>13675.109892637865</v>
      </c>
      <c r="T30" s="132">
        <f>IF(SER_hh_tes!T30=0,0,11630*1000*SER_hh_tes!T30/SER_hh_num!T30)</f>
        <v>12768.061165529843</v>
      </c>
      <c r="U30" s="132">
        <f>IF(SER_hh_tes!U30=0,0,11630*1000*SER_hh_tes!U30/SER_hh_num!U30)</f>
        <v>12394.212826357501</v>
      </c>
      <c r="V30" s="132">
        <f>IF(SER_hh_tes!V30=0,0,11630*1000*SER_hh_tes!V30/SER_hh_num!V30)</f>
        <v>13790.030816312879</v>
      </c>
      <c r="W30" s="132">
        <f>IF(SER_hh_tes!W30=0,0,11630*1000*SER_hh_tes!W30/SER_hh_num!W30)</f>
        <v>14811.727385838856</v>
      </c>
      <c r="X30" s="132">
        <f>IF(SER_hh_tes!X30=0,0,11630*1000*SER_hh_tes!X30/SER_hh_num!X30)</f>
        <v>11637.117835364155</v>
      </c>
      <c r="Y30" s="132">
        <f>IF(SER_hh_tes!Y30=0,0,11630*1000*SER_hh_tes!Y30/SER_hh_num!Y30)</f>
        <v>13429.49523569222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10359.999058465504</v>
      </c>
      <c r="C31" s="132">
        <f>IF(SER_hh_tes!C31=0,0,11630*1000*SER_hh_tes!C31/SER_hh_num!C31)</f>
        <v>10479.369679162026</v>
      </c>
      <c r="D31" s="132">
        <f>IF(SER_hh_tes!D31=0,0,11630*1000*SER_hh_tes!D31/SER_hh_num!D31)</f>
        <v>10836.55084244407</v>
      </c>
      <c r="E31" s="132">
        <f>IF(SER_hh_tes!E31=0,0,11630*1000*SER_hh_tes!E31/SER_hh_num!E31)</f>
        <v>11046.4315566159</v>
      </c>
      <c r="F31" s="132">
        <f>IF(SER_hh_tes!F31=0,0,11630*1000*SER_hh_tes!F31/SER_hh_num!F31)</f>
        <v>10918.116265428556</v>
      </c>
      <c r="G31" s="132">
        <f>IF(SER_hh_tes!G31=0,0,11630*1000*SER_hh_tes!G31/SER_hh_num!G31)</f>
        <v>11015.025572065926</v>
      </c>
      <c r="H31" s="132">
        <f>IF(SER_hh_tes!H31=0,0,11630*1000*SER_hh_tes!H31/SER_hh_num!H31)</f>
        <v>11022.323835270257</v>
      </c>
      <c r="I31" s="132">
        <f>IF(SER_hh_tes!I31=0,0,11630*1000*SER_hh_tes!I31/SER_hh_num!I31)</f>
        <v>11241.771965549551</v>
      </c>
      <c r="J31" s="132">
        <f>IF(SER_hh_tes!J31=0,0,11630*1000*SER_hh_tes!J31/SER_hh_num!J31)</f>
        <v>11482.571101975225</v>
      </c>
      <c r="K31" s="132">
        <f>IF(SER_hh_tes!K31=0,0,11630*1000*SER_hh_tes!K31/SER_hh_num!K31)</f>
        <v>11606.667767533492</v>
      </c>
      <c r="L31" s="132">
        <f>IF(SER_hh_tes!L31=0,0,11630*1000*SER_hh_tes!L31/SER_hh_num!L31)</f>
        <v>11711.273302295231</v>
      </c>
      <c r="M31" s="132">
        <f>IF(SER_hh_tes!M31=0,0,11630*1000*SER_hh_tes!M31/SER_hh_num!M31)</f>
        <v>11880.713942934124</v>
      </c>
      <c r="N31" s="132">
        <f>IF(SER_hh_tes!N31=0,0,11630*1000*SER_hh_tes!N31/SER_hh_num!N31)</f>
        <v>12250.745298160266</v>
      </c>
      <c r="O31" s="132">
        <f>IF(SER_hh_tes!O31=0,0,11630*1000*SER_hh_tes!O31/SER_hh_num!O31)</f>
        <v>12518.786703490438</v>
      </c>
      <c r="P31" s="132">
        <f>IF(SER_hh_tes!P31=0,0,11630*1000*SER_hh_tes!P31/SER_hh_num!P31)</f>
        <v>12774.427184277016</v>
      </c>
      <c r="Q31" s="132">
        <f>IF(SER_hh_tes!Q31=0,0,11630*1000*SER_hh_tes!Q31/SER_hh_num!Q31)</f>
        <v>13118.700620188629</v>
      </c>
      <c r="R31" s="132">
        <f>IF(SER_hh_tes!R31=0,0,11630*1000*SER_hh_tes!R31/SER_hh_num!R31)</f>
        <v>13361.355355704811</v>
      </c>
      <c r="S31" s="132">
        <f>IF(SER_hh_tes!S31=0,0,11630*1000*SER_hh_tes!S31/SER_hh_num!S31)</f>
        <v>13410.540143123269</v>
      </c>
      <c r="T31" s="132">
        <f>IF(SER_hh_tes!T31=0,0,11630*1000*SER_hh_tes!T31/SER_hh_num!T31)</f>
        <v>13371.840228630264</v>
      </c>
      <c r="U31" s="132">
        <f>IF(SER_hh_tes!U31=0,0,11630*1000*SER_hh_tes!U31/SER_hh_num!U31)</f>
        <v>13310.738117933241</v>
      </c>
      <c r="V31" s="132">
        <f>IF(SER_hh_tes!V31=0,0,11630*1000*SER_hh_tes!V31/SER_hh_num!V31)</f>
        <v>12879.752555314733</v>
      </c>
      <c r="W31" s="132">
        <f>IF(SER_hh_tes!W31=0,0,11630*1000*SER_hh_tes!W31/SER_hh_num!W31)</f>
        <v>12345.22731282295</v>
      </c>
      <c r="X31" s="132">
        <f>IF(SER_hh_tes!X31=0,0,11630*1000*SER_hh_tes!X31/SER_hh_num!X31)</f>
        <v>13612.356492302812</v>
      </c>
      <c r="Y31" s="132">
        <f>IF(SER_hh_tes!Y31=0,0,11630*1000*SER_hh_tes!Y31/SER_hh_num!Y31)</f>
        <v>12922.256766725533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14727.920255509613</v>
      </c>
      <c r="K32" s="132">
        <f>IF(SER_hh_tes!K32=0,0,11630*1000*SER_hh_tes!K32/SER_hh_num!K32)</f>
        <v>8553.0381150084686</v>
      </c>
      <c r="L32" s="132">
        <f>IF(SER_hh_tes!L32=0,0,11630*1000*SER_hh_tes!L32/SER_hh_num!L32)</f>
        <v>14815.87314836083</v>
      </c>
      <c r="M32" s="132">
        <f>IF(SER_hh_tes!M32=0,0,11630*1000*SER_hh_tes!M32/SER_hh_num!M32)</f>
        <v>14007.850751454125</v>
      </c>
      <c r="N32" s="132">
        <f>IF(SER_hh_tes!N32=0,0,11630*1000*SER_hh_tes!N32/SER_hh_num!N32)</f>
        <v>7441.1595615353353</v>
      </c>
      <c r="O32" s="132">
        <f>IF(SER_hh_tes!O32=0,0,11630*1000*SER_hh_tes!O32/SER_hh_num!O32)</f>
        <v>11664.455347389743</v>
      </c>
      <c r="P32" s="132">
        <f>IF(SER_hh_tes!P32=0,0,11630*1000*SER_hh_tes!P32/SER_hh_num!P32)</f>
        <v>13810.291306953768</v>
      </c>
      <c r="Q32" s="132">
        <f>IF(SER_hh_tes!Q32=0,0,11630*1000*SER_hh_tes!Q32/SER_hh_num!Q32)</f>
        <v>14153.042984121565</v>
      </c>
      <c r="R32" s="132">
        <f>IF(SER_hh_tes!R32=0,0,11630*1000*SER_hh_tes!R32/SER_hh_num!R32)</f>
        <v>13822.03403649043</v>
      </c>
      <c r="S32" s="132">
        <f>IF(SER_hh_tes!S32=0,0,11630*1000*SER_hh_tes!S32/SER_hh_num!S32)</f>
        <v>13377.818238903519</v>
      </c>
      <c r="T32" s="132">
        <f>IF(SER_hh_tes!T32=0,0,11630*1000*SER_hh_tes!T32/SER_hh_num!T32)</f>
        <v>13983.29735399876</v>
      </c>
      <c r="U32" s="132">
        <f>IF(SER_hh_tes!U32=0,0,11630*1000*SER_hh_tes!U32/SER_hh_num!U32)</f>
        <v>17817.385882037939</v>
      </c>
      <c r="V32" s="132">
        <f>IF(SER_hh_tes!V32=0,0,11630*1000*SER_hh_tes!V32/SER_hh_num!V32)</f>
        <v>6191.7152658113046</v>
      </c>
      <c r="W32" s="132">
        <f>IF(SER_hh_tes!W32=0,0,11630*1000*SER_hh_tes!W32/SER_hh_num!W32)</f>
        <v>9622.6089509881112</v>
      </c>
      <c r="X32" s="132">
        <f>IF(SER_hh_tes!X32=0,0,11630*1000*SER_hh_tes!X32/SER_hh_num!X32)</f>
        <v>12125.306003552832</v>
      </c>
      <c r="Y32" s="132">
        <f>IF(SER_hh_tes!Y32=0,0,11630*1000*SER_hh_tes!Y32/SER_hh_num!Y32)</f>
        <v>13379.878573576605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9706.2623766727756</v>
      </c>
      <c r="C33" s="68">
        <f>IF(SER_hh_tes!C33=0,0,11630*1000*SER_hh_tes!C33/SER_hh_num!C33)</f>
        <v>10105.951695565183</v>
      </c>
      <c r="D33" s="68">
        <f>IF(SER_hh_tes!D33=0,0,11630*1000*SER_hh_tes!D33/SER_hh_num!D33)</f>
        <v>11773.81104946362</v>
      </c>
      <c r="E33" s="68">
        <f>IF(SER_hh_tes!E33=0,0,11630*1000*SER_hh_tes!E33/SER_hh_num!E33)</f>
        <v>12174.176537398484</v>
      </c>
      <c r="F33" s="68">
        <f>IF(SER_hh_tes!F33=0,0,11630*1000*SER_hh_tes!F33/SER_hh_num!F33)</f>
        <v>9662.4863855301301</v>
      </c>
      <c r="G33" s="68">
        <f>IF(SER_hh_tes!G33=0,0,11630*1000*SER_hh_tes!G33/SER_hh_num!G33)</f>
        <v>11408.246510402712</v>
      </c>
      <c r="H33" s="68">
        <f>IF(SER_hh_tes!H33=0,0,11630*1000*SER_hh_tes!H33/SER_hh_num!H33)</f>
        <v>11175.943030471875</v>
      </c>
      <c r="I33" s="68">
        <f>IF(SER_hh_tes!I33=0,0,11630*1000*SER_hh_tes!I33/SER_hh_num!I33)</f>
        <v>11401.33599442509</v>
      </c>
      <c r="J33" s="68">
        <f>IF(SER_hh_tes!J33=0,0,11630*1000*SER_hh_tes!J33/SER_hh_num!J33)</f>
        <v>11375.653254263236</v>
      </c>
      <c r="K33" s="68">
        <f>IF(SER_hh_tes!K33=0,0,11630*1000*SER_hh_tes!K33/SER_hh_num!K33)</f>
        <v>11832.397008634047</v>
      </c>
      <c r="L33" s="68">
        <f>IF(SER_hh_tes!L33=0,0,11630*1000*SER_hh_tes!L33/SER_hh_num!L33)</f>
        <v>11623.190683042816</v>
      </c>
      <c r="M33" s="68">
        <f>IF(SER_hh_tes!M33=0,0,11630*1000*SER_hh_tes!M33/SER_hh_num!M33)</f>
        <v>11824.212515032465</v>
      </c>
      <c r="N33" s="68">
        <f>IF(SER_hh_tes!N33=0,0,11630*1000*SER_hh_tes!N33/SER_hh_num!N33)</f>
        <v>12220.778964759174</v>
      </c>
      <c r="O33" s="68">
        <f>IF(SER_hh_tes!O33=0,0,11630*1000*SER_hh_tes!O33/SER_hh_num!O33)</f>
        <v>12141.532284075543</v>
      </c>
      <c r="P33" s="68">
        <f>IF(SER_hh_tes!P33=0,0,11630*1000*SER_hh_tes!P33/SER_hh_num!P33)</f>
        <v>13040.729600966286</v>
      </c>
      <c r="Q33" s="68">
        <f>IF(SER_hh_tes!Q33=0,0,11630*1000*SER_hh_tes!Q33/SER_hh_num!Q33)</f>
        <v>13133.592779118298</v>
      </c>
      <c r="R33" s="68">
        <f>IF(SER_hh_tes!R33=0,0,11630*1000*SER_hh_tes!R33/SER_hh_num!R33)</f>
        <v>13481.943042550945</v>
      </c>
      <c r="S33" s="68">
        <f>IF(SER_hh_tes!S33=0,0,11630*1000*SER_hh_tes!S33/SER_hh_num!S33)</f>
        <v>13534.209641985124</v>
      </c>
      <c r="T33" s="68">
        <f>IF(SER_hh_tes!T33=0,0,11630*1000*SER_hh_tes!T33/SER_hh_num!T33)</f>
        <v>13702.237106421062</v>
      </c>
      <c r="U33" s="68">
        <f>IF(SER_hh_tes!U33=0,0,11630*1000*SER_hh_tes!U33/SER_hh_num!U33)</f>
        <v>12974.915298724472</v>
      </c>
      <c r="V33" s="68">
        <f>IF(SER_hh_tes!V33=0,0,11630*1000*SER_hh_tes!V33/SER_hh_num!V33)</f>
        <v>12152.517770489239</v>
      </c>
      <c r="W33" s="68">
        <f>IF(SER_hh_tes!W33=0,0,11630*1000*SER_hh_tes!W33/SER_hh_num!W33)</f>
        <v>13240.837295175957</v>
      </c>
      <c r="X33" s="68">
        <f>IF(SER_hh_tes!X33=0,0,11630*1000*SER_hh_tes!X33/SER_hh_num!X33)</f>
        <v>12853.518083036563</v>
      </c>
      <c r="Y33" s="68">
        <f>IF(SER_hh_tes!Y33=0,0,11630*1000*SER_hh_tes!Y33/SER_hh_num!Y33)</f>
        <v>13494.29117298948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32335.346101044124</v>
      </c>
      <c r="C3" s="125">
        <f>IF(SER_hh_emi!C3=0,0,1000000*SER_hh_emi!C3/SER_hh_num!C3)</f>
        <v>33501.91507715913</v>
      </c>
      <c r="D3" s="125">
        <f>IF(SER_hh_emi!D3=0,0,1000000*SER_hh_emi!D3/SER_hh_num!D3)</f>
        <v>35433.683027443665</v>
      </c>
      <c r="E3" s="125">
        <f>IF(SER_hh_emi!E3=0,0,1000000*SER_hh_emi!E3/SER_hh_num!E3)</f>
        <v>37940.505519245889</v>
      </c>
      <c r="F3" s="125">
        <f>IF(SER_hh_emi!F3=0,0,1000000*SER_hh_emi!F3/SER_hh_num!F3)</f>
        <v>36400.708855451936</v>
      </c>
      <c r="G3" s="125">
        <f>IF(SER_hh_emi!G3=0,0,1000000*SER_hh_emi!G3/SER_hh_num!G3)</f>
        <v>35092.713402224108</v>
      </c>
      <c r="H3" s="125">
        <f>IF(SER_hh_emi!H3=0,0,1000000*SER_hh_emi!H3/SER_hh_num!H3)</f>
        <v>32114.143704066322</v>
      </c>
      <c r="I3" s="125">
        <f>IF(SER_hh_emi!I3=0,0,1000000*SER_hh_emi!I3/SER_hh_num!I3)</f>
        <v>28490.302891548603</v>
      </c>
      <c r="J3" s="125">
        <f>IF(SER_hh_emi!J3=0,0,1000000*SER_hh_emi!J3/SER_hh_num!J3)</f>
        <v>32913.218283108952</v>
      </c>
      <c r="K3" s="125">
        <f>IF(SER_hh_emi!K3=0,0,1000000*SER_hh_emi!K3/SER_hh_num!K3)</f>
        <v>31062.187660172465</v>
      </c>
      <c r="L3" s="125">
        <f>IF(SER_hh_emi!L3=0,0,1000000*SER_hh_emi!L3/SER_hh_num!L3)</f>
        <v>33495.295001373735</v>
      </c>
      <c r="M3" s="125">
        <f>IF(SER_hh_emi!M3=0,0,1000000*SER_hh_emi!M3/SER_hh_num!M3)</f>
        <v>27236.143310378258</v>
      </c>
      <c r="N3" s="125">
        <f>IF(SER_hh_emi!N3=0,0,1000000*SER_hh_emi!N3/SER_hh_num!N3)</f>
        <v>28808.321060766721</v>
      </c>
      <c r="O3" s="125">
        <f>IF(SER_hh_emi!O3=0,0,1000000*SER_hh_emi!O3/SER_hh_num!O3)</f>
        <v>31634.320578165512</v>
      </c>
      <c r="P3" s="125">
        <f>IF(SER_hh_emi!P3=0,0,1000000*SER_hh_emi!P3/SER_hh_num!P3)</f>
        <v>24868.320620018523</v>
      </c>
      <c r="Q3" s="125">
        <f>IF(SER_hh_emi!Q3=0,0,1000000*SER_hh_emi!Q3/SER_hh_num!Q3)</f>
        <v>28517.592770086416</v>
      </c>
      <c r="R3" s="125">
        <f>IF(SER_hh_emi!R3=0,0,1000000*SER_hh_emi!R3/SER_hh_num!R3)</f>
        <v>28198.958511136236</v>
      </c>
      <c r="S3" s="125">
        <f>IF(SER_hh_emi!S3=0,0,1000000*SER_hh_emi!S3/SER_hh_num!S3)</f>
        <v>27815.937549234539</v>
      </c>
      <c r="T3" s="125">
        <f>IF(SER_hh_emi!T3=0,0,1000000*SER_hh_emi!T3/SER_hh_num!T3)</f>
        <v>27472.418226740843</v>
      </c>
      <c r="U3" s="125">
        <f>IF(SER_hh_emi!U3=0,0,1000000*SER_hh_emi!U3/SER_hh_num!U3)</f>
        <v>25123.720567591401</v>
      </c>
      <c r="V3" s="125">
        <f>IF(SER_hh_emi!V3=0,0,1000000*SER_hh_emi!V3/SER_hh_num!V3)</f>
        <v>24481.99909502763</v>
      </c>
      <c r="W3" s="125">
        <f>IF(SER_hh_emi!W3=0,0,1000000*SER_hh_emi!W3/SER_hh_num!W3)</f>
        <v>25287.598539854385</v>
      </c>
      <c r="X3" s="125">
        <f>IF(SER_hh_emi!X3=0,0,1000000*SER_hh_emi!X3/SER_hh_num!X3)</f>
        <v>20046.765488174191</v>
      </c>
      <c r="Y3" s="125">
        <f>IF(SER_hh_emi!Y3=0,0,1000000*SER_hh_emi!Y3/SER_hh_num!Y3)</f>
        <v>18710.274601545083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25542.334760752306</v>
      </c>
      <c r="C4" s="130">
        <f>IF(SER_hh_emi!C4=0,0,1000000*SER_hh_emi!C4/SER_hh_num!C4)</f>
        <v>26788.742164228755</v>
      </c>
      <c r="D4" s="130">
        <f>IF(SER_hh_emi!D4=0,0,1000000*SER_hh_emi!D4/SER_hh_num!D4)</f>
        <v>29201.952631292646</v>
      </c>
      <c r="E4" s="130">
        <f>IF(SER_hh_emi!E4=0,0,1000000*SER_hh_emi!E4/SER_hh_num!E4)</f>
        <v>31914.19772769677</v>
      </c>
      <c r="F4" s="130">
        <f>IF(SER_hh_emi!F4=0,0,1000000*SER_hh_emi!F4/SER_hh_num!F4)</f>
        <v>30495.050691048338</v>
      </c>
      <c r="G4" s="130">
        <f>IF(SER_hh_emi!G4=0,0,1000000*SER_hh_emi!G4/SER_hh_num!G4)</f>
        <v>29709.855364705989</v>
      </c>
      <c r="H4" s="130">
        <f>IF(SER_hh_emi!H4=0,0,1000000*SER_hh_emi!H4/SER_hh_num!H4)</f>
        <v>26862.638160111768</v>
      </c>
      <c r="I4" s="130">
        <f>IF(SER_hh_emi!I4=0,0,1000000*SER_hh_emi!I4/SER_hh_num!I4)</f>
        <v>23358.895091582508</v>
      </c>
      <c r="J4" s="130">
        <f>IF(SER_hh_emi!J4=0,0,1000000*SER_hh_emi!J4/SER_hh_num!J4)</f>
        <v>27878.402838979706</v>
      </c>
      <c r="K4" s="130">
        <f>IF(SER_hh_emi!K4=0,0,1000000*SER_hh_emi!K4/SER_hh_num!K4)</f>
        <v>26005.323883521436</v>
      </c>
      <c r="L4" s="130">
        <f>IF(SER_hh_emi!L4=0,0,1000000*SER_hh_emi!L4/SER_hh_num!L4)</f>
        <v>28502.081359770284</v>
      </c>
      <c r="M4" s="130">
        <f>IF(SER_hh_emi!M4=0,0,1000000*SER_hh_emi!M4/SER_hh_num!M4)</f>
        <v>22310.267868645435</v>
      </c>
      <c r="N4" s="130">
        <f>IF(SER_hh_emi!N4=0,0,1000000*SER_hh_emi!N4/SER_hh_num!N4)</f>
        <v>23853.619327928969</v>
      </c>
      <c r="O4" s="130">
        <f>IF(SER_hh_emi!O4=0,0,1000000*SER_hh_emi!O4/SER_hh_num!O4)</f>
        <v>26667.497718546041</v>
      </c>
      <c r="P4" s="130">
        <f>IF(SER_hh_emi!P4=0,0,1000000*SER_hh_emi!P4/SER_hh_num!P4)</f>
        <v>20010.842793681419</v>
      </c>
      <c r="Q4" s="130">
        <f>IF(SER_hh_emi!Q4=0,0,1000000*SER_hh_emi!Q4/SER_hh_num!Q4)</f>
        <v>23592.322712259527</v>
      </c>
      <c r="R4" s="130">
        <f>IF(SER_hh_emi!R4=0,0,1000000*SER_hh_emi!R4/SER_hh_num!R4)</f>
        <v>23404.106434212135</v>
      </c>
      <c r="S4" s="130">
        <f>IF(SER_hh_emi!S4=0,0,1000000*SER_hh_emi!S4/SER_hh_num!S4)</f>
        <v>23077.099168568424</v>
      </c>
      <c r="T4" s="130">
        <f>IF(SER_hh_emi!T4=0,0,1000000*SER_hh_emi!T4/SER_hh_num!T4)</f>
        <v>22851.975906426866</v>
      </c>
      <c r="U4" s="130">
        <f>IF(SER_hh_emi!U4=0,0,1000000*SER_hh_emi!U4/SER_hh_num!U4)</f>
        <v>20760.052668394499</v>
      </c>
      <c r="V4" s="130">
        <f>IF(SER_hh_emi!V4=0,0,1000000*SER_hh_emi!V4/SER_hh_num!V4)</f>
        <v>20337.584983673911</v>
      </c>
      <c r="W4" s="130">
        <f>IF(SER_hh_emi!W4=0,0,1000000*SER_hh_emi!W4/SER_hh_num!W4)</f>
        <v>21102.204287580218</v>
      </c>
      <c r="X4" s="130">
        <f>IF(SER_hh_emi!X4=0,0,1000000*SER_hh_emi!X4/SER_hh_num!X4)</f>
        <v>16043.067454411994</v>
      </c>
      <c r="Y4" s="130">
        <f>IF(SER_hh_emi!Y4=0,0,1000000*SER_hh_emi!Y4/SER_hh_num!Y4)</f>
        <v>14969.815860121573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0</v>
      </c>
      <c r="C5" s="132">
        <f>IF(SER_hh_emi!C5=0,0,1000000*SER_hh_emi!C5/SER_hh_num!C5)</f>
        <v>0</v>
      </c>
      <c r="D5" s="132">
        <f>IF(SER_hh_emi!D5=0,0,1000000*SER_hh_emi!D5/SER_hh_num!D5)</f>
        <v>0</v>
      </c>
      <c r="E5" s="132">
        <f>IF(SER_hh_emi!E5=0,0,1000000*SER_hh_emi!E5/SER_hh_num!E5)</f>
        <v>0</v>
      </c>
      <c r="F5" s="132">
        <f>IF(SER_hh_emi!F5=0,0,1000000*SER_hh_emi!F5/SER_hh_num!F5)</f>
        <v>0</v>
      </c>
      <c r="G5" s="132">
        <f>IF(SER_hh_emi!G5=0,0,1000000*SER_hh_emi!G5/SER_hh_num!G5)</f>
        <v>0</v>
      </c>
      <c r="H5" s="132">
        <f>IF(SER_hh_emi!H5=0,0,1000000*SER_hh_emi!H5/SER_hh_num!H5)</f>
        <v>0</v>
      </c>
      <c r="I5" s="132">
        <f>IF(SER_hh_emi!I5=0,0,1000000*SER_hh_emi!I5/SER_hh_num!I5)</f>
        <v>0</v>
      </c>
      <c r="J5" s="132">
        <f>IF(SER_hh_emi!J5=0,0,1000000*SER_hh_emi!J5/SER_hh_num!J5)</f>
        <v>0</v>
      </c>
      <c r="K5" s="132">
        <f>IF(SER_hh_emi!K5=0,0,1000000*SER_hh_emi!K5/SER_hh_num!K5)</f>
        <v>0</v>
      </c>
      <c r="L5" s="132">
        <f>IF(SER_hh_emi!L5=0,0,1000000*SER_hh_emi!L5/SER_hh_num!L5)</f>
        <v>0</v>
      </c>
      <c r="M5" s="132">
        <f>IF(SER_hh_emi!M5=0,0,1000000*SER_hh_emi!M5/SER_hh_num!M5)</f>
        <v>0</v>
      </c>
      <c r="N5" s="132">
        <f>IF(SER_hh_emi!N5=0,0,1000000*SER_hh_emi!N5/SER_hh_num!N5)</f>
        <v>0</v>
      </c>
      <c r="O5" s="132">
        <f>IF(SER_hh_emi!O5=0,0,1000000*SER_hh_emi!O5/SER_hh_num!O5)</f>
        <v>0</v>
      </c>
      <c r="P5" s="132">
        <f>IF(SER_hh_emi!P5=0,0,1000000*SER_hh_emi!P5/SER_hh_num!P5)</f>
        <v>0</v>
      </c>
      <c r="Q5" s="132">
        <f>IF(SER_hh_emi!Q5=0,0,1000000*SER_hh_emi!Q5/SER_hh_num!Q5)</f>
        <v>0</v>
      </c>
      <c r="R5" s="132">
        <f>IF(SER_hh_emi!R5=0,0,1000000*SER_hh_emi!R5/SER_hh_num!R5)</f>
        <v>0</v>
      </c>
      <c r="S5" s="132">
        <f>IF(SER_hh_emi!S5=0,0,1000000*SER_hh_emi!S5/SER_hh_num!S5)</f>
        <v>0</v>
      </c>
      <c r="T5" s="132">
        <f>IF(SER_hh_emi!T5=0,0,1000000*SER_hh_emi!T5/SER_hh_num!T5)</f>
        <v>0</v>
      </c>
      <c r="U5" s="132">
        <f>IF(SER_hh_emi!U5=0,0,1000000*SER_hh_emi!U5/SER_hh_num!U5)</f>
        <v>0</v>
      </c>
      <c r="V5" s="132">
        <f>IF(SER_hh_emi!V5=0,0,1000000*SER_hh_emi!V5/SER_hh_num!V5)</f>
        <v>0</v>
      </c>
      <c r="W5" s="132">
        <f>IF(SER_hh_emi!W5=0,0,1000000*SER_hh_emi!W5/SER_hh_num!W5)</f>
        <v>0</v>
      </c>
      <c r="X5" s="132">
        <f>IF(SER_hh_emi!X5=0,0,1000000*SER_hh_emi!X5/SER_hh_num!X5)</f>
        <v>0</v>
      </c>
      <c r="Y5" s="132">
        <f>IF(SER_hh_emi!Y5=0,0,1000000*SER_hh_emi!Y5/SER_hh_num!Y5)</f>
        <v>0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38827.481473415843</v>
      </c>
      <c r="C7" s="132">
        <f>IF(SER_hh_emi!C7=0,0,1000000*SER_hh_emi!C7/SER_hh_num!C7)</f>
        <v>35928.242017141005</v>
      </c>
      <c r="D7" s="132">
        <f>IF(SER_hh_emi!D7=0,0,1000000*SER_hh_emi!D7/SER_hh_num!D7)</f>
        <v>45682.144029155897</v>
      </c>
      <c r="E7" s="132">
        <f>IF(SER_hh_emi!E7=0,0,1000000*SER_hh_emi!E7/SER_hh_num!E7)</f>
        <v>51965.859663535259</v>
      </c>
      <c r="F7" s="132">
        <f>IF(SER_hh_emi!F7=0,0,1000000*SER_hh_emi!F7/SER_hh_num!F7)</f>
        <v>51090.155714818618</v>
      </c>
      <c r="G7" s="132">
        <f>IF(SER_hh_emi!G7=0,0,1000000*SER_hh_emi!G7/SER_hh_num!G7)</f>
        <v>52183.352409783271</v>
      </c>
      <c r="H7" s="132">
        <f>IF(SER_hh_emi!H7=0,0,1000000*SER_hh_emi!H7/SER_hh_num!H7)</f>
        <v>45903.460756252804</v>
      </c>
      <c r="I7" s="132">
        <f>IF(SER_hh_emi!I7=0,0,1000000*SER_hh_emi!I7/SER_hh_num!I7)</f>
        <v>39715.766465049142</v>
      </c>
      <c r="J7" s="132">
        <f>IF(SER_hh_emi!J7=0,0,1000000*SER_hh_emi!J7/SER_hh_num!J7)</f>
        <v>50420.450196487312</v>
      </c>
      <c r="K7" s="132">
        <f>IF(SER_hh_emi!K7=0,0,1000000*SER_hh_emi!K7/SER_hh_num!K7)</f>
        <v>41777.566432653955</v>
      </c>
      <c r="L7" s="132">
        <f>IF(SER_hh_emi!L7=0,0,1000000*SER_hh_emi!L7/SER_hh_num!L7)</f>
        <v>47145.922864433254</v>
      </c>
      <c r="M7" s="132">
        <f>IF(SER_hh_emi!M7=0,0,1000000*SER_hh_emi!M7/SER_hh_num!M7)</f>
        <v>38947.604956980795</v>
      </c>
      <c r="N7" s="132">
        <f>IF(SER_hh_emi!N7=0,0,1000000*SER_hh_emi!N7/SER_hh_num!N7)</f>
        <v>38713.956478125641</v>
      </c>
      <c r="O7" s="132">
        <f>IF(SER_hh_emi!O7=0,0,1000000*SER_hh_emi!O7/SER_hh_num!O7)</f>
        <v>42202.047910047891</v>
      </c>
      <c r="P7" s="132">
        <f>IF(SER_hh_emi!P7=0,0,1000000*SER_hh_emi!P7/SER_hh_num!P7)</f>
        <v>32046.552492313691</v>
      </c>
      <c r="Q7" s="132">
        <f>IF(SER_hh_emi!Q7=0,0,1000000*SER_hh_emi!Q7/SER_hh_num!Q7)</f>
        <v>38299.501885625126</v>
      </c>
      <c r="R7" s="132">
        <f>IF(SER_hh_emi!R7=0,0,1000000*SER_hh_emi!R7/SER_hh_num!R7)</f>
        <v>35386.557571367033</v>
      </c>
      <c r="S7" s="132">
        <f>IF(SER_hh_emi!S7=0,0,1000000*SER_hh_emi!S7/SER_hh_num!S7)</f>
        <v>36508.212361576276</v>
      </c>
      <c r="T7" s="132">
        <f>IF(SER_hh_emi!T7=0,0,1000000*SER_hh_emi!T7/SER_hh_num!T7)</f>
        <v>37290.657288535862</v>
      </c>
      <c r="U7" s="132">
        <f>IF(SER_hh_emi!U7=0,0,1000000*SER_hh_emi!U7/SER_hh_num!U7)</f>
        <v>31877.720664748522</v>
      </c>
      <c r="V7" s="132">
        <f>IF(SER_hh_emi!V7=0,0,1000000*SER_hh_emi!V7/SER_hh_num!V7)</f>
        <v>37017.7989040135</v>
      </c>
      <c r="W7" s="132">
        <f>IF(SER_hh_emi!W7=0,0,1000000*SER_hh_emi!W7/SER_hh_num!W7)</f>
        <v>31781.07053411883</v>
      </c>
      <c r="X7" s="132">
        <f>IF(SER_hh_emi!X7=0,0,1000000*SER_hh_emi!X7/SER_hh_num!X7)</f>
        <v>27162.908225407067</v>
      </c>
      <c r="Y7" s="132">
        <f>IF(SER_hh_emi!Y7=0,0,1000000*SER_hh_emi!Y7/SER_hh_num!Y7)</f>
        <v>27775.956658845047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13891.644779753682</v>
      </c>
      <c r="C8" s="132">
        <f>IF(SER_hh_emi!C8=0,0,1000000*SER_hh_emi!C8/SER_hh_num!C8)</f>
        <v>13682.678124813825</v>
      </c>
      <c r="D8" s="132">
        <f>IF(SER_hh_emi!D8=0,0,1000000*SER_hh_emi!D8/SER_hh_num!D8)</f>
        <v>13067.630824738142</v>
      </c>
      <c r="E8" s="132">
        <f>IF(SER_hh_emi!E8=0,0,1000000*SER_hh_emi!E8/SER_hh_num!E8)</f>
        <v>12743.515637804187</v>
      </c>
      <c r="F8" s="132">
        <f>IF(SER_hh_emi!F8=0,0,1000000*SER_hh_emi!F8/SER_hh_num!F8)</f>
        <v>14493.418138456633</v>
      </c>
      <c r="G8" s="132">
        <f>IF(SER_hh_emi!G8=0,0,1000000*SER_hh_emi!G8/SER_hh_num!G8)</f>
        <v>13223.111079286153</v>
      </c>
      <c r="H8" s="132">
        <f>IF(SER_hh_emi!H8=0,0,1000000*SER_hh_emi!H8/SER_hh_num!H8)</f>
        <v>12224.775256762538</v>
      </c>
      <c r="I8" s="132">
        <f>IF(SER_hh_emi!I8=0,0,1000000*SER_hh_emi!I8/SER_hh_num!I8)</f>
        <v>9930.6447201295086</v>
      </c>
      <c r="J8" s="132">
        <f>IF(SER_hh_emi!J8=0,0,1000000*SER_hh_emi!J8/SER_hh_num!J8)</f>
        <v>9973.0940044707968</v>
      </c>
      <c r="K8" s="132">
        <f>IF(SER_hh_emi!K8=0,0,1000000*SER_hh_emi!K8/SER_hh_num!K8)</f>
        <v>9366.5315780908895</v>
      </c>
      <c r="L8" s="132">
        <f>IF(SER_hh_emi!L8=0,0,1000000*SER_hh_emi!L8/SER_hh_num!L8)</f>
        <v>8649.3078421561931</v>
      </c>
      <c r="M8" s="132">
        <f>IF(SER_hh_emi!M8=0,0,1000000*SER_hh_emi!M8/SER_hh_num!M8)</f>
        <v>6510.0752240047414</v>
      </c>
      <c r="N8" s="132">
        <f>IF(SER_hh_emi!N8=0,0,1000000*SER_hh_emi!N8/SER_hh_num!N8)</f>
        <v>6607.0857909407168</v>
      </c>
      <c r="O8" s="132">
        <f>IF(SER_hh_emi!O8=0,0,1000000*SER_hh_emi!O8/SER_hh_num!O8)</f>
        <v>6860.7395410469717</v>
      </c>
      <c r="P8" s="132">
        <f>IF(SER_hh_emi!P8=0,0,1000000*SER_hh_emi!P8/SER_hh_num!P8)</f>
        <v>5065.6292048337627</v>
      </c>
      <c r="Q8" s="132">
        <f>IF(SER_hh_emi!Q8=0,0,1000000*SER_hh_emi!Q8/SER_hh_num!Q8)</f>
        <v>5588.2832215652497</v>
      </c>
      <c r="R8" s="132">
        <f>IF(SER_hh_emi!R8=0,0,1000000*SER_hh_emi!R8/SER_hh_num!R8)</f>
        <v>5600.859839862047</v>
      </c>
      <c r="S8" s="132">
        <f>IF(SER_hh_emi!S8=0,0,1000000*SER_hh_emi!S8/SER_hh_num!S8)</f>
        <v>5242.3912003912756</v>
      </c>
      <c r="T8" s="132">
        <f>IF(SER_hh_emi!T8=0,0,1000000*SER_hh_emi!T8/SER_hh_num!T8)</f>
        <v>5059.412373429358</v>
      </c>
      <c r="U8" s="132">
        <f>IF(SER_hh_emi!U8=0,0,1000000*SER_hh_emi!U8/SER_hh_num!U8)</f>
        <v>4822.8939756623722</v>
      </c>
      <c r="V8" s="132">
        <f>IF(SER_hh_emi!V8=0,0,1000000*SER_hh_emi!V8/SER_hh_num!V8)</f>
        <v>4172.0670283859663</v>
      </c>
      <c r="W8" s="132">
        <f>IF(SER_hh_emi!W8=0,0,1000000*SER_hh_emi!W8/SER_hh_num!W8)</f>
        <v>3656.7872440111705</v>
      </c>
      <c r="X8" s="132">
        <f>IF(SER_hh_emi!X8=0,0,1000000*SER_hh_emi!X8/SER_hh_num!X8)</f>
        <v>3746.6109991781959</v>
      </c>
      <c r="Y8" s="132">
        <f>IF(SER_hh_emi!Y8=0,0,1000000*SER_hh_emi!Y8/SER_hh_num!Y8)</f>
        <v>3656.2856734766606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26279.655792642785</v>
      </c>
      <c r="C9" s="132">
        <f>IF(SER_hh_emi!C9=0,0,1000000*SER_hh_emi!C9/SER_hh_num!C9)</f>
        <v>29152.803423213853</v>
      </c>
      <c r="D9" s="132">
        <f>IF(SER_hh_emi!D9=0,0,1000000*SER_hh_emi!D9/SER_hh_num!D9)</f>
        <v>26926.267912659307</v>
      </c>
      <c r="E9" s="132">
        <f>IF(SER_hh_emi!E9=0,0,1000000*SER_hh_emi!E9/SER_hh_num!E9)</f>
        <v>28387.277394747642</v>
      </c>
      <c r="F9" s="132">
        <f>IF(SER_hh_emi!F9=0,0,1000000*SER_hh_emi!F9/SER_hh_num!F9)</f>
        <v>31180.582839739182</v>
      </c>
      <c r="G9" s="132">
        <f>IF(SER_hh_emi!G9=0,0,1000000*SER_hh_emi!G9/SER_hh_num!G9)</f>
        <v>33043.274465049144</v>
      </c>
      <c r="H9" s="132">
        <f>IF(SER_hh_emi!H9=0,0,1000000*SER_hh_emi!H9/SER_hh_num!H9)</f>
        <v>33302.231398596079</v>
      </c>
      <c r="I9" s="132">
        <f>IF(SER_hh_emi!I9=0,0,1000000*SER_hh_emi!I9/SER_hh_num!I9)</f>
        <v>29202.997050318514</v>
      </c>
      <c r="J9" s="132">
        <f>IF(SER_hh_emi!J9=0,0,1000000*SER_hh_emi!J9/SER_hh_num!J9)</f>
        <v>31927.444302225744</v>
      </c>
      <c r="K9" s="132">
        <f>IF(SER_hh_emi!K9=0,0,1000000*SER_hh_emi!K9/SER_hh_num!K9)</f>
        <v>32643.556432094774</v>
      </c>
      <c r="L9" s="132">
        <f>IF(SER_hh_emi!L9=0,0,1000000*SER_hh_emi!L9/SER_hh_num!L9)</f>
        <v>33702.399452827827</v>
      </c>
      <c r="M9" s="132">
        <f>IF(SER_hh_emi!M9=0,0,1000000*SER_hh_emi!M9/SER_hh_num!M9)</f>
        <v>24950.84960243382</v>
      </c>
      <c r="N9" s="132">
        <f>IF(SER_hh_emi!N9=0,0,1000000*SER_hh_emi!N9/SER_hh_num!N9)</f>
        <v>27592.490821096981</v>
      </c>
      <c r="O9" s="132">
        <f>IF(SER_hh_emi!O9=0,0,1000000*SER_hh_emi!O9/SER_hh_num!O9)</f>
        <v>29862.814091376866</v>
      </c>
      <c r="P9" s="132">
        <f>IF(SER_hh_emi!P9=0,0,1000000*SER_hh_emi!P9/SER_hh_num!P9)</f>
        <v>21727.593817664772</v>
      </c>
      <c r="Q9" s="132">
        <f>IF(SER_hh_emi!Q9=0,0,1000000*SER_hh_emi!Q9/SER_hh_num!Q9)</f>
        <v>24790.152063799796</v>
      </c>
      <c r="R9" s="132">
        <f>IF(SER_hh_emi!R9=0,0,1000000*SER_hh_emi!R9/SER_hh_num!R9)</f>
        <v>25667.217847726599</v>
      </c>
      <c r="S9" s="132">
        <f>IF(SER_hh_emi!S9=0,0,1000000*SER_hh_emi!S9/SER_hh_num!S9)</f>
        <v>24748.995610143676</v>
      </c>
      <c r="T9" s="132">
        <f>IF(SER_hh_emi!T9=0,0,1000000*SER_hh_emi!T9/SER_hh_num!T9)</f>
        <v>24569.931547051507</v>
      </c>
      <c r="U9" s="132">
        <f>IF(SER_hh_emi!U9=0,0,1000000*SER_hh_emi!U9/SER_hh_num!U9)</f>
        <v>23755.987902259112</v>
      </c>
      <c r="V9" s="132">
        <f>IF(SER_hh_emi!V9=0,0,1000000*SER_hh_emi!V9/SER_hh_num!V9)</f>
        <v>21830.811410093167</v>
      </c>
      <c r="W9" s="132">
        <f>IF(SER_hh_emi!W9=0,0,1000000*SER_hh_emi!W9/SER_hh_num!W9)</f>
        <v>25573.099236089951</v>
      </c>
      <c r="X9" s="132">
        <f>IF(SER_hh_emi!X9=0,0,1000000*SER_hh_emi!X9/SER_hh_num!X9)</f>
        <v>19055.522657334681</v>
      </c>
      <c r="Y9" s="132">
        <f>IF(SER_hh_emi!Y9=0,0,1000000*SER_hh_emi!Y9/SER_hh_num!Y9)</f>
        <v>17453.999852832243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143009.94795813365</v>
      </c>
      <c r="G10" s="132">
        <f>IF(SER_hh_emi!G10=0,0,1000000*SER_hh_emi!G10/SER_hh_num!G10)</f>
        <v>125128.04685096585</v>
      </c>
      <c r="H10" s="132">
        <f>IF(SER_hh_emi!H10=0,0,1000000*SER_hh_emi!H10/SER_hh_num!H10)</f>
        <v>112226.25492536626</v>
      </c>
      <c r="I10" s="132">
        <f>IF(SER_hh_emi!I10=0,0,1000000*SER_hh_emi!I10/SER_hh_num!I10)</f>
        <v>104617.65554554175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51099.166132475038</v>
      </c>
      <c r="P10" s="132">
        <f>IF(SER_hh_emi!P10=0,0,1000000*SER_hh_emi!P10/SER_hh_num!P10)</f>
        <v>42182.264647925789</v>
      </c>
      <c r="Q10" s="132">
        <f>IF(SER_hh_emi!Q10=0,0,1000000*SER_hh_emi!Q10/SER_hh_num!Q10)</f>
        <v>48228.86197881816</v>
      </c>
      <c r="R10" s="132">
        <f>IF(SER_hh_emi!R10=0,0,1000000*SER_hh_emi!R10/SER_hh_num!R10)</f>
        <v>46569.367045269493</v>
      </c>
      <c r="S10" s="132">
        <f>IF(SER_hh_emi!S10=0,0,1000000*SER_hh_emi!S10/SER_hh_num!S10)</f>
        <v>45269.388272309021</v>
      </c>
      <c r="T10" s="132">
        <f>IF(SER_hh_emi!T10=0,0,1000000*SER_hh_emi!T10/SER_hh_num!T10)</f>
        <v>44425.781791343165</v>
      </c>
      <c r="U10" s="132">
        <f>IF(SER_hh_emi!U10=0,0,1000000*SER_hh_emi!U10/SER_hh_num!U10)</f>
        <v>43246.069871908272</v>
      </c>
      <c r="V10" s="132">
        <f>IF(SER_hh_emi!V10=0,0,1000000*SER_hh_emi!V10/SER_hh_num!V10)</f>
        <v>44554.197573238183</v>
      </c>
      <c r="W10" s="132">
        <f>IF(SER_hh_emi!W10=0,0,1000000*SER_hh_emi!W10/SER_hh_num!W10)</f>
        <v>42810.121702536264</v>
      </c>
      <c r="X10" s="132">
        <f>IF(SER_hh_emi!X10=0,0,1000000*SER_hh_emi!X10/SER_hh_num!X10)</f>
        <v>34989.191371736219</v>
      </c>
      <c r="Y10" s="132">
        <f>IF(SER_hh_emi!Y10=0,0,1000000*SER_hh_emi!Y10/SER_hh_num!Y10)</f>
        <v>33882.134464511961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4.2678924169052834</v>
      </c>
      <c r="C16" s="130">
        <f>IF(SER_hh_emi!C16=0,0,1000000*SER_hh_emi!C16/SER_hh_num!C16)</f>
        <v>4.5038504323936079</v>
      </c>
      <c r="D16" s="130">
        <f>IF(SER_hh_emi!D16=0,0,1000000*SER_hh_emi!D16/SER_hh_num!D16)</f>
        <v>4.741049430113466</v>
      </c>
      <c r="E16" s="130">
        <f>IF(SER_hh_emi!E16=0,0,1000000*SER_hh_emi!E16/SER_hh_num!E16)</f>
        <v>4.8599737493100719</v>
      </c>
      <c r="F16" s="130">
        <f>IF(SER_hh_emi!F16=0,0,1000000*SER_hh_emi!F16/SER_hh_num!F16)</f>
        <v>5.5234688244706822</v>
      </c>
      <c r="G16" s="130">
        <f>IF(SER_hh_emi!G16=0,0,1000000*SER_hh_emi!G16/SER_hh_num!G16)</f>
        <v>6.3327243560019078</v>
      </c>
      <c r="H16" s="130">
        <f>IF(SER_hh_emi!H16=0,0,1000000*SER_hh_emi!H16/SER_hh_num!H16)</f>
        <v>7.3368265858439052</v>
      </c>
      <c r="I16" s="130">
        <f>IF(SER_hh_emi!I16=0,0,1000000*SER_hh_emi!I16/SER_hh_num!I16)</f>
        <v>7.2726567599300633</v>
      </c>
      <c r="J16" s="130">
        <f>IF(SER_hh_emi!J16=0,0,1000000*SER_hh_emi!J16/SER_hh_num!J16)</f>
        <v>8.6046319786091097</v>
      </c>
      <c r="K16" s="130">
        <f>IF(SER_hh_emi!K16=0,0,1000000*SER_hh_emi!K16/SER_hh_num!K16)</f>
        <v>9.6206803594179533</v>
      </c>
      <c r="L16" s="130">
        <f>IF(SER_hh_emi!L16=0,0,1000000*SER_hh_emi!L16/SER_hh_num!L16)</f>
        <v>9.9049580239307176</v>
      </c>
      <c r="M16" s="130">
        <f>IF(SER_hh_emi!M16=0,0,1000000*SER_hh_emi!M16/SER_hh_num!M16)</f>
        <v>9.8466407963531406</v>
      </c>
      <c r="N16" s="130">
        <f>IF(SER_hh_emi!N16=0,0,1000000*SER_hh_emi!N16/SER_hh_num!N16)</f>
        <v>10.544505753816615</v>
      </c>
      <c r="O16" s="130">
        <f>IF(SER_hh_emi!O16=0,0,1000000*SER_hh_emi!O16/SER_hh_num!O16)</f>
        <v>12.049425416511882</v>
      </c>
      <c r="P16" s="130">
        <f>IF(SER_hh_emi!P16=0,0,1000000*SER_hh_emi!P16/SER_hh_num!P16)</f>
        <v>14.323244174334738</v>
      </c>
      <c r="Q16" s="130">
        <f>IF(SER_hh_emi!Q16=0,0,1000000*SER_hh_emi!Q16/SER_hh_num!Q16)</f>
        <v>21.071336964301729</v>
      </c>
      <c r="R16" s="130">
        <f>IF(SER_hh_emi!R16=0,0,1000000*SER_hh_emi!R16/SER_hh_num!R16)</f>
        <v>23.128224762650611</v>
      </c>
      <c r="S16" s="130">
        <f>IF(SER_hh_emi!S16=0,0,1000000*SER_hh_emi!S16/SER_hh_num!S16)</f>
        <v>22.884745041037792</v>
      </c>
      <c r="T16" s="130">
        <f>IF(SER_hh_emi!T16=0,0,1000000*SER_hh_emi!T16/SER_hh_num!T16)</f>
        <v>29.103426242612613</v>
      </c>
      <c r="U16" s="130">
        <f>IF(SER_hh_emi!U16=0,0,1000000*SER_hh_emi!U16/SER_hh_num!U16)</f>
        <v>31.739240413249178</v>
      </c>
      <c r="V16" s="130">
        <f>IF(SER_hh_emi!V16=0,0,1000000*SER_hh_emi!V16/SER_hh_num!V16)</f>
        <v>37.088035194397371</v>
      </c>
      <c r="W16" s="130">
        <f>IF(SER_hh_emi!W16=0,0,1000000*SER_hh_emi!W16/SER_hh_num!W16)</f>
        <v>27.23009545979523</v>
      </c>
      <c r="X16" s="130">
        <f>IF(SER_hh_emi!X16=0,0,1000000*SER_hh_emi!X16/SER_hh_num!X16)</f>
        <v>32.458370780103074</v>
      </c>
      <c r="Y16" s="130">
        <f>IF(SER_hh_emi!Y16=0,0,1000000*SER_hh_emi!Y16/SER_hh_num!Y16)</f>
        <v>29.617771426847579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4807.5584705661977</v>
      </c>
      <c r="C17" s="132">
        <f>IF(SER_hh_emi!C17=0,0,1000000*SER_hh_emi!C17/SER_hh_num!C17)</f>
        <v>4795.1588619908243</v>
      </c>
      <c r="D17" s="132">
        <f>IF(SER_hh_emi!D17=0,0,1000000*SER_hh_emi!D17/SER_hh_num!D17)</f>
        <v>4633.6767476355026</v>
      </c>
      <c r="E17" s="132">
        <f>IF(SER_hh_emi!E17=0,0,1000000*SER_hh_emi!E17/SER_hh_num!E17)</f>
        <v>5880.4720314416218</v>
      </c>
      <c r="F17" s="132">
        <f>IF(SER_hh_emi!F17=0,0,1000000*SER_hh_emi!F17/SER_hh_num!F17)</f>
        <v>4396.8838955672754</v>
      </c>
      <c r="G17" s="132">
        <f>IF(SER_hh_emi!G17=0,0,1000000*SER_hh_emi!G17/SER_hh_num!G17)</f>
        <v>4401.4626312354367</v>
      </c>
      <c r="H17" s="132">
        <f>IF(SER_hh_emi!H17=0,0,1000000*SER_hh_emi!H17/SER_hh_num!H17)</f>
        <v>5468.7450228591479</v>
      </c>
      <c r="I17" s="132">
        <f>IF(SER_hh_emi!I17=0,0,1000000*SER_hh_emi!I17/SER_hh_num!I17)</f>
        <v>4189.7215234135438</v>
      </c>
      <c r="J17" s="132">
        <f>IF(SER_hh_emi!J17=0,0,1000000*SER_hh_emi!J17/SER_hh_num!J17)</f>
        <v>4176.226210216515</v>
      </c>
      <c r="K17" s="132">
        <f>IF(SER_hh_emi!K17=0,0,1000000*SER_hh_emi!K17/SER_hh_num!K17)</f>
        <v>4199.3849510690598</v>
      </c>
      <c r="L17" s="132">
        <f>IF(SER_hh_emi!L17=0,0,1000000*SER_hh_emi!L17/SER_hh_num!L17)</f>
        <v>4445.5147768129573</v>
      </c>
      <c r="M17" s="132">
        <f>IF(SER_hh_emi!M17=0,0,1000000*SER_hh_emi!M17/SER_hh_num!M17)</f>
        <v>4125.0489167384203</v>
      </c>
      <c r="N17" s="132">
        <f>IF(SER_hh_emi!N17=0,0,1000000*SER_hh_emi!N17/SER_hh_num!N17)</f>
        <v>4128.8277777597041</v>
      </c>
      <c r="O17" s="132">
        <f>IF(SER_hh_emi!O17=0,0,1000000*SER_hh_emi!O17/SER_hh_num!O17)</f>
        <v>4124.6841505499115</v>
      </c>
      <c r="P17" s="132">
        <f>IF(SER_hh_emi!P17=0,0,1000000*SER_hh_emi!P17/SER_hh_num!P17)</f>
        <v>3889.2560661576931</v>
      </c>
      <c r="Q17" s="132">
        <f>IF(SER_hh_emi!Q17=0,0,1000000*SER_hh_emi!Q17/SER_hh_num!Q17)</f>
        <v>4322.715422209365</v>
      </c>
      <c r="R17" s="132">
        <f>IF(SER_hh_emi!R17=0,0,1000000*SER_hh_emi!R17/SER_hh_num!R17)</f>
        <v>4146.014061523425</v>
      </c>
      <c r="S17" s="132">
        <f>IF(SER_hh_emi!S17=0,0,1000000*SER_hh_emi!S17/SER_hh_num!S17)</f>
        <v>3902.8750017118164</v>
      </c>
      <c r="T17" s="132">
        <f>IF(SER_hh_emi!T17=0,0,1000000*SER_hh_emi!T17/SER_hh_num!T17)</f>
        <v>4409.2412662629849</v>
      </c>
      <c r="U17" s="132">
        <f>IF(SER_hh_emi!U17=0,0,1000000*SER_hh_emi!U17/SER_hh_num!U17)</f>
        <v>4196.3248887844438</v>
      </c>
      <c r="V17" s="132">
        <f>IF(SER_hh_emi!V17=0,0,1000000*SER_hh_emi!V17/SER_hh_num!V17)</f>
        <v>4680.456483859839</v>
      </c>
      <c r="W17" s="132">
        <f>IF(SER_hh_emi!W17=0,0,1000000*SER_hh_emi!W17/SER_hh_num!W17)</f>
        <v>3377.4957118233874</v>
      </c>
      <c r="X17" s="132">
        <f>IF(SER_hh_emi!X17=0,0,1000000*SER_hh_emi!X17/SER_hh_num!X17)</f>
        <v>4020.4556917458899</v>
      </c>
      <c r="Y17" s="132">
        <f>IF(SER_hh_emi!Y17=0,0,1000000*SER_hh_emi!Y17/SER_hh_num!Y17)</f>
        <v>3634.1240769510164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4136.8511384386657</v>
      </c>
      <c r="C19" s="130">
        <f>IF(SER_hh_emi!C19=0,0,1000000*SER_hh_emi!C19/SER_hh_num!C19)</f>
        <v>4091.202401766393</v>
      </c>
      <c r="D19" s="130">
        <f>IF(SER_hh_emi!D19=0,0,1000000*SER_hh_emi!D19/SER_hh_num!D19)</f>
        <v>3915.2144715520949</v>
      </c>
      <c r="E19" s="130">
        <f>IF(SER_hh_emi!E19=0,0,1000000*SER_hh_emi!E19/SER_hh_num!E19)</f>
        <v>3885.7835285557007</v>
      </c>
      <c r="F19" s="130">
        <f>IF(SER_hh_emi!F19=0,0,1000000*SER_hh_emi!F19/SER_hh_num!F19)</f>
        <v>3782.3038355382514</v>
      </c>
      <c r="G19" s="130">
        <f>IF(SER_hh_emi!G19=0,0,1000000*SER_hh_emi!G19/SER_hh_num!G19)</f>
        <v>3639.4087367947473</v>
      </c>
      <c r="H19" s="130">
        <f>IF(SER_hh_emi!H19=0,0,1000000*SER_hh_emi!H19/SER_hh_num!H19)</f>
        <v>3553.0456976530099</v>
      </c>
      <c r="I19" s="130">
        <f>IF(SER_hh_emi!I19=0,0,1000000*SER_hh_emi!I19/SER_hh_num!I19)</f>
        <v>3468.2724876543066</v>
      </c>
      <c r="J19" s="130">
        <f>IF(SER_hh_emi!J19=0,0,1000000*SER_hh_emi!J19/SER_hh_num!J19)</f>
        <v>3352.1916163634055</v>
      </c>
      <c r="K19" s="130">
        <f>IF(SER_hh_emi!K19=0,0,1000000*SER_hh_emi!K19/SER_hh_num!K19)</f>
        <v>3359.050800473864</v>
      </c>
      <c r="L19" s="130">
        <f>IF(SER_hh_emi!L19=0,0,1000000*SER_hh_emi!L19/SER_hh_num!L19)</f>
        <v>3289.5552308925844</v>
      </c>
      <c r="M19" s="130">
        <f>IF(SER_hh_emi!M19=0,0,1000000*SER_hh_emi!M19/SER_hh_num!M19)</f>
        <v>3268.6654440527359</v>
      </c>
      <c r="N19" s="130">
        <f>IF(SER_hh_emi!N19=0,0,1000000*SER_hh_emi!N19/SER_hh_num!N19)</f>
        <v>3268.0214528482115</v>
      </c>
      <c r="O19" s="130">
        <f>IF(SER_hh_emi!O19=0,0,1000000*SER_hh_emi!O19/SER_hh_num!O19)</f>
        <v>3245.118175928138</v>
      </c>
      <c r="P19" s="130">
        <f>IF(SER_hh_emi!P19=0,0,1000000*SER_hh_emi!P19/SER_hh_num!P19)</f>
        <v>3183.7419809734442</v>
      </c>
      <c r="Q19" s="130">
        <f>IF(SER_hh_emi!Q19=0,0,1000000*SER_hh_emi!Q19/SER_hh_num!Q19)</f>
        <v>3167.6009799712492</v>
      </c>
      <c r="R19" s="130">
        <f>IF(SER_hh_emi!R19=0,0,1000000*SER_hh_emi!R19/SER_hh_num!R19)</f>
        <v>3085.516729136893</v>
      </c>
      <c r="S19" s="130">
        <f>IF(SER_hh_emi!S19=0,0,1000000*SER_hh_emi!S19/SER_hh_num!S19)</f>
        <v>3025.5092395940865</v>
      </c>
      <c r="T19" s="130">
        <f>IF(SER_hh_emi!T19=0,0,1000000*SER_hh_emi!T19/SER_hh_num!T19)</f>
        <v>2923.0852801311853</v>
      </c>
      <c r="U19" s="130">
        <f>IF(SER_hh_emi!U19=0,0,1000000*SER_hh_emi!U19/SER_hh_num!U19)</f>
        <v>2671.1432243315139</v>
      </c>
      <c r="V19" s="130">
        <f>IF(SER_hh_emi!V19=0,0,1000000*SER_hh_emi!V19/SER_hh_num!V19)</f>
        <v>2514.5191407917232</v>
      </c>
      <c r="W19" s="130">
        <f>IF(SER_hh_emi!W19=0,0,1000000*SER_hh_emi!W19/SER_hh_num!W19)</f>
        <v>2658.2769507545368</v>
      </c>
      <c r="X19" s="130">
        <f>IF(SER_hh_emi!X19=0,0,1000000*SER_hh_emi!X19/SER_hh_num!X19)</f>
        <v>2428.0184424564677</v>
      </c>
      <c r="Y19" s="130">
        <f>IF(SER_hh_emi!Y19=0,0,1000000*SER_hh_emi!Y19/SER_hh_num!Y19)</f>
        <v>2268.6470395667202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4882.8264369680055</v>
      </c>
      <c r="C21" s="132">
        <f>IF(SER_hh_emi!C21=0,0,1000000*SER_hh_emi!C21/SER_hh_num!C21)</f>
        <v>4968.4631442430582</v>
      </c>
      <c r="D21" s="132">
        <f>IF(SER_hh_emi!D21=0,0,1000000*SER_hh_emi!D21/SER_hh_num!D21)</f>
        <v>5055.2082067893225</v>
      </c>
      <c r="E21" s="132">
        <f>IF(SER_hh_emi!E21=0,0,1000000*SER_hh_emi!E21/SER_hh_num!E21)</f>
        <v>5319.569064872906</v>
      </c>
      <c r="F21" s="132">
        <f>IF(SER_hh_emi!F21=0,0,1000000*SER_hh_emi!F21/SER_hh_num!F21)</f>
        <v>5833.4492780190103</v>
      </c>
      <c r="G21" s="132">
        <f>IF(SER_hh_emi!G21=0,0,1000000*SER_hh_emi!G21/SER_hh_num!G21)</f>
        <v>3703.4543343553805</v>
      </c>
      <c r="H21" s="132">
        <f>IF(SER_hh_emi!H21=0,0,1000000*SER_hh_emi!H21/SER_hh_num!H21)</f>
        <v>4490.8652948329027</v>
      </c>
      <c r="I21" s="132">
        <f>IF(SER_hh_emi!I21=0,0,1000000*SER_hh_emi!I21/SER_hh_num!I21)</f>
        <v>4903.7826427414111</v>
      </c>
      <c r="J21" s="132">
        <f>IF(SER_hh_emi!J21=0,0,1000000*SER_hh_emi!J21/SER_hh_num!J21)</f>
        <v>4451.6931716686786</v>
      </c>
      <c r="K21" s="132">
        <f>IF(SER_hh_emi!K21=0,0,1000000*SER_hh_emi!K21/SER_hh_num!K21)</f>
        <v>4703.8067033607131</v>
      </c>
      <c r="L21" s="132">
        <f>IF(SER_hh_emi!L21=0,0,1000000*SER_hh_emi!L21/SER_hh_num!L21)</f>
        <v>4445.7909532312297</v>
      </c>
      <c r="M21" s="132">
        <f>IF(SER_hh_emi!M21=0,0,1000000*SER_hh_emi!M21/SER_hh_num!M21)</f>
        <v>4664.0402280393055</v>
      </c>
      <c r="N21" s="132">
        <f>IF(SER_hh_emi!N21=0,0,1000000*SER_hh_emi!N21/SER_hh_num!N21)</f>
        <v>4958.2939758400744</v>
      </c>
      <c r="O21" s="132">
        <f>IF(SER_hh_emi!O21=0,0,1000000*SER_hh_emi!O21/SER_hh_num!O21)</f>
        <v>4833.1119499993865</v>
      </c>
      <c r="P21" s="132">
        <f>IF(SER_hh_emi!P21=0,0,1000000*SER_hh_emi!P21/SER_hh_num!P21)</f>
        <v>4568.6245714983052</v>
      </c>
      <c r="Q21" s="132">
        <f>IF(SER_hh_emi!Q21=0,0,1000000*SER_hh_emi!Q21/SER_hh_num!Q21)</f>
        <v>4774.7950861268391</v>
      </c>
      <c r="R21" s="132">
        <f>IF(SER_hh_emi!R21=0,0,1000000*SER_hh_emi!R21/SER_hh_num!R21)</f>
        <v>4646.3540213776405</v>
      </c>
      <c r="S21" s="132">
        <f>IF(SER_hh_emi!S21=0,0,1000000*SER_hh_emi!S21/SER_hh_num!S21)</f>
        <v>4659.1537304640578</v>
      </c>
      <c r="T21" s="132">
        <f>IF(SER_hh_emi!T21=0,0,1000000*SER_hh_emi!T21/SER_hh_num!T21)</f>
        <v>4640.3959755807155</v>
      </c>
      <c r="U21" s="132">
        <f>IF(SER_hh_emi!U21=0,0,1000000*SER_hh_emi!U21/SER_hh_num!U21)</f>
        <v>4525.4514412050503</v>
      </c>
      <c r="V21" s="132">
        <f>IF(SER_hh_emi!V21=0,0,1000000*SER_hh_emi!V21/SER_hh_num!V21)</f>
        <v>3672.9656671810394</v>
      </c>
      <c r="W21" s="132">
        <f>IF(SER_hh_emi!W21=0,0,1000000*SER_hh_emi!W21/SER_hh_num!W21)</f>
        <v>3742.6803495525651</v>
      </c>
      <c r="X21" s="132">
        <f>IF(SER_hh_emi!X21=0,0,1000000*SER_hh_emi!X21/SER_hh_num!X21)</f>
        <v>5144.8611167438567</v>
      </c>
      <c r="Y21" s="132">
        <f>IF(SER_hh_emi!Y21=0,0,1000000*SER_hh_emi!Y21/SER_hh_num!Y21)</f>
        <v>4007.1263109482138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6156.8182857493348</v>
      </c>
      <c r="C22" s="132">
        <f>IF(SER_hh_emi!C22=0,0,1000000*SER_hh_emi!C22/SER_hh_num!C22)</f>
        <v>6162.3692237467931</v>
      </c>
      <c r="D22" s="132">
        <f>IF(SER_hh_emi!D22=0,0,1000000*SER_hh_emi!D22/SER_hh_num!D22)</f>
        <v>6236.7359298786532</v>
      </c>
      <c r="E22" s="132">
        <f>IF(SER_hh_emi!E22=0,0,1000000*SER_hh_emi!E22/SER_hh_num!E22)</f>
        <v>6265.8935998918532</v>
      </c>
      <c r="F22" s="132">
        <f>IF(SER_hh_emi!F22=0,0,1000000*SER_hh_emi!F22/SER_hh_num!F22)</f>
        <v>6109.9372248872332</v>
      </c>
      <c r="G22" s="132">
        <f>IF(SER_hh_emi!G22=0,0,1000000*SER_hh_emi!G22/SER_hh_num!G22)</f>
        <v>5996.7006230978259</v>
      </c>
      <c r="H22" s="132">
        <f>IF(SER_hh_emi!H22=0,0,1000000*SER_hh_emi!H22/SER_hh_num!H22)</f>
        <v>5961.1420858304937</v>
      </c>
      <c r="I22" s="132">
        <f>IF(SER_hh_emi!I22=0,0,1000000*SER_hh_emi!I22/SER_hh_num!I22)</f>
        <v>5968.0339184464265</v>
      </c>
      <c r="J22" s="132">
        <f>IF(SER_hh_emi!J22=0,0,1000000*SER_hh_emi!J22/SER_hh_num!J22)</f>
        <v>5810.6239360766231</v>
      </c>
      <c r="K22" s="132">
        <f>IF(SER_hh_emi!K22=0,0,1000000*SER_hh_emi!K22/SER_hh_num!K22)</f>
        <v>5890.2540608902827</v>
      </c>
      <c r="L22" s="132">
        <f>IF(SER_hh_emi!L22=0,0,1000000*SER_hh_emi!L22/SER_hh_num!L22)</f>
        <v>5910.8292340646267</v>
      </c>
      <c r="M22" s="132">
        <f>IF(SER_hh_emi!M22=0,0,1000000*SER_hh_emi!M22/SER_hh_num!M22)</f>
        <v>5990.5856402421596</v>
      </c>
      <c r="N22" s="132">
        <f>IF(SER_hh_emi!N22=0,0,1000000*SER_hh_emi!N22/SER_hh_num!N22)</f>
        <v>6032.7050735015146</v>
      </c>
      <c r="O22" s="132">
        <f>IF(SER_hh_emi!O22=0,0,1000000*SER_hh_emi!O22/SER_hh_num!O22)</f>
        <v>6037.2090366365146</v>
      </c>
      <c r="P22" s="132">
        <f>IF(SER_hh_emi!P22=0,0,1000000*SER_hh_emi!P22/SER_hh_num!P22)</f>
        <v>6092.4160039350199</v>
      </c>
      <c r="Q22" s="132">
        <f>IF(SER_hh_emi!Q22=0,0,1000000*SER_hh_emi!Q22/SER_hh_num!Q22)</f>
        <v>6138.5931013545314</v>
      </c>
      <c r="R22" s="132">
        <f>IF(SER_hh_emi!R22=0,0,1000000*SER_hh_emi!R22/SER_hh_num!R22)</f>
        <v>6071.9627830602785</v>
      </c>
      <c r="S22" s="132">
        <f>IF(SER_hh_emi!S22=0,0,1000000*SER_hh_emi!S22/SER_hh_num!S22)</f>
        <v>6154.8330897441801</v>
      </c>
      <c r="T22" s="132">
        <f>IF(SER_hh_emi!T22=0,0,1000000*SER_hh_emi!T22/SER_hh_num!T22)</f>
        <v>6186.6466234771196</v>
      </c>
      <c r="U22" s="132">
        <f>IF(SER_hh_emi!U22=0,0,1000000*SER_hh_emi!U22/SER_hh_num!U22)</f>
        <v>5337.1620211646341</v>
      </c>
      <c r="V22" s="132">
        <f>IF(SER_hh_emi!V22=0,0,1000000*SER_hh_emi!V22/SER_hh_num!V22)</f>
        <v>5042.6638941321344</v>
      </c>
      <c r="W22" s="132">
        <f>IF(SER_hh_emi!W22=0,0,1000000*SER_hh_emi!W22/SER_hh_num!W22)</f>
        <v>5181.6449098976746</v>
      </c>
      <c r="X22" s="132">
        <f>IF(SER_hh_emi!X22=0,0,1000000*SER_hh_emi!X22/SER_hh_num!X22)</f>
        <v>5409.5484330424115</v>
      </c>
      <c r="Y22" s="132">
        <f>IF(SER_hh_emi!Y22=0,0,1000000*SER_hh_emi!Y22/SER_hh_num!Y22)</f>
        <v>5303.567600125104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4533.3390621468961</v>
      </c>
      <c r="C23" s="132">
        <f>IF(SER_hh_emi!C23=0,0,1000000*SER_hh_emi!C23/SER_hh_num!C23)</f>
        <v>4559.3058048609155</v>
      </c>
      <c r="D23" s="132">
        <f>IF(SER_hh_emi!D23=0,0,1000000*SER_hh_emi!D23/SER_hh_num!D23)</f>
        <v>4512.5265398349593</v>
      </c>
      <c r="E23" s="132">
        <f>IF(SER_hh_emi!E23=0,0,1000000*SER_hh_emi!E23/SER_hh_num!E23)</f>
        <v>4535.8768016367821</v>
      </c>
      <c r="F23" s="132">
        <f>IF(SER_hh_emi!F23=0,0,1000000*SER_hh_emi!F23/SER_hh_num!F23)</f>
        <v>4378.6960638312339</v>
      </c>
      <c r="G23" s="132">
        <f>IF(SER_hh_emi!G23=0,0,1000000*SER_hh_emi!G23/SER_hh_num!G23)</f>
        <v>4290.8409082988346</v>
      </c>
      <c r="H23" s="132">
        <f>IF(SER_hh_emi!H23=0,0,1000000*SER_hh_emi!H23/SER_hh_num!H23)</f>
        <v>4193.440911918954</v>
      </c>
      <c r="I23" s="132">
        <f>IF(SER_hh_emi!I23=0,0,1000000*SER_hh_emi!I23/SER_hh_num!I23)</f>
        <v>4115.3528952424595</v>
      </c>
      <c r="J23" s="132">
        <f>IF(SER_hh_emi!J23=0,0,1000000*SER_hh_emi!J23/SER_hh_num!J23)</f>
        <v>4073.7261531443282</v>
      </c>
      <c r="K23" s="132">
        <f>IF(SER_hh_emi!K23=0,0,1000000*SER_hh_emi!K23/SER_hh_num!K23)</f>
        <v>4118.8401439747231</v>
      </c>
      <c r="L23" s="132">
        <f>IF(SER_hh_emi!L23=0,0,1000000*SER_hh_emi!L23/SER_hh_num!L23)</f>
        <v>4073.6329518575858</v>
      </c>
      <c r="M23" s="132">
        <f>IF(SER_hh_emi!M23=0,0,1000000*SER_hh_emi!M23/SER_hh_num!M23)</f>
        <v>4046.9598508619019</v>
      </c>
      <c r="N23" s="132">
        <f>IF(SER_hh_emi!N23=0,0,1000000*SER_hh_emi!N23/SER_hh_num!N23)</f>
        <v>4089.4457240481288</v>
      </c>
      <c r="O23" s="132">
        <f>IF(SER_hh_emi!O23=0,0,1000000*SER_hh_emi!O23/SER_hh_num!O23)</f>
        <v>4115.3124337117879</v>
      </c>
      <c r="P23" s="132">
        <f>IF(SER_hh_emi!P23=0,0,1000000*SER_hh_emi!P23/SER_hh_num!P23)</f>
        <v>4055.6736830491477</v>
      </c>
      <c r="Q23" s="132">
        <f>IF(SER_hh_emi!Q23=0,0,1000000*SER_hh_emi!Q23/SER_hh_num!Q23)</f>
        <v>4079.8710164952522</v>
      </c>
      <c r="R23" s="132">
        <f>IF(SER_hh_emi!R23=0,0,1000000*SER_hh_emi!R23/SER_hh_num!R23)</f>
        <v>4041.1904698606645</v>
      </c>
      <c r="S23" s="132">
        <f>IF(SER_hh_emi!S23=0,0,1000000*SER_hh_emi!S23/SER_hh_num!S23)</f>
        <v>3987.7903178199372</v>
      </c>
      <c r="T23" s="132">
        <f>IF(SER_hh_emi!T23=0,0,1000000*SER_hh_emi!T23/SER_hh_num!T23)</f>
        <v>3861.5586407643732</v>
      </c>
      <c r="U23" s="132">
        <f>IF(SER_hh_emi!U23=0,0,1000000*SER_hh_emi!U23/SER_hh_num!U23)</f>
        <v>3667.0513363230862</v>
      </c>
      <c r="V23" s="132">
        <f>IF(SER_hh_emi!V23=0,0,1000000*SER_hh_emi!V23/SER_hh_num!V23)</f>
        <v>3490.04438629984</v>
      </c>
      <c r="W23" s="132">
        <f>IF(SER_hh_emi!W23=0,0,1000000*SER_hh_emi!W23/SER_hh_num!W23)</f>
        <v>3825.8493432871314</v>
      </c>
      <c r="X23" s="132">
        <f>IF(SER_hh_emi!X23=0,0,1000000*SER_hh_emi!X23/SER_hh_num!X23)</f>
        <v>3471.1002491638637</v>
      </c>
      <c r="Y23" s="132">
        <f>IF(SER_hh_emi!Y23=0,0,1000000*SER_hh_emi!Y23/SER_hh_num!Y23)</f>
        <v>3430.7240962951892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2655.9130112421144</v>
      </c>
      <c r="C29" s="130">
        <f>IF(SER_hh_emi!C29=0,0,1000000*SER_hh_emi!C29/SER_hh_num!C29)</f>
        <v>2621.6329685492797</v>
      </c>
      <c r="D29" s="130">
        <f>IF(SER_hh_emi!D29=0,0,1000000*SER_hh_emi!D29/SER_hh_num!D29)</f>
        <v>2316.0436554814773</v>
      </c>
      <c r="E29" s="130">
        <f>IF(SER_hh_emi!E29=0,0,1000000*SER_hh_emi!E29/SER_hh_num!E29)</f>
        <v>2139.9464847506174</v>
      </c>
      <c r="F29" s="130">
        <f>IF(SER_hh_emi!F29=0,0,1000000*SER_hh_emi!F29/SER_hh_num!F29)</f>
        <v>2122.5630987910213</v>
      </c>
      <c r="G29" s="130">
        <f>IF(SER_hh_emi!G29=0,0,1000000*SER_hh_emi!G29/SER_hh_num!G29)</f>
        <v>1742.3600044520626</v>
      </c>
      <c r="H29" s="130">
        <f>IF(SER_hh_emi!H29=0,0,1000000*SER_hh_emi!H29/SER_hh_num!H29)</f>
        <v>1696.9722081920756</v>
      </c>
      <c r="I29" s="130">
        <f>IF(SER_hh_emi!I29=0,0,1000000*SER_hh_emi!I29/SER_hh_num!I29)</f>
        <v>1661.3861867447431</v>
      </c>
      <c r="J29" s="130">
        <f>IF(SER_hh_emi!J29=0,0,1000000*SER_hh_emi!J29/SER_hh_num!J29)</f>
        <v>1680.2984789447455</v>
      </c>
      <c r="K29" s="130">
        <f>IF(SER_hh_emi!K29=0,0,1000000*SER_hh_emi!K29/SER_hh_num!K29)</f>
        <v>1694.8723361290802</v>
      </c>
      <c r="L29" s="130">
        <f>IF(SER_hh_emi!L29=0,0,1000000*SER_hh_emi!L29/SER_hh_num!L29)</f>
        <v>1700.323500430269</v>
      </c>
      <c r="M29" s="130">
        <f>IF(SER_hh_emi!M29=0,0,1000000*SER_hh_emi!M29/SER_hh_num!M29)</f>
        <v>1653.6389868985184</v>
      </c>
      <c r="N29" s="130">
        <f>IF(SER_hh_emi!N29=0,0,1000000*SER_hh_emi!N29/SER_hh_num!N29)</f>
        <v>1682.6501165966026</v>
      </c>
      <c r="O29" s="130">
        <f>IF(SER_hh_emi!O29=0,0,1000000*SER_hh_emi!O29/SER_hh_num!O29)</f>
        <v>1716.8180347394748</v>
      </c>
      <c r="P29" s="130">
        <f>IF(SER_hh_emi!P29=0,0,1000000*SER_hh_emi!P29/SER_hh_num!P29)</f>
        <v>1667.6833417328694</v>
      </c>
      <c r="Q29" s="130">
        <f>IF(SER_hh_emi!Q29=0,0,1000000*SER_hh_emi!Q29/SER_hh_num!Q29)</f>
        <v>1748.5087943086805</v>
      </c>
      <c r="R29" s="130">
        <f>IF(SER_hh_emi!R29=0,0,1000000*SER_hh_emi!R29/SER_hh_num!R29)</f>
        <v>1698.9291342755989</v>
      </c>
      <c r="S29" s="130">
        <f>IF(SER_hh_emi!S29=0,0,1000000*SER_hh_emi!S29/SER_hh_num!S29)</f>
        <v>1702.9468430342799</v>
      </c>
      <c r="T29" s="130">
        <f>IF(SER_hh_emi!T29=0,0,1000000*SER_hh_emi!T29/SER_hh_num!T29)</f>
        <v>1684.1277077923221</v>
      </c>
      <c r="U29" s="130">
        <f>IF(SER_hh_emi!U29=0,0,1000000*SER_hh_emi!U29/SER_hh_num!U29)</f>
        <v>1678.0470676837697</v>
      </c>
      <c r="V29" s="130">
        <f>IF(SER_hh_emi!V29=0,0,1000000*SER_hh_emi!V29/SER_hh_num!V29)</f>
        <v>1612.7417050134434</v>
      </c>
      <c r="W29" s="130">
        <f>IF(SER_hh_emi!W29=0,0,1000000*SER_hh_emi!W29/SER_hh_num!W29)</f>
        <v>1514.485282816644</v>
      </c>
      <c r="X29" s="130">
        <f>IF(SER_hh_emi!X29=0,0,1000000*SER_hh_emi!X29/SER_hh_num!X29)</f>
        <v>1560.4441318591537</v>
      </c>
      <c r="Y29" s="130">
        <f>IF(SER_hh_emi!Y29=0,0,1000000*SER_hh_emi!Y29/SER_hh_num!Y29)</f>
        <v>1457.9670424076203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3746.1735082977461</v>
      </c>
      <c r="C30" s="132">
        <f>IF(SER_hh_emi!C30=0,0,1000000*SER_hh_emi!C30/SER_hh_num!C30)</f>
        <v>4031.0087692413326</v>
      </c>
      <c r="D30" s="132">
        <f>IF(SER_hh_emi!D30=0,0,1000000*SER_hh_emi!D30/SER_hh_num!D30)</f>
        <v>3800.8862691014297</v>
      </c>
      <c r="E30" s="132">
        <f>IF(SER_hh_emi!E30=0,0,1000000*SER_hh_emi!E30/SER_hh_num!E30)</f>
        <v>3699.2787026669557</v>
      </c>
      <c r="F30" s="132">
        <f>IF(SER_hh_emi!F30=0,0,1000000*SER_hh_emi!F30/SER_hh_num!F30)</f>
        <v>5036.507735629436</v>
      </c>
      <c r="G30" s="132">
        <f>IF(SER_hh_emi!G30=0,0,1000000*SER_hh_emi!G30/SER_hh_num!G30)</f>
        <v>1918.0299356837297</v>
      </c>
      <c r="H30" s="132">
        <f>IF(SER_hh_emi!H30=0,0,1000000*SER_hh_emi!H30/SER_hh_num!H30)</f>
        <v>2709.6407251422593</v>
      </c>
      <c r="I30" s="132">
        <f>IF(SER_hh_emi!I30=0,0,1000000*SER_hh_emi!I30/SER_hh_num!I30)</f>
        <v>3622.9140391329597</v>
      </c>
      <c r="J30" s="132">
        <f>IF(SER_hh_emi!J30=0,0,1000000*SER_hh_emi!J30/SER_hh_num!J30)</f>
        <v>4251.1684664838649</v>
      </c>
      <c r="K30" s="132">
        <f>IF(SER_hh_emi!K30=0,0,1000000*SER_hh_emi!K30/SER_hh_num!K30)</f>
        <v>4121.5860432278751</v>
      </c>
      <c r="L30" s="132">
        <f>IF(SER_hh_emi!L30=0,0,1000000*SER_hh_emi!L30/SER_hh_num!L30)</f>
        <v>4942.3409638979001</v>
      </c>
      <c r="M30" s="132">
        <f>IF(SER_hh_emi!M30=0,0,1000000*SER_hh_emi!M30/SER_hh_num!M30)</f>
        <v>3758.5968298030548</v>
      </c>
      <c r="N30" s="132">
        <f>IF(SER_hh_emi!N30=0,0,1000000*SER_hh_emi!N30/SER_hh_num!N30)</f>
        <v>4237.0949549714387</v>
      </c>
      <c r="O30" s="132">
        <f>IF(SER_hh_emi!O30=0,0,1000000*SER_hh_emi!O30/SER_hh_num!O30)</f>
        <v>4620.7837460871715</v>
      </c>
      <c r="P30" s="132">
        <f>IF(SER_hh_emi!P30=0,0,1000000*SER_hh_emi!P30/SER_hh_num!P30)</f>
        <v>3602.8160679008365</v>
      </c>
      <c r="Q30" s="132">
        <f>IF(SER_hh_emi!Q30=0,0,1000000*SER_hh_emi!Q30/SER_hh_num!Q30)</f>
        <v>5694.1708915656927</v>
      </c>
      <c r="R30" s="132">
        <f>IF(SER_hh_emi!R30=0,0,1000000*SER_hh_emi!R30/SER_hh_num!R30)</f>
        <v>4348.8539446981231</v>
      </c>
      <c r="S30" s="132">
        <f>IF(SER_hh_emi!S30=0,0,1000000*SER_hh_emi!S30/SER_hh_num!S30)</f>
        <v>4871.3688637375944</v>
      </c>
      <c r="T30" s="132">
        <f>IF(SER_hh_emi!T30=0,0,1000000*SER_hh_emi!T30/SER_hh_num!T30)</f>
        <v>4544.8187292364228</v>
      </c>
      <c r="U30" s="132">
        <f>IF(SER_hh_emi!U30=0,0,1000000*SER_hh_emi!U30/SER_hh_num!U30)</f>
        <v>4405.5389011233065</v>
      </c>
      <c r="V30" s="132">
        <f>IF(SER_hh_emi!V30=0,0,1000000*SER_hh_emi!V30/SER_hh_num!V30)</f>
        <v>4894.2038080866359</v>
      </c>
      <c r="W30" s="132">
        <f>IF(SER_hh_emi!W30=0,0,1000000*SER_hh_emi!W30/SER_hh_num!W30)</f>
        <v>5250.1937565124981</v>
      </c>
      <c r="X30" s="132">
        <f>IF(SER_hh_emi!X30=0,0,1000000*SER_hh_emi!X30/SER_hh_num!X30)</f>
        <v>4122.5030798941871</v>
      </c>
      <c r="Y30" s="132">
        <f>IF(SER_hh_emi!Y30=0,0,1000000*SER_hh_emi!Y30/SER_hh_num!Y30)</f>
        <v>4757.0681270920541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3282.0005303620646</v>
      </c>
      <c r="C31" s="132">
        <f>IF(SER_hh_emi!C31=0,0,1000000*SER_hh_emi!C31/SER_hh_num!C31)</f>
        <v>3309.9379436528661</v>
      </c>
      <c r="D31" s="132">
        <f>IF(SER_hh_emi!D31=0,0,1000000*SER_hh_emi!D31/SER_hh_num!D31)</f>
        <v>3421.1517001271009</v>
      </c>
      <c r="E31" s="132">
        <f>IF(SER_hh_emi!E31=0,0,1000000*SER_hh_emi!E31/SER_hh_num!E31)</f>
        <v>3484.9187439192287</v>
      </c>
      <c r="F31" s="132">
        <f>IF(SER_hh_emi!F31=0,0,1000000*SER_hh_emi!F31/SER_hh_num!F31)</f>
        <v>3444.4431380343449</v>
      </c>
      <c r="G31" s="132">
        <f>IF(SER_hh_emi!G31=0,0,1000000*SER_hh_emi!G31/SER_hh_num!G31)</f>
        <v>3470.913631712986</v>
      </c>
      <c r="H31" s="132">
        <f>IF(SER_hh_emi!H31=0,0,1000000*SER_hh_emi!H31/SER_hh_num!H31)</f>
        <v>3468.7607627139691</v>
      </c>
      <c r="I31" s="132">
        <f>IF(SER_hh_emi!I31=0,0,1000000*SER_hh_emi!I31/SER_hh_num!I31)</f>
        <v>3531.7126164214519</v>
      </c>
      <c r="J31" s="132">
        <f>IF(SER_hh_emi!J31=0,0,1000000*SER_hh_emi!J31/SER_hh_num!J31)</f>
        <v>3602.973347434222</v>
      </c>
      <c r="K31" s="132">
        <f>IF(SER_hh_emi!K31=0,0,1000000*SER_hh_emi!K31/SER_hh_num!K31)</f>
        <v>3634.1854184337576</v>
      </c>
      <c r="L31" s="132">
        <f>IF(SER_hh_emi!L31=0,0,1000000*SER_hh_emi!L31/SER_hh_num!L31)</f>
        <v>3660.2835628330877</v>
      </c>
      <c r="M31" s="132">
        <f>IF(SER_hh_emi!M31=0,0,1000000*SER_hh_emi!M31/SER_hh_num!M31)</f>
        <v>3699.8647934119485</v>
      </c>
      <c r="N31" s="132">
        <f>IF(SER_hh_emi!N31=0,0,1000000*SER_hh_emi!N31/SER_hh_num!N31)</f>
        <v>3799.4438795088126</v>
      </c>
      <c r="O31" s="132">
        <f>IF(SER_hh_emi!O31=0,0,1000000*SER_hh_emi!O31/SER_hh_num!O31)</f>
        <v>3880.3198443174829</v>
      </c>
      <c r="P31" s="132">
        <f>IF(SER_hh_emi!P31=0,0,1000000*SER_hh_emi!P31/SER_hh_num!P31)</f>
        <v>3933.6087641853828</v>
      </c>
      <c r="Q31" s="132">
        <f>IF(SER_hh_emi!Q31=0,0,1000000*SER_hh_emi!Q31/SER_hh_num!Q31)</f>
        <v>4048.6271850423755</v>
      </c>
      <c r="R31" s="132">
        <f>IF(SER_hh_emi!R31=0,0,1000000*SER_hh_emi!R31/SER_hh_num!R31)</f>
        <v>4120.4160193379948</v>
      </c>
      <c r="S31" s="132">
        <f>IF(SER_hh_emi!S31=0,0,1000000*SER_hh_emi!S31/SER_hh_num!S31)</f>
        <v>4132.3203511911197</v>
      </c>
      <c r="T31" s="132">
        <f>IF(SER_hh_emi!T31=0,0,1000000*SER_hh_emi!T31/SER_hh_num!T31)</f>
        <v>4121.2968931705236</v>
      </c>
      <c r="U31" s="132">
        <f>IF(SER_hh_emi!U31=0,0,1000000*SER_hh_emi!U31/SER_hh_num!U31)</f>
        <v>4096.9730277694634</v>
      </c>
      <c r="V31" s="132">
        <f>IF(SER_hh_emi!V31=0,0,1000000*SER_hh_emi!V31/SER_hh_num!V31)</f>
        <v>3953.6615237059304</v>
      </c>
      <c r="W31" s="132">
        <f>IF(SER_hh_emi!W31=0,0,1000000*SER_hh_emi!W31/SER_hh_num!W31)</f>
        <v>3798.4870404927919</v>
      </c>
      <c r="X31" s="132">
        <f>IF(SER_hh_emi!X31=0,0,1000000*SER_hh_emi!X31/SER_hh_num!X31)</f>
        <v>4165.5658308777402</v>
      </c>
      <c r="Y31" s="132">
        <f>IF(SER_hh_emi!Y31=0,0,1000000*SER_hh_emi!Y31/SER_hh_num!Y31)</f>
        <v>3939.9805918285288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5721.0063011190277</v>
      </c>
      <c r="P32" s="132">
        <f>IF(SER_hh_emi!P32=0,0,1000000*SER_hh_emi!P32/SER_hh_num!P32)</f>
        <v>5806.91260978235</v>
      </c>
      <c r="Q32" s="132">
        <f>IF(SER_hh_emi!Q32=0,0,1000000*SER_hh_emi!Q32/SER_hh_num!Q32)</f>
        <v>6649.1931840813941</v>
      </c>
      <c r="R32" s="132">
        <f>IF(SER_hh_emi!R32=0,0,1000000*SER_hh_emi!R32/SER_hh_num!R32)</f>
        <v>6383.3145269118058</v>
      </c>
      <c r="S32" s="132">
        <f>IF(SER_hh_emi!S32=0,0,1000000*SER_hh_emi!S32/SER_hh_num!S32)</f>
        <v>6153.2399272679449</v>
      </c>
      <c r="T32" s="132">
        <f>IF(SER_hh_emi!T32=0,0,1000000*SER_hh_emi!T32/SER_hh_num!T32)</f>
        <v>6347.5331133040063</v>
      </c>
      <c r="U32" s="132">
        <f>IF(SER_hh_emi!U32=0,0,1000000*SER_hh_emi!U32/SER_hh_num!U32)</f>
        <v>7662.4364884080478</v>
      </c>
      <c r="V32" s="132">
        <f>IF(SER_hh_emi!V32=0,0,1000000*SER_hh_emi!V32/SER_hh_num!V32)</f>
        <v>2800.3749273022377</v>
      </c>
      <c r="W32" s="132">
        <f>IF(SER_hh_emi!W32=0,0,1000000*SER_hh_emi!W32/SER_hh_num!W32)</f>
        <v>4393.5914426247036</v>
      </c>
      <c r="X32" s="132">
        <f>IF(SER_hh_emi!X32=0,0,1000000*SER_hh_emi!X32/SER_hh_num!X32)</f>
        <v>4895.5300495286247</v>
      </c>
      <c r="Y32" s="132">
        <f>IF(SER_hh_emi!Y32=0,0,1000000*SER_hh_emi!Y32/SER_hh_num!Y32)</f>
        <v>6089.3384916306541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188.21614867249113</v>
      </c>
      <c r="C3" s="125">
        <f>IF(SER_hh_fech!C3=0,0,SER_hh_fech!C3/SER_summary!C$26)</f>
        <v>195.68618619386041</v>
      </c>
      <c r="D3" s="125">
        <f>IF(SER_hh_fech!D3=0,0,SER_hh_fech!D3/SER_summary!D$26)</f>
        <v>192.92363473017565</v>
      </c>
      <c r="E3" s="125">
        <f>IF(SER_hh_fech!E3=0,0,SER_hh_fech!E3/SER_summary!E$26)</f>
        <v>202.12648306403614</v>
      </c>
      <c r="F3" s="125">
        <f>IF(SER_hh_fech!F3=0,0,SER_hh_fech!F3/SER_summary!F$26)</f>
        <v>232.8568018923101</v>
      </c>
      <c r="G3" s="125">
        <f>IF(SER_hh_fech!G3=0,0,SER_hh_fech!G3/SER_summary!G$26)</f>
        <v>227.64327074948977</v>
      </c>
      <c r="H3" s="125">
        <f>IF(SER_hh_fech!H3=0,0,SER_hh_fech!H3/SER_summary!H$26)</f>
        <v>212.48178909960663</v>
      </c>
      <c r="I3" s="125">
        <f>IF(SER_hh_fech!I3=0,0,SER_hh_fech!I3/SER_summary!I$26)</f>
        <v>194.26845194534977</v>
      </c>
      <c r="J3" s="125">
        <f>IF(SER_hh_fech!J3=0,0,SER_hh_fech!J3/SER_summary!J$26)</f>
        <v>214.32552815188973</v>
      </c>
      <c r="K3" s="125">
        <f>IF(SER_hh_fech!K3=0,0,SER_hh_fech!K3/SER_summary!K$26)</f>
        <v>209.53079939835689</v>
      </c>
      <c r="L3" s="125">
        <f>IF(SER_hh_fech!L3=0,0,SER_hh_fech!L3/SER_summary!L$26)</f>
        <v>219.2476592112354</v>
      </c>
      <c r="M3" s="125">
        <f>IF(SER_hh_fech!M3=0,0,SER_hh_fech!M3/SER_summary!M$26)</f>
        <v>182.5126713459629</v>
      </c>
      <c r="N3" s="125">
        <f>IF(SER_hh_fech!N3=0,0,SER_hh_fech!N3/SER_summary!N$26)</f>
        <v>192.42386020261455</v>
      </c>
      <c r="O3" s="125">
        <f>IF(SER_hh_fech!O3=0,0,SER_hh_fech!O3/SER_summary!O$26)</f>
        <v>205.05240758129457</v>
      </c>
      <c r="P3" s="125">
        <f>IF(SER_hh_fech!P3=0,0,SER_hh_fech!P3/SER_summary!P$26)</f>
        <v>167.6314187477</v>
      </c>
      <c r="Q3" s="125">
        <f>IF(SER_hh_fech!Q3=0,0,SER_hh_fech!Q3/SER_summary!Q$26)</f>
        <v>186.16603437831765</v>
      </c>
      <c r="R3" s="125">
        <f>IF(SER_hh_fech!R3=0,0,SER_hh_fech!R3/SER_summary!R$26)</f>
        <v>185.95458487949853</v>
      </c>
      <c r="S3" s="125">
        <f>IF(SER_hh_fech!S3=0,0,SER_hh_fech!S3/SER_summary!S$26)</f>
        <v>183.43022419385778</v>
      </c>
      <c r="T3" s="125">
        <f>IF(SER_hh_fech!T3=0,0,SER_hh_fech!T3/SER_summary!T$26)</f>
        <v>183.11664088642959</v>
      </c>
      <c r="U3" s="125">
        <f>IF(SER_hh_fech!U3=0,0,SER_hh_fech!U3/SER_summary!U$26)</f>
        <v>173.03868926283553</v>
      </c>
      <c r="V3" s="125">
        <f>IF(SER_hh_fech!V3=0,0,SER_hh_fech!V3/SER_summary!V$26)</f>
        <v>166.11556671716275</v>
      </c>
      <c r="W3" s="125">
        <f>IF(SER_hh_fech!W3=0,0,SER_hh_fech!W3/SER_summary!W$26)</f>
        <v>174.68717308412846</v>
      </c>
      <c r="X3" s="125">
        <f>IF(SER_hh_fech!X3=0,0,SER_hh_fech!X3/SER_summary!X$26)</f>
        <v>147.07406314936497</v>
      </c>
      <c r="Y3" s="125">
        <f>IF(SER_hh_fech!Y3=0,0,SER_hh_fech!Y3/SER_summary!Y$26)</f>
        <v>138.39278578943527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146.34046093135422</v>
      </c>
      <c r="C4" s="130">
        <f>IF(SER_hh_fech!C4=0,0,SER_hh_fech!C4/SER_summary!C$26)</f>
        <v>153.32386782872112</v>
      </c>
      <c r="D4" s="130">
        <f>IF(SER_hh_fech!D4=0,0,SER_hh_fech!D4/SER_summary!D$26)</f>
        <v>149.69162937771708</v>
      </c>
      <c r="E4" s="130">
        <f>IF(SER_hh_fech!E4=0,0,SER_hh_fech!E4/SER_summary!E$26)</f>
        <v>157.76801208783067</v>
      </c>
      <c r="F4" s="130">
        <f>IF(SER_hh_fech!F4=0,0,SER_hh_fech!F4/SER_summary!F$26)</f>
        <v>191.2692007210787</v>
      </c>
      <c r="G4" s="130">
        <f>IF(SER_hh_fech!G4=0,0,SER_hh_fech!G4/SER_summary!G$26)</f>
        <v>186.40585163424925</v>
      </c>
      <c r="H4" s="130">
        <f>IF(SER_hh_fech!H4=0,0,SER_hh_fech!H4/SER_summary!H$26)</f>
        <v>170.54060669301174</v>
      </c>
      <c r="I4" s="130">
        <f>IF(SER_hh_fech!I4=0,0,SER_hh_fech!I4/SER_summary!I$26)</f>
        <v>152.61156440095166</v>
      </c>
      <c r="J4" s="130">
        <f>IF(SER_hh_fech!J4=0,0,SER_hh_fech!J4/SER_summary!J$26)</f>
        <v>172.49460079819826</v>
      </c>
      <c r="K4" s="130">
        <f>IF(SER_hh_fech!K4=0,0,SER_hh_fech!K4/SER_summary!K$26)</f>
        <v>166.76377927962898</v>
      </c>
      <c r="L4" s="130">
        <f>IF(SER_hh_fech!L4=0,0,SER_hh_fech!L4/SER_summary!L$26)</f>
        <v>176.21936157350422</v>
      </c>
      <c r="M4" s="130">
        <f>IF(SER_hh_fech!M4=0,0,SER_hh_fech!M4/SER_summary!M$26)</f>
        <v>139.43512489029675</v>
      </c>
      <c r="N4" s="130">
        <f>IF(SER_hh_fech!N4=0,0,SER_hh_fech!N4/SER_summary!N$26)</f>
        <v>148.46597594753493</v>
      </c>
      <c r="O4" s="130">
        <f>IF(SER_hh_fech!O4=0,0,SER_hh_fech!O4/SER_summary!O$26)</f>
        <v>160.62459026647255</v>
      </c>
      <c r="P4" s="130">
        <f>IF(SER_hh_fech!P4=0,0,SER_hh_fech!P4/SER_summary!P$26)</f>
        <v>122.66768201513744</v>
      </c>
      <c r="Q4" s="130">
        <f>IF(SER_hh_fech!Q4=0,0,SER_hh_fech!Q4/SER_summary!Q$26)</f>
        <v>140.40605170449115</v>
      </c>
      <c r="R4" s="130">
        <f>IF(SER_hh_fech!R4=0,0,SER_hh_fech!R4/SER_summary!R$26)</f>
        <v>140.23072883063244</v>
      </c>
      <c r="S4" s="130">
        <f>IF(SER_hh_fech!S4=0,0,SER_hh_fech!S4/SER_summary!S$26)</f>
        <v>138.10921164531956</v>
      </c>
      <c r="T4" s="130">
        <f>IF(SER_hh_fech!T4=0,0,SER_hh_fech!T4/SER_summary!T$26)</f>
        <v>137.82332948981602</v>
      </c>
      <c r="U4" s="130">
        <f>IF(SER_hh_fech!U4=0,0,SER_hh_fech!U4/SER_summary!U$26)</f>
        <v>130.09251354915156</v>
      </c>
      <c r="V4" s="130">
        <f>IF(SER_hh_fech!V4=0,0,SER_hh_fech!V4/SER_summary!V$26)</f>
        <v>125.21424726799634</v>
      </c>
      <c r="W4" s="130">
        <f>IF(SER_hh_fech!W4=0,0,SER_hh_fech!W4/SER_summary!W$26)</f>
        <v>133.43697809716133</v>
      </c>
      <c r="X4" s="130">
        <f>IF(SER_hh_fech!X4=0,0,SER_hh_fech!X4/SER_summary!X$26)</f>
        <v>105.39636852430648</v>
      </c>
      <c r="Y4" s="130">
        <f>IF(SER_hh_fech!Y4=0,0,SER_hh_fech!Y4/SER_summary!Y$26)</f>
        <v>97.090495000400765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0</v>
      </c>
      <c r="C5" s="132">
        <f>IF(SER_hh_fech!C5=0,0,SER_hh_fech!C5/SER_summary!C$26)</f>
        <v>0</v>
      </c>
      <c r="D5" s="132">
        <f>IF(SER_hh_fech!D5=0,0,SER_hh_fech!D5/SER_summary!D$26)</f>
        <v>0</v>
      </c>
      <c r="E5" s="132">
        <f>IF(SER_hh_fech!E5=0,0,SER_hh_fech!E5/SER_summary!E$26)</f>
        <v>0</v>
      </c>
      <c r="F5" s="132">
        <f>IF(SER_hh_fech!F5=0,0,SER_hh_fech!F5/SER_summary!F$26)</f>
        <v>0</v>
      </c>
      <c r="G5" s="132">
        <f>IF(SER_hh_fech!G5=0,0,SER_hh_fech!G5/SER_summary!G$26)</f>
        <v>0</v>
      </c>
      <c r="H5" s="132">
        <f>IF(SER_hh_fech!H5=0,0,SER_hh_fech!H5/SER_summary!H$26)</f>
        <v>0</v>
      </c>
      <c r="I5" s="132">
        <f>IF(SER_hh_fech!I5=0,0,SER_hh_fech!I5/SER_summary!I$26)</f>
        <v>0</v>
      </c>
      <c r="J5" s="132">
        <f>IF(SER_hh_fech!J5=0,0,SER_hh_fech!J5/SER_summary!J$26)</f>
        <v>0</v>
      </c>
      <c r="K5" s="132">
        <f>IF(SER_hh_fech!K5=0,0,SER_hh_fech!K5/SER_summary!K$26)</f>
        <v>0</v>
      </c>
      <c r="L5" s="132">
        <f>IF(SER_hh_fech!L5=0,0,SER_hh_fech!L5/SER_summary!L$26)</f>
        <v>0</v>
      </c>
      <c r="M5" s="132">
        <f>IF(SER_hh_fech!M5=0,0,SER_hh_fech!M5/SER_summary!M$26)</f>
        <v>0</v>
      </c>
      <c r="N5" s="132">
        <f>IF(SER_hh_fech!N5=0,0,SER_hh_fech!N5/SER_summary!N$26)</f>
        <v>0</v>
      </c>
      <c r="O5" s="132">
        <f>IF(SER_hh_fech!O5=0,0,SER_hh_fech!O5/SER_summary!O$26)</f>
        <v>0</v>
      </c>
      <c r="P5" s="132">
        <f>IF(SER_hh_fech!P5=0,0,SER_hh_fech!P5/SER_summary!P$26)</f>
        <v>0</v>
      </c>
      <c r="Q5" s="132">
        <f>IF(SER_hh_fech!Q5=0,0,SER_hh_fech!Q5/SER_summary!Q$26)</f>
        <v>0</v>
      </c>
      <c r="R5" s="132">
        <f>IF(SER_hh_fech!R5=0,0,SER_hh_fech!R5/SER_summary!R$26)</f>
        <v>0</v>
      </c>
      <c r="S5" s="132">
        <f>IF(SER_hh_fech!S5=0,0,SER_hh_fech!S5/SER_summary!S$26)</f>
        <v>0</v>
      </c>
      <c r="T5" s="132">
        <f>IF(SER_hh_fech!T5=0,0,SER_hh_fech!T5/SER_summary!T$26)</f>
        <v>0</v>
      </c>
      <c r="U5" s="132">
        <f>IF(SER_hh_fech!U5=0,0,SER_hh_fech!U5/SER_summary!U$26)</f>
        <v>0</v>
      </c>
      <c r="V5" s="132">
        <f>IF(SER_hh_fech!V5=0,0,SER_hh_fech!V5/SER_summary!V$26)</f>
        <v>0</v>
      </c>
      <c r="W5" s="132">
        <f>IF(SER_hh_fech!W5=0,0,SER_hh_fech!W5/SER_summary!W$26)</f>
        <v>0</v>
      </c>
      <c r="X5" s="132">
        <f>IF(SER_hh_fech!X5=0,0,SER_hh_fech!X5/SER_summary!X$26)</f>
        <v>0</v>
      </c>
      <c r="Y5" s="132">
        <f>IF(SER_hh_fech!Y5=0,0,SER_hh_fech!Y5/SER_summary!Y$26)</f>
        <v>0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161.39488052194335</v>
      </c>
      <c r="C7" s="132">
        <f>IF(SER_hh_fech!C7=0,0,SER_hh_fech!C7/SER_summary!C$26)</f>
        <v>149.51041737972866</v>
      </c>
      <c r="D7" s="132">
        <f>IF(SER_hh_fech!D7=0,0,SER_hh_fech!D7/SER_summary!D$26)</f>
        <v>190.17542069664262</v>
      </c>
      <c r="E7" s="132">
        <f>IF(SER_hh_fech!E7=0,0,SER_hh_fech!E7/SER_summary!E$26)</f>
        <v>216.24368146505736</v>
      </c>
      <c r="F7" s="132">
        <f>IF(SER_hh_fech!F7=0,0,SER_hh_fech!F7/SER_summary!F$26)</f>
        <v>212.5832050414455</v>
      </c>
      <c r="G7" s="132">
        <f>IF(SER_hh_fech!G7=0,0,SER_hh_fech!G7/SER_summary!G$26)</f>
        <v>217.08282731165346</v>
      </c>
      <c r="H7" s="132">
        <f>IF(SER_hh_fech!H7=0,0,SER_hh_fech!H7/SER_summary!H$26)</f>
        <v>191.03415901847075</v>
      </c>
      <c r="I7" s="132">
        <f>IF(SER_hh_fech!I7=0,0,SER_hh_fech!I7/SER_summary!I$26)</f>
        <v>165.21198767299842</v>
      </c>
      <c r="J7" s="132">
        <f>IF(SER_hh_fech!J7=0,0,SER_hh_fech!J7/SER_summary!J$26)</f>
        <v>210.16792828066406</v>
      </c>
      <c r="K7" s="132">
        <f>IF(SER_hh_fech!K7=0,0,SER_hh_fech!K7/SER_summary!K$26)</f>
        <v>174.20699962441256</v>
      </c>
      <c r="L7" s="132">
        <f>IF(SER_hh_fech!L7=0,0,SER_hh_fech!L7/SER_summary!L$26)</f>
        <v>196.45997697023819</v>
      </c>
      <c r="M7" s="132">
        <f>IF(SER_hh_fech!M7=0,0,SER_hh_fech!M7/SER_summary!M$26)</f>
        <v>162.28035244784081</v>
      </c>
      <c r="N7" s="132">
        <f>IF(SER_hh_fech!N7=0,0,SER_hh_fech!N7/SER_summary!N$26)</f>
        <v>161.33311249621866</v>
      </c>
      <c r="O7" s="132">
        <f>IF(SER_hh_fech!O7=0,0,SER_hh_fech!O7/SER_summary!O$26)</f>
        <v>175.86718266176868</v>
      </c>
      <c r="P7" s="132">
        <f>IF(SER_hh_fech!P7=0,0,SER_hh_fech!P7/SER_summary!P$26)</f>
        <v>133.60418352151805</v>
      </c>
      <c r="Q7" s="132">
        <f>IF(SER_hh_fech!Q7=0,0,SER_hh_fech!Q7/SER_summary!Q$26)</f>
        <v>159.67996821756338</v>
      </c>
      <c r="R7" s="132">
        <f>IF(SER_hh_fech!R7=0,0,SER_hh_fech!R7/SER_summary!R$26)</f>
        <v>147.48878770147604</v>
      </c>
      <c r="S7" s="132">
        <f>IF(SER_hh_fech!S7=0,0,SER_hh_fech!S7/SER_summary!S$26)</f>
        <v>152.14881746437365</v>
      </c>
      <c r="T7" s="132">
        <f>IF(SER_hh_fech!T7=0,0,SER_hh_fech!T7/SER_summary!T$26)</f>
        <v>155.39493675456259</v>
      </c>
      <c r="U7" s="132">
        <f>IF(SER_hh_fech!U7=0,0,SER_hh_fech!U7/SER_summary!U$26)</f>
        <v>132.82367666202632</v>
      </c>
      <c r="V7" s="132">
        <f>IF(SER_hh_fech!V7=0,0,SER_hh_fech!V7/SER_summary!V$26)</f>
        <v>154.23620806257173</v>
      </c>
      <c r="W7" s="132">
        <f>IF(SER_hh_fech!W7=0,0,SER_hh_fech!W7/SER_summary!W$26)</f>
        <v>132.44840613381618</v>
      </c>
      <c r="X7" s="132">
        <f>IF(SER_hh_fech!X7=0,0,SER_hh_fech!X7/SER_summary!X$26)</f>
        <v>113.24965540214731</v>
      </c>
      <c r="Y7" s="132">
        <f>IF(SER_hh_fech!Y7=0,0,SER_hh_fech!Y7/SER_summary!Y$26)</f>
        <v>115.8107961559202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76.459898003672464</v>
      </c>
      <c r="C8" s="132">
        <f>IF(SER_hh_fech!C8=0,0,SER_hh_fech!C8/SER_summary!C$26)</f>
        <v>75.455032558549703</v>
      </c>
      <c r="D8" s="132">
        <f>IF(SER_hh_fech!D8=0,0,SER_hh_fech!D8/SER_summary!D$26)</f>
        <v>72.035973283132094</v>
      </c>
      <c r="E8" s="132">
        <f>IF(SER_hh_fech!E8=0,0,SER_hh_fech!E8/SER_summary!E$26)</f>
        <v>70.230666782010488</v>
      </c>
      <c r="F8" s="132">
        <f>IF(SER_hh_fech!F8=0,0,SER_hh_fech!F8/SER_summary!F$26)</f>
        <v>79.770512082570278</v>
      </c>
      <c r="G8" s="132">
        <f>IF(SER_hh_fech!G8=0,0,SER_hh_fech!G8/SER_summary!G$26)</f>
        <v>72.781555045237056</v>
      </c>
      <c r="H8" s="132">
        <f>IF(SER_hh_fech!H8=0,0,SER_hh_fech!H8/SER_summary!H$26)</f>
        <v>67.293339496086389</v>
      </c>
      <c r="I8" s="132">
        <f>IF(SER_hh_fech!I8=0,0,SER_hh_fech!I8/SER_summary!I$26)</f>
        <v>54.696308919793069</v>
      </c>
      <c r="J8" s="132">
        <f>IF(SER_hh_fech!J8=0,0,SER_hh_fech!J8/SER_summary!J$26)</f>
        <v>54.9298732665373</v>
      </c>
      <c r="K8" s="132">
        <f>IF(SER_hh_fech!K8=0,0,SER_hh_fech!K8/SER_summary!K$26)</f>
        <v>51.633146940285904</v>
      </c>
      <c r="L8" s="132">
        <f>IF(SER_hh_fech!L8=0,0,SER_hh_fech!L8/SER_summary!L$26)</f>
        <v>47.72725814799638</v>
      </c>
      <c r="M8" s="132">
        <f>IF(SER_hh_fech!M8=0,0,SER_hh_fech!M8/SER_summary!M$26)</f>
        <v>36.050217640920437</v>
      </c>
      <c r="N8" s="132">
        <f>IF(SER_hh_fech!N8=0,0,SER_hh_fech!N8/SER_summary!N$26)</f>
        <v>36.734797108281157</v>
      </c>
      <c r="O8" s="132">
        <f>IF(SER_hh_fech!O8=0,0,SER_hh_fech!O8/SER_summary!O$26)</f>
        <v>38.162729483397101</v>
      </c>
      <c r="P8" s="132">
        <f>IF(SER_hh_fech!P8=0,0,SER_hh_fech!P8/SER_summary!P$26)</f>
        <v>28.360329622415559</v>
      </c>
      <c r="Q8" s="132">
        <f>IF(SER_hh_fech!Q8=0,0,SER_hh_fech!Q8/SER_summary!Q$26)</f>
        <v>31.212171599991237</v>
      </c>
      <c r="R8" s="132">
        <f>IF(SER_hh_fech!R8=0,0,SER_hh_fech!R8/SER_summary!R$26)</f>
        <v>31.297227449551301</v>
      </c>
      <c r="S8" s="132">
        <f>IF(SER_hh_fech!S8=0,0,SER_hh_fech!S8/SER_summary!S$26)</f>
        <v>29.303948468040122</v>
      </c>
      <c r="T8" s="132">
        <f>IF(SER_hh_fech!T8=0,0,SER_hh_fech!T8/SER_summary!T$26)</f>
        <v>28.255878409867151</v>
      </c>
      <c r="U8" s="132">
        <f>IF(SER_hh_fech!U8=0,0,SER_hh_fech!U8/SER_summary!U$26)</f>
        <v>26.948997259639054</v>
      </c>
      <c r="V8" s="132">
        <f>IF(SER_hh_fech!V8=0,0,SER_hh_fech!V8/SER_summary!V$26)</f>
        <v>23.35460609562999</v>
      </c>
      <c r="W8" s="132">
        <f>IF(SER_hh_fech!W8=0,0,SER_hh_fech!W8/SER_summary!W$26)</f>
        <v>20.407295400417066</v>
      </c>
      <c r="X8" s="132">
        <f>IF(SER_hh_fech!X8=0,0,SER_hh_fech!X8/SER_summary!X$26)</f>
        <v>21.006414596463696</v>
      </c>
      <c r="Y8" s="132">
        <f>IF(SER_hh_fech!Y8=0,0,SER_hh_fech!Y8/SER_summary!Y$26)</f>
        <v>20.560627199554691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144.64376489136777</v>
      </c>
      <c r="C9" s="132">
        <f>IF(SER_hh_fech!C9=0,0,SER_hh_fech!C9/SER_summary!C$26)</f>
        <v>160.76719129147321</v>
      </c>
      <c r="D9" s="132">
        <f>IF(SER_hh_fech!D9=0,0,SER_hh_fech!D9/SER_summary!D$26)</f>
        <v>148.43240844383519</v>
      </c>
      <c r="E9" s="132">
        <f>IF(SER_hh_fech!E9=0,0,SER_hh_fech!E9/SER_summary!E$26)</f>
        <v>156.44485212893289</v>
      </c>
      <c r="F9" s="132">
        <f>IF(SER_hh_fech!F9=0,0,SER_hh_fech!F9/SER_summary!F$26)</f>
        <v>171.61521432678842</v>
      </c>
      <c r="G9" s="132">
        <f>IF(SER_hh_fech!G9=0,0,SER_hh_fech!G9/SER_summary!G$26)</f>
        <v>181.87406011586501</v>
      </c>
      <c r="H9" s="132">
        <f>IF(SER_hh_fech!H9=0,0,SER_hh_fech!H9/SER_summary!H$26)</f>
        <v>183.31775565716521</v>
      </c>
      <c r="I9" s="132">
        <f>IF(SER_hh_fech!I9=0,0,SER_hh_fech!I9/SER_summary!I$26)</f>
        <v>160.84516091994442</v>
      </c>
      <c r="J9" s="132">
        <f>IF(SER_hh_fech!J9=0,0,SER_hh_fech!J9/SER_summary!J$26)</f>
        <v>175.85018936545649</v>
      </c>
      <c r="K9" s="132">
        <f>IF(SER_hh_fech!K9=0,0,SER_hh_fech!K9/SER_summary!K$26)</f>
        <v>179.94809838194186</v>
      </c>
      <c r="L9" s="132">
        <f>IF(SER_hh_fech!L9=0,0,SER_hh_fech!L9/SER_summary!L$26)</f>
        <v>185.9713110281684</v>
      </c>
      <c r="M9" s="132">
        <f>IF(SER_hh_fech!M9=0,0,SER_hh_fech!M9/SER_summary!M$26)</f>
        <v>138.16792088314543</v>
      </c>
      <c r="N9" s="132">
        <f>IF(SER_hh_fech!N9=0,0,SER_hh_fech!N9/SER_summary!N$26)</f>
        <v>153.41174370929286</v>
      </c>
      <c r="O9" s="132">
        <f>IF(SER_hh_fech!O9=0,0,SER_hh_fech!O9/SER_summary!O$26)</f>
        <v>166.11131918998348</v>
      </c>
      <c r="P9" s="132">
        <f>IF(SER_hh_fech!P9=0,0,SER_hh_fech!P9/SER_summary!P$26)</f>
        <v>121.64366905949905</v>
      </c>
      <c r="Q9" s="132">
        <f>IF(SER_hh_fech!Q9=0,0,SER_hh_fech!Q9/SER_summary!Q$26)</f>
        <v>138.4601405346223</v>
      </c>
      <c r="R9" s="132">
        <f>IF(SER_hh_fech!R9=0,0,SER_hh_fech!R9/SER_summary!R$26)</f>
        <v>143.4266841066439</v>
      </c>
      <c r="S9" s="132">
        <f>IF(SER_hh_fech!S9=0,0,SER_hh_fech!S9/SER_summary!S$26)</f>
        <v>138.34207793216038</v>
      </c>
      <c r="T9" s="132">
        <f>IF(SER_hh_fech!T9=0,0,SER_hh_fech!T9/SER_summary!T$26)</f>
        <v>137.21850426310971</v>
      </c>
      <c r="U9" s="132">
        <f>IF(SER_hh_fech!U9=0,0,SER_hh_fech!U9/SER_summary!U$26)</f>
        <v>132.74188819174168</v>
      </c>
      <c r="V9" s="132">
        <f>IF(SER_hh_fech!V9=0,0,SER_hh_fech!V9/SER_summary!V$26)</f>
        <v>122.20561121424613</v>
      </c>
      <c r="W9" s="132">
        <f>IF(SER_hh_fech!W9=0,0,SER_hh_fech!W9/SER_summary!W$26)</f>
        <v>142.71483561690999</v>
      </c>
      <c r="X9" s="132">
        <f>IF(SER_hh_fech!X9=0,0,SER_hh_fech!X9/SER_summary!X$26)</f>
        <v>106.84007744067414</v>
      </c>
      <c r="Y9" s="132">
        <f>IF(SER_hh_fech!Y9=0,0,SER_hh_fech!Y9/SER_summary!Y$26)</f>
        <v>98.150203830744772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237.73840374602733</v>
      </c>
      <c r="C10" s="132">
        <f>IF(SER_hh_fech!C10=0,0,SER_hh_fech!C10/SER_summary!C$26)</f>
        <v>223.54366541570712</v>
      </c>
      <c r="D10" s="132">
        <f>IF(SER_hh_fech!D10=0,0,SER_hh_fech!D10/SER_summary!D$26)</f>
        <v>13.609975736262152</v>
      </c>
      <c r="E10" s="132">
        <f>IF(SER_hh_fech!E10=0,0,SER_hh_fech!E10/SER_summary!E$26)</f>
        <v>4.3233452539178776</v>
      </c>
      <c r="F10" s="132">
        <f>IF(SER_hh_fech!F10=0,0,SER_hh_fech!F10/SER_summary!F$26)</f>
        <v>310.46993977306619</v>
      </c>
      <c r="G10" s="132">
        <f>IF(SER_hh_fech!G10=0,0,SER_hh_fech!G10/SER_summary!G$26)</f>
        <v>271.31962099925607</v>
      </c>
      <c r="H10" s="132">
        <f>IF(SER_hh_fech!H10=0,0,SER_hh_fech!H10/SER_summary!H$26)</f>
        <v>243.35470115434666</v>
      </c>
      <c r="I10" s="132">
        <f>IF(SER_hh_fech!I10=0,0,SER_hh_fech!I10/SER_summary!I$26)</f>
        <v>277.2327227957033</v>
      </c>
      <c r="J10" s="132">
        <f>IF(SER_hh_fech!J10=0,0,SER_hh_fech!J10/SER_summary!J$26)</f>
        <v>120.23568254629406</v>
      </c>
      <c r="K10" s="132">
        <f>IF(SER_hh_fech!K10=0,0,SER_hh_fech!K10/SER_summary!K$26)</f>
        <v>61.623810845562467</v>
      </c>
      <c r="L10" s="132">
        <f>IF(SER_hh_fech!L10=0,0,SER_hh_fech!L10/SER_summary!L$26)</f>
        <v>200.51539509721604</v>
      </c>
      <c r="M10" s="132">
        <f>IF(SER_hh_fech!M10=0,0,SER_hh_fech!M10/SER_summary!M$26)</f>
        <v>122.87266042777996</v>
      </c>
      <c r="N10" s="132">
        <f>IF(SER_hh_fech!N10=0,0,SER_hh_fech!N10/SER_summary!N$26)</f>
        <v>150.19554274273401</v>
      </c>
      <c r="O10" s="132">
        <f>IF(SER_hh_fech!O10=0,0,SER_hh_fech!O10/SER_summary!O$26)</f>
        <v>187.11170874783585</v>
      </c>
      <c r="P10" s="132">
        <f>IF(SER_hh_fech!P10=0,0,SER_hh_fech!P10/SER_summary!P$26)</f>
        <v>180.11510020252553</v>
      </c>
      <c r="Q10" s="132">
        <f>IF(SER_hh_fech!Q10=0,0,SER_hh_fech!Q10/SER_summary!Q$26)</f>
        <v>184.22606188955871</v>
      </c>
      <c r="R10" s="132">
        <f>IF(SER_hh_fech!R10=0,0,SER_hh_fech!R10/SER_summary!R$26)</f>
        <v>180.85337001090522</v>
      </c>
      <c r="S10" s="132">
        <f>IF(SER_hh_fech!S10=0,0,SER_hh_fech!S10/SER_summary!S$26)</f>
        <v>176.36515129620429</v>
      </c>
      <c r="T10" s="132">
        <f>IF(SER_hh_fech!T10=0,0,SER_hh_fech!T10/SER_summary!T$26)</f>
        <v>175.33345971579411</v>
      </c>
      <c r="U10" s="132">
        <f>IF(SER_hh_fech!U10=0,0,SER_hh_fech!U10/SER_summary!U$26)</f>
        <v>180.10666697005013</v>
      </c>
      <c r="V10" s="132">
        <f>IF(SER_hh_fech!V10=0,0,SER_hh_fech!V10/SER_summary!V$26)</f>
        <v>176.36303363884724</v>
      </c>
      <c r="W10" s="132">
        <f>IF(SER_hh_fech!W10=0,0,SER_hh_fech!W10/SER_summary!W$26)</f>
        <v>167.82921387899279</v>
      </c>
      <c r="X10" s="132">
        <f>IF(SER_hh_fech!X10=0,0,SER_hh_fech!X10/SER_summary!X$26)</f>
        <v>155.0487462591359</v>
      </c>
      <c r="Y10" s="132">
        <f>IF(SER_hh_fech!Y10=0,0,SER_hh_fech!Y10/SER_summary!Y$26)</f>
        <v>133.17174642567534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0</v>
      </c>
      <c r="H11" s="132">
        <f>IF(SER_hh_fech!H11=0,0,SER_hh_fech!H11/SER_summary!H$26)</f>
        <v>0</v>
      </c>
      <c r="I11" s="132">
        <f>IF(SER_hh_fech!I11=0,0,SER_hh_fech!I11/SER_summary!I$26)</f>
        <v>0</v>
      </c>
      <c r="J11" s="132">
        <f>IF(SER_hh_fech!J11=0,0,SER_hh_fech!J11/SER_summary!J$26)</f>
        <v>0</v>
      </c>
      <c r="K11" s="132">
        <f>IF(SER_hh_fech!K11=0,0,SER_hh_fech!K11/SER_summary!K$26)</f>
        <v>0</v>
      </c>
      <c r="L11" s="132">
        <f>IF(SER_hh_fech!L11=0,0,SER_hh_fech!L11/SER_summary!L$26)</f>
        <v>0</v>
      </c>
      <c r="M11" s="132">
        <f>IF(SER_hh_fech!M11=0,0,SER_hh_fech!M11/SER_summary!M$26)</f>
        <v>0</v>
      </c>
      <c r="N11" s="132">
        <f>IF(SER_hh_fech!N11=0,0,SER_hh_fech!N11/SER_summary!N$26)</f>
        <v>0</v>
      </c>
      <c r="O11" s="132">
        <f>IF(SER_hh_fech!O11=0,0,SER_hh_fech!O11/SER_summary!O$26)</f>
        <v>0</v>
      </c>
      <c r="P11" s="132">
        <f>IF(SER_hh_fech!P11=0,0,SER_hh_fech!P11/SER_summary!P$26)</f>
        <v>0</v>
      </c>
      <c r="Q11" s="132">
        <f>IF(SER_hh_fech!Q11=0,0,SER_hh_fech!Q11/SER_summary!Q$26)</f>
        <v>0</v>
      </c>
      <c r="R11" s="132">
        <f>IF(SER_hh_fech!R11=0,0,SER_hh_fech!R11/SER_summary!R$26)</f>
        <v>0</v>
      </c>
      <c r="S11" s="132">
        <f>IF(SER_hh_fech!S11=0,0,SER_hh_fech!S11/SER_summary!S$26)</f>
        <v>0</v>
      </c>
      <c r="T11" s="132">
        <f>IF(SER_hh_fech!T11=0,0,SER_hh_fech!T11/SER_summary!T$26)</f>
        <v>0</v>
      </c>
      <c r="U11" s="132">
        <f>IF(SER_hh_fech!U11=0,0,SER_hh_fech!U11/SER_summary!U$26)</f>
        <v>0</v>
      </c>
      <c r="V11" s="132">
        <f>IF(SER_hh_fech!V11=0,0,SER_hh_fech!V11/SER_summary!V$26)</f>
        <v>0</v>
      </c>
      <c r="W11" s="132">
        <f>IF(SER_hh_fech!W11=0,0,SER_hh_fech!W11/SER_summary!W$26)</f>
        <v>0</v>
      </c>
      <c r="X11" s="132">
        <f>IF(SER_hh_fech!X11=0,0,SER_hh_fech!X11/SER_summary!X$26)</f>
        <v>0</v>
      </c>
      <c r="Y11" s="132">
        <f>IF(SER_hh_fech!Y11=0,0,SER_hh_fech!Y11/SER_summary!Y$26)</f>
        <v>0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97.310456464591127</v>
      </c>
      <c r="C12" s="132">
        <f>IF(SER_hh_fech!C12=0,0,SER_hh_fech!C12/SER_summary!C$26)</f>
        <v>98.466664579729439</v>
      </c>
      <c r="D12" s="132">
        <f>IF(SER_hh_fech!D12=0,0,SER_hh_fech!D12/SER_summary!D$26)</f>
        <v>99.28513881610597</v>
      </c>
      <c r="E12" s="132">
        <f>IF(SER_hh_fech!E12=0,0,SER_hh_fech!E12/SER_summary!E$26)</f>
        <v>102.34853907244992</v>
      </c>
      <c r="F12" s="132">
        <f>IF(SER_hh_fech!F12=0,0,SER_hh_fech!F12/SER_summary!F$26)</f>
        <v>124.15119245834634</v>
      </c>
      <c r="G12" s="132">
        <f>IF(SER_hh_fech!G12=0,0,SER_hh_fech!G12/SER_summary!G$26)</f>
        <v>113.95742163357035</v>
      </c>
      <c r="H12" s="132">
        <f>IF(SER_hh_fech!H12=0,0,SER_hh_fech!H12/SER_summary!H$26)</f>
        <v>129.61545876977218</v>
      </c>
      <c r="I12" s="132">
        <f>IF(SER_hh_fech!I12=0,0,SER_hh_fech!I12/SER_summary!I$26)</f>
        <v>141.59342898320108</v>
      </c>
      <c r="J12" s="132">
        <f>IF(SER_hh_fech!J12=0,0,SER_hh_fech!J12/SER_summary!J$26)</f>
        <v>86.758988708649866</v>
      </c>
      <c r="K12" s="132">
        <f>IF(SER_hh_fech!K12=0,0,SER_hh_fech!K12/SER_summary!K$26)</f>
        <v>98.307186035417445</v>
      </c>
      <c r="L12" s="132">
        <f>IF(SER_hh_fech!L12=0,0,SER_hh_fech!L12/SER_summary!L$26)</f>
        <v>135.57148102919928</v>
      </c>
      <c r="M12" s="132">
        <f>IF(SER_hh_fech!M12=0,0,SER_hh_fech!M12/SER_summary!M$26)</f>
        <v>110.45523152715877</v>
      </c>
      <c r="N12" s="132">
        <f>IF(SER_hh_fech!N12=0,0,SER_hh_fech!N12/SER_summary!N$26)</f>
        <v>104.14422513853974</v>
      </c>
      <c r="O12" s="132">
        <f>IF(SER_hh_fech!O12=0,0,SER_hh_fech!O12/SER_summary!O$26)</f>
        <v>93.186962913591515</v>
      </c>
      <c r="P12" s="132">
        <f>IF(SER_hh_fech!P12=0,0,SER_hh_fech!P12/SER_summary!P$26)</f>
        <v>104.83884495263743</v>
      </c>
      <c r="Q12" s="132">
        <f>IF(SER_hh_fech!Q12=0,0,SER_hh_fech!Q12/SER_summary!Q$26)</f>
        <v>113.42732766097542</v>
      </c>
      <c r="R12" s="132">
        <f>IF(SER_hh_fech!R12=0,0,SER_hh_fech!R12/SER_summary!R$26)</f>
        <v>105.31032098992279</v>
      </c>
      <c r="S12" s="132">
        <f>IF(SER_hh_fech!S12=0,0,SER_hh_fech!S12/SER_summary!S$26)</f>
        <v>98.437561910042504</v>
      </c>
      <c r="T12" s="132">
        <f>IF(SER_hh_fech!T12=0,0,SER_hh_fech!T12/SER_summary!T$26)</f>
        <v>104.71668911146669</v>
      </c>
      <c r="U12" s="132">
        <f>IF(SER_hh_fech!U12=0,0,SER_hh_fech!U12/SER_summary!U$26)</f>
        <v>99.401382482446422</v>
      </c>
      <c r="V12" s="132">
        <f>IF(SER_hh_fech!V12=0,0,SER_hh_fech!V12/SER_summary!V$26)</f>
        <v>105.91822751540229</v>
      </c>
      <c r="W12" s="132">
        <f>IF(SER_hh_fech!W12=0,0,SER_hh_fech!W12/SER_summary!W$26)</f>
        <v>103.37735245557245</v>
      </c>
      <c r="X12" s="132">
        <f>IF(SER_hh_fech!X12=0,0,SER_hh_fech!X12/SER_summary!X$26)</f>
        <v>86.750336700262849</v>
      </c>
      <c r="Y12" s="132">
        <f>IF(SER_hh_fech!Y12=0,0,SER_hh_fech!Y12/SER_summary!Y$26)</f>
        <v>89.862471871333838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42.41448483435866</v>
      </c>
      <c r="C13" s="132">
        <f>IF(SER_hh_fech!C13=0,0,SER_hh_fech!C13/SER_summary!C$26)</f>
        <v>53.562258242960908</v>
      </c>
      <c r="D13" s="132">
        <f>IF(SER_hh_fech!D13=0,0,SER_hh_fech!D13/SER_summary!D$26)</f>
        <v>50.539769536343584</v>
      </c>
      <c r="E13" s="132">
        <f>IF(SER_hh_fech!E13=0,0,SER_hh_fech!E13/SER_summary!E$26)</f>
        <v>44.987349845026806</v>
      </c>
      <c r="F13" s="132">
        <f>IF(SER_hh_fech!F13=0,0,SER_hh_fech!F13/SER_summary!F$26)</f>
        <v>21.157302752553271</v>
      </c>
      <c r="G13" s="132">
        <f>IF(SER_hh_fech!G13=0,0,SER_hh_fech!G13/SER_summary!G$26)</f>
        <v>14.932374877512849</v>
      </c>
      <c r="H13" s="132">
        <f>IF(SER_hh_fech!H13=0,0,SER_hh_fech!H13/SER_summary!H$26)</f>
        <v>50.843946236653736</v>
      </c>
      <c r="I13" s="132">
        <f>IF(SER_hh_fech!I13=0,0,SER_hh_fech!I13/SER_summary!I$26)</f>
        <v>46.325771475712116</v>
      </c>
      <c r="J13" s="132">
        <f>IF(SER_hh_fech!J13=0,0,SER_hh_fech!J13/SER_summary!J$26)</f>
        <v>46.499490578914767</v>
      </c>
      <c r="K13" s="132">
        <f>IF(SER_hh_fech!K13=0,0,SER_hh_fech!K13/SER_summary!K$26)</f>
        <v>46.055996137659477</v>
      </c>
      <c r="L13" s="132">
        <f>IF(SER_hh_fech!L13=0,0,SER_hh_fech!L13/SER_summary!L$26)</f>
        <v>41.914933128644321</v>
      </c>
      <c r="M13" s="132">
        <f>IF(SER_hh_fech!M13=0,0,SER_hh_fech!M13/SER_summary!M$26)</f>
        <v>38.326014399886709</v>
      </c>
      <c r="N13" s="132">
        <f>IF(SER_hh_fech!N13=0,0,SER_hh_fech!N13/SER_summary!N$26)</f>
        <v>38.168137381781605</v>
      </c>
      <c r="O13" s="132">
        <f>IF(SER_hh_fech!O13=0,0,SER_hh_fech!O13/SER_summary!O$26)</f>
        <v>40.435137309570614</v>
      </c>
      <c r="P13" s="132">
        <f>IF(SER_hh_fech!P13=0,0,SER_hh_fech!P13/SER_summary!P$26)</f>
        <v>33.863666669841393</v>
      </c>
      <c r="Q13" s="132">
        <f>IF(SER_hh_fech!Q13=0,0,SER_hh_fech!Q13/SER_summary!Q$26)</f>
        <v>33.414112820528324</v>
      </c>
      <c r="R13" s="132">
        <f>IF(SER_hh_fech!R13=0,0,SER_hh_fech!R13/SER_summary!R$26)</f>
        <v>29.829935289853104</v>
      </c>
      <c r="S13" s="132">
        <f>IF(SER_hh_fech!S13=0,0,SER_hh_fech!S13/SER_summary!S$26)</f>
        <v>20.584565462499956</v>
      </c>
      <c r="T13" s="132">
        <f>IF(SER_hh_fech!T13=0,0,SER_hh_fech!T13/SER_summary!T$26)</f>
        <v>28.274808610363404</v>
      </c>
      <c r="U13" s="132">
        <f>IF(SER_hh_fech!U13=0,0,SER_hh_fech!U13/SER_summary!U$26)</f>
        <v>25.926010592857903</v>
      </c>
      <c r="V13" s="132">
        <f>IF(SER_hh_fech!V13=0,0,SER_hh_fech!V13/SER_summary!V$26)</f>
        <v>21.781446981270992</v>
      </c>
      <c r="W13" s="132">
        <f>IF(SER_hh_fech!W13=0,0,SER_hh_fech!W13/SER_summary!W$26)</f>
        <v>26.358957466922337</v>
      </c>
      <c r="X13" s="132">
        <f>IF(SER_hh_fech!X13=0,0,SER_hh_fech!X13/SER_summary!X$26)</f>
        <v>20.639166648621913</v>
      </c>
      <c r="Y13" s="132">
        <f>IF(SER_hh_fech!Y13=0,0,SER_hh_fech!Y13/SER_summary!Y$26)</f>
        <v>21.090888789792793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122.39348276557203</v>
      </c>
      <c r="C14" s="65">
        <f>IF(SER_hh_fech!C14=0,0,SER_hh_fech!C14/SER_summary!C$26)</f>
        <v>132.04803042123811</v>
      </c>
      <c r="D14" s="65">
        <f>IF(SER_hh_fech!D14=0,0,SER_hh_fech!D14/SER_summary!D$26)</f>
        <v>39.633344867774426</v>
      </c>
      <c r="E14" s="65">
        <f>IF(SER_hh_fech!E14=0,0,SER_hh_fech!E14/SER_summary!E$26)</f>
        <v>5.9779671297940267</v>
      </c>
      <c r="F14" s="65">
        <f>IF(SER_hh_fech!F14=0,0,SER_hh_fech!F14/SER_summary!F$26)</f>
        <v>200.98585623708991</v>
      </c>
      <c r="G14" s="65">
        <f>IF(SER_hh_fech!G14=0,0,SER_hh_fech!G14/SER_summary!G$26)</f>
        <v>157.98444127408587</v>
      </c>
      <c r="H14" s="65">
        <f>IF(SER_hh_fech!H14=0,0,SER_hh_fech!H14/SER_summary!H$26)</f>
        <v>130.26801999322939</v>
      </c>
      <c r="I14" s="65">
        <f>IF(SER_hh_fech!I14=0,0,SER_hh_fech!I14/SER_summary!I$26)</f>
        <v>124.45609985208192</v>
      </c>
      <c r="J14" s="65">
        <f>IF(SER_hh_fech!J14=0,0,SER_hh_fech!J14/SER_summary!J$26)</f>
        <v>130.01254330117081</v>
      </c>
      <c r="K14" s="65">
        <f>IF(SER_hh_fech!K14=0,0,SER_hh_fech!K14/SER_summary!K$26)</f>
        <v>136.15514033496822</v>
      </c>
      <c r="L14" s="65">
        <f>IF(SER_hh_fech!L14=0,0,SER_hh_fech!L14/SER_summary!L$26)</f>
        <v>131.95966527710493</v>
      </c>
      <c r="M14" s="65">
        <f>IF(SER_hh_fech!M14=0,0,SER_hh_fech!M14/SER_summary!M$26)</f>
        <v>115.38539074594733</v>
      </c>
      <c r="N14" s="65">
        <f>IF(SER_hh_fech!N14=0,0,SER_hh_fech!N14/SER_summary!N$26)</f>
        <v>120.46866827323842</v>
      </c>
      <c r="O14" s="65">
        <f>IF(SER_hh_fech!O14=0,0,SER_hh_fech!O14/SER_summary!O$26)</f>
        <v>126.89863838193837</v>
      </c>
      <c r="P14" s="65">
        <f>IF(SER_hh_fech!P14=0,0,SER_hh_fech!P14/SER_summary!P$26)</f>
        <v>104.58585027574996</v>
      </c>
      <c r="Q14" s="65">
        <f>IF(SER_hh_fech!Q14=0,0,SER_hh_fech!Q14/SER_summary!Q$26)</f>
        <v>113.04099943320341</v>
      </c>
      <c r="R14" s="65">
        <f>IF(SER_hh_fech!R14=0,0,SER_hh_fech!R14/SER_summary!R$26)</f>
        <v>114.97659217960299</v>
      </c>
      <c r="S14" s="65">
        <f>IF(SER_hh_fech!S14=0,0,SER_hh_fech!S14/SER_summary!S$26)</f>
        <v>114.90339531031189</v>
      </c>
      <c r="T14" s="65">
        <f>IF(SER_hh_fech!T14=0,0,SER_hh_fech!T14/SER_summary!T$26)</f>
        <v>114.69382099065352</v>
      </c>
      <c r="U14" s="65">
        <f>IF(SER_hh_fech!U14=0,0,SER_hh_fech!U14/SER_summary!U$26)</f>
        <v>117.28645586020082</v>
      </c>
      <c r="V14" s="65">
        <f>IF(SER_hh_fech!V14=0,0,SER_hh_fech!V14/SER_summary!V$26)</f>
        <v>103.82750068583074</v>
      </c>
      <c r="W14" s="65">
        <f>IF(SER_hh_fech!W14=0,0,SER_hh_fech!W14/SER_summary!W$26)</f>
        <v>111.33997518910331</v>
      </c>
      <c r="X14" s="65">
        <f>IF(SER_hh_fech!X14=0,0,SER_hh_fech!X14/SER_summary!X$26)</f>
        <v>99.572750494045295</v>
      </c>
      <c r="Y14" s="65">
        <f>IF(SER_hh_fech!Y14=0,0,SER_hh_fech!Y14/SER_summary!Y$26)</f>
        <v>83.51815552506433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1.529768931363229</v>
      </c>
      <c r="C15" s="134">
        <f>IF(SER_hh_fech!C15=0,0,SER_hh_fech!C15/SER_summary!C$26)</f>
        <v>1.5785201529225454</v>
      </c>
      <c r="D15" s="134">
        <f>IF(SER_hh_fech!D15=0,0,SER_hh_fech!D15/SER_summary!D$26)</f>
        <v>1.6352645629784017</v>
      </c>
      <c r="E15" s="134">
        <f>IF(SER_hh_fech!E15=0,0,SER_hh_fech!E15/SER_summary!E$26)</f>
        <v>1.7668774059842047</v>
      </c>
      <c r="F15" s="134">
        <f>IF(SER_hh_fech!F15=0,0,SER_hh_fech!F15/SER_summary!F$26)</f>
        <v>1.8346346412414576</v>
      </c>
      <c r="G15" s="134">
        <f>IF(SER_hh_fech!G15=0,0,SER_hh_fech!G15/SER_summary!G$26)</f>
        <v>1.8846265814961467</v>
      </c>
      <c r="H15" s="134">
        <f>IF(SER_hh_fech!H15=0,0,SER_hh_fech!H15/SER_summary!H$26)</f>
        <v>1.7736998824261179</v>
      </c>
      <c r="I15" s="134">
        <f>IF(SER_hh_fech!I15=0,0,SER_hh_fech!I15/SER_summary!I$26)</f>
        <v>1.5545584281907754</v>
      </c>
      <c r="J15" s="134">
        <f>IF(SER_hh_fech!J15=0,0,SER_hh_fech!J15/SER_summary!J$26)</f>
        <v>1.8079090131230933</v>
      </c>
      <c r="K15" s="134">
        <f>IF(SER_hh_fech!K15=0,0,SER_hh_fech!K15/SER_summary!K$26)</f>
        <v>1.7190992097148101</v>
      </c>
      <c r="L15" s="134">
        <f>IF(SER_hh_fech!L15=0,0,SER_hh_fech!L15/SER_summary!L$26)</f>
        <v>1.8480265790539394</v>
      </c>
      <c r="M15" s="134">
        <f>IF(SER_hh_fech!M15=0,0,SER_hh_fech!M15/SER_summary!M$26)</f>
        <v>1.4334902003910306</v>
      </c>
      <c r="N15" s="134">
        <f>IF(SER_hh_fech!N15=0,0,SER_hh_fech!N15/SER_summary!N$26)</f>
        <v>1.5496352061073368</v>
      </c>
      <c r="O15" s="134">
        <f>IF(SER_hh_fech!O15=0,0,SER_hh_fech!O15/SER_summary!O$26)</f>
        <v>1.7007045594640142</v>
      </c>
      <c r="P15" s="134">
        <f>IF(SER_hh_fech!P15=0,0,SER_hh_fech!P15/SER_summary!P$26)</f>
        <v>1.2621474186667025</v>
      </c>
      <c r="Q15" s="134">
        <f>IF(SER_hh_fech!Q15=0,0,SER_hh_fech!Q15/SER_summary!Q$26)</f>
        <v>1.4657488002319972</v>
      </c>
      <c r="R15" s="134">
        <f>IF(SER_hh_fech!R15=0,0,SER_hh_fech!R15/SER_summary!R$26)</f>
        <v>1.4822931499474981</v>
      </c>
      <c r="S15" s="134">
        <f>IF(SER_hh_fech!S15=0,0,SER_hh_fech!S15/SER_summary!S$26)</f>
        <v>1.4845980911844947</v>
      </c>
      <c r="T15" s="134">
        <f>IF(SER_hh_fech!T15=0,0,SER_hh_fech!T15/SER_summary!T$26)</f>
        <v>1.5084329988074514</v>
      </c>
      <c r="U15" s="134">
        <f>IF(SER_hh_fech!U15=0,0,SER_hh_fech!U15/SER_summary!U$26)</f>
        <v>1.4308800406131525</v>
      </c>
      <c r="V15" s="134">
        <f>IF(SER_hh_fech!V15=0,0,SER_hh_fech!V15/SER_summary!V$26)</f>
        <v>1.4152628668010037</v>
      </c>
      <c r="W15" s="134">
        <f>IF(SER_hh_fech!W15=0,0,SER_hh_fech!W15/SER_summary!W$26)</f>
        <v>1.5514554025197507</v>
      </c>
      <c r="X15" s="134">
        <f>IF(SER_hh_fech!X15=0,0,SER_hh_fech!X15/SER_summary!X$26)</f>
        <v>1.2209658832705428</v>
      </c>
      <c r="Y15" s="134">
        <f>IF(SER_hh_fech!Y15=0,0,SER_hh_fech!Y15/SER_summary!Y$26)</f>
        <v>1.1702675760072199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14.996453352641584</v>
      </c>
      <c r="C16" s="130">
        <f>IF(SER_hh_fech!C16=0,0,SER_hh_fech!C16/SER_summary!C$26)</f>
        <v>14.26443274935939</v>
      </c>
      <c r="D16" s="130">
        <f>IF(SER_hh_fech!D16=0,0,SER_hh_fech!D16/SER_summary!D$26)</f>
        <v>13.109893657163369</v>
      </c>
      <c r="E16" s="130">
        <f>IF(SER_hh_fech!E16=0,0,SER_hh_fech!E16/SER_summary!E$26)</f>
        <v>15.900565514080602</v>
      </c>
      <c r="F16" s="130">
        <f>IF(SER_hh_fech!F16=0,0,SER_hh_fech!F16/SER_summary!F$26)</f>
        <v>11.697531633682317</v>
      </c>
      <c r="G16" s="130">
        <f>IF(SER_hh_fech!G16=0,0,SER_hh_fech!G16/SER_summary!G$26)</f>
        <v>11.361753728396984</v>
      </c>
      <c r="H16" s="130">
        <f>IF(SER_hh_fech!H16=0,0,SER_hh_fech!H16/SER_summary!H$26)</f>
        <v>13.624929209307998</v>
      </c>
      <c r="I16" s="130">
        <f>IF(SER_hh_fech!I16=0,0,SER_hh_fech!I16/SER_summary!I$26)</f>
        <v>10.20559292917638</v>
      </c>
      <c r="J16" s="130">
        <f>IF(SER_hh_fech!J16=0,0,SER_hh_fech!J16/SER_summary!J$26)</f>
        <v>9.9311733418475967</v>
      </c>
      <c r="K16" s="130">
        <f>IF(SER_hh_fech!K16=0,0,SER_hh_fech!K16/SER_summary!K$26)</f>
        <v>9.8397386210466227</v>
      </c>
      <c r="L16" s="130">
        <f>IF(SER_hh_fech!L16=0,0,SER_hh_fech!L16/SER_summary!L$26)</f>
        <v>10.171795627034626</v>
      </c>
      <c r="M16" s="130">
        <f>IF(SER_hh_fech!M16=0,0,SER_hh_fech!M16/SER_summary!M$26)</f>
        <v>9.2503026979379914</v>
      </c>
      <c r="N16" s="130">
        <f>IF(SER_hh_fech!N16=0,0,SER_hh_fech!N16/SER_summary!N$26)</f>
        <v>9.0921275231095571</v>
      </c>
      <c r="O16" s="130">
        <f>IF(SER_hh_fech!O16=0,0,SER_hh_fech!O16/SER_summary!O$26)</f>
        <v>8.9212819320838701</v>
      </c>
      <c r="P16" s="130">
        <f>IF(SER_hh_fech!P16=0,0,SER_hh_fech!P16/SER_summary!P$26)</f>
        <v>8.354692061424883</v>
      </c>
      <c r="Q16" s="130">
        <f>IF(SER_hh_fech!Q16=0,0,SER_hh_fech!Q16/SER_summary!Q$26)</f>
        <v>9.1337490563741568</v>
      </c>
      <c r="R16" s="130">
        <f>IF(SER_hh_fech!R16=0,0,SER_hh_fech!R16/SER_summary!R$26)</f>
        <v>8.558208540534233</v>
      </c>
      <c r="S16" s="130">
        <f>IF(SER_hh_fech!S16=0,0,SER_hh_fech!S16/SER_summary!S$26)</f>
        <v>7.8800811190618063</v>
      </c>
      <c r="T16" s="130">
        <f>IF(SER_hh_fech!T16=0,0,SER_hh_fech!T16/SER_summary!T$26)</f>
        <v>8.7732067060915657</v>
      </c>
      <c r="U16" s="130">
        <f>IF(SER_hh_fech!U16=0,0,SER_hh_fech!U16/SER_summary!U$26)</f>
        <v>8.2726311746288577</v>
      </c>
      <c r="V16" s="130">
        <f>IF(SER_hh_fech!V16=0,0,SER_hh_fech!V16/SER_summary!V$26)</f>
        <v>8.6390960396709406</v>
      </c>
      <c r="W16" s="130">
        <f>IF(SER_hh_fech!W16=0,0,SER_hh_fech!W16/SER_summary!W$26)</f>
        <v>6.9234685061483674</v>
      </c>
      <c r="X16" s="130">
        <f>IF(SER_hh_fech!X16=0,0,SER_hh_fech!X16/SER_summary!X$26)</f>
        <v>7.736029778501444</v>
      </c>
      <c r="Y16" s="130">
        <f>IF(SER_hh_fech!Y16=0,0,SER_hh_fech!Y16/SER_summary!Y$26)</f>
        <v>7.0129807194852605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26.460900500559795</v>
      </c>
      <c r="C17" s="132">
        <f>IF(SER_hh_fech!C17=0,0,SER_hh_fech!C17/SER_summary!C$26)</f>
        <v>26.443570823958041</v>
      </c>
      <c r="D17" s="132">
        <f>IF(SER_hh_fech!D17=0,0,SER_hh_fech!D17/SER_summary!D$26)</f>
        <v>25.543376521124689</v>
      </c>
      <c r="E17" s="132">
        <f>IF(SER_hh_fech!E17=0,0,SER_hh_fech!E17/SER_summary!E$26)</f>
        <v>32.407813000672895</v>
      </c>
      <c r="F17" s="132">
        <f>IF(SER_hh_fech!F17=0,0,SER_hh_fech!F17/SER_summary!F$26)</f>
        <v>24.200066303638547</v>
      </c>
      <c r="G17" s="132">
        <f>IF(SER_hh_fech!G17=0,0,SER_hh_fech!G17/SER_summary!G$26)</f>
        <v>24.226166811578327</v>
      </c>
      <c r="H17" s="132">
        <f>IF(SER_hh_fech!H17=0,0,SER_hh_fech!H17/SER_summary!H$26)</f>
        <v>30.10363034994991</v>
      </c>
      <c r="I17" s="132">
        <f>IF(SER_hh_fech!I17=0,0,SER_hh_fech!I17/SER_summary!I$26)</f>
        <v>23.07627643430029</v>
      </c>
      <c r="J17" s="132">
        <f>IF(SER_hh_fech!J17=0,0,SER_hh_fech!J17/SER_summary!J$26)</f>
        <v>23.001846403608347</v>
      </c>
      <c r="K17" s="132">
        <f>IF(SER_hh_fech!K17=0,0,SER_hh_fech!K17/SER_summary!K$26)</f>
        <v>23.149173034824528</v>
      </c>
      <c r="L17" s="132">
        <f>IF(SER_hh_fech!L17=0,0,SER_hh_fech!L17/SER_summary!L$26)</f>
        <v>24.53054455057897</v>
      </c>
      <c r="M17" s="132">
        <f>IF(SER_hh_fech!M17=0,0,SER_hh_fech!M17/SER_summary!M$26)</f>
        <v>22.842886773339501</v>
      </c>
      <c r="N17" s="132">
        <f>IF(SER_hh_fech!N17=0,0,SER_hh_fech!N17/SER_summary!N$26)</f>
        <v>22.955907568054002</v>
      </c>
      <c r="O17" s="132">
        <f>IF(SER_hh_fech!O17=0,0,SER_hh_fech!O17/SER_summary!O$26)</f>
        <v>22.943474898023993</v>
      </c>
      <c r="P17" s="132">
        <f>IF(SER_hh_fech!P17=0,0,SER_hh_fech!P17/SER_summary!P$26)</f>
        <v>21.774310665486453</v>
      </c>
      <c r="Q17" s="132">
        <f>IF(SER_hh_fech!Q17=0,0,SER_hh_fech!Q17/SER_summary!Q$26)</f>
        <v>24.143610870555786</v>
      </c>
      <c r="R17" s="132">
        <f>IF(SER_hh_fech!R17=0,0,SER_hh_fech!R17/SER_summary!R$26)</f>
        <v>23.167647254628072</v>
      </c>
      <c r="S17" s="132">
        <f>IF(SER_hh_fech!S17=0,0,SER_hh_fech!S17/SER_summary!S$26)</f>
        <v>21.816313120399887</v>
      </c>
      <c r="T17" s="132">
        <f>IF(SER_hh_fech!T17=0,0,SER_hh_fech!T17/SER_summary!T$26)</f>
        <v>24.624793534045999</v>
      </c>
      <c r="U17" s="132">
        <f>IF(SER_hh_fech!U17=0,0,SER_hh_fech!U17/SER_summary!U$26)</f>
        <v>23.447902545457861</v>
      </c>
      <c r="V17" s="132">
        <f>IF(SER_hh_fech!V17=0,0,SER_hh_fech!V17/SER_summary!V$26)</f>
        <v>26.200494091911171</v>
      </c>
      <c r="W17" s="132">
        <f>IF(SER_hh_fech!W17=0,0,SER_hh_fech!W17/SER_summary!W$26)</f>
        <v>18.848663623431527</v>
      </c>
      <c r="X17" s="132">
        <f>IF(SER_hh_fech!X17=0,0,SER_hh_fech!X17/SER_summary!X$26)</f>
        <v>22.541800882464539</v>
      </c>
      <c r="Y17" s="132">
        <f>IF(SER_hh_fech!Y17=0,0,SER_hh_fech!Y17/SER_summary!Y$26)</f>
        <v>20.436004463531592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14.986266788607919</v>
      </c>
      <c r="C18" s="132">
        <f>IF(SER_hh_fech!C18=0,0,SER_hh_fech!C18/SER_summary!C$26)</f>
        <v>14.252982745935828</v>
      </c>
      <c r="D18" s="132">
        <f>IF(SER_hh_fech!D18=0,0,SER_hh_fech!D18/SER_summary!D$26)</f>
        <v>13.097159032902036</v>
      </c>
      <c r="E18" s="132">
        <f>IF(SER_hh_fech!E18=0,0,SER_hh_fech!E18/SER_summary!E$26)</f>
        <v>15.886911653228239</v>
      </c>
      <c r="F18" s="132">
        <f>IF(SER_hh_fech!F18=0,0,SER_hh_fech!F18/SER_summary!F$26)</f>
        <v>11.681805900933119</v>
      </c>
      <c r="G18" s="132">
        <f>IF(SER_hh_fech!G18=0,0,SER_hh_fech!G18/SER_summary!G$26)</f>
        <v>11.343218034621467</v>
      </c>
      <c r="H18" s="132">
        <f>IF(SER_hh_fech!H18=0,0,SER_hh_fech!H18/SER_summary!H$26)</f>
        <v>13.602791810255626</v>
      </c>
      <c r="I18" s="132">
        <f>IF(SER_hh_fech!I18=0,0,SER_hh_fech!I18/SER_summary!I$26)</f>
        <v>10.183212724090131</v>
      </c>
      <c r="J18" s="132">
        <f>IF(SER_hh_fech!J18=0,0,SER_hh_fech!J18/SER_summary!J$26)</f>
        <v>9.9041871269771171</v>
      </c>
      <c r="K18" s="132">
        <f>IF(SER_hh_fech!K18=0,0,SER_hh_fech!K18/SER_summary!K$26)</f>
        <v>9.8091770414478017</v>
      </c>
      <c r="L18" s="132">
        <f>IF(SER_hh_fech!L18=0,0,SER_hh_fech!L18/SER_summary!L$26)</f>
        <v>10.139731759567876</v>
      </c>
      <c r="M18" s="132">
        <f>IF(SER_hh_fech!M18=0,0,SER_hh_fech!M18/SER_summary!M$26)</f>
        <v>9.2177790736031273</v>
      </c>
      <c r="N18" s="132">
        <f>IF(SER_hh_fech!N18=0,0,SER_hh_fech!N18/SER_summary!N$26)</f>
        <v>9.0566305213740854</v>
      </c>
      <c r="O18" s="132">
        <f>IF(SER_hh_fech!O18=0,0,SER_hh_fech!O18/SER_summary!O$26)</f>
        <v>8.8801989330792459</v>
      </c>
      <c r="P18" s="132">
        <f>IF(SER_hh_fech!P18=0,0,SER_hh_fech!P18/SER_summary!P$26)</f>
        <v>8.3050879823807389</v>
      </c>
      <c r="Q18" s="132">
        <f>IF(SER_hh_fech!Q18=0,0,SER_hh_fech!Q18/SER_summary!Q$26)</f>
        <v>9.0602241784887276</v>
      </c>
      <c r="R18" s="132">
        <f>IF(SER_hh_fech!R18=0,0,SER_hh_fech!R18/SER_summary!R$26)</f>
        <v>8.4762537167496372</v>
      </c>
      <c r="S18" s="132">
        <f>IF(SER_hh_fech!S18=0,0,SER_hh_fech!S18/SER_summary!S$26)</f>
        <v>7.7978832022925451</v>
      </c>
      <c r="T18" s="132">
        <f>IF(SER_hh_fech!T18=0,0,SER_hh_fech!T18/SER_summary!T$26)</f>
        <v>8.6678822836816991</v>
      </c>
      <c r="U18" s="132">
        <f>IF(SER_hh_fech!U18=0,0,SER_hh_fech!U18/SER_summary!U$26)</f>
        <v>8.1569770310855727</v>
      </c>
      <c r="V18" s="132">
        <f>IF(SER_hh_fech!V18=0,0,SER_hh_fech!V18/SER_summary!V$26)</f>
        <v>8.4988276641963409</v>
      </c>
      <c r="W18" s="132">
        <f>IF(SER_hh_fech!W18=0,0,SER_hh_fech!W18/SER_summary!W$26)</f>
        <v>6.8265435937371644</v>
      </c>
      <c r="X18" s="132">
        <f>IF(SER_hh_fech!X18=0,0,SER_hh_fech!X18/SER_summary!X$26)</f>
        <v>7.6155253825603282</v>
      </c>
      <c r="Y18" s="132">
        <f>IF(SER_hh_fech!Y18=0,0,SER_hh_fech!Y18/SER_summary!Y$26)</f>
        <v>6.9026854348025788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24.037263426543621</v>
      </c>
      <c r="C19" s="130">
        <f>IF(SER_hh_fech!C19=0,0,SER_hh_fech!C19/SER_summary!C$26)</f>
        <v>23.969246039678815</v>
      </c>
      <c r="D19" s="130">
        <f>IF(SER_hh_fech!D19=0,0,SER_hh_fech!D19/SER_summary!D$26)</f>
        <v>24.250533420699718</v>
      </c>
      <c r="E19" s="130">
        <f>IF(SER_hh_fech!E19=0,0,SER_hh_fech!E19/SER_summary!E$26)</f>
        <v>24.659163606954429</v>
      </c>
      <c r="F19" s="130">
        <f>IF(SER_hh_fech!F19=0,0,SER_hh_fech!F19/SER_summary!F$26)</f>
        <v>23.114384010699872</v>
      </c>
      <c r="G19" s="130">
        <f>IF(SER_hh_fech!G19=0,0,SER_hh_fech!G19/SER_summary!G$26)</f>
        <v>22.647738891103526</v>
      </c>
      <c r="H19" s="130">
        <f>IF(SER_hh_fech!H19=0,0,SER_hh_fech!H19/SER_summary!H$26)</f>
        <v>22.527692822010096</v>
      </c>
      <c r="I19" s="130">
        <f>IF(SER_hh_fech!I19=0,0,SER_hh_fech!I19/SER_summary!I$26)</f>
        <v>22.211598380734248</v>
      </c>
      <c r="J19" s="130">
        <f>IF(SER_hh_fech!J19=0,0,SER_hh_fech!J19/SER_summary!J$26)</f>
        <v>21.965137104158394</v>
      </c>
      <c r="K19" s="130">
        <f>IF(SER_hh_fech!K19=0,0,SER_hh_fech!K19/SER_summary!K$26)</f>
        <v>22.208902892408478</v>
      </c>
      <c r="L19" s="130">
        <f>IF(SER_hh_fech!L19=0,0,SER_hh_fech!L19/SER_summary!L$26)</f>
        <v>22.043288538748207</v>
      </c>
      <c r="M19" s="130">
        <f>IF(SER_hh_fech!M19=0,0,SER_hh_fech!M19/SER_summary!M$26)</f>
        <v>22.10236566320329</v>
      </c>
      <c r="N19" s="130">
        <f>IF(SER_hh_fech!N19=0,0,SER_hh_fech!N19/SER_summary!N$26)</f>
        <v>22.329198340920911</v>
      </c>
      <c r="O19" s="130">
        <f>IF(SER_hh_fech!O19=0,0,SER_hh_fech!O19/SER_summary!O$26)</f>
        <v>22.517335214016864</v>
      </c>
      <c r="P19" s="130">
        <f>IF(SER_hh_fech!P19=0,0,SER_hh_fech!P19/SER_summary!P$26)</f>
        <v>22.504397664739926</v>
      </c>
      <c r="Q19" s="130">
        <f>IF(SER_hh_fech!Q19=0,0,SER_hh_fech!Q19/SER_summary!Q$26)</f>
        <v>22.365146528930268</v>
      </c>
      <c r="R19" s="130">
        <f>IF(SER_hh_fech!R19=0,0,SER_hh_fech!R19/SER_summary!R$26)</f>
        <v>22.306698075274323</v>
      </c>
      <c r="S19" s="130">
        <f>IF(SER_hh_fech!S19=0,0,SER_hh_fech!S19/SER_summary!S$26)</f>
        <v>22.122511552960077</v>
      </c>
      <c r="T19" s="130">
        <f>IF(SER_hh_fech!T19=0,0,SER_hh_fech!T19/SER_summary!T$26)</f>
        <v>21.694793599465136</v>
      </c>
      <c r="U19" s="130">
        <f>IF(SER_hh_fech!U19=0,0,SER_hh_fech!U19/SER_summary!U$26)</f>
        <v>20.215055678764472</v>
      </c>
      <c r="V19" s="130">
        <f>IF(SER_hh_fech!V19=0,0,SER_hh_fech!V19/SER_summary!V$26)</f>
        <v>18.921412343831619</v>
      </c>
      <c r="W19" s="130">
        <f>IF(SER_hh_fech!W19=0,0,SER_hh_fech!W19/SER_summary!W$26)</f>
        <v>19.664602940664054</v>
      </c>
      <c r="X19" s="130">
        <f>IF(SER_hh_fech!X19=0,0,SER_hh_fech!X19/SER_summary!X$26)</f>
        <v>19.54742819468083</v>
      </c>
      <c r="Y19" s="130">
        <f>IF(SER_hh_fech!Y19=0,0,SER_hh_fech!Y19/SER_summary!Y$26)</f>
        <v>19.510535902996189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23.88344210134807</v>
      </c>
      <c r="C21" s="132">
        <f>IF(SER_hh_fech!C21=0,0,SER_hh_fech!C21/SER_summary!C$26)</f>
        <v>24.302318210576285</v>
      </c>
      <c r="D21" s="132">
        <f>IF(SER_hh_fech!D21=0,0,SER_hh_fech!D21/SER_summary!D$26)</f>
        <v>24.72661563454697</v>
      </c>
      <c r="E21" s="132">
        <f>IF(SER_hh_fech!E21=0,0,SER_hh_fech!E21/SER_summary!E$26)</f>
        <v>26.019687860112818</v>
      </c>
      <c r="F21" s="132">
        <f>IF(SER_hh_fech!F21=0,0,SER_hh_fech!F21/SER_summary!F$26)</f>
        <v>28.533237845175258</v>
      </c>
      <c r="G21" s="132">
        <f>IF(SER_hh_fech!G21=0,0,SER_hh_fech!G21/SER_summary!G$26)</f>
        <v>18.114761667524505</v>
      </c>
      <c r="H21" s="132">
        <f>IF(SER_hh_fech!H21=0,0,SER_hh_fech!H21/SER_summary!H$26)</f>
        <v>21.966236694805925</v>
      </c>
      <c r="I21" s="132">
        <f>IF(SER_hh_fech!I21=0,0,SER_hh_fech!I21/SER_summary!I$26)</f>
        <v>23.985945504594959</v>
      </c>
      <c r="J21" s="132">
        <f>IF(SER_hh_fech!J21=0,0,SER_hh_fech!J21/SER_summary!J$26)</f>
        <v>21.774633501930495</v>
      </c>
      <c r="K21" s="132">
        <f>IF(SER_hh_fech!K21=0,0,SER_hh_fech!K21/SER_summary!K$26)</f>
        <v>23.007800196438694</v>
      </c>
      <c r="L21" s="132">
        <f>IF(SER_hh_fech!L21=0,0,SER_hh_fech!L21/SER_summary!L$26)</f>
        <v>21.745763892465565</v>
      </c>
      <c r="M21" s="132">
        <f>IF(SER_hh_fech!M21=0,0,SER_hh_fech!M21/SER_summary!M$26)</f>
        <v>22.813289839952777</v>
      </c>
      <c r="N21" s="132">
        <f>IF(SER_hh_fech!N21=0,0,SER_hh_fech!N21/SER_summary!N$26)</f>
        <v>24.252577604821241</v>
      </c>
      <c r="O21" s="132">
        <f>IF(SER_hh_fech!O21=0,0,SER_hh_fech!O21/SER_summary!O$26)</f>
        <v>23.640272886459787</v>
      </c>
      <c r="P21" s="132">
        <f>IF(SER_hh_fech!P21=0,0,SER_hh_fech!P21/SER_summary!P$26)</f>
        <v>22.346581809680426</v>
      </c>
      <c r="Q21" s="132">
        <f>IF(SER_hh_fech!Q21=0,0,SER_hh_fech!Q21/SER_summary!Q$26)</f>
        <v>23.355026736548094</v>
      </c>
      <c r="R21" s="132">
        <f>IF(SER_hh_fech!R21=0,0,SER_hh_fech!R21/SER_summary!R$26)</f>
        <v>22.726781032349393</v>
      </c>
      <c r="S21" s="132">
        <f>IF(SER_hh_fech!S21=0,0,SER_hh_fech!S21/SER_summary!S$26)</f>
        <v>22.789388441157762</v>
      </c>
      <c r="T21" s="132">
        <f>IF(SER_hh_fech!T21=0,0,SER_hh_fech!T21/SER_summary!T$26)</f>
        <v>22.697638353684699</v>
      </c>
      <c r="U21" s="132">
        <f>IF(SER_hh_fech!U21=0,0,SER_hh_fech!U21/SER_summary!U$26)</f>
        <v>22.135408430695204</v>
      </c>
      <c r="V21" s="132">
        <f>IF(SER_hh_fech!V21=0,0,SER_hh_fech!V21/SER_summary!V$26)</f>
        <v>17.965631993020288</v>
      </c>
      <c r="W21" s="132">
        <f>IF(SER_hh_fech!W21=0,0,SER_hh_fech!W21/SER_summary!W$26)</f>
        <v>18.306628463308115</v>
      </c>
      <c r="X21" s="132">
        <f>IF(SER_hh_fech!X21=0,0,SER_hh_fech!X21/SER_summary!X$26)</f>
        <v>25.16513625610855</v>
      </c>
      <c r="Y21" s="132">
        <f>IF(SER_hh_fech!Y21=0,0,SER_hh_fech!Y21/SER_summary!Y$26)</f>
        <v>19.600116955979203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25.592155708172204</v>
      </c>
      <c r="C22" s="132">
        <f>IF(SER_hh_fech!C22=0,0,SER_hh_fech!C22/SER_summary!C$26)</f>
        <v>25.643848486959545</v>
      </c>
      <c r="D22" s="132">
        <f>IF(SER_hh_fech!D22=0,0,SER_hh_fech!D22/SER_summary!D$26)</f>
        <v>25.963621113788932</v>
      </c>
      <c r="E22" s="132">
        <f>IF(SER_hh_fech!E22=0,0,SER_hh_fech!E22/SER_summary!E$26)</f>
        <v>26.074039927020372</v>
      </c>
      <c r="F22" s="132">
        <f>IF(SER_hh_fech!F22=0,0,SER_hh_fech!F22/SER_summary!F$26)</f>
        <v>25.42309804492978</v>
      </c>
      <c r="G22" s="132">
        <f>IF(SER_hh_fech!G22=0,0,SER_hh_fech!G22/SER_summary!G$26)</f>
        <v>24.946283933256336</v>
      </c>
      <c r="H22" s="132">
        <f>IF(SER_hh_fech!H22=0,0,SER_hh_fech!H22/SER_summary!H$26)</f>
        <v>24.808189761620966</v>
      </c>
      <c r="I22" s="132">
        <f>IF(SER_hh_fech!I22=0,0,SER_hh_fech!I22/SER_summary!I$26)</f>
        <v>24.826179472933088</v>
      </c>
      <c r="J22" s="132">
        <f>IF(SER_hh_fech!J22=0,0,SER_hh_fech!J22/SER_summary!J$26)</f>
        <v>24.220465900329081</v>
      </c>
      <c r="K22" s="132">
        <f>IF(SER_hh_fech!K22=0,0,SER_hh_fech!K22/SER_summary!K$26)</f>
        <v>24.561590695507217</v>
      </c>
      <c r="L22" s="132">
        <f>IF(SER_hh_fech!L22=0,0,SER_hh_fech!L22/SER_summary!L$26)</f>
        <v>24.63079105564363</v>
      </c>
      <c r="M22" s="132">
        <f>IF(SER_hh_fech!M22=0,0,SER_hh_fech!M22/SER_summary!M$26)</f>
        <v>24.960568182337671</v>
      </c>
      <c r="N22" s="132">
        <f>IF(SER_hh_fech!N22=0,0,SER_hh_fech!N22/SER_summary!N$26)</f>
        <v>25.140160676412744</v>
      </c>
      <c r="O22" s="132">
        <f>IF(SER_hh_fech!O22=0,0,SER_hh_fech!O22/SER_summary!O$26)</f>
        <v>25.158659282992829</v>
      </c>
      <c r="P22" s="132">
        <f>IF(SER_hh_fech!P22=0,0,SER_hh_fech!P22/SER_summary!P$26)</f>
        <v>25.399682729504139</v>
      </c>
      <c r="Q22" s="132">
        <f>IF(SER_hh_fech!Q22=0,0,SER_hh_fech!Q22/SER_summary!Q$26)</f>
        <v>25.59329242067103</v>
      </c>
      <c r="R22" s="132">
        <f>IF(SER_hh_fech!R22=0,0,SER_hh_fech!R22/SER_summary!R$26)</f>
        <v>25.307531766431865</v>
      </c>
      <c r="S22" s="132">
        <f>IF(SER_hh_fech!S22=0,0,SER_hh_fech!S22/SER_summary!S$26)</f>
        <v>25.650408927739186</v>
      </c>
      <c r="T22" s="132">
        <f>IF(SER_hh_fech!T22=0,0,SER_hh_fech!T22/SER_summary!T$26)</f>
        <v>25.780547479746538</v>
      </c>
      <c r="U22" s="132">
        <f>IF(SER_hh_fech!U22=0,0,SER_hh_fech!U22/SER_summary!U$26)</f>
        <v>22.238148393587807</v>
      </c>
      <c r="V22" s="132">
        <f>IF(SER_hh_fech!V22=0,0,SER_hh_fech!V22/SER_summary!V$26)</f>
        <v>21.010470114165997</v>
      </c>
      <c r="W22" s="132">
        <f>IF(SER_hh_fech!W22=0,0,SER_hh_fech!W22/SER_summary!W$26)</f>
        <v>21.594634728574199</v>
      </c>
      <c r="X22" s="132">
        <f>IF(SER_hh_fech!X22=0,0,SER_hh_fech!X22/SER_summary!X$26)</f>
        <v>22.553899267319636</v>
      </c>
      <c r="Y22" s="132">
        <f>IF(SER_hh_fech!Y22=0,0,SER_hh_fech!Y22/SER_summary!Y$26)</f>
        <v>22.113023640596754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24.9515912480712</v>
      </c>
      <c r="C23" s="132">
        <f>IF(SER_hh_fech!C23=0,0,SER_hh_fech!C23/SER_summary!C$26)</f>
        <v>25.14292631983156</v>
      </c>
      <c r="D23" s="132">
        <f>IF(SER_hh_fech!D23=0,0,SER_hh_fech!D23/SER_summary!D$26)</f>
        <v>24.875529896942091</v>
      </c>
      <c r="E23" s="132">
        <f>IF(SER_hh_fech!E23=0,0,SER_hh_fech!E23/SER_summary!E$26)</f>
        <v>24.997627128497356</v>
      </c>
      <c r="F23" s="132">
        <f>IF(SER_hh_fech!F23=0,0,SER_hh_fech!F23/SER_summary!F$26)</f>
        <v>24.099962060636965</v>
      </c>
      <c r="G23" s="132">
        <f>IF(SER_hh_fech!G23=0,0,SER_hh_fech!G23/SER_summary!G$26)</f>
        <v>23.617291867638592</v>
      </c>
      <c r="H23" s="132">
        <f>IF(SER_hh_fech!H23=0,0,SER_hh_fech!H23/SER_summary!H$26)</f>
        <v>23.083503542237903</v>
      </c>
      <c r="I23" s="132">
        <f>IF(SER_hh_fech!I23=0,0,SER_hh_fech!I23/SER_summary!I$26)</f>
        <v>22.666666627986142</v>
      </c>
      <c r="J23" s="132">
        <f>IF(SER_hh_fech!J23=0,0,SER_hh_fech!J23/SER_summary!J$26)</f>
        <v>22.437295909823359</v>
      </c>
      <c r="K23" s="132">
        <f>IF(SER_hh_fech!K23=0,0,SER_hh_fech!K23/SER_summary!K$26)</f>
        <v>22.705168567930233</v>
      </c>
      <c r="L23" s="132">
        <f>IF(SER_hh_fech!L23=0,0,SER_hh_fech!L23/SER_summary!L$26)</f>
        <v>22.47848441072755</v>
      </c>
      <c r="M23" s="132">
        <f>IF(SER_hh_fech!M23=0,0,SER_hh_fech!M23/SER_summary!M$26)</f>
        <v>22.410460461298694</v>
      </c>
      <c r="N23" s="132">
        <f>IF(SER_hh_fech!N23=0,0,SER_hh_fech!N23/SER_summary!N$26)</f>
        <v>22.736946925105222</v>
      </c>
      <c r="O23" s="132">
        <f>IF(SER_hh_fech!O23=0,0,SER_hh_fech!O23/SER_summary!O$26)</f>
        <v>22.891344906446772</v>
      </c>
      <c r="P23" s="132">
        <f>IF(SER_hh_fech!P23=0,0,SER_hh_fech!P23/SER_summary!P$26)</f>
        <v>22.706012983041571</v>
      </c>
      <c r="Q23" s="132">
        <f>IF(SER_hh_fech!Q23=0,0,SER_hh_fech!Q23/SER_summary!Q$26)</f>
        <v>22.787254908854234</v>
      </c>
      <c r="R23" s="132">
        <f>IF(SER_hh_fech!R23=0,0,SER_hh_fech!R23/SER_summary!R$26)</f>
        <v>22.581900086488066</v>
      </c>
      <c r="S23" s="132">
        <f>IF(SER_hh_fech!S23=0,0,SER_hh_fech!S23/SER_summary!S$26)</f>
        <v>22.290973242520106</v>
      </c>
      <c r="T23" s="132">
        <f>IF(SER_hh_fech!T23=0,0,SER_hh_fech!T23/SER_summary!T$26)</f>
        <v>21.566087792929235</v>
      </c>
      <c r="U23" s="132">
        <f>IF(SER_hh_fech!U23=0,0,SER_hh_fech!U23/SER_summary!U$26)</f>
        <v>20.490468360328041</v>
      </c>
      <c r="V23" s="132">
        <f>IF(SER_hh_fech!V23=0,0,SER_hh_fech!V23/SER_summary!V$26)</f>
        <v>19.536745537338703</v>
      </c>
      <c r="W23" s="132">
        <f>IF(SER_hh_fech!W23=0,0,SER_hh_fech!W23/SER_summary!W$26)</f>
        <v>21.350773916042908</v>
      </c>
      <c r="X23" s="132">
        <f>IF(SER_hh_fech!X23=0,0,SER_hh_fech!X23/SER_summary!X$26)</f>
        <v>19.461687096903908</v>
      </c>
      <c r="Y23" s="132">
        <f>IF(SER_hh_fech!Y23=0,0,SER_hh_fech!Y23/SER_summary!Y$26)</f>
        <v>19.292212225141064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16.786199030898565</v>
      </c>
      <c r="C25" s="132">
        <f>IF(SER_hh_fech!C25=0,0,SER_hh_fech!C25/SER_summary!C$26)</f>
        <v>16.750021735757652</v>
      </c>
      <c r="D25" s="132">
        <f>IF(SER_hh_fech!D25=0,0,SER_hh_fech!D25/SER_summary!D$26)</f>
        <v>17.06349347345391</v>
      </c>
      <c r="E25" s="132">
        <f>IF(SER_hh_fech!E25=0,0,SER_hh_fech!E25/SER_summary!E$26)</f>
        <v>16.979762592539164</v>
      </c>
      <c r="F25" s="132">
        <f>IF(SER_hh_fech!F25=0,0,SER_hh_fech!F25/SER_summary!F$26)</f>
        <v>16.660972470423506</v>
      </c>
      <c r="G25" s="132">
        <f>IF(SER_hh_fech!G25=0,0,SER_hh_fech!G25/SER_summary!G$26)</f>
        <v>16.479969269836463</v>
      </c>
      <c r="H25" s="132">
        <f>IF(SER_hh_fech!H25=0,0,SER_hh_fech!H25/SER_summary!H$26)</f>
        <v>16.33858458878403</v>
      </c>
      <c r="I25" s="132">
        <f>IF(SER_hh_fech!I25=0,0,SER_hh_fech!I25/SER_summary!I$26)</f>
        <v>16.125239753172128</v>
      </c>
      <c r="J25" s="132">
        <f>IF(SER_hh_fech!J25=0,0,SER_hh_fech!J25/SER_summary!J$26)</f>
        <v>15.880696105582222</v>
      </c>
      <c r="K25" s="132">
        <f>IF(SER_hh_fech!K25=0,0,SER_hh_fech!K25/SER_summary!K$26)</f>
        <v>15.518779560213085</v>
      </c>
      <c r="L25" s="132">
        <f>IF(SER_hh_fech!L25=0,0,SER_hh_fech!L25/SER_summary!L$26)</f>
        <v>17.261386756055291</v>
      </c>
      <c r="M25" s="132">
        <f>IF(SER_hh_fech!M25=0,0,SER_hh_fech!M25/SER_summary!M$26)</f>
        <v>16.875400793049906</v>
      </c>
      <c r="N25" s="132">
        <f>IF(SER_hh_fech!N25=0,0,SER_hh_fech!N25/SER_summary!N$26)</f>
        <v>16.808141478317324</v>
      </c>
      <c r="O25" s="132">
        <f>IF(SER_hh_fech!O25=0,0,SER_hh_fech!O25/SER_summary!O$26)</f>
        <v>17.469959954870266</v>
      </c>
      <c r="P25" s="132">
        <f>IF(SER_hh_fech!P25=0,0,SER_hh_fech!P25/SER_summary!P$26)</f>
        <v>16.595810089587271</v>
      </c>
      <c r="Q25" s="132">
        <f>IF(SER_hh_fech!Q25=0,0,SER_hh_fech!Q25/SER_summary!Q$26)</f>
        <v>17.465002642041259</v>
      </c>
      <c r="R25" s="132">
        <f>IF(SER_hh_fech!R25=0,0,SER_hh_fech!R25/SER_summary!R$26)</f>
        <v>17.771239520270893</v>
      </c>
      <c r="S25" s="132">
        <f>IF(SER_hh_fech!S25=0,0,SER_hh_fech!S25/SER_summary!S$26)</f>
        <v>17.615344740920282</v>
      </c>
      <c r="T25" s="132">
        <f>IF(SER_hh_fech!T25=0,0,SER_hh_fech!T25/SER_summary!T$26)</f>
        <v>17.369012897231947</v>
      </c>
      <c r="U25" s="132">
        <f>IF(SER_hh_fech!U25=0,0,SER_hh_fech!U25/SER_summary!U$26)</f>
        <v>16.946526450822649</v>
      </c>
      <c r="V25" s="132">
        <f>IF(SER_hh_fech!V25=0,0,SER_hh_fech!V25/SER_summary!V$26)</f>
        <v>15.405746785340693</v>
      </c>
      <c r="W25" s="132">
        <f>IF(SER_hh_fech!W25=0,0,SER_hh_fech!W25/SER_summary!W$26)</f>
        <v>14.34517618684756</v>
      </c>
      <c r="X25" s="132">
        <f>IF(SER_hh_fech!X25=0,0,SER_hh_fech!X25/SER_summary!X$26)</f>
        <v>17.937647515186956</v>
      </c>
      <c r="Y25" s="132">
        <f>IF(SER_hh_fech!Y25=0,0,SER_hh_fech!Y25/SER_summary!Y$26)</f>
        <v>17.550436864524642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19.592848560376463</v>
      </c>
      <c r="C26" s="65">
        <f>IF(SER_hh_fech!C26=0,0,SER_hh_fech!C26/SER_summary!C$26)</f>
        <v>19.034367449453903</v>
      </c>
      <c r="D26" s="65">
        <f>IF(SER_hh_fech!D26=0,0,SER_hh_fech!D26/SER_summary!D$26)</f>
        <v>21.380410177675355</v>
      </c>
      <c r="E26" s="65">
        <f>IF(SER_hh_fech!E26=0,0,SER_hh_fech!E26/SER_summary!E$26)</f>
        <v>22.814006217702222</v>
      </c>
      <c r="F26" s="65">
        <f>IF(SER_hh_fech!F26=0,0,SER_hh_fech!F26/SER_summary!F$26)</f>
        <v>18.303865942084162</v>
      </c>
      <c r="G26" s="65">
        <f>IF(SER_hh_fech!G26=0,0,SER_hh_fech!G26/SER_summary!G$26)</f>
        <v>18.884844813991599</v>
      </c>
      <c r="H26" s="65">
        <f>IF(SER_hh_fech!H26=0,0,SER_hh_fech!H26/SER_summary!H$26)</f>
        <v>19.50605645679374</v>
      </c>
      <c r="I26" s="65">
        <f>IF(SER_hh_fech!I26=0,0,SER_hh_fech!I26/SER_summary!I$26)</f>
        <v>19.109894683738361</v>
      </c>
      <c r="J26" s="65">
        <f>IF(SER_hh_fech!J26=0,0,SER_hh_fech!J26/SER_summary!J$26)</f>
        <v>19.384231308040391</v>
      </c>
      <c r="K26" s="65">
        <f>IF(SER_hh_fech!K26=0,0,SER_hh_fech!K26/SER_summary!K$26)</f>
        <v>19.459791556691048</v>
      </c>
      <c r="L26" s="65">
        <f>IF(SER_hh_fech!L26=0,0,SER_hh_fech!L26/SER_summary!L$26)</f>
        <v>19.436002681110484</v>
      </c>
      <c r="M26" s="65">
        <f>IF(SER_hh_fech!M26=0,0,SER_hh_fech!M26/SER_summary!M$26)</f>
        <v>19.625915122579919</v>
      </c>
      <c r="N26" s="65">
        <f>IF(SER_hh_fech!N26=0,0,SER_hh_fech!N26/SER_summary!N$26)</f>
        <v>19.792052228533795</v>
      </c>
      <c r="O26" s="65">
        <f>IF(SER_hh_fech!O26=0,0,SER_hh_fech!O26/SER_summary!O$26)</f>
        <v>20.231111780328014</v>
      </c>
      <c r="P26" s="65">
        <f>IF(SER_hh_fech!P26=0,0,SER_hh_fech!P26/SER_summary!P$26)</f>
        <v>20.520869751288462</v>
      </c>
      <c r="Q26" s="65">
        <f>IF(SER_hh_fech!Q26=0,0,SER_hh_fech!Q26/SER_summary!Q$26)</f>
        <v>19.787938345390184</v>
      </c>
      <c r="R26" s="65">
        <f>IF(SER_hh_fech!R26=0,0,SER_hh_fech!R26/SER_summary!R$26)</f>
        <v>20.188731943603454</v>
      </c>
      <c r="S26" s="65">
        <f>IF(SER_hh_fech!S26=0,0,SER_hh_fech!S26/SER_summary!S$26)</f>
        <v>20.004267829240689</v>
      </c>
      <c r="T26" s="65">
        <f>IF(SER_hh_fech!T26=0,0,SER_hh_fech!T26/SER_summary!T$26)</f>
        <v>19.864665007736129</v>
      </c>
      <c r="U26" s="65">
        <f>IF(SER_hh_fech!U26=0,0,SER_hh_fech!U26/SER_summary!U$26)</f>
        <v>18.765616591926346</v>
      </c>
      <c r="V26" s="65">
        <f>IF(SER_hh_fech!V26=0,0,SER_hh_fech!V26/SER_summary!V$26)</f>
        <v>17.049494561156664</v>
      </c>
      <c r="W26" s="65">
        <f>IF(SER_hh_fech!W26=0,0,SER_hh_fech!W26/SER_summary!W$26)</f>
        <v>16.534997999374017</v>
      </c>
      <c r="X26" s="65">
        <f>IF(SER_hh_fech!X26=0,0,SER_hh_fech!X26/SER_summary!X$26)</f>
        <v>18.113578710455982</v>
      </c>
      <c r="Y26" s="65">
        <f>IF(SER_hh_fech!Y26=0,0,SER_hh_fech!Y26/SER_summary!Y$26)</f>
        <v>18.681723643985947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3.6482650754140443E-2</v>
      </c>
      <c r="C27" s="145">
        <f>IF(SER_hh_fech!C27=0,0,SER_hh_fech!C27/SER_summary!C$26)</f>
        <v>1.097028016643448E-2</v>
      </c>
      <c r="D27" s="145">
        <f>IF(SER_hh_fech!D27=0,0,SER_hh_fech!D27/SER_summary!D$26)</f>
        <v>1.1968937222428035E-2</v>
      </c>
      <c r="E27" s="145">
        <f>IF(SER_hh_fech!E27=0,0,SER_hh_fech!E27/SER_summary!E$26)</f>
        <v>1.7754201878611757E-2</v>
      </c>
      <c r="F27" s="145">
        <f>IF(SER_hh_fech!F27=0,0,SER_hh_fech!F27/SER_summary!F$26)</f>
        <v>1.876862732435541E-2</v>
      </c>
      <c r="G27" s="145">
        <f>IF(SER_hh_fech!G27=0,0,SER_hh_fech!G27/SER_summary!G$26)</f>
        <v>1.844257871731797E-2</v>
      </c>
      <c r="H27" s="145">
        <f>IF(SER_hh_fech!H27=0,0,SER_hh_fech!H27/SER_summary!H$26)</f>
        <v>2.2211202143624539E-2</v>
      </c>
      <c r="I27" s="145">
        <f>IF(SER_hh_fech!I27=0,0,SER_hh_fech!I27/SER_summary!I$26)</f>
        <v>3.117940336845108E-2</v>
      </c>
      <c r="J27" s="145">
        <f>IF(SER_hh_fech!J27=0,0,SER_hh_fech!J27/SER_summary!J$26)</f>
        <v>4.1395554069392042E-2</v>
      </c>
      <c r="K27" s="145">
        <f>IF(SER_hh_fech!K27=0,0,SER_hh_fech!K27/SER_summary!K$26)</f>
        <v>8.5999315430604184E-2</v>
      </c>
      <c r="L27" s="145">
        <f>IF(SER_hh_fech!L27=0,0,SER_hh_fech!L27/SER_summary!L$26)</f>
        <v>4.3705245365190409E-2</v>
      </c>
      <c r="M27" s="145">
        <f>IF(SER_hh_fech!M27=0,0,SER_hh_fech!M27/SER_summary!M$26)</f>
        <v>4.6132676207093458E-2</v>
      </c>
      <c r="N27" s="145">
        <f>IF(SER_hh_fech!N27=0,0,SER_hh_fech!N27/SER_summary!N$26)</f>
        <v>4.56529488219257E-2</v>
      </c>
      <c r="O27" s="145">
        <f>IF(SER_hh_fech!O27=0,0,SER_hh_fech!O27/SER_summary!O$26)</f>
        <v>4.8213753443768E-2</v>
      </c>
      <c r="P27" s="145">
        <f>IF(SER_hh_fech!P27=0,0,SER_hh_fech!P27/SER_summary!P$26)</f>
        <v>5.3728789930733094E-2</v>
      </c>
      <c r="Q27" s="145">
        <f>IF(SER_hh_fech!Q27=0,0,SER_hh_fech!Q27/SER_summary!Q$26)</f>
        <v>5.7979342486474877E-2</v>
      </c>
      <c r="R27" s="145">
        <f>IF(SER_hh_fech!R27=0,0,SER_hh_fech!R27/SER_summary!R$26)</f>
        <v>7.1053488883362118E-2</v>
      </c>
      <c r="S27" s="145">
        <f>IF(SER_hh_fech!S27=0,0,SER_hh_fech!S27/SER_summary!S$26)</f>
        <v>7.2395678094288471E-2</v>
      </c>
      <c r="T27" s="145">
        <f>IF(SER_hh_fech!T27=0,0,SER_hh_fech!T27/SER_summary!T$26)</f>
        <v>7.9991954737058266E-2</v>
      </c>
      <c r="U27" s="145">
        <f>IF(SER_hh_fech!U27=0,0,SER_hh_fech!U27/SER_summary!U$26)</f>
        <v>7.6944368008449213E-2</v>
      </c>
      <c r="V27" s="145">
        <f>IF(SER_hh_fech!V27=0,0,SER_hh_fech!V27/SER_summary!V$26)</f>
        <v>8.0759085463686334E-2</v>
      </c>
      <c r="W27" s="145">
        <f>IF(SER_hh_fech!W27=0,0,SER_hh_fech!W27/SER_summary!W$26)</f>
        <v>7.3342871704930077E-2</v>
      </c>
      <c r="X27" s="145">
        <f>IF(SER_hh_fech!X27=0,0,SER_hh_fech!X27/SER_summary!X$26)</f>
        <v>7.9776463332683969E-2</v>
      </c>
      <c r="Y27" s="145">
        <f>IF(SER_hh_fech!Y27=0,0,SER_hh_fech!Y27/SER_summary!Y$26)</f>
        <v>7.2274387690932265E-2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8.3109124684371185</v>
      </c>
      <c r="C28" s="146">
        <f>IF(SER_hh_fech!C28=0,0,SER_hh_fech!C28/SER_summary!C$26)</f>
        <v>8.4865852371045705</v>
      </c>
      <c r="D28" s="146">
        <f>IF(SER_hh_fech!D28=0,0,SER_hh_fech!D28/SER_summary!D$26)</f>
        <v>8.5923871471007729</v>
      </c>
      <c r="E28" s="146">
        <f>IF(SER_hh_fech!E28=0,0,SER_hh_fech!E28/SER_summary!E$26)</f>
        <v>8.7122226692884706</v>
      </c>
      <c r="F28" s="146">
        <f>IF(SER_hh_fech!F28=0,0,SER_hh_fech!F28/SER_summary!F$26)</f>
        <v>8.5650423217419096</v>
      </c>
      <c r="G28" s="146">
        <f>IF(SER_hh_fech!G28=0,0,SER_hh_fech!G28/SER_summary!G$26)</f>
        <v>8.3594711106800332</v>
      </c>
      <c r="H28" s="146">
        <f>IF(SER_hh_fech!H28=0,0,SER_hh_fech!H28/SER_summary!H$26)</f>
        <v>8.3221605178200324</v>
      </c>
      <c r="I28" s="146">
        <f>IF(SER_hh_fech!I28=0,0,SER_hh_fech!I28/SER_summary!I$26)</f>
        <v>7.9436620231517638</v>
      </c>
      <c r="J28" s="146">
        <f>IF(SER_hh_fech!J28=0,0,SER_hh_fech!J28/SER_summary!J$26)</f>
        <v>8.4941765143800652</v>
      </c>
      <c r="K28" s="146">
        <f>IF(SER_hh_fech!K28=0,0,SER_hh_fech!K28/SER_summary!K$26)</f>
        <v>8.4881631975357532</v>
      </c>
      <c r="L28" s="146">
        <f>IF(SER_hh_fech!L28=0,0,SER_hh_fech!L28/SER_summary!L$26)</f>
        <v>8.4934320950718245</v>
      </c>
      <c r="M28" s="146">
        <f>IF(SER_hh_fech!M28=0,0,SER_hh_fech!M28/SER_summary!M$26)</f>
        <v>8.8534445163734841</v>
      </c>
      <c r="N28" s="146">
        <f>IF(SER_hh_fech!N28=0,0,SER_hh_fech!N28/SER_summary!N$26)</f>
        <v>9.0459392954600766</v>
      </c>
      <c r="O28" s="146">
        <f>IF(SER_hh_fech!O28=0,0,SER_hh_fech!O28/SER_summary!O$26)</f>
        <v>10.304775538984886</v>
      </c>
      <c r="P28" s="146">
        <f>IF(SER_hh_fech!P28=0,0,SER_hh_fech!P28/SER_summary!P$26)</f>
        <v>10.732397667976299</v>
      </c>
      <c r="Q28" s="146">
        <f>IF(SER_hh_fech!Q28=0,0,SER_hh_fech!Q28/SER_summary!Q$26)</f>
        <v>10.354570688821434</v>
      </c>
      <c r="R28" s="146">
        <f>IF(SER_hh_fech!R28=0,0,SER_hh_fech!R28/SER_summary!R$26)</f>
        <v>9.3430537172022952</v>
      </c>
      <c r="S28" s="146">
        <f>IF(SER_hh_fech!S28=0,0,SER_hh_fech!S28/SER_summary!S$26)</f>
        <v>9.0514612401187193</v>
      </c>
      <c r="T28" s="146">
        <f>IF(SER_hh_fech!T28=0,0,SER_hh_fech!T28/SER_summary!T$26)</f>
        <v>9.6839930170036208</v>
      </c>
      <c r="U28" s="146">
        <f>IF(SER_hh_fech!U28=0,0,SER_hh_fech!U28/SER_summary!U$26)</f>
        <v>9.2112504535363264</v>
      </c>
      <c r="V28" s="146">
        <f>IF(SER_hh_fech!V28=0,0,SER_hh_fech!V28/SER_summary!V$26)</f>
        <v>10.533872909600872</v>
      </c>
      <c r="W28" s="146">
        <f>IF(SER_hh_fech!W28=0,0,SER_hh_fech!W28/SER_summary!W$26)</f>
        <v>11.662795421862054</v>
      </c>
      <c r="X28" s="146">
        <f>IF(SER_hh_fech!X28=0,0,SER_hh_fech!X28/SER_summary!X$26)</f>
        <v>10.372764162729087</v>
      </c>
      <c r="Y28" s="146">
        <f>IF(SER_hh_fech!Y28=0,0,SER_hh_fech!Y28/SER_summary!Y$26)</f>
        <v>9.9644263169846745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16.969849827356466</v>
      </c>
      <c r="C29" s="130">
        <f>IF(SER_hh_fech!C29=0,0,SER_hh_fech!C29/SER_summary!C$26)</f>
        <v>17.324019522825697</v>
      </c>
      <c r="D29" s="130">
        <f>IF(SER_hh_fech!D29=0,0,SER_hh_fech!D29/SER_summary!D$26)</f>
        <v>17.675558969120441</v>
      </c>
      <c r="E29" s="130">
        <f>IF(SER_hh_fech!E29=0,0,SER_hh_fech!E29/SER_summary!E$26)</f>
        <v>17.80896777564999</v>
      </c>
      <c r="F29" s="130">
        <f>IF(SER_hh_fech!F29=0,0,SER_hh_fech!F29/SER_summary!F$26)</f>
        <v>16.797560228614827</v>
      </c>
      <c r="G29" s="130">
        <f>IF(SER_hh_fech!G29=0,0,SER_hh_fech!G29/SER_summary!G$26)</f>
        <v>16.635337152154786</v>
      </c>
      <c r="H29" s="130">
        <f>IF(SER_hh_fech!H29=0,0,SER_hh_fech!H29/SER_summary!H$26)</f>
        <v>16.65085594544659</v>
      </c>
      <c r="I29" s="130">
        <f>IF(SER_hh_fech!I29=0,0,SER_hh_fech!I29/SER_summary!I$26)</f>
        <v>16.990771631967213</v>
      </c>
      <c r="J29" s="130">
        <f>IF(SER_hh_fech!J29=0,0,SER_hh_fech!J29/SER_summary!J$26)</f>
        <v>17.181951791369237</v>
      </c>
      <c r="K29" s="130">
        <f>IF(SER_hh_fech!K29=0,0,SER_hh_fech!K29/SER_summary!K$26)</f>
        <v>17.550520219582218</v>
      </c>
      <c r="L29" s="130">
        <f>IF(SER_hh_fech!L29=0,0,SER_hh_fech!L29/SER_summary!L$26)</f>
        <v>17.560256997384496</v>
      </c>
      <c r="M29" s="130">
        <f>IF(SER_hh_fech!M29=0,0,SER_hh_fech!M29/SER_summary!M$26)</f>
        <v>17.620439683254077</v>
      </c>
      <c r="N29" s="130">
        <f>IF(SER_hh_fech!N29=0,0,SER_hh_fech!N29/SER_summary!N$26)</f>
        <v>18.153628821572251</v>
      </c>
      <c r="O29" s="130">
        <f>IF(SER_hh_fech!O29=0,0,SER_hh_fech!O29/SER_summary!O$26)</f>
        <v>18.292452900596828</v>
      </c>
      <c r="P29" s="130">
        <f>IF(SER_hh_fech!P29=0,0,SER_hh_fech!P29/SER_summary!P$26)</f>
        <v>18.928937475808063</v>
      </c>
      <c r="Q29" s="130">
        <f>IF(SER_hh_fech!Q29=0,0,SER_hh_fech!Q29/SER_summary!Q$26)</f>
        <v>19.424146893193214</v>
      </c>
      <c r="R29" s="130">
        <f>IF(SER_hh_fech!R29=0,0,SER_hh_fech!R29/SER_summary!R$26)</f>
        <v>19.566514603268935</v>
      </c>
      <c r="S29" s="130">
        <f>IF(SER_hh_fech!S29=0,0,SER_hh_fech!S29/SER_summary!S$26)</f>
        <v>19.62348407522137</v>
      </c>
      <c r="T29" s="130">
        <f>IF(SER_hh_fech!T29=0,0,SER_hh_fech!T29/SER_summary!T$26)</f>
        <v>19.610545155106809</v>
      </c>
      <c r="U29" s="130">
        <f>IF(SER_hh_fech!U29=0,0,SER_hh_fech!U29/SER_summary!U$26)</f>
        <v>18.957623790354798</v>
      </c>
      <c r="V29" s="130">
        <f>IF(SER_hh_fech!V29=0,0,SER_hh_fech!V29/SER_summary!V$26)</f>
        <v>17.984313710021439</v>
      </c>
      <c r="W29" s="130">
        <f>IF(SER_hh_fech!W29=0,0,SER_hh_fech!W29/SER_summary!W$26)</f>
        <v>18.37380074765289</v>
      </c>
      <c r="X29" s="130">
        <f>IF(SER_hh_fech!X29=0,0,SER_hh_fech!X29/SER_summary!X$26)</f>
        <v>18.499093172594687</v>
      </c>
      <c r="Y29" s="130">
        <f>IF(SER_hh_fech!Y29=0,0,SER_hh_fech!Y29/SER_summary!Y$26)</f>
        <v>18.513576781899662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18.323714603009854</v>
      </c>
      <c r="C30" s="132">
        <f>IF(SER_hh_fech!C30=0,0,SER_hh_fech!C30/SER_summary!C$26)</f>
        <v>19.716933582014303</v>
      </c>
      <c r="D30" s="132">
        <f>IF(SER_hh_fech!D30=0,0,SER_hh_fech!D30/SER_summary!D$26)</f>
        <v>18.591331949587317</v>
      </c>
      <c r="E30" s="132">
        <f>IF(SER_hh_fech!E30=0,0,SER_hh_fech!E30/SER_summary!E$26)</f>
        <v>18.094337337691275</v>
      </c>
      <c r="F30" s="132">
        <f>IF(SER_hh_fech!F30=0,0,SER_hh_fech!F30/SER_summary!F$26)</f>
        <v>24.635145739808632</v>
      </c>
      <c r="G30" s="132">
        <f>IF(SER_hh_fech!G30=0,0,SER_hh_fech!G30/SER_summary!G$26)</f>
        <v>9.3816885586455427</v>
      </c>
      <c r="H30" s="132">
        <f>IF(SER_hh_fech!H30=0,0,SER_hh_fech!H30/SER_summary!H$26)</f>
        <v>13.253706272339901</v>
      </c>
      <c r="I30" s="132">
        <f>IF(SER_hh_fech!I30=0,0,SER_hh_fech!I30/SER_summary!I$26)</f>
        <v>17.720813714919288</v>
      </c>
      <c r="J30" s="132">
        <f>IF(SER_hh_fech!J30=0,0,SER_hh_fech!J30/SER_summary!J$26)</f>
        <v>20.793804007375446</v>
      </c>
      <c r="K30" s="132">
        <f>IF(SER_hh_fech!K30=0,0,SER_hh_fech!K30/SER_summary!K$26)</f>
        <v>20.159975559213649</v>
      </c>
      <c r="L30" s="132">
        <f>IF(SER_hh_fech!L30=0,0,SER_hh_fech!L30/SER_summary!L$26)</f>
        <v>24.174546398514511</v>
      </c>
      <c r="M30" s="132">
        <f>IF(SER_hh_fech!M30=0,0,SER_hh_fech!M30/SER_summary!M$26)</f>
        <v>18.384480981604032</v>
      </c>
      <c r="N30" s="132">
        <f>IF(SER_hh_fech!N30=0,0,SER_hh_fech!N30/SER_summary!N$26)</f>
        <v>20.724966029677752</v>
      </c>
      <c r="O30" s="132">
        <f>IF(SER_hh_fech!O30=0,0,SER_hh_fech!O30/SER_summary!O$26)</f>
        <v>22.601708761749773</v>
      </c>
      <c r="P30" s="132">
        <f>IF(SER_hh_fech!P30=0,0,SER_hh_fech!P30/SER_summary!P$26)</f>
        <v>17.622508207141493</v>
      </c>
      <c r="Q30" s="132">
        <f>IF(SER_hh_fech!Q30=0,0,SER_hh_fech!Q30/SER_summary!Q$26)</f>
        <v>27.851983386969984</v>
      </c>
      <c r="R30" s="132">
        <f>IF(SER_hh_fech!R30=0,0,SER_hh_fech!R30/SER_summary!R$26)</f>
        <v>21.271614450402666</v>
      </c>
      <c r="S30" s="132">
        <f>IF(SER_hh_fech!S30=0,0,SER_hh_fech!S30/SER_summary!S$26)</f>
        <v>23.827399501758883</v>
      </c>
      <c r="T30" s="132">
        <f>IF(SER_hh_fech!T30=0,0,SER_hh_fech!T30/SER_summary!T$26)</f>
        <v>22.23013993678671</v>
      </c>
      <c r="U30" s="132">
        <f>IF(SER_hh_fech!U30=0,0,SER_hh_fech!U30/SER_summary!U$26)</f>
        <v>21.548878426969278</v>
      </c>
      <c r="V30" s="132">
        <f>IF(SER_hh_fech!V30=0,0,SER_hh_fech!V30/SER_summary!V$26)</f>
        <v>23.939092407146383</v>
      </c>
      <c r="W30" s="132">
        <f>IF(SER_hh_fech!W30=0,0,SER_hh_fech!W30/SER_summary!W$26)</f>
        <v>25.680351375009771</v>
      </c>
      <c r="X30" s="132">
        <f>IF(SER_hh_fech!X30=0,0,SER_hh_fech!X30/SER_summary!X$26)</f>
        <v>20.164461074397813</v>
      </c>
      <c r="Y30" s="132">
        <f>IF(SER_hh_fech!Y30=0,0,SER_hh_fech!Y30/SER_summary!Y$26)</f>
        <v>23.268318596251554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18.064198284512422</v>
      </c>
      <c r="C31" s="132">
        <f>IF(SER_hh_fech!C31=0,0,SER_hh_fech!C31/SER_summary!C$26)</f>
        <v>18.253113391023685</v>
      </c>
      <c r="D31" s="132">
        <f>IF(SER_hh_fech!D31=0,0,SER_hh_fech!D31/SER_summary!D$26)</f>
        <v>18.859271108375243</v>
      </c>
      <c r="E31" s="132">
        <f>IF(SER_hh_fech!E31=0,0,SER_hh_fech!E31/SER_summary!E$26)</f>
        <v>19.205702258528873</v>
      </c>
      <c r="F31" s="132">
        <f>IF(SER_hh_fech!F31=0,0,SER_hh_fech!F31/SER_summary!F$26)</f>
        <v>18.957915264394217</v>
      </c>
      <c r="G31" s="132">
        <f>IF(SER_hh_fech!G31=0,0,SER_hh_fech!G31/SER_summary!G$26)</f>
        <v>19.10431592301348</v>
      </c>
      <c r="H31" s="132">
        <f>IF(SER_hh_fech!H31=0,0,SER_hh_fech!H31/SER_summary!H$26)</f>
        <v>19.094379302137948</v>
      </c>
      <c r="I31" s="132">
        <f>IF(SER_hh_fech!I31=0,0,SER_hh_fech!I31/SER_summary!I$26)</f>
        <v>19.452074837815683</v>
      </c>
      <c r="J31" s="132">
        <f>IF(SER_hh_fech!J31=0,0,SER_hh_fech!J31/SER_summary!J$26)</f>
        <v>19.844480486051051</v>
      </c>
      <c r="K31" s="132">
        <f>IF(SER_hh_fech!K31=0,0,SER_hh_fech!K31/SER_summary!K$26)</f>
        <v>20.033502065711367</v>
      </c>
      <c r="L31" s="132">
        <f>IF(SER_hh_fech!L31=0,0,SER_hh_fech!L31/SER_summary!L$26)</f>
        <v>20.197604442606213</v>
      </c>
      <c r="M31" s="132">
        <f>IF(SER_hh_fech!M31=0,0,SER_hh_fech!M31/SER_summary!M$26)</f>
        <v>20.488385533958422</v>
      </c>
      <c r="N31" s="132">
        <f>IF(SER_hh_fech!N31=0,0,SER_hh_fech!N31/SER_summary!N$26)</f>
        <v>21.124563000139982</v>
      </c>
      <c r="O31" s="132">
        <f>IF(SER_hh_fech!O31=0,0,SER_hh_fech!O31/SER_summary!O$26)</f>
        <v>21.584203224999211</v>
      </c>
      <c r="P31" s="132">
        <f>IF(SER_hh_fech!P31=0,0,SER_hh_fech!P31/SER_summary!P$26)</f>
        <v>22.022622787208363</v>
      </c>
      <c r="Q31" s="132">
        <f>IF(SER_hh_fech!Q31=0,0,SER_hh_fech!Q31/SER_summary!Q$26)</f>
        <v>22.612749109830819</v>
      </c>
      <c r="R31" s="132">
        <f>IF(SER_hh_fech!R31=0,0,SER_hh_fech!R31/SER_summary!R$26)</f>
        <v>23.024607119461912</v>
      </c>
      <c r="S31" s="132">
        <f>IF(SER_hh_fech!S31=0,0,SER_hh_fech!S31/SER_summary!S$26)</f>
        <v>23.098868053894954</v>
      </c>
      <c r="T31" s="132">
        <f>IF(SER_hh_fech!T31=0,0,SER_hh_fech!T31/SER_summary!T$26)</f>
        <v>23.016677690863357</v>
      </c>
      <c r="U31" s="132">
        <f>IF(SER_hh_fech!U31=0,0,SER_hh_fech!U31/SER_summary!U$26)</f>
        <v>22.892751832267027</v>
      </c>
      <c r="V31" s="132">
        <f>IF(SER_hh_fech!V31=0,0,SER_hh_fech!V31/SER_summary!V$26)</f>
        <v>22.132004805618404</v>
      </c>
      <c r="W31" s="132">
        <f>IF(SER_hh_fech!W31=0,0,SER_hh_fech!W31/SER_summary!W$26)</f>
        <v>21.198074139244504</v>
      </c>
      <c r="X31" s="132">
        <f>IF(SER_hh_fech!X31=0,0,SER_hh_fech!X31/SER_summary!X$26)</f>
        <v>23.355401158933805</v>
      </c>
      <c r="Y31" s="132">
        <f>IF(SER_hh_fech!Y31=0,0,SER_hh_fech!Y31/SER_summary!Y$26)</f>
        <v>22.155947143221585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26.472377473782583</v>
      </c>
      <c r="K32" s="132">
        <f>IF(SER_hh_fech!K32=0,0,SER_hh_fech!K32/SER_summary!K$26)</f>
        <v>15.370911632550444</v>
      </c>
      <c r="L32" s="132">
        <f>IF(SER_hh_fech!L32=0,0,SER_hh_fech!L32/SER_summary!L$26)</f>
        <v>26.619658545525368</v>
      </c>
      <c r="M32" s="132">
        <f>IF(SER_hh_fech!M32=0,0,SER_hh_fech!M32/SER_summary!M$26)</f>
        <v>25.165500557684719</v>
      </c>
      <c r="N32" s="132">
        <f>IF(SER_hh_fech!N32=0,0,SER_hh_fech!N32/SER_summary!N$26)</f>
        <v>13.367631127263881</v>
      </c>
      <c r="O32" s="132">
        <f>IF(SER_hh_fech!O32=0,0,SER_hh_fech!O32/SER_summary!O$26)</f>
        <v>20.948820612538398</v>
      </c>
      <c r="P32" s="132">
        <f>IF(SER_hh_fech!P32=0,0,SER_hh_fech!P32/SER_summary!P$26)</f>
        <v>24.795080475360095</v>
      </c>
      <c r="Q32" s="132">
        <f>IF(SER_hh_fech!Q32=0,0,SER_hh_fech!Q32/SER_summary!Q$26)</f>
        <v>25.398788708392168</v>
      </c>
      <c r="R32" s="132">
        <f>IF(SER_hh_fech!R32=0,0,SER_hh_fech!R32/SER_summary!R$26)</f>
        <v>24.789770986351332</v>
      </c>
      <c r="S32" s="132">
        <f>IF(SER_hh_fech!S32=0,0,SER_hh_fech!S32/SER_summary!S$26)</f>
        <v>23.972426669575217</v>
      </c>
      <c r="T32" s="132">
        <f>IF(SER_hh_fech!T32=0,0,SER_hh_fech!T32/SER_summary!T$26)</f>
        <v>25.051555572917895</v>
      </c>
      <c r="U32" s="132">
        <f>IF(SER_hh_fech!U32=0,0,SER_hh_fech!U32/SER_summary!U$26)</f>
        <v>31.911706679577922</v>
      </c>
      <c r="V32" s="132">
        <f>IF(SER_hh_fech!V32=0,0,SER_hh_fech!V32/SER_summary!V$26)</f>
        <v>11.084985128356193</v>
      </c>
      <c r="W32" s="132">
        <f>IF(SER_hh_fech!W32=0,0,SER_hh_fech!W32/SER_summary!W$26)</f>
        <v>17.224267733802979</v>
      </c>
      <c r="X32" s="132">
        <f>IF(SER_hh_fech!X32=0,0,SER_hh_fech!X32/SER_summary!X$26)</f>
        <v>21.693722166625591</v>
      </c>
      <c r="Y32" s="132">
        <f>IF(SER_hh_fech!Y32=0,0,SER_hh_fech!Y32/SER_summary!Y$26)</f>
        <v>23.933788538526258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12.898846475726785</v>
      </c>
      <c r="C33" s="68">
        <f>IF(SER_hh_fech!C33=0,0,SER_hh_fech!C33/SER_summary!C$26)</f>
        <v>13.382023212420094</v>
      </c>
      <c r="D33" s="68">
        <f>IF(SER_hh_fech!D33=0,0,SER_hh_fech!D33/SER_summary!D$26)</f>
        <v>15.510173222663411</v>
      </c>
      <c r="E33" s="68">
        <f>IF(SER_hh_fech!E33=0,0,SER_hh_fech!E33/SER_summary!E$26)</f>
        <v>15.99816791496348</v>
      </c>
      <c r="F33" s="68">
        <f>IF(SER_hh_fech!F33=0,0,SER_hh_fech!F33/SER_summary!F$26)</f>
        <v>12.674102857613249</v>
      </c>
      <c r="G33" s="68">
        <f>IF(SER_hh_fech!G33=0,0,SER_hh_fech!G33/SER_summary!G$26)</f>
        <v>14.935362408678264</v>
      </c>
      <c r="H33" s="68">
        <f>IF(SER_hh_fech!H33=0,0,SER_hh_fech!H33/SER_summary!H$26)</f>
        <v>14.60903478223468</v>
      </c>
      <c r="I33" s="68">
        <f>IF(SER_hh_fech!I33=0,0,SER_hh_fech!I33/SER_summary!I$26)</f>
        <v>14.881261461079246</v>
      </c>
      <c r="J33" s="68">
        <f>IF(SER_hh_fech!J33=0,0,SER_hh_fech!J33/SER_summary!J$26)</f>
        <v>14.828524395511044</v>
      </c>
      <c r="K33" s="68">
        <f>IF(SER_hh_fech!K33=0,0,SER_hh_fech!K33/SER_summary!K$26)</f>
        <v>15.404698193967292</v>
      </c>
      <c r="L33" s="68">
        <f>IF(SER_hh_fech!L33=0,0,SER_hh_fech!L33/SER_summary!L$26)</f>
        <v>15.111372585537138</v>
      </c>
      <c r="M33" s="68">
        <f>IF(SER_hh_fech!M33=0,0,SER_hh_fech!M33/SER_summary!M$26)</f>
        <v>15.355729085010655</v>
      </c>
      <c r="N33" s="68">
        <f>IF(SER_hh_fech!N33=0,0,SER_hh_fech!N33/SER_summary!N$26)</f>
        <v>15.845849264913607</v>
      </c>
      <c r="O33" s="68">
        <f>IF(SER_hh_fech!O33=0,0,SER_hh_fech!O33/SER_summary!O$26)</f>
        <v>15.704600436331502</v>
      </c>
      <c r="P33" s="68">
        <f>IF(SER_hh_fech!P33=0,0,SER_hh_fech!P33/SER_summary!P$26)</f>
        <v>16.810105530050468</v>
      </c>
      <c r="Q33" s="68">
        <f>IF(SER_hh_fech!Q33=0,0,SER_hh_fech!Q33/SER_summary!Q$26)</f>
        <v>16.872698990295177</v>
      </c>
      <c r="R33" s="68">
        <f>IF(SER_hh_fech!R33=0,0,SER_hh_fech!R33/SER_summary!R$26)</f>
        <v>17.243568351112202</v>
      </c>
      <c r="S33" s="68">
        <f>IF(SER_hh_fech!S33=0,0,SER_hh_fech!S33/SER_summary!S$26)</f>
        <v>17.219858459961117</v>
      </c>
      <c r="T33" s="68">
        <f>IF(SER_hh_fech!T33=0,0,SER_hh_fech!T33/SER_summary!T$26)</f>
        <v>17.330602784914085</v>
      </c>
      <c r="U33" s="68">
        <f>IF(SER_hh_fech!U33=0,0,SER_hh_fech!U33/SER_summary!U$26)</f>
        <v>16.302317824410014</v>
      </c>
      <c r="V33" s="68">
        <f>IF(SER_hh_fech!V33=0,0,SER_hh_fech!V33/SER_summary!V$26)</f>
        <v>15.157863777265437</v>
      </c>
      <c r="W33" s="68">
        <f>IF(SER_hh_fech!W33=0,0,SER_hh_fech!W33/SER_summary!W$26)</f>
        <v>16.369114661331576</v>
      </c>
      <c r="X33" s="68">
        <f>IF(SER_hh_fech!X33=0,0,SER_hh_fech!X33/SER_summary!X$26)</f>
        <v>15.744872268111099</v>
      </c>
      <c r="Y33" s="68">
        <f>IF(SER_hh_fech!Y33=0,0,SER_hh_fech!Y33/SER_summary!Y$26)</f>
        <v>16.381371271066776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109.07631908476471</v>
      </c>
      <c r="C3" s="125">
        <f>IF(SER_hh_tesh!C3=0,0,SER_hh_tesh!C3/SER_summary!C$26)</f>
        <v>114.49596714483053</v>
      </c>
      <c r="D3" s="125">
        <f>IF(SER_hh_tesh!D3=0,0,SER_hh_tesh!D3/SER_summary!D$26)</f>
        <v>112.28401099182716</v>
      </c>
      <c r="E3" s="125">
        <f>IF(SER_hh_tesh!E3=0,0,SER_hh_tesh!E3/SER_summary!E$26)</f>
        <v>118.675715682937</v>
      </c>
      <c r="F3" s="125">
        <f>IF(SER_hh_tesh!F3=0,0,SER_hh_tesh!F3/SER_summary!F$26)</f>
        <v>145.01679034021626</v>
      </c>
      <c r="G3" s="125">
        <f>IF(SER_hh_tesh!G3=0,0,SER_hh_tesh!G3/SER_summary!G$26)</f>
        <v>143.95096054934035</v>
      </c>
      <c r="H3" s="125">
        <f>IF(SER_hh_tesh!H3=0,0,SER_hh_tesh!H3/SER_summary!H$26)</f>
        <v>138.1754445187359</v>
      </c>
      <c r="I3" s="125">
        <f>IF(SER_hh_tesh!I3=0,0,SER_hh_tesh!I3/SER_summary!I$26)</f>
        <v>128.76303027279278</v>
      </c>
      <c r="J3" s="125">
        <f>IF(SER_hh_tesh!J3=0,0,SER_hh_tesh!J3/SER_summary!J$26)</f>
        <v>141.70829231160843</v>
      </c>
      <c r="K3" s="125">
        <f>IF(SER_hh_tesh!K3=0,0,SER_hh_tesh!K3/SER_summary!K$26)</f>
        <v>142.09696366896944</v>
      </c>
      <c r="L3" s="125">
        <f>IF(SER_hh_tesh!L3=0,0,SER_hh_tesh!L3/SER_summary!L$26)</f>
        <v>150.30057732594952</v>
      </c>
      <c r="M3" s="125">
        <f>IF(SER_hh_tesh!M3=0,0,SER_hh_tesh!M3/SER_summary!M$26)</f>
        <v>129.20665354135417</v>
      </c>
      <c r="N3" s="125">
        <f>IF(SER_hh_tesh!N3=0,0,SER_hh_tesh!N3/SER_summary!N$26)</f>
        <v>138.10374696381683</v>
      </c>
      <c r="O3" s="125">
        <f>IF(SER_hh_tesh!O3=0,0,SER_hh_tesh!O3/SER_summary!O$26)</f>
        <v>149.00502005058084</v>
      </c>
      <c r="P3" s="125">
        <f>IF(SER_hh_tesh!P3=0,0,SER_hh_tesh!P3/SER_summary!P$26)</f>
        <v>125.68625298352369</v>
      </c>
      <c r="Q3" s="125">
        <f>IF(SER_hh_tesh!Q3=0,0,SER_hh_tesh!Q3/SER_summary!Q$26)</f>
        <v>140.827878042397</v>
      </c>
      <c r="R3" s="125">
        <f>IF(SER_hh_tesh!R3=0,0,SER_hh_tesh!R3/SER_summary!R$26)</f>
        <v>142.85358795577889</v>
      </c>
      <c r="S3" s="125">
        <f>IF(SER_hh_tesh!S3=0,0,SER_hh_tesh!S3/SER_summary!S$26)</f>
        <v>142.81981507149928</v>
      </c>
      <c r="T3" s="125">
        <f>IF(SER_hh_tesh!T3=0,0,SER_hh_tesh!T3/SER_summary!T$26)</f>
        <v>147.30501409820315</v>
      </c>
      <c r="U3" s="125">
        <f>IF(SER_hh_tesh!U3=0,0,SER_hh_tesh!U3/SER_summary!U$26)</f>
        <v>142.5501676637862</v>
      </c>
      <c r="V3" s="125">
        <f>IF(SER_hh_tesh!V3=0,0,SER_hh_tesh!V3/SER_summary!V$26)</f>
        <v>140.53718119673897</v>
      </c>
      <c r="W3" s="125">
        <f>IF(SER_hh_tesh!W3=0,0,SER_hh_tesh!W3/SER_summary!W$26)</f>
        <v>147.91747630911226</v>
      </c>
      <c r="X3" s="125">
        <f>IF(SER_hh_tesh!X3=0,0,SER_hh_tesh!X3/SER_summary!X$26)</f>
        <v>131.32935850805961</v>
      </c>
      <c r="Y3" s="125">
        <f>IF(SER_hh_tesh!Y3=0,0,SER_hh_tesh!Y3/SER_summary!Y$26)</f>
        <v>125.64012679860767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81.647005514722494</v>
      </c>
      <c r="C4" s="130">
        <f>IF(SER_hh_tesh!C4=0,0,SER_hh_tesh!C4/SER_summary!C$26)</f>
        <v>86.082700212832705</v>
      </c>
      <c r="D4" s="130">
        <f>IF(SER_hh_tesh!D4=0,0,SER_hh_tesh!D4/SER_summary!D$26)</f>
        <v>82.038632059741857</v>
      </c>
      <c r="E4" s="130">
        <f>IF(SER_hh_tesh!E4=0,0,SER_hh_tesh!E4/SER_summary!E$26)</f>
        <v>86.06777122370184</v>
      </c>
      <c r="F4" s="130">
        <f>IF(SER_hh_tesh!F4=0,0,SER_hh_tesh!F4/SER_summary!F$26)</f>
        <v>114.47811749400577</v>
      </c>
      <c r="G4" s="130">
        <f>IF(SER_hh_tesh!G4=0,0,SER_hh_tesh!G4/SER_summary!G$26)</f>
        <v>112.26787112111106</v>
      </c>
      <c r="H4" s="130">
        <f>IF(SER_hh_tesh!H4=0,0,SER_hh_tesh!H4/SER_summary!H$26)</f>
        <v>103.71826376800949</v>
      </c>
      <c r="I4" s="130">
        <f>IF(SER_hh_tesh!I4=0,0,SER_hh_tesh!I4/SER_summary!I$26)</f>
        <v>94.585527275115041</v>
      </c>
      <c r="J4" s="130">
        <f>IF(SER_hh_tesh!J4=0,0,SER_hh_tesh!J4/SER_summary!J$26)</f>
        <v>106.34014004499521</v>
      </c>
      <c r="K4" s="130">
        <f>IF(SER_hh_tesh!K4=0,0,SER_hh_tesh!K4/SER_summary!K$26)</f>
        <v>104.83175561680262</v>
      </c>
      <c r="L4" s="130">
        <f>IF(SER_hh_tesh!L4=0,0,SER_hh_tesh!L4/SER_summary!L$26)</f>
        <v>111.23340070976062</v>
      </c>
      <c r="M4" s="130">
        <f>IF(SER_hh_tesh!M4=0,0,SER_hh_tesh!M4/SER_summary!M$26)</f>
        <v>89.627219555168352</v>
      </c>
      <c r="N4" s="130">
        <f>IF(SER_hh_tesh!N4=0,0,SER_hh_tesh!N4/SER_summary!N$26)</f>
        <v>96.862483123934041</v>
      </c>
      <c r="O4" s="130">
        <f>IF(SER_hh_tesh!O4=0,0,SER_hh_tesh!O4/SER_summary!O$26)</f>
        <v>106.26760016254188</v>
      </c>
      <c r="P4" s="130">
        <f>IF(SER_hh_tesh!P4=0,0,SER_hh_tesh!P4/SER_summary!P$26)</f>
        <v>82.049659456448921</v>
      </c>
      <c r="Q4" s="130">
        <f>IF(SER_hh_tesh!Q4=0,0,SER_hh_tesh!Q4/SER_summary!Q$26)</f>
        <v>94.494054742433718</v>
      </c>
      <c r="R4" s="130">
        <f>IF(SER_hh_tesh!R4=0,0,SER_hh_tesh!R4/SER_summary!R$26)</f>
        <v>95.963775943085068</v>
      </c>
      <c r="S4" s="130">
        <f>IF(SER_hh_tesh!S4=0,0,SER_hh_tesh!S4/SER_summary!S$26)</f>
        <v>96.299581103491235</v>
      </c>
      <c r="T4" s="130">
        <f>IF(SER_hh_tesh!T4=0,0,SER_hh_tesh!T4/SER_summary!T$26)</f>
        <v>98.401369366781907</v>
      </c>
      <c r="U4" s="130">
        <f>IF(SER_hh_tesh!U4=0,0,SER_hh_tesh!U4/SER_summary!U$26)</f>
        <v>95.414610905492196</v>
      </c>
      <c r="V4" s="130">
        <f>IF(SER_hh_tesh!V4=0,0,SER_hh_tesh!V4/SER_summary!V$26)</f>
        <v>93.341882226263451</v>
      </c>
      <c r="W4" s="130">
        <f>IF(SER_hh_tesh!W4=0,0,SER_hh_tesh!W4/SER_summary!W$26)</f>
        <v>102.60636694691284</v>
      </c>
      <c r="X4" s="130">
        <f>IF(SER_hh_tesh!X4=0,0,SER_hh_tesh!X4/SER_summary!X$26)</f>
        <v>83.338059776500515</v>
      </c>
      <c r="Y4" s="130">
        <f>IF(SER_hh_tesh!Y4=0,0,SER_hh_tesh!Y4/SER_summary!Y$26)</f>
        <v>78.587251570824705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0</v>
      </c>
      <c r="C5" s="132">
        <f>IF(SER_hh_tesh!C5=0,0,SER_hh_tesh!C5/SER_summary!C$26)</f>
        <v>0</v>
      </c>
      <c r="D5" s="132">
        <f>IF(SER_hh_tesh!D5=0,0,SER_hh_tesh!D5/SER_summary!D$26)</f>
        <v>0</v>
      </c>
      <c r="E5" s="132">
        <f>IF(SER_hh_tesh!E5=0,0,SER_hh_tesh!E5/SER_summary!E$26)</f>
        <v>0</v>
      </c>
      <c r="F5" s="132">
        <f>IF(SER_hh_tesh!F5=0,0,SER_hh_tesh!F5/SER_summary!F$26)</f>
        <v>0</v>
      </c>
      <c r="G5" s="132">
        <f>IF(SER_hh_tesh!G5=0,0,SER_hh_tesh!G5/SER_summary!G$26)</f>
        <v>0</v>
      </c>
      <c r="H5" s="132">
        <f>IF(SER_hh_tesh!H5=0,0,SER_hh_tesh!H5/SER_summary!H$26)</f>
        <v>0</v>
      </c>
      <c r="I5" s="132">
        <f>IF(SER_hh_tesh!I5=0,0,SER_hh_tesh!I5/SER_summary!I$26)</f>
        <v>0</v>
      </c>
      <c r="J5" s="132">
        <f>IF(SER_hh_tesh!J5=0,0,SER_hh_tesh!J5/SER_summary!J$26)</f>
        <v>0</v>
      </c>
      <c r="K5" s="132">
        <f>IF(SER_hh_tesh!K5=0,0,SER_hh_tesh!K5/SER_summary!K$26)</f>
        <v>0</v>
      </c>
      <c r="L5" s="132">
        <f>IF(SER_hh_tesh!L5=0,0,SER_hh_tesh!L5/SER_summary!L$26)</f>
        <v>0</v>
      </c>
      <c r="M5" s="132">
        <f>IF(SER_hh_tesh!M5=0,0,SER_hh_tesh!M5/SER_summary!M$26)</f>
        <v>0</v>
      </c>
      <c r="N5" s="132">
        <f>IF(SER_hh_tesh!N5=0,0,SER_hh_tesh!N5/SER_summary!N$26)</f>
        <v>0</v>
      </c>
      <c r="O5" s="132">
        <f>IF(SER_hh_tesh!O5=0,0,SER_hh_tesh!O5/SER_summary!O$26)</f>
        <v>0</v>
      </c>
      <c r="P5" s="132">
        <f>IF(SER_hh_tesh!P5=0,0,SER_hh_tesh!P5/SER_summary!P$26)</f>
        <v>0</v>
      </c>
      <c r="Q5" s="132">
        <f>IF(SER_hh_tesh!Q5=0,0,SER_hh_tesh!Q5/SER_summary!Q$26)</f>
        <v>0</v>
      </c>
      <c r="R5" s="132">
        <f>IF(SER_hh_tesh!R5=0,0,SER_hh_tesh!R5/SER_summary!R$26)</f>
        <v>0</v>
      </c>
      <c r="S5" s="132">
        <f>IF(SER_hh_tesh!S5=0,0,SER_hh_tesh!S5/SER_summary!S$26)</f>
        <v>0</v>
      </c>
      <c r="T5" s="132">
        <f>IF(SER_hh_tesh!T5=0,0,SER_hh_tesh!T5/SER_summary!T$26)</f>
        <v>0</v>
      </c>
      <c r="U5" s="132">
        <f>IF(SER_hh_tesh!U5=0,0,SER_hh_tesh!U5/SER_summary!U$26)</f>
        <v>0</v>
      </c>
      <c r="V5" s="132">
        <f>IF(SER_hh_tesh!V5=0,0,SER_hh_tesh!V5/SER_summary!V$26)</f>
        <v>0</v>
      </c>
      <c r="W5" s="132">
        <f>IF(SER_hh_tesh!W5=0,0,SER_hh_tesh!W5/SER_summary!W$26)</f>
        <v>0</v>
      </c>
      <c r="X5" s="132">
        <f>IF(SER_hh_tesh!X5=0,0,SER_hh_tesh!X5/SER_summary!X$26)</f>
        <v>0</v>
      </c>
      <c r="Y5" s="132">
        <f>IF(SER_hh_tesh!Y5=0,0,SER_hh_tesh!Y5/SER_summary!Y$26)</f>
        <v>0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80.067662939341275</v>
      </c>
      <c r="C7" s="132">
        <f>IF(SER_hh_tesh!C7=0,0,SER_hh_tesh!C7/SER_summary!C$26)</f>
        <v>75.510501283585569</v>
      </c>
      <c r="D7" s="132">
        <f>IF(SER_hh_tesh!D7=0,0,SER_hh_tesh!D7/SER_summary!D$26)</f>
        <v>97.458229974602062</v>
      </c>
      <c r="E7" s="132">
        <f>IF(SER_hh_tesh!E7=0,0,SER_hh_tesh!E7/SER_summary!E$26)</f>
        <v>111.92111252747668</v>
      </c>
      <c r="F7" s="132">
        <f>IF(SER_hh_tesh!F7=0,0,SER_hh_tesh!F7/SER_summary!F$26)</f>
        <v>110.98215549722923</v>
      </c>
      <c r="G7" s="132">
        <f>IF(SER_hh_tesh!G7=0,0,SER_hh_tesh!G7/SER_summary!G$26)</f>
        <v>114.15571044341004</v>
      </c>
      <c r="H7" s="132">
        <f>IF(SER_hh_tesh!H7=0,0,SER_hh_tesh!H7/SER_summary!H$26)</f>
        <v>101.15927239406868</v>
      </c>
      <c r="I7" s="132">
        <f>IF(SER_hh_tesh!I7=0,0,SER_hh_tesh!I7/SER_summary!I$26)</f>
        <v>88.122645946136871</v>
      </c>
      <c r="J7" s="132">
        <f>IF(SER_hh_tesh!J7=0,0,SER_hh_tesh!J7/SER_summary!J$26)</f>
        <v>113.38835454904257</v>
      </c>
      <c r="K7" s="132">
        <f>IF(SER_hh_tesh!K7=0,0,SER_hh_tesh!K7/SER_summary!K$26)</f>
        <v>94.893484346556818</v>
      </c>
      <c r="L7" s="132">
        <f>IF(SER_hh_tesh!L7=0,0,SER_hh_tesh!L7/SER_summary!L$26)</f>
        <v>108.72195237120997</v>
      </c>
      <c r="M7" s="132">
        <f>IF(SER_hh_tesh!M7=0,0,SER_hh_tesh!M7/SER_summary!M$26)</f>
        <v>91.484929630568672</v>
      </c>
      <c r="N7" s="132">
        <f>IF(SER_hh_tesh!N7=0,0,SER_hh_tesh!N7/SER_summary!N$26)</f>
        <v>93.032881093059586</v>
      </c>
      <c r="O7" s="132">
        <f>IF(SER_hh_tesh!O7=0,0,SER_hh_tesh!O7/SER_summary!O$26)</f>
        <v>104.12677966538739</v>
      </c>
      <c r="P7" s="132">
        <f>IF(SER_hh_tesh!P7=0,0,SER_hh_tesh!P7/SER_summary!P$26)</f>
        <v>80.087938020387</v>
      </c>
      <c r="Q7" s="132">
        <f>IF(SER_hh_tesh!Q7=0,0,SER_hh_tesh!Q7/SER_summary!Q$26)</f>
        <v>97.559251764016409</v>
      </c>
      <c r="R7" s="132">
        <f>IF(SER_hh_tesh!R7=0,0,SER_hh_tesh!R7/SER_summary!R$26)</f>
        <v>91.720227186844468</v>
      </c>
      <c r="S7" s="132">
        <f>IF(SER_hh_tesh!S7=0,0,SER_hh_tesh!S7/SER_summary!S$26)</f>
        <v>96.882192390457888</v>
      </c>
      <c r="T7" s="132">
        <f>IF(SER_hh_tesh!T7=0,0,SER_hh_tesh!T7/SER_summary!T$26)</f>
        <v>100.71744238796622</v>
      </c>
      <c r="U7" s="132">
        <f>IF(SER_hh_tesh!U7=0,0,SER_hh_tesh!U7/SER_summary!U$26)</f>
        <v>86.897912748355438</v>
      </c>
      <c r="V7" s="132">
        <f>IF(SER_hh_tesh!V7=0,0,SER_hh_tesh!V7/SER_summary!V$26)</f>
        <v>101.98996860863893</v>
      </c>
      <c r="W7" s="132">
        <f>IF(SER_hh_tesh!W7=0,0,SER_hh_tesh!W7/SER_summary!W$26)</f>
        <v>88.324568213313682</v>
      </c>
      <c r="X7" s="132">
        <f>IF(SER_hh_tesh!X7=0,0,SER_hh_tesh!X7/SER_summary!X$26)</f>
        <v>76.160446636156877</v>
      </c>
      <c r="Y7" s="132">
        <f>IF(SER_hh_tesh!Y7=0,0,SER_hh_tesh!Y7/SER_summary!Y$26)</f>
        <v>79.120268168449655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78.635079477938632</v>
      </c>
      <c r="C8" s="132">
        <f>IF(SER_hh_tesh!C8=0,0,SER_hh_tesh!C8/SER_summary!C$26)</f>
        <v>83.704269654585858</v>
      </c>
      <c r="D8" s="132">
        <f>IF(SER_hh_tesh!D8=0,0,SER_hh_tesh!D8/SER_summary!D$26)</f>
        <v>86.353315684583876</v>
      </c>
      <c r="E8" s="132">
        <f>IF(SER_hh_tesh!E8=0,0,SER_hh_tesh!E8/SER_summary!E$26)</f>
        <v>89.202780605182539</v>
      </c>
      <c r="F8" s="132">
        <f>IF(SER_hh_tesh!F8=0,0,SER_hh_tesh!F8/SER_summary!F$26)</f>
        <v>106.85051853842118</v>
      </c>
      <c r="G8" s="132">
        <f>IF(SER_hh_tesh!G8=0,0,SER_hh_tesh!G8/SER_summary!G$26)</f>
        <v>104.7689042266186</v>
      </c>
      <c r="H8" s="132">
        <f>IF(SER_hh_tesh!H8=0,0,SER_hh_tesh!H8/SER_summary!H$26)</f>
        <v>105.94936040310617</v>
      </c>
      <c r="I8" s="132">
        <f>IF(SER_hh_tesh!I8=0,0,SER_hh_tesh!I8/SER_summary!I$26)</f>
        <v>93.944573850404069</v>
      </c>
      <c r="J8" s="132">
        <f>IF(SER_hh_tesh!J8=0,0,SER_hh_tesh!J8/SER_summary!J$26)</f>
        <v>102.57411429990378</v>
      </c>
      <c r="K8" s="132">
        <f>IF(SER_hh_tesh!K8=0,0,SER_hh_tesh!K8/SER_summary!K$26)</f>
        <v>105.19503281400617</v>
      </c>
      <c r="L8" s="132">
        <f>IF(SER_hh_tesh!L8=0,0,SER_hh_tesh!L8/SER_summary!L$26)</f>
        <v>105.67865360417423</v>
      </c>
      <c r="M8" s="132">
        <f>IF(SER_hh_tesh!M8=0,0,SER_hh_tesh!M8/SER_summary!M$26)</f>
        <v>87.117569705119337</v>
      </c>
      <c r="N8" s="132">
        <f>IF(SER_hh_tesh!N8=0,0,SER_hh_tesh!N8/SER_summary!N$26)</f>
        <v>96.607774516281609</v>
      </c>
      <c r="O8" s="132">
        <f>IF(SER_hh_tesh!O8=0,0,SER_hh_tesh!O8/SER_summary!O$26)</f>
        <v>107.79176700587671</v>
      </c>
      <c r="P8" s="132">
        <f>IF(SER_hh_tesh!P8=0,0,SER_hh_tesh!P8/SER_summary!P$26)</f>
        <v>82.895719992737739</v>
      </c>
      <c r="Q8" s="132">
        <f>IF(SER_hh_tesh!Q8=0,0,SER_hh_tesh!Q8/SER_summary!Q$26)</f>
        <v>94.220342386511163</v>
      </c>
      <c r="R8" s="132">
        <f>IF(SER_hh_tesh!R8=0,0,SER_hh_tesh!R8/SER_summary!R$26)</f>
        <v>97.625063753060061</v>
      </c>
      <c r="S8" s="132">
        <f>IF(SER_hh_tesh!S8=0,0,SER_hh_tesh!S8/SER_summary!S$26)</f>
        <v>94.592069444323315</v>
      </c>
      <c r="T8" s="132">
        <f>IF(SER_hh_tesh!T8=0,0,SER_hh_tesh!T8/SER_summary!T$26)</f>
        <v>94.553482819384215</v>
      </c>
      <c r="U8" s="132">
        <f>IF(SER_hh_tesh!U8=0,0,SER_hh_tesh!U8/SER_summary!U$26)</f>
        <v>93.718472900654902</v>
      </c>
      <c r="V8" s="132">
        <f>IF(SER_hh_tesh!V8=0,0,SER_hh_tesh!V8/SER_summary!V$26)</f>
        <v>85.508772392060891</v>
      </c>
      <c r="W8" s="132">
        <f>IF(SER_hh_tesh!W8=0,0,SER_hh_tesh!W8/SER_summary!W$26)</f>
        <v>78.936771671440681</v>
      </c>
      <c r="X8" s="132">
        <f>IF(SER_hh_tesh!X8=0,0,SER_hh_tesh!X8/SER_summary!X$26)</f>
        <v>85.283599132433679</v>
      </c>
      <c r="Y8" s="132">
        <f>IF(SER_hh_tesh!Y8=0,0,SER_hh_tesh!Y8/SER_summary!Y$26)</f>
        <v>85.895826993934477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77.562247219911768</v>
      </c>
      <c r="C9" s="132">
        <f>IF(SER_hh_tesh!C9=0,0,SER_hh_tesh!C9/SER_summary!C$26)</f>
        <v>86.642611565077104</v>
      </c>
      <c r="D9" s="132">
        <f>IF(SER_hh_tesh!D9=0,0,SER_hh_tesh!D9/SER_summary!D$26)</f>
        <v>80.988499515731689</v>
      </c>
      <c r="E9" s="132">
        <f>IF(SER_hh_tesh!E9=0,0,SER_hh_tesh!E9/SER_summary!E$26)</f>
        <v>85.983991441574418</v>
      </c>
      <c r="F9" s="132">
        <f>IF(SER_hh_tesh!F9=0,0,SER_hh_tesh!F9/SER_summary!F$26)</f>
        <v>94.515964456831412</v>
      </c>
      <c r="G9" s="132">
        <f>IF(SER_hh_tesh!G9=0,0,SER_hh_tesh!G9/SER_summary!G$26)</f>
        <v>100.30066287051449</v>
      </c>
      <c r="H9" s="132">
        <f>IF(SER_hh_tesh!H9=0,0,SER_hh_tesh!H9/SER_summary!H$26)</f>
        <v>102.08175893767039</v>
      </c>
      <c r="I9" s="132">
        <f>IF(SER_hh_tesh!I9=0,0,SER_hh_tesh!I9/SER_summary!I$26)</f>
        <v>91.493587138341397</v>
      </c>
      <c r="J9" s="132">
        <f>IF(SER_hh_tesh!J9=0,0,SER_hh_tesh!J9/SER_summary!J$26)</f>
        <v>102.07391747816359</v>
      </c>
      <c r="K9" s="132">
        <f>IF(SER_hh_tesh!K9=0,0,SER_hh_tesh!K9/SER_summary!K$26)</f>
        <v>106.24576062036377</v>
      </c>
      <c r="L9" s="132">
        <f>IF(SER_hh_tesh!L9=0,0,SER_hh_tesh!L9/SER_summary!L$26)</f>
        <v>112.08409675090748</v>
      </c>
      <c r="M9" s="132">
        <f>IF(SER_hh_tesh!M9=0,0,SER_hh_tesh!M9/SER_summary!M$26)</f>
        <v>84.987132684521413</v>
      </c>
      <c r="N9" s="132">
        <f>IF(SER_hh_tesh!N9=0,0,SER_hh_tesh!N9/SER_summary!N$26)</f>
        <v>96.627684762788931</v>
      </c>
      <c r="O9" s="132">
        <f>IF(SER_hh_tesh!O9=0,0,SER_hh_tesh!O9/SER_summary!O$26)</f>
        <v>107.11105270602208</v>
      </c>
      <c r="P9" s="132">
        <f>IF(SER_hh_tesh!P9=0,0,SER_hh_tesh!P9/SER_summary!P$26)</f>
        <v>79.144419393620794</v>
      </c>
      <c r="Q9" s="132">
        <f>IF(SER_hh_tesh!Q9=0,0,SER_hh_tesh!Q9/SER_summary!Q$26)</f>
        <v>91.253150996165189</v>
      </c>
      <c r="R9" s="132">
        <f>IF(SER_hh_tesh!R9=0,0,SER_hh_tesh!R9/SER_summary!R$26)</f>
        <v>96.396005248750626</v>
      </c>
      <c r="S9" s="132">
        <f>IF(SER_hh_tesh!S9=0,0,SER_hh_tesh!S9/SER_summary!S$26)</f>
        <v>95.00495961370585</v>
      </c>
      <c r="T9" s="132">
        <f>IF(SER_hh_tesh!T9=0,0,SER_hh_tesh!T9/SER_summary!T$26)</f>
        <v>96.310484653052711</v>
      </c>
      <c r="U9" s="132">
        <f>IF(SER_hh_tesh!U9=0,0,SER_hh_tesh!U9/SER_summary!U$26)</f>
        <v>95.027426204384824</v>
      </c>
      <c r="V9" s="132">
        <f>IF(SER_hh_tesh!V9=0,0,SER_hh_tesh!V9/SER_summary!V$26)</f>
        <v>89.098613790129818</v>
      </c>
      <c r="W9" s="132">
        <f>IF(SER_hh_tesh!W9=0,0,SER_hh_tesh!W9/SER_summary!W$26)</f>
        <v>106.36912439226569</v>
      </c>
      <c r="X9" s="132">
        <f>IF(SER_hh_tesh!X9=0,0,SER_hh_tesh!X9/SER_summary!X$26)</f>
        <v>81.731365628141774</v>
      </c>
      <c r="Y9" s="132">
        <f>IF(SER_hh_tesh!Y9=0,0,SER_hh_tesh!Y9/SER_summary!Y$26)</f>
        <v>77.10733850779441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81.500530479184775</v>
      </c>
      <c r="C10" s="132">
        <f>IF(SER_hh_tesh!C10=0,0,SER_hh_tesh!C10/SER_summary!C$26)</f>
        <v>78.84533647149911</v>
      </c>
      <c r="D10" s="132">
        <f>IF(SER_hh_tesh!D10=0,0,SER_hh_tesh!D10/SER_summary!D$26)</f>
        <v>5.9476951034164944</v>
      </c>
      <c r="E10" s="132">
        <f>IF(SER_hh_tesh!E10=0,0,SER_hh_tesh!E10/SER_summary!E$26)</f>
        <v>1.9348415285244063</v>
      </c>
      <c r="F10" s="132">
        <f>IF(SER_hh_tesh!F10=0,0,SER_hh_tesh!F10/SER_summary!F$26)</f>
        <v>141.43414869374763</v>
      </c>
      <c r="G10" s="132">
        <f>IF(SER_hh_tesh!G10=0,0,SER_hh_tesh!G10/SER_summary!G$26)</f>
        <v>124.83215521812845</v>
      </c>
      <c r="H10" s="132">
        <f>IF(SER_hh_tesh!H10=0,0,SER_hh_tesh!H10/SER_summary!H$26)</f>
        <v>112.42466419463204</v>
      </c>
      <c r="I10" s="132">
        <f>IF(SER_hh_tesh!I10=0,0,SER_hh_tesh!I10/SER_summary!I$26)</f>
        <v>128.10254240004497</v>
      </c>
      <c r="J10" s="132">
        <f>IF(SER_hh_tesh!J10=0,0,SER_hh_tesh!J10/SER_summary!J$26)</f>
        <v>55.561733402271933</v>
      </c>
      <c r="K10" s="132">
        <f>IF(SER_hh_tesh!K10=0,0,SER_hh_tesh!K10/SER_summary!K$26)</f>
        <v>28.667424293695738</v>
      </c>
      <c r="L10" s="132">
        <f>IF(SER_hh_tesh!L10=0,0,SER_hh_tesh!L10/SER_summary!L$26)</f>
        <v>97.977347247115844</v>
      </c>
      <c r="M10" s="132">
        <f>IF(SER_hh_tesh!M10=0,0,SER_hh_tesh!M10/SER_summary!M$26)</f>
        <v>62.13929200998124</v>
      </c>
      <c r="N10" s="132">
        <f>IF(SER_hh_tesh!N10=0,0,SER_hh_tesh!N10/SER_summary!N$26)</f>
        <v>77.866344921615138</v>
      </c>
      <c r="O10" s="132">
        <f>IF(SER_hh_tesh!O10=0,0,SER_hh_tesh!O10/SER_summary!O$26)</f>
        <v>98.411027388590824</v>
      </c>
      <c r="P10" s="132">
        <f>IF(SER_hh_tesh!P10=0,0,SER_hh_tesh!P10/SER_summary!P$26)</f>
        <v>95.620370148934796</v>
      </c>
      <c r="Q10" s="132">
        <f>IF(SER_hh_tesh!Q10=0,0,SER_hh_tesh!Q10/SER_summary!Q$26)</f>
        <v>98.272358757095105</v>
      </c>
      <c r="R10" s="132">
        <f>IF(SER_hh_tesh!R10=0,0,SER_hh_tesh!R10/SER_summary!R$26)</f>
        <v>96.800456848354841</v>
      </c>
      <c r="S10" s="132">
        <f>IF(SER_hh_tesh!S10=0,0,SER_hh_tesh!S10/SER_summary!S$26)</f>
        <v>94.625459558222047</v>
      </c>
      <c r="T10" s="132">
        <f>IF(SER_hh_tesh!T10=0,0,SER_hh_tesh!T10/SER_summary!T$26)</f>
        <v>94.452427583290643</v>
      </c>
      <c r="U10" s="132">
        <f>IF(SER_hh_tesh!U10=0,0,SER_hh_tesh!U10/SER_summary!U$26)</f>
        <v>97.589942951035823</v>
      </c>
      <c r="V10" s="132">
        <f>IF(SER_hh_tesh!V10=0,0,SER_hh_tesh!V10/SER_summary!V$26)</f>
        <v>96.078470409180113</v>
      </c>
      <c r="W10" s="132">
        <f>IF(SER_hh_tesh!W10=0,0,SER_hh_tesh!W10/SER_summary!W$26)</f>
        <v>92.14141899363473</v>
      </c>
      <c r="X10" s="132">
        <f>IF(SER_hh_tesh!X10=0,0,SER_hh_tesh!X10/SER_summary!X$26)</f>
        <v>85.886286226411585</v>
      </c>
      <c r="Y10" s="132">
        <f>IF(SER_hh_tesh!Y10=0,0,SER_hh_tesh!Y10/SER_summary!Y$26)</f>
        <v>74.376352787600794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0</v>
      </c>
      <c r="H11" s="132">
        <f>IF(SER_hh_tesh!H11=0,0,SER_hh_tesh!H11/SER_summary!H$26)</f>
        <v>0</v>
      </c>
      <c r="I11" s="132">
        <f>IF(SER_hh_tesh!I11=0,0,SER_hh_tesh!I11/SER_summary!I$26)</f>
        <v>0</v>
      </c>
      <c r="J11" s="132">
        <f>IF(SER_hh_tesh!J11=0,0,SER_hh_tesh!J11/SER_summary!J$26)</f>
        <v>0</v>
      </c>
      <c r="K11" s="132">
        <f>IF(SER_hh_tesh!K11=0,0,SER_hh_tesh!K11/SER_summary!K$26)</f>
        <v>0</v>
      </c>
      <c r="L11" s="132">
        <f>IF(SER_hh_tesh!L11=0,0,SER_hh_tesh!L11/SER_summary!L$26)</f>
        <v>0</v>
      </c>
      <c r="M11" s="132">
        <f>IF(SER_hh_tesh!M11=0,0,SER_hh_tesh!M11/SER_summary!M$26)</f>
        <v>0</v>
      </c>
      <c r="N11" s="132">
        <f>IF(SER_hh_tesh!N11=0,0,SER_hh_tesh!N11/SER_summary!N$26)</f>
        <v>0</v>
      </c>
      <c r="O11" s="132">
        <f>IF(SER_hh_tesh!O11=0,0,SER_hh_tesh!O11/SER_summary!O$26)</f>
        <v>0</v>
      </c>
      <c r="P11" s="132">
        <f>IF(SER_hh_tesh!P11=0,0,SER_hh_tesh!P11/SER_summary!P$26)</f>
        <v>0</v>
      </c>
      <c r="Q11" s="132">
        <f>IF(SER_hh_tesh!Q11=0,0,SER_hh_tesh!Q11/SER_summary!Q$26)</f>
        <v>0</v>
      </c>
      <c r="R11" s="132">
        <f>IF(SER_hh_tesh!R11=0,0,SER_hh_tesh!R11/SER_summary!R$26)</f>
        <v>0</v>
      </c>
      <c r="S11" s="132">
        <f>IF(SER_hh_tesh!S11=0,0,SER_hh_tesh!S11/SER_summary!S$26)</f>
        <v>0</v>
      </c>
      <c r="T11" s="132">
        <f>IF(SER_hh_tesh!T11=0,0,SER_hh_tesh!T11/SER_summary!T$26)</f>
        <v>0</v>
      </c>
      <c r="U11" s="132">
        <f>IF(SER_hh_tesh!U11=0,0,SER_hh_tesh!U11/SER_summary!U$26)</f>
        <v>0</v>
      </c>
      <c r="V11" s="132">
        <f>IF(SER_hh_tesh!V11=0,0,SER_hh_tesh!V11/SER_summary!V$26)</f>
        <v>0</v>
      </c>
      <c r="W11" s="132">
        <f>IF(SER_hh_tesh!W11=0,0,SER_hh_tesh!W11/SER_summary!W$26)</f>
        <v>0</v>
      </c>
      <c r="X11" s="132">
        <f>IF(SER_hh_tesh!X11=0,0,SER_hh_tesh!X11/SER_summary!X$26)</f>
        <v>0</v>
      </c>
      <c r="Y11" s="132">
        <f>IF(SER_hh_tesh!Y11=0,0,SER_hh_tesh!Y11/SER_summary!Y$26)</f>
        <v>0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82.65381574350566</v>
      </c>
      <c r="C12" s="132">
        <f>IF(SER_hh_tesh!C12=0,0,SER_hh_tesh!C12/SER_summary!C$26)</f>
        <v>83.810335786751438</v>
      </c>
      <c r="D12" s="132">
        <f>IF(SER_hh_tesh!D12=0,0,SER_hh_tesh!D12/SER_summary!D$26)</f>
        <v>84.672099291372206</v>
      </c>
      <c r="E12" s="132">
        <f>IF(SER_hh_tesh!E12=0,0,SER_hh_tesh!E12/SER_summary!E$26)</f>
        <v>87.403520097026245</v>
      </c>
      <c r="F12" s="132">
        <f>IF(SER_hh_tesh!F12=0,0,SER_hh_tesh!F12/SER_summary!F$26)</f>
        <v>106.25188453945962</v>
      </c>
      <c r="G12" s="132">
        <f>IF(SER_hh_tesh!G12=0,0,SER_hh_tesh!G12/SER_summary!G$26)</f>
        <v>97.984388055914351</v>
      </c>
      <c r="H12" s="132">
        <f>IF(SER_hh_tesh!H12=0,0,SER_hh_tesh!H12/SER_summary!H$26)</f>
        <v>112.02711132307161</v>
      </c>
      <c r="I12" s="132">
        <f>IF(SER_hh_tesh!I12=0,0,SER_hh_tesh!I12/SER_summary!I$26)</f>
        <v>122.80908137537902</v>
      </c>
      <c r="J12" s="132">
        <f>IF(SER_hh_tesh!J12=0,0,SER_hh_tesh!J12/SER_summary!J$26)</f>
        <v>75.3855483047831</v>
      </c>
      <c r="K12" s="132">
        <f>IF(SER_hh_tesh!K12=0,0,SER_hh_tesh!K12/SER_summary!K$26)</f>
        <v>85.512490745316313</v>
      </c>
      <c r="L12" s="132">
        <f>IF(SER_hh_tesh!L12=0,0,SER_hh_tesh!L12/SER_summary!L$26)</f>
        <v>118.66232609840272</v>
      </c>
      <c r="M12" s="132">
        <f>IF(SER_hh_tesh!M12=0,0,SER_hh_tesh!M12/SER_summary!M$26)</f>
        <v>97.386382579320355</v>
      </c>
      <c r="N12" s="132">
        <f>IF(SER_hh_tesh!N12=0,0,SER_hh_tesh!N12/SER_summary!N$26)</f>
        <v>92.49235408526738</v>
      </c>
      <c r="O12" s="132">
        <f>IF(SER_hh_tesh!O12=0,0,SER_hh_tesh!O12/SER_summary!O$26)</f>
        <v>83.327741227488133</v>
      </c>
      <c r="P12" s="132">
        <f>IF(SER_hh_tesh!P12=0,0,SER_hh_tesh!P12/SER_summary!P$26)</f>
        <v>94.172593574634988</v>
      </c>
      <c r="Q12" s="132">
        <f>IF(SER_hh_tesh!Q12=0,0,SER_hh_tesh!Q12/SER_summary!Q$26)</f>
        <v>102.1621276125267</v>
      </c>
      <c r="R12" s="132">
        <f>IF(SER_hh_tesh!R12=0,0,SER_hh_tesh!R12/SER_summary!R$26)</f>
        <v>95.02152259912998</v>
      </c>
      <c r="S12" s="132">
        <f>IF(SER_hh_tesh!S12=0,0,SER_hh_tesh!S12/SER_summary!S$26)</f>
        <v>88.952396098739968</v>
      </c>
      <c r="T12" s="132">
        <f>IF(SER_hh_tesh!T12=0,0,SER_hh_tesh!T12/SER_summary!T$26)</f>
        <v>95.020291398852947</v>
      </c>
      <c r="U12" s="132">
        <f>IF(SER_hh_tesh!U12=0,0,SER_hh_tesh!U12/SER_summary!U$26)</f>
        <v>90.702843161281095</v>
      </c>
      <c r="V12" s="132">
        <f>IF(SER_hh_tesh!V12=0,0,SER_hh_tesh!V12/SER_summary!V$26)</f>
        <v>97.36112622992755</v>
      </c>
      <c r="W12" s="132">
        <f>IF(SER_hh_tesh!W12=0,0,SER_hh_tesh!W12/SER_summary!W$26)</f>
        <v>95.669168391915676</v>
      </c>
      <c r="X12" s="132">
        <f>IF(SER_hh_tesh!X12=0,0,SER_hh_tesh!X12/SER_summary!X$26)</f>
        <v>80.784102441007761</v>
      </c>
      <c r="Y12" s="132">
        <f>IF(SER_hh_tesh!Y12=0,0,SER_hh_tesh!Y12/SER_summary!Y$26)</f>
        <v>84.117984955522061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70.431222835446832</v>
      </c>
      <c r="C13" s="132">
        <f>IF(SER_hh_tesh!C13=0,0,SER_hh_tesh!C13/SER_summary!C$26)</f>
        <v>90.180255113674747</v>
      </c>
      <c r="D13" s="132">
        <f>IF(SER_hh_tesh!D13=0,0,SER_hh_tesh!D13/SER_summary!D$26)</f>
        <v>86.570334129722454</v>
      </c>
      <c r="E13" s="132">
        <f>IF(SER_hh_tesh!E13=0,0,SER_hh_tesh!E13/SER_summary!E$26)</f>
        <v>79.21604126956025</v>
      </c>
      <c r="F13" s="132">
        <f>IF(SER_hh_tesh!F13=0,0,SER_hh_tesh!F13/SER_summary!F$26)</f>
        <v>41.084804654125861</v>
      </c>
      <c r="G13" s="132">
        <f>IF(SER_hh_tesh!G13=0,0,SER_hh_tesh!G13/SER_summary!G$26)</f>
        <v>30.983493206092454</v>
      </c>
      <c r="H13" s="132">
        <f>IF(SER_hh_tesh!H13=0,0,SER_hh_tesh!H13/SER_summary!H$26)</f>
        <v>110.67781773516629</v>
      </c>
      <c r="I13" s="132">
        <f>IF(SER_hh_tesh!I13=0,0,SER_hh_tesh!I13/SER_summary!I$26)</f>
        <v>103.9611342020409</v>
      </c>
      <c r="J13" s="132">
        <f>IF(SER_hh_tesh!J13=0,0,SER_hh_tesh!J13/SER_summary!J$26)</f>
        <v>106.66013215227693</v>
      </c>
      <c r="K13" s="132">
        <f>IF(SER_hh_tesh!K13=0,0,SER_hh_tesh!K13/SER_summary!K$26)</f>
        <v>107.90612436088291</v>
      </c>
      <c r="L13" s="132">
        <f>IF(SER_hh_tesh!L13=0,0,SER_hh_tesh!L13/SER_summary!L$26)</f>
        <v>99.998051339473562</v>
      </c>
      <c r="M13" s="132">
        <f>IF(SER_hh_tesh!M13=0,0,SER_hh_tesh!M13/SER_summary!M$26)</f>
        <v>93.892511769706516</v>
      </c>
      <c r="N13" s="132">
        <f>IF(SER_hh_tesh!N13=0,0,SER_hh_tesh!N13/SER_summary!N$26)</f>
        <v>95.681647530569919</v>
      </c>
      <c r="O13" s="132">
        <f>IF(SER_hh_tesh!O13=0,0,SER_hh_tesh!O13/SER_summary!O$26)</f>
        <v>103.53389949344418</v>
      </c>
      <c r="P13" s="132">
        <f>IF(SER_hh_tesh!P13=0,0,SER_hh_tesh!P13/SER_summary!P$26)</f>
        <v>88.339308220015013</v>
      </c>
      <c r="Q13" s="132">
        <f>IF(SER_hh_tesh!Q13=0,0,SER_hh_tesh!Q13/SER_summary!Q$26)</f>
        <v>87.547256502561893</v>
      </c>
      <c r="R13" s="132">
        <f>IF(SER_hh_tesh!R13=0,0,SER_hh_tesh!R13/SER_summary!R$26)</f>
        <v>82.094078223624479</v>
      </c>
      <c r="S13" s="132">
        <f>IF(SER_hh_tesh!S13=0,0,SER_hh_tesh!S13/SER_summary!S$26)</f>
        <v>62.068878394268886</v>
      </c>
      <c r="T13" s="132">
        <f>IF(SER_hh_tesh!T13=0,0,SER_hh_tesh!T13/SER_summary!T$26)</f>
        <v>94.727486477428613</v>
      </c>
      <c r="U13" s="132">
        <f>IF(SER_hh_tesh!U13=0,0,SER_hh_tesh!U13/SER_summary!U$26)</f>
        <v>93.137683431954656</v>
      </c>
      <c r="V13" s="132">
        <f>IF(SER_hh_tesh!V13=0,0,SER_hh_tesh!V13/SER_summary!V$26)</f>
        <v>81.936064984988633</v>
      </c>
      <c r="W13" s="132">
        <f>IF(SER_hh_tesh!W13=0,0,SER_hh_tesh!W13/SER_summary!W$26)</f>
        <v>102.55916923718712</v>
      </c>
      <c r="X13" s="132">
        <f>IF(SER_hh_tesh!X13=0,0,SER_hh_tesh!X13/SER_summary!X$26)</f>
        <v>82.086999228918998</v>
      </c>
      <c r="Y13" s="132">
        <f>IF(SER_hh_tesh!Y13=0,0,SER_hh_tesh!Y13/SER_summary!Y$26)</f>
        <v>84.943599169723328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91.907374120675996</v>
      </c>
      <c r="C14" s="65">
        <f>IF(SER_hh_tesh!C14=0,0,SER_hh_tesh!C14/SER_summary!C$26)</f>
        <v>99.319495713650937</v>
      </c>
      <c r="D14" s="65">
        <f>IF(SER_hh_tesh!D14=0,0,SER_hh_tesh!D14/SER_summary!D$26)</f>
        <v>29.868083695059962</v>
      </c>
      <c r="E14" s="65">
        <f>IF(SER_hh_tesh!E14=0,0,SER_hh_tesh!E14/SER_summary!E$26)</f>
        <v>4.5509939058274549</v>
      </c>
      <c r="F14" s="65">
        <f>IF(SER_hh_tesh!F14=0,0,SER_hh_tesh!F14/SER_summary!F$26)</f>
        <v>157.11654038490067</v>
      </c>
      <c r="G14" s="65">
        <f>IF(SER_hh_tesh!G14=0,0,SER_hh_tesh!G14/SER_summary!G$26)</f>
        <v>124.73518406496881</v>
      </c>
      <c r="H14" s="65">
        <f>IF(SER_hh_tesh!H14=0,0,SER_hh_tesh!H14/SER_summary!H$26)</f>
        <v>103.40156954893247</v>
      </c>
      <c r="I14" s="65">
        <f>IF(SER_hh_tesh!I14=0,0,SER_hh_tesh!I14/SER_summary!I$26)</f>
        <v>99.073788005303115</v>
      </c>
      <c r="J14" s="65">
        <f>IF(SER_hh_tesh!J14=0,0,SER_hh_tesh!J14/SER_summary!J$26)</f>
        <v>103.70104706773644</v>
      </c>
      <c r="K14" s="65">
        <f>IF(SER_hh_tesh!K14=0,0,SER_hh_tesh!K14/SER_summary!K$26)</f>
        <v>108.85865714657072</v>
      </c>
      <c r="L14" s="65">
        <f>IF(SER_hh_tesh!L14=0,0,SER_hh_tesh!L14/SER_summary!L$26)</f>
        <v>105.74348940782919</v>
      </c>
      <c r="M14" s="65">
        <f>IF(SER_hh_tesh!M14=0,0,SER_hh_tesh!M14/SER_summary!M$26)</f>
        <v>92.720917166894921</v>
      </c>
      <c r="N14" s="65">
        <f>IF(SER_hh_tesh!N14=0,0,SER_hh_tesh!N14/SER_summary!N$26)</f>
        <v>97.117516455490545</v>
      </c>
      <c r="O14" s="65">
        <f>IF(SER_hh_tesh!O14=0,0,SER_hh_tesh!O14/SER_summary!O$26)</f>
        <v>102.63545115575398</v>
      </c>
      <c r="P14" s="65">
        <f>IF(SER_hh_tesh!P14=0,0,SER_hh_tesh!P14/SER_summary!P$26)</f>
        <v>84.646783529446978</v>
      </c>
      <c r="Q14" s="65">
        <f>IF(SER_hh_tesh!Q14=0,0,SER_hh_tesh!Q14/SER_summary!Q$26)</f>
        <v>91.611017133800871</v>
      </c>
      <c r="R14" s="65">
        <f>IF(SER_hh_tesh!R14=0,0,SER_hh_tesh!R14/SER_summary!R$26)</f>
        <v>93.610614853778529</v>
      </c>
      <c r="S14" s="65">
        <f>IF(SER_hh_tesh!S14=0,0,SER_hh_tesh!S14/SER_summary!S$26)</f>
        <v>94.522412324219189</v>
      </c>
      <c r="T14" s="65">
        <f>IF(SER_hh_tesh!T14=0,0,SER_hh_tesh!T14/SER_summary!T$26)</f>
        <v>95.962768460815695</v>
      </c>
      <c r="U14" s="65">
        <f>IF(SER_hh_tesh!U14=0,0,SER_hh_tesh!U14/SER_summary!U$26)</f>
        <v>100.5145649219548</v>
      </c>
      <c r="V14" s="65">
        <f>IF(SER_hh_tesh!V14=0,0,SER_hh_tesh!V14/SER_summary!V$26)</f>
        <v>91.347957294194202</v>
      </c>
      <c r="W14" s="65">
        <f>IF(SER_hh_tesh!W14=0,0,SER_hh_tesh!W14/SER_summary!W$26)</f>
        <v>99.679630788284385</v>
      </c>
      <c r="X14" s="65">
        <f>IF(SER_hh_tesh!X14=0,0,SER_hh_tesh!X14/SER_summary!X$26)</f>
        <v>89.980294030633971</v>
      </c>
      <c r="Y14" s="65">
        <f>IF(SER_hh_tesh!Y14=0,0,SER_hh_tesh!Y14/SER_summary!Y$26)</f>
        <v>75.784506876167086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1.529768931363229</v>
      </c>
      <c r="C15" s="134">
        <f>IF(SER_hh_tesh!C15=0,0,SER_hh_tesh!C15/SER_summary!C$26)</f>
        <v>1.5785201529225454</v>
      </c>
      <c r="D15" s="134">
        <f>IF(SER_hh_tesh!D15=0,0,SER_hh_tesh!D15/SER_summary!D$26)</f>
        <v>1.6352645629784017</v>
      </c>
      <c r="E15" s="134">
        <f>IF(SER_hh_tesh!E15=0,0,SER_hh_tesh!E15/SER_summary!E$26)</f>
        <v>1.7668774059842047</v>
      </c>
      <c r="F15" s="134">
        <f>IF(SER_hh_tesh!F15=0,0,SER_hh_tesh!F15/SER_summary!F$26)</f>
        <v>1.8346346412414576</v>
      </c>
      <c r="G15" s="134">
        <f>IF(SER_hh_tesh!G15=0,0,SER_hh_tesh!G15/SER_summary!G$26)</f>
        <v>1.8846265814961467</v>
      </c>
      <c r="H15" s="134">
        <f>IF(SER_hh_tesh!H15=0,0,SER_hh_tesh!H15/SER_summary!H$26)</f>
        <v>1.7736998824261179</v>
      </c>
      <c r="I15" s="134">
        <f>IF(SER_hh_tesh!I15=0,0,SER_hh_tesh!I15/SER_summary!I$26)</f>
        <v>1.5545584281907754</v>
      </c>
      <c r="J15" s="134">
        <f>IF(SER_hh_tesh!J15=0,0,SER_hh_tesh!J15/SER_summary!J$26)</f>
        <v>1.8079090131230933</v>
      </c>
      <c r="K15" s="134">
        <f>IF(SER_hh_tesh!K15=0,0,SER_hh_tesh!K15/SER_summary!K$26)</f>
        <v>1.7190992097148101</v>
      </c>
      <c r="L15" s="134">
        <f>IF(SER_hh_tesh!L15=0,0,SER_hh_tesh!L15/SER_summary!L$26)</f>
        <v>1.8480265790539394</v>
      </c>
      <c r="M15" s="134">
        <f>IF(SER_hh_tesh!M15=0,0,SER_hh_tesh!M15/SER_summary!M$26)</f>
        <v>1.4334902003910306</v>
      </c>
      <c r="N15" s="134">
        <f>IF(SER_hh_tesh!N15=0,0,SER_hh_tesh!N15/SER_summary!N$26)</f>
        <v>1.5496352061073368</v>
      </c>
      <c r="O15" s="134">
        <f>IF(SER_hh_tesh!O15=0,0,SER_hh_tesh!O15/SER_summary!O$26)</f>
        <v>1.7007045594640142</v>
      </c>
      <c r="P15" s="134">
        <f>IF(SER_hh_tesh!P15=0,0,SER_hh_tesh!P15/SER_summary!P$26)</f>
        <v>1.2621474186667025</v>
      </c>
      <c r="Q15" s="134">
        <f>IF(SER_hh_tesh!Q15=0,0,SER_hh_tesh!Q15/SER_summary!Q$26)</f>
        <v>1.4657488002319972</v>
      </c>
      <c r="R15" s="134">
        <f>IF(SER_hh_tesh!R15=0,0,SER_hh_tesh!R15/SER_summary!R$26)</f>
        <v>1.4822931499474981</v>
      </c>
      <c r="S15" s="134">
        <f>IF(SER_hh_tesh!S15=0,0,SER_hh_tesh!S15/SER_summary!S$26)</f>
        <v>1.4845980911844947</v>
      </c>
      <c r="T15" s="134">
        <f>IF(SER_hh_tesh!T15=0,0,SER_hh_tesh!T15/SER_summary!T$26)</f>
        <v>1.5084329988074514</v>
      </c>
      <c r="U15" s="134">
        <f>IF(SER_hh_tesh!U15=0,0,SER_hh_tesh!U15/SER_summary!U$26)</f>
        <v>1.4308800406131525</v>
      </c>
      <c r="V15" s="134">
        <f>IF(SER_hh_tesh!V15=0,0,SER_hh_tesh!V15/SER_summary!V$26)</f>
        <v>1.4152628668010037</v>
      </c>
      <c r="W15" s="134">
        <f>IF(SER_hh_tesh!W15=0,0,SER_hh_tesh!W15/SER_summary!W$26)</f>
        <v>1.5514554025197507</v>
      </c>
      <c r="X15" s="134">
        <f>IF(SER_hh_tesh!X15=0,0,SER_hh_tesh!X15/SER_summary!X$26)</f>
        <v>1.2209658832705428</v>
      </c>
      <c r="Y15" s="134">
        <f>IF(SER_hh_tesh!Y15=0,0,SER_hh_tesh!Y15/SER_summary!Y$26)</f>
        <v>1.1702675760072199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30.689287291440856</v>
      </c>
      <c r="C16" s="130">
        <f>IF(SER_hh_tesh!C16=0,0,SER_hh_tesh!C16/SER_summary!C$26)</f>
        <v>31.635086173808375</v>
      </c>
      <c r="D16" s="130">
        <f>IF(SER_hh_tesh!D16=0,0,SER_hh_tesh!D16/SER_summary!D$26)</f>
        <v>31.49610500185825</v>
      </c>
      <c r="E16" s="130">
        <f>IF(SER_hh_tesh!E16=0,0,SER_hh_tesh!E16/SER_summary!E$26)</f>
        <v>40.199307154542325</v>
      </c>
      <c r="F16" s="130">
        <f>IF(SER_hh_tesh!F16=0,0,SER_hh_tesh!F16/SER_summary!F$26)</f>
        <v>31.122201663538746</v>
      </c>
      <c r="G16" s="130">
        <f>IF(SER_hh_tesh!G16=0,0,SER_hh_tesh!G16/SER_summary!G$26)</f>
        <v>31.710364690511629</v>
      </c>
      <c r="H16" s="130">
        <f>IF(SER_hh_tesh!H16=0,0,SER_hh_tesh!H16/SER_summary!H$26)</f>
        <v>39.773123925442306</v>
      </c>
      <c r="I16" s="130">
        <f>IF(SER_hh_tesh!I16=0,0,SER_hh_tesh!I16/SER_summary!I$26)</f>
        <v>31.159037176096696</v>
      </c>
      <c r="J16" s="130">
        <f>IF(SER_hh_tesh!J16=0,0,SER_hh_tesh!J16/SER_summary!J$26)</f>
        <v>31.521526702161086</v>
      </c>
      <c r="K16" s="130">
        <f>IF(SER_hh_tesh!K16=0,0,SER_hh_tesh!K16/SER_summary!K$26)</f>
        <v>32.068779685707774</v>
      </c>
      <c r="L16" s="130">
        <f>IF(SER_hh_tesh!L16=0,0,SER_hh_tesh!L16/SER_summary!L$26)</f>
        <v>34.229283209436588</v>
      </c>
      <c r="M16" s="130">
        <f>IF(SER_hh_tesh!M16=0,0,SER_hh_tesh!M16/SER_summary!M$26)</f>
        <v>32.279867050454129</v>
      </c>
      <c r="N16" s="130">
        <f>IF(SER_hh_tesh!N16=0,0,SER_hh_tesh!N16/SER_summary!N$26)</f>
        <v>32.855073028152681</v>
      </c>
      <c r="O16" s="130">
        <f>IF(SER_hh_tesh!O16=0,0,SER_hh_tesh!O16/SER_summary!O$26)</f>
        <v>33.420556120106745</v>
      </c>
      <c r="P16" s="130">
        <f>IF(SER_hh_tesh!P16=0,0,SER_hh_tesh!P16/SER_summary!P$26)</f>
        <v>32.455820036552858</v>
      </c>
      <c r="Q16" s="130">
        <f>IF(SER_hh_tesh!Q16=0,0,SER_hh_tesh!Q16/SER_summary!Q$26)</f>
        <v>36.746451097259019</v>
      </c>
      <c r="R16" s="130">
        <f>IF(SER_hh_tesh!R16=0,0,SER_hh_tesh!R16/SER_summary!R$26)</f>
        <v>35.75972169696179</v>
      </c>
      <c r="S16" s="130">
        <f>IF(SER_hh_tesh!S16=0,0,SER_hh_tesh!S16/SER_summary!S$26)</f>
        <v>34.052366415663833</v>
      </c>
      <c r="T16" s="130">
        <f>IF(SER_hh_tesh!T16=0,0,SER_hh_tesh!T16/SER_summary!T$26)</f>
        <v>39.014437749660111</v>
      </c>
      <c r="U16" s="130">
        <f>IF(SER_hh_tesh!U16=0,0,SER_hh_tesh!U16/SER_summary!U$26)</f>
        <v>37.75760663413454</v>
      </c>
      <c r="V16" s="130">
        <f>IF(SER_hh_tesh!V16=0,0,SER_hh_tesh!V16/SER_summary!V$26)</f>
        <v>40.410270156540292</v>
      </c>
      <c r="W16" s="130">
        <f>IF(SER_hh_tesh!W16=0,0,SER_hh_tesh!W16/SER_summary!W$26)</f>
        <v>33.12796779951843</v>
      </c>
      <c r="X16" s="130">
        <f>IF(SER_hh_tesh!X16=0,0,SER_hh_tesh!X16/SER_summary!X$26)</f>
        <v>37.609173343208397</v>
      </c>
      <c r="Y16" s="130">
        <f>IF(SER_hh_tesh!Y16=0,0,SER_hh_tesh!Y16/SER_summary!Y$26)</f>
        <v>34.524679517966206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30.689287291440852</v>
      </c>
      <c r="C17" s="132">
        <f>IF(SER_hh_tesh!C17=0,0,SER_hh_tesh!C17/SER_summary!C$26)</f>
        <v>31.635086173808343</v>
      </c>
      <c r="D17" s="132">
        <f>IF(SER_hh_tesh!D17=0,0,SER_hh_tesh!D17/SER_summary!D$26)</f>
        <v>31.496105001858201</v>
      </c>
      <c r="E17" s="132">
        <f>IF(SER_hh_tesh!E17=0,0,SER_hh_tesh!E17/SER_summary!E$26)</f>
        <v>40.199307154542367</v>
      </c>
      <c r="F17" s="132">
        <f>IF(SER_hh_tesh!F17=0,0,SER_hh_tesh!F17/SER_summary!F$26)</f>
        <v>31.122201663538739</v>
      </c>
      <c r="G17" s="132">
        <f>IF(SER_hh_tesh!G17=0,0,SER_hh_tesh!G17/SER_summary!G$26)</f>
        <v>31.710364690511692</v>
      </c>
      <c r="H17" s="132">
        <f>IF(SER_hh_tesh!H17=0,0,SER_hh_tesh!H17/SER_summary!H$26)</f>
        <v>39.773123925442327</v>
      </c>
      <c r="I17" s="132">
        <f>IF(SER_hh_tesh!I17=0,0,SER_hh_tesh!I17/SER_summary!I$26)</f>
        <v>31.159037176096625</v>
      </c>
      <c r="J17" s="132">
        <f>IF(SER_hh_tesh!J17=0,0,SER_hh_tesh!J17/SER_summary!J$26)</f>
        <v>31.521526702161076</v>
      </c>
      <c r="K17" s="132">
        <f>IF(SER_hh_tesh!K17=0,0,SER_hh_tesh!K17/SER_summary!K$26)</f>
        <v>32.06877968570776</v>
      </c>
      <c r="L17" s="132">
        <f>IF(SER_hh_tesh!L17=0,0,SER_hh_tesh!L17/SER_summary!L$26)</f>
        <v>34.229283209436673</v>
      </c>
      <c r="M17" s="132">
        <f>IF(SER_hh_tesh!M17=0,0,SER_hh_tesh!M17/SER_summary!M$26)</f>
        <v>32.279867050454037</v>
      </c>
      <c r="N17" s="132">
        <f>IF(SER_hh_tesh!N17=0,0,SER_hh_tesh!N17/SER_summary!N$26)</f>
        <v>32.855073028152702</v>
      </c>
      <c r="O17" s="132">
        <f>IF(SER_hh_tesh!O17=0,0,SER_hh_tesh!O17/SER_summary!O$26)</f>
        <v>33.42055612010671</v>
      </c>
      <c r="P17" s="132">
        <f>IF(SER_hh_tesh!P17=0,0,SER_hh_tesh!P17/SER_summary!P$26)</f>
        <v>32.455820036552801</v>
      </c>
      <c r="Q17" s="132">
        <f>IF(SER_hh_tesh!Q17=0,0,SER_hh_tesh!Q17/SER_summary!Q$26)</f>
        <v>36.746451097259133</v>
      </c>
      <c r="R17" s="132">
        <f>IF(SER_hh_tesh!R17=0,0,SER_hh_tesh!R17/SER_summary!R$26)</f>
        <v>35.759721696961741</v>
      </c>
      <c r="S17" s="132">
        <f>IF(SER_hh_tesh!S17=0,0,SER_hh_tesh!S17/SER_summary!S$26)</f>
        <v>34.052366415663826</v>
      </c>
      <c r="T17" s="132">
        <f>IF(SER_hh_tesh!T17=0,0,SER_hh_tesh!T17/SER_summary!T$26)</f>
        <v>39.01443774966004</v>
      </c>
      <c r="U17" s="132">
        <f>IF(SER_hh_tesh!U17=0,0,SER_hh_tesh!U17/SER_summary!U$26)</f>
        <v>37.757606634134468</v>
      </c>
      <c r="V17" s="132">
        <f>IF(SER_hh_tesh!V17=0,0,SER_hh_tesh!V17/SER_summary!V$26)</f>
        <v>42.701202059979579</v>
      </c>
      <c r="W17" s="132">
        <f>IF(SER_hh_tesh!W17=0,0,SER_hh_tesh!W17/SER_summary!W$26)</f>
        <v>31.073232494950457</v>
      </c>
      <c r="X17" s="132">
        <f>IF(SER_hh_tesh!X17=0,0,SER_hh_tesh!X17/SER_summary!X$26)</f>
        <v>37.609173343193085</v>
      </c>
      <c r="Y17" s="132">
        <f>IF(SER_hh_tesh!Y17=0,0,SER_hh_tesh!Y17/SER_summary!Y$26)</f>
        <v>34.524679517958177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30.689287291440856</v>
      </c>
      <c r="C18" s="132">
        <f>IF(SER_hh_tesh!C18=0,0,SER_hh_tesh!C18/SER_summary!C$26)</f>
        <v>31.635086173808375</v>
      </c>
      <c r="D18" s="132">
        <f>IF(SER_hh_tesh!D18=0,0,SER_hh_tesh!D18/SER_summary!D$26)</f>
        <v>31.49610500185825</v>
      </c>
      <c r="E18" s="132">
        <f>IF(SER_hh_tesh!E18=0,0,SER_hh_tesh!E18/SER_summary!E$26)</f>
        <v>40.199307154542332</v>
      </c>
      <c r="F18" s="132">
        <f>IF(SER_hh_tesh!F18=0,0,SER_hh_tesh!F18/SER_summary!F$26)</f>
        <v>31.122201663538746</v>
      </c>
      <c r="G18" s="132">
        <f>IF(SER_hh_tesh!G18=0,0,SER_hh_tesh!G18/SER_summary!G$26)</f>
        <v>31.710364690511632</v>
      </c>
      <c r="H18" s="132">
        <f>IF(SER_hh_tesh!H18=0,0,SER_hh_tesh!H18/SER_summary!H$26)</f>
        <v>39.773123925442306</v>
      </c>
      <c r="I18" s="132">
        <f>IF(SER_hh_tesh!I18=0,0,SER_hh_tesh!I18/SER_summary!I$26)</f>
        <v>31.159037176096696</v>
      </c>
      <c r="J18" s="132">
        <f>IF(SER_hh_tesh!J18=0,0,SER_hh_tesh!J18/SER_summary!J$26)</f>
        <v>31.521526702161083</v>
      </c>
      <c r="K18" s="132">
        <f>IF(SER_hh_tesh!K18=0,0,SER_hh_tesh!K18/SER_summary!K$26)</f>
        <v>32.068779685707774</v>
      </c>
      <c r="L18" s="132">
        <f>IF(SER_hh_tesh!L18=0,0,SER_hh_tesh!L18/SER_summary!L$26)</f>
        <v>34.229283209436588</v>
      </c>
      <c r="M18" s="132">
        <f>IF(SER_hh_tesh!M18=0,0,SER_hh_tesh!M18/SER_summary!M$26)</f>
        <v>32.279867050454136</v>
      </c>
      <c r="N18" s="132">
        <f>IF(SER_hh_tesh!N18=0,0,SER_hh_tesh!N18/SER_summary!N$26)</f>
        <v>32.855073028152674</v>
      </c>
      <c r="O18" s="132">
        <f>IF(SER_hh_tesh!O18=0,0,SER_hh_tesh!O18/SER_summary!O$26)</f>
        <v>33.420556120106745</v>
      </c>
      <c r="P18" s="132">
        <f>IF(SER_hh_tesh!P18=0,0,SER_hh_tesh!P18/SER_summary!P$26)</f>
        <v>32.455820036552858</v>
      </c>
      <c r="Q18" s="132">
        <f>IF(SER_hh_tesh!Q18=0,0,SER_hh_tesh!Q18/SER_summary!Q$26)</f>
        <v>36.746451097259019</v>
      </c>
      <c r="R18" s="132">
        <f>IF(SER_hh_tesh!R18=0,0,SER_hh_tesh!R18/SER_summary!R$26)</f>
        <v>35.75972169696179</v>
      </c>
      <c r="S18" s="132">
        <f>IF(SER_hh_tesh!S18=0,0,SER_hh_tesh!S18/SER_summary!S$26)</f>
        <v>34.052366415663826</v>
      </c>
      <c r="T18" s="132">
        <f>IF(SER_hh_tesh!T18=0,0,SER_hh_tesh!T18/SER_summary!T$26)</f>
        <v>39.014437749660111</v>
      </c>
      <c r="U18" s="132">
        <f>IF(SER_hh_tesh!U18=0,0,SER_hh_tesh!U18/SER_summary!U$26)</f>
        <v>37.75760663413454</v>
      </c>
      <c r="V18" s="132">
        <f>IF(SER_hh_tesh!V18=0,0,SER_hh_tesh!V18/SER_summary!V$26)</f>
        <v>40.39197176734244</v>
      </c>
      <c r="W18" s="132">
        <f>IF(SER_hh_tesh!W18=0,0,SER_hh_tesh!W18/SER_summary!W$26)</f>
        <v>33.144668158503315</v>
      </c>
      <c r="X18" s="132">
        <f>IF(SER_hh_tesh!X18=0,0,SER_hh_tesh!X18/SER_summary!X$26)</f>
        <v>37.609173343208518</v>
      </c>
      <c r="Y18" s="132">
        <f>IF(SER_hh_tesh!Y18=0,0,SER_hh_tesh!Y18/SER_summary!Y$26)</f>
        <v>34.52467951796627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14.295493570676177</v>
      </c>
      <c r="C19" s="130">
        <f>IF(SER_hh_tesh!C19=0,0,SER_hh_tesh!C19/SER_summary!C$26)</f>
        <v>14.341319927920395</v>
      </c>
      <c r="D19" s="130">
        <f>IF(SER_hh_tesh!D19=0,0,SER_hh_tesh!D19/SER_summary!D$26)</f>
        <v>14.764470949547391</v>
      </c>
      <c r="E19" s="130">
        <f>IF(SER_hh_tesh!E19=0,0,SER_hh_tesh!E19/SER_summary!E$26)</f>
        <v>15.16793741946789</v>
      </c>
      <c r="F19" s="130">
        <f>IF(SER_hh_tesh!F19=0,0,SER_hh_tesh!F19/SER_summary!F$26)</f>
        <v>14.235782869352796</v>
      </c>
      <c r="G19" s="130">
        <f>IF(SER_hh_tesh!G19=0,0,SER_hh_tesh!G19/SER_summary!G$26)</f>
        <v>14.098140448819942</v>
      </c>
      <c r="H19" s="130">
        <f>IF(SER_hh_tesh!H19=0,0,SER_hh_tesh!H19/SER_summary!H$26)</f>
        <v>14.181865008879269</v>
      </c>
      <c r="I19" s="130">
        <f>IF(SER_hh_tesh!I19=0,0,SER_hh_tesh!I19/SER_summary!I$26)</f>
        <v>14.127830597959294</v>
      </c>
      <c r="J19" s="130">
        <f>IF(SER_hh_tesh!J19=0,0,SER_hh_tesh!J19/SER_summary!J$26)</f>
        <v>14.142271150296883</v>
      </c>
      <c r="K19" s="130">
        <f>IF(SER_hh_tesh!K19=0,0,SER_hh_tesh!K19/SER_summary!K$26)</f>
        <v>14.441374171684446</v>
      </c>
      <c r="L19" s="130">
        <f>IF(SER_hh_tesh!L19=0,0,SER_hh_tesh!L19/SER_summary!L$26)</f>
        <v>14.510262117907292</v>
      </c>
      <c r="M19" s="130">
        <f>IF(SER_hh_tesh!M19=0,0,SER_hh_tesh!M19/SER_summary!M$26)</f>
        <v>14.737245209001646</v>
      </c>
      <c r="N19" s="130">
        <f>IF(SER_hh_tesh!N19=0,0,SER_hh_tesh!N19/SER_summary!N$26)</f>
        <v>15.113691853366163</v>
      </c>
      <c r="O19" s="130">
        <f>IF(SER_hh_tesh!O19=0,0,SER_hh_tesh!O19/SER_summary!O$26)</f>
        <v>15.501629841707448</v>
      </c>
      <c r="P19" s="130">
        <f>IF(SER_hh_tesh!P19=0,0,SER_hh_tesh!P19/SER_summary!P$26)</f>
        <v>15.621944399928893</v>
      </c>
      <c r="Q19" s="130">
        <f>IF(SER_hh_tesh!Q19=0,0,SER_hh_tesh!Q19/SER_summary!Q$26)</f>
        <v>15.68373956486001</v>
      </c>
      <c r="R19" s="130">
        <f>IF(SER_hh_tesh!R19=0,0,SER_hh_tesh!R19/SER_summary!R$26)</f>
        <v>15.905613972330782</v>
      </c>
      <c r="S19" s="130">
        <f>IF(SER_hh_tesh!S19=0,0,SER_hh_tesh!S19/SER_summary!S$26)</f>
        <v>16.081217336320556</v>
      </c>
      <c r="T19" s="130">
        <f>IF(SER_hh_tesh!T19=0,0,SER_hh_tesh!T19/SER_summary!T$26)</f>
        <v>16.108118563320406</v>
      </c>
      <c r="U19" s="130">
        <f>IF(SER_hh_tesh!U19=0,0,SER_hh_tesh!U19/SER_summary!U$26)</f>
        <v>15.356673218053903</v>
      </c>
      <c r="V19" s="130">
        <f>IF(SER_hh_tesh!V19=0,0,SER_hh_tesh!V19/SER_summary!V$26)</f>
        <v>14.663989628075353</v>
      </c>
      <c r="W19" s="130">
        <f>IF(SER_hh_tesh!W19=0,0,SER_hh_tesh!W19/SER_summary!W$26)</f>
        <v>15.528379099338933</v>
      </c>
      <c r="X19" s="130">
        <f>IF(SER_hh_tesh!X19=0,0,SER_hh_tesh!X19/SER_summary!X$26)</f>
        <v>15.807962736497201</v>
      </c>
      <c r="Y19" s="130">
        <f>IF(SER_hh_tesh!Y19=0,0,SER_hh_tesh!Y19/SER_summary!Y$26)</f>
        <v>16.136231441438088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14.215220948871996</v>
      </c>
      <c r="C21" s="132">
        <f>IF(SER_hh_tesh!C21=0,0,SER_hh_tesh!C21/SER_summary!C$26)</f>
        <v>14.506131495643473</v>
      </c>
      <c r="D21" s="132">
        <f>IF(SER_hh_tesh!D21=0,0,SER_hh_tesh!D21/SER_summary!D$26)</f>
        <v>14.793912895183665</v>
      </c>
      <c r="E21" s="132">
        <f>IF(SER_hh_tesh!E21=0,0,SER_hh_tesh!E21/SER_summary!E$26)</f>
        <v>15.580767355333061</v>
      </c>
      <c r="F21" s="132">
        <f>IF(SER_hh_tesh!F21=0,0,SER_hh_tesh!F21/SER_summary!F$26)</f>
        <v>17.095403911324549</v>
      </c>
      <c r="G21" s="132">
        <f>IF(SER_hh_tesh!G21=0,0,SER_hh_tesh!G21/SER_summary!G$26)</f>
        <v>10.858613210623403</v>
      </c>
      <c r="H21" s="132">
        <f>IF(SER_hh_tesh!H21=0,0,SER_hh_tesh!H21/SER_summary!H$26)</f>
        <v>13.16731644960066</v>
      </c>
      <c r="I21" s="132">
        <f>IF(SER_hh_tesh!I21=0,0,SER_hh_tesh!I21/SER_summary!I$26)</f>
        <v>14.377993229473304</v>
      </c>
      <c r="J21" s="132">
        <f>IF(SER_hh_tesh!J21=0,0,SER_hh_tesh!J21/SER_summary!J$26)</f>
        <v>13.052454171770625</v>
      </c>
      <c r="K21" s="132">
        <f>IF(SER_hh_tesh!K21=0,0,SER_hh_tesh!K21/SER_summary!K$26)</f>
        <v>13.791650155315347</v>
      </c>
      <c r="L21" s="132">
        <f>IF(SER_hh_tesh!L21=0,0,SER_hh_tesh!L21/SER_summary!L$26)</f>
        <v>13.035911864310235</v>
      </c>
      <c r="M21" s="132">
        <f>IF(SER_hh_tesh!M21=0,0,SER_hh_tesh!M21/SER_summary!M$26)</f>
        <v>13.95487929782942</v>
      </c>
      <c r="N21" s="132">
        <f>IF(SER_hh_tesh!N21=0,0,SER_hh_tesh!N21/SER_summary!N$26)</f>
        <v>15.551373717420903</v>
      </c>
      <c r="O21" s="132">
        <f>IF(SER_hh_tesh!O21=0,0,SER_hh_tesh!O21/SER_summary!O$26)</f>
        <v>15.861003694296636</v>
      </c>
      <c r="P21" s="132">
        <f>IF(SER_hh_tesh!P21=0,0,SER_hh_tesh!P21/SER_summary!P$26)</f>
        <v>15.070893085096067</v>
      </c>
      <c r="Q21" s="132">
        <f>IF(SER_hh_tesh!Q21=0,0,SER_hh_tesh!Q21/SER_summary!Q$26)</f>
        <v>15.888510155387118</v>
      </c>
      <c r="R21" s="132">
        <f>IF(SER_hh_tesh!R21=0,0,SER_hh_tesh!R21/SER_summary!R$26)</f>
        <v>15.685166056564237</v>
      </c>
      <c r="S21" s="132">
        <f>IF(SER_hh_tesh!S21=0,0,SER_hh_tesh!S21/SER_summary!S$26)</f>
        <v>16.118778689955484</v>
      </c>
      <c r="T21" s="132">
        <f>IF(SER_hh_tesh!T21=0,0,SER_hh_tesh!T21/SER_summary!T$26)</f>
        <v>16.312303647551197</v>
      </c>
      <c r="U21" s="132">
        <f>IF(SER_hh_tesh!U21=0,0,SER_hh_tesh!U21/SER_summary!U$26)</f>
        <v>16.057119933821948</v>
      </c>
      <c r="V21" s="132">
        <f>IF(SER_hh_tesh!V21=0,0,SER_hh_tesh!V21/SER_summary!V$26)</f>
        <v>13.186947350888298</v>
      </c>
      <c r="W21" s="132">
        <f>IF(SER_hh_tesh!W21=0,0,SER_hh_tesh!W21/SER_summary!W$26)</f>
        <v>13.682643223170569</v>
      </c>
      <c r="X21" s="132">
        <f>IF(SER_hh_tesh!X21=0,0,SER_hh_tesh!X21/SER_summary!X$26)</f>
        <v>19.202020290236302</v>
      </c>
      <c r="Y21" s="132">
        <f>IF(SER_hh_tesh!Y21=0,0,SER_hh_tesh!Y21/SER_summary!Y$26)</f>
        <v>15.192893248282228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14.3546855927711</v>
      </c>
      <c r="C22" s="132">
        <f>IF(SER_hh_tesh!C22=0,0,SER_hh_tesh!C22/SER_summary!C$26)</f>
        <v>14.418646597785987</v>
      </c>
      <c r="D22" s="132">
        <f>IF(SER_hh_tesh!D22=0,0,SER_hh_tesh!D22/SER_summary!D$26)</f>
        <v>14.63333739127108</v>
      </c>
      <c r="E22" s="132">
        <f>IF(SER_hh_tesh!E22=0,0,SER_hh_tesh!E22/SER_summary!E$26)</f>
        <v>14.742751585177846</v>
      </c>
      <c r="F22" s="132">
        <f>IF(SER_hh_tesh!F22=0,0,SER_hh_tesh!F22/SER_summary!F$26)</f>
        <v>14.437102156860277</v>
      </c>
      <c r="G22" s="132">
        <f>IF(SER_hh_tesh!G22=0,0,SER_hh_tesh!G22/SER_summary!G$26)</f>
        <v>14.229790280138815</v>
      </c>
      <c r="H22" s="132">
        <f>IF(SER_hh_tesh!H22=0,0,SER_hh_tesh!H22/SER_summary!H$26)</f>
        <v>14.215127602818965</v>
      </c>
      <c r="I22" s="132">
        <f>IF(SER_hh_tesh!I22=0,0,SER_hh_tesh!I22/SER_summary!I$26)</f>
        <v>14.291704134148361</v>
      </c>
      <c r="J22" s="132">
        <f>IF(SER_hh_tesh!J22=0,0,SER_hh_tesh!J22/SER_summary!J$26)</f>
        <v>14.012732145701705</v>
      </c>
      <c r="K22" s="132">
        <f>IF(SER_hh_tesh!K22=0,0,SER_hh_tesh!K22/SER_summary!K$26)</f>
        <v>14.297700844670732</v>
      </c>
      <c r="L22" s="132">
        <f>IF(SER_hh_tesh!L22=0,0,SER_hh_tesh!L22/SER_summary!L$26)</f>
        <v>14.450216571653733</v>
      </c>
      <c r="M22" s="132">
        <f>IF(SER_hh_tesh!M22=0,0,SER_hh_tesh!M22/SER_summary!M$26)</f>
        <v>14.79360331652823</v>
      </c>
      <c r="N22" s="132">
        <f>IF(SER_hh_tesh!N22=0,0,SER_hh_tesh!N22/SER_summary!N$26)</f>
        <v>15.107394968044444</v>
      </c>
      <c r="O22" s="132">
        <f>IF(SER_hh_tesh!O22=0,0,SER_hh_tesh!O22/SER_summary!O$26)</f>
        <v>15.365679027723008</v>
      </c>
      <c r="P22" s="132">
        <f>IF(SER_hh_tesh!P22=0,0,SER_hh_tesh!P22/SER_summary!P$26)</f>
        <v>15.601532750129849</v>
      </c>
      <c r="Q22" s="132">
        <f>IF(SER_hh_tesh!Q22=0,0,SER_hh_tesh!Q22/SER_summary!Q$26)</f>
        <v>15.865870261385238</v>
      </c>
      <c r="R22" s="132">
        <f>IF(SER_hh_tesh!R22=0,0,SER_hh_tesh!R22/SER_summary!R$26)</f>
        <v>15.871322290651735</v>
      </c>
      <c r="S22" s="132">
        <f>IF(SER_hh_tesh!S22=0,0,SER_hh_tesh!S22/SER_summary!S$26)</f>
        <v>16.318570199367645</v>
      </c>
      <c r="T22" s="132">
        <f>IF(SER_hh_tesh!T22=0,0,SER_hh_tesh!T22/SER_summary!T$26)</f>
        <v>16.622014796057879</v>
      </c>
      <c r="U22" s="132">
        <f>IF(SER_hh_tesh!U22=0,0,SER_hh_tesh!U22/SER_summary!U$26)</f>
        <v>14.525286538242167</v>
      </c>
      <c r="V22" s="132">
        <f>IF(SER_hh_tesh!V22=0,0,SER_hh_tesh!V22/SER_summary!V$26)</f>
        <v>14.067329186052437</v>
      </c>
      <c r="W22" s="132">
        <f>IF(SER_hh_tesh!W22=0,0,SER_hh_tesh!W22/SER_summary!W$26)</f>
        <v>14.920091517386009</v>
      </c>
      <c r="X22" s="132">
        <f>IF(SER_hh_tesh!X22=0,0,SER_hh_tesh!X22/SER_summary!X$26)</f>
        <v>16.139980122503189</v>
      </c>
      <c r="Y22" s="132">
        <f>IF(SER_hh_tesh!Y22=0,0,SER_hh_tesh!Y22/SER_summary!Y$26)</f>
        <v>16.282876983349418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14.309831407042081</v>
      </c>
      <c r="C23" s="132">
        <f>IF(SER_hh_tesh!C23=0,0,SER_hh_tesh!C23/SER_summary!C$26)</f>
        <v>14.53365239415878</v>
      </c>
      <c r="D23" s="132">
        <f>IF(SER_hh_tesh!D23=0,0,SER_hh_tesh!D23/SER_summary!D$26)</f>
        <v>14.523772690330903</v>
      </c>
      <c r="E23" s="132">
        <f>IF(SER_hh_tesh!E23=0,0,SER_hh_tesh!E23/SER_summary!E$26)</f>
        <v>14.730069378079891</v>
      </c>
      <c r="F23" s="132">
        <f>IF(SER_hh_tesh!F23=0,0,SER_hh_tesh!F23/SER_summary!F$26)</f>
        <v>14.386128700107999</v>
      </c>
      <c r="G23" s="132">
        <f>IF(SER_hh_tesh!G23=0,0,SER_hh_tesh!G23/SER_summary!G$26)</f>
        <v>14.268626670707468</v>
      </c>
      <c r="H23" s="132">
        <f>IF(SER_hh_tesh!H23=0,0,SER_hh_tesh!H23/SER_summary!H$26)</f>
        <v>14.120611460465989</v>
      </c>
      <c r="I23" s="132">
        <f>IF(SER_hh_tesh!I23=0,0,SER_hh_tesh!I23/SER_summary!I$26)</f>
        <v>14.049624436431118</v>
      </c>
      <c r="J23" s="132">
        <f>IF(SER_hh_tesh!J23=0,0,SER_hh_tesh!J23/SER_summary!J$26)</f>
        <v>14.083704984112863</v>
      </c>
      <c r="K23" s="132">
        <f>IF(SER_hh_tesh!K23=0,0,SER_hh_tesh!K23/SER_summary!K$26)</f>
        <v>14.411471122749004</v>
      </c>
      <c r="L23" s="132">
        <f>IF(SER_hh_tesh!L23=0,0,SER_hh_tesh!L23/SER_summary!L$26)</f>
        <v>14.483144807851406</v>
      </c>
      <c r="M23" s="132">
        <f>IF(SER_hh_tesh!M23=0,0,SER_hh_tesh!M23/SER_summary!M$26)</f>
        <v>14.67986946443235</v>
      </c>
      <c r="N23" s="132">
        <f>IF(SER_hh_tesh!N23=0,0,SER_hh_tesh!N23/SER_summary!N$26)</f>
        <v>15.163780191884499</v>
      </c>
      <c r="O23" s="132">
        <f>IF(SER_hh_tesh!O23=0,0,SER_hh_tesh!O23/SER_summary!O$26)</f>
        <v>15.546904573522292</v>
      </c>
      <c r="P23" s="132">
        <f>IF(SER_hh_tesh!P23=0,0,SER_hh_tesh!P23/SER_summary!P$26)</f>
        <v>15.533304681670007</v>
      </c>
      <c r="Q23" s="132">
        <f>IF(SER_hh_tesh!Q23=0,0,SER_hh_tesh!Q23/SER_summary!Q$26)</f>
        <v>15.744828950618757</v>
      </c>
      <c r="R23" s="132">
        <f>IF(SER_hh_tesh!R23=0,0,SER_hh_tesh!R23/SER_summary!R$26)</f>
        <v>15.835951166937642</v>
      </c>
      <c r="S23" s="132">
        <f>IF(SER_hh_tesh!S23=0,0,SER_hh_tesh!S23/SER_summary!S$26)</f>
        <v>15.95241432334995</v>
      </c>
      <c r="T23" s="132">
        <f>IF(SER_hh_tesh!T23=0,0,SER_hh_tesh!T23/SER_summary!T$26)</f>
        <v>15.796006415076222</v>
      </c>
      <c r="U23" s="132">
        <f>IF(SER_hh_tesh!U23=0,0,SER_hh_tesh!U23/SER_summary!U$26)</f>
        <v>15.388583661705413</v>
      </c>
      <c r="V23" s="132">
        <f>IF(SER_hh_tesh!V23=0,0,SER_hh_tesh!V23/SER_summary!V$26)</f>
        <v>15.007166966140206</v>
      </c>
      <c r="W23" s="132">
        <f>IF(SER_hh_tesh!W23=0,0,SER_hh_tesh!W23/SER_summary!W$26)</f>
        <v>16.69223630360294</v>
      </c>
      <c r="X23" s="132">
        <f>IF(SER_hh_tesh!X23=0,0,SER_hh_tesh!X23/SER_summary!X$26)</f>
        <v>15.388094592334024</v>
      </c>
      <c r="Y23" s="132">
        <f>IF(SER_hh_tesh!Y23=0,0,SER_hh_tesh!Y23/SER_summary!Y$26)</f>
        <v>15.433592551589919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14.365795084206519</v>
      </c>
      <c r="C25" s="132">
        <f>IF(SER_hh_tesh!C25=0,0,SER_hh_tesh!C25/SER_summary!C$26)</f>
        <v>14.365062748166993</v>
      </c>
      <c r="D25" s="132">
        <f>IF(SER_hh_tesh!D25=0,0,SER_hh_tesh!D25/SER_summary!D$26)</f>
        <v>14.665396073121265</v>
      </c>
      <c r="E25" s="132">
        <f>IF(SER_hh_tesh!E25=0,0,SER_hh_tesh!E25/SER_summary!E$26)</f>
        <v>14.63337570992895</v>
      </c>
      <c r="F25" s="132">
        <f>IF(SER_hh_tesh!F25=0,0,SER_hh_tesh!F25/SER_summary!F$26)</f>
        <v>14.410875448367619</v>
      </c>
      <c r="G25" s="132">
        <f>IF(SER_hh_tesh!G25=0,0,SER_hh_tesh!G25/SER_summary!G$26)</f>
        <v>14.304978467652601</v>
      </c>
      <c r="H25" s="132">
        <f>IF(SER_hh_tesh!H25=0,0,SER_hh_tesh!H25/SER_summary!H$26)</f>
        <v>14.230877766629311</v>
      </c>
      <c r="I25" s="132">
        <f>IF(SER_hh_tesh!I25=0,0,SER_hh_tesh!I25/SER_summary!I$26)</f>
        <v>14.09187574445882</v>
      </c>
      <c r="J25" s="132">
        <f>IF(SER_hh_tesh!J25=0,0,SER_hh_tesh!J25/SER_summary!J$26)</f>
        <v>13.933099285811272</v>
      </c>
      <c r="K25" s="132">
        <f>IF(SER_hh_tesh!K25=0,0,SER_hh_tesh!K25/SER_summary!K$26)</f>
        <v>13.675596690126268</v>
      </c>
      <c r="L25" s="132">
        <f>IF(SER_hh_tesh!L25=0,0,SER_hh_tesh!L25/SER_summary!L$26)</f>
        <v>15.290411726374316</v>
      </c>
      <c r="M25" s="132">
        <f>IF(SER_hh_tesh!M25=0,0,SER_hh_tesh!M25/SER_summary!M$26)</f>
        <v>15.017917896421388</v>
      </c>
      <c r="N25" s="132">
        <f>IF(SER_hh_tesh!N25=0,0,SER_hh_tesh!N25/SER_summary!N$26)</f>
        <v>15.02925254455789</v>
      </c>
      <c r="O25" s="132">
        <f>IF(SER_hh_tesh!O25=0,0,SER_hh_tesh!O25/SER_summary!O$26)</f>
        <v>15.690717806827795</v>
      </c>
      <c r="P25" s="132">
        <f>IF(SER_hh_tesh!P25=0,0,SER_hh_tesh!P25/SER_summary!P$26)</f>
        <v>14.917694554247907</v>
      </c>
      <c r="Q25" s="132">
        <f>IF(SER_hh_tesh!Q25=0,0,SER_hh_tesh!Q25/SER_summary!Q$26)</f>
        <v>15.736844545374863</v>
      </c>
      <c r="R25" s="132">
        <f>IF(SER_hh_tesh!R25=0,0,SER_hh_tesh!R25/SER_summary!R$26)</f>
        <v>16.06410303141584</v>
      </c>
      <c r="S25" s="132">
        <f>IF(SER_hh_tesh!S25=0,0,SER_hh_tesh!S25/SER_summary!S$26)</f>
        <v>15.991416520820817</v>
      </c>
      <c r="T25" s="132">
        <f>IF(SER_hh_tesh!T25=0,0,SER_hh_tesh!T25/SER_summary!T$26)</f>
        <v>15.840452546481398</v>
      </c>
      <c r="U25" s="132">
        <f>IF(SER_hh_tesh!U25=0,0,SER_hh_tesh!U25/SER_summary!U$26)</f>
        <v>15.535606847800908</v>
      </c>
      <c r="V25" s="132">
        <f>IF(SER_hh_tesh!V25=0,0,SER_hh_tesh!V25/SER_summary!V$26)</f>
        <v>14.215726468114207</v>
      </c>
      <c r="W25" s="132">
        <f>IF(SER_hh_tesh!W25=0,0,SER_hh_tesh!W25/SER_summary!W$26)</f>
        <v>13.332646762528292</v>
      </c>
      <c r="X25" s="132">
        <f>IF(SER_hh_tesh!X25=0,0,SER_hh_tesh!X25/SER_summary!X$26)</f>
        <v>16.807937358408086</v>
      </c>
      <c r="Y25" s="132">
        <f>IF(SER_hh_tesh!Y25=0,0,SER_hh_tesh!Y25/SER_summary!Y$26)</f>
        <v>16.538355371478691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13.944506054654703</v>
      </c>
      <c r="C26" s="65">
        <f>IF(SER_hh_tesh!C26=0,0,SER_hh_tesh!C26/SER_summary!C$26)</f>
        <v>13.61339739622726</v>
      </c>
      <c r="D26" s="65">
        <f>IF(SER_hh_tesh!D26=0,0,SER_hh_tesh!D26/SER_summary!D$26)</f>
        <v>15.407186232005328</v>
      </c>
      <c r="E26" s="65">
        <f>IF(SER_hh_tesh!E26=0,0,SER_hh_tesh!E26/SER_summary!E$26)</f>
        <v>16.495297169625566</v>
      </c>
      <c r="F26" s="65">
        <f>IF(SER_hh_tesh!F26=0,0,SER_hh_tesh!F26/SER_summary!F$26)</f>
        <v>13.267738156144071</v>
      </c>
      <c r="G26" s="65">
        <f>IF(SER_hh_tesh!G26=0,0,SER_hh_tesh!G26/SER_summary!G$26)</f>
        <v>13.732212064993277</v>
      </c>
      <c r="H26" s="65">
        <f>IF(SER_hh_tesh!H26=0,0,SER_hh_tesh!H26/SER_summary!H$26)</f>
        <v>14.235972823798294</v>
      </c>
      <c r="I26" s="65">
        <f>IF(SER_hh_tesh!I26=0,0,SER_hh_tesh!I26/SER_summary!I$26)</f>
        <v>14.001034090035045</v>
      </c>
      <c r="J26" s="65">
        <f>IF(SER_hh_tesh!J26=0,0,SER_hh_tesh!J26/SER_summary!J$26)</f>
        <v>14.257923690587511</v>
      </c>
      <c r="K26" s="65">
        <f>IF(SER_hh_tesh!K26=0,0,SER_hh_tesh!K26/SER_summary!K$26)</f>
        <v>14.360889425150953</v>
      </c>
      <c r="L26" s="65">
        <f>IF(SER_hh_tesh!L26=0,0,SER_hh_tesh!L26/SER_summary!L$26)</f>
        <v>14.415110289974033</v>
      </c>
      <c r="M26" s="65">
        <f>IF(SER_hh_tesh!M26=0,0,SER_hh_tesh!M26/SER_summary!M$26)</f>
        <v>14.628805228089618</v>
      </c>
      <c r="N26" s="65">
        <f>IF(SER_hh_tesh!N26=0,0,SER_hh_tesh!N26/SER_summary!N$26)</f>
        <v>14.853418927101593</v>
      </c>
      <c r="O26" s="65">
        <f>IF(SER_hh_tesh!O26=0,0,SER_hh_tesh!O26/SER_summary!O$26)</f>
        <v>15.317051096274239</v>
      </c>
      <c r="P26" s="65">
        <f>IF(SER_hh_tesh!P26=0,0,SER_hh_tesh!P26/SER_summary!P$26)</f>
        <v>15.663642492519934</v>
      </c>
      <c r="Q26" s="65">
        <f>IF(SER_hh_tesh!Q26=0,0,SER_hh_tesh!Q26/SER_summary!Q$26)</f>
        <v>15.267008853404469</v>
      </c>
      <c r="R26" s="65">
        <f>IF(SER_hh_tesh!R26=0,0,SER_hh_tesh!R26/SER_summary!R$26)</f>
        <v>15.801099735748885</v>
      </c>
      <c r="S26" s="65">
        <f>IF(SER_hh_tesh!S26=0,0,SER_hh_tesh!S26/SER_summary!S$26)</f>
        <v>15.928361348927092</v>
      </c>
      <c r="T26" s="65">
        <f>IF(SER_hh_tesh!T26=0,0,SER_hh_tesh!T26/SER_summary!T$26)</f>
        <v>16.095126685638196</v>
      </c>
      <c r="U26" s="65">
        <f>IF(SER_hh_tesh!U26=0,0,SER_hh_tesh!U26/SER_summary!U$26)</f>
        <v>15.408735150827788</v>
      </c>
      <c r="V26" s="65">
        <f>IF(SER_hh_tesh!V26=0,0,SER_hh_tesh!V26/SER_summary!V$26)</f>
        <v>14.208417683085131</v>
      </c>
      <c r="W26" s="65">
        <f>IF(SER_hh_tesh!W26=0,0,SER_hh_tesh!W26/SER_summary!W$26)</f>
        <v>14.054272366992366</v>
      </c>
      <c r="X26" s="65">
        <f>IF(SER_hh_tesh!X26=0,0,SER_hh_tesh!X26/SER_summary!X$26)</f>
        <v>15.77170907506966</v>
      </c>
      <c r="Y26" s="65">
        <f>IF(SER_hh_tesh!Y26=0,0,SER_hh_tesh!Y26/SER_summary!Y$26)</f>
        <v>16.621830780946965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3.6482650754140443E-2</v>
      </c>
      <c r="C27" s="145">
        <f>IF(SER_hh_tesh!C27=0,0,SER_hh_tesh!C27/SER_summary!C$26)</f>
        <v>1.097028016643448E-2</v>
      </c>
      <c r="D27" s="145">
        <f>IF(SER_hh_tesh!D27=0,0,SER_hh_tesh!D27/SER_summary!D$26)</f>
        <v>1.1968937222428035E-2</v>
      </c>
      <c r="E27" s="145">
        <f>IF(SER_hh_tesh!E27=0,0,SER_hh_tesh!E27/SER_summary!E$26)</f>
        <v>1.7754201878611757E-2</v>
      </c>
      <c r="F27" s="145">
        <f>IF(SER_hh_tesh!F27=0,0,SER_hh_tesh!F27/SER_summary!F$26)</f>
        <v>1.876862732435541E-2</v>
      </c>
      <c r="G27" s="145">
        <f>IF(SER_hh_tesh!G27=0,0,SER_hh_tesh!G27/SER_summary!G$26)</f>
        <v>1.844257871731797E-2</v>
      </c>
      <c r="H27" s="145">
        <f>IF(SER_hh_tesh!H27=0,0,SER_hh_tesh!H27/SER_summary!H$26)</f>
        <v>2.2211202143624539E-2</v>
      </c>
      <c r="I27" s="145">
        <f>IF(SER_hh_tesh!I27=0,0,SER_hh_tesh!I27/SER_summary!I$26)</f>
        <v>3.117940336845108E-2</v>
      </c>
      <c r="J27" s="145">
        <f>IF(SER_hh_tesh!J27=0,0,SER_hh_tesh!J27/SER_summary!J$26)</f>
        <v>4.1395554069392042E-2</v>
      </c>
      <c r="K27" s="145">
        <f>IF(SER_hh_tesh!K27=0,0,SER_hh_tesh!K27/SER_summary!K$26)</f>
        <v>8.5999315430604184E-2</v>
      </c>
      <c r="L27" s="145">
        <f>IF(SER_hh_tesh!L27=0,0,SER_hh_tesh!L27/SER_summary!L$26)</f>
        <v>4.3705245365190409E-2</v>
      </c>
      <c r="M27" s="145">
        <f>IF(SER_hh_tesh!M27=0,0,SER_hh_tesh!M27/SER_summary!M$26)</f>
        <v>4.6132676207093458E-2</v>
      </c>
      <c r="N27" s="145">
        <f>IF(SER_hh_tesh!N27=0,0,SER_hh_tesh!N27/SER_summary!N$26)</f>
        <v>4.56529488219257E-2</v>
      </c>
      <c r="O27" s="145">
        <f>IF(SER_hh_tesh!O27=0,0,SER_hh_tesh!O27/SER_summary!O$26)</f>
        <v>4.8213753443768E-2</v>
      </c>
      <c r="P27" s="145">
        <f>IF(SER_hh_tesh!P27=0,0,SER_hh_tesh!P27/SER_summary!P$26)</f>
        <v>5.3728789930733094E-2</v>
      </c>
      <c r="Q27" s="145">
        <f>IF(SER_hh_tesh!Q27=0,0,SER_hh_tesh!Q27/SER_summary!Q$26)</f>
        <v>5.7979342486474877E-2</v>
      </c>
      <c r="R27" s="145">
        <f>IF(SER_hh_tesh!R27=0,0,SER_hh_tesh!R27/SER_summary!R$26)</f>
        <v>7.1053488883362118E-2</v>
      </c>
      <c r="S27" s="145">
        <f>IF(SER_hh_tesh!S27=0,0,SER_hh_tesh!S27/SER_summary!S$26)</f>
        <v>7.2395678094288471E-2</v>
      </c>
      <c r="T27" s="145">
        <f>IF(SER_hh_tesh!T27=0,0,SER_hh_tesh!T27/SER_summary!T$26)</f>
        <v>7.9991954737058266E-2</v>
      </c>
      <c r="U27" s="145">
        <f>IF(SER_hh_tesh!U27=0,0,SER_hh_tesh!U27/SER_summary!U$26)</f>
        <v>7.6944368008449213E-2</v>
      </c>
      <c r="V27" s="145">
        <f>IF(SER_hh_tesh!V27=0,0,SER_hh_tesh!V27/SER_summary!V$26)</f>
        <v>8.0759085463686334E-2</v>
      </c>
      <c r="W27" s="145">
        <f>IF(SER_hh_tesh!W27=0,0,SER_hh_tesh!W27/SER_summary!W$26)</f>
        <v>7.3342871704930077E-2</v>
      </c>
      <c r="X27" s="145">
        <f>IF(SER_hh_tesh!X27=0,0,SER_hh_tesh!X27/SER_summary!X$26)</f>
        <v>7.9776463332683969E-2</v>
      </c>
      <c r="Y27" s="145">
        <f>IF(SER_hh_tesh!Y27=0,0,SER_hh_tesh!Y27/SER_summary!Y$26)</f>
        <v>7.2274387690932265E-2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8.3109124684371185</v>
      </c>
      <c r="C28" s="146">
        <f>IF(SER_hh_tesh!C28=0,0,SER_hh_tesh!C28/SER_summary!C$26)</f>
        <v>8.4865852371045705</v>
      </c>
      <c r="D28" s="146">
        <f>IF(SER_hh_tesh!D28=0,0,SER_hh_tesh!D28/SER_summary!D$26)</f>
        <v>8.5923871471007729</v>
      </c>
      <c r="E28" s="146">
        <f>IF(SER_hh_tesh!E28=0,0,SER_hh_tesh!E28/SER_summary!E$26)</f>
        <v>8.7122226692884706</v>
      </c>
      <c r="F28" s="146">
        <f>IF(SER_hh_tesh!F28=0,0,SER_hh_tesh!F28/SER_summary!F$26)</f>
        <v>8.5650423217419096</v>
      </c>
      <c r="G28" s="146">
        <f>IF(SER_hh_tesh!G28=0,0,SER_hh_tesh!G28/SER_summary!G$26)</f>
        <v>8.3594711106800332</v>
      </c>
      <c r="H28" s="146">
        <f>IF(SER_hh_tesh!H28=0,0,SER_hh_tesh!H28/SER_summary!H$26)</f>
        <v>8.3221605178200324</v>
      </c>
      <c r="I28" s="146">
        <f>IF(SER_hh_tesh!I28=0,0,SER_hh_tesh!I28/SER_summary!I$26)</f>
        <v>7.9436620231517638</v>
      </c>
      <c r="J28" s="146">
        <f>IF(SER_hh_tesh!J28=0,0,SER_hh_tesh!J28/SER_summary!J$26)</f>
        <v>8.4941765143800652</v>
      </c>
      <c r="K28" s="146">
        <f>IF(SER_hh_tesh!K28=0,0,SER_hh_tesh!K28/SER_summary!K$26)</f>
        <v>8.4881631975357532</v>
      </c>
      <c r="L28" s="146">
        <f>IF(SER_hh_tesh!L28=0,0,SER_hh_tesh!L28/SER_summary!L$26)</f>
        <v>8.4934320950718245</v>
      </c>
      <c r="M28" s="146">
        <f>IF(SER_hh_tesh!M28=0,0,SER_hh_tesh!M28/SER_summary!M$26)</f>
        <v>8.8534445163734841</v>
      </c>
      <c r="N28" s="146">
        <f>IF(SER_hh_tesh!N28=0,0,SER_hh_tesh!N28/SER_summary!N$26)</f>
        <v>9.0459392954600766</v>
      </c>
      <c r="O28" s="146">
        <f>IF(SER_hh_tesh!O28=0,0,SER_hh_tesh!O28/SER_summary!O$26)</f>
        <v>10.304775538984886</v>
      </c>
      <c r="P28" s="146">
        <f>IF(SER_hh_tesh!P28=0,0,SER_hh_tesh!P28/SER_summary!P$26)</f>
        <v>10.732397667976299</v>
      </c>
      <c r="Q28" s="146">
        <f>IF(SER_hh_tesh!Q28=0,0,SER_hh_tesh!Q28/SER_summary!Q$26)</f>
        <v>10.354570688821434</v>
      </c>
      <c r="R28" s="146">
        <f>IF(SER_hh_tesh!R28=0,0,SER_hh_tesh!R28/SER_summary!R$26)</f>
        <v>9.3430537172022952</v>
      </c>
      <c r="S28" s="146">
        <f>IF(SER_hh_tesh!S28=0,0,SER_hh_tesh!S28/SER_summary!S$26)</f>
        <v>9.0514612401187193</v>
      </c>
      <c r="T28" s="146">
        <f>IF(SER_hh_tesh!T28=0,0,SER_hh_tesh!T28/SER_summary!T$26)</f>
        <v>9.6839930170036208</v>
      </c>
      <c r="U28" s="146">
        <f>IF(SER_hh_tesh!U28=0,0,SER_hh_tesh!U28/SER_summary!U$26)</f>
        <v>9.2112504535363264</v>
      </c>
      <c r="V28" s="146">
        <f>IF(SER_hh_tesh!V28=0,0,SER_hh_tesh!V28/SER_summary!V$26)</f>
        <v>10.533872909600872</v>
      </c>
      <c r="W28" s="146">
        <f>IF(SER_hh_tesh!W28=0,0,SER_hh_tesh!W28/SER_summary!W$26)</f>
        <v>11.662795421862054</v>
      </c>
      <c r="X28" s="146">
        <f>IF(SER_hh_tesh!X28=0,0,SER_hh_tesh!X28/SER_summary!X$26)</f>
        <v>10.372764162729087</v>
      </c>
      <c r="Y28" s="146">
        <f>IF(SER_hh_tesh!Y28=0,0,SER_hh_tesh!Y28/SER_summary!Y$26)</f>
        <v>9.9644263169846745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11.356337594292512</v>
      </c>
      <c r="C29" s="130">
        <f>IF(SER_hh_tesh!C29=0,0,SER_hh_tesh!C29/SER_summary!C$26)</f>
        <v>11.701044625416708</v>
      </c>
      <c r="D29" s="130">
        <f>IF(SER_hh_tesh!D29=0,0,SER_hh_tesh!D29/SER_summary!D$26)</f>
        <v>12.343493380240695</v>
      </c>
      <c r="E29" s="130">
        <f>IF(SER_hh_tesh!E29=0,0,SER_hh_tesh!E29/SER_summary!E$26)</f>
        <v>12.660910228256485</v>
      </c>
      <c r="F29" s="130">
        <f>IF(SER_hh_tesh!F29=0,0,SER_hh_tesh!F29/SER_summary!F$26)</f>
        <v>11.844673099388022</v>
      </c>
      <c r="G29" s="130">
        <f>IF(SER_hh_tesh!G29=0,0,SER_hh_tesh!G29/SER_summary!G$26)</f>
        <v>12.130427342662498</v>
      </c>
      <c r="H29" s="130">
        <f>IF(SER_hh_tesh!H29=0,0,SER_hh_tesh!H29/SER_summary!H$26)</f>
        <v>12.210791632982447</v>
      </c>
      <c r="I29" s="130">
        <f>IF(SER_hh_tesh!I29=0,0,SER_hh_tesh!I29/SER_summary!I$26)</f>
        <v>12.555702813603684</v>
      </c>
      <c r="J29" s="130">
        <f>IF(SER_hh_tesh!J29=0,0,SER_hh_tesh!J29/SER_summary!J$26)</f>
        <v>12.707382575281065</v>
      </c>
      <c r="K29" s="130">
        <f>IF(SER_hh_tesh!K29=0,0,SER_hh_tesh!K29/SER_summary!K$26)</f>
        <v>13.02174771671487</v>
      </c>
      <c r="L29" s="130">
        <f>IF(SER_hh_tesh!L29=0,0,SER_hh_tesh!L29/SER_summary!L$26)</f>
        <v>13.032222702846449</v>
      </c>
      <c r="M29" s="130">
        <f>IF(SER_hh_tesh!M29=0,0,SER_hh_tesh!M29/SER_summary!M$26)</f>
        <v>13.135480301785584</v>
      </c>
      <c r="N29" s="130">
        <f>IF(SER_hh_tesh!N29=0,0,SER_hh_tesh!N29/SER_summary!N$26)</f>
        <v>13.570197019685887</v>
      </c>
      <c r="O29" s="130">
        <f>IF(SER_hh_tesh!O29=0,0,SER_hh_tesh!O29/SER_summary!O$26)</f>
        <v>13.682071102096385</v>
      </c>
      <c r="P29" s="130">
        <f>IF(SER_hh_tesh!P29=0,0,SER_hh_tesh!P29/SER_summary!P$26)</f>
        <v>14.299951100604666</v>
      </c>
      <c r="Q29" s="130">
        <f>IF(SER_hh_tesh!Q29=0,0,SER_hh_tesh!Q29/SER_summary!Q$26)</f>
        <v>14.675401541673402</v>
      </c>
      <c r="R29" s="130">
        <f>IF(SER_hh_tesh!R29=0,0,SER_hh_tesh!R29/SER_summary!R$26)</f>
        <v>14.894623379402736</v>
      </c>
      <c r="S29" s="130">
        <f>IF(SER_hh_tesh!S29=0,0,SER_hh_tesh!S29/SER_summary!S$26)</f>
        <v>14.990218037507436</v>
      </c>
      <c r="T29" s="130">
        <f>IF(SER_hh_tesh!T29=0,0,SER_hh_tesh!T29/SER_summary!T$26)</f>
        <v>15.061017498397204</v>
      </c>
      <c r="U29" s="130">
        <f>IF(SER_hh_tesh!U29=0,0,SER_hh_tesh!U29/SER_summary!U$26)</f>
        <v>14.556045505997467</v>
      </c>
      <c r="V29" s="130">
        <f>IF(SER_hh_tesh!V29=0,0,SER_hh_tesh!V29/SER_summary!V$26)</f>
        <v>13.841505710300591</v>
      </c>
      <c r="W29" s="130">
        <f>IF(SER_hh_tesh!W29=0,0,SER_hh_tesh!W29/SER_summary!W$26)</f>
        <v>14.414693472345785</v>
      </c>
      <c r="X29" s="130">
        <f>IF(SER_hh_tesh!X29=0,0,SER_hh_tesh!X29/SER_summary!X$26)</f>
        <v>14.530169137987341</v>
      </c>
      <c r="Y29" s="130">
        <f>IF(SER_hh_tesh!Y29=0,0,SER_hh_tesh!Y29/SER_summary!Y$26)</f>
        <v>14.778277950867729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11.543799142033423</v>
      </c>
      <c r="C30" s="132">
        <f>IF(SER_hh_tesh!C30=0,0,SER_hh_tesh!C30/SER_summary!C$26)</f>
        <v>12.423581163590834</v>
      </c>
      <c r="D30" s="132">
        <f>IF(SER_hh_tesh!D30=0,0,SER_hh_tesh!D30/SER_summary!D$26)</f>
        <v>11.714593159890107</v>
      </c>
      <c r="E30" s="132">
        <f>IF(SER_hh_tesh!E30=0,0,SER_hh_tesh!E30/SER_summary!E$26)</f>
        <v>11.401519224218525</v>
      </c>
      <c r="F30" s="132">
        <f>IF(SER_hh_tesh!F30=0,0,SER_hh_tesh!F30/SER_summary!F$26)</f>
        <v>15.52298282616696</v>
      </c>
      <c r="G30" s="132">
        <f>IF(SER_hh_tesh!G30=0,0,SER_hh_tesh!G30/SER_summary!G$26)</f>
        <v>5.911545720672204</v>
      </c>
      <c r="H30" s="132">
        <f>IF(SER_hh_tesh!H30=0,0,SER_hh_tesh!H30/SER_summary!H$26)</f>
        <v>8.35136341475493</v>
      </c>
      <c r="I30" s="132">
        <f>IF(SER_hh_tesh!I30=0,0,SER_hh_tesh!I30/SER_summary!I$26)</f>
        <v>11.166156265837984</v>
      </c>
      <c r="J30" s="132">
        <f>IF(SER_hh_tesh!J30=0,0,SER_hh_tesh!J30/SER_summary!J$26)</f>
        <v>13.117829770128314</v>
      </c>
      <c r="K30" s="132">
        <f>IF(SER_hh_tesh!K30=0,0,SER_hh_tesh!K30/SER_summary!K$26)</f>
        <v>12.776833164400763</v>
      </c>
      <c r="L30" s="132">
        <f>IF(SER_hh_tesh!L30=0,0,SER_hh_tesh!L30/SER_summary!L$26)</f>
        <v>15.405178128606343</v>
      </c>
      <c r="M30" s="132">
        <f>IF(SER_hh_tesh!M30=0,0,SER_hh_tesh!M30/SER_summary!M$26)</f>
        <v>11.715474083230884</v>
      </c>
      <c r="N30" s="132">
        <f>IF(SER_hh_tesh!N30=0,0,SER_hh_tesh!N30/SER_summary!N$26)</f>
        <v>13.206943543278953</v>
      </c>
      <c r="O30" s="132">
        <f>IF(SER_hh_tesh!O30=0,0,SER_hh_tesh!O30/SER_summary!O$26)</f>
        <v>14.40327615844998</v>
      </c>
      <c r="P30" s="132">
        <f>IF(SER_hh_tesh!P30=0,0,SER_hh_tesh!P30/SER_summary!P$26)</f>
        <v>11.230206428434341</v>
      </c>
      <c r="Q30" s="132">
        <f>IF(SER_hh_tesh!Q30=0,0,SER_hh_tesh!Q30/SER_summary!Q$26)</f>
        <v>17.751069685975299</v>
      </c>
      <c r="R30" s="132">
        <f>IF(SER_hh_tesh!R30=0,0,SER_hh_tesh!R30/SER_summary!R$26)</f>
        <v>13.557984364320252</v>
      </c>
      <c r="S30" s="132">
        <f>IF(SER_hh_tesh!S30=0,0,SER_hh_tesh!S30/SER_summary!S$26)</f>
        <v>15.194566547375404</v>
      </c>
      <c r="T30" s="132">
        <f>IF(SER_hh_tesh!T30=0,0,SER_hh_tesh!T30/SER_summary!T$26)</f>
        <v>14.186734628366493</v>
      </c>
      <c r="U30" s="132">
        <f>IF(SER_hh_tesh!U30=0,0,SER_hh_tesh!U30/SER_summary!U$26)</f>
        <v>13.771347584841669</v>
      </c>
      <c r="V30" s="132">
        <f>IF(SER_hh_tesh!V30=0,0,SER_hh_tesh!V30/SER_summary!V$26)</f>
        <v>15.322256462569868</v>
      </c>
      <c r="W30" s="132">
        <f>IF(SER_hh_tesh!W30=0,0,SER_hh_tesh!W30/SER_summary!W$26)</f>
        <v>16.457474873154283</v>
      </c>
      <c r="X30" s="132">
        <f>IF(SER_hh_tesh!X30=0,0,SER_hh_tesh!X30/SER_summary!X$26)</f>
        <v>12.930130928182395</v>
      </c>
      <c r="Y30" s="132">
        <f>IF(SER_hh_tesh!Y30=0,0,SER_hh_tesh!Y30/SER_summary!Y$26)</f>
        <v>14.921661372991354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11.511110064961672</v>
      </c>
      <c r="C31" s="132">
        <f>IF(SER_hh_tesh!C31=0,0,SER_hh_tesh!C31/SER_summary!C$26)</f>
        <v>11.643744087957808</v>
      </c>
      <c r="D31" s="132">
        <f>IF(SER_hh_tesh!D31=0,0,SER_hh_tesh!D31/SER_summary!D$26)</f>
        <v>12.040612047160078</v>
      </c>
      <c r="E31" s="132">
        <f>IF(SER_hh_tesh!E31=0,0,SER_hh_tesh!E31/SER_summary!E$26)</f>
        <v>12.273812840684334</v>
      </c>
      <c r="F31" s="132">
        <f>IF(SER_hh_tesh!F31=0,0,SER_hh_tesh!F31/SER_summary!F$26)</f>
        <v>12.131240294920618</v>
      </c>
      <c r="G31" s="132">
        <f>IF(SER_hh_tesh!G31=0,0,SER_hh_tesh!G31/SER_summary!G$26)</f>
        <v>12.238917302295473</v>
      </c>
      <c r="H31" s="132">
        <f>IF(SER_hh_tesh!H31=0,0,SER_hh_tesh!H31/SER_summary!H$26)</f>
        <v>12.247026483633618</v>
      </c>
      <c r="I31" s="132">
        <f>IF(SER_hh_tesh!I31=0,0,SER_hh_tesh!I31/SER_summary!I$26)</f>
        <v>12.490857739499502</v>
      </c>
      <c r="J31" s="132">
        <f>IF(SER_hh_tesh!J31=0,0,SER_hh_tesh!J31/SER_summary!J$26)</f>
        <v>12.75841233552803</v>
      </c>
      <c r="K31" s="132">
        <f>IF(SER_hh_tesh!K31=0,0,SER_hh_tesh!K31/SER_summary!K$26)</f>
        <v>12.896297519481658</v>
      </c>
      <c r="L31" s="132">
        <f>IF(SER_hh_tesh!L31=0,0,SER_hh_tesh!L31/SER_summary!L$26)</f>
        <v>13.012525891439147</v>
      </c>
      <c r="M31" s="132">
        <f>IF(SER_hh_tesh!M31=0,0,SER_hh_tesh!M31/SER_summary!M$26)</f>
        <v>13.200793269926805</v>
      </c>
      <c r="N31" s="132">
        <f>IF(SER_hh_tesh!N31=0,0,SER_hh_tesh!N31/SER_summary!N$26)</f>
        <v>13.611939220178073</v>
      </c>
      <c r="O31" s="132">
        <f>IF(SER_hh_tesh!O31=0,0,SER_hh_tesh!O31/SER_summary!O$26)</f>
        <v>13.909763003878265</v>
      </c>
      <c r="P31" s="132">
        <f>IF(SER_hh_tesh!P31=0,0,SER_hh_tesh!P31/SER_summary!P$26)</f>
        <v>14.193807982530018</v>
      </c>
      <c r="Q31" s="132">
        <f>IF(SER_hh_tesh!Q31=0,0,SER_hh_tesh!Q31/SER_summary!Q$26)</f>
        <v>14.57633402243181</v>
      </c>
      <c r="R31" s="132">
        <f>IF(SER_hh_tesh!R31=0,0,SER_hh_tesh!R31/SER_summary!R$26)</f>
        <v>14.845950395227568</v>
      </c>
      <c r="S31" s="132">
        <f>IF(SER_hh_tesh!S31=0,0,SER_hh_tesh!S31/SER_summary!S$26)</f>
        <v>14.900600159025853</v>
      </c>
      <c r="T31" s="132">
        <f>IF(SER_hh_tesh!T31=0,0,SER_hh_tesh!T31/SER_summary!T$26)</f>
        <v>14.857600254033628</v>
      </c>
      <c r="U31" s="132">
        <f>IF(SER_hh_tesh!U31=0,0,SER_hh_tesh!U31/SER_summary!U$26)</f>
        <v>14.789709019925823</v>
      </c>
      <c r="V31" s="132">
        <f>IF(SER_hh_tesh!V31=0,0,SER_hh_tesh!V31/SER_summary!V$26)</f>
        <v>14.310836172571928</v>
      </c>
      <c r="W31" s="132">
        <f>IF(SER_hh_tesh!W31=0,0,SER_hh_tesh!W31/SER_summary!W$26)</f>
        <v>13.716919236469943</v>
      </c>
      <c r="X31" s="132">
        <f>IF(SER_hh_tesh!X31=0,0,SER_hh_tesh!X31/SER_summary!X$26)</f>
        <v>15.124840547003124</v>
      </c>
      <c r="Y31" s="132">
        <f>IF(SER_hh_tesh!Y31=0,0,SER_hh_tesh!Y31/SER_summary!Y$26)</f>
        <v>14.35806307413948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16.364355839455126</v>
      </c>
      <c r="K32" s="132">
        <f>IF(SER_hh_tesh!K32=0,0,SER_hh_tesh!K32/SER_summary!K$26)</f>
        <v>9.5033756833427425</v>
      </c>
      <c r="L32" s="132">
        <f>IF(SER_hh_tesh!L32=0,0,SER_hh_tesh!L32/SER_summary!L$26)</f>
        <v>16.462081275956479</v>
      </c>
      <c r="M32" s="132">
        <f>IF(SER_hh_tesh!M32=0,0,SER_hh_tesh!M32/SER_summary!M$26)</f>
        <v>15.564278612726806</v>
      </c>
      <c r="N32" s="132">
        <f>IF(SER_hh_tesh!N32=0,0,SER_hh_tesh!N32/SER_summary!N$26)</f>
        <v>8.2679550683725953</v>
      </c>
      <c r="O32" s="132">
        <f>IF(SER_hh_tesh!O32=0,0,SER_hh_tesh!O32/SER_summary!O$26)</f>
        <v>12.960505941544159</v>
      </c>
      <c r="P32" s="132">
        <f>IF(SER_hh_tesh!P32=0,0,SER_hh_tesh!P32/SER_summary!P$26)</f>
        <v>15.34476811883752</v>
      </c>
      <c r="Q32" s="132">
        <f>IF(SER_hh_tesh!Q32=0,0,SER_hh_tesh!Q32/SER_summary!Q$26)</f>
        <v>15.725603315690627</v>
      </c>
      <c r="R32" s="132">
        <f>IF(SER_hh_tesh!R32=0,0,SER_hh_tesh!R32/SER_summary!R$26)</f>
        <v>15.357815596100478</v>
      </c>
      <c r="S32" s="132">
        <f>IF(SER_hh_tesh!S32=0,0,SER_hh_tesh!S32/SER_summary!S$26)</f>
        <v>14.864242487670575</v>
      </c>
      <c r="T32" s="132">
        <f>IF(SER_hh_tesh!T32=0,0,SER_hh_tesh!T32/SER_summary!T$26)</f>
        <v>15.536997059998622</v>
      </c>
      <c r="U32" s="132">
        <f>IF(SER_hh_tesh!U32=0,0,SER_hh_tesh!U32/SER_summary!U$26)</f>
        <v>19.797095424486599</v>
      </c>
      <c r="V32" s="132">
        <f>IF(SER_hh_tesh!V32=0,0,SER_hh_tesh!V32/SER_summary!V$26)</f>
        <v>6.8796836286792278</v>
      </c>
      <c r="W32" s="132">
        <f>IF(SER_hh_tesh!W32=0,0,SER_hh_tesh!W32/SER_summary!W$26)</f>
        <v>10.691787723320122</v>
      </c>
      <c r="X32" s="132">
        <f>IF(SER_hh_tesh!X32=0,0,SER_hh_tesh!X32/SER_summary!X$26)</f>
        <v>13.472562226169813</v>
      </c>
      <c r="Y32" s="132">
        <f>IF(SER_hh_tesh!Y32=0,0,SER_hh_tesh!Y32/SER_summary!Y$26)</f>
        <v>14.866531748418447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10.784735974080863</v>
      </c>
      <c r="C33" s="68">
        <f>IF(SER_hh_tesh!C33=0,0,SER_hh_tesh!C33/SER_summary!C$26)</f>
        <v>11.22883521729465</v>
      </c>
      <c r="D33" s="68">
        <f>IF(SER_hh_tesh!D33=0,0,SER_hh_tesh!D33/SER_summary!D$26)</f>
        <v>13.0820122771818</v>
      </c>
      <c r="E33" s="68">
        <f>IF(SER_hh_tesh!E33=0,0,SER_hh_tesh!E33/SER_summary!E$26)</f>
        <v>13.526862819331649</v>
      </c>
      <c r="F33" s="68">
        <f>IF(SER_hh_tesh!F33=0,0,SER_hh_tesh!F33/SER_summary!F$26)</f>
        <v>10.736095983922366</v>
      </c>
      <c r="G33" s="68">
        <f>IF(SER_hh_tesh!G33=0,0,SER_hh_tesh!G33/SER_summary!G$26)</f>
        <v>12.675829456003013</v>
      </c>
      <c r="H33" s="68">
        <f>IF(SER_hh_tesh!H33=0,0,SER_hh_tesh!H33/SER_summary!H$26)</f>
        <v>12.417714478302084</v>
      </c>
      <c r="I33" s="68">
        <f>IF(SER_hh_tesh!I33=0,0,SER_hh_tesh!I33/SER_summary!I$26)</f>
        <v>12.668151104916767</v>
      </c>
      <c r="J33" s="68">
        <f>IF(SER_hh_tesh!J33=0,0,SER_hh_tesh!J33/SER_summary!J$26)</f>
        <v>12.639614726959152</v>
      </c>
      <c r="K33" s="68">
        <f>IF(SER_hh_tesh!K33=0,0,SER_hh_tesh!K33/SER_summary!K$26)</f>
        <v>13.147107787371164</v>
      </c>
      <c r="L33" s="68">
        <f>IF(SER_hh_tesh!L33=0,0,SER_hh_tesh!L33/SER_summary!L$26)</f>
        <v>12.914656314492019</v>
      </c>
      <c r="M33" s="68">
        <f>IF(SER_hh_tesh!M33=0,0,SER_hh_tesh!M33/SER_summary!M$26)</f>
        <v>13.138013905591627</v>
      </c>
      <c r="N33" s="68">
        <f>IF(SER_hh_tesh!N33=0,0,SER_hh_tesh!N33/SER_summary!N$26)</f>
        <v>13.57864329417686</v>
      </c>
      <c r="O33" s="68">
        <f>IF(SER_hh_tesh!O33=0,0,SER_hh_tesh!O33/SER_summary!O$26)</f>
        <v>13.490591426750603</v>
      </c>
      <c r="P33" s="68">
        <f>IF(SER_hh_tesh!P33=0,0,SER_hh_tesh!P33/SER_summary!P$26)</f>
        <v>14.489699556629207</v>
      </c>
      <c r="Q33" s="68">
        <f>IF(SER_hh_tesh!Q33=0,0,SER_hh_tesh!Q33/SER_summary!Q$26)</f>
        <v>14.592880865686999</v>
      </c>
      <c r="R33" s="68">
        <f>IF(SER_hh_tesh!R33=0,0,SER_hh_tesh!R33/SER_summary!R$26)</f>
        <v>14.979936713945495</v>
      </c>
      <c r="S33" s="68">
        <f>IF(SER_hh_tesh!S33=0,0,SER_hh_tesh!S33/SER_summary!S$26)</f>
        <v>15.038010713316803</v>
      </c>
      <c r="T33" s="68">
        <f>IF(SER_hh_tesh!T33=0,0,SER_hh_tesh!T33/SER_summary!T$26)</f>
        <v>15.224707896023402</v>
      </c>
      <c r="U33" s="68">
        <f>IF(SER_hh_tesh!U33=0,0,SER_hh_tesh!U33/SER_summary!U$26)</f>
        <v>14.416572554138302</v>
      </c>
      <c r="V33" s="68">
        <f>IF(SER_hh_tesh!V33=0,0,SER_hh_tesh!V33/SER_summary!V$26)</f>
        <v>13.502797522765823</v>
      </c>
      <c r="W33" s="68">
        <f>IF(SER_hh_tesh!W33=0,0,SER_hh_tesh!W33/SER_summary!W$26)</f>
        <v>14.712041439084395</v>
      </c>
      <c r="X33" s="68">
        <f>IF(SER_hh_tesh!X33=0,0,SER_hh_tesh!X33/SER_summary!X$26)</f>
        <v>14.281686758929514</v>
      </c>
      <c r="Y33" s="68">
        <f>IF(SER_hh_tesh!Y33=0,0,SER_hh_tesh!Y33/SER_summary!Y$26)</f>
        <v>14.993656858877198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35.928162334493479</v>
      </c>
      <c r="C3" s="125">
        <f>IF(SER_hh_emih!C3=0,0,SER_hh_emih!C3/SER_summary!C$26)</f>
        <v>37.224350085732375</v>
      </c>
      <c r="D3" s="125">
        <f>IF(SER_hh_emih!D3=0,0,SER_hh_emih!D3/SER_summary!D$26)</f>
        <v>39.370758919381849</v>
      </c>
      <c r="E3" s="125">
        <f>IF(SER_hh_emih!E3=0,0,SER_hh_emih!E3/SER_summary!E$26)</f>
        <v>42.156117243606545</v>
      </c>
      <c r="F3" s="125">
        <f>IF(SER_hh_emih!F3=0,0,SER_hh_emih!F3/SER_summary!F$26)</f>
        <v>40.445232061613261</v>
      </c>
      <c r="G3" s="125">
        <f>IF(SER_hh_emih!G3=0,0,SER_hh_emih!G3/SER_summary!G$26)</f>
        <v>38.991903780249011</v>
      </c>
      <c r="H3" s="125">
        <f>IF(SER_hh_emih!H3=0,0,SER_hh_emih!H3/SER_summary!H$26)</f>
        <v>35.682381893407026</v>
      </c>
      <c r="I3" s="125">
        <f>IF(SER_hh_emih!I3=0,0,SER_hh_emih!I3/SER_summary!I$26)</f>
        <v>31.655892101720671</v>
      </c>
      <c r="J3" s="125">
        <f>IF(SER_hh_emih!J3=0,0,SER_hh_emih!J3/SER_summary!J$26)</f>
        <v>36.570242536787731</v>
      </c>
      <c r="K3" s="125">
        <f>IF(SER_hh_emih!K3=0,0,SER_hh_emih!K3/SER_summary!K$26)</f>
        <v>34.513541844636073</v>
      </c>
      <c r="L3" s="125">
        <f>IF(SER_hh_emih!L3=0,0,SER_hh_emih!L3/SER_summary!L$26)</f>
        <v>37.216994445970819</v>
      </c>
      <c r="M3" s="125">
        <f>IF(SER_hh_emih!M3=0,0,SER_hh_emih!M3/SER_summary!M$26)</f>
        <v>30.262381455975842</v>
      </c>
      <c r="N3" s="125">
        <f>IF(SER_hh_emih!N3=0,0,SER_hh_emih!N3/SER_summary!N$26)</f>
        <v>32.009245623074136</v>
      </c>
      <c r="O3" s="125">
        <f>IF(SER_hh_emih!O3=0,0,SER_hh_emih!O3/SER_summary!O$26)</f>
        <v>35.14924508685057</v>
      </c>
      <c r="P3" s="125">
        <f>IF(SER_hh_emih!P3=0,0,SER_hh_emih!P3/SER_summary!P$26)</f>
        <v>27.631467355576138</v>
      </c>
      <c r="Q3" s="125">
        <f>IF(SER_hh_emih!Q3=0,0,SER_hh_emih!Q3/SER_summary!Q$26)</f>
        <v>31.686214188984906</v>
      </c>
      <c r="R3" s="125">
        <f>IF(SER_hh_emih!R3=0,0,SER_hh_emih!R3/SER_summary!R$26)</f>
        <v>31.332176123484707</v>
      </c>
      <c r="S3" s="125">
        <f>IF(SER_hh_emih!S3=0,0,SER_hh_emih!S3/SER_summary!S$26)</f>
        <v>30.906597276927261</v>
      </c>
      <c r="T3" s="125">
        <f>IF(SER_hh_emih!T3=0,0,SER_hh_emih!T3/SER_summary!T$26)</f>
        <v>30.524909140823159</v>
      </c>
      <c r="U3" s="125">
        <f>IF(SER_hh_emih!U3=0,0,SER_hh_emih!U3/SER_summary!U$26)</f>
        <v>27.915245075101556</v>
      </c>
      <c r="V3" s="125">
        <f>IF(SER_hh_emih!V3=0,0,SER_hh_emih!V3/SER_summary!V$26)</f>
        <v>27.202221216697371</v>
      </c>
      <c r="W3" s="125">
        <f>IF(SER_hh_emih!W3=0,0,SER_hh_emih!W3/SER_summary!W$26)</f>
        <v>28.097331710949312</v>
      </c>
      <c r="X3" s="125">
        <f>IF(SER_hh_emih!X3=0,0,SER_hh_emih!X3/SER_summary!X$26)</f>
        <v>22.274183875749102</v>
      </c>
      <c r="Y3" s="125">
        <f>IF(SER_hh_emih!Y3=0,0,SER_hh_emih!Y3/SER_summary!Y$26)</f>
        <v>20.789194001716755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28.380371956391457</v>
      </c>
      <c r="C4" s="130">
        <f>IF(SER_hh_emih!C4=0,0,SER_hh_emih!C4/SER_summary!C$26)</f>
        <v>29.765269071365289</v>
      </c>
      <c r="D4" s="130">
        <f>IF(SER_hh_emih!D4=0,0,SER_hh_emih!D4/SER_summary!D$26)</f>
        <v>32.44661403476961</v>
      </c>
      <c r="E4" s="130">
        <f>IF(SER_hh_emih!E4=0,0,SER_hh_emih!E4/SER_summary!E$26)</f>
        <v>35.460219697440856</v>
      </c>
      <c r="F4" s="130">
        <f>IF(SER_hh_emih!F4=0,0,SER_hh_emih!F4/SER_summary!F$26)</f>
        <v>33.883389656720375</v>
      </c>
      <c r="G4" s="130">
        <f>IF(SER_hh_emih!G4=0,0,SER_hh_emih!G4/SER_summary!G$26)</f>
        <v>33.010950405228876</v>
      </c>
      <c r="H4" s="130">
        <f>IF(SER_hh_emih!H4=0,0,SER_hh_emih!H4/SER_summary!H$26)</f>
        <v>29.847375733457522</v>
      </c>
      <c r="I4" s="130">
        <f>IF(SER_hh_emih!I4=0,0,SER_hh_emih!I4/SER_summary!I$26)</f>
        <v>25.95432787953612</v>
      </c>
      <c r="J4" s="130">
        <f>IF(SER_hh_emih!J4=0,0,SER_hh_emih!J4/SER_summary!J$26)</f>
        <v>30.9760031544219</v>
      </c>
      <c r="K4" s="130">
        <f>IF(SER_hh_emih!K4=0,0,SER_hh_emih!K4/SER_summary!K$26)</f>
        <v>28.894804315023819</v>
      </c>
      <c r="L4" s="130">
        <f>IF(SER_hh_emih!L4=0,0,SER_hh_emih!L4/SER_summary!L$26)</f>
        <v>31.668979288633654</v>
      </c>
      <c r="M4" s="130">
        <f>IF(SER_hh_emih!M4=0,0,SER_hh_emih!M4/SER_summary!M$26)</f>
        <v>24.789186520717148</v>
      </c>
      <c r="N4" s="130">
        <f>IF(SER_hh_emih!N4=0,0,SER_hh_emih!N4/SER_summary!N$26)</f>
        <v>26.504021475476634</v>
      </c>
      <c r="O4" s="130">
        <f>IF(SER_hh_emih!O4=0,0,SER_hh_emih!O4/SER_summary!O$26)</f>
        <v>29.630553020606712</v>
      </c>
      <c r="P4" s="130">
        <f>IF(SER_hh_emih!P4=0,0,SER_hh_emih!P4/SER_summary!P$26)</f>
        <v>22.23426977075713</v>
      </c>
      <c r="Q4" s="130">
        <f>IF(SER_hh_emih!Q4=0,0,SER_hh_emih!Q4/SER_summary!Q$26)</f>
        <v>26.213691902510586</v>
      </c>
      <c r="R4" s="130">
        <f>IF(SER_hh_emih!R4=0,0,SER_hh_emih!R4/SER_summary!R$26)</f>
        <v>26.004562704680151</v>
      </c>
      <c r="S4" s="130">
        <f>IF(SER_hh_emih!S4=0,0,SER_hh_emih!S4/SER_summary!S$26)</f>
        <v>25.641221298409356</v>
      </c>
      <c r="T4" s="130">
        <f>IF(SER_hh_emih!T4=0,0,SER_hh_emih!T4/SER_summary!T$26)</f>
        <v>25.391084340474293</v>
      </c>
      <c r="U4" s="130">
        <f>IF(SER_hh_emih!U4=0,0,SER_hh_emih!U4/SER_summary!U$26)</f>
        <v>23.066725187105</v>
      </c>
      <c r="V4" s="130">
        <f>IF(SER_hh_emih!V4=0,0,SER_hh_emih!V4/SER_summary!V$26)</f>
        <v>22.597316648526569</v>
      </c>
      <c r="W4" s="130">
        <f>IF(SER_hh_emih!W4=0,0,SER_hh_emih!W4/SER_summary!W$26)</f>
        <v>23.446893652866905</v>
      </c>
      <c r="X4" s="130">
        <f>IF(SER_hh_emih!X4=0,0,SER_hh_emih!X4/SER_summary!X$26)</f>
        <v>17.825630504902215</v>
      </c>
      <c r="Y4" s="130">
        <f>IF(SER_hh_emih!Y4=0,0,SER_hh_emih!Y4/SER_summary!Y$26)</f>
        <v>16.633128733468411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0</v>
      </c>
      <c r="C5" s="132">
        <f>IF(SER_hh_emih!C5=0,0,SER_hh_emih!C5/SER_summary!C$26)</f>
        <v>0</v>
      </c>
      <c r="D5" s="132">
        <f>IF(SER_hh_emih!D5=0,0,SER_hh_emih!D5/SER_summary!D$26)</f>
        <v>0</v>
      </c>
      <c r="E5" s="132">
        <f>IF(SER_hh_emih!E5=0,0,SER_hh_emih!E5/SER_summary!E$26)</f>
        <v>0</v>
      </c>
      <c r="F5" s="132">
        <f>IF(SER_hh_emih!F5=0,0,SER_hh_emih!F5/SER_summary!F$26)</f>
        <v>0</v>
      </c>
      <c r="G5" s="132">
        <f>IF(SER_hh_emih!G5=0,0,SER_hh_emih!G5/SER_summary!G$26)</f>
        <v>0</v>
      </c>
      <c r="H5" s="132">
        <f>IF(SER_hh_emih!H5=0,0,SER_hh_emih!H5/SER_summary!H$26)</f>
        <v>0</v>
      </c>
      <c r="I5" s="132">
        <f>IF(SER_hh_emih!I5=0,0,SER_hh_emih!I5/SER_summary!I$26)</f>
        <v>0</v>
      </c>
      <c r="J5" s="132">
        <f>IF(SER_hh_emih!J5=0,0,SER_hh_emih!J5/SER_summary!J$26)</f>
        <v>0</v>
      </c>
      <c r="K5" s="132">
        <f>IF(SER_hh_emih!K5=0,0,SER_hh_emih!K5/SER_summary!K$26)</f>
        <v>0</v>
      </c>
      <c r="L5" s="132">
        <f>IF(SER_hh_emih!L5=0,0,SER_hh_emih!L5/SER_summary!L$26)</f>
        <v>0</v>
      </c>
      <c r="M5" s="132">
        <f>IF(SER_hh_emih!M5=0,0,SER_hh_emih!M5/SER_summary!M$26)</f>
        <v>0</v>
      </c>
      <c r="N5" s="132">
        <f>IF(SER_hh_emih!N5=0,0,SER_hh_emih!N5/SER_summary!N$26)</f>
        <v>0</v>
      </c>
      <c r="O5" s="132">
        <f>IF(SER_hh_emih!O5=0,0,SER_hh_emih!O5/SER_summary!O$26)</f>
        <v>0</v>
      </c>
      <c r="P5" s="132">
        <f>IF(SER_hh_emih!P5=0,0,SER_hh_emih!P5/SER_summary!P$26)</f>
        <v>0</v>
      </c>
      <c r="Q5" s="132">
        <f>IF(SER_hh_emih!Q5=0,0,SER_hh_emih!Q5/SER_summary!Q$26)</f>
        <v>0</v>
      </c>
      <c r="R5" s="132">
        <f>IF(SER_hh_emih!R5=0,0,SER_hh_emih!R5/SER_summary!R$26)</f>
        <v>0</v>
      </c>
      <c r="S5" s="132">
        <f>IF(SER_hh_emih!S5=0,0,SER_hh_emih!S5/SER_summary!S$26)</f>
        <v>0</v>
      </c>
      <c r="T5" s="132">
        <f>IF(SER_hh_emih!T5=0,0,SER_hh_emih!T5/SER_summary!T$26)</f>
        <v>0</v>
      </c>
      <c r="U5" s="132">
        <f>IF(SER_hh_emih!U5=0,0,SER_hh_emih!U5/SER_summary!U$26)</f>
        <v>0</v>
      </c>
      <c r="V5" s="132">
        <f>IF(SER_hh_emih!V5=0,0,SER_hh_emih!V5/SER_summary!V$26)</f>
        <v>0</v>
      </c>
      <c r="W5" s="132">
        <f>IF(SER_hh_emih!W5=0,0,SER_hh_emih!W5/SER_summary!W$26)</f>
        <v>0</v>
      </c>
      <c r="X5" s="132">
        <f>IF(SER_hh_emih!X5=0,0,SER_hh_emih!X5/SER_summary!X$26)</f>
        <v>0</v>
      </c>
      <c r="Y5" s="132">
        <f>IF(SER_hh_emih!Y5=0,0,SER_hh_emih!Y5/SER_summary!Y$26)</f>
        <v>0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43.141646081573164</v>
      </c>
      <c r="C7" s="132">
        <f>IF(SER_hh_emih!C7=0,0,SER_hh_emih!C7/SER_summary!C$26)</f>
        <v>39.920268907934457</v>
      </c>
      <c r="D7" s="132">
        <f>IF(SER_hh_emih!D7=0,0,SER_hh_emih!D7/SER_summary!D$26)</f>
        <v>50.757937810173217</v>
      </c>
      <c r="E7" s="132">
        <f>IF(SER_hh_emih!E7=0,0,SER_hh_emih!E7/SER_summary!E$26)</f>
        <v>57.739844070594735</v>
      </c>
      <c r="F7" s="132">
        <f>IF(SER_hh_emih!F7=0,0,SER_hh_emih!F7/SER_summary!F$26)</f>
        <v>56.766839683131799</v>
      </c>
      <c r="G7" s="132">
        <f>IF(SER_hh_emih!G7=0,0,SER_hh_emih!G7/SER_summary!G$26)</f>
        <v>57.981502677536966</v>
      </c>
      <c r="H7" s="132">
        <f>IF(SER_hh_emih!H7=0,0,SER_hh_emih!H7/SER_summary!H$26)</f>
        <v>51.003845284725337</v>
      </c>
      <c r="I7" s="132">
        <f>IF(SER_hh_emih!I7=0,0,SER_hh_emih!I7/SER_summary!I$26)</f>
        <v>44.128629405610155</v>
      </c>
      <c r="J7" s="132">
        <f>IF(SER_hh_emih!J7=0,0,SER_hh_emih!J7/SER_summary!J$26)</f>
        <v>56.022722440541465</v>
      </c>
      <c r="K7" s="132">
        <f>IF(SER_hh_emih!K7=0,0,SER_hh_emih!K7/SER_summary!K$26)</f>
        <v>46.419518258504397</v>
      </c>
      <c r="L7" s="132">
        <f>IF(SER_hh_emih!L7=0,0,SER_hh_emih!L7/SER_summary!L$26)</f>
        <v>52.384358738259181</v>
      </c>
      <c r="M7" s="132">
        <f>IF(SER_hh_emih!M7=0,0,SER_hh_emih!M7/SER_summary!M$26)</f>
        <v>43.27511661886755</v>
      </c>
      <c r="N7" s="132">
        <f>IF(SER_hh_emih!N7=0,0,SER_hh_emih!N7/SER_summary!N$26)</f>
        <v>43.01550719791738</v>
      </c>
      <c r="O7" s="132">
        <f>IF(SER_hh_emih!O7=0,0,SER_hh_emih!O7/SER_summary!O$26)</f>
        <v>46.89116434449766</v>
      </c>
      <c r="P7" s="132">
        <f>IF(SER_hh_emih!P7=0,0,SER_hh_emih!P7/SER_summary!P$26)</f>
        <v>35.607280547015215</v>
      </c>
      <c r="Q7" s="132">
        <f>IF(SER_hh_emih!Q7=0,0,SER_hh_emih!Q7/SER_summary!Q$26)</f>
        <v>42.555002095139031</v>
      </c>
      <c r="R7" s="132">
        <f>IF(SER_hh_emih!R7=0,0,SER_hh_emih!R7/SER_summary!R$26)</f>
        <v>39.318397301518928</v>
      </c>
      <c r="S7" s="132">
        <f>IF(SER_hh_emih!S7=0,0,SER_hh_emih!S7/SER_summary!S$26)</f>
        <v>40.56468040175141</v>
      </c>
      <c r="T7" s="132">
        <f>IF(SER_hh_emih!T7=0,0,SER_hh_emih!T7/SER_summary!T$26)</f>
        <v>41.434063653928739</v>
      </c>
      <c r="U7" s="132">
        <f>IF(SER_hh_emih!U7=0,0,SER_hh_emih!U7/SER_summary!U$26)</f>
        <v>35.419689627498357</v>
      </c>
      <c r="V7" s="132">
        <f>IF(SER_hh_emih!V7=0,0,SER_hh_emih!V7/SER_summary!V$26)</f>
        <v>41.130887671126118</v>
      </c>
      <c r="W7" s="132">
        <f>IF(SER_hh_emih!W7=0,0,SER_hh_emih!W7/SER_summary!W$26)</f>
        <v>35.312300593465359</v>
      </c>
      <c r="X7" s="132">
        <f>IF(SER_hh_emih!X7=0,0,SER_hh_emih!X7/SER_summary!X$26)</f>
        <v>30.181009139341185</v>
      </c>
      <c r="Y7" s="132">
        <f>IF(SER_hh_emih!Y7=0,0,SER_hh_emih!Y7/SER_summary!Y$26)</f>
        <v>30.862174065383382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15.435160866392982</v>
      </c>
      <c r="C8" s="132">
        <f>IF(SER_hh_emih!C8=0,0,SER_hh_emih!C8/SER_summary!C$26)</f>
        <v>15.202975694237585</v>
      </c>
      <c r="D8" s="132">
        <f>IF(SER_hh_emih!D8=0,0,SER_hh_emih!D8/SER_summary!D$26)</f>
        <v>14.519589805264602</v>
      </c>
      <c r="E8" s="132">
        <f>IF(SER_hh_emih!E8=0,0,SER_hh_emih!E8/SER_summary!E$26)</f>
        <v>14.159461819782429</v>
      </c>
      <c r="F8" s="132">
        <f>IF(SER_hh_emih!F8=0,0,SER_hh_emih!F8/SER_summary!F$26)</f>
        <v>16.10379793161848</v>
      </c>
      <c r="G8" s="132">
        <f>IF(SER_hh_emih!G8=0,0,SER_hh_emih!G8/SER_summary!G$26)</f>
        <v>14.692345643651281</v>
      </c>
      <c r="H8" s="132">
        <f>IF(SER_hh_emih!H8=0,0,SER_hh_emih!H8/SER_summary!H$26)</f>
        <v>13.583083618625041</v>
      </c>
      <c r="I8" s="132">
        <f>IF(SER_hh_emih!I8=0,0,SER_hh_emih!I8/SER_summary!I$26)</f>
        <v>11.034049689032788</v>
      </c>
      <c r="J8" s="132">
        <f>IF(SER_hh_emih!J8=0,0,SER_hh_emih!J8/SER_summary!J$26)</f>
        <v>11.081215560523109</v>
      </c>
      <c r="K8" s="132">
        <f>IF(SER_hh_emih!K8=0,0,SER_hh_emih!K8/SER_summary!K$26)</f>
        <v>10.407257308989877</v>
      </c>
      <c r="L8" s="132">
        <f>IF(SER_hh_emih!L8=0,0,SER_hh_emih!L8/SER_summary!L$26)</f>
        <v>9.6103420468402163</v>
      </c>
      <c r="M8" s="132">
        <f>IF(SER_hh_emih!M8=0,0,SER_hh_emih!M8/SER_summary!M$26)</f>
        <v>7.2334169155608237</v>
      </c>
      <c r="N8" s="132">
        <f>IF(SER_hh_emih!N8=0,0,SER_hh_emih!N8/SER_summary!N$26)</f>
        <v>7.3412064343785746</v>
      </c>
      <c r="O8" s="132">
        <f>IF(SER_hh_emih!O8=0,0,SER_hh_emih!O8/SER_summary!O$26)</f>
        <v>7.6230439344966356</v>
      </c>
      <c r="P8" s="132">
        <f>IF(SER_hh_emih!P8=0,0,SER_hh_emih!P8/SER_summary!P$26)</f>
        <v>5.6284768942597365</v>
      </c>
      <c r="Q8" s="132">
        <f>IF(SER_hh_emih!Q8=0,0,SER_hh_emih!Q8/SER_summary!Q$26)</f>
        <v>6.2092035795169442</v>
      </c>
      <c r="R8" s="132">
        <f>IF(SER_hh_emih!R8=0,0,SER_hh_emih!R8/SER_summary!R$26)</f>
        <v>6.2231775998467187</v>
      </c>
      <c r="S8" s="132">
        <f>IF(SER_hh_emih!S8=0,0,SER_hh_emih!S8/SER_summary!S$26)</f>
        <v>5.8248791115458607</v>
      </c>
      <c r="T8" s="132">
        <f>IF(SER_hh_emih!T8=0,0,SER_hh_emih!T8/SER_summary!T$26)</f>
        <v>5.6215693038103982</v>
      </c>
      <c r="U8" s="132">
        <f>IF(SER_hh_emih!U8=0,0,SER_hh_emih!U8/SER_summary!U$26)</f>
        <v>5.3587710840693026</v>
      </c>
      <c r="V8" s="132">
        <f>IF(SER_hh_emih!V8=0,0,SER_hh_emih!V8/SER_summary!V$26)</f>
        <v>4.6356300315399634</v>
      </c>
      <c r="W8" s="132">
        <f>IF(SER_hh_emih!W8=0,0,SER_hh_emih!W8/SER_summary!W$26)</f>
        <v>4.0630969377901893</v>
      </c>
      <c r="X8" s="132">
        <f>IF(SER_hh_emih!X8=0,0,SER_hh_emih!X8/SER_summary!X$26)</f>
        <v>4.1629011101979954</v>
      </c>
      <c r="Y8" s="132">
        <f>IF(SER_hh_emih!Y8=0,0,SER_hh_emih!Y8/SER_summary!Y$26)</f>
        <v>4.0625396371962887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29.199617547380875</v>
      </c>
      <c r="C9" s="132">
        <f>IF(SER_hh_emih!C9=0,0,SER_hh_emih!C9/SER_summary!C$26)</f>
        <v>32.392003803570951</v>
      </c>
      <c r="D9" s="132">
        <f>IF(SER_hh_emih!D9=0,0,SER_hh_emih!D9/SER_summary!D$26)</f>
        <v>29.918075458510341</v>
      </c>
      <c r="E9" s="132">
        <f>IF(SER_hh_emih!E9=0,0,SER_hh_emih!E9/SER_summary!E$26)</f>
        <v>31.54141932749738</v>
      </c>
      <c r="F9" s="132">
        <f>IF(SER_hh_emih!F9=0,0,SER_hh_emih!F9/SER_summary!F$26)</f>
        <v>34.645092044154644</v>
      </c>
      <c r="G9" s="132">
        <f>IF(SER_hh_emih!G9=0,0,SER_hh_emih!G9/SER_summary!G$26)</f>
        <v>36.714749405610164</v>
      </c>
      <c r="H9" s="132">
        <f>IF(SER_hh_emih!H9=0,0,SER_hh_emih!H9/SER_summary!H$26)</f>
        <v>37.002479331773422</v>
      </c>
      <c r="I9" s="132">
        <f>IF(SER_hh_emih!I9=0,0,SER_hh_emih!I9/SER_summary!I$26)</f>
        <v>32.447774500353901</v>
      </c>
      <c r="J9" s="132">
        <f>IF(SER_hh_emih!J9=0,0,SER_hh_emih!J9/SER_summary!J$26)</f>
        <v>35.474938113584166</v>
      </c>
      <c r="K9" s="132">
        <f>IF(SER_hh_emih!K9=0,0,SER_hh_emih!K9/SER_summary!K$26)</f>
        <v>36.270618257883079</v>
      </c>
      <c r="L9" s="132">
        <f>IF(SER_hh_emih!L9=0,0,SER_hh_emih!L9/SER_summary!L$26)</f>
        <v>37.447110503142035</v>
      </c>
      <c r="M9" s="132">
        <f>IF(SER_hh_emih!M9=0,0,SER_hh_emih!M9/SER_summary!M$26)</f>
        <v>27.723166224926466</v>
      </c>
      <c r="N9" s="132">
        <f>IF(SER_hh_emih!N9=0,0,SER_hh_emih!N9/SER_summary!N$26)</f>
        <v>30.658323134552202</v>
      </c>
      <c r="O9" s="132">
        <f>IF(SER_hh_emih!O9=0,0,SER_hh_emih!O9/SER_summary!O$26)</f>
        <v>33.180904545974293</v>
      </c>
      <c r="P9" s="132">
        <f>IF(SER_hh_emih!P9=0,0,SER_hh_emih!P9/SER_summary!P$26)</f>
        <v>24.141770908516413</v>
      </c>
      <c r="Q9" s="132">
        <f>IF(SER_hh_emih!Q9=0,0,SER_hh_emih!Q9/SER_summary!Q$26)</f>
        <v>27.544613404221995</v>
      </c>
      <c r="R9" s="132">
        <f>IF(SER_hh_emih!R9=0,0,SER_hh_emih!R9/SER_summary!R$26)</f>
        <v>28.519130941918444</v>
      </c>
      <c r="S9" s="132">
        <f>IF(SER_hh_emih!S9=0,0,SER_hh_emih!S9/SER_summary!S$26)</f>
        <v>27.498884011270746</v>
      </c>
      <c r="T9" s="132">
        <f>IF(SER_hh_emih!T9=0,0,SER_hh_emih!T9/SER_summary!T$26)</f>
        <v>27.299923941168341</v>
      </c>
      <c r="U9" s="132">
        <f>IF(SER_hh_emih!U9=0,0,SER_hh_emih!U9/SER_summary!U$26)</f>
        <v>26.395542113621236</v>
      </c>
      <c r="V9" s="132">
        <f>IF(SER_hh_emih!V9=0,0,SER_hh_emih!V9/SER_summary!V$26)</f>
        <v>24.256457122325745</v>
      </c>
      <c r="W9" s="132">
        <f>IF(SER_hh_emih!W9=0,0,SER_hh_emih!W9/SER_summary!W$26)</f>
        <v>28.414554706766609</v>
      </c>
      <c r="X9" s="132">
        <f>IF(SER_hh_emih!X9=0,0,SER_hh_emih!X9/SER_summary!X$26)</f>
        <v>21.17280295259409</v>
      </c>
      <c r="Y9" s="132">
        <f>IF(SER_hh_emih!Y9=0,0,SER_hh_emih!Y9/SER_summary!Y$26)</f>
        <v>19.393333169813602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158.89994217570404</v>
      </c>
      <c r="G10" s="132">
        <f>IF(SER_hh_emih!G10=0,0,SER_hh_emih!G10/SER_summary!G$26)</f>
        <v>139.03116316773983</v>
      </c>
      <c r="H10" s="132">
        <f>IF(SER_hh_emih!H10=0,0,SER_hh_emih!H10/SER_summary!H$26)</f>
        <v>124.69583880596251</v>
      </c>
      <c r="I10" s="132">
        <f>IF(SER_hh_emih!I10=0,0,SER_hh_emih!I10/SER_summary!I$26)</f>
        <v>116.24183949504639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56.776851258305598</v>
      </c>
      <c r="P10" s="132">
        <f>IF(SER_hh_emih!P10=0,0,SER_hh_emih!P10/SER_summary!P$26)</f>
        <v>46.869182942139766</v>
      </c>
      <c r="Q10" s="132">
        <f>IF(SER_hh_emih!Q10=0,0,SER_hh_emih!Q10/SER_summary!Q$26)</f>
        <v>53.587624420909066</v>
      </c>
      <c r="R10" s="132">
        <f>IF(SER_hh_emih!R10=0,0,SER_hh_emih!R10/SER_summary!R$26)</f>
        <v>51.743741161410547</v>
      </c>
      <c r="S10" s="132">
        <f>IF(SER_hh_emih!S10=0,0,SER_hh_emih!S10/SER_summary!S$26)</f>
        <v>50.299320302565576</v>
      </c>
      <c r="T10" s="132">
        <f>IF(SER_hh_emih!T10=0,0,SER_hh_emih!T10/SER_summary!T$26)</f>
        <v>49.361979768159074</v>
      </c>
      <c r="U10" s="132">
        <f>IF(SER_hh_emih!U10=0,0,SER_hh_emih!U10/SER_summary!U$26)</f>
        <v>48.051188746564748</v>
      </c>
      <c r="V10" s="132">
        <f>IF(SER_hh_emih!V10=0,0,SER_hh_emih!V10/SER_summary!V$26)</f>
        <v>49.504663970264652</v>
      </c>
      <c r="W10" s="132">
        <f>IF(SER_hh_emih!W10=0,0,SER_hh_emih!W10/SER_summary!W$26)</f>
        <v>47.566801891706952</v>
      </c>
      <c r="X10" s="132">
        <f>IF(SER_hh_emih!X10=0,0,SER_hh_emih!X10/SER_summary!X$26)</f>
        <v>38.876879301929129</v>
      </c>
      <c r="Y10" s="132">
        <f>IF(SER_hh_emih!Y10=0,0,SER_hh_emih!Y10/SER_summary!Y$26)</f>
        <v>37.64681607167995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4.7421026854503152E-3</v>
      </c>
      <c r="C16" s="130">
        <f>IF(SER_hh_emih!C16=0,0,SER_hh_emih!C16/SER_summary!C$26)</f>
        <v>5.0042782582151203E-3</v>
      </c>
      <c r="D16" s="130">
        <f>IF(SER_hh_emih!D16=0,0,SER_hh_emih!D16/SER_summary!D$26)</f>
        <v>5.2678327001260735E-3</v>
      </c>
      <c r="E16" s="130">
        <f>IF(SER_hh_emih!E16=0,0,SER_hh_emih!E16/SER_summary!E$26)</f>
        <v>5.3999708325667469E-3</v>
      </c>
      <c r="F16" s="130">
        <f>IF(SER_hh_emih!F16=0,0,SER_hh_emih!F16/SER_summary!F$26)</f>
        <v>6.1371875827452025E-3</v>
      </c>
      <c r="G16" s="130">
        <f>IF(SER_hh_emih!G16=0,0,SER_hh_emih!G16/SER_summary!G$26)</f>
        <v>7.0363603955576753E-3</v>
      </c>
      <c r="H16" s="130">
        <f>IF(SER_hh_emih!H16=0,0,SER_hh_emih!H16/SER_summary!H$26)</f>
        <v>8.1520295398265618E-3</v>
      </c>
      <c r="I16" s="130">
        <f>IF(SER_hh_emih!I16=0,0,SER_hh_emih!I16/SER_summary!I$26)</f>
        <v>8.0807297332556264E-3</v>
      </c>
      <c r="J16" s="130">
        <f>IF(SER_hh_emih!J16=0,0,SER_hh_emih!J16/SER_summary!J$26)</f>
        <v>9.5607021984545678E-3</v>
      </c>
      <c r="K16" s="130">
        <f>IF(SER_hh_emih!K16=0,0,SER_hh_emih!K16/SER_summary!K$26)</f>
        <v>1.0689644843797726E-2</v>
      </c>
      <c r="L16" s="130">
        <f>IF(SER_hh_emih!L16=0,0,SER_hh_emih!L16/SER_summary!L$26)</f>
        <v>1.1005508915478577E-2</v>
      </c>
      <c r="M16" s="130">
        <f>IF(SER_hh_emih!M16=0,0,SER_hh_emih!M16/SER_summary!M$26)</f>
        <v>1.0940711995947934E-2</v>
      </c>
      <c r="N16" s="130">
        <f>IF(SER_hh_emih!N16=0,0,SER_hh_emih!N16/SER_summary!N$26)</f>
        <v>1.1716117504240684E-2</v>
      </c>
      <c r="O16" s="130">
        <f>IF(SER_hh_emih!O16=0,0,SER_hh_emih!O16/SER_summary!O$26)</f>
        <v>1.338825046279098E-2</v>
      </c>
      <c r="P16" s="130">
        <f>IF(SER_hh_emih!P16=0,0,SER_hh_emih!P16/SER_summary!P$26)</f>
        <v>1.5914715749260819E-2</v>
      </c>
      <c r="Q16" s="130">
        <f>IF(SER_hh_emih!Q16=0,0,SER_hh_emih!Q16/SER_summary!Q$26)</f>
        <v>2.341259662700192E-2</v>
      </c>
      <c r="R16" s="130">
        <f>IF(SER_hh_emih!R16=0,0,SER_hh_emih!R16/SER_summary!R$26)</f>
        <v>2.5698027514056233E-2</v>
      </c>
      <c r="S16" s="130">
        <f>IF(SER_hh_emih!S16=0,0,SER_hh_emih!S16/SER_summary!S$26)</f>
        <v>2.5427494490041988E-2</v>
      </c>
      <c r="T16" s="130">
        <f>IF(SER_hh_emih!T16=0,0,SER_hh_emih!T16/SER_summary!T$26)</f>
        <v>3.2337140269569568E-2</v>
      </c>
      <c r="U16" s="130">
        <f>IF(SER_hh_emih!U16=0,0,SER_hh_emih!U16/SER_summary!U$26)</f>
        <v>3.5265822681387976E-2</v>
      </c>
      <c r="V16" s="130">
        <f>IF(SER_hh_emih!V16=0,0,SER_hh_emih!V16/SER_summary!V$26)</f>
        <v>4.120892799377486E-2</v>
      </c>
      <c r="W16" s="130">
        <f>IF(SER_hh_emih!W16=0,0,SER_hh_emih!W16/SER_summary!W$26)</f>
        <v>3.0255661621994695E-2</v>
      </c>
      <c r="X16" s="130">
        <f>IF(SER_hh_emih!X16=0,0,SER_hh_emih!X16/SER_summary!X$26)</f>
        <v>3.6064856422336748E-2</v>
      </c>
      <c r="Y16" s="130">
        <f>IF(SER_hh_emih!Y16=0,0,SER_hh_emih!Y16/SER_summary!Y$26)</f>
        <v>3.290863491871953E-2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5.3417316339624428</v>
      </c>
      <c r="C17" s="132">
        <f>IF(SER_hh_emih!C17=0,0,SER_hh_emih!C17/SER_summary!C$26)</f>
        <v>5.3279542911009168</v>
      </c>
      <c r="D17" s="132">
        <f>IF(SER_hh_emih!D17=0,0,SER_hh_emih!D17/SER_summary!D$26)</f>
        <v>5.1485297195950031</v>
      </c>
      <c r="E17" s="132">
        <f>IF(SER_hh_emih!E17=0,0,SER_hh_emih!E17/SER_summary!E$26)</f>
        <v>6.5338578127129132</v>
      </c>
      <c r="F17" s="132">
        <f>IF(SER_hh_emih!F17=0,0,SER_hh_emih!F17/SER_summary!F$26)</f>
        <v>4.8854265506303056</v>
      </c>
      <c r="G17" s="132">
        <f>IF(SER_hh_emih!G17=0,0,SER_hh_emih!G17/SER_summary!G$26)</f>
        <v>4.8905140347060412</v>
      </c>
      <c r="H17" s="132">
        <f>IF(SER_hh_emih!H17=0,0,SER_hh_emih!H17/SER_summary!H$26)</f>
        <v>6.0763833587323868</v>
      </c>
      <c r="I17" s="132">
        <f>IF(SER_hh_emih!I17=0,0,SER_hh_emih!I17/SER_summary!I$26)</f>
        <v>4.6552461371261593</v>
      </c>
      <c r="J17" s="132">
        <f>IF(SER_hh_emih!J17=0,0,SER_hh_emih!J17/SER_summary!J$26)</f>
        <v>4.6402513446850175</v>
      </c>
      <c r="K17" s="132">
        <f>IF(SER_hh_emih!K17=0,0,SER_hh_emih!K17/SER_summary!K$26)</f>
        <v>4.6659832789656219</v>
      </c>
      <c r="L17" s="132">
        <f>IF(SER_hh_emih!L17=0,0,SER_hh_emih!L17/SER_summary!L$26)</f>
        <v>4.9394608631255084</v>
      </c>
      <c r="M17" s="132">
        <f>IF(SER_hh_emih!M17=0,0,SER_hh_emih!M17/SER_summary!M$26)</f>
        <v>4.5833876852649116</v>
      </c>
      <c r="N17" s="132">
        <f>IF(SER_hh_emih!N17=0,0,SER_hh_emih!N17/SER_summary!N$26)</f>
        <v>4.5875864197330047</v>
      </c>
      <c r="O17" s="132">
        <f>IF(SER_hh_emih!O17=0,0,SER_hh_emih!O17/SER_summary!O$26)</f>
        <v>4.582982389499902</v>
      </c>
      <c r="P17" s="132">
        <f>IF(SER_hh_emih!P17=0,0,SER_hh_emih!P17/SER_summary!P$26)</f>
        <v>4.3213956290641038</v>
      </c>
      <c r="Q17" s="132">
        <f>IF(SER_hh_emih!Q17=0,0,SER_hh_emih!Q17/SER_summary!Q$26)</f>
        <v>4.803017135788183</v>
      </c>
      <c r="R17" s="132">
        <f>IF(SER_hh_emih!R17=0,0,SER_hh_emih!R17/SER_summary!R$26)</f>
        <v>4.606682290581583</v>
      </c>
      <c r="S17" s="132">
        <f>IF(SER_hh_emih!S17=0,0,SER_hh_emih!S17/SER_summary!S$26)</f>
        <v>4.3365277796797956</v>
      </c>
      <c r="T17" s="132">
        <f>IF(SER_hh_emih!T17=0,0,SER_hh_emih!T17/SER_summary!T$26)</f>
        <v>4.8991569625144278</v>
      </c>
      <c r="U17" s="132">
        <f>IF(SER_hh_emih!U17=0,0,SER_hh_emih!U17/SER_summary!U$26)</f>
        <v>4.6625832097604931</v>
      </c>
      <c r="V17" s="132">
        <f>IF(SER_hh_emih!V17=0,0,SER_hh_emih!V17/SER_summary!V$26)</f>
        <v>5.2005072042887104</v>
      </c>
      <c r="W17" s="132">
        <f>IF(SER_hh_emih!W17=0,0,SER_hh_emih!W17/SER_summary!W$26)</f>
        <v>3.7527730131370967</v>
      </c>
      <c r="X17" s="132">
        <f>IF(SER_hh_emih!X17=0,0,SER_hh_emih!X17/SER_summary!X$26)</f>
        <v>4.4671729908287663</v>
      </c>
      <c r="Y17" s="132">
        <f>IF(SER_hh_emih!Y17=0,0,SER_hh_emih!Y17/SER_summary!Y$26)</f>
        <v>4.0379156410566841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4.5965012649318515</v>
      </c>
      <c r="C19" s="130">
        <f>IF(SER_hh_emih!C19=0,0,SER_hh_emih!C19/SER_summary!C$26)</f>
        <v>4.5457804464071039</v>
      </c>
      <c r="D19" s="130">
        <f>IF(SER_hh_emih!D19=0,0,SER_hh_emih!D19/SER_summary!D$26)</f>
        <v>4.3502383017245503</v>
      </c>
      <c r="E19" s="130">
        <f>IF(SER_hh_emih!E19=0,0,SER_hh_emih!E19/SER_summary!E$26)</f>
        <v>4.3175372539507784</v>
      </c>
      <c r="F19" s="130">
        <f>IF(SER_hh_emih!F19=0,0,SER_hh_emih!F19/SER_summary!F$26)</f>
        <v>4.2025598172647234</v>
      </c>
      <c r="G19" s="130">
        <f>IF(SER_hh_emih!G19=0,0,SER_hh_emih!G19/SER_summary!G$26)</f>
        <v>4.0437874853274973</v>
      </c>
      <c r="H19" s="130">
        <f>IF(SER_hh_emih!H19=0,0,SER_hh_emih!H19/SER_summary!H$26)</f>
        <v>3.9478285529477888</v>
      </c>
      <c r="I19" s="130">
        <f>IF(SER_hh_emih!I19=0,0,SER_hh_emih!I19/SER_summary!I$26)</f>
        <v>3.8536360973936739</v>
      </c>
      <c r="J19" s="130">
        <f>IF(SER_hh_emih!J19=0,0,SER_hh_emih!J19/SER_summary!J$26)</f>
        <v>3.7246573515148955</v>
      </c>
      <c r="K19" s="130">
        <f>IF(SER_hh_emih!K19=0,0,SER_hh_emih!K19/SER_summary!K$26)</f>
        <v>3.732278667193182</v>
      </c>
      <c r="L19" s="130">
        <f>IF(SER_hh_emih!L19=0,0,SER_hh_emih!L19/SER_summary!L$26)</f>
        <v>3.6550613676584276</v>
      </c>
      <c r="M19" s="130">
        <f>IF(SER_hh_emih!M19=0,0,SER_hh_emih!M19/SER_summary!M$26)</f>
        <v>3.6318504933919287</v>
      </c>
      <c r="N19" s="130">
        <f>IF(SER_hh_emih!N19=0,0,SER_hh_emih!N19/SER_summary!N$26)</f>
        <v>3.6311349476091239</v>
      </c>
      <c r="O19" s="130">
        <f>IF(SER_hh_emih!O19=0,0,SER_hh_emih!O19/SER_summary!O$26)</f>
        <v>3.6056868621423757</v>
      </c>
      <c r="P19" s="130">
        <f>IF(SER_hh_emih!P19=0,0,SER_hh_emih!P19/SER_summary!P$26)</f>
        <v>3.5374910899704934</v>
      </c>
      <c r="Q19" s="130">
        <f>IF(SER_hh_emih!Q19=0,0,SER_hh_emih!Q19/SER_summary!Q$26)</f>
        <v>3.519556644412499</v>
      </c>
      <c r="R19" s="130">
        <f>IF(SER_hh_emih!R19=0,0,SER_hh_emih!R19/SER_summary!R$26)</f>
        <v>3.4283519212632143</v>
      </c>
      <c r="S19" s="130">
        <f>IF(SER_hh_emih!S19=0,0,SER_hh_emih!S19/SER_summary!S$26)</f>
        <v>3.3616769328823177</v>
      </c>
      <c r="T19" s="130">
        <f>IF(SER_hh_emih!T19=0,0,SER_hh_emih!T19/SER_summary!T$26)</f>
        <v>3.2478725334790948</v>
      </c>
      <c r="U19" s="130">
        <f>IF(SER_hh_emih!U19=0,0,SER_hh_emih!U19/SER_summary!U$26)</f>
        <v>2.9679369159239042</v>
      </c>
      <c r="V19" s="130">
        <f>IF(SER_hh_emih!V19=0,0,SER_hh_emih!V19/SER_summary!V$26)</f>
        <v>2.7939101564352482</v>
      </c>
      <c r="W19" s="130">
        <f>IF(SER_hh_emih!W19=0,0,SER_hh_emih!W19/SER_summary!W$26)</f>
        <v>2.9536410563939293</v>
      </c>
      <c r="X19" s="130">
        <f>IF(SER_hh_emih!X19=0,0,SER_hh_emih!X19/SER_summary!X$26)</f>
        <v>2.6977982693960754</v>
      </c>
      <c r="Y19" s="130">
        <f>IF(SER_hh_emih!Y19=0,0,SER_hh_emih!Y19/SER_summary!Y$26)</f>
        <v>2.5207189328519108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5.4253627077422291</v>
      </c>
      <c r="C21" s="132">
        <f>IF(SER_hh_emih!C21=0,0,SER_hh_emih!C21/SER_summary!C$26)</f>
        <v>5.5205146047145099</v>
      </c>
      <c r="D21" s="132">
        <f>IF(SER_hh_emih!D21=0,0,SER_hh_emih!D21/SER_summary!D$26)</f>
        <v>5.6168980075436918</v>
      </c>
      <c r="E21" s="132">
        <f>IF(SER_hh_emih!E21=0,0,SER_hh_emih!E21/SER_summary!E$26)</f>
        <v>5.9106322943032286</v>
      </c>
      <c r="F21" s="132">
        <f>IF(SER_hh_emih!F21=0,0,SER_hh_emih!F21/SER_summary!F$26)</f>
        <v>6.4816103089100112</v>
      </c>
      <c r="G21" s="132">
        <f>IF(SER_hh_emih!G21=0,0,SER_hh_emih!G21/SER_summary!G$26)</f>
        <v>4.1149492603948676</v>
      </c>
      <c r="H21" s="132">
        <f>IF(SER_hh_emih!H21=0,0,SER_hh_emih!H21/SER_summary!H$26)</f>
        <v>4.989850327592114</v>
      </c>
      <c r="I21" s="132">
        <f>IF(SER_hh_emih!I21=0,0,SER_hh_emih!I21/SER_summary!I$26)</f>
        <v>5.4486473808237905</v>
      </c>
      <c r="J21" s="132">
        <f>IF(SER_hh_emih!J21=0,0,SER_hh_emih!J21/SER_summary!J$26)</f>
        <v>4.9463257462985322</v>
      </c>
      <c r="K21" s="132">
        <f>IF(SER_hh_emih!K21=0,0,SER_hh_emih!K21/SER_summary!K$26)</f>
        <v>5.2264518926230146</v>
      </c>
      <c r="L21" s="132">
        <f>IF(SER_hh_emih!L21=0,0,SER_hh_emih!L21/SER_summary!L$26)</f>
        <v>4.9397677258124784</v>
      </c>
      <c r="M21" s="132">
        <f>IF(SER_hh_emih!M21=0,0,SER_hh_emih!M21/SER_summary!M$26)</f>
        <v>5.1822669200436726</v>
      </c>
      <c r="N21" s="132">
        <f>IF(SER_hh_emih!N21=0,0,SER_hh_emih!N21/SER_summary!N$26)</f>
        <v>5.5092155287111941</v>
      </c>
      <c r="O21" s="132">
        <f>IF(SER_hh_emih!O21=0,0,SER_hh_emih!O21/SER_summary!O$26)</f>
        <v>5.3701243888882075</v>
      </c>
      <c r="P21" s="132">
        <f>IF(SER_hh_emih!P21=0,0,SER_hh_emih!P21/SER_summary!P$26)</f>
        <v>5.0762495238870056</v>
      </c>
      <c r="Q21" s="132">
        <f>IF(SER_hh_emih!Q21=0,0,SER_hh_emih!Q21/SER_summary!Q$26)</f>
        <v>5.3053278734742655</v>
      </c>
      <c r="R21" s="132">
        <f>IF(SER_hh_emih!R21=0,0,SER_hh_emih!R21/SER_summary!R$26)</f>
        <v>5.1626155793084898</v>
      </c>
      <c r="S21" s="132">
        <f>IF(SER_hh_emih!S21=0,0,SER_hh_emih!S21/SER_summary!S$26)</f>
        <v>5.1768374782933968</v>
      </c>
      <c r="T21" s="132">
        <f>IF(SER_hh_emih!T21=0,0,SER_hh_emih!T21/SER_summary!T$26)</f>
        <v>5.1559955284230172</v>
      </c>
      <c r="U21" s="132">
        <f>IF(SER_hh_emih!U21=0,0,SER_hh_emih!U21/SER_summary!U$26)</f>
        <v>5.0282793791167224</v>
      </c>
      <c r="V21" s="132">
        <f>IF(SER_hh_emih!V21=0,0,SER_hh_emih!V21/SER_summary!V$26)</f>
        <v>4.0810729635344885</v>
      </c>
      <c r="W21" s="132">
        <f>IF(SER_hh_emih!W21=0,0,SER_hh_emih!W21/SER_summary!W$26)</f>
        <v>4.158533721725072</v>
      </c>
      <c r="X21" s="132">
        <f>IF(SER_hh_emih!X21=0,0,SER_hh_emih!X21/SER_summary!X$26)</f>
        <v>5.7165123519376184</v>
      </c>
      <c r="Y21" s="132">
        <f>IF(SER_hh_emih!Y21=0,0,SER_hh_emih!Y21/SER_summary!Y$26)</f>
        <v>4.452362567720237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6.8409092063881509</v>
      </c>
      <c r="C22" s="132">
        <f>IF(SER_hh_emih!C22=0,0,SER_hh_emih!C22/SER_summary!C$26)</f>
        <v>6.847076915274215</v>
      </c>
      <c r="D22" s="132">
        <f>IF(SER_hh_emih!D22=0,0,SER_hh_emih!D22/SER_summary!D$26)</f>
        <v>6.9297065887540592</v>
      </c>
      <c r="E22" s="132">
        <f>IF(SER_hh_emih!E22=0,0,SER_hh_emih!E22/SER_summary!E$26)</f>
        <v>6.9621039998798366</v>
      </c>
      <c r="F22" s="132">
        <f>IF(SER_hh_emih!F22=0,0,SER_hh_emih!F22/SER_summary!F$26)</f>
        <v>6.7888191387635928</v>
      </c>
      <c r="G22" s="132">
        <f>IF(SER_hh_emih!G22=0,0,SER_hh_emih!G22/SER_summary!G$26)</f>
        <v>6.6630006923309173</v>
      </c>
      <c r="H22" s="132">
        <f>IF(SER_hh_emih!H22=0,0,SER_hh_emih!H22/SER_summary!H$26)</f>
        <v>6.6234912064783265</v>
      </c>
      <c r="I22" s="132">
        <f>IF(SER_hh_emih!I22=0,0,SER_hh_emih!I22/SER_summary!I$26)</f>
        <v>6.6311487982738075</v>
      </c>
      <c r="J22" s="132">
        <f>IF(SER_hh_emih!J22=0,0,SER_hh_emih!J22/SER_summary!J$26)</f>
        <v>6.4562488178629156</v>
      </c>
      <c r="K22" s="132">
        <f>IF(SER_hh_emih!K22=0,0,SER_hh_emih!K22/SER_summary!K$26)</f>
        <v>6.5447267343225368</v>
      </c>
      <c r="L22" s="132">
        <f>IF(SER_hh_emih!L22=0,0,SER_hh_emih!L22/SER_summary!L$26)</f>
        <v>6.5675880378495863</v>
      </c>
      <c r="M22" s="132">
        <f>IF(SER_hh_emih!M22=0,0,SER_hh_emih!M22/SER_summary!M$26)</f>
        <v>6.6562062669357331</v>
      </c>
      <c r="N22" s="132">
        <f>IF(SER_hh_emih!N22=0,0,SER_hh_emih!N22/SER_summary!N$26)</f>
        <v>6.7030056372239049</v>
      </c>
      <c r="O22" s="132">
        <f>IF(SER_hh_emih!O22=0,0,SER_hh_emih!O22/SER_summary!O$26)</f>
        <v>6.7080100407072383</v>
      </c>
      <c r="P22" s="132">
        <f>IF(SER_hh_emih!P22=0,0,SER_hh_emih!P22/SER_summary!P$26)</f>
        <v>6.7693511154833557</v>
      </c>
      <c r="Q22" s="132">
        <f>IF(SER_hh_emih!Q22=0,0,SER_hh_emih!Q22/SER_summary!Q$26)</f>
        <v>6.8206590015050352</v>
      </c>
      <c r="R22" s="132">
        <f>IF(SER_hh_emih!R22=0,0,SER_hh_emih!R22/SER_summary!R$26)</f>
        <v>6.7466253145114203</v>
      </c>
      <c r="S22" s="132">
        <f>IF(SER_hh_emih!S22=0,0,SER_hh_emih!S22/SER_summary!S$26)</f>
        <v>6.8387034330490879</v>
      </c>
      <c r="T22" s="132">
        <f>IF(SER_hh_emih!T22=0,0,SER_hh_emih!T22/SER_summary!T$26)</f>
        <v>6.8740518038634661</v>
      </c>
      <c r="U22" s="132">
        <f>IF(SER_hh_emih!U22=0,0,SER_hh_emih!U22/SER_summary!U$26)</f>
        <v>5.9301800235162601</v>
      </c>
      <c r="V22" s="132">
        <f>IF(SER_hh_emih!V22=0,0,SER_hh_emih!V22/SER_summary!V$26)</f>
        <v>5.6029598823690385</v>
      </c>
      <c r="W22" s="132">
        <f>IF(SER_hh_emih!W22=0,0,SER_hh_emih!W22/SER_summary!W$26)</f>
        <v>5.7573832332196373</v>
      </c>
      <c r="X22" s="132">
        <f>IF(SER_hh_emih!X22=0,0,SER_hh_emih!X22/SER_summary!X$26)</f>
        <v>6.0106093700471241</v>
      </c>
      <c r="Y22" s="132">
        <f>IF(SER_hh_emih!Y22=0,0,SER_hh_emih!Y22/SER_summary!Y$26)</f>
        <v>5.8928528890278926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5.0370434023854411</v>
      </c>
      <c r="C23" s="132">
        <f>IF(SER_hh_emih!C23=0,0,SER_hh_emih!C23/SER_summary!C$26)</f>
        <v>5.065895338734351</v>
      </c>
      <c r="D23" s="132">
        <f>IF(SER_hh_emih!D23=0,0,SER_hh_emih!D23/SER_summary!D$26)</f>
        <v>5.0139183775943996</v>
      </c>
      <c r="E23" s="132">
        <f>IF(SER_hh_emih!E23=0,0,SER_hh_emih!E23/SER_summary!E$26)</f>
        <v>5.0398631129297575</v>
      </c>
      <c r="F23" s="132">
        <f>IF(SER_hh_emih!F23=0,0,SER_hh_emih!F23/SER_summary!F$26)</f>
        <v>4.8652178487013709</v>
      </c>
      <c r="G23" s="132">
        <f>IF(SER_hh_emih!G23=0,0,SER_hh_emih!G23/SER_summary!G$26)</f>
        <v>4.7676010092209271</v>
      </c>
      <c r="H23" s="132">
        <f>IF(SER_hh_emih!H23=0,0,SER_hh_emih!H23/SER_summary!H$26)</f>
        <v>4.6593787910210605</v>
      </c>
      <c r="I23" s="132">
        <f>IF(SER_hh_emih!I23=0,0,SER_hh_emih!I23/SER_summary!I$26)</f>
        <v>4.5726143280471776</v>
      </c>
      <c r="J23" s="132">
        <f>IF(SER_hh_emih!J23=0,0,SER_hh_emih!J23/SER_summary!J$26)</f>
        <v>4.5263623923825875</v>
      </c>
      <c r="K23" s="132">
        <f>IF(SER_hh_emih!K23=0,0,SER_hh_emih!K23/SER_summary!K$26)</f>
        <v>4.5764890488608039</v>
      </c>
      <c r="L23" s="132">
        <f>IF(SER_hh_emih!L23=0,0,SER_hh_emih!L23/SER_summary!L$26)</f>
        <v>4.5262588353973179</v>
      </c>
      <c r="M23" s="132">
        <f>IF(SER_hh_emih!M23=0,0,SER_hh_emih!M23/SER_summary!M$26)</f>
        <v>4.4966220565132247</v>
      </c>
      <c r="N23" s="132">
        <f>IF(SER_hh_emih!N23=0,0,SER_hh_emih!N23/SER_summary!N$26)</f>
        <v>4.5438285822756983</v>
      </c>
      <c r="O23" s="132">
        <f>IF(SER_hh_emih!O23=0,0,SER_hh_emih!O23/SER_summary!O$26)</f>
        <v>4.572569370790875</v>
      </c>
      <c r="P23" s="132">
        <f>IF(SER_hh_emih!P23=0,0,SER_hh_emih!P23/SER_summary!P$26)</f>
        <v>4.5063040922768307</v>
      </c>
      <c r="Q23" s="132">
        <f>IF(SER_hh_emih!Q23=0,0,SER_hh_emih!Q23/SER_summary!Q$26)</f>
        <v>4.5331900183280576</v>
      </c>
      <c r="R23" s="132">
        <f>IF(SER_hh_emih!R23=0,0,SER_hh_emih!R23/SER_summary!R$26)</f>
        <v>4.4902116331785162</v>
      </c>
      <c r="S23" s="132">
        <f>IF(SER_hh_emih!S23=0,0,SER_hh_emih!S23/SER_summary!S$26)</f>
        <v>4.430878130911041</v>
      </c>
      <c r="T23" s="132">
        <f>IF(SER_hh_emih!T23=0,0,SER_hh_emih!T23/SER_summary!T$26)</f>
        <v>4.2906207119604147</v>
      </c>
      <c r="U23" s="132">
        <f>IF(SER_hh_emih!U23=0,0,SER_hh_emih!U23/SER_summary!U$26)</f>
        <v>4.0745014848034291</v>
      </c>
      <c r="V23" s="132">
        <f>IF(SER_hh_emih!V23=0,0,SER_hh_emih!V23/SER_summary!V$26)</f>
        <v>3.8778270958887116</v>
      </c>
      <c r="W23" s="132">
        <f>IF(SER_hh_emih!W23=0,0,SER_hh_emih!W23/SER_summary!W$26)</f>
        <v>4.250943714763479</v>
      </c>
      <c r="X23" s="132">
        <f>IF(SER_hh_emih!X23=0,0,SER_hh_emih!X23/SER_summary!X$26)</f>
        <v>3.8567780546265151</v>
      </c>
      <c r="Y23" s="132">
        <f>IF(SER_hh_emih!Y23=0,0,SER_hh_emih!Y23/SER_summary!Y$26)</f>
        <v>3.8119156625502097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2.9510144569356829</v>
      </c>
      <c r="C29" s="130">
        <f>IF(SER_hh_emih!C29=0,0,SER_hh_emih!C29/SER_summary!C$26)</f>
        <v>2.9129255206103113</v>
      </c>
      <c r="D29" s="130">
        <f>IF(SER_hh_emih!D29=0,0,SER_hh_emih!D29/SER_summary!D$26)</f>
        <v>2.5733818394238637</v>
      </c>
      <c r="E29" s="130">
        <f>IF(SER_hh_emih!E29=0,0,SER_hh_emih!E29/SER_summary!E$26)</f>
        <v>2.3777183163895748</v>
      </c>
      <c r="F29" s="130">
        <f>IF(SER_hh_emih!F29=0,0,SER_hh_emih!F29/SER_summary!F$26)</f>
        <v>2.3584034431011349</v>
      </c>
      <c r="G29" s="130">
        <f>IF(SER_hh_emih!G29=0,0,SER_hh_emih!G29/SER_summary!G$26)</f>
        <v>1.9359555605022918</v>
      </c>
      <c r="H29" s="130">
        <f>IF(SER_hh_emih!H29=0,0,SER_hh_emih!H29/SER_summary!H$26)</f>
        <v>1.885524675768973</v>
      </c>
      <c r="I29" s="130">
        <f>IF(SER_hh_emih!I29=0,0,SER_hh_emih!I29/SER_summary!I$26)</f>
        <v>1.8459846519386034</v>
      </c>
      <c r="J29" s="130">
        <f>IF(SER_hh_emih!J29=0,0,SER_hh_emih!J29/SER_summary!J$26)</f>
        <v>1.8669983099386063</v>
      </c>
      <c r="K29" s="130">
        <f>IF(SER_hh_emih!K29=0,0,SER_hh_emih!K29/SER_summary!K$26)</f>
        <v>1.8831914845878668</v>
      </c>
      <c r="L29" s="130">
        <f>IF(SER_hh_emih!L29=0,0,SER_hh_emih!L29/SER_summary!L$26)</f>
        <v>1.8892483338114101</v>
      </c>
      <c r="M29" s="130">
        <f>IF(SER_hh_emih!M29=0,0,SER_hh_emih!M29/SER_summary!M$26)</f>
        <v>1.837376652109465</v>
      </c>
      <c r="N29" s="130">
        <f>IF(SER_hh_emih!N29=0,0,SER_hh_emih!N29/SER_summary!N$26)</f>
        <v>1.8696112406628917</v>
      </c>
      <c r="O29" s="130">
        <f>IF(SER_hh_emih!O29=0,0,SER_hh_emih!O29/SER_summary!O$26)</f>
        <v>1.9075755941549719</v>
      </c>
      <c r="P29" s="130">
        <f>IF(SER_hh_emih!P29=0,0,SER_hh_emih!P29/SER_summary!P$26)</f>
        <v>1.8529814908142994</v>
      </c>
      <c r="Q29" s="130">
        <f>IF(SER_hh_emih!Q29=0,0,SER_hh_emih!Q29/SER_summary!Q$26)</f>
        <v>1.9427875492318674</v>
      </c>
      <c r="R29" s="130">
        <f>IF(SER_hh_emih!R29=0,0,SER_hh_emih!R29/SER_summary!R$26)</f>
        <v>1.8876990380839989</v>
      </c>
      <c r="S29" s="130">
        <f>IF(SER_hh_emih!S29=0,0,SER_hh_emih!S29/SER_summary!S$26)</f>
        <v>1.8921631589269774</v>
      </c>
      <c r="T29" s="130">
        <f>IF(SER_hh_emih!T29=0,0,SER_hh_emih!T29/SER_summary!T$26)</f>
        <v>1.8712530086581356</v>
      </c>
      <c r="U29" s="130">
        <f>IF(SER_hh_emih!U29=0,0,SER_hh_emih!U29/SER_summary!U$26)</f>
        <v>1.8644967418708551</v>
      </c>
      <c r="V29" s="130">
        <f>IF(SER_hh_emih!V29=0,0,SER_hh_emih!V29/SER_summary!V$26)</f>
        <v>1.7919352277927152</v>
      </c>
      <c r="W29" s="130">
        <f>IF(SER_hh_emih!W29=0,0,SER_hh_emih!W29/SER_summary!W$26)</f>
        <v>1.6827614253518264</v>
      </c>
      <c r="X29" s="130">
        <f>IF(SER_hh_emih!X29=0,0,SER_hh_emih!X29/SER_summary!X$26)</f>
        <v>1.7338268131768375</v>
      </c>
      <c r="Y29" s="130">
        <f>IF(SER_hh_emih!Y29=0,0,SER_hh_emih!Y29/SER_summary!Y$26)</f>
        <v>1.6199633804529112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4.1624150092197185</v>
      </c>
      <c r="C30" s="132">
        <f>IF(SER_hh_emih!C30=0,0,SER_hh_emih!C30/SER_summary!C$26)</f>
        <v>4.4788986324903703</v>
      </c>
      <c r="D30" s="132">
        <f>IF(SER_hh_emih!D30=0,0,SER_hh_emih!D30/SER_summary!D$26)</f>
        <v>4.2232069656682549</v>
      </c>
      <c r="E30" s="132">
        <f>IF(SER_hh_emih!E30=0,0,SER_hh_emih!E30/SER_summary!E$26)</f>
        <v>4.1103096696299506</v>
      </c>
      <c r="F30" s="132">
        <f>IF(SER_hh_emih!F30=0,0,SER_hh_emih!F30/SER_summary!F$26)</f>
        <v>5.596119706254929</v>
      </c>
      <c r="G30" s="132">
        <f>IF(SER_hh_emih!G30=0,0,SER_hh_emih!G30/SER_summary!G$26)</f>
        <v>2.1311443729819217</v>
      </c>
      <c r="H30" s="132">
        <f>IF(SER_hh_emih!H30=0,0,SER_hh_emih!H30/SER_summary!H$26)</f>
        <v>3.0107119168247327</v>
      </c>
      <c r="I30" s="132">
        <f>IF(SER_hh_emih!I30=0,0,SER_hh_emih!I30/SER_summary!I$26)</f>
        <v>4.0254600434810666</v>
      </c>
      <c r="J30" s="132">
        <f>IF(SER_hh_emih!J30=0,0,SER_hh_emih!J30/SER_summary!J$26)</f>
        <v>4.7235205183154063</v>
      </c>
      <c r="K30" s="132">
        <f>IF(SER_hh_emih!K30=0,0,SER_hh_emih!K30/SER_summary!K$26)</f>
        <v>4.5795400480309727</v>
      </c>
      <c r="L30" s="132">
        <f>IF(SER_hh_emih!L30=0,0,SER_hh_emih!L30/SER_summary!L$26)</f>
        <v>5.4914899598865565</v>
      </c>
      <c r="M30" s="132">
        <f>IF(SER_hh_emih!M30=0,0,SER_hh_emih!M30/SER_summary!M$26)</f>
        <v>4.1762186997811721</v>
      </c>
      <c r="N30" s="132">
        <f>IF(SER_hh_emih!N30=0,0,SER_hh_emih!N30/SER_summary!N$26)</f>
        <v>4.7078832833015989</v>
      </c>
      <c r="O30" s="132">
        <f>IF(SER_hh_emih!O30=0,0,SER_hh_emih!O30/SER_summary!O$26)</f>
        <v>5.1342041623190795</v>
      </c>
      <c r="P30" s="132">
        <f>IF(SER_hh_emih!P30=0,0,SER_hh_emih!P30/SER_summary!P$26)</f>
        <v>4.0031289643342625</v>
      </c>
      <c r="Q30" s="132">
        <f>IF(SER_hh_emih!Q30=0,0,SER_hh_emih!Q30/SER_summary!Q$26)</f>
        <v>6.3268565461841026</v>
      </c>
      <c r="R30" s="132">
        <f>IF(SER_hh_emih!R30=0,0,SER_hh_emih!R30/SER_summary!R$26)</f>
        <v>4.8320599385534697</v>
      </c>
      <c r="S30" s="132">
        <f>IF(SER_hh_emih!S30=0,0,SER_hh_emih!S30/SER_summary!S$26)</f>
        <v>5.4126320708195488</v>
      </c>
      <c r="T30" s="132">
        <f>IF(SER_hh_emih!T30=0,0,SER_hh_emih!T30/SER_summary!T$26)</f>
        <v>5.0497985880404697</v>
      </c>
      <c r="U30" s="132">
        <f>IF(SER_hh_emih!U30=0,0,SER_hh_emih!U30/SER_summary!U$26)</f>
        <v>4.8950432234703403</v>
      </c>
      <c r="V30" s="132">
        <f>IF(SER_hh_emih!V30=0,0,SER_hh_emih!V30/SER_summary!V$26)</f>
        <v>5.4380042312073735</v>
      </c>
      <c r="W30" s="132">
        <f>IF(SER_hh_emih!W30=0,0,SER_hh_emih!W30/SER_summary!W$26)</f>
        <v>5.8335486183472192</v>
      </c>
      <c r="X30" s="132">
        <f>IF(SER_hh_emih!X30=0,0,SER_hh_emih!X30/SER_summary!X$26)</f>
        <v>4.5805589776602078</v>
      </c>
      <c r="Y30" s="132">
        <f>IF(SER_hh_emih!Y30=0,0,SER_hh_emih!Y30/SER_summary!Y$26)</f>
        <v>5.2856312523245039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3.6466672559578499</v>
      </c>
      <c r="C31" s="132">
        <f>IF(SER_hh_emih!C31=0,0,SER_hh_emih!C31/SER_summary!C$26)</f>
        <v>3.6777088262809627</v>
      </c>
      <c r="D31" s="132">
        <f>IF(SER_hh_emih!D31=0,0,SER_hh_emih!D31/SER_summary!D$26)</f>
        <v>3.8012796668078899</v>
      </c>
      <c r="E31" s="132">
        <f>IF(SER_hh_emih!E31=0,0,SER_hh_emih!E31/SER_summary!E$26)</f>
        <v>3.8721319376880321</v>
      </c>
      <c r="F31" s="132">
        <f>IF(SER_hh_emih!F31=0,0,SER_hh_emih!F31/SER_summary!F$26)</f>
        <v>3.8271590422603832</v>
      </c>
      <c r="G31" s="132">
        <f>IF(SER_hh_emih!G31=0,0,SER_hh_emih!G31/SER_summary!G$26)</f>
        <v>3.8565707019033177</v>
      </c>
      <c r="H31" s="132">
        <f>IF(SER_hh_emih!H31=0,0,SER_hh_emih!H31/SER_summary!H$26)</f>
        <v>3.8541786252377435</v>
      </c>
      <c r="I31" s="132">
        <f>IF(SER_hh_emih!I31=0,0,SER_hh_emih!I31/SER_summary!I$26)</f>
        <v>3.9241251293571686</v>
      </c>
      <c r="J31" s="132">
        <f>IF(SER_hh_emih!J31=0,0,SER_hh_emih!J31/SER_summary!J$26)</f>
        <v>4.0033037193713579</v>
      </c>
      <c r="K31" s="132">
        <f>IF(SER_hh_emih!K31=0,0,SER_hh_emih!K31/SER_summary!K$26)</f>
        <v>4.0379837982597309</v>
      </c>
      <c r="L31" s="132">
        <f>IF(SER_hh_emih!L31=0,0,SER_hh_emih!L31/SER_summary!L$26)</f>
        <v>4.0669817364812086</v>
      </c>
      <c r="M31" s="132">
        <f>IF(SER_hh_emih!M31=0,0,SER_hh_emih!M31/SER_summary!M$26)</f>
        <v>4.1109608815688317</v>
      </c>
      <c r="N31" s="132">
        <f>IF(SER_hh_emih!N31=0,0,SER_hh_emih!N31/SER_summary!N$26)</f>
        <v>4.2216043105653478</v>
      </c>
      <c r="O31" s="132">
        <f>IF(SER_hh_emih!O31=0,0,SER_hh_emih!O31/SER_summary!O$26)</f>
        <v>4.3114664936860922</v>
      </c>
      <c r="P31" s="132">
        <f>IF(SER_hh_emih!P31=0,0,SER_hh_emih!P31/SER_summary!P$26)</f>
        <v>4.3706764046504256</v>
      </c>
      <c r="Q31" s="132">
        <f>IF(SER_hh_emih!Q31=0,0,SER_hh_emih!Q31/SER_summary!Q$26)</f>
        <v>4.4984746500470836</v>
      </c>
      <c r="R31" s="132">
        <f>IF(SER_hh_emih!R31=0,0,SER_hh_emih!R31/SER_summary!R$26)</f>
        <v>4.5782400214866605</v>
      </c>
      <c r="S31" s="132">
        <f>IF(SER_hh_emih!S31=0,0,SER_hh_emih!S31/SER_summary!S$26)</f>
        <v>4.5914670568790212</v>
      </c>
      <c r="T31" s="132">
        <f>IF(SER_hh_emih!T31=0,0,SER_hh_emih!T31/SER_summary!T$26)</f>
        <v>4.5792187701894704</v>
      </c>
      <c r="U31" s="132">
        <f>IF(SER_hh_emih!U31=0,0,SER_hh_emih!U31/SER_summary!U$26)</f>
        <v>4.5521922530771812</v>
      </c>
      <c r="V31" s="132">
        <f>IF(SER_hh_emih!V31=0,0,SER_hh_emih!V31/SER_summary!V$26)</f>
        <v>4.3929572485621451</v>
      </c>
      <c r="W31" s="132">
        <f>IF(SER_hh_emih!W31=0,0,SER_hh_emih!W31/SER_summary!W$26)</f>
        <v>4.2205411561031019</v>
      </c>
      <c r="X31" s="132">
        <f>IF(SER_hh_emih!X31=0,0,SER_hh_emih!X31/SER_summary!X$26)</f>
        <v>4.6284064787530443</v>
      </c>
      <c r="Y31" s="132">
        <f>IF(SER_hh_emih!Y31=0,0,SER_hh_emih!Y31/SER_summary!Y$26)</f>
        <v>4.3777562131428089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6.3566736679100311</v>
      </c>
      <c r="P32" s="132">
        <f>IF(SER_hh_emih!P32=0,0,SER_hh_emih!P32/SER_summary!P$26)</f>
        <v>6.452125121980389</v>
      </c>
      <c r="Q32" s="132">
        <f>IF(SER_hh_emih!Q32=0,0,SER_hh_emih!Q32/SER_summary!Q$26)</f>
        <v>7.3879924267571049</v>
      </c>
      <c r="R32" s="132">
        <f>IF(SER_hh_emih!R32=0,0,SER_hh_emih!R32/SER_summary!R$26)</f>
        <v>7.0925716965686734</v>
      </c>
      <c r="S32" s="132">
        <f>IF(SER_hh_emih!S32=0,0,SER_hh_emih!S32/SER_summary!S$26)</f>
        <v>6.8369332525199376</v>
      </c>
      <c r="T32" s="132">
        <f>IF(SER_hh_emih!T32=0,0,SER_hh_emih!T32/SER_summary!T$26)</f>
        <v>7.0528145703377847</v>
      </c>
      <c r="U32" s="132">
        <f>IF(SER_hh_emih!U32=0,0,SER_hh_emih!U32/SER_summary!U$26)</f>
        <v>8.513818320453387</v>
      </c>
      <c r="V32" s="132">
        <f>IF(SER_hh_emih!V32=0,0,SER_hh_emih!V32/SER_summary!V$26)</f>
        <v>3.1115276970024865</v>
      </c>
      <c r="W32" s="132">
        <f>IF(SER_hh_emih!W32=0,0,SER_hh_emih!W32/SER_summary!W$26)</f>
        <v>4.8817682695830031</v>
      </c>
      <c r="X32" s="132">
        <f>IF(SER_hh_emih!X32=0,0,SER_hh_emih!X32/SER_summary!X$26)</f>
        <v>5.4394778328095832</v>
      </c>
      <c r="Y32" s="132">
        <f>IF(SER_hh_emih!Y32=0,0,SER_hh_emih!Y32/SER_summary!Y$26)</f>
        <v>6.7659316573673927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3091.4191116524953</v>
      </c>
      <c r="D3" s="124">
        <f t="shared" si="0"/>
        <v>10166.835322110848</v>
      </c>
      <c r="E3" s="124">
        <f t="shared" si="0"/>
        <v>3139.5446125426865</v>
      </c>
      <c r="F3" s="124">
        <f t="shared" si="0"/>
        <v>6018.1564429177188</v>
      </c>
      <c r="G3" s="124">
        <f t="shared" si="0"/>
        <v>4634.2186461071587</v>
      </c>
      <c r="H3" s="124">
        <f t="shared" si="0"/>
        <v>5628.2033635468897</v>
      </c>
      <c r="I3" s="124">
        <f t="shared" si="0"/>
        <v>6257.9033969516022</v>
      </c>
      <c r="J3" s="124">
        <f t="shared" si="0"/>
        <v>4362.7347784695148</v>
      </c>
      <c r="K3" s="124">
        <f t="shared" si="0"/>
        <v>924.39301017747925</v>
      </c>
      <c r="L3" s="124">
        <f t="shared" si="0"/>
        <v>5676.1595031407041</v>
      </c>
      <c r="M3" s="124">
        <f t="shared" si="0"/>
        <v>4666.233432038518</v>
      </c>
      <c r="N3" s="124">
        <f t="shared" si="0"/>
        <v>2773.7570112166545</v>
      </c>
      <c r="O3" s="124">
        <f t="shared" si="0"/>
        <v>2293.6185438728412</v>
      </c>
      <c r="P3" s="124">
        <f t="shared" si="0"/>
        <v>2622.506250025207</v>
      </c>
      <c r="Q3" s="124">
        <f t="shared" si="0"/>
        <v>1785.0599103090333</v>
      </c>
      <c r="R3" s="124">
        <f t="shared" si="0"/>
        <v>3315.3902961401068</v>
      </c>
      <c r="S3" s="124">
        <f t="shared" si="0"/>
        <v>3115.8063920787722</v>
      </c>
      <c r="T3" s="124">
        <f t="shared" si="0"/>
        <v>3611.1366297499444</v>
      </c>
      <c r="U3" s="124">
        <f t="shared" si="0"/>
        <v>3573.8228256628672</v>
      </c>
      <c r="V3" s="124">
        <f t="shared" si="0"/>
        <v>3533.0978411513806</v>
      </c>
      <c r="W3" s="124">
        <f t="shared" si="0"/>
        <v>3483.3641265148517</v>
      </c>
      <c r="X3" s="124">
        <f t="shared" si="0"/>
        <v>3456.5556423407133</v>
      </c>
      <c r="Y3" s="124">
        <f t="shared" si="0"/>
        <v>3439.8507145839258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3091.4191116524953</v>
      </c>
      <c r="D4" s="139">
        <f t="shared" si="1"/>
        <v>10166.835322110848</v>
      </c>
      <c r="E4" s="139">
        <f t="shared" si="1"/>
        <v>3139.5446125426865</v>
      </c>
      <c r="F4" s="139">
        <f t="shared" si="1"/>
        <v>6018.1564429177188</v>
      </c>
      <c r="G4" s="139">
        <f t="shared" si="1"/>
        <v>4634.2186461071587</v>
      </c>
      <c r="H4" s="139">
        <f t="shared" si="1"/>
        <v>5628.2033635468897</v>
      </c>
      <c r="I4" s="139">
        <f t="shared" si="1"/>
        <v>6257.9033969516022</v>
      </c>
      <c r="J4" s="139">
        <f t="shared" si="1"/>
        <v>4362.7347784695148</v>
      </c>
      <c r="K4" s="139">
        <f t="shared" si="1"/>
        <v>924.39301017747925</v>
      </c>
      <c r="L4" s="139">
        <f t="shared" si="1"/>
        <v>5676.1595031407041</v>
      </c>
      <c r="M4" s="139">
        <f t="shared" si="1"/>
        <v>4666.233432038518</v>
      </c>
      <c r="N4" s="139">
        <f t="shared" si="1"/>
        <v>2773.7570112166545</v>
      </c>
      <c r="O4" s="139">
        <f t="shared" si="1"/>
        <v>2293.6185438728412</v>
      </c>
      <c r="P4" s="139">
        <f t="shared" si="1"/>
        <v>2622.506250025207</v>
      </c>
      <c r="Q4" s="139">
        <f t="shared" si="1"/>
        <v>1785.0599103090333</v>
      </c>
      <c r="R4" s="139">
        <f t="shared" ref="R4:W4" si="2">SUM(R5:R14)</f>
        <v>3315.3902961401068</v>
      </c>
      <c r="S4" s="139">
        <f t="shared" si="2"/>
        <v>3115.8063920787722</v>
      </c>
      <c r="T4" s="139">
        <f t="shared" si="2"/>
        <v>3611.1366297499444</v>
      </c>
      <c r="U4" s="139">
        <f t="shared" si="2"/>
        <v>3573.8228256628672</v>
      </c>
      <c r="V4" s="139">
        <f t="shared" si="2"/>
        <v>3533.0978411513806</v>
      </c>
      <c r="W4" s="139">
        <f t="shared" si="2"/>
        <v>3483.3641265148517</v>
      </c>
      <c r="X4" s="139">
        <f t="shared" ref="X4:Y4" si="3">SUM(X5:X14)</f>
        <v>3456.5556423407133</v>
      </c>
      <c r="Y4" s="139">
        <f t="shared" si="3"/>
        <v>3439.8507145839258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1883.7419153428159</v>
      </c>
      <c r="D7" s="140">
        <v>3958.7224728912506</v>
      </c>
      <c r="E7" s="140">
        <v>1092.9607352706842</v>
      </c>
      <c r="F7" s="140">
        <v>1114.5604925819464</v>
      </c>
      <c r="G7" s="140">
        <v>805.26726411979678</v>
      </c>
      <c r="H7" s="140">
        <v>756.11590583966392</v>
      </c>
      <c r="I7" s="140">
        <v>616.99931383330011</v>
      </c>
      <c r="J7" s="140">
        <v>947.74122540530868</v>
      </c>
      <c r="K7" s="140">
        <v>144.18902915517299</v>
      </c>
      <c r="L7" s="140">
        <v>1377.2935861348878</v>
      </c>
      <c r="M7" s="140">
        <v>1253.5623966329854</v>
      </c>
      <c r="N7" s="140">
        <v>748.4641799463667</v>
      </c>
      <c r="O7" s="140">
        <v>718.21077057233174</v>
      </c>
      <c r="P7" s="140">
        <v>772.17426598652787</v>
      </c>
      <c r="Q7" s="140">
        <v>622.77012217659149</v>
      </c>
      <c r="R7" s="140">
        <v>642.18682752734912</v>
      </c>
      <c r="S7" s="140">
        <v>639.50742439677163</v>
      </c>
      <c r="T7" s="140">
        <v>433.51970875899872</v>
      </c>
      <c r="U7" s="140">
        <v>0</v>
      </c>
      <c r="V7" s="140">
        <v>164.90101859917959</v>
      </c>
      <c r="W7" s="140">
        <v>54.366240449678841</v>
      </c>
      <c r="X7" s="140">
        <v>36.232183590861418</v>
      </c>
      <c r="Y7" s="140">
        <v>484.06484041477989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0.10413457050384356</v>
      </c>
      <c r="D8" s="140">
        <v>0.26329892600157334</v>
      </c>
      <c r="E8" s="140">
        <v>8.0899063667424137E-2</v>
      </c>
      <c r="F8" s="140">
        <v>9.0074664670881877E-2</v>
      </c>
      <c r="G8" s="140">
        <v>0.14877599783895373</v>
      </c>
      <c r="H8" s="140">
        <v>0.26693791070384953</v>
      </c>
      <c r="I8" s="140">
        <v>0.27473205290443142</v>
      </c>
      <c r="J8" s="140">
        <v>0.20969488373048875</v>
      </c>
      <c r="K8" s="140">
        <v>7.4028197059864922E-2</v>
      </c>
      <c r="L8" s="140">
        <v>0.32943089824147587</v>
      </c>
      <c r="M8" s="140">
        <v>0.38023466452616689</v>
      </c>
      <c r="N8" s="140">
        <v>0.25480664319569263</v>
      </c>
      <c r="O8" s="140">
        <v>0.22903937274248451</v>
      </c>
      <c r="P8" s="140">
        <v>0.38411418189305335</v>
      </c>
      <c r="Q8" s="140">
        <v>0.19779333387332113</v>
      </c>
      <c r="R8" s="140">
        <v>0.27318268115721284</v>
      </c>
      <c r="S8" s="140">
        <v>0.21443462654213119</v>
      </c>
      <c r="T8" s="140">
        <v>0.30202294605809821</v>
      </c>
      <c r="U8" s="140">
        <v>0.41861916561268475</v>
      </c>
      <c r="V8" s="140">
        <v>0.81850772936922078</v>
      </c>
      <c r="W8" s="140">
        <v>1.4544871836727526</v>
      </c>
      <c r="X8" s="140">
        <v>2.3528525746887818</v>
      </c>
      <c r="Y8" s="140">
        <v>2.1956329410715845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1015.3219576247814</v>
      </c>
      <c r="D9" s="140">
        <v>5771.3001664799303</v>
      </c>
      <c r="E9" s="140">
        <v>1262.6619028300574</v>
      </c>
      <c r="F9" s="140">
        <v>0</v>
      </c>
      <c r="G9" s="140">
        <v>0</v>
      </c>
      <c r="H9" s="140">
        <v>1996.6305817292453</v>
      </c>
      <c r="I9" s="140">
        <v>4733.3743174253459</v>
      </c>
      <c r="J9" s="140">
        <v>3397.117600562543</v>
      </c>
      <c r="K9" s="140">
        <v>739.39212303841111</v>
      </c>
      <c r="L9" s="140">
        <v>4099.5209209189607</v>
      </c>
      <c r="M9" s="140">
        <v>3052.0439674680492</v>
      </c>
      <c r="N9" s="140">
        <v>1767.9501525060825</v>
      </c>
      <c r="O9" s="140">
        <v>1283.2471315696882</v>
      </c>
      <c r="P9" s="140">
        <v>1234.4289677506003</v>
      </c>
      <c r="Q9" s="140">
        <v>883.28706100226157</v>
      </c>
      <c r="R9" s="140">
        <v>1973.4703018699608</v>
      </c>
      <c r="S9" s="140">
        <v>1628.6777715215751</v>
      </c>
      <c r="T9" s="140">
        <v>1816.4056888694286</v>
      </c>
      <c r="U9" s="140">
        <v>1835.7335590952662</v>
      </c>
      <c r="V9" s="140">
        <v>1661.6442427055747</v>
      </c>
      <c r="W9" s="140">
        <v>2043.1668642820498</v>
      </c>
      <c r="X9" s="140">
        <v>2338.5029122881374</v>
      </c>
      <c r="Y9" s="140">
        <v>2182.9493043159682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3.2478218010525986E-2</v>
      </c>
      <c r="D10" s="140">
        <v>8.8560960643362154</v>
      </c>
      <c r="E10" s="140">
        <v>8.739222126072681</v>
      </c>
      <c r="F10" s="140">
        <v>23.185052170988481</v>
      </c>
      <c r="G10" s="140">
        <v>19.309579004478575</v>
      </c>
      <c r="H10" s="140">
        <v>8.249854696434884</v>
      </c>
      <c r="I10" s="140">
        <v>0</v>
      </c>
      <c r="J10" s="140">
        <v>0</v>
      </c>
      <c r="K10" s="140">
        <v>0.87562245218753287</v>
      </c>
      <c r="L10" s="140">
        <v>43.844073549022944</v>
      </c>
      <c r="M10" s="140">
        <v>74.969669529640171</v>
      </c>
      <c r="N10" s="140">
        <v>85.985710388056432</v>
      </c>
      <c r="O10" s="140">
        <v>99.429312629093147</v>
      </c>
      <c r="P10" s="140">
        <v>217.22257719426182</v>
      </c>
      <c r="Q10" s="140">
        <v>66.266826616605542</v>
      </c>
      <c r="R10" s="140">
        <v>44.800993367495501</v>
      </c>
      <c r="S10" s="140">
        <v>12.294556899924254</v>
      </c>
      <c r="T10" s="140">
        <v>23.168015130414602</v>
      </c>
      <c r="U10" s="140">
        <v>34.942316762341903</v>
      </c>
      <c r="V10" s="140">
        <v>28.880424705048721</v>
      </c>
      <c r="W10" s="140">
        <v>50.953893628038571</v>
      </c>
      <c r="X10" s="140">
        <v>60.149564370986418</v>
      </c>
      <c r="Y10" s="140">
        <v>48.991471420288519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63.709261240985278</v>
      </c>
      <c r="D12" s="140">
        <v>125.33540877133886</v>
      </c>
      <c r="E12" s="140">
        <v>29.127664159308996</v>
      </c>
      <c r="F12" s="140">
        <v>59.461400225346367</v>
      </c>
      <c r="G12" s="140">
        <v>161.04007758959835</v>
      </c>
      <c r="H12" s="140">
        <v>237.01237291736857</v>
      </c>
      <c r="I12" s="140">
        <v>123.42354924757117</v>
      </c>
      <c r="J12" s="140">
        <v>0</v>
      </c>
      <c r="K12" s="140">
        <v>0</v>
      </c>
      <c r="L12" s="140">
        <v>139.3731399903979</v>
      </c>
      <c r="M12" s="140">
        <v>153.45137377678938</v>
      </c>
      <c r="N12" s="140">
        <v>86.357713443794154</v>
      </c>
      <c r="O12" s="140">
        <v>79.46896687807515</v>
      </c>
      <c r="P12" s="140">
        <v>229.50783903015986</v>
      </c>
      <c r="Q12" s="140">
        <v>63.774024138360652</v>
      </c>
      <c r="R12" s="140">
        <v>36.506840819754871</v>
      </c>
      <c r="S12" s="140">
        <v>8.0140218178125213</v>
      </c>
      <c r="T12" s="140">
        <v>84.671062977081732</v>
      </c>
      <c r="U12" s="140">
        <v>130.77784185598702</v>
      </c>
      <c r="V12" s="140">
        <v>199.55557635445564</v>
      </c>
      <c r="W12" s="140">
        <v>212.57131594472986</v>
      </c>
      <c r="X12" s="140">
        <v>251.04529848382174</v>
      </c>
      <c r="Y12" s="140">
        <v>273.60081321264835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0.40139139612079178</v>
      </c>
      <c r="D13" s="140">
        <v>0.7664232083172372</v>
      </c>
      <c r="E13" s="140">
        <v>0.46467019966124373</v>
      </c>
      <c r="F13" s="140">
        <v>4.9189756783734584</v>
      </c>
      <c r="G13" s="140">
        <v>13.520348204498337</v>
      </c>
      <c r="H13" s="140">
        <v>32.415003334250152</v>
      </c>
      <c r="I13" s="140">
        <v>31.291098173076321</v>
      </c>
      <c r="J13" s="140">
        <v>17.666257617932576</v>
      </c>
      <c r="K13" s="140">
        <v>4.8212559427854149</v>
      </c>
      <c r="L13" s="140">
        <v>15.798351649193233</v>
      </c>
      <c r="M13" s="140">
        <v>19.40858391406173</v>
      </c>
      <c r="N13" s="140">
        <v>8.9624478991828163</v>
      </c>
      <c r="O13" s="140">
        <v>6.402919757915428</v>
      </c>
      <c r="P13" s="140">
        <v>10.155173606119982</v>
      </c>
      <c r="Q13" s="140">
        <v>0.18290758990226164</v>
      </c>
      <c r="R13" s="140">
        <v>21.251056196077649</v>
      </c>
      <c r="S13" s="140">
        <v>43.329017301546564</v>
      </c>
      <c r="T13" s="140">
        <v>105.06329151761427</v>
      </c>
      <c r="U13" s="140">
        <v>146.64018311796227</v>
      </c>
      <c r="V13" s="140">
        <v>180.20941411967024</v>
      </c>
      <c r="W13" s="140">
        <v>252.30059978600067</v>
      </c>
      <c r="X13" s="140">
        <v>269.85836285027938</v>
      </c>
      <c r="Y13" s="140">
        <v>199.49924434984268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128.1079732592782</v>
      </c>
      <c r="D14" s="141">
        <v>301.5914557696745</v>
      </c>
      <c r="E14" s="141">
        <v>745.50951889323517</v>
      </c>
      <c r="F14" s="141">
        <v>4815.9404475963929</v>
      </c>
      <c r="G14" s="141">
        <v>3634.9326011909475</v>
      </c>
      <c r="H14" s="141">
        <v>2597.5127071192228</v>
      </c>
      <c r="I14" s="141">
        <v>752.54038621940424</v>
      </c>
      <c r="J14" s="141">
        <v>0</v>
      </c>
      <c r="K14" s="141">
        <v>35.040951391862315</v>
      </c>
      <c r="L14" s="141">
        <v>0</v>
      </c>
      <c r="M14" s="141">
        <v>112.41720605246577</v>
      </c>
      <c r="N14" s="141">
        <v>75.782000389976275</v>
      </c>
      <c r="O14" s="141">
        <v>106.63040309299515</v>
      </c>
      <c r="P14" s="141">
        <v>158.6333122756443</v>
      </c>
      <c r="Q14" s="141">
        <v>148.58117545143838</v>
      </c>
      <c r="R14" s="141">
        <v>596.90109367831167</v>
      </c>
      <c r="S14" s="141">
        <v>783.76916551459965</v>
      </c>
      <c r="T14" s="141">
        <v>1148.0068395503483</v>
      </c>
      <c r="U14" s="141">
        <v>1425.3103056656973</v>
      </c>
      <c r="V14" s="141">
        <v>1297.0886569380823</v>
      </c>
      <c r="W14" s="141">
        <v>868.55072524068078</v>
      </c>
      <c r="X14" s="141">
        <v>498.41446818193828</v>
      </c>
      <c r="Y14" s="141">
        <v>248.54940792932604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2962.9097469970966</v>
      </c>
      <c r="D15" s="143">
        <f t="shared" si="4"/>
        <v>9864.4774431328569</v>
      </c>
      <c r="E15" s="143">
        <f t="shared" si="4"/>
        <v>2393.5704234497903</v>
      </c>
      <c r="F15" s="143">
        <f t="shared" si="4"/>
        <v>1197.2970196429521</v>
      </c>
      <c r="G15" s="143">
        <f t="shared" si="4"/>
        <v>985.76569671171262</v>
      </c>
      <c r="H15" s="143">
        <f t="shared" si="4"/>
        <v>2998.2756530934166</v>
      </c>
      <c r="I15" s="143">
        <f t="shared" si="4"/>
        <v>5474.0719125591213</v>
      </c>
      <c r="J15" s="143">
        <f t="shared" si="4"/>
        <v>4345.0685208515824</v>
      </c>
      <c r="K15" s="143">
        <f t="shared" si="4"/>
        <v>884.53080284283146</v>
      </c>
      <c r="L15" s="143">
        <f t="shared" si="4"/>
        <v>5660.361151491511</v>
      </c>
      <c r="M15" s="143">
        <f t="shared" si="4"/>
        <v>4534.4076420719903</v>
      </c>
      <c r="N15" s="143">
        <f t="shared" si="4"/>
        <v>2689.0125629274953</v>
      </c>
      <c r="O15" s="143">
        <f t="shared" si="4"/>
        <v>2180.5852210219309</v>
      </c>
      <c r="P15" s="143">
        <f t="shared" si="4"/>
        <v>2453.7177641434428</v>
      </c>
      <c r="Q15" s="143">
        <f t="shared" si="4"/>
        <v>1636.2958272676926</v>
      </c>
      <c r="R15" s="143">
        <f t="shared" ref="R15:W15" si="5">SUM(R5:R12)</f>
        <v>2697.2381462657177</v>
      </c>
      <c r="S15" s="143">
        <f t="shared" si="5"/>
        <v>2288.708209262626</v>
      </c>
      <c r="T15" s="143">
        <f t="shared" si="5"/>
        <v>2358.0664986819816</v>
      </c>
      <c r="U15" s="143">
        <f t="shared" si="5"/>
        <v>2001.8723368792078</v>
      </c>
      <c r="V15" s="143">
        <f t="shared" si="5"/>
        <v>2055.799770093628</v>
      </c>
      <c r="W15" s="143">
        <f t="shared" si="5"/>
        <v>2362.5128014881702</v>
      </c>
      <c r="X15" s="143">
        <f t="shared" ref="X15:Y15" si="6">SUM(X5:X12)</f>
        <v>2688.2828113084956</v>
      </c>
      <c r="Y15" s="143">
        <f t="shared" si="6"/>
        <v>2991.8020623047569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3091.4191116524958</v>
      </c>
      <c r="D16" s="139">
        <f t="shared" si="7"/>
        <v>7204.8277273749591</v>
      </c>
      <c r="E16" s="139">
        <f t="shared" si="7"/>
        <v>3139.5446125426879</v>
      </c>
      <c r="F16" s="139">
        <f t="shared" si="7"/>
        <v>6018.1564429177179</v>
      </c>
      <c r="G16" s="139">
        <f t="shared" si="7"/>
        <v>4634.2186461071578</v>
      </c>
      <c r="H16" s="139">
        <f t="shared" si="7"/>
        <v>5628.2033635468906</v>
      </c>
      <c r="I16" s="139">
        <f t="shared" si="7"/>
        <v>6257.9033969516022</v>
      </c>
      <c r="J16" s="139">
        <f t="shared" si="7"/>
        <v>4362.7347784695139</v>
      </c>
      <c r="K16" s="139">
        <f t="shared" si="7"/>
        <v>924.39301017747914</v>
      </c>
      <c r="L16" s="139">
        <f t="shared" si="7"/>
        <v>5676.1595031407041</v>
      </c>
      <c r="M16" s="139">
        <f t="shared" si="7"/>
        <v>4666.233432038518</v>
      </c>
      <c r="N16" s="139">
        <f t="shared" si="7"/>
        <v>2773.7570112166545</v>
      </c>
      <c r="O16" s="139">
        <f t="shared" si="7"/>
        <v>2293.6185438728412</v>
      </c>
      <c r="P16" s="139">
        <f t="shared" si="7"/>
        <v>2622.5062500252079</v>
      </c>
      <c r="Q16" s="139">
        <f t="shared" si="7"/>
        <v>1785.0599103090331</v>
      </c>
      <c r="R16" s="139">
        <f t="shared" ref="R16:W16" si="8">SUM(R17:R18)</f>
        <v>3315.3902961401063</v>
      </c>
      <c r="S16" s="139">
        <f t="shared" si="8"/>
        <v>3115.8063920787722</v>
      </c>
      <c r="T16" s="139">
        <f t="shared" si="8"/>
        <v>3611.1366297499449</v>
      </c>
      <c r="U16" s="139">
        <f t="shared" si="8"/>
        <v>3573.8228256628672</v>
      </c>
      <c r="V16" s="139">
        <f t="shared" si="8"/>
        <v>3533.0978411513802</v>
      </c>
      <c r="W16" s="139">
        <f t="shared" si="8"/>
        <v>3483.3641265148513</v>
      </c>
      <c r="X16" s="139">
        <f t="shared" ref="X16:Y16" si="9">SUM(X17:X18)</f>
        <v>3456.5556423407143</v>
      </c>
      <c r="Y16" s="139">
        <f t="shared" si="9"/>
        <v>3439.8507145839253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3.2243532874098517</v>
      </c>
      <c r="D17" s="140">
        <v>8.4194949022680383</v>
      </c>
      <c r="E17" s="140">
        <v>0.42168703620773323</v>
      </c>
      <c r="F17" s="140">
        <v>15.799839700708928</v>
      </c>
      <c r="G17" s="140">
        <v>9.1878342777769806</v>
      </c>
      <c r="H17" s="140">
        <v>4.9827588162033019</v>
      </c>
      <c r="I17" s="140">
        <v>18.844453276154834</v>
      </c>
      <c r="J17" s="140">
        <v>14.534689360963434</v>
      </c>
      <c r="K17" s="140">
        <v>3.0448055884440905</v>
      </c>
      <c r="L17" s="140">
        <v>9.0846223756158331</v>
      </c>
      <c r="M17" s="140">
        <v>13.1666662653027</v>
      </c>
      <c r="N17" s="140">
        <v>8.6381988027680379</v>
      </c>
      <c r="O17" s="140">
        <v>10.667245817038856</v>
      </c>
      <c r="P17" s="140">
        <v>20.816938462537475</v>
      </c>
      <c r="Q17" s="140">
        <v>20.82774272802622</v>
      </c>
      <c r="R17" s="140">
        <v>26.49007136086507</v>
      </c>
      <c r="S17" s="140">
        <v>17.813253744857995</v>
      </c>
      <c r="T17" s="140">
        <v>34.965970604740541</v>
      </c>
      <c r="U17" s="140">
        <v>41.324881655190623</v>
      </c>
      <c r="V17" s="140">
        <v>25.516149671339409</v>
      </c>
      <c r="W17" s="140">
        <v>22.963619050366908</v>
      </c>
      <c r="X17" s="140">
        <v>23.394429337099414</v>
      </c>
      <c r="Y17" s="140">
        <v>28.565185308382013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3088.1947583650858</v>
      </c>
      <c r="D18" s="140">
        <v>7196.4082324726915</v>
      </c>
      <c r="E18" s="140">
        <v>3139.12292550648</v>
      </c>
      <c r="F18" s="140">
        <v>6002.3566032170093</v>
      </c>
      <c r="G18" s="140">
        <v>4625.0308118293806</v>
      </c>
      <c r="H18" s="140">
        <v>5623.2206047306872</v>
      </c>
      <c r="I18" s="140">
        <v>6239.0589436754472</v>
      </c>
      <c r="J18" s="140">
        <v>4348.2000891085509</v>
      </c>
      <c r="K18" s="140">
        <v>921.34820458903505</v>
      </c>
      <c r="L18" s="140">
        <v>5667.074880765088</v>
      </c>
      <c r="M18" s="140">
        <v>4653.0667657732156</v>
      </c>
      <c r="N18" s="140">
        <v>2765.1188124138866</v>
      </c>
      <c r="O18" s="140">
        <v>2282.9512980558025</v>
      </c>
      <c r="P18" s="140">
        <v>2601.6893115626704</v>
      </c>
      <c r="Q18" s="140">
        <v>1764.2321675810069</v>
      </c>
      <c r="R18" s="140">
        <v>3288.9002247792414</v>
      </c>
      <c r="S18" s="140">
        <v>3097.9931383339144</v>
      </c>
      <c r="T18" s="140">
        <v>3576.1706591452044</v>
      </c>
      <c r="U18" s="140">
        <v>3532.4979440076768</v>
      </c>
      <c r="V18" s="140">
        <v>3507.5816914800407</v>
      </c>
      <c r="W18" s="140">
        <v>3460.4005074644842</v>
      </c>
      <c r="X18" s="140">
        <v>3433.1612130036146</v>
      </c>
      <c r="Y18" s="140">
        <v>3411.2855292755435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3091.4191116524962</v>
      </c>
      <c r="D19" s="139">
        <f t="shared" si="10"/>
        <v>10166.835322110852</v>
      </c>
      <c r="E19" s="139">
        <f t="shared" si="10"/>
        <v>3139.5446125426879</v>
      </c>
      <c r="F19" s="139">
        <f t="shared" si="10"/>
        <v>6018.1564429177188</v>
      </c>
      <c r="G19" s="139">
        <f t="shared" si="10"/>
        <v>4634.2186461071578</v>
      </c>
      <c r="H19" s="139">
        <f t="shared" si="10"/>
        <v>5628.2033635468906</v>
      </c>
      <c r="I19" s="139">
        <f t="shared" si="10"/>
        <v>6257.903396951604</v>
      </c>
      <c r="J19" s="139">
        <f t="shared" si="10"/>
        <v>4362.7347784695139</v>
      </c>
      <c r="K19" s="139">
        <f t="shared" si="10"/>
        <v>924.39301017747914</v>
      </c>
      <c r="L19" s="139">
        <f t="shared" si="10"/>
        <v>5676.1595031407032</v>
      </c>
      <c r="M19" s="139">
        <f t="shared" si="10"/>
        <v>4666.2334320385189</v>
      </c>
      <c r="N19" s="139">
        <f t="shared" si="10"/>
        <v>2773.757011216655</v>
      </c>
      <c r="O19" s="139">
        <f t="shared" si="10"/>
        <v>2293.6185438728412</v>
      </c>
      <c r="P19" s="139">
        <f t="shared" si="10"/>
        <v>2622.5062500252079</v>
      </c>
      <c r="Q19" s="139">
        <f t="shared" si="10"/>
        <v>1785.0599103090331</v>
      </c>
      <c r="R19" s="139">
        <f t="shared" ref="R19:W19" si="11">SUM(R20:R26)</f>
        <v>3315.3902961401063</v>
      </c>
      <c r="S19" s="139">
        <f t="shared" si="11"/>
        <v>3115.8063920787722</v>
      </c>
      <c r="T19" s="139">
        <f t="shared" si="11"/>
        <v>3611.1366297499453</v>
      </c>
      <c r="U19" s="139">
        <f t="shared" si="11"/>
        <v>3573.8228256628672</v>
      </c>
      <c r="V19" s="139">
        <f t="shared" si="11"/>
        <v>3533.0978411513806</v>
      </c>
      <c r="W19" s="139">
        <f t="shared" si="11"/>
        <v>3483.3641265148513</v>
      </c>
      <c r="X19" s="139">
        <f t="shared" ref="X19:Y19" si="12">SUM(X20:X26)</f>
        <v>3456.5556423407133</v>
      </c>
      <c r="Y19" s="139">
        <f t="shared" si="12"/>
        <v>3439.8507145839258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85.004148692670682</v>
      </c>
      <c r="D21" s="140">
        <v>145.74940030590969</v>
      </c>
      <c r="E21" s="140">
        <v>10.86792263852511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0.2615541486335754</v>
      </c>
      <c r="M21" s="140">
        <v>62.708230764778399</v>
      </c>
      <c r="N21" s="140">
        <v>76.353361216763389</v>
      </c>
      <c r="O21" s="140">
        <v>57.970643610163492</v>
      </c>
      <c r="P21" s="140">
        <v>25.118154545775322</v>
      </c>
      <c r="Q21" s="140">
        <v>19.822297893722705</v>
      </c>
      <c r="R21" s="140">
        <v>36.676553918876081</v>
      </c>
      <c r="S21" s="140">
        <v>45.187359919882631</v>
      </c>
      <c r="T21" s="140">
        <v>35.124512789030845</v>
      </c>
      <c r="U21" s="140">
        <v>25.186779566707877</v>
      </c>
      <c r="V21" s="140">
        <v>34.016494972289713</v>
      </c>
      <c r="W21" s="140">
        <v>59.357892132940094</v>
      </c>
      <c r="X21" s="140">
        <v>83.76285496867591</v>
      </c>
      <c r="Y21" s="140">
        <v>71.723898244338514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605.37931633467724</v>
      </c>
      <c r="D22" s="140">
        <v>1249.2182008086568</v>
      </c>
      <c r="E22" s="140">
        <v>654.53628844332479</v>
      </c>
      <c r="F22" s="140">
        <v>1368.1085753591528</v>
      </c>
      <c r="G22" s="140">
        <v>1007.4254382020205</v>
      </c>
      <c r="H22" s="140">
        <v>1045.8527402167297</v>
      </c>
      <c r="I22" s="140">
        <v>978.17348361079655</v>
      </c>
      <c r="J22" s="140">
        <v>657.02776342304242</v>
      </c>
      <c r="K22" s="140">
        <v>204.18343735074933</v>
      </c>
      <c r="L22" s="140">
        <v>974.71813348242154</v>
      </c>
      <c r="M22" s="140">
        <v>903.98454865237295</v>
      </c>
      <c r="N22" s="140">
        <v>567.06150926300108</v>
      </c>
      <c r="O22" s="140">
        <v>455.59148456444871</v>
      </c>
      <c r="P22" s="140">
        <v>304.37743436574567</v>
      </c>
      <c r="Q22" s="140">
        <v>242.67216177176851</v>
      </c>
      <c r="R22" s="140">
        <v>366.39962123267202</v>
      </c>
      <c r="S22" s="140">
        <v>296.05415881911409</v>
      </c>
      <c r="T22" s="140">
        <v>233.82941402611286</v>
      </c>
      <c r="U22" s="140">
        <v>159.7712859299638</v>
      </c>
      <c r="V22" s="140">
        <v>456.03328221282993</v>
      </c>
      <c r="W22" s="140">
        <v>660.31332877403611</v>
      </c>
      <c r="X22" s="140">
        <v>905.8908644498498</v>
      </c>
      <c r="Y22" s="140">
        <v>788.85162954279599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1392.0096688500125</v>
      </c>
      <c r="D23" s="140">
        <v>4079.0577027829177</v>
      </c>
      <c r="E23" s="140">
        <v>1498.4391339340702</v>
      </c>
      <c r="F23" s="140">
        <v>3563.702040450099</v>
      </c>
      <c r="G23" s="140">
        <v>2525.3792085759442</v>
      </c>
      <c r="H23" s="140">
        <v>3022.7314964248844</v>
      </c>
      <c r="I23" s="140">
        <v>3458.9485389681436</v>
      </c>
      <c r="J23" s="140">
        <v>2312.2538473532995</v>
      </c>
      <c r="K23" s="140">
        <v>438.73857225455356</v>
      </c>
      <c r="L23" s="140">
        <v>2814.5470983929795</v>
      </c>
      <c r="M23" s="140">
        <v>2443.1657913056988</v>
      </c>
      <c r="N23" s="140">
        <v>1308.7592301284458</v>
      </c>
      <c r="O23" s="140">
        <v>1030.4469356636082</v>
      </c>
      <c r="P23" s="140">
        <v>1043.7137870005156</v>
      </c>
      <c r="Q23" s="140">
        <v>709.44258988020522</v>
      </c>
      <c r="R23" s="140">
        <v>1445.6561969759457</v>
      </c>
      <c r="S23" s="140">
        <v>1511.4466881954625</v>
      </c>
      <c r="T23" s="140">
        <v>1989.8509031931894</v>
      </c>
      <c r="U23" s="140">
        <v>2386.5839318178319</v>
      </c>
      <c r="V23" s="140">
        <v>1957.6662961441959</v>
      </c>
      <c r="W23" s="140">
        <v>1203.1444014188926</v>
      </c>
      <c r="X23" s="140">
        <v>0</v>
      </c>
      <c r="Y23" s="140">
        <v>24.991401414528561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51.185617064742857</v>
      </c>
      <c r="D25" s="140">
        <v>114.81766480200821</v>
      </c>
      <c r="E25" s="140">
        <v>59.778296488169929</v>
      </c>
      <c r="F25" s="140">
        <v>130.56820165566145</v>
      </c>
      <c r="G25" s="140">
        <v>96.978937338204602</v>
      </c>
      <c r="H25" s="140">
        <v>102.59207515213372</v>
      </c>
      <c r="I25" s="140">
        <v>96.28569826156496</v>
      </c>
      <c r="J25" s="140">
        <v>90.131576879250915</v>
      </c>
      <c r="K25" s="140">
        <v>28.518368576427289</v>
      </c>
      <c r="L25" s="140">
        <v>156.75217505437075</v>
      </c>
      <c r="M25" s="140">
        <v>98.548757603557206</v>
      </c>
      <c r="N25" s="140">
        <v>47.725890052066958</v>
      </c>
      <c r="O25" s="140">
        <v>34.288854660359249</v>
      </c>
      <c r="P25" s="140">
        <v>16.502785322620618</v>
      </c>
      <c r="Q25" s="140">
        <v>35.980678789494718</v>
      </c>
      <c r="R25" s="140">
        <v>61.700234412948021</v>
      </c>
      <c r="S25" s="140">
        <v>60.87377463292227</v>
      </c>
      <c r="T25" s="140">
        <v>70.007753606128972</v>
      </c>
      <c r="U25" s="140">
        <v>80.530122849530997</v>
      </c>
      <c r="V25" s="140">
        <v>109.75420047573223</v>
      </c>
      <c r="W25" s="140">
        <v>142.8233579644384</v>
      </c>
      <c r="X25" s="140">
        <v>234.78500356130758</v>
      </c>
      <c r="Y25" s="140">
        <v>195.75961591407446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957.84036071039282</v>
      </c>
      <c r="D26" s="141">
        <v>4577.9923534113586</v>
      </c>
      <c r="E26" s="141">
        <v>915.92297103859789</v>
      </c>
      <c r="F26" s="141">
        <v>955.77762545280518</v>
      </c>
      <c r="G26" s="141">
        <v>1004.4350619909887</v>
      </c>
      <c r="H26" s="141">
        <v>1457.0270517531426</v>
      </c>
      <c r="I26" s="141">
        <v>1724.4956761110989</v>
      </c>
      <c r="J26" s="141">
        <v>1303.3215908139214</v>
      </c>
      <c r="K26" s="141">
        <v>252.9526319957489</v>
      </c>
      <c r="L26" s="141">
        <v>1729.880542062298</v>
      </c>
      <c r="M26" s="141">
        <v>1157.8261037121113</v>
      </c>
      <c r="N26" s="141">
        <v>773.85702055637773</v>
      </c>
      <c r="O26" s="141">
        <v>715.32062537426179</v>
      </c>
      <c r="P26" s="141">
        <v>1232.7940887905506</v>
      </c>
      <c r="Q26" s="141">
        <v>777.14218197384173</v>
      </c>
      <c r="R26" s="141">
        <v>1404.9576895996647</v>
      </c>
      <c r="S26" s="141">
        <v>1202.2444105113907</v>
      </c>
      <c r="T26" s="141">
        <v>1282.3240461354828</v>
      </c>
      <c r="U26" s="141">
        <v>921.75070549883287</v>
      </c>
      <c r="V26" s="141">
        <v>975.62756734633251</v>
      </c>
      <c r="W26" s="141">
        <v>1417.725146224544</v>
      </c>
      <c r="X26" s="141">
        <v>2232.1169193608803</v>
      </c>
      <c r="Y26" s="141">
        <v>2358.5241694681881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31.914113940466276</v>
      </c>
      <c r="E27" s="150">
        <v>126.21188550380829</v>
      </c>
      <c r="F27" s="150">
        <v>40.838555390957893</v>
      </c>
      <c r="G27" s="150">
        <v>11.172283374767611</v>
      </c>
      <c r="H27" s="150">
        <v>108.5076791434186</v>
      </c>
      <c r="I27" s="150">
        <v>288.07135289767581</v>
      </c>
      <c r="J27" s="150">
        <v>220.30159069873218</v>
      </c>
      <c r="K27" s="150">
        <v>473.46081307581238</v>
      </c>
      <c r="L27" s="150">
        <v>0</v>
      </c>
      <c r="M27" s="150">
        <v>32.065594033126736</v>
      </c>
      <c r="N27" s="150">
        <v>14.736226662647514</v>
      </c>
      <c r="O27" s="150">
        <v>3.7912189900893144E-13</v>
      </c>
      <c r="P27" s="150">
        <v>81.269685635486567</v>
      </c>
      <c r="Q27" s="150">
        <v>130.50152537841893</v>
      </c>
      <c r="R27" s="150">
        <v>467.90835004470978</v>
      </c>
      <c r="S27" s="150">
        <v>122.93252311372557</v>
      </c>
      <c r="T27" s="150">
        <v>109.50316165405037</v>
      </c>
      <c r="U27" s="150">
        <v>79.621251864515997</v>
      </c>
      <c r="V27" s="150">
        <v>6.0084324217375115E-13</v>
      </c>
      <c r="W27" s="150">
        <v>0</v>
      </c>
      <c r="X27" s="150">
        <v>391.97987930962523</v>
      </c>
      <c r="Y27" s="150">
        <v>96.970515609359708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3091.4191116524962</v>
      </c>
      <c r="D29" s="139">
        <f t="shared" si="13"/>
        <v>10166.835322110852</v>
      </c>
      <c r="E29" s="139">
        <f t="shared" si="13"/>
        <v>3139.5446125426879</v>
      </c>
      <c r="F29" s="139">
        <f t="shared" si="13"/>
        <v>6018.1564429177188</v>
      </c>
      <c r="G29" s="139">
        <f t="shared" si="13"/>
        <v>4634.2186461071578</v>
      </c>
      <c r="H29" s="139">
        <f t="shared" si="13"/>
        <v>5628.2033635468906</v>
      </c>
      <c r="I29" s="139">
        <f t="shared" si="13"/>
        <v>6257.9033969516031</v>
      </c>
      <c r="J29" s="139">
        <f t="shared" si="13"/>
        <v>4362.7347784695139</v>
      </c>
      <c r="K29" s="139">
        <f t="shared" si="13"/>
        <v>924.39301017747903</v>
      </c>
      <c r="L29" s="139">
        <f t="shared" si="13"/>
        <v>5676.1595031407051</v>
      </c>
      <c r="M29" s="139">
        <f t="shared" si="13"/>
        <v>4666.233432038518</v>
      </c>
      <c r="N29" s="139">
        <f t="shared" si="13"/>
        <v>2773.757011216655</v>
      </c>
      <c r="O29" s="139">
        <f t="shared" si="13"/>
        <v>2293.6185438728417</v>
      </c>
      <c r="P29" s="139">
        <f t="shared" si="13"/>
        <v>2622.5062500252079</v>
      </c>
      <c r="Q29" s="139">
        <f t="shared" si="13"/>
        <v>1785.0599103090331</v>
      </c>
      <c r="R29" s="139">
        <f t="shared" ref="R29:W29" si="14">SUM(R30:R33)</f>
        <v>3315.3902961401068</v>
      </c>
      <c r="S29" s="139">
        <f t="shared" si="14"/>
        <v>3115.8063920787722</v>
      </c>
      <c r="T29" s="139">
        <f t="shared" si="14"/>
        <v>3611.1366297499444</v>
      </c>
      <c r="U29" s="139">
        <f t="shared" si="14"/>
        <v>3573.8228256628672</v>
      </c>
      <c r="V29" s="139">
        <f t="shared" si="14"/>
        <v>3533.0978411513802</v>
      </c>
      <c r="W29" s="139">
        <f t="shared" si="14"/>
        <v>3483.3641265148517</v>
      </c>
      <c r="X29" s="139">
        <f t="shared" ref="X29:Y29" si="15">SUM(X30:X33)</f>
        <v>3456.5556423407143</v>
      </c>
      <c r="Y29" s="139">
        <f t="shared" si="15"/>
        <v>3439.8507145839258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91.921606367337006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106.92071429228467</v>
      </c>
      <c r="K30" s="140">
        <v>94.440083710881893</v>
      </c>
      <c r="L30" s="140">
        <v>643.35142602255553</v>
      </c>
      <c r="M30" s="140">
        <v>0</v>
      </c>
      <c r="N30" s="140">
        <v>0</v>
      </c>
      <c r="O30" s="140">
        <v>10.990588363980921</v>
      </c>
      <c r="P30" s="140">
        <v>0</v>
      </c>
      <c r="Q30" s="140">
        <v>56.099880183197492</v>
      </c>
      <c r="R30" s="140">
        <v>20.797643564754068</v>
      </c>
      <c r="S30" s="140">
        <v>106.84343287515402</v>
      </c>
      <c r="T30" s="140">
        <v>135.70789958366709</v>
      </c>
      <c r="U30" s="140">
        <v>232.29352764483011</v>
      </c>
      <c r="V30" s="140">
        <v>245.29298687015134</v>
      </c>
      <c r="W30" s="140">
        <v>165.84529492081981</v>
      </c>
      <c r="X30" s="140">
        <v>0</v>
      </c>
      <c r="Y30" s="140">
        <v>0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1504.5197265368158</v>
      </c>
      <c r="D31" s="140">
        <v>2512.6974394526001</v>
      </c>
      <c r="E31" s="140">
        <v>1127.1553046405481</v>
      </c>
      <c r="F31" s="140">
        <v>2977.634326335698</v>
      </c>
      <c r="G31" s="140">
        <v>1802.621680902846</v>
      </c>
      <c r="H31" s="140">
        <v>2559.9224547096069</v>
      </c>
      <c r="I31" s="140">
        <v>2618.9038181250671</v>
      </c>
      <c r="J31" s="140">
        <v>2205.7471806344624</v>
      </c>
      <c r="K31" s="140">
        <v>508.26924670603898</v>
      </c>
      <c r="L31" s="140">
        <v>2216.0493946820029</v>
      </c>
      <c r="M31" s="140">
        <v>1476.7769127048334</v>
      </c>
      <c r="N31" s="140">
        <v>941.8656571881337</v>
      </c>
      <c r="O31" s="140">
        <v>777.09226068382475</v>
      </c>
      <c r="P31" s="140">
        <v>720.8022651451879</v>
      </c>
      <c r="Q31" s="140">
        <v>609.99880047627005</v>
      </c>
      <c r="R31" s="140">
        <v>1193.0338775849568</v>
      </c>
      <c r="S31" s="140">
        <v>1186.2721366664714</v>
      </c>
      <c r="T31" s="140">
        <v>1484.2666041735322</v>
      </c>
      <c r="U31" s="140">
        <v>1431.6033300993863</v>
      </c>
      <c r="V31" s="140">
        <v>1322.9945646276644</v>
      </c>
      <c r="W31" s="140">
        <v>887.61091985844678</v>
      </c>
      <c r="X31" s="140">
        <v>992.6011748276693</v>
      </c>
      <c r="Y31" s="140">
        <v>880.15617865643844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46.412650872341857</v>
      </c>
      <c r="K32" s="140">
        <v>4.9693672826609481</v>
      </c>
      <c r="L32" s="140">
        <v>31.588476124632962</v>
      </c>
      <c r="M32" s="140">
        <v>13.652327209840415</v>
      </c>
      <c r="N32" s="140">
        <v>2.9668357943025598</v>
      </c>
      <c r="O32" s="140">
        <v>14.73054377918857</v>
      </c>
      <c r="P32" s="140">
        <v>20.895142264999379</v>
      </c>
      <c r="Q32" s="140">
        <v>14.451805861049715</v>
      </c>
      <c r="R32" s="140">
        <v>14.559864627525551</v>
      </c>
      <c r="S32" s="140">
        <v>10.763954851623325</v>
      </c>
      <c r="T32" s="140">
        <v>0.54634358591948873</v>
      </c>
      <c r="U32" s="140">
        <v>0</v>
      </c>
      <c r="V32" s="140">
        <v>0</v>
      </c>
      <c r="W32" s="140">
        <v>0</v>
      </c>
      <c r="X32" s="140">
        <v>0.58941564179824479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1494.9777787483431</v>
      </c>
      <c r="D33" s="152">
        <v>7654.1378826582513</v>
      </c>
      <c r="E33" s="152">
        <v>2012.3893079021395</v>
      </c>
      <c r="F33" s="152">
        <v>3040.5221165820208</v>
      </c>
      <c r="G33" s="152">
        <v>2831.5969652043118</v>
      </c>
      <c r="H33" s="152">
        <v>3068.2809088372837</v>
      </c>
      <c r="I33" s="152">
        <v>3638.999578826536</v>
      </c>
      <c r="J33" s="152">
        <v>2003.6542326704248</v>
      </c>
      <c r="K33" s="152">
        <v>316.71431247789718</v>
      </c>
      <c r="L33" s="152">
        <v>2785.1702063115135</v>
      </c>
      <c r="M33" s="152">
        <v>3175.8041921238441</v>
      </c>
      <c r="N33" s="152">
        <v>1828.9245182342188</v>
      </c>
      <c r="O33" s="152">
        <v>1490.8051510458472</v>
      </c>
      <c r="P33" s="152">
        <v>1880.8088426150205</v>
      </c>
      <c r="Q33" s="152">
        <v>1104.5094237885157</v>
      </c>
      <c r="R33" s="152">
        <v>2086.9989103628704</v>
      </c>
      <c r="S33" s="152">
        <v>1811.9268676855233</v>
      </c>
      <c r="T33" s="152">
        <v>1990.6157824068257</v>
      </c>
      <c r="U33" s="152">
        <v>1909.9259679186507</v>
      </c>
      <c r="V33" s="152">
        <v>1964.8102896535645</v>
      </c>
      <c r="W33" s="152">
        <v>2429.907911735585</v>
      </c>
      <c r="X33" s="152">
        <v>2463.3650518712466</v>
      </c>
      <c r="Y33" s="152">
        <v>2559.6945359274873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45.009496470259784</v>
      </c>
      <c r="D3" s="125">
        <f t="shared" si="0"/>
        <v>151.45246105815121</v>
      </c>
      <c r="E3" s="125">
        <f t="shared" si="0"/>
        <v>43.691569310788864</v>
      </c>
      <c r="F3" s="125">
        <f t="shared" si="0"/>
        <v>109.14831433042583</v>
      </c>
      <c r="G3" s="125">
        <f t="shared" si="0"/>
        <v>71.562946169818872</v>
      </c>
      <c r="H3" s="125">
        <f t="shared" si="0"/>
        <v>81.037100625038562</v>
      </c>
      <c r="I3" s="125">
        <f t="shared" si="0"/>
        <v>85.976382880580104</v>
      </c>
      <c r="J3" s="125">
        <f t="shared" si="0"/>
        <v>66.730535941160014</v>
      </c>
      <c r="K3" s="125">
        <f t="shared" si="0"/>
        <v>13.536488711874897</v>
      </c>
      <c r="L3" s="125">
        <f t="shared" si="0"/>
        <v>86.22510956032869</v>
      </c>
      <c r="M3" s="125">
        <f t="shared" si="0"/>
        <v>56.121505715781971</v>
      </c>
      <c r="N3" s="125">
        <f t="shared" si="0"/>
        <v>34.095728273097869</v>
      </c>
      <c r="O3" s="125">
        <f t="shared" si="0"/>
        <v>28.632728807650359</v>
      </c>
      <c r="P3" s="125">
        <f t="shared" si="0"/>
        <v>26.008058370770151</v>
      </c>
      <c r="Q3" s="125">
        <f t="shared" si="0"/>
        <v>18.358902085077982</v>
      </c>
      <c r="R3" s="125">
        <f t="shared" ref="R3:W3" si="1">SUM(R4,R16,R19,R29)</f>
        <v>31.869886624038045</v>
      </c>
      <c r="S3" s="125">
        <f t="shared" si="1"/>
        <v>28.38061211225131</v>
      </c>
      <c r="T3" s="125">
        <f t="shared" si="1"/>
        <v>31.221801426567154</v>
      </c>
      <c r="U3" s="125">
        <f t="shared" si="1"/>
        <v>28.351611519868317</v>
      </c>
      <c r="V3" s="125">
        <f t="shared" si="1"/>
        <v>25.081342810125591</v>
      </c>
      <c r="W3" s="125">
        <f t="shared" si="1"/>
        <v>23.985429485393912</v>
      </c>
      <c r="X3" s="125">
        <f t="shared" ref="X3:Y3" si="2">SUM(X4,X16,X19,X29)</f>
        <v>19.578815494096929</v>
      </c>
      <c r="Y3" s="125">
        <f t="shared" si="2"/>
        <v>19.329882617651926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33.195472250603778</v>
      </c>
      <c r="D4" s="130">
        <f t="shared" si="3"/>
        <v>115.09380707421471</v>
      </c>
      <c r="E4" s="130">
        <f t="shared" si="3"/>
        <v>30.714143760959473</v>
      </c>
      <c r="F4" s="130">
        <f t="shared" si="3"/>
        <v>87.070269777130193</v>
      </c>
      <c r="G4" s="130">
        <f t="shared" si="3"/>
        <v>54.568976354592863</v>
      </c>
      <c r="H4" s="130">
        <f t="shared" si="3"/>
        <v>59.707769032616199</v>
      </c>
      <c r="I4" s="130">
        <f t="shared" si="3"/>
        <v>63.848637560641684</v>
      </c>
      <c r="J4" s="130">
        <f t="shared" si="3"/>
        <v>51.222473618351898</v>
      </c>
      <c r="K4" s="130">
        <f t="shared" si="3"/>
        <v>10.303100037687734</v>
      </c>
      <c r="L4" s="130">
        <f t="shared" si="3"/>
        <v>65.846857402213146</v>
      </c>
      <c r="M4" s="130">
        <f t="shared" si="3"/>
        <v>40.100917598615048</v>
      </c>
      <c r="N4" s="130">
        <f t="shared" si="3"/>
        <v>24.523773029575992</v>
      </c>
      <c r="O4" s="130">
        <f t="shared" si="3"/>
        <v>20.820825167386644</v>
      </c>
      <c r="P4" s="130">
        <f t="shared" si="3"/>
        <v>17.314692372123215</v>
      </c>
      <c r="Q4" s="130">
        <f t="shared" si="3"/>
        <v>12.36288469371558</v>
      </c>
      <c r="R4" s="130">
        <f t="shared" ref="R4:W4" si="4">SUM(R5:R15)</f>
        <v>20.926756400237551</v>
      </c>
      <c r="S4" s="130">
        <f t="shared" si="4"/>
        <v>18.205281780804597</v>
      </c>
      <c r="T4" s="130">
        <f t="shared" si="4"/>
        <v>19.376424711727871</v>
      </c>
      <c r="U4" s="130">
        <f t="shared" si="4"/>
        <v>17.169723972237193</v>
      </c>
      <c r="V4" s="130">
        <f t="shared" si="4"/>
        <v>14.541770375928133</v>
      </c>
      <c r="W4" s="130">
        <f t="shared" si="4"/>
        <v>14.049254016971565</v>
      </c>
      <c r="X4" s="130">
        <f t="shared" ref="X4:Y4" si="5">SUM(X5:X15)</f>
        <v>9.5927933607626414</v>
      </c>
      <c r="Y4" s="130">
        <f t="shared" si="5"/>
        <v>9.4041783567444543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19.744742399574346</v>
      </c>
      <c r="D7" s="132">
        <v>52.574009253723979</v>
      </c>
      <c r="E7" s="132">
        <v>16.322551837369598</v>
      </c>
      <c r="F7" s="132">
        <v>16.144269384108743</v>
      </c>
      <c r="G7" s="132">
        <v>11.712780184808446</v>
      </c>
      <c r="H7" s="132">
        <v>9.4972900036736032</v>
      </c>
      <c r="I7" s="132">
        <v>6.5649513024767705</v>
      </c>
      <c r="J7" s="132">
        <v>12.590798002322117</v>
      </c>
      <c r="K7" s="132">
        <v>1.5485734172796393</v>
      </c>
      <c r="L7" s="132">
        <v>16.362231241200657</v>
      </c>
      <c r="M7" s="132">
        <v>11.950662473022653</v>
      </c>
      <c r="N7" s="132">
        <v>6.8121282602090609</v>
      </c>
      <c r="O7" s="132">
        <v>6.7660226403501778</v>
      </c>
      <c r="P7" s="132">
        <v>5.1340348026980012</v>
      </c>
      <c r="Q7" s="132">
        <v>4.6584193524512312</v>
      </c>
      <c r="R7" s="132">
        <v>4.2523041036795091</v>
      </c>
      <c r="S7" s="132">
        <v>4.2188468581447536</v>
      </c>
      <c r="T7" s="132">
        <v>2.7927179005782103</v>
      </c>
      <c r="U7" s="132">
        <v>0</v>
      </c>
      <c r="V7" s="132">
        <v>0.91871820274930238</v>
      </c>
      <c r="W7" s="132">
        <v>0.22933534397101066</v>
      </c>
      <c r="X7" s="132">
        <v>0.11217990006145594</v>
      </c>
      <c r="Y7" s="132">
        <v>1.5681714848068511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3.4055660528256333E-4</v>
      </c>
      <c r="D8" s="132">
        <v>8.3667749704260345E-4</v>
      </c>
      <c r="E8" s="132">
        <v>2.5000094135603463E-4</v>
      </c>
      <c r="F8" s="132">
        <v>3.1418603756751999E-4</v>
      </c>
      <c r="G8" s="132">
        <v>4.7980119330981159E-4</v>
      </c>
      <c r="H8" s="132">
        <v>8.219766405574546E-4</v>
      </c>
      <c r="I8" s="132">
        <v>7.0787507786310893E-4</v>
      </c>
      <c r="J8" s="132">
        <v>5.5539053938447557E-4</v>
      </c>
      <c r="K8" s="132">
        <v>1.8841318337621806E-4</v>
      </c>
      <c r="L8" s="132">
        <v>7.9146384072180701E-4</v>
      </c>
      <c r="M8" s="132">
        <v>7.001316006015031E-4</v>
      </c>
      <c r="N8" s="132">
        <v>4.7644743871877817E-4</v>
      </c>
      <c r="O8" s="132">
        <v>4.3228080466503919E-4</v>
      </c>
      <c r="P8" s="132">
        <v>5.0400743995305923E-4</v>
      </c>
      <c r="Q8" s="132">
        <v>2.6917469192025889E-4</v>
      </c>
      <c r="R8" s="132">
        <v>3.5203111847935474E-4</v>
      </c>
      <c r="S8" s="132">
        <v>2.4685609342110765E-4</v>
      </c>
      <c r="T8" s="132">
        <v>3.2183685833290642E-4</v>
      </c>
      <c r="U8" s="132">
        <v>4.0862609590023777E-4</v>
      </c>
      <c r="V8" s="132">
        <v>6.6970150393742714E-4</v>
      </c>
      <c r="W8" s="132">
        <v>9.6745511741499362E-4</v>
      </c>
      <c r="X8" s="132">
        <v>1.4536331060218313E-3</v>
      </c>
      <c r="Y8" s="132">
        <v>1.370729215990809E-3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11.408426375308064</v>
      </c>
      <c r="D9" s="132">
        <v>59.491330875662754</v>
      </c>
      <c r="E9" s="132">
        <v>13.527336617835294</v>
      </c>
      <c r="F9" s="132">
        <v>0</v>
      </c>
      <c r="G9" s="132">
        <v>0</v>
      </c>
      <c r="H9" s="132">
        <v>23.59758103627852</v>
      </c>
      <c r="I9" s="132">
        <v>48.902867885863976</v>
      </c>
      <c r="J9" s="132">
        <v>38.032050243997936</v>
      </c>
      <c r="K9" s="132">
        <v>8.3164877762777074</v>
      </c>
      <c r="L9" s="132">
        <v>46.980837752360571</v>
      </c>
      <c r="M9" s="132">
        <v>25.240498932262199</v>
      </c>
      <c r="N9" s="132">
        <v>15.541806001955665</v>
      </c>
      <c r="O9" s="132">
        <v>11.490298745573957</v>
      </c>
      <c r="P9" s="132">
        <v>7.431484209015796</v>
      </c>
      <c r="Q9" s="132">
        <v>5.6118488639535249</v>
      </c>
      <c r="R9" s="132">
        <v>12.368574986902852</v>
      </c>
      <c r="S9" s="132">
        <v>9.3816314336757429</v>
      </c>
      <c r="T9" s="132">
        <v>9.8576457576987035</v>
      </c>
      <c r="U9" s="132">
        <v>9.0696245410298015</v>
      </c>
      <c r="V9" s="132">
        <v>7.0284280532576791</v>
      </c>
      <c r="W9" s="132">
        <v>9.0244877316568317</v>
      </c>
      <c r="X9" s="132">
        <v>6.7951804055642437</v>
      </c>
      <c r="Y9" s="132">
        <v>6.0274790228405948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4.5168865921698179E-4</v>
      </c>
      <c r="D10" s="132">
        <v>9.0748235434260291E-3</v>
      </c>
      <c r="E10" s="132">
        <v>2.8146966925270047E-3</v>
      </c>
      <c r="F10" s="132">
        <v>0.52898423682552576</v>
      </c>
      <c r="G10" s="132">
        <v>0.37606860844094381</v>
      </c>
      <c r="H10" s="132">
        <v>0.13962484418340468</v>
      </c>
      <c r="I10" s="132">
        <v>0</v>
      </c>
      <c r="J10" s="132">
        <v>0</v>
      </c>
      <c r="K10" s="132">
        <v>3.3459699121736568E-3</v>
      </c>
      <c r="L10" s="132">
        <v>0.55511456838027462</v>
      </c>
      <c r="M10" s="132">
        <v>0.57908371195478869</v>
      </c>
      <c r="N10" s="132">
        <v>0.79269560507865888</v>
      </c>
      <c r="O10" s="132">
        <v>1.1045848880182985</v>
      </c>
      <c r="P10" s="132">
        <v>2.2566430850902486</v>
      </c>
      <c r="Q10" s="132">
        <v>0.66966627829904635</v>
      </c>
      <c r="R10" s="132">
        <v>0.41785997717082785</v>
      </c>
      <c r="S10" s="132">
        <v>0.10403963686393618</v>
      </c>
      <c r="T10" s="132">
        <v>0.18042566353952541</v>
      </c>
      <c r="U10" s="132">
        <v>0.25752082650101621</v>
      </c>
      <c r="V10" s="132">
        <v>0.19025124603636054</v>
      </c>
      <c r="W10" s="132">
        <v>0.28006160312442285</v>
      </c>
      <c r="X10" s="132">
        <v>0.26150841314539541</v>
      </c>
      <c r="Y10" s="132">
        <v>0.18389833645471598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0.4663466125114557</v>
      </c>
      <c r="D12" s="132">
        <v>0.91490056535763176</v>
      </c>
      <c r="E12" s="132">
        <v>0.21626533826131852</v>
      </c>
      <c r="F12" s="132">
        <v>0.52823694040406233</v>
      </c>
      <c r="G12" s="132">
        <v>1.2980845092419142</v>
      </c>
      <c r="H12" s="132">
        <v>2.1480719269486808</v>
      </c>
      <c r="I12" s="132">
        <v>1.2023682387737289</v>
      </c>
      <c r="J12" s="132">
        <v>0</v>
      </c>
      <c r="K12" s="132">
        <v>0</v>
      </c>
      <c r="L12" s="132">
        <v>1.2187409382703676</v>
      </c>
      <c r="M12" s="132">
        <v>1.0712648926813726</v>
      </c>
      <c r="N12" s="132">
        <v>0.55319989872592112</v>
      </c>
      <c r="O12" s="132">
        <v>0.44066261027230968</v>
      </c>
      <c r="P12" s="132">
        <v>1.381843674451978</v>
      </c>
      <c r="Q12" s="132">
        <v>0.39618591468222952</v>
      </c>
      <c r="R12" s="132">
        <v>0.19989671287288327</v>
      </c>
      <c r="S12" s="132">
        <v>3.8660757289119656E-2</v>
      </c>
      <c r="T12" s="132">
        <v>0.40888362844894033</v>
      </c>
      <c r="U12" s="132">
        <v>0.56116243216901829</v>
      </c>
      <c r="V12" s="132">
        <v>0.84849900361772079</v>
      </c>
      <c r="W12" s="132">
        <v>0.78260674729108326</v>
      </c>
      <c r="X12" s="132">
        <v>0.67058161679512229</v>
      </c>
      <c r="Y12" s="132">
        <v>0.76676813086347895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1.5760285348296985E-3</v>
      </c>
      <c r="D13" s="132">
        <v>2.7091253465632088E-3</v>
      </c>
      <c r="E13" s="132">
        <v>1.4094615095484758E-3</v>
      </c>
      <c r="F13" s="132">
        <v>7.295922434982418E-3</v>
      </c>
      <c r="G13" s="132">
        <v>1.4250875579481634E-2</v>
      </c>
      <c r="H13" s="132">
        <v>0.11515323511807424</v>
      </c>
      <c r="I13" s="132">
        <v>9.8169671744736536E-2</v>
      </c>
      <c r="J13" s="132">
        <v>5.3251578711812228E-2</v>
      </c>
      <c r="K13" s="132">
        <v>1.3702385953607246E-2</v>
      </c>
      <c r="L13" s="132">
        <v>3.8894240856848214E-2</v>
      </c>
      <c r="M13" s="132">
        <v>4.1520725426677667E-2</v>
      </c>
      <c r="N13" s="132">
        <v>1.7829655003165107E-2</v>
      </c>
      <c r="O13" s="132">
        <v>1.2435382375600075E-2</v>
      </c>
      <c r="P13" s="132">
        <v>1.5156036627988461E-2</v>
      </c>
      <c r="Q13" s="132">
        <v>2.4625195268213355E-4</v>
      </c>
      <c r="R13" s="132">
        <v>2.4518539014859876E-2</v>
      </c>
      <c r="S13" s="132">
        <v>3.5008089141596963E-2</v>
      </c>
      <c r="T13" s="132">
        <v>0.12112311571416788</v>
      </c>
      <c r="U13" s="132">
        <v>0.15451495164918197</v>
      </c>
      <c r="V13" s="132">
        <v>0.15330949010094078</v>
      </c>
      <c r="W13" s="132">
        <v>0.23551141321816144</v>
      </c>
      <c r="X13" s="132">
        <v>0.17190319853394653</v>
      </c>
      <c r="Y13" s="132">
        <v>0.13126440380806631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1.2260939934362092</v>
      </c>
      <c r="D14" s="65">
        <v>0.85476908304673593</v>
      </c>
      <c r="E14" s="65">
        <v>0.31679863100546901</v>
      </c>
      <c r="F14" s="65">
        <v>69.687594267428551</v>
      </c>
      <c r="G14" s="65">
        <v>41.038743565291533</v>
      </c>
      <c r="H14" s="65">
        <v>23.841119839269869</v>
      </c>
      <c r="I14" s="65">
        <v>6.4694537105866496</v>
      </c>
      <c r="J14" s="65">
        <v>0</v>
      </c>
      <c r="K14" s="65">
        <v>0.31386837558394154</v>
      </c>
      <c r="L14" s="65">
        <v>0</v>
      </c>
      <c r="M14" s="65">
        <v>0.80613352756079049</v>
      </c>
      <c r="N14" s="65">
        <v>0.5501721001610923</v>
      </c>
      <c r="O14" s="65">
        <v>0.78856207378543497</v>
      </c>
      <c r="P14" s="65">
        <v>0.92806035457106151</v>
      </c>
      <c r="Q14" s="65">
        <v>0.89383273273654062</v>
      </c>
      <c r="R14" s="65">
        <v>3.4465334529110887</v>
      </c>
      <c r="S14" s="65">
        <v>4.250555295597751</v>
      </c>
      <c r="T14" s="65">
        <v>5.8467355471328997</v>
      </c>
      <c r="U14" s="65">
        <v>6.9997352590850825</v>
      </c>
      <c r="V14" s="65">
        <v>5.2904452183547148</v>
      </c>
      <c r="W14" s="65">
        <v>3.3649297929937245</v>
      </c>
      <c r="X14" s="65">
        <v>1.4808227163393459</v>
      </c>
      <c r="Y14" s="65">
        <v>0.61908793555731978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0.34749459597437071</v>
      </c>
      <c r="D15" s="134">
        <v>1.2461766700365799</v>
      </c>
      <c r="E15" s="134">
        <v>0.32671717734435868</v>
      </c>
      <c r="F15" s="134">
        <v>0.17357483989076394</v>
      </c>
      <c r="G15" s="134">
        <v>0.12856881003723714</v>
      </c>
      <c r="H15" s="134">
        <v>0.36810617050349814</v>
      </c>
      <c r="I15" s="134">
        <v>0.61011887611795668</v>
      </c>
      <c r="J15" s="134">
        <v>0.54581840278064997</v>
      </c>
      <c r="K15" s="134">
        <v>0.1069336994972902</v>
      </c>
      <c r="L15" s="134">
        <v>0.69024719730370809</v>
      </c>
      <c r="M15" s="134">
        <v>0.41105320410597029</v>
      </c>
      <c r="N15" s="134">
        <v>0.25546506100370614</v>
      </c>
      <c r="O15" s="134">
        <v>0.21782654620620348</v>
      </c>
      <c r="P15" s="134">
        <v>0.16696620222818762</v>
      </c>
      <c r="Q15" s="134">
        <v>0.13241612494840593</v>
      </c>
      <c r="R15" s="134">
        <v>0.21671659656704476</v>
      </c>
      <c r="S15" s="134">
        <v>0.17629285399827777</v>
      </c>
      <c r="T15" s="134">
        <v>0.16857126175709364</v>
      </c>
      <c r="U15" s="134">
        <v>0.12675733570719408</v>
      </c>
      <c r="V15" s="134">
        <v>0.1114494603074742</v>
      </c>
      <c r="W15" s="134">
        <v>0.13135392959891584</v>
      </c>
      <c r="X15" s="134">
        <v>9.9163477217111703E-2</v>
      </c>
      <c r="Y15" s="134">
        <v>0.10613831319743776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2.8161312127843887</v>
      </c>
      <c r="D16" s="130">
        <f t="shared" si="6"/>
        <v>6.2333978227573601</v>
      </c>
      <c r="E16" s="130">
        <f t="shared" si="6"/>
        <v>3.2976855107660783</v>
      </c>
      <c r="F16" s="130">
        <f t="shared" si="6"/>
        <v>4.6848427849183167</v>
      </c>
      <c r="G16" s="130">
        <f t="shared" si="6"/>
        <v>3.4956929364528775</v>
      </c>
      <c r="H16" s="130">
        <f t="shared" si="6"/>
        <v>5.0662119757899795</v>
      </c>
      <c r="I16" s="130">
        <f t="shared" si="6"/>
        <v>4.2160557910303753</v>
      </c>
      <c r="J16" s="130">
        <f t="shared" si="6"/>
        <v>2.8265483126479682</v>
      </c>
      <c r="K16" s="130">
        <f t="shared" si="6"/>
        <v>0.57524281681785339</v>
      </c>
      <c r="L16" s="130">
        <f t="shared" si="6"/>
        <v>3.5744892089799354</v>
      </c>
      <c r="M16" s="130">
        <f t="shared" si="6"/>
        <v>2.621898796083693</v>
      </c>
      <c r="N16" s="130">
        <f t="shared" si="6"/>
        <v>1.4853634887738212</v>
      </c>
      <c r="O16" s="130">
        <f t="shared" si="6"/>
        <v>1.1641532910824333</v>
      </c>
      <c r="P16" s="130">
        <f t="shared" si="6"/>
        <v>1.2089860062902622</v>
      </c>
      <c r="Q16" s="130">
        <f t="shared" si="6"/>
        <v>0.87964772784720391</v>
      </c>
      <c r="R16" s="130">
        <f t="shared" ref="R16:W16" si="7">SUM(R17:R18)</f>
        <v>1.4854725065043772</v>
      </c>
      <c r="S16" s="130">
        <f t="shared" si="7"/>
        <v>1.2606042231122627</v>
      </c>
      <c r="T16" s="130">
        <f t="shared" si="7"/>
        <v>1.6124272344453541</v>
      </c>
      <c r="U16" s="130">
        <f t="shared" si="7"/>
        <v>1.4783353777357011</v>
      </c>
      <c r="V16" s="130">
        <f t="shared" si="7"/>
        <v>1.4707249069519353</v>
      </c>
      <c r="W16" s="130">
        <f t="shared" si="7"/>
        <v>1.0934635836577793</v>
      </c>
      <c r="X16" s="130">
        <f t="shared" ref="X16:Y16" si="8">SUM(X17:X18)</f>
        <v>1.1257065631638581</v>
      </c>
      <c r="Y16" s="130">
        <f t="shared" si="8"/>
        <v>1.0432043487422549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6.2017097004683046E-3</v>
      </c>
      <c r="D17" s="132">
        <v>1.5803705535322232E-2</v>
      </c>
      <c r="E17" s="132">
        <v>9.8461931039053657E-4</v>
      </c>
      <c r="F17" s="132">
        <v>2.8131571151272673E-2</v>
      </c>
      <c r="G17" s="132">
        <v>1.6251294944499017E-2</v>
      </c>
      <c r="H17" s="132">
        <v>1.0767930673624275E-2</v>
      </c>
      <c r="I17" s="132">
        <v>3.1162412553650862E-2</v>
      </c>
      <c r="J17" s="132">
        <v>2.3632078716126433E-2</v>
      </c>
      <c r="K17" s="132">
        <v>4.8533314221079161E-3</v>
      </c>
      <c r="L17" s="132">
        <v>1.4994489783214921E-2</v>
      </c>
      <c r="M17" s="132">
        <v>1.9827119491509886E-2</v>
      </c>
      <c r="N17" s="132">
        <v>1.2722483597531909E-2</v>
      </c>
      <c r="O17" s="132">
        <v>1.528572006541201E-2</v>
      </c>
      <c r="P17" s="132">
        <v>2.7766019179106385E-2</v>
      </c>
      <c r="Q17" s="132">
        <v>3.0111193160709517E-2</v>
      </c>
      <c r="R17" s="132">
        <v>3.5594441117699979E-2</v>
      </c>
      <c r="S17" s="132">
        <v>2.1589263271126823E-2</v>
      </c>
      <c r="T17" s="132">
        <v>4.6010894798863895E-2</v>
      </c>
      <c r="U17" s="132">
        <v>4.971328871043415E-2</v>
      </c>
      <c r="V17" s="132">
        <v>3.2484808681187999E-2</v>
      </c>
      <c r="W17" s="132">
        <v>1.9440206743543863E-2</v>
      </c>
      <c r="X17" s="132">
        <v>2.1823928763946166E-2</v>
      </c>
      <c r="Y17" s="132">
        <v>2.4815704333450168E-2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2.8099295030839202</v>
      </c>
      <c r="D18" s="132">
        <v>6.2175941172220375</v>
      </c>
      <c r="E18" s="132">
        <v>3.2967008914556879</v>
      </c>
      <c r="F18" s="132">
        <v>4.6567112137670437</v>
      </c>
      <c r="G18" s="132">
        <v>3.4794416415083784</v>
      </c>
      <c r="H18" s="132">
        <v>5.0554440451163556</v>
      </c>
      <c r="I18" s="132">
        <v>4.1848933784767244</v>
      </c>
      <c r="J18" s="132">
        <v>2.8029162339318416</v>
      </c>
      <c r="K18" s="132">
        <v>0.57038948539574552</v>
      </c>
      <c r="L18" s="132">
        <v>3.5594947191967203</v>
      </c>
      <c r="M18" s="132">
        <v>2.6020716765921832</v>
      </c>
      <c r="N18" s="132">
        <v>1.4726410051762893</v>
      </c>
      <c r="O18" s="132">
        <v>1.1488675710170213</v>
      </c>
      <c r="P18" s="132">
        <v>1.1812199871111557</v>
      </c>
      <c r="Q18" s="132">
        <v>0.84953653468649437</v>
      </c>
      <c r="R18" s="132">
        <v>1.4498780653866772</v>
      </c>
      <c r="S18" s="132">
        <v>1.239014959841136</v>
      </c>
      <c r="T18" s="132">
        <v>1.5664163396464901</v>
      </c>
      <c r="U18" s="132">
        <v>1.428622089025267</v>
      </c>
      <c r="V18" s="132">
        <v>1.4382400982707473</v>
      </c>
      <c r="W18" s="132">
        <v>1.0740233769142353</v>
      </c>
      <c r="X18" s="132">
        <v>1.103882634399912</v>
      </c>
      <c r="Y18" s="132">
        <v>1.0183886444088046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5.2248309659137622</v>
      </c>
      <c r="D19" s="130">
        <f t="shared" si="9"/>
        <v>17.382523200121359</v>
      </c>
      <c r="E19" s="130">
        <f t="shared" si="9"/>
        <v>5.5444483251862069</v>
      </c>
      <c r="F19" s="130">
        <f t="shared" si="9"/>
        <v>10.091100065667431</v>
      </c>
      <c r="G19" s="130">
        <f t="shared" si="9"/>
        <v>7.5950683753748329</v>
      </c>
      <c r="H19" s="130">
        <f t="shared" si="9"/>
        <v>9.0487071749185386</v>
      </c>
      <c r="I19" s="130">
        <f t="shared" si="9"/>
        <v>9.8158960617456401</v>
      </c>
      <c r="J19" s="130">
        <f t="shared" si="9"/>
        <v>6.7507208645992085</v>
      </c>
      <c r="K19" s="130">
        <f t="shared" si="9"/>
        <v>1.3434199655796006</v>
      </c>
      <c r="L19" s="130">
        <f t="shared" si="9"/>
        <v>8.8370750114673271</v>
      </c>
      <c r="M19" s="130">
        <f t="shared" si="9"/>
        <v>7.286706394656969</v>
      </c>
      <c r="N19" s="130">
        <f t="shared" si="9"/>
        <v>4.322613063358264</v>
      </c>
      <c r="O19" s="130">
        <f t="shared" si="9"/>
        <v>3.5158170763086996</v>
      </c>
      <c r="P19" s="130">
        <f t="shared" si="9"/>
        <v>3.8031601641811106</v>
      </c>
      <c r="Q19" s="130">
        <f t="shared" si="9"/>
        <v>2.4840010510808792</v>
      </c>
      <c r="R19" s="130">
        <f t="shared" ref="R19:W19" si="10">SUM(R20:R27)</f>
        <v>4.5536666132260866</v>
      </c>
      <c r="S19" s="130">
        <f t="shared" si="10"/>
        <v>4.243178681615178</v>
      </c>
      <c r="T19" s="130">
        <f t="shared" si="10"/>
        <v>4.7970143369708067</v>
      </c>
      <c r="U19" s="130">
        <f t="shared" si="10"/>
        <v>4.4887983106032063</v>
      </c>
      <c r="V19" s="130">
        <f t="shared" si="10"/>
        <v>4.1637817686453875</v>
      </c>
      <c r="W19" s="130">
        <f t="shared" si="10"/>
        <v>4.1265436946644929</v>
      </c>
      <c r="X19" s="130">
        <f t="shared" ref="X19:Y19" si="11">SUM(X20:X27)</f>
        <v>4.1936184204742553</v>
      </c>
      <c r="Y19" s="130">
        <f t="shared" si="11"/>
        <v>4.2490166022300766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0.15408513521497319</v>
      </c>
      <c r="D21" s="132">
        <v>0.26795595969105845</v>
      </c>
      <c r="E21" s="132">
        <v>2.0478220251334452E-2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3.9494633803566621E-4</v>
      </c>
      <c r="M21" s="132">
        <v>9.9306394706095813E-2</v>
      </c>
      <c r="N21" s="132">
        <v>0.13076696801614915</v>
      </c>
      <c r="O21" s="132">
        <v>9.7218212284061523E-2</v>
      </c>
      <c r="P21" s="132">
        <v>3.7121638429258974E-2</v>
      </c>
      <c r="Q21" s="132">
        <v>2.9365300377135094E-2</v>
      </c>
      <c r="R21" s="132">
        <v>5.2312390939752318E-2</v>
      </c>
      <c r="S21" s="132">
        <v>6.5774587188076758E-2</v>
      </c>
      <c r="T21" s="132">
        <v>5.0353549108671028E-2</v>
      </c>
      <c r="U21" s="132">
        <v>3.4593271716661239E-2</v>
      </c>
      <c r="V21" s="132">
        <v>3.7975089104148554E-2</v>
      </c>
      <c r="W21" s="132">
        <v>6.7390992390041024E-2</v>
      </c>
      <c r="X21" s="132">
        <v>0.12862670011454508</v>
      </c>
      <c r="Y21" s="132">
        <v>8.8935497867900212E-2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1.1569554461705021</v>
      </c>
      <c r="D22" s="132">
        <v>2.4086659424426147</v>
      </c>
      <c r="E22" s="132">
        <v>1.2598669525328663</v>
      </c>
      <c r="F22" s="132">
        <v>2.5584116896982501</v>
      </c>
      <c r="G22" s="132">
        <v>1.8497649082777108</v>
      </c>
      <c r="H22" s="132">
        <v>1.8989895110783321</v>
      </c>
      <c r="I22" s="132">
        <v>1.7546441514630939</v>
      </c>
      <c r="J22" s="132">
        <v>1.1478360028311543</v>
      </c>
      <c r="K22" s="132">
        <v>0.29958200073045282</v>
      </c>
      <c r="L22" s="132">
        <v>1.7271142554407721</v>
      </c>
      <c r="M22" s="132">
        <v>1.603640020836109</v>
      </c>
      <c r="N22" s="132">
        <v>0.99289621401222139</v>
      </c>
      <c r="O22" s="132">
        <v>0.77456777359946516</v>
      </c>
      <c r="P22" s="132">
        <v>0.49800322110429301</v>
      </c>
      <c r="Q22" s="132">
        <v>0.3850092993374763</v>
      </c>
      <c r="R22" s="132">
        <v>0.56281126337392173</v>
      </c>
      <c r="S22" s="132">
        <v>0.45342391353105066</v>
      </c>
      <c r="T22" s="132">
        <v>0.35461389365747958</v>
      </c>
      <c r="U22" s="132">
        <v>0.20637955239759104</v>
      </c>
      <c r="V22" s="132">
        <v>0.55831949660463942</v>
      </c>
      <c r="W22" s="132">
        <v>0.84016970302798233</v>
      </c>
      <c r="X22" s="132">
        <v>1.2259122232971444</v>
      </c>
      <c r="Y22" s="132">
        <v>1.0758540374531409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2.4743110026011292</v>
      </c>
      <c r="D23" s="132">
        <v>7.1647678117822284</v>
      </c>
      <c r="E23" s="132">
        <v>2.6281438889492605</v>
      </c>
      <c r="F23" s="132">
        <v>6.0365730599541827</v>
      </c>
      <c r="G23" s="132">
        <v>4.2035212078986328</v>
      </c>
      <c r="H23" s="132">
        <v>4.9032558038425345</v>
      </c>
      <c r="I23" s="132">
        <v>5.4828676889827159</v>
      </c>
      <c r="J23" s="132">
        <v>3.6213059015913283</v>
      </c>
      <c r="K23" s="132">
        <v>0.56043752795060697</v>
      </c>
      <c r="L23" s="132">
        <v>4.4267692468303474</v>
      </c>
      <c r="M23" s="132">
        <v>3.8057453848380423</v>
      </c>
      <c r="N23" s="132">
        <v>2.0403487571371226</v>
      </c>
      <c r="O23" s="132">
        <v>1.582027549586301</v>
      </c>
      <c r="P23" s="132">
        <v>1.5306932890230789</v>
      </c>
      <c r="Q23" s="132">
        <v>1.0138032966251402</v>
      </c>
      <c r="R23" s="132">
        <v>2.023718567290969</v>
      </c>
      <c r="S23" s="132">
        <v>2.0817874063767916</v>
      </c>
      <c r="T23" s="132">
        <v>2.6577092598338696</v>
      </c>
      <c r="U23" s="132">
        <v>3.0419163971275465</v>
      </c>
      <c r="V23" s="132">
        <v>2.395806567502897</v>
      </c>
      <c r="W23" s="132">
        <v>1.6071604293824235</v>
      </c>
      <c r="X23" s="132">
        <v>0</v>
      </c>
      <c r="Y23" s="132">
        <v>2.2489438292907844E-2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6.4271738019902699E-2</v>
      </c>
      <c r="D25" s="132">
        <v>0.14656974115541685</v>
      </c>
      <c r="E25" s="132">
        <v>7.5616583294884882E-2</v>
      </c>
      <c r="F25" s="132">
        <v>0.16174995025706315</v>
      </c>
      <c r="G25" s="132">
        <v>0.11909145713405653</v>
      </c>
      <c r="H25" s="132">
        <v>0.1243987399629867</v>
      </c>
      <c r="I25" s="132">
        <v>0.11418434149090387</v>
      </c>
      <c r="J25" s="132">
        <v>0.10538067515459101</v>
      </c>
      <c r="K25" s="132">
        <v>2.8833664750264644E-2</v>
      </c>
      <c r="L25" s="132">
        <v>0.20005164655656915</v>
      </c>
      <c r="M25" s="132">
        <v>0.1225587868489029</v>
      </c>
      <c r="N25" s="132">
        <v>5.8817018620367235E-2</v>
      </c>
      <c r="O25" s="132">
        <v>4.3607119714741668E-2</v>
      </c>
      <c r="P25" s="132">
        <v>1.9690277603893743E-2</v>
      </c>
      <c r="Q25" s="132">
        <v>4.4690321129100395E-2</v>
      </c>
      <c r="R25" s="132">
        <v>7.7299903440140108E-2</v>
      </c>
      <c r="S25" s="132">
        <v>7.5000864362051958E-2</v>
      </c>
      <c r="T25" s="132">
        <v>8.4403225287452879E-2</v>
      </c>
      <c r="U25" s="132">
        <v>9.4038605906543962E-2</v>
      </c>
      <c r="V25" s="132">
        <v>0.11583859670081972</v>
      </c>
      <c r="W25" s="132">
        <v>0.13912826418238206</v>
      </c>
      <c r="X25" s="132">
        <v>0.28161890797911809</v>
      </c>
      <c r="Y25" s="132">
        <v>0.23220607511861047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1.3752076439072549</v>
      </c>
      <c r="D26" s="65">
        <v>7.3730582644783444</v>
      </c>
      <c r="E26" s="65">
        <v>1.47445224394236</v>
      </c>
      <c r="F26" s="65">
        <v>1.3067076270636409</v>
      </c>
      <c r="G26" s="65">
        <v>1.4155802825771782</v>
      </c>
      <c r="H26" s="65">
        <v>2.052813999144997</v>
      </c>
      <c r="I26" s="65">
        <v>2.2888465073920297</v>
      </c>
      <c r="J26" s="65">
        <v>1.7327757307865033</v>
      </c>
      <c r="K26" s="65">
        <v>0.149927140543129</v>
      </c>
      <c r="L26" s="65">
        <v>2.4827449163016024</v>
      </c>
      <c r="M26" s="65">
        <v>1.6338165260626401</v>
      </c>
      <c r="N26" s="65">
        <v>1.0896949629724366</v>
      </c>
      <c r="O26" s="65">
        <v>1.0183964211241296</v>
      </c>
      <c r="P26" s="65">
        <v>1.6513866993895909</v>
      </c>
      <c r="Q26" s="65">
        <v>0.91047003845201047</v>
      </c>
      <c r="R26" s="65">
        <v>1.5092034337921967</v>
      </c>
      <c r="S26" s="65">
        <v>1.4841818762602301</v>
      </c>
      <c r="T26" s="65">
        <v>1.5710829631091385</v>
      </c>
      <c r="U26" s="65">
        <v>1.0577470468971357</v>
      </c>
      <c r="V26" s="65">
        <v>1.0558420187328819</v>
      </c>
      <c r="W26" s="65">
        <v>1.4726943056816642</v>
      </c>
      <c r="X26" s="65">
        <v>2.26290833374226</v>
      </c>
      <c r="Y26" s="65">
        <v>2.7596002652349525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2.1505480571692496E-2</v>
      </c>
      <c r="E27" s="147">
        <v>8.5890436215500826E-2</v>
      </c>
      <c r="F27" s="147">
        <v>2.765773869429522E-2</v>
      </c>
      <c r="G27" s="147">
        <v>7.1105194872545553E-3</v>
      </c>
      <c r="H27" s="147">
        <v>6.9249120889687765E-2</v>
      </c>
      <c r="I27" s="147">
        <v>0.17535337241689669</v>
      </c>
      <c r="J27" s="147">
        <v>0.14342255423563072</v>
      </c>
      <c r="K27" s="147">
        <v>0.30463963160514707</v>
      </c>
      <c r="L27" s="147">
        <v>0</v>
      </c>
      <c r="M27" s="147">
        <v>2.1639281365178602E-2</v>
      </c>
      <c r="N27" s="147">
        <v>1.0089142599967E-2</v>
      </c>
      <c r="O27" s="147">
        <v>3.0366650459861337E-16</v>
      </c>
      <c r="P27" s="147">
        <v>6.6265038630994769E-2</v>
      </c>
      <c r="Q27" s="147">
        <v>0.10066279516001694</v>
      </c>
      <c r="R27" s="147">
        <v>0.32832105438910691</v>
      </c>
      <c r="S27" s="147">
        <v>8.3010033896976892E-2</v>
      </c>
      <c r="T27" s="147">
        <v>7.8851445974195189E-2</v>
      </c>
      <c r="U27" s="147">
        <v>5.4123436557728728E-2</v>
      </c>
      <c r="V27" s="147">
        <v>4.6335216020841896E-16</v>
      </c>
      <c r="W27" s="147">
        <v>0</v>
      </c>
      <c r="X27" s="147">
        <v>0.29455225534118745</v>
      </c>
      <c r="Y27" s="147">
        <v>6.9931288262564256E-2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3.773062040957853</v>
      </c>
      <c r="D29" s="130">
        <f t="shared" si="12"/>
        <v>12.74273296105777</v>
      </c>
      <c r="E29" s="130">
        <f t="shared" si="12"/>
        <v>4.1352917138771037</v>
      </c>
      <c r="F29" s="130">
        <f t="shared" si="12"/>
        <v>7.3021017027098871</v>
      </c>
      <c r="G29" s="130">
        <f t="shared" si="12"/>
        <v>5.9032085033982984</v>
      </c>
      <c r="H29" s="130">
        <f t="shared" si="12"/>
        <v>7.2144124417138471</v>
      </c>
      <c r="I29" s="130">
        <f t="shared" si="12"/>
        <v>8.0957934671623928</v>
      </c>
      <c r="J29" s="130">
        <f t="shared" si="12"/>
        <v>5.9307931455609371</v>
      </c>
      <c r="K29" s="130">
        <f t="shared" si="12"/>
        <v>1.314725891789708</v>
      </c>
      <c r="L29" s="130">
        <f t="shared" si="12"/>
        <v>7.9666879376682722</v>
      </c>
      <c r="M29" s="130">
        <f t="shared" si="12"/>
        <v>6.1119829264262666</v>
      </c>
      <c r="N29" s="130">
        <f t="shared" si="12"/>
        <v>3.7639786913897946</v>
      </c>
      <c r="O29" s="130">
        <f t="shared" si="12"/>
        <v>3.1319332728725819</v>
      </c>
      <c r="P29" s="130">
        <f t="shared" si="12"/>
        <v>3.6812198281755619</v>
      </c>
      <c r="Q29" s="130">
        <f t="shared" si="12"/>
        <v>2.6323686124343189</v>
      </c>
      <c r="R29" s="130">
        <f t="shared" ref="R29:W29" si="13">SUM(R30:R33)</f>
        <v>4.9039911040700304</v>
      </c>
      <c r="S29" s="130">
        <f t="shared" si="13"/>
        <v>4.6715474267192718</v>
      </c>
      <c r="T29" s="130">
        <f t="shared" si="13"/>
        <v>5.4359351434231193</v>
      </c>
      <c r="U29" s="130">
        <f t="shared" si="13"/>
        <v>5.2147538592922205</v>
      </c>
      <c r="V29" s="130">
        <f t="shared" si="13"/>
        <v>4.905065758600136</v>
      </c>
      <c r="W29" s="130">
        <f t="shared" si="13"/>
        <v>4.7161681901000732</v>
      </c>
      <c r="X29" s="130">
        <f t="shared" ref="X29:Y29" si="14">SUM(X30:X33)</f>
        <v>4.6666971496961747</v>
      </c>
      <c r="Y29" s="130">
        <f t="shared" si="14"/>
        <v>4.633483309935138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0.13885503582082473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0.17035803345723857</v>
      </c>
      <c r="K30" s="132">
        <v>0.14653888250458103</v>
      </c>
      <c r="L30" s="132">
        <v>1.2034354114060948</v>
      </c>
      <c r="M30" s="132">
        <v>0</v>
      </c>
      <c r="N30" s="132">
        <v>0</v>
      </c>
      <c r="O30" s="132">
        <v>1.9217455532476686E-2</v>
      </c>
      <c r="P30" s="132">
        <v>0</v>
      </c>
      <c r="Q30" s="132">
        <v>0.12082732705866067</v>
      </c>
      <c r="R30" s="132">
        <v>3.4173774453470022E-2</v>
      </c>
      <c r="S30" s="132">
        <v>0.19643664991327822</v>
      </c>
      <c r="T30" s="132">
        <v>0.23254667478248503</v>
      </c>
      <c r="U30" s="132">
        <v>0.38578095474211044</v>
      </c>
      <c r="V30" s="132">
        <v>0.45273325421591476</v>
      </c>
      <c r="W30" s="132">
        <v>0.3285975317230112</v>
      </c>
      <c r="X30" s="132">
        <v>0</v>
      </c>
      <c r="Y30" s="132">
        <v>0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2.1058357487271819</v>
      </c>
      <c r="D31" s="132">
        <v>3.6362790838738408</v>
      </c>
      <c r="E31" s="132">
        <v>1.6625173958812829</v>
      </c>
      <c r="F31" s="132">
        <v>4.3402426913402739</v>
      </c>
      <c r="G31" s="132">
        <v>2.6504495741823866</v>
      </c>
      <c r="H31" s="132">
        <v>3.7658579668482757</v>
      </c>
      <c r="I31" s="132">
        <v>3.9287355610579819</v>
      </c>
      <c r="J31" s="132">
        <v>3.3793087316480142</v>
      </c>
      <c r="K31" s="132">
        <v>0.78698941803446498</v>
      </c>
      <c r="L31" s="132">
        <v>3.4616692095441972</v>
      </c>
      <c r="M31" s="132">
        <v>2.3399668993450247</v>
      </c>
      <c r="N31" s="132">
        <v>1.538777960716647</v>
      </c>
      <c r="O31" s="132">
        <v>1.2973068073350862</v>
      </c>
      <c r="P31" s="132">
        <v>1.2277758938202079</v>
      </c>
      <c r="Q31" s="132">
        <v>1.0665782573729605</v>
      </c>
      <c r="R31" s="132">
        <v>2.1221750206234655</v>
      </c>
      <c r="S31" s="132">
        <v>2.1145170368955473</v>
      </c>
      <c r="T31" s="132">
        <v>2.6334184461474526</v>
      </c>
      <c r="U31" s="132">
        <v>2.5243309482290708</v>
      </c>
      <c r="V31" s="132">
        <v>2.2547289163750732</v>
      </c>
      <c r="W31" s="132">
        <v>1.4491518220022546</v>
      </c>
      <c r="X31" s="132">
        <v>1.7858406141574381</v>
      </c>
      <c r="Y31" s="132">
        <v>1.5031660447556796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9.5080644205190551E-2</v>
      </c>
      <c r="K32" s="132">
        <v>5.9090751793177826E-3</v>
      </c>
      <c r="L32" s="132">
        <v>6.5033583906006207E-2</v>
      </c>
      <c r="M32" s="132">
        <v>2.6564142325316616E-2</v>
      </c>
      <c r="N32" s="132">
        <v>3.0659142352969051E-3</v>
      </c>
      <c r="O32" s="132">
        <v>2.3859113529298748E-2</v>
      </c>
      <c r="P32" s="132">
        <v>4.0055883552864803E-2</v>
      </c>
      <c r="Q32" s="132">
        <v>2.8350990812838355E-2</v>
      </c>
      <c r="R32" s="132">
        <v>2.7790501414560333E-2</v>
      </c>
      <c r="S32" s="132">
        <v>1.9780460693428981E-2</v>
      </c>
      <c r="T32" s="132">
        <v>1.0434178484565991E-3</v>
      </c>
      <c r="U32" s="132">
        <v>0</v>
      </c>
      <c r="V32" s="132">
        <v>0</v>
      </c>
      <c r="W32" s="132">
        <v>0</v>
      </c>
      <c r="X32" s="132">
        <v>9.6523617311596737E-4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1.5283712564098462</v>
      </c>
      <c r="D33" s="68">
        <v>9.1064538771839292</v>
      </c>
      <c r="E33" s="68">
        <v>2.472774317995821</v>
      </c>
      <c r="F33" s="68">
        <v>2.9618590113696137</v>
      </c>
      <c r="G33" s="68">
        <v>3.2527589292159118</v>
      </c>
      <c r="H33" s="68">
        <v>3.4485544748655714</v>
      </c>
      <c r="I33" s="68">
        <v>4.1670579061044108</v>
      </c>
      <c r="J33" s="68">
        <v>2.2860457362504936</v>
      </c>
      <c r="K33" s="68">
        <v>0.37528851607134417</v>
      </c>
      <c r="L33" s="68">
        <v>3.2365497328119748</v>
      </c>
      <c r="M33" s="68">
        <v>3.7454518847559251</v>
      </c>
      <c r="N33" s="68">
        <v>2.2221348164378507</v>
      </c>
      <c r="O33" s="68">
        <v>1.7915498964757204</v>
      </c>
      <c r="P33" s="68">
        <v>2.4133880508024892</v>
      </c>
      <c r="Q33" s="68">
        <v>1.4166120371898592</v>
      </c>
      <c r="R33" s="68">
        <v>2.7198518075785345</v>
      </c>
      <c r="S33" s="68">
        <v>2.3408132792170169</v>
      </c>
      <c r="T33" s="68">
        <v>2.5689266046447257</v>
      </c>
      <c r="U33" s="68">
        <v>2.3046419563210394</v>
      </c>
      <c r="V33" s="68">
        <v>2.1976035880091476</v>
      </c>
      <c r="W33" s="68">
        <v>2.9384188363748072</v>
      </c>
      <c r="X33" s="68">
        <v>2.8798912993656205</v>
      </c>
      <c r="Y33" s="68">
        <v>3.1303172651794586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33.038987717238484</v>
      </c>
      <c r="D3" s="125">
        <f t="shared" si="0"/>
        <v>106.66004334374621</v>
      </c>
      <c r="E3" s="125">
        <f t="shared" si="0"/>
        <v>34.547858864705113</v>
      </c>
      <c r="F3" s="125">
        <f t="shared" si="0"/>
        <v>92.238204126435789</v>
      </c>
      <c r="G3" s="125">
        <f t="shared" si="0"/>
        <v>61.895332887432986</v>
      </c>
      <c r="H3" s="125">
        <f t="shared" si="0"/>
        <v>70.122230525195633</v>
      </c>
      <c r="I3" s="125">
        <f t="shared" si="0"/>
        <v>68.67293008472933</v>
      </c>
      <c r="J3" s="125">
        <f t="shared" si="0"/>
        <v>51.031533535422497</v>
      </c>
      <c r="K3" s="125">
        <f t="shared" si="0"/>
        <v>10.673737262998454</v>
      </c>
      <c r="L3" s="125">
        <f t="shared" si="0"/>
        <v>68.036903166802119</v>
      </c>
      <c r="M3" s="125">
        <f t="shared" si="0"/>
        <v>46.804419460150569</v>
      </c>
      <c r="N3" s="125">
        <f t="shared" si="0"/>
        <v>28.882494205068433</v>
      </c>
      <c r="O3" s="125">
        <f t="shared" si="0"/>
        <v>24.804144170808932</v>
      </c>
      <c r="P3" s="125">
        <f t="shared" si="0"/>
        <v>24.149226050949409</v>
      </c>
      <c r="Q3" s="125">
        <f t="shared" si="0"/>
        <v>17.627780820779815</v>
      </c>
      <c r="R3" s="125">
        <f t="shared" ref="R3:W3" si="1">SUM(R4,R16,R19,R29)</f>
        <v>31.723154127357382</v>
      </c>
      <c r="S3" s="125">
        <f t="shared" si="1"/>
        <v>28.448701405189105</v>
      </c>
      <c r="T3" s="125">
        <f t="shared" si="1"/>
        <v>33.015236112610587</v>
      </c>
      <c r="U3" s="125">
        <f t="shared" si="1"/>
        <v>30.788512219039436</v>
      </c>
      <c r="V3" s="125">
        <f t="shared" si="1"/>
        <v>28.144974606855072</v>
      </c>
      <c r="W3" s="125">
        <f t="shared" si="1"/>
        <v>26.326143897666945</v>
      </c>
      <c r="X3" s="125">
        <f t="shared" ref="X3:Y3" si="2">SUM(X4,X16,X19,X29)</f>
        <v>22.464994113235239</v>
      </c>
      <c r="Y3" s="125">
        <f t="shared" si="2"/>
        <v>21.707149051189948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19.376185385008696</v>
      </c>
      <c r="D4" s="130">
        <f t="shared" si="3"/>
        <v>67.458212419599178</v>
      </c>
      <c r="E4" s="130">
        <f t="shared" si="3"/>
        <v>18.074001064826732</v>
      </c>
      <c r="F4" s="130">
        <f t="shared" si="3"/>
        <v>66.164787324474503</v>
      </c>
      <c r="G4" s="130">
        <f t="shared" si="3"/>
        <v>41.368480436811645</v>
      </c>
      <c r="H4" s="130">
        <f t="shared" si="3"/>
        <v>42.02165671757885</v>
      </c>
      <c r="I4" s="130">
        <f t="shared" si="3"/>
        <v>41.526195646718477</v>
      </c>
      <c r="J4" s="130">
        <f t="shared" si="3"/>
        <v>32.073133773317274</v>
      </c>
      <c r="K4" s="130">
        <f t="shared" si="3"/>
        <v>6.6328269326046057</v>
      </c>
      <c r="L4" s="130">
        <f t="shared" si="3"/>
        <v>42.4223628965782</v>
      </c>
      <c r="M4" s="130">
        <f t="shared" si="3"/>
        <v>26.550117596606061</v>
      </c>
      <c r="N4" s="130">
        <f t="shared" si="3"/>
        <v>16.714416006125887</v>
      </c>
      <c r="O4" s="130">
        <f t="shared" si="3"/>
        <v>14.726002090244334</v>
      </c>
      <c r="P4" s="130">
        <f t="shared" si="3"/>
        <v>12.764224877954291</v>
      </c>
      <c r="Q4" s="130">
        <f t="shared" si="3"/>
        <v>9.4941129943408331</v>
      </c>
      <c r="R4" s="130">
        <f t="shared" ref="R4:W4" si="4">SUM(R5:R15)</f>
        <v>16.931023691593179</v>
      </c>
      <c r="S4" s="130">
        <f t="shared" si="4"/>
        <v>15.058172811883148</v>
      </c>
      <c r="T4" s="130">
        <f t="shared" si="4"/>
        <v>16.763462421567851</v>
      </c>
      <c r="U4" s="130">
        <f t="shared" si="4"/>
        <v>15.586230123503967</v>
      </c>
      <c r="V4" s="130">
        <f t="shared" si="4"/>
        <v>13.344669031864791</v>
      </c>
      <c r="W4" s="130">
        <f t="shared" si="4"/>
        <v>13.222645224958878</v>
      </c>
      <c r="X4" s="130">
        <f t="shared" ref="X4:Y4" si="5">SUM(X5:X15)</f>
        <v>9.0404882364066985</v>
      </c>
      <c r="Y4" s="130">
        <f t="shared" si="5"/>
        <v>8.5414506286437408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10.900864929790325</v>
      </c>
      <c r="D7" s="132">
        <v>29.26844626549601</v>
      </c>
      <c r="E7" s="132">
        <v>9.166341736952262</v>
      </c>
      <c r="F7" s="132">
        <v>9.1443493776980098</v>
      </c>
      <c r="G7" s="132">
        <v>6.6935058132743031</v>
      </c>
      <c r="H7" s="132">
        <v>5.477177159055663</v>
      </c>
      <c r="I7" s="132">
        <v>3.8220405388896812</v>
      </c>
      <c r="J7" s="132">
        <v>7.4052417990018391</v>
      </c>
      <c r="K7" s="132">
        <v>0.92106603019122935</v>
      </c>
      <c r="L7" s="132">
        <v>9.8524043011930633</v>
      </c>
      <c r="M7" s="132">
        <v>7.3551456572692011</v>
      </c>
      <c r="N7" s="132">
        <v>4.3345458975761222</v>
      </c>
      <c r="O7" s="132">
        <v>4.5025011076517503</v>
      </c>
      <c r="P7" s="132">
        <v>3.589010102375418</v>
      </c>
      <c r="Q7" s="132">
        <v>3.3815281351047459</v>
      </c>
      <c r="R7" s="132">
        <v>3.1302020924147129</v>
      </c>
      <c r="S7" s="132">
        <v>3.1258742159875434</v>
      </c>
      <c r="T7" s="132">
        <v>2.0736719300561357</v>
      </c>
      <c r="U7" s="132">
        <v>0</v>
      </c>
      <c r="V7" s="132">
        <v>0.68383946613406277</v>
      </c>
      <c r="W7" s="132">
        <v>0.17113029287850864</v>
      </c>
      <c r="X7" s="132">
        <v>8.3835566580289872E-2</v>
      </c>
      <c r="Y7" s="132">
        <v>1.1730798039575654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6.6797193468618853E-4</v>
      </c>
      <c r="D8" s="132">
        <v>1.7249042378538143E-3</v>
      </c>
      <c r="E8" s="132">
        <v>5.4080208055039595E-4</v>
      </c>
      <c r="F8" s="132">
        <v>7.116683686354035E-4</v>
      </c>
      <c r="G8" s="132">
        <v>1.1363426330213225E-3</v>
      </c>
      <c r="H8" s="132">
        <v>2.0326068255186055E-3</v>
      </c>
      <c r="I8" s="132">
        <v>1.8254509193337378E-3</v>
      </c>
      <c r="J8" s="132">
        <v>1.4924532434850125E-3</v>
      </c>
      <c r="K8" s="132">
        <v>5.273702072485254E-4</v>
      </c>
      <c r="L8" s="132">
        <v>2.3066500354733056E-3</v>
      </c>
      <c r="M8" s="132">
        <v>2.1407655706711733E-3</v>
      </c>
      <c r="N8" s="132">
        <v>1.5422997647365848E-3</v>
      </c>
      <c r="O8" s="132">
        <v>1.4939081766141625E-3</v>
      </c>
      <c r="P8" s="132">
        <v>1.8606710733172162E-3</v>
      </c>
      <c r="Q8" s="132">
        <v>1.0434505582361568E-3</v>
      </c>
      <c r="R8" s="132">
        <v>1.4255267076412126E-3</v>
      </c>
      <c r="S8" s="132">
        <v>1.0275009015947587E-3</v>
      </c>
      <c r="T8" s="132">
        <v>1.3626530103583636E-3</v>
      </c>
      <c r="U8" s="132">
        <v>1.7502549680380865E-3</v>
      </c>
      <c r="V8" s="132">
        <v>2.8988287067286188E-3</v>
      </c>
      <c r="W8" s="132">
        <v>4.2303975688995077E-3</v>
      </c>
      <c r="X8" s="132">
        <v>6.4083398088981419E-3</v>
      </c>
      <c r="Y8" s="132">
        <v>6.0845578835114454E-3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6.740234149827077</v>
      </c>
      <c r="D9" s="132">
        <v>35.445950374049218</v>
      </c>
      <c r="E9" s="132">
        <v>8.1317841087410638</v>
      </c>
      <c r="F9" s="132">
        <v>0</v>
      </c>
      <c r="G9" s="132">
        <v>0</v>
      </c>
      <c r="H9" s="132">
        <v>14.579674739097667</v>
      </c>
      <c r="I9" s="132">
        <v>30.514811283754973</v>
      </c>
      <c r="J9" s="132">
        <v>23.988614456288655</v>
      </c>
      <c r="K9" s="132">
        <v>5.3090560507280742</v>
      </c>
      <c r="L9" s="132">
        <v>30.393830745502271</v>
      </c>
      <c r="M9" s="132">
        <v>16.728931916613199</v>
      </c>
      <c r="N9" s="132">
        <v>10.690751466075023</v>
      </c>
      <c r="O9" s="132">
        <v>8.3134682607473138</v>
      </c>
      <c r="P9" s="132">
        <v>5.6888221974723079</v>
      </c>
      <c r="Q9" s="132">
        <v>4.4944628806105564</v>
      </c>
      <c r="R9" s="132">
        <v>10.127708146950409</v>
      </c>
      <c r="S9" s="132">
        <v>7.8104901983654678</v>
      </c>
      <c r="T9" s="132">
        <v>8.3163226857082755</v>
      </c>
      <c r="U9" s="132">
        <v>7.7390579653773273</v>
      </c>
      <c r="V9" s="132">
        <v>6.0588322617989077</v>
      </c>
      <c r="W9" s="132">
        <v>7.8382772097262565</v>
      </c>
      <c r="X9" s="132">
        <v>5.9226002862001366</v>
      </c>
      <c r="Y9" s="132">
        <v>5.2659552662951272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1.9623130131521464E-4</v>
      </c>
      <c r="D10" s="132">
        <v>4.0230810015935018E-3</v>
      </c>
      <c r="E10" s="132">
        <v>1.273064641717764E-3</v>
      </c>
      <c r="F10" s="132">
        <v>0.24403966352879225</v>
      </c>
      <c r="G10" s="132">
        <v>0.17692059651289063</v>
      </c>
      <c r="H10" s="132">
        <v>6.696621523753378E-2</v>
      </c>
      <c r="I10" s="132">
        <v>0</v>
      </c>
      <c r="J10" s="132">
        <v>0</v>
      </c>
      <c r="K10" s="132">
        <v>1.6972229843688819E-3</v>
      </c>
      <c r="L10" s="132">
        <v>0.2866486601237177</v>
      </c>
      <c r="M10" s="132">
        <v>0.30388423955007826</v>
      </c>
      <c r="N10" s="132">
        <v>0.42174637461300424</v>
      </c>
      <c r="O10" s="132">
        <v>0.59424709895747074</v>
      </c>
      <c r="P10" s="132">
        <v>1.2255978595413657</v>
      </c>
      <c r="Q10" s="132">
        <v>0.36779476453725013</v>
      </c>
      <c r="R10" s="132">
        <v>0.23332442045663429</v>
      </c>
      <c r="S10" s="132">
        <v>5.9166008525260771E-2</v>
      </c>
      <c r="T10" s="132">
        <v>0.10448168907689122</v>
      </c>
      <c r="U10" s="132">
        <v>0.15159963527488743</v>
      </c>
      <c r="V10" s="132">
        <v>0.11353152555066862</v>
      </c>
      <c r="W10" s="132">
        <v>0.16893796532157673</v>
      </c>
      <c r="X10" s="132">
        <v>0.15926331433591584</v>
      </c>
      <c r="Y10" s="132">
        <v>0.1130026972619964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0.4091178205085696</v>
      </c>
      <c r="D12" s="132">
        <v>0.80432664797287978</v>
      </c>
      <c r="E12" s="132">
        <v>0.19054048301878315</v>
      </c>
      <c r="F12" s="132">
        <v>0.46641469009548941</v>
      </c>
      <c r="G12" s="132">
        <v>1.1487093604711176</v>
      </c>
      <c r="H12" s="132">
        <v>1.905188209524413</v>
      </c>
      <c r="I12" s="132">
        <v>1.0688854788160951</v>
      </c>
      <c r="J12" s="132">
        <v>0</v>
      </c>
      <c r="K12" s="132">
        <v>0</v>
      </c>
      <c r="L12" s="132">
        <v>1.0917491772367478</v>
      </c>
      <c r="M12" s="132">
        <v>0.96320451727018197</v>
      </c>
      <c r="N12" s="132">
        <v>0.49988796632873744</v>
      </c>
      <c r="O12" s="132">
        <v>0.40079364441689208</v>
      </c>
      <c r="P12" s="132">
        <v>1.2663167257266583</v>
      </c>
      <c r="Q12" s="132">
        <v>0.36563192376539283</v>
      </c>
      <c r="R12" s="132">
        <v>0.18547366238803456</v>
      </c>
      <c r="S12" s="132">
        <v>3.6058128461584994E-2</v>
      </c>
      <c r="T12" s="132">
        <v>0.38326541420995613</v>
      </c>
      <c r="U12" s="132">
        <v>0.52850952152225572</v>
      </c>
      <c r="V12" s="132">
        <v>0.80271929573604262</v>
      </c>
      <c r="W12" s="132">
        <v>0.74343476342173453</v>
      </c>
      <c r="X12" s="132">
        <v>0.6386228644266122</v>
      </c>
      <c r="Y12" s="132">
        <v>0.73198995393649069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2.7743634181008506E-3</v>
      </c>
      <c r="D13" s="132">
        <v>5.0352188570430825E-3</v>
      </c>
      <c r="E13" s="132">
        <v>2.760475183313064E-3</v>
      </c>
      <c r="F13" s="132">
        <v>1.502332935885666E-2</v>
      </c>
      <c r="G13" s="132">
        <v>3.0800673641768261E-2</v>
      </c>
      <c r="H13" s="132">
        <v>0.260817317552135</v>
      </c>
      <c r="I13" s="132">
        <v>0.2326896805491753</v>
      </c>
      <c r="J13" s="132">
        <v>0.13196666200264723</v>
      </c>
      <c r="K13" s="132">
        <v>3.5480912960396939E-2</v>
      </c>
      <c r="L13" s="132">
        <v>0.10517616518321596</v>
      </c>
      <c r="M13" s="132">
        <v>0.11810515939637728</v>
      </c>
      <c r="N13" s="132">
        <v>5.380955503197804E-2</v>
      </c>
      <c r="O13" s="132">
        <v>4.0132077525431784E-2</v>
      </c>
      <c r="P13" s="132">
        <v>5.2306383312301433E-2</v>
      </c>
      <c r="Q13" s="132">
        <v>8.9274806666927336E-4</v>
      </c>
      <c r="R13" s="132">
        <v>9.3073411632756967E-2</v>
      </c>
      <c r="S13" s="132">
        <v>0.13676233822378264</v>
      </c>
      <c r="T13" s="132">
        <v>0.48152579544459129</v>
      </c>
      <c r="U13" s="132">
        <v>0.6214385694900747</v>
      </c>
      <c r="V13" s="132">
        <v>0.62312860986635354</v>
      </c>
      <c r="W13" s="132">
        <v>0.96728925787000686</v>
      </c>
      <c r="X13" s="132">
        <v>0.71218590204298737</v>
      </c>
      <c r="Y13" s="132">
        <v>0.54784773797139807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0.97483532225425218</v>
      </c>
      <c r="D14" s="65">
        <v>0.68252925794799513</v>
      </c>
      <c r="E14" s="65">
        <v>0.25404321686467929</v>
      </c>
      <c r="F14" s="65">
        <v>56.120673755533957</v>
      </c>
      <c r="G14" s="65">
        <v>33.18883884024131</v>
      </c>
      <c r="H14" s="65">
        <v>19.361694299782418</v>
      </c>
      <c r="I14" s="65">
        <v>5.2758243376712626</v>
      </c>
      <c r="J14" s="65">
        <v>0</v>
      </c>
      <c r="K14" s="65">
        <v>0.25806564603599791</v>
      </c>
      <c r="L14" s="65">
        <v>0</v>
      </c>
      <c r="M14" s="65">
        <v>0.66765213683037683</v>
      </c>
      <c r="N14" s="65">
        <v>0.45666738573258409</v>
      </c>
      <c r="O14" s="65">
        <v>0.65553944656265806</v>
      </c>
      <c r="P14" s="65">
        <v>0.77334473622473332</v>
      </c>
      <c r="Q14" s="65">
        <v>0.75034296674957679</v>
      </c>
      <c r="R14" s="65">
        <v>2.9430998344759431</v>
      </c>
      <c r="S14" s="65">
        <v>3.7125015674196336</v>
      </c>
      <c r="T14" s="65">
        <v>5.2342609923045469</v>
      </c>
      <c r="U14" s="65">
        <v>6.417116841164189</v>
      </c>
      <c r="V14" s="65">
        <v>4.9482695837645529</v>
      </c>
      <c r="W14" s="65">
        <v>3.197991408572979</v>
      </c>
      <c r="X14" s="65">
        <v>1.4184084857947485</v>
      </c>
      <c r="Y14" s="65">
        <v>0.59735229814021484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0.34749459597437071</v>
      </c>
      <c r="D15" s="134">
        <v>1.2461766700365799</v>
      </c>
      <c r="E15" s="134">
        <v>0.32671717734435868</v>
      </c>
      <c r="F15" s="134">
        <v>0.17357483989076394</v>
      </c>
      <c r="G15" s="134">
        <v>0.12856881003723714</v>
      </c>
      <c r="H15" s="134">
        <v>0.36810617050349814</v>
      </c>
      <c r="I15" s="134">
        <v>0.61011887611795668</v>
      </c>
      <c r="J15" s="134">
        <v>0.54581840278064997</v>
      </c>
      <c r="K15" s="134">
        <v>0.1069336994972902</v>
      </c>
      <c r="L15" s="134">
        <v>0.69024719730370809</v>
      </c>
      <c r="M15" s="134">
        <v>0.41105320410597029</v>
      </c>
      <c r="N15" s="134">
        <v>0.25546506100370614</v>
      </c>
      <c r="O15" s="134">
        <v>0.21782654620620348</v>
      </c>
      <c r="P15" s="134">
        <v>0.16696620222818762</v>
      </c>
      <c r="Q15" s="134">
        <v>0.13241612494840593</v>
      </c>
      <c r="R15" s="134">
        <v>0.21671659656704476</v>
      </c>
      <c r="S15" s="134">
        <v>0.17629285399827777</v>
      </c>
      <c r="T15" s="134">
        <v>0.16857126175709364</v>
      </c>
      <c r="U15" s="134">
        <v>0.12675733570719408</v>
      </c>
      <c r="V15" s="134">
        <v>0.1114494603074742</v>
      </c>
      <c r="W15" s="134">
        <v>0.13135392959891584</v>
      </c>
      <c r="X15" s="134">
        <v>9.9163477217111703E-2</v>
      </c>
      <c r="Y15" s="134">
        <v>0.10613831319743776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7.5202081463051007</v>
      </c>
      <c r="D16" s="130">
        <f t="shared" si="6"/>
        <v>17.387133842409252</v>
      </c>
      <c r="E16" s="130">
        <f t="shared" si="6"/>
        <v>9.6100967536028286</v>
      </c>
      <c r="F16" s="130">
        <f t="shared" si="6"/>
        <v>14.180756620787708</v>
      </c>
      <c r="G16" s="130">
        <f t="shared" si="6"/>
        <v>11.022006398801167</v>
      </c>
      <c r="H16" s="130">
        <f t="shared" si="6"/>
        <v>16.63351316473269</v>
      </c>
      <c r="I16" s="130">
        <f t="shared" si="6"/>
        <v>14.334324865761927</v>
      </c>
      <c r="J16" s="130">
        <f t="shared" si="6"/>
        <v>9.9694260157619539</v>
      </c>
      <c r="K16" s="130">
        <f t="shared" si="6"/>
        <v>2.1047545157248844</v>
      </c>
      <c r="L16" s="130">
        <f t="shared" si="6"/>
        <v>13.596981208647678</v>
      </c>
      <c r="M16" s="130">
        <f t="shared" si="6"/>
        <v>10.358134242506502</v>
      </c>
      <c r="N16" s="130">
        <f t="shared" si="6"/>
        <v>6.1304249742086201</v>
      </c>
      <c r="O16" s="130">
        <f t="shared" si="6"/>
        <v>5.0264139996561292</v>
      </c>
      <c r="P16" s="130">
        <f t="shared" si="6"/>
        <v>5.4344883315047241</v>
      </c>
      <c r="Q16" s="130">
        <f t="shared" si="6"/>
        <v>4.0614903379488938</v>
      </c>
      <c r="R16" s="130">
        <f t="shared" ref="R16:W16" si="7">SUM(R17:R18)</f>
        <v>7.1184528250882249</v>
      </c>
      <c r="S16" s="130">
        <f t="shared" si="7"/>
        <v>6.1618952545119869</v>
      </c>
      <c r="T16" s="130">
        <f t="shared" si="7"/>
        <v>7.897386981191441</v>
      </c>
      <c r="U16" s="130">
        <f t="shared" si="7"/>
        <v>7.2658011328528618</v>
      </c>
      <c r="V16" s="130">
        <f t="shared" si="7"/>
        <v>7.3342976310817214</v>
      </c>
      <c r="W16" s="130">
        <f t="shared" si="7"/>
        <v>5.5066774029656251</v>
      </c>
      <c r="X16" s="130">
        <f t="shared" ref="X16:Y16" si="8">SUM(X17:X18)</f>
        <v>5.6911060795968416</v>
      </c>
      <c r="Y16" s="130">
        <f t="shared" si="8"/>
        <v>5.2810301269795037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7.8450394213842711E-3</v>
      </c>
      <c r="D17" s="132">
        <v>2.0336239126187119E-2</v>
      </c>
      <c r="E17" s="132">
        <v>1.2881370574317891E-3</v>
      </c>
      <c r="F17" s="132">
        <v>3.7392551153272648E-2</v>
      </c>
      <c r="G17" s="132">
        <v>2.1936308861856161E-2</v>
      </c>
      <c r="H17" s="132">
        <v>1.4753298948963267E-2</v>
      </c>
      <c r="I17" s="132">
        <v>4.3320268755795761E-2</v>
      </c>
      <c r="J17" s="132">
        <v>3.3322797793278292E-2</v>
      </c>
      <c r="K17" s="132">
        <v>6.9402793164533702E-3</v>
      </c>
      <c r="L17" s="132">
        <v>2.1741815792097913E-2</v>
      </c>
      <c r="M17" s="132">
        <v>2.9208155816020383E-2</v>
      </c>
      <c r="N17" s="132">
        <v>1.9077224476574429E-2</v>
      </c>
      <c r="O17" s="132">
        <v>2.3364165191115217E-2</v>
      </c>
      <c r="P17" s="132">
        <v>4.3236650052590579E-2</v>
      </c>
      <c r="Q17" s="132">
        <v>4.7539810158819092E-2</v>
      </c>
      <c r="R17" s="132">
        <v>5.7124270791480636E-2</v>
      </c>
      <c r="S17" s="132">
        <v>3.5341839614839186E-2</v>
      </c>
      <c r="T17" s="132">
        <v>7.6896970717236154E-2</v>
      </c>
      <c r="U17" s="132">
        <v>8.4643101801067405E-2</v>
      </c>
      <c r="V17" s="132">
        <v>5.6233724088843084E-2</v>
      </c>
      <c r="W17" s="132">
        <v>3.4083432238150309E-2</v>
      </c>
      <c r="X17" s="132">
        <v>3.8446250563006837E-2</v>
      </c>
      <c r="Y17" s="132">
        <v>4.3750663181673095E-2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7.5123631068837167</v>
      </c>
      <c r="D18" s="132">
        <v>17.366797603283064</v>
      </c>
      <c r="E18" s="132">
        <v>9.6088086165453976</v>
      </c>
      <c r="F18" s="132">
        <v>14.143364069634435</v>
      </c>
      <c r="G18" s="132">
        <v>11.000070089939312</v>
      </c>
      <c r="H18" s="132">
        <v>16.618759865783726</v>
      </c>
      <c r="I18" s="132">
        <v>14.291004597006131</v>
      </c>
      <c r="J18" s="132">
        <v>9.9361032179686752</v>
      </c>
      <c r="K18" s="132">
        <v>2.0978142364084311</v>
      </c>
      <c r="L18" s="132">
        <v>13.575239392855581</v>
      </c>
      <c r="M18" s="132">
        <v>10.328926086690482</v>
      </c>
      <c r="N18" s="132">
        <v>6.1113477497320456</v>
      </c>
      <c r="O18" s="132">
        <v>5.0030498344650143</v>
      </c>
      <c r="P18" s="132">
        <v>5.3912516814521334</v>
      </c>
      <c r="Q18" s="132">
        <v>4.0139505277900751</v>
      </c>
      <c r="R18" s="132">
        <v>7.0613285542967441</v>
      </c>
      <c r="S18" s="132">
        <v>6.1265534148971481</v>
      </c>
      <c r="T18" s="132">
        <v>7.820490010474205</v>
      </c>
      <c r="U18" s="132">
        <v>7.181158031051794</v>
      </c>
      <c r="V18" s="132">
        <v>7.2780639069928785</v>
      </c>
      <c r="W18" s="132">
        <v>5.4725939707274751</v>
      </c>
      <c r="X18" s="132">
        <v>5.6526598290338343</v>
      </c>
      <c r="Y18" s="132">
        <v>5.2372794637978304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3.3994826119265613</v>
      </c>
      <c r="D19" s="130">
        <f t="shared" si="9"/>
        <v>11.724641472858417</v>
      </c>
      <c r="E19" s="130">
        <f t="shared" si="9"/>
        <v>3.6866134432865478</v>
      </c>
      <c r="F19" s="130">
        <f t="shared" si="9"/>
        <v>6.5711501788312647</v>
      </c>
      <c r="G19" s="130">
        <f t="shared" si="9"/>
        <v>5.0199380458817062</v>
      </c>
      <c r="H19" s="130">
        <f t="shared" si="9"/>
        <v>6.0924065648411636</v>
      </c>
      <c r="I19" s="130">
        <f t="shared" si="9"/>
        <v>6.7134778091498939</v>
      </c>
      <c r="J19" s="130">
        <f t="shared" si="9"/>
        <v>4.6840384579602112</v>
      </c>
      <c r="K19" s="130">
        <f t="shared" si="9"/>
        <v>1.0096480220165112</v>
      </c>
      <c r="L19" s="130">
        <f t="shared" si="9"/>
        <v>6.195273219283786</v>
      </c>
      <c r="M19" s="130">
        <f t="shared" si="9"/>
        <v>5.1422735975518226</v>
      </c>
      <c r="N19" s="130">
        <f t="shared" si="9"/>
        <v>3.1217877689812621</v>
      </c>
      <c r="O19" s="130">
        <f t="shared" si="9"/>
        <v>2.6318480007112539</v>
      </c>
      <c r="P19" s="130">
        <f t="shared" si="9"/>
        <v>3.0250164012850709</v>
      </c>
      <c r="Q19" s="130">
        <f t="shared" si="9"/>
        <v>2.0421383432910245</v>
      </c>
      <c r="R19" s="130">
        <f t="shared" ref="R19:W19" si="10">SUM(R20:R27)</f>
        <v>3.8445827106525456</v>
      </c>
      <c r="S19" s="130">
        <f t="shared" si="10"/>
        <v>3.6141327274399839</v>
      </c>
      <c r="T19" s="130">
        <f t="shared" si="10"/>
        <v>4.1528706502320771</v>
      </c>
      <c r="U19" s="130">
        <f t="shared" si="10"/>
        <v>3.9196348667145693</v>
      </c>
      <c r="V19" s="130">
        <f t="shared" si="10"/>
        <v>3.6569079926574384</v>
      </c>
      <c r="W19" s="130">
        <f t="shared" si="10"/>
        <v>3.6769391399798179</v>
      </c>
      <c r="X19" s="130">
        <f t="shared" ref="X19:Y19" si="11">SUM(X20:X27)</f>
        <v>3.8484733027518772</v>
      </c>
      <c r="Y19" s="130">
        <f t="shared" si="11"/>
        <v>3.9367003233281701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9.5265430250218816E-2</v>
      </c>
      <c r="D21" s="132">
        <v>0.1662236248003536</v>
      </c>
      <c r="E21" s="132">
        <v>1.2751831833619288E-2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2.5562531311623519E-4</v>
      </c>
      <c r="M21" s="132">
        <v>6.5328932262803688E-2</v>
      </c>
      <c r="N21" s="132">
        <v>8.8312719947727714E-2</v>
      </c>
      <c r="O21" s="132">
        <v>6.8141855368310911E-2</v>
      </c>
      <c r="P21" s="132">
        <v>2.7170283219166726E-2</v>
      </c>
      <c r="Q21" s="132">
        <v>2.2313083652938649E-2</v>
      </c>
      <c r="R21" s="132">
        <v>4.0696883974351145E-2</v>
      </c>
      <c r="S21" s="132">
        <v>5.2279234899409346E-2</v>
      </c>
      <c r="T21" s="132">
        <v>4.0783567914829531E-2</v>
      </c>
      <c r="U21" s="132">
        <v>2.8464091377724564E-2</v>
      </c>
      <c r="V21" s="132">
        <v>3.1631691292628994E-2</v>
      </c>
      <c r="W21" s="132">
        <v>5.6553842816097592E-2</v>
      </c>
      <c r="X21" s="132">
        <v>0.1083374363181708</v>
      </c>
      <c r="Y21" s="132">
        <v>7.5045396713306234E-2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0.67436818572185053</v>
      </c>
      <c r="D22" s="132">
        <v>1.4092441292512523</v>
      </c>
      <c r="E22" s="132">
        <v>0.74025717293866167</v>
      </c>
      <c r="F22" s="132">
        <v>1.5097303254766723</v>
      </c>
      <c r="G22" s="132">
        <v>1.0967658838239285</v>
      </c>
      <c r="H22" s="132">
        <v>1.1317791728726367</v>
      </c>
      <c r="I22" s="132">
        <v>1.0516788599841356</v>
      </c>
      <c r="J22" s="132">
        <v>0.69248775822536912</v>
      </c>
      <c r="K22" s="132">
        <v>0.18214124230654768</v>
      </c>
      <c r="L22" s="132">
        <v>1.0595532456947137</v>
      </c>
      <c r="M22" s="132">
        <v>1.0017752250036713</v>
      </c>
      <c r="N22" s="132">
        <v>0.63859210871806948</v>
      </c>
      <c r="O22" s="132">
        <v>0.51908968626669727</v>
      </c>
      <c r="P22" s="132">
        <v>0.35005368047077701</v>
      </c>
      <c r="Q22" s="132">
        <v>0.28198048743244258</v>
      </c>
      <c r="R22" s="132">
        <v>0.42296851482623804</v>
      </c>
      <c r="S22" s="132">
        <v>0.34883673997250536</v>
      </c>
      <c r="T22" s="132">
        <v>0.27848068983788954</v>
      </c>
      <c r="U22" s="132">
        <v>0.16487786837731808</v>
      </c>
      <c r="V22" s="132">
        <v>0.45202199957158745</v>
      </c>
      <c r="W22" s="132">
        <v>0.68573977487787274</v>
      </c>
      <c r="X22" s="132">
        <v>1.0046820616744696</v>
      </c>
      <c r="Y22" s="132">
        <v>0.88352667262098539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1.5630091706243712</v>
      </c>
      <c r="D23" s="132">
        <v>4.5674147663531972</v>
      </c>
      <c r="E23" s="132">
        <v>1.6912963601112385</v>
      </c>
      <c r="F23" s="132">
        <v>3.9215346454058539</v>
      </c>
      <c r="G23" s="132">
        <v>2.7573648666837025</v>
      </c>
      <c r="H23" s="132">
        <v>3.2484836725148196</v>
      </c>
      <c r="I23" s="132">
        <v>3.6698216462720916</v>
      </c>
      <c r="J23" s="132">
        <v>2.4501221274030036</v>
      </c>
      <c r="K23" s="132">
        <v>0.38359449665729961</v>
      </c>
      <c r="L23" s="132">
        <v>3.0676345347020351</v>
      </c>
      <c r="M23" s="132">
        <v>2.6872971066491464</v>
      </c>
      <c r="N23" s="132">
        <v>1.4794762902809548</v>
      </c>
      <c r="O23" s="132">
        <v>1.1878351036769774</v>
      </c>
      <c r="P23" s="132">
        <v>1.1950703431215253</v>
      </c>
      <c r="Q23" s="132">
        <v>0.81806053574344673</v>
      </c>
      <c r="R23" s="132">
        <v>1.6653750095081181</v>
      </c>
      <c r="S23" s="132">
        <v>1.7415378464705376</v>
      </c>
      <c r="T23" s="132">
        <v>2.2538134460752297</v>
      </c>
      <c r="U23" s="132">
        <v>2.6085677171894184</v>
      </c>
      <c r="V23" s="132">
        <v>2.0730304186747119</v>
      </c>
      <c r="W23" s="132">
        <v>1.3988607130951347</v>
      </c>
      <c r="X23" s="132">
        <v>0</v>
      </c>
      <c r="Y23" s="132">
        <v>1.9651456479072089E-2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5.680683228932059E-2</v>
      </c>
      <c r="D25" s="132">
        <v>0.12981086185797916</v>
      </c>
      <c r="E25" s="132">
        <v>6.7110734665635136E-2</v>
      </c>
      <c r="F25" s="132">
        <v>0.14385623160511721</v>
      </c>
      <c r="G25" s="132">
        <v>0.10614381306092907</v>
      </c>
      <c r="H25" s="132">
        <v>0.11111614691949097</v>
      </c>
      <c r="I25" s="132">
        <v>0.10222023510979837</v>
      </c>
      <c r="J25" s="132">
        <v>9.4558588255031648E-2</v>
      </c>
      <c r="K25" s="132">
        <v>2.5936157383405548E-2</v>
      </c>
      <c r="L25" s="132">
        <v>0.18041540629507294</v>
      </c>
      <c r="M25" s="132">
        <v>0.11092509711381596</v>
      </c>
      <c r="N25" s="132">
        <v>5.349113524011212E-2</v>
      </c>
      <c r="O25" s="132">
        <v>3.9908230689536459E-2</v>
      </c>
      <c r="P25" s="132">
        <v>1.8151533097756179E-2</v>
      </c>
      <c r="Q25" s="132">
        <v>4.1479360680144343E-2</v>
      </c>
      <c r="R25" s="132">
        <v>7.211903614076938E-2</v>
      </c>
      <c r="S25" s="132">
        <v>7.0326219322324982E-2</v>
      </c>
      <c r="T25" s="132">
        <v>7.9525115406264626E-2</v>
      </c>
      <c r="U25" s="132">
        <v>8.9011624036327924E-2</v>
      </c>
      <c r="V25" s="132">
        <v>0.1101227641715225</v>
      </c>
      <c r="W25" s="132">
        <v>0.13279045039882542</v>
      </c>
      <c r="X25" s="132">
        <v>0.26947132099695953</v>
      </c>
      <c r="Y25" s="132">
        <v>0.22272965112523893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1.0100329930408005</v>
      </c>
      <c r="D26" s="65">
        <v>5.4304426100239436</v>
      </c>
      <c r="E26" s="65">
        <v>1.0893069075218931</v>
      </c>
      <c r="F26" s="65">
        <v>0.9683712376493262</v>
      </c>
      <c r="G26" s="65">
        <v>1.0525529628258912</v>
      </c>
      <c r="H26" s="65">
        <v>1.5317784516445285</v>
      </c>
      <c r="I26" s="65">
        <v>1.7144036953669721</v>
      </c>
      <c r="J26" s="65">
        <v>1.3034474298411758</v>
      </c>
      <c r="K26" s="65">
        <v>0.1133364940641112</v>
      </c>
      <c r="L26" s="65">
        <v>1.8874144072788481</v>
      </c>
      <c r="M26" s="65">
        <v>1.2553079551572062</v>
      </c>
      <c r="N26" s="65">
        <v>0.8518263721944308</v>
      </c>
      <c r="O26" s="65">
        <v>0.81687312470973139</v>
      </c>
      <c r="P26" s="65">
        <v>1.3683055227448511</v>
      </c>
      <c r="Q26" s="65">
        <v>0.77764208062203533</v>
      </c>
      <c r="R26" s="65">
        <v>1.3151022118139619</v>
      </c>
      <c r="S26" s="65">
        <v>1.3181426528782294</v>
      </c>
      <c r="T26" s="65">
        <v>1.4214163850236674</v>
      </c>
      <c r="U26" s="65">
        <v>0.97459012917605126</v>
      </c>
      <c r="V26" s="65">
        <v>0.99010111894698705</v>
      </c>
      <c r="W26" s="65">
        <v>1.4029943587918876</v>
      </c>
      <c r="X26" s="65">
        <v>2.17143022842109</v>
      </c>
      <c r="Y26" s="65">
        <v>2.6658158581270031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2.1505480571692496E-2</v>
      </c>
      <c r="E27" s="147">
        <v>8.5890436215500826E-2</v>
      </c>
      <c r="F27" s="147">
        <v>2.765773869429522E-2</v>
      </c>
      <c r="G27" s="147">
        <v>7.1105194872545553E-3</v>
      </c>
      <c r="H27" s="147">
        <v>6.9249120889687765E-2</v>
      </c>
      <c r="I27" s="147">
        <v>0.17535337241689669</v>
      </c>
      <c r="J27" s="147">
        <v>0.14342255423563072</v>
      </c>
      <c r="K27" s="147">
        <v>0.30463963160514707</v>
      </c>
      <c r="L27" s="147">
        <v>0</v>
      </c>
      <c r="M27" s="147">
        <v>2.1639281365178602E-2</v>
      </c>
      <c r="N27" s="147">
        <v>1.0089142599967E-2</v>
      </c>
      <c r="O27" s="147">
        <v>3.0366650459861337E-16</v>
      </c>
      <c r="P27" s="147">
        <v>6.6265038630994769E-2</v>
      </c>
      <c r="Q27" s="147">
        <v>0.10066279516001694</v>
      </c>
      <c r="R27" s="147">
        <v>0.32832105438910691</v>
      </c>
      <c r="S27" s="147">
        <v>8.3010033896976892E-2</v>
      </c>
      <c r="T27" s="147">
        <v>7.8851445974195189E-2</v>
      </c>
      <c r="U27" s="147">
        <v>5.4123436557728728E-2</v>
      </c>
      <c r="V27" s="147">
        <v>4.6335216020841896E-16</v>
      </c>
      <c r="W27" s="147">
        <v>0</v>
      </c>
      <c r="X27" s="147">
        <v>0.29455225534118745</v>
      </c>
      <c r="Y27" s="147">
        <v>6.9931288262564256E-2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2.743111573998124</v>
      </c>
      <c r="D29" s="130">
        <f t="shared" si="12"/>
        <v>10.090055608879359</v>
      </c>
      <c r="E29" s="130">
        <f t="shared" si="12"/>
        <v>3.1771476029890078</v>
      </c>
      <c r="F29" s="130">
        <f t="shared" si="12"/>
        <v>5.3215100023423254</v>
      </c>
      <c r="G29" s="130">
        <f t="shared" si="12"/>
        <v>4.4849080059384621</v>
      </c>
      <c r="H29" s="130">
        <f t="shared" si="12"/>
        <v>5.3746540780429219</v>
      </c>
      <c r="I29" s="130">
        <f t="shared" si="12"/>
        <v>6.0989317630990385</v>
      </c>
      <c r="J29" s="130">
        <f t="shared" si="12"/>
        <v>4.3049352883830538</v>
      </c>
      <c r="K29" s="130">
        <f t="shared" si="12"/>
        <v>0.92650779265245309</v>
      </c>
      <c r="L29" s="130">
        <f t="shared" si="12"/>
        <v>5.8222858422924517</v>
      </c>
      <c r="M29" s="130">
        <f t="shared" si="12"/>
        <v>4.7538940234861826</v>
      </c>
      <c r="N29" s="130">
        <f t="shared" si="12"/>
        <v>2.9158654557526651</v>
      </c>
      <c r="O29" s="130">
        <f t="shared" si="12"/>
        <v>2.4198800801972142</v>
      </c>
      <c r="P29" s="130">
        <f t="shared" si="12"/>
        <v>2.925496440205321</v>
      </c>
      <c r="Q29" s="130">
        <f t="shared" si="12"/>
        <v>2.0300391451990607</v>
      </c>
      <c r="R29" s="130">
        <f t="shared" ref="R29:W29" si="13">SUM(R30:R33)</f>
        <v>3.8290949000234367</v>
      </c>
      <c r="S29" s="130">
        <f t="shared" si="13"/>
        <v>3.6145006113539848</v>
      </c>
      <c r="T29" s="130">
        <f t="shared" si="13"/>
        <v>4.2015160596192169</v>
      </c>
      <c r="U29" s="130">
        <f t="shared" si="13"/>
        <v>4.016846095968039</v>
      </c>
      <c r="V29" s="130">
        <f t="shared" si="13"/>
        <v>3.8090999512511194</v>
      </c>
      <c r="W29" s="130">
        <f t="shared" si="13"/>
        <v>3.9198821297626241</v>
      </c>
      <c r="X29" s="130">
        <f t="shared" ref="X29:Y29" si="14">SUM(X30:X33)</f>
        <v>3.8849264944798216</v>
      </c>
      <c r="Y29" s="130">
        <f t="shared" si="14"/>
        <v>3.9479679722385321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8.8374547175669255E-2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0.10853920516664181</v>
      </c>
      <c r="K30" s="132">
        <v>9.3377530029697522E-2</v>
      </c>
      <c r="L30" s="132">
        <v>0.76696895833648626</v>
      </c>
      <c r="M30" s="132">
        <v>0</v>
      </c>
      <c r="N30" s="132">
        <v>0</v>
      </c>
      <c r="O30" s="132">
        <v>1.22502520563403E-2</v>
      </c>
      <c r="P30" s="132">
        <v>0</v>
      </c>
      <c r="Q30" s="132">
        <v>7.7063593659167956E-2</v>
      </c>
      <c r="R30" s="132">
        <v>2.1820869616429657E-2</v>
      </c>
      <c r="S30" s="132">
        <v>0.12563161529444619</v>
      </c>
      <c r="T30" s="132">
        <v>0.14898768379448349</v>
      </c>
      <c r="U30" s="132">
        <v>0.24755764572789191</v>
      </c>
      <c r="V30" s="132">
        <v>0.2908510617338621</v>
      </c>
      <c r="W30" s="132">
        <v>0.21121713642228954</v>
      </c>
      <c r="X30" s="132">
        <v>0</v>
      </c>
      <c r="Y30" s="132">
        <v>0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1.3556679625082591</v>
      </c>
      <c r="D31" s="132">
        <v>2.3412702970169503</v>
      </c>
      <c r="E31" s="132">
        <v>1.0705970701967638</v>
      </c>
      <c r="F31" s="132">
        <v>2.7953704016220291</v>
      </c>
      <c r="G31" s="132">
        <v>1.7073021420382901</v>
      </c>
      <c r="H31" s="132">
        <v>2.4261645992252134</v>
      </c>
      <c r="I31" s="132">
        <v>2.5314806124736942</v>
      </c>
      <c r="J31" s="132">
        <v>2.1777857983333266</v>
      </c>
      <c r="K31" s="132">
        <v>0.50724955141629502</v>
      </c>
      <c r="L31" s="132">
        <v>2.2315356932508048</v>
      </c>
      <c r="M31" s="132">
        <v>1.5086125586737333</v>
      </c>
      <c r="N31" s="132">
        <v>0.99213725462563618</v>
      </c>
      <c r="O31" s="132">
        <v>0.83647912815425551</v>
      </c>
      <c r="P31" s="132">
        <v>0.79173138868092408</v>
      </c>
      <c r="Q31" s="132">
        <v>0.68808182649375482</v>
      </c>
      <c r="R31" s="132">
        <v>1.3706405494245082</v>
      </c>
      <c r="S31" s="132">
        <v>1.3678890893752653</v>
      </c>
      <c r="T31" s="132">
        <v>1.70656714425624</v>
      </c>
      <c r="U31" s="132">
        <v>1.6384950142488457</v>
      </c>
      <c r="V31" s="132">
        <v>1.4651627364084818</v>
      </c>
      <c r="W31" s="132">
        <v>0.94219764153021446</v>
      </c>
      <c r="X31" s="132">
        <v>1.1617920074318846</v>
      </c>
      <c r="Y31" s="132">
        <v>0.97795392393967673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5.8775736964287145E-2</v>
      </c>
      <c r="K32" s="132">
        <v>3.6546163178052581E-3</v>
      </c>
      <c r="L32" s="132">
        <v>4.0241690044074518E-2</v>
      </c>
      <c r="M32" s="132">
        <v>1.6443659670288959E-2</v>
      </c>
      <c r="N32" s="132">
        <v>1.8982543885021302E-3</v>
      </c>
      <c r="O32" s="132">
        <v>1.4774184880061457E-2</v>
      </c>
      <c r="P32" s="132">
        <v>2.4812381907126643E-2</v>
      </c>
      <c r="Q32" s="132">
        <v>1.7587018877869016E-2</v>
      </c>
      <c r="R32" s="132">
        <v>1.7304122480511705E-2</v>
      </c>
      <c r="S32" s="132">
        <v>1.2381619220703386E-2</v>
      </c>
      <c r="T32" s="132">
        <v>6.5689465342753115E-4</v>
      </c>
      <c r="U32" s="132">
        <v>0</v>
      </c>
      <c r="V32" s="132">
        <v>0</v>
      </c>
      <c r="W32" s="132">
        <v>0</v>
      </c>
      <c r="X32" s="132">
        <v>6.1451805847671575E-4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1.2990690643141958</v>
      </c>
      <c r="D33" s="68">
        <v>7.7487853118624086</v>
      </c>
      <c r="E33" s="68">
        <v>2.106550532792244</v>
      </c>
      <c r="F33" s="68">
        <v>2.5261396007202959</v>
      </c>
      <c r="G33" s="68">
        <v>2.7776058639001717</v>
      </c>
      <c r="H33" s="68">
        <v>2.9484894788177085</v>
      </c>
      <c r="I33" s="68">
        <v>3.5674511506253439</v>
      </c>
      <c r="J33" s="68">
        <v>1.9598345479187982</v>
      </c>
      <c r="K33" s="68">
        <v>0.32222609488865528</v>
      </c>
      <c r="L33" s="68">
        <v>2.7835395006610857</v>
      </c>
      <c r="M33" s="68">
        <v>3.2288378051421605</v>
      </c>
      <c r="N33" s="68">
        <v>1.9218299467385269</v>
      </c>
      <c r="O33" s="68">
        <v>1.5563765151065567</v>
      </c>
      <c r="P33" s="68">
        <v>2.1089526696172705</v>
      </c>
      <c r="Q33" s="68">
        <v>1.247306706168269</v>
      </c>
      <c r="R33" s="68">
        <v>2.419329358501987</v>
      </c>
      <c r="S33" s="68">
        <v>2.10859828746357</v>
      </c>
      <c r="T33" s="68">
        <v>2.3453043369150657</v>
      </c>
      <c r="U33" s="68">
        <v>2.1307934359913014</v>
      </c>
      <c r="V33" s="68">
        <v>2.0530861531087754</v>
      </c>
      <c r="W33" s="68">
        <v>2.7664673518101202</v>
      </c>
      <c r="X33" s="68">
        <v>2.7225199689894604</v>
      </c>
      <c r="Y33" s="68">
        <v>2.9700140482988555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0.73404481960977142</v>
      </c>
      <c r="D3" s="126">
        <f>IF(SER_hh_tes_in!D3=0,"",SER_hh_tes_in!D3/SER_hh_fec_in!D3)</f>
        <v>0.70424767348477324</v>
      </c>
      <c r="E3" s="126">
        <f>IF(SER_hh_tes_in!E3=0,"",SER_hh_tes_in!E3/SER_hh_fec_in!E3)</f>
        <v>0.79072140025362114</v>
      </c>
      <c r="F3" s="126">
        <f>IF(SER_hh_tes_in!F3=0,"",SER_hh_tes_in!F3/SER_hh_fec_in!F3)</f>
        <v>0.84507218175813603</v>
      </c>
      <c r="G3" s="126">
        <f>IF(SER_hh_tes_in!G3=0,"",SER_hh_tes_in!G3/SER_hh_fec_in!G3)</f>
        <v>0.86490755621708704</v>
      </c>
      <c r="H3" s="126">
        <f>IF(SER_hh_tes_in!H3=0,"",SER_hh_tes_in!H3/SER_hh_fec_in!H3)</f>
        <v>0.86531020957491545</v>
      </c>
      <c r="I3" s="126">
        <f>IF(SER_hh_tes_in!I3=0,"",SER_hh_tes_in!I3/SER_hh_fec_in!I3)</f>
        <v>0.79874179145353197</v>
      </c>
      <c r="J3" s="126">
        <f>IF(SER_hh_tes_in!J3=0,"",SER_hh_tes_in!J3/SER_hh_fec_in!J3)</f>
        <v>0.76474035185960154</v>
      </c>
      <c r="K3" s="126">
        <f>IF(SER_hh_tes_in!K3=0,"",SER_hh_tes_in!K3/SER_hh_fec_in!K3)</f>
        <v>0.78851595049423029</v>
      </c>
      <c r="L3" s="126">
        <f>IF(SER_hh_tes_in!L3=0,"",SER_hh_tes_in!L3/SER_hh_fec_in!L3)</f>
        <v>0.78906137102903973</v>
      </c>
      <c r="M3" s="126">
        <f>IF(SER_hh_tes_in!M3=0,"",SER_hh_tes_in!M3/SER_hh_fec_in!M3)</f>
        <v>0.83398367280421459</v>
      </c>
      <c r="N3" s="126">
        <f>IF(SER_hh_tes_in!N3=0,"",SER_hh_tes_in!N3/SER_hh_fec_in!N3)</f>
        <v>0.84710008167965223</v>
      </c>
      <c r="O3" s="126">
        <f>IF(SER_hh_tes_in!O3=0,"",SER_hh_tes_in!O3/SER_hh_fec_in!O3)</f>
        <v>0.86628642129916478</v>
      </c>
      <c r="P3" s="126">
        <f>IF(SER_hh_tes_in!P3=0,"",SER_hh_tes_in!P3/SER_hh_fec_in!P3)</f>
        <v>0.9285286008927971</v>
      </c>
      <c r="Q3" s="126">
        <f>IF(SER_hh_tes_in!Q3=0,"",SER_hh_tes_in!Q3/SER_hh_fec_in!Q3)</f>
        <v>0.96017619894098027</v>
      </c>
      <c r="R3" s="126">
        <f>IF(SER_hh_tes_in!R3=0,"",SER_hh_tes_in!R3/SER_hh_fec_in!R3)</f>
        <v>0.99539588896529085</v>
      </c>
      <c r="S3" s="126">
        <f>IF(SER_hh_tes_in!S3=0,"",SER_hh_tes_in!S3/SER_hh_fec_in!S3)</f>
        <v>1.0023991481462236</v>
      </c>
      <c r="T3" s="126">
        <f>IF(SER_hh_tes_in!T3=0,"",SER_hh_tes_in!T3/SER_hh_fec_in!T3)</f>
        <v>1.0574417427598322</v>
      </c>
      <c r="U3" s="126">
        <f>IF(SER_hh_tes_in!U3=0,"",SER_hh_tes_in!U3/SER_hh_fec_in!U3)</f>
        <v>1.0859528107410537</v>
      </c>
      <c r="V3" s="126">
        <f>IF(SER_hh_tes_in!V3=0,"",SER_hh_tes_in!V3/SER_hh_fec_in!V3)</f>
        <v>1.1221478379336478</v>
      </c>
      <c r="W3" s="126">
        <f>IF(SER_hh_tes_in!W3=0,"",SER_hh_tes_in!W3/SER_hh_fec_in!W3)</f>
        <v>1.0975890139344149</v>
      </c>
      <c r="X3" s="126">
        <f>IF(SER_hh_tes_in!X3=0,"",SER_hh_tes_in!X3/SER_hh_fec_in!X3)</f>
        <v>1.1474133417319603</v>
      </c>
      <c r="Y3" s="126">
        <f>IF(SER_hh_tes_in!Y3=0,"",SER_hh_tes_in!Y3/SER_hh_fec_in!Y3)</f>
        <v>1.1229840077439019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0.58369964550380127</v>
      </c>
      <c r="D4" s="135">
        <f>IF(SER_hh_tes_in!D4=0,"",SER_hh_tes_in!D4/SER_hh_fec_in!D4)</f>
        <v>0.58611504940574966</v>
      </c>
      <c r="E4" s="135">
        <f>IF(SER_hh_tes_in!E4=0,"",SER_hh_tes_in!E4/SER_hh_fec_in!E4)</f>
        <v>0.58845856832253496</v>
      </c>
      <c r="F4" s="135">
        <f>IF(SER_hh_tes_in!F4=0,"",SER_hh_tes_in!F4/SER_hh_fec_in!F4)</f>
        <v>0.75990102584766872</v>
      </c>
      <c r="G4" s="135">
        <f>IF(SER_hh_tes_in!G4=0,"",SER_hh_tes_in!G4/SER_hh_fec_in!G4)</f>
        <v>0.75809522553614506</v>
      </c>
      <c r="H4" s="135">
        <f>IF(SER_hh_tes_in!H4=0,"",SER_hh_tes_in!H4/SER_hh_fec_in!H4)</f>
        <v>0.70378875979479216</v>
      </c>
      <c r="I4" s="135">
        <f>IF(SER_hh_tes_in!I4=0,"",SER_hh_tes_in!I4/SER_hh_fec_in!I4)</f>
        <v>0.65038499227611613</v>
      </c>
      <c r="J4" s="135">
        <f>IF(SER_hh_tes_in!J4=0,"",SER_hh_tes_in!J4/SER_hh_fec_in!J4)</f>
        <v>0.62615355151115093</v>
      </c>
      <c r="K4" s="135">
        <f>IF(SER_hh_tes_in!K4=0,"",SER_hh_tes_in!K4/SER_hh_fec_in!K4)</f>
        <v>0.64377002148308493</v>
      </c>
      <c r="L4" s="135">
        <f>IF(SER_hh_tes_in!L4=0,"",SER_hh_tes_in!L4/SER_hh_fec_in!L4)</f>
        <v>0.64425797327652512</v>
      </c>
      <c r="M4" s="135">
        <f>IF(SER_hh_tes_in!M4=0,"",SER_hh_tes_in!M4/SER_hh_fec_in!M4)</f>
        <v>0.66208254540098133</v>
      </c>
      <c r="N4" s="135">
        <f>IF(SER_hh_tes_in!N4=0,"",SER_hh_tes_in!N4/SER_hh_fec_in!N4)</f>
        <v>0.68155972516823093</v>
      </c>
      <c r="O4" s="135">
        <f>IF(SER_hh_tes_in!O4=0,"",SER_hh_tes_in!O4/SER_hh_fec_in!O4)</f>
        <v>0.70727274120292172</v>
      </c>
      <c r="P4" s="135">
        <f>IF(SER_hh_tes_in!P4=0,"",SER_hh_tes_in!P4/SER_hh_fec_in!P4)</f>
        <v>0.73719039320067792</v>
      </c>
      <c r="Q4" s="135">
        <f>IF(SER_hh_tes_in!Q4=0,"",SER_hh_tes_in!Q4/SER_hh_fec_in!Q4)</f>
        <v>0.76795288717421839</v>
      </c>
      <c r="R4" s="135">
        <f>IF(SER_hh_tes_in!R4=0,"",SER_hh_tes_in!R4/SER_hh_fec_in!R4)</f>
        <v>0.80906105885578072</v>
      </c>
      <c r="S4" s="135">
        <f>IF(SER_hh_tes_in!S4=0,"",SER_hh_tes_in!S4/SER_hh_fec_in!S4)</f>
        <v>0.82713209238871999</v>
      </c>
      <c r="T4" s="135">
        <f>IF(SER_hh_tes_in!T4=0,"",SER_hh_tes_in!T4/SER_hh_fec_in!T4)</f>
        <v>0.86514734637404567</v>
      </c>
      <c r="U4" s="135">
        <f>IF(SER_hh_tes_in!U4=0,"",SER_hh_tes_in!U4/SER_hh_fec_in!U4)</f>
        <v>0.9077740649008873</v>
      </c>
      <c r="V4" s="135">
        <f>IF(SER_hh_tes_in!V4=0,"",SER_hh_tes_in!V4/SER_hh_fec_in!V4)</f>
        <v>0.91767843164096619</v>
      </c>
      <c r="W4" s="135">
        <f>IF(SER_hh_tes_in!W4=0,"",SER_hh_tes_in!W4/SER_hh_fec_in!W4)</f>
        <v>0.94116351010422761</v>
      </c>
      <c r="X4" s="135">
        <f>IF(SER_hh_tes_in!X4=0,"",SER_hh_tes_in!X4/SER_hh_fec_in!X4)</f>
        <v>0.94242499514114064</v>
      </c>
      <c r="Y4" s="135">
        <f>IF(SER_hh_tes_in!Y4=0,"",SER_hh_tes_in!Y4/SER_hh_fec_in!Y4)</f>
        <v>0.9082612328931442</v>
      </c>
      <c r="DA4" s="162" t="s">
        <v>663</v>
      </c>
    </row>
    <row r="5" spans="1:105" ht="12" customHeight="1" x14ac:dyDescent="0.25">
      <c r="A5" s="131" t="s">
        <v>29</v>
      </c>
      <c r="B5" s="136"/>
      <c r="C5" s="136" t="str">
        <f>IF(SER_hh_tes_in!C5=0,"",SER_hh_tes_in!C5/SER_hh_fec_in!C5)</f>
        <v/>
      </c>
      <c r="D5" s="136" t="str">
        <f>IF(SER_hh_tes_in!D5=0,"",SER_hh_tes_in!D5/SER_hh_fec_in!D5)</f>
        <v/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 t="str">
        <f>IF(SER_hh_tes_in!M5=0,"",SER_hh_tes_in!M5/SER_hh_fec_in!M5)</f>
        <v/>
      </c>
      <c r="N5" s="136" t="str">
        <f>IF(SER_hh_tes_in!N5=0,"",SER_hh_tes_in!N5/SER_hh_fec_in!N5)</f>
        <v/>
      </c>
      <c r="O5" s="136" t="str">
        <f>IF(SER_hh_tes_in!O5=0,"",SER_hh_tes_in!O5/SER_hh_fec_in!O5)</f>
        <v/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0.55208949852013889</v>
      </c>
      <c r="D7" s="136">
        <f>IF(SER_hh_tes_in!D7=0,"",SER_hh_tes_in!D7/SER_hh_fec_in!D7)</f>
        <v>0.55670942127022272</v>
      </c>
      <c r="E7" s="136">
        <f>IF(SER_hh_tes_in!E7=0,"",SER_hh_tes_in!E7/SER_hh_fec_in!E7)</f>
        <v>0.56157528726399375</v>
      </c>
      <c r="F7" s="136">
        <f>IF(SER_hh_tes_in!F7=0,"",SER_hh_tes_in!F7/SER_hh_fec_in!F7)</f>
        <v>0.56641456854647443</v>
      </c>
      <c r="G7" s="136">
        <f>IF(SER_hh_tes_in!G7=0,"",SER_hh_tes_in!G7/SER_hh_fec_in!G7)</f>
        <v>0.57147028354171836</v>
      </c>
      <c r="H7" s="136">
        <f>IF(SER_hh_tes_in!H7=0,"",SER_hh_tes_in!H7/SER_hh_fec_in!H7)</f>
        <v>0.57670947785495241</v>
      </c>
      <c r="I7" s="136">
        <f>IF(SER_hh_tes_in!I7=0,"",SER_hh_tes_in!I7/SER_hh_fec_in!I7)</f>
        <v>0.58218871135384254</v>
      </c>
      <c r="J7" s="136">
        <f>IF(SER_hh_tes_in!J7=0,"",SER_hh_tes_in!J7/SER_hh_fec_in!J7)</f>
        <v>0.58814713711045896</v>
      </c>
      <c r="K7" s="136">
        <f>IF(SER_hh_tes_in!K7=0,"",SER_hh_tes_in!K7/SER_hh_fec_in!K7)</f>
        <v>0.59478357300569917</v>
      </c>
      <c r="L7" s="136">
        <f>IF(SER_hh_tes_in!L7=0,"",SER_hh_tes_in!L7/SER_hh_fec_in!L7)</f>
        <v>0.60214307914096532</v>
      </c>
      <c r="M7" s="136">
        <f>IF(SER_hh_tes_in!M7=0,"",SER_hh_tes_in!M7/SER_hh_fec_in!M7)</f>
        <v>0.61545924118203976</v>
      </c>
      <c r="N7" s="136">
        <f>IF(SER_hh_tes_in!N7=0,"",SER_hh_tes_in!N7/SER_hh_fec_in!N7)</f>
        <v>0.6362983390807585</v>
      </c>
      <c r="O7" s="136">
        <f>IF(SER_hh_tes_in!O7=0,"",SER_hh_tes_in!O7/SER_hh_fec_in!O7)</f>
        <v>0.66545758815532452</v>
      </c>
      <c r="P7" s="136">
        <f>IF(SER_hh_tes_in!P7=0,"",SER_hh_tes_in!P7/SER_hh_fec_in!P7)</f>
        <v>0.6990622853762789</v>
      </c>
      <c r="Q7" s="136">
        <f>IF(SER_hh_tes_in!Q7=0,"",SER_hh_tes_in!Q7/SER_hh_fec_in!Q7)</f>
        <v>0.72589603452626195</v>
      </c>
      <c r="R7" s="136">
        <f>IF(SER_hh_tes_in!R7=0,"",SER_hh_tes_in!R7/SER_hh_fec_in!R7)</f>
        <v>0.73611905830209934</v>
      </c>
      <c r="S7" s="136">
        <f>IF(SER_hh_tes_in!S7=0,"",SER_hh_tes_in!S7/SER_hh_fec_in!S7)</f>
        <v>0.74093095129842024</v>
      </c>
      <c r="T7" s="136">
        <f>IF(SER_hh_tes_in!T7=0,"",SER_hh_tes_in!T7/SER_hh_fec_in!T7)</f>
        <v>0.74252824806501161</v>
      </c>
      <c r="U7" s="136" t="str">
        <f>IF(SER_hh_tes_in!U7=0,"",SER_hh_tes_in!U7/SER_hh_fec_in!U7)</f>
        <v/>
      </c>
      <c r="V7" s="136">
        <f>IF(SER_hh_tes_in!V7=0,"",SER_hh_tes_in!V7/SER_hh_fec_in!V7)</f>
        <v>0.7443408262595046</v>
      </c>
      <c r="W7" s="136">
        <f>IF(SER_hh_tes_in!W7=0,"",SER_hh_tes_in!W7/SER_hh_fec_in!W7)</f>
        <v>0.74620113025465684</v>
      </c>
      <c r="X7" s="136">
        <f>IF(SER_hh_tes_in!X7=0,"",SER_hh_tes_in!X7/SER_hh_fec_in!X7)</f>
        <v>0.74733144292660203</v>
      </c>
      <c r="Y7" s="136">
        <f>IF(SER_hh_tes_in!Y7=0,"",SER_hh_tes_in!Y7/SER_hh_fec_in!Y7)</f>
        <v>0.74805581871809868</v>
      </c>
      <c r="DA7" s="163" t="s">
        <v>666</v>
      </c>
    </row>
    <row r="8" spans="1:105" ht="12" customHeight="1" x14ac:dyDescent="0.25">
      <c r="A8" s="131" t="s">
        <v>73</v>
      </c>
      <c r="B8" s="136"/>
      <c r="C8" s="136">
        <f>IF(SER_hh_tes_in!C8=0,"",SER_hh_tes_in!C8/SER_hh_fec_in!C8)</f>
        <v>1.9614123594283697</v>
      </c>
      <c r="D8" s="136">
        <f>IF(SER_hh_tes_in!D8=0,"",SER_hh_tes_in!D8/SER_hh_fec_in!D8)</f>
        <v>2.061611844409367</v>
      </c>
      <c r="E8" s="136">
        <f>IF(SER_hh_tes_in!E8=0,"",SER_hh_tes_in!E8/SER_hh_fec_in!E8)</f>
        <v>2.1632001768354217</v>
      </c>
      <c r="F8" s="136">
        <f>IF(SER_hh_tes_in!F8=0,"",SER_hh_tes_in!F8/SER_hh_fec_in!F8)</f>
        <v>2.2651177440769077</v>
      </c>
      <c r="G8" s="136">
        <f>IF(SER_hh_tes_in!G8=0,"",SER_hh_tes_in!G8/SER_hh_fec_in!G8)</f>
        <v>2.3683614148236947</v>
      </c>
      <c r="H8" s="136">
        <f>IF(SER_hh_tes_in!H8=0,"",SER_hh_tes_in!H8/SER_hh_fec_in!H8)</f>
        <v>2.4728279676416549</v>
      </c>
      <c r="I8" s="136">
        <f>IF(SER_hh_tes_in!I8=0,"",SER_hh_tes_in!I8/SER_hh_fec_in!I8)</f>
        <v>2.5787755162172119</v>
      </c>
      <c r="J8" s="136">
        <f>IF(SER_hh_tes_in!J8=0,"",SER_hh_tes_in!J8/SER_hh_fec_in!J8)</f>
        <v>2.6872140190559572</v>
      </c>
      <c r="K8" s="136">
        <f>IF(SER_hh_tes_in!K8=0,"",SER_hh_tes_in!K8/SER_hh_fec_in!K8)</f>
        <v>2.7990090597614268</v>
      </c>
      <c r="L8" s="136">
        <f>IF(SER_hh_tes_in!L8=0,"",SER_hh_tes_in!L8/SER_hh_fec_in!L8)</f>
        <v>2.9144098779922327</v>
      </c>
      <c r="M8" s="136">
        <f>IF(SER_hh_tes_in!M8=0,"",SER_hh_tes_in!M8/SER_hh_fec_in!M8)</f>
        <v>3.057661686505766</v>
      </c>
      <c r="N8" s="136">
        <f>IF(SER_hh_tes_in!N8=0,"",SER_hh_tes_in!N8/SER_hh_fec_in!N8)</f>
        <v>3.237082707137656</v>
      </c>
      <c r="O8" s="136">
        <f>IF(SER_hh_tes_in!O8=0,"",SER_hh_tes_in!O8/SER_hh_fec_in!O8)</f>
        <v>3.4558744235052141</v>
      </c>
      <c r="P8" s="136">
        <f>IF(SER_hh_tes_in!P8=0,"",SER_hh_tes_in!P8/SER_hh_fec_in!P8)</f>
        <v>3.6917531881880752</v>
      </c>
      <c r="Q8" s="136">
        <f>IF(SER_hh_tes_in!Q8=0,"",SER_hh_tes_in!Q8/SER_hh_fec_in!Q8)</f>
        <v>3.8764809231964188</v>
      </c>
      <c r="R8" s="136">
        <f>IF(SER_hh_tes_in!R8=0,"",SER_hh_tes_in!R8/SER_hh_fec_in!R8)</f>
        <v>4.0494337938048348</v>
      </c>
      <c r="S8" s="136">
        <f>IF(SER_hh_tes_in!S8=0,"",SER_hh_tes_in!S8/SER_hh_fec_in!S8)</f>
        <v>4.1623477361037313</v>
      </c>
      <c r="T8" s="136">
        <f>IF(SER_hh_tes_in!T8=0,"",SER_hh_tes_in!T8/SER_hh_fec_in!T8)</f>
        <v>4.2339868013154733</v>
      </c>
      <c r="U8" s="136">
        <f>IF(SER_hh_tes_in!U8=0,"",SER_hh_tes_in!U8/SER_hh_fec_in!U8)</f>
        <v>4.2832677246961604</v>
      </c>
      <c r="V8" s="136">
        <f>IF(SER_hh_tes_in!V8=0,"",SER_hh_tes_in!V8/SER_hh_fec_in!V8)</f>
        <v>4.3285384453899445</v>
      </c>
      <c r="W8" s="136">
        <f>IF(SER_hh_tes_in!W8=0,"",SER_hh_tes_in!W8/SER_hh_fec_in!W8)</f>
        <v>4.3727067982264467</v>
      </c>
      <c r="X8" s="136">
        <f>IF(SER_hh_tes_in!X8=0,"",SER_hh_tes_in!X8/SER_hh_fec_in!X8)</f>
        <v>4.4084988036877437</v>
      </c>
      <c r="Y8" s="136">
        <f>IF(SER_hh_tes_in!Y8=0,"",SER_hh_tes_in!Y8/SER_hh_fec_in!Y8)</f>
        <v>4.4389204027531601</v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0.590811907627801</v>
      </c>
      <c r="D9" s="136">
        <f>IF(SER_hh_tes_in!D9=0,"",SER_hh_tes_in!D9/SER_hh_fec_in!D9)</f>
        <v>0.5958170686773081</v>
      </c>
      <c r="E9" s="136">
        <f>IF(SER_hh_tes_in!E9=0,"",SER_hh_tes_in!E9/SER_hh_fec_in!E9)</f>
        <v>0.60113711504891554</v>
      </c>
      <c r="F9" s="136" t="str">
        <f>IF(SER_hh_tes_in!F9=0,"",SER_hh_tes_in!F9/SER_hh_fec_in!F9)</f>
        <v/>
      </c>
      <c r="G9" s="136" t="str">
        <f>IF(SER_hh_tes_in!G9=0,"",SER_hh_tes_in!G9/SER_hh_fec_in!G9)</f>
        <v/>
      </c>
      <c r="H9" s="136">
        <f>IF(SER_hh_tes_in!H9=0,"",SER_hh_tes_in!H9/SER_hh_fec_in!H9)</f>
        <v>0.61784615620910988</v>
      </c>
      <c r="I9" s="136">
        <f>IF(SER_hh_tes_in!I9=0,"",SER_hh_tes_in!I9/SER_hh_fec_in!I9)</f>
        <v>0.6239881749874977</v>
      </c>
      <c r="J9" s="136">
        <f>IF(SER_hh_tes_in!J9=0,"",SER_hh_tes_in!J9/SER_hh_fec_in!J9)</f>
        <v>0.6307473381631441</v>
      </c>
      <c r="K9" s="136">
        <f>IF(SER_hh_tes_in!K9=0,"",SER_hh_tes_in!K9/SER_hh_fec_in!K9)</f>
        <v>0.63837718440130997</v>
      </c>
      <c r="L9" s="136">
        <f>IF(SER_hh_tes_in!L9=0,"",SER_hh_tes_in!L9/SER_hh_fec_in!L9)</f>
        <v>0.64694101254026959</v>
      </c>
      <c r="M9" s="136">
        <f>IF(SER_hh_tes_in!M9=0,"",SER_hh_tes_in!M9/SER_hh_fec_in!M9)</f>
        <v>0.66278134839998804</v>
      </c>
      <c r="N9" s="136">
        <f>IF(SER_hh_tes_in!N9=0,"",SER_hh_tes_in!N9/SER_hh_fec_in!N9)</f>
        <v>0.68787060298718039</v>
      </c>
      <c r="O9" s="136">
        <f>IF(SER_hh_tes_in!O9=0,"",SER_hh_tes_in!O9/SER_hh_fec_in!O9)</f>
        <v>0.72352063639334419</v>
      </c>
      <c r="P9" s="136">
        <f>IF(SER_hh_tes_in!P9=0,"",SER_hh_tes_in!P9/SER_hh_fec_in!P9)</f>
        <v>0.7655028305880931</v>
      </c>
      <c r="Q9" s="136">
        <f>IF(SER_hh_tes_in!Q9=0,"",SER_hh_tes_in!Q9/SER_hh_fec_in!Q9)</f>
        <v>0.80088808333377415</v>
      </c>
      <c r="R9" s="136">
        <f>IF(SER_hh_tes_in!R9=0,"",SER_hh_tes_in!R9/SER_hh_fec_in!R9)</f>
        <v>0.81882578693783981</v>
      </c>
      <c r="S9" s="136">
        <f>IF(SER_hh_tes_in!S9=0,"",SER_hh_tes_in!S9/SER_hh_fec_in!S9)</f>
        <v>0.83253006191752532</v>
      </c>
      <c r="T9" s="136">
        <f>IF(SER_hh_tes_in!T9=0,"",SER_hh_tes_in!T9/SER_hh_fec_in!T9)</f>
        <v>0.84364186846675093</v>
      </c>
      <c r="U9" s="136">
        <f>IF(SER_hh_tes_in!U9=0,"",SER_hh_tes_in!U9/SER_hh_fec_in!U9)</f>
        <v>0.85329419430394671</v>
      </c>
      <c r="V9" s="136">
        <f>IF(SER_hh_tes_in!V9=0,"",SER_hh_tes_in!V9/SER_hh_fec_in!V9)</f>
        <v>0.8620465651619833</v>
      </c>
      <c r="W9" s="136">
        <f>IF(SER_hh_tes_in!W9=0,"",SER_hh_tes_in!W9/SER_hh_fec_in!W9)</f>
        <v>0.86855647021719695</v>
      </c>
      <c r="X9" s="136">
        <f>IF(SER_hh_tes_in!X9=0,"",SER_hh_tes_in!X9/SER_hh_fec_in!X9)</f>
        <v>0.87158838069264599</v>
      </c>
      <c r="Y9" s="136">
        <f>IF(SER_hh_tes_in!Y9=0,"",SER_hh_tes_in!Y9/SER_hh_fec_in!Y9)</f>
        <v>0.87365799969444258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0.43443929200123932</v>
      </c>
      <c r="D10" s="136">
        <f>IF(SER_hh_tes_in!D10=0,"",SER_hh_tes_in!D10/SER_hh_fec_in!D10)</f>
        <v>0.44332333100932814</v>
      </c>
      <c r="E10" s="136">
        <f>IF(SER_hh_tes_in!E10=0,"",SER_hh_tes_in!E10/SER_hh_fec_in!E10)</f>
        <v>0.45229194502474795</v>
      </c>
      <c r="F10" s="136">
        <f>IF(SER_hh_tes_in!F10=0,"",SER_hh_tes_in!F10/SER_hh_fec_in!F10)</f>
        <v>0.46133636229558117</v>
      </c>
      <c r="G10" s="136">
        <f>IF(SER_hh_tes_in!G10=0,"",SER_hh_tes_in!G10/SER_hh_fec_in!G10)</f>
        <v>0.47044765912886205</v>
      </c>
      <c r="H10" s="136">
        <f>IF(SER_hh_tes_in!H10=0,"",SER_hh_tes_in!H10/SER_hh_fec_in!H10)</f>
        <v>0.47961532655012373</v>
      </c>
      <c r="I10" s="136" t="str">
        <f>IF(SER_hh_tes_in!I10=0,"",SER_hh_tes_in!I10/SER_hh_fec_in!I10)</f>
        <v/>
      </c>
      <c r="J10" s="136" t="str">
        <f>IF(SER_hh_tes_in!J10=0,"",SER_hh_tes_in!J10/SER_hh_fec_in!J10)</f>
        <v/>
      </c>
      <c r="K10" s="136">
        <f>IF(SER_hh_tes_in!K10=0,"",SER_hh_tes_in!K10/SER_hh_fec_in!K10)</f>
        <v>0.50724394687288377</v>
      </c>
      <c r="L10" s="136">
        <f>IF(SER_hh_tes_in!L10=0,"",SER_hh_tes_in!L10/SER_hh_fec_in!L10)</f>
        <v>0.51637747674341783</v>
      </c>
      <c r="M10" s="136">
        <f>IF(SER_hh_tes_in!M10=0,"",SER_hh_tes_in!M10/SER_hh_fec_in!M10)</f>
        <v>0.52476737521120898</v>
      </c>
      <c r="N10" s="136">
        <f>IF(SER_hh_tes_in!N10=0,"",SER_hh_tes_in!N10/SER_hh_fec_in!N10)</f>
        <v>0.53204076307595338</v>
      </c>
      <c r="O10" s="136">
        <f>IF(SER_hh_tes_in!O10=0,"",SER_hh_tes_in!O10/SER_hh_fec_in!O10)</f>
        <v>0.53798228221607403</v>
      </c>
      <c r="P10" s="136">
        <f>IF(SER_hh_tes_in!P10=0,"",SER_hh_tes_in!P10/SER_hh_fec_in!P10)</f>
        <v>0.5431066470541801</v>
      </c>
      <c r="Q10" s="136">
        <f>IF(SER_hh_tes_in!Q10=0,"",SER_hh_tes_in!Q10/SER_hh_fec_in!Q10)</f>
        <v>0.54922097237962997</v>
      </c>
      <c r="R10" s="136">
        <f>IF(SER_hh_tes_in!R10=0,"",SER_hh_tes_in!R10/SER_hh_fec_in!R10)</f>
        <v>0.55837944097059944</v>
      </c>
      <c r="S10" s="136">
        <f>IF(SER_hh_tes_in!S10=0,"",SER_hh_tes_in!S10/SER_hh_fec_in!S10)</f>
        <v>0.56868718796701034</v>
      </c>
      <c r="T10" s="136">
        <f>IF(SER_hh_tes_in!T10=0,"",SER_hh_tes_in!T10/SER_hh_fec_in!T10)</f>
        <v>0.5790844108715314</v>
      </c>
      <c r="U10" s="136">
        <f>IF(SER_hh_tes_in!U10=0,"",SER_hh_tes_in!U10/SER_hh_fec_in!U10)</f>
        <v>0.58868883474280553</v>
      </c>
      <c r="V10" s="136">
        <f>IF(SER_hh_tes_in!V10=0,"",SER_hh_tes_in!V10/SER_hh_fec_in!V10)</f>
        <v>0.59674524039107024</v>
      </c>
      <c r="W10" s="136">
        <f>IF(SER_hh_tes_in!W10=0,"",SER_hh_tes_in!W10/SER_hh_fec_in!W10)</f>
        <v>0.60321716164183614</v>
      </c>
      <c r="X10" s="136">
        <f>IF(SER_hh_tes_in!X10=0,"",SER_hh_tes_in!X10/SER_hh_fec_in!X10)</f>
        <v>0.60901793720635455</v>
      </c>
      <c r="Y10" s="136">
        <f>IF(SER_hh_tes_in!Y10=0,"",SER_hh_tes_in!Y10/SER_hh_fec_in!Y10)</f>
        <v>0.61448460840113539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 t="str">
        <f>IF(SER_hh_tes_in!J11=0,"",SER_hh_tes_in!J11/SER_hh_fec_in!J11)</f>
        <v/>
      </c>
      <c r="K11" s="136" t="str">
        <f>IF(SER_hh_tes_in!K11=0,"",SER_hh_tes_in!K11/SER_hh_fec_in!K11)</f>
        <v/>
      </c>
      <c r="L11" s="136" t="str">
        <f>IF(SER_hh_tes_in!L11=0,"",SER_hh_tes_in!L11/SER_hh_fec_in!L11)</f>
        <v/>
      </c>
      <c r="M11" s="136" t="str">
        <f>IF(SER_hh_tes_in!M11=0,"",SER_hh_tes_in!M11/SER_hh_fec_in!M11)</f>
        <v/>
      </c>
      <c r="N11" s="136" t="str">
        <f>IF(SER_hh_tes_in!N11=0,"",SER_hh_tes_in!N11/SER_hh_fec_in!N11)</f>
        <v/>
      </c>
      <c r="O11" s="136" t="str">
        <f>IF(SER_hh_tes_in!O11=0,"",SER_hh_tes_in!O11/SER_hh_fec_in!O11)</f>
        <v/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0.87728271104042743</v>
      </c>
      <c r="D12" s="136">
        <f>IF(SER_hh_tes_in!D12=0,"",SER_hh_tes_in!D12/SER_hh_fec_in!D12)</f>
        <v>0.87914105469862835</v>
      </c>
      <c r="E12" s="136">
        <f>IF(SER_hh_tes_in!E12=0,"",SER_hh_tes_in!E12/SER_hh_fec_in!E12)</f>
        <v>0.88104956878734109</v>
      </c>
      <c r="F12" s="136">
        <f>IF(SER_hh_tes_in!F12=0,"",SER_hh_tes_in!F12/SER_hh_fec_in!F12)</f>
        <v>0.88296492429839635</v>
      </c>
      <c r="G12" s="136">
        <f>IF(SER_hh_tes_in!G12=0,"",SER_hh_tes_in!G12/SER_hh_fec_in!G12)</f>
        <v>0.88492648382497674</v>
      </c>
      <c r="H12" s="136">
        <f>IF(SER_hh_tes_in!H12=0,"",SER_hh_tes_in!H12/SER_hh_fec_in!H12)</f>
        <v>0.88692942988679058</v>
      </c>
      <c r="I12" s="136">
        <f>IF(SER_hh_tes_in!I12=0,"",SER_hh_tes_in!I12/SER_hh_fec_in!I12)</f>
        <v>0.88898346142794804</v>
      </c>
      <c r="J12" s="136" t="str">
        <f>IF(SER_hh_tes_in!J12=0,"",SER_hh_tes_in!J12/SER_hh_fec_in!J12)</f>
        <v/>
      </c>
      <c r="K12" s="136" t="str">
        <f>IF(SER_hh_tes_in!K12=0,"",SER_hh_tes_in!K12/SER_hh_fec_in!K12)</f>
        <v/>
      </c>
      <c r="L12" s="136">
        <f>IF(SER_hh_tes_in!L12=0,"",SER_hh_tes_in!L12/SER_hh_fec_in!L12)</f>
        <v>0.89580085722413993</v>
      </c>
      <c r="M12" s="136">
        <f>IF(SER_hh_tes_in!M12=0,"",SER_hh_tes_in!M12/SER_hh_fec_in!M12)</f>
        <v>0.89912823975710077</v>
      </c>
      <c r="N12" s="136">
        <f>IF(SER_hh_tes_in!N12=0,"",SER_hh_tes_in!N12/SER_hh_fec_in!N12)</f>
        <v>0.90362989487169687</v>
      </c>
      <c r="O12" s="136">
        <f>IF(SER_hh_tes_in!O12=0,"",SER_hh_tes_in!O12/SER_hh_fec_in!O12)</f>
        <v>0.90952496325753529</v>
      </c>
      <c r="P12" s="136">
        <f>IF(SER_hh_tes_in!P12=0,"",SER_hh_tes_in!P12/SER_hh_fec_in!P12)</f>
        <v>0.91639651368586517</v>
      </c>
      <c r="Q12" s="136">
        <f>IF(SER_hh_tes_in!Q12=0,"",SER_hh_tes_in!Q12/SER_hh_fec_in!Q12)</f>
        <v>0.92287966385341269</v>
      </c>
      <c r="R12" s="136">
        <f>IF(SER_hh_tes_in!R12=0,"",SER_hh_tes_in!R12/SER_hh_fec_in!R12)</f>
        <v>0.92784748544604378</v>
      </c>
      <c r="S12" s="136">
        <f>IF(SER_hh_tes_in!S12=0,"",SER_hh_tes_in!S12/SER_hh_fec_in!S12)</f>
        <v>0.93268034539336031</v>
      </c>
      <c r="T12" s="136">
        <f>IF(SER_hh_tes_in!T12=0,"",SER_hh_tes_in!T12/SER_hh_fec_in!T12)</f>
        <v>0.93734595259740683</v>
      </c>
      <c r="U12" s="136">
        <f>IF(SER_hh_tes_in!U12=0,"",SER_hh_tes_in!U12/SER_hh_fec_in!U12)</f>
        <v>0.94181201596024211</v>
      </c>
      <c r="V12" s="136">
        <f>IF(SER_hh_tes_in!V12=0,"",SER_hh_tes_in!V12/SER_hh_fec_in!V12)</f>
        <v>0.94604624438391971</v>
      </c>
      <c r="W12" s="136">
        <f>IF(SER_hh_tes_in!W12=0,"",SER_hh_tes_in!W12/SER_hh_fec_in!W12)</f>
        <v>0.94994678488916851</v>
      </c>
      <c r="X12" s="136">
        <f>IF(SER_hh_tes_in!X12=0,"",SER_hh_tes_in!X12/SER_hh_fec_in!X12)</f>
        <v>0.95234174100797908</v>
      </c>
      <c r="Y12" s="136">
        <f>IF(SER_hh_tes_in!Y12=0,"",SER_hh_tes_in!Y12/SER_hh_fec_in!Y12)</f>
        <v>0.95464316326263643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1.7603510068430588</v>
      </c>
      <c r="D13" s="136">
        <f>IF(SER_hh_tes_in!D13=0,"",SER_hh_tes_in!D13/SER_hh_fec_in!D13)</f>
        <v>1.8586142067700011</v>
      </c>
      <c r="E13" s="136">
        <f>IF(SER_hh_tes_in!E13=0,"",SER_hh_tes_in!E13/SER_hh_fec_in!E13)</f>
        <v>1.9585317971523668</v>
      </c>
      <c r="F13" s="136">
        <f>IF(SER_hh_tes_in!F13=0,"",SER_hh_tes_in!F13/SER_hh_fec_in!F13)</f>
        <v>2.0591404983724808</v>
      </c>
      <c r="G13" s="136">
        <f>IF(SER_hh_tes_in!G13=0,"",SER_hh_tes_in!G13/SER_hh_fec_in!G13)</f>
        <v>2.1613179814800274</v>
      </c>
      <c r="H13" s="136">
        <f>IF(SER_hh_tes_in!H13=0,"",SER_hh_tes_in!H13/SER_hh_fec_in!H13)</f>
        <v>2.2649586638595238</v>
      </c>
      <c r="I13" s="136">
        <f>IF(SER_hh_tes_in!I13=0,"",SER_hh_tes_in!I13/SER_hh_fec_in!I13)</f>
        <v>2.3702807232993646</v>
      </c>
      <c r="J13" s="136">
        <f>IF(SER_hh_tes_in!J13=0,"",SER_hh_tes_in!J13/SER_hh_fec_in!J13)</f>
        <v>2.4781737029211208</v>
      </c>
      <c r="K13" s="136">
        <f>IF(SER_hh_tes_in!K13=0,"",SER_hh_tes_in!K13/SER_hh_fec_in!K13)</f>
        <v>2.5893966992701989</v>
      </c>
      <c r="L13" s="136">
        <f>IF(SER_hh_tes_in!L13=0,"",SER_hh_tes_in!L13/SER_hh_fec_in!L13)</f>
        <v>2.7041578101580894</v>
      </c>
      <c r="M13" s="136">
        <f>IF(SER_hh_tes_in!M13=0,"",SER_hh_tes_in!M13/SER_hh_fec_in!M13)</f>
        <v>2.8444868961873437</v>
      </c>
      <c r="N13" s="136">
        <f>IF(SER_hh_tes_in!N13=0,"",SER_hh_tes_in!N13/SER_hh_fec_in!N13)</f>
        <v>3.0179807193367347</v>
      </c>
      <c r="O13" s="136">
        <f>IF(SER_hh_tes_in!O13=0,"",SER_hh_tes_in!O13/SER_hh_fec_in!O13)</f>
        <v>3.2272491760427422</v>
      </c>
      <c r="P13" s="136">
        <f>IF(SER_hh_tes_in!P13=0,"",SER_hh_tes_in!P13/SER_hh_fec_in!P13)</f>
        <v>3.4511914028835147</v>
      </c>
      <c r="Q13" s="136">
        <f>IF(SER_hh_tes_in!Q13=0,"",SER_hh_tes_in!Q13/SER_hh_fec_in!Q13)</f>
        <v>3.6253441117750187</v>
      </c>
      <c r="R13" s="136">
        <f>IF(SER_hh_tes_in!R13=0,"",SER_hh_tes_in!R13/SER_hh_fec_in!R13)</f>
        <v>3.7960423162386734</v>
      </c>
      <c r="S13" s="136">
        <f>IF(SER_hh_tes_in!S13=0,"",SER_hh_tes_in!S13/SER_hh_fec_in!S13)</f>
        <v>3.9065924926842195</v>
      </c>
      <c r="T13" s="136">
        <f>IF(SER_hh_tes_in!T13=0,"",SER_hh_tes_in!T13/SER_hh_fec_in!T13)</f>
        <v>3.9755070087605646</v>
      </c>
      <c r="U13" s="136">
        <f>IF(SER_hh_tes_in!U13=0,"",SER_hh_tes_in!U13/SER_hh_fec_in!U13)</f>
        <v>4.0218668993342348</v>
      </c>
      <c r="V13" s="136">
        <f>IF(SER_hh_tes_in!V13=0,"",SER_hh_tes_in!V13/SER_hh_fec_in!V13)</f>
        <v>4.0645142675517238</v>
      </c>
      <c r="W13" s="136">
        <f>IF(SER_hh_tes_in!W13=0,"",SER_hh_tes_in!W13/SER_hh_fec_in!W13)</f>
        <v>4.1071863339972285</v>
      </c>
      <c r="X13" s="136">
        <f>IF(SER_hh_tes_in!X13=0,"",SER_hh_tes_in!X13/SER_hh_fec_in!X13)</f>
        <v>4.1429473570984703</v>
      </c>
      <c r="Y13" s="136">
        <f>IF(SER_hh_tes_in!Y13=0,"",SER_hh_tes_in!Y13/SER_hh_fec_in!Y13)</f>
        <v>4.1736199767642743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0.79507389113147187</v>
      </c>
      <c r="D14" s="137">
        <f>IF(SER_hh_tes_in!D14=0,"",SER_hh_tes_in!D14/SER_hh_fec_in!D14)</f>
        <v>0.79849549016816357</v>
      </c>
      <c r="E14" s="137">
        <f>IF(SER_hh_tes_in!E14=0,"",SER_hh_tes_in!E14/SER_hh_fec_in!E14)</f>
        <v>0.80190755893857901</v>
      </c>
      <c r="F14" s="137">
        <f>IF(SER_hh_tes_in!F14=0,"",SER_hh_tes_in!F14/SER_hh_fec_in!F14)</f>
        <v>0.80531799591429332</v>
      </c>
      <c r="G14" s="137">
        <f>IF(SER_hh_tes_in!G14=0,"",SER_hh_tes_in!G14/SER_hh_fec_in!G14)</f>
        <v>0.80871966237072446</v>
      </c>
      <c r="H14" s="137">
        <f>IF(SER_hh_tes_in!H14=0,"",SER_hh_tes_in!H14/SER_hh_fec_in!H14)</f>
        <v>0.81211345902849863</v>
      </c>
      <c r="I14" s="137">
        <f>IF(SER_hh_tes_in!I14=0,"",SER_hh_tes_in!I14/SER_hh_fec_in!I14)</f>
        <v>0.81549765616807401</v>
      </c>
      <c r="J14" s="137" t="str">
        <f>IF(SER_hh_tes_in!J14=0,"",SER_hh_tes_in!J14/SER_hh_fec_in!J14)</f>
        <v/>
      </c>
      <c r="K14" s="137">
        <f>IF(SER_hh_tes_in!K14=0,"",SER_hh_tes_in!K14/SER_hh_fec_in!K14)</f>
        <v>0.82220977362206515</v>
      </c>
      <c r="L14" s="137" t="str">
        <f>IF(SER_hh_tes_in!L14=0,"",SER_hh_tes_in!L14/SER_hh_fec_in!L14)</f>
        <v/>
      </c>
      <c r="M14" s="137">
        <f>IF(SER_hh_tes_in!M14=0,"",SER_hh_tes_in!M14/SER_hh_fec_in!M14)</f>
        <v>0.82821531917989755</v>
      </c>
      <c r="N14" s="137">
        <f>IF(SER_hh_tes_in!N14=0,"",SER_hh_tes_in!N14/SER_hh_fec_in!N14)</f>
        <v>0.83004460894849141</v>
      </c>
      <c r="O14" s="137">
        <f>IF(SER_hh_tes_in!O14=0,"",SER_hh_tes_in!O14/SER_hh_fec_in!O14)</f>
        <v>0.83130988460526456</v>
      </c>
      <c r="P14" s="137">
        <f>IF(SER_hh_tes_in!P14=0,"",SER_hh_tes_in!P14/SER_hh_fec_in!P14)</f>
        <v>0.83329142594628347</v>
      </c>
      <c r="Q14" s="137">
        <f>IF(SER_hh_tes_in!Q14=0,"",SER_hh_tes_in!Q14/SER_hh_fec_in!Q14)</f>
        <v>0.83946687033080747</v>
      </c>
      <c r="R14" s="137">
        <f>IF(SER_hh_tes_in!R14=0,"",SER_hh_tes_in!R14/SER_hh_fec_in!R14)</f>
        <v>0.85393044190245004</v>
      </c>
      <c r="S14" s="137">
        <f>IF(SER_hh_tes_in!S14=0,"",SER_hh_tes_in!S14/SER_hh_fec_in!S14)</f>
        <v>0.87341566201117926</v>
      </c>
      <c r="T14" s="137">
        <f>IF(SER_hh_tes_in!T14=0,"",SER_hh_tes_in!T14/SER_hh_fec_in!T14)</f>
        <v>0.89524503889547458</v>
      </c>
      <c r="U14" s="137">
        <f>IF(SER_hh_tes_in!U14=0,"",SER_hh_tes_in!U14/SER_hh_fec_in!U14)</f>
        <v>0.9167656495058577</v>
      </c>
      <c r="V14" s="137">
        <f>IF(SER_hh_tes_in!V14=0,"",SER_hh_tes_in!V14/SER_hh_fec_in!V14)</f>
        <v>0.93532195865047141</v>
      </c>
      <c r="W14" s="137">
        <f>IF(SER_hh_tes_in!W14=0,"",SER_hh_tes_in!W14/SER_hh_fec_in!W14)</f>
        <v>0.95038874666320361</v>
      </c>
      <c r="X14" s="137">
        <f>IF(SER_hh_tes_in!X14=0,"",SER_hh_tes_in!X14/SER_hh_fec_in!X14)</f>
        <v>0.9578516524254248</v>
      </c>
      <c r="Y14" s="137">
        <f>IF(SER_hh_tes_in!Y14=0,"",SER_hh_tes_in!Y14/SER_hh_fec_in!Y14)</f>
        <v>0.96489087225139036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2.670404032370941</v>
      </c>
      <c r="D16" s="135">
        <f>IF(SER_hh_tes_in!D16=0,"",SER_hh_tes_in!D16/SER_hh_fec_in!D16)</f>
        <v>2.7893509024774561</v>
      </c>
      <c r="E16" s="135">
        <f>IF(SER_hh_tes_in!E16=0,"",SER_hh_tes_in!E16/SER_hh_fec_in!E16)</f>
        <v>2.9141944318912105</v>
      </c>
      <c r="F16" s="135">
        <f>IF(SER_hh_tes_in!F16=0,"",SER_hh_tes_in!F16/SER_hh_fec_in!F16)</f>
        <v>3.0269439705509686</v>
      </c>
      <c r="G16" s="135">
        <f>IF(SER_hh_tes_in!G16=0,"",SER_hh_tes_in!G16/SER_hh_fec_in!G16)</f>
        <v>3.1530247648082423</v>
      </c>
      <c r="H16" s="135">
        <f>IF(SER_hh_tes_in!H16=0,"",SER_hh_tes_in!H16/SER_hh_fec_in!H16)</f>
        <v>3.2832248718015813</v>
      </c>
      <c r="I16" s="135">
        <f>IF(SER_hh_tes_in!I16=0,"",SER_hh_tes_in!I16/SER_hh_fec_in!I16)</f>
        <v>3.399937186850821</v>
      </c>
      <c r="J16" s="135">
        <f>IF(SER_hh_tes_in!J16=0,"",SER_hh_tes_in!J16/SER_hh_fec_in!J16)</f>
        <v>3.5270672612075016</v>
      </c>
      <c r="K16" s="135">
        <f>IF(SER_hh_tes_in!K16=0,"",SER_hh_tes_in!K16/SER_hh_fec_in!K16)</f>
        <v>3.6588975197778786</v>
      </c>
      <c r="L16" s="135">
        <f>IF(SER_hh_tes_in!L16=0,"",SER_hh_tes_in!L16/SER_hh_fec_in!L16)</f>
        <v>3.8038948822363059</v>
      </c>
      <c r="M16" s="135">
        <f>IF(SER_hh_tes_in!M16=0,"",SER_hh_tes_in!M16/SER_hh_fec_in!M16)</f>
        <v>3.95062321168855</v>
      </c>
      <c r="N16" s="135">
        <f>IF(SER_hh_tes_in!N16=0,"",SER_hh_tes_in!N16/SER_hh_fec_in!N16)</f>
        <v>4.1272220709217331</v>
      </c>
      <c r="O16" s="135">
        <f>IF(SER_hh_tes_in!O16=0,"",SER_hh_tes_in!O16/SER_hh_fec_in!O16)</f>
        <v>4.31765647888394</v>
      </c>
      <c r="P16" s="135">
        <f>IF(SER_hh_tes_in!P16=0,"",SER_hh_tes_in!P16/SER_hh_fec_in!P16)</f>
        <v>4.4950795982993146</v>
      </c>
      <c r="Q16" s="135">
        <f>IF(SER_hh_tes_in!Q16=0,"",SER_hh_tes_in!Q16/SER_hh_fec_in!Q16)</f>
        <v>4.6171782287083687</v>
      </c>
      <c r="R16" s="135">
        <f>IF(SER_hh_tes_in!R16=0,"",SER_hh_tes_in!R16/SER_hh_fec_in!R16)</f>
        <v>4.7920461630349598</v>
      </c>
      <c r="S16" s="135">
        <f>IF(SER_hh_tes_in!S16=0,"",SER_hh_tes_in!S16/SER_hh_fec_in!S16)</f>
        <v>4.8880490335809714</v>
      </c>
      <c r="T16" s="135">
        <f>IF(SER_hh_tes_in!T16=0,"",SER_hh_tes_in!T16/SER_hh_fec_in!T16)</f>
        <v>4.8978253483221525</v>
      </c>
      <c r="U16" s="135">
        <f>IF(SER_hh_tes_in!U16=0,"",SER_hh_tes_in!U16/SER_hh_fec_in!U16)</f>
        <v>4.9148530450387771</v>
      </c>
      <c r="V16" s="135">
        <f>IF(SER_hh_tes_in!V16=0,"",SER_hh_tes_in!V16/SER_hh_fec_in!V16)</f>
        <v>4.9868589267873284</v>
      </c>
      <c r="W16" s="135">
        <f>IF(SER_hh_tes_in!W16=0,"",SER_hh_tes_in!W16/SER_hh_fec_in!W16)</f>
        <v>5.0359952405045494</v>
      </c>
      <c r="X16" s="135">
        <f>IF(SER_hh_tes_in!X16=0,"",SER_hh_tes_in!X16/SER_hh_fec_in!X16)</f>
        <v>5.0555857679302196</v>
      </c>
      <c r="Y16" s="135">
        <f>IF(SER_hh_tes_in!Y16=0,"",SER_hh_tes_in!Y16/SER_hh_fec_in!Y16)</f>
        <v>5.0623160585427076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1.2649801103705121</v>
      </c>
      <c r="D17" s="136">
        <f>IF(SER_hh_tes_in!D17=0,"",SER_hh_tes_in!D17/SER_hh_fec_in!D17)</f>
        <v>1.2868019516520603</v>
      </c>
      <c r="E17" s="136">
        <f>IF(SER_hh_tes_in!E17=0,"",SER_hh_tes_in!E17/SER_hh_fec_in!E17)</f>
        <v>1.3082589827746383</v>
      </c>
      <c r="F17" s="136">
        <f>IF(SER_hh_tes_in!F17=0,"",SER_hh_tes_in!F17/SER_hh_fec_in!F17)</f>
        <v>1.3292023738098613</v>
      </c>
      <c r="G17" s="136">
        <f>IF(SER_hh_tes_in!G17=0,"",SER_hh_tes_in!G17/SER_hh_fec_in!G17)</f>
        <v>1.3498191335996577</v>
      </c>
      <c r="H17" s="136">
        <f>IF(SER_hh_tes_in!H17=0,"",SER_hh_tes_in!H17/SER_hh_fec_in!H17)</f>
        <v>1.3701145926859497</v>
      </c>
      <c r="I17" s="136">
        <f>IF(SER_hh_tes_in!I17=0,"",SER_hh_tes_in!I17/SER_hh_fec_in!I17)</f>
        <v>1.3901448959130904</v>
      </c>
      <c r="J17" s="136">
        <f>IF(SER_hh_tes_in!J17=0,"",SER_hh_tes_in!J17/SER_hh_fec_in!J17)</f>
        <v>1.4100662998612539</v>
      </c>
      <c r="K17" s="136">
        <f>IF(SER_hh_tes_in!K17=0,"",SER_hh_tes_in!K17/SER_hh_fec_in!K17)</f>
        <v>1.4300031695422613</v>
      </c>
      <c r="L17" s="136">
        <f>IF(SER_hh_tes_in!L17=0,"",SER_hh_tes_in!L17/SER_hh_fec_in!L17)</f>
        <v>1.449987035666666</v>
      </c>
      <c r="M17" s="136">
        <f>IF(SER_hh_tes_in!M17=0,"",SER_hh_tes_in!M17/SER_hh_fec_in!M17)</f>
        <v>1.4731416648054965</v>
      </c>
      <c r="N17" s="136">
        <f>IF(SER_hh_tes_in!N17=0,"",SER_hh_tes_in!N17/SER_hh_fec_in!N17)</f>
        <v>1.4994890211747103</v>
      </c>
      <c r="O17" s="136">
        <f>IF(SER_hh_tes_in!O17=0,"",SER_hh_tes_in!O17/SER_hh_fec_in!O17)</f>
        <v>1.5284962102624677</v>
      </c>
      <c r="P17" s="136">
        <f>IF(SER_hh_tes_in!P17=0,"",SER_hh_tes_in!P17/SER_hh_fec_in!P17)</f>
        <v>1.5571785704565697</v>
      </c>
      <c r="Q17" s="136">
        <f>IF(SER_hh_tes_in!Q17=0,"",SER_hh_tes_in!Q17/SER_hh_fec_in!Q17)</f>
        <v>1.578808581416536</v>
      </c>
      <c r="R17" s="136">
        <f>IF(SER_hh_tes_in!R17=0,"",SER_hh_tes_in!R17/SER_hh_fec_in!R17)</f>
        <v>1.6048649451353392</v>
      </c>
      <c r="S17" s="136">
        <f>IF(SER_hh_tes_in!S17=0,"",SER_hh_tes_in!S17/SER_hh_fec_in!S17)</f>
        <v>1.6370099882984366</v>
      </c>
      <c r="T17" s="136">
        <f>IF(SER_hh_tes_in!T17=0,"",SER_hh_tes_in!T17/SER_hh_fec_in!T17)</f>
        <v>1.6712774453396395</v>
      </c>
      <c r="U17" s="136">
        <f>IF(SER_hh_tes_in!U17=0,"",SER_hh_tes_in!U17/SER_hh_fec_in!U17)</f>
        <v>1.7026252737792009</v>
      </c>
      <c r="V17" s="136">
        <f>IF(SER_hh_tes_in!V17=0,"",SER_hh_tes_in!V17/SER_hh_fec_in!V17)</f>
        <v>1.7310775827781961</v>
      </c>
      <c r="W17" s="136">
        <f>IF(SER_hh_tes_in!W17=0,"",SER_hh_tes_in!W17/SER_hh_fec_in!W17)</f>
        <v>1.7532443295372615</v>
      </c>
      <c r="X17" s="136">
        <f>IF(SER_hh_tes_in!X17=0,"",SER_hh_tes_in!X17/SER_hh_fec_in!X17)</f>
        <v>1.7616557943738014</v>
      </c>
      <c r="Y17" s="136">
        <f>IF(SER_hh_tes_in!Y17=0,"",SER_hh_tes_in!Y17/SER_hh_fec_in!Y17)</f>
        <v>1.7630232289115273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2.6735059006422892</v>
      </c>
      <c r="D18" s="136">
        <f>IF(SER_hh_tes_in!D18=0,"",SER_hh_tes_in!D18/SER_hh_fec_in!D18)</f>
        <v>2.7931700390636607</v>
      </c>
      <c r="E18" s="136">
        <f>IF(SER_hh_tes_in!E18=0,"",SER_hh_tes_in!E18/SER_hh_fec_in!E18)</f>
        <v>2.9146740735410006</v>
      </c>
      <c r="F18" s="136">
        <f>IF(SER_hh_tes_in!F18=0,"",SER_hh_tes_in!F18/SER_hh_fec_in!F18)</f>
        <v>3.0372001656063978</v>
      </c>
      <c r="G18" s="136">
        <f>IF(SER_hh_tes_in!G18=0,"",SER_hh_tes_in!G18/SER_hh_fec_in!G18)</f>
        <v>3.1614469283556237</v>
      </c>
      <c r="H18" s="136">
        <f>IF(SER_hh_tes_in!H18=0,"",SER_hh_tes_in!H18/SER_hh_fec_in!H18)</f>
        <v>3.2872997342019303</v>
      </c>
      <c r="I18" s="136">
        <f>IF(SER_hh_tes_in!I18=0,"",SER_hh_tes_in!I18/SER_hh_fec_in!I18)</f>
        <v>3.4149029149717474</v>
      </c>
      <c r="J18" s="136">
        <f>IF(SER_hh_tes_in!J18=0,"",SER_hh_tes_in!J18/SER_hh_fec_in!J18)</f>
        <v>3.5449162189305339</v>
      </c>
      <c r="K18" s="136">
        <f>IF(SER_hh_tes_in!K18=0,"",SER_hh_tes_in!K18/SER_hh_fec_in!K18)</f>
        <v>3.6778627413738763</v>
      </c>
      <c r="L18" s="136">
        <f>IF(SER_hh_tes_in!L18=0,"",SER_hh_tes_in!L18/SER_hh_fec_in!L18)</f>
        <v>3.8138107972580833</v>
      </c>
      <c r="M18" s="136">
        <f>IF(SER_hh_tes_in!M18=0,"",SER_hh_tes_in!M18/SER_hh_fec_in!M18)</f>
        <v>3.9695009863132649</v>
      </c>
      <c r="N18" s="136">
        <f>IF(SER_hh_tes_in!N18=0,"",SER_hh_tes_in!N18/SER_hh_fec_in!N18)</f>
        <v>4.1499236597723685</v>
      </c>
      <c r="O18" s="136">
        <f>IF(SER_hh_tes_in!O18=0,"",SER_hh_tes_in!O18/SER_hh_fec_in!O18)</f>
        <v>4.3547663461647925</v>
      </c>
      <c r="P18" s="136">
        <f>IF(SER_hh_tes_in!P18=0,"",SER_hh_tes_in!P18/SER_hh_fec_in!P18)</f>
        <v>4.5641385519027819</v>
      </c>
      <c r="Q18" s="136">
        <f>IF(SER_hh_tes_in!Q18=0,"",SER_hh_tes_in!Q18/SER_hh_fec_in!Q18)</f>
        <v>4.7248709901232777</v>
      </c>
      <c r="R18" s="136">
        <f>IF(SER_hh_tes_in!R18=0,"",SER_hh_tes_in!R18/SER_hh_fec_in!R18)</f>
        <v>4.8702913181968261</v>
      </c>
      <c r="S18" s="136">
        <f>IF(SER_hh_tes_in!S18=0,"",SER_hh_tes_in!S18/SER_hh_fec_in!S18)</f>
        <v>4.9446968870195747</v>
      </c>
      <c r="T18" s="136">
        <f>IF(SER_hh_tes_in!T18=0,"",SER_hh_tes_in!T18/SER_hh_fec_in!T18)</f>
        <v>4.9925998679502657</v>
      </c>
      <c r="U18" s="136">
        <f>IF(SER_hh_tes_in!U18=0,"",SER_hh_tes_in!U18/SER_hh_fec_in!U18)</f>
        <v>5.0266323657024081</v>
      </c>
      <c r="V18" s="136">
        <f>IF(SER_hh_tes_in!V18=0,"",SER_hh_tes_in!V18/SER_hh_fec_in!V18)</f>
        <v>5.0603956291745593</v>
      </c>
      <c r="W18" s="136">
        <f>IF(SER_hh_tes_in!W18=0,"",SER_hh_tes_in!W18/SER_hh_fec_in!W18)</f>
        <v>5.0954142045313056</v>
      </c>
      <c r="X18" s="136">
        <f>IF(SER_hh_tes_in!X18=0,"",SER_hh_tes_in!X18/SER_hh_fec_in!X18)</f>
        <v>5.1207072680391512</v>
      </c>
      <c r="Y18" s="136">
        <f>IF(SER_hh_tes_in!Y18=0,"",SER_hh_tes_in!Y18/SER_hh_fec_in!Y18)</f>
        <v>5.1427119622275228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0.65063973056820823</v>
      </c>
      <c r="D19" s="135">
        <f>IF(SER_hh_tes_in!D19=0,"",SER_hh_tes_in!D19/SER_hh_fec_in!D19)</f>
        <v>0.67450745429044268</v>
      </c>
      <c r="E19" s="135">
        <f>IF(SER_hh_tes_in!E19=0,"",SER_hh_tes_in!E19/SER_hh_fec_in!E19)</f>
        <v>0.66491979491264086</v>
      </c>
      <c r="F19" s="135">
        <f>IF(SER_hh_tes_in!F19=0,"",SER_hh_tes_in!F19/SER_hh_fec_in!F19)</f>
        <v>0.65118273885599853</v>
      </c>
      <c r="G19" s="135">
        <f>IF(SER_hh_tes_in!G19=0,"",SER_hh_tes_in!G19/SER_hh_fec_in!G19)</f>
        <v>0.66094705113618701</v>
      </c>
      <c r="H19" s="135">
        <f>IF(SER_hh_tes_in!H19=0,"",SER_hh_tes_in!H19/SER_hh_fec_in!H19)</f>
        <v>0.67329027750265447</v>
      </c>
      <c r="I19" s="135">
        <f>IF(SER_hh_tes_in!I19=0,"",SER_hh_tes_in!I19/SER_hh_fec_in!I19)</f>
        <v>0.68393937414573458</v>
      </c>
      <c r="J19" s="135">
        <f>IF(SER_hh_tes_in!J19=0,"",SER_hh_tes_in!J19/SER_hh_fec_in!J19)</f>
        <v>0.69385752305702886</v>
      </c>
      <c r="K19" s="135">
        <f>IF(SER_hh_tes_in!K19=0,"",SER_hh_tes_in!K19/SER_hh_fec_in!K19)</f>
        <v>0.7515505559580633</v>
      </c>
      <c r="L19" s="135">
        <f>IF(SER_hh_tes_in!L19=0,"",SER_hh_tes_in!L19/SER_hh_fec_in!L19)</f>
        <v>0.70105472809097602</v>
      </c>
      <c r="M19" s="135">
        <f>IF(SER_hh_tes_in!M19=0,"",SER_hh_tes_in!M19/SER_hh_fec_in!M19)</f>
        <v>0.7057061611982105</v>
      </c>
      <c r="N19" s="135">
        <f>IF(SER_hh_tes_in!N19=0,"",SER_hh_tes_in!N19/SER_hh_fec_in!N19)</f>
        <v>0.72219921682185595</v>
      </c>
      <c r="O19" s="135">
        <f>IF(SER_hh_tes_in!O19=0,"",SER_hh_tes_in!O19/SER_hh_fec_in!O19)</f>
        <v>0.74857364407435667</v>
      </c>
      <c r="P19" s="135">
        <f>IF(SER_hh_tes_in!P19=0,"",SER_hh_tes_in!P19/SER_hh_fec_in!P19)</f>
        <v>0.7953954792057546</v>
      </c>
      <c r="Q19" s="135">
        <f>IF(SER_hh_tes_in!Q19=0,"",SER_hh_tes_in!Q19/SER_hh_fec_in!Q19)</f>
        <v>0.82211653751209801</v>
      </c>
      <c r="R19" s="135">
        <f>IF(SER_hh_tes_in!R19=0,"",SER_hh_tes_in!R19/SER_hh_fec_in!R19)</f>
        <v>0.84428286855387857</v>
      </c>
      <c r="S19" s="135">
        <f>IF(SER_hh_tes_in!S19=0,"",SER_hh_tes_in!S19/SER_hh_fec_in!S19)</f>
        <v>0.8517512456167069</v>
      </c>
      <c r="T19" s="135">
        <f>IF(SER_hh_tes_in!T19=0,"",SER_hh_tes_in!T19/SER_hh_fec_in!T19)</f>
        <v>0.86571987459485267</v>
      </c>
      <c r="U19" s="135">
        <f>IF(SER_hh_tes_in!U19=0,"",SER_hh_tes_in!U19/SER_hh_fec_in!U19)</f>
        <v>0.87320360495053018</v>
      </c>
      <c r="V19" s="135">
        <f>IF(SER_hh_tes_in!V19=0,"",SER_hh_tes_in!V19/SER_hh_fec_in!V19)</f>
        <v>0.87826600812634537</v>
      </c>
      <c r="W19" s="135">
        <f>IF(SER_hh_tes_in!W19=0,"",SER_hh_tes_in!W19/SER_hh_fec_in!W19)</f>
        <v>0.89104573028852174</v>
      </c>
      <c r="X19" s="135">
        <f>IF(SER_hh_tes_in!X19=0,"",SER_hh_tes_in!X19/SER_hh_fec_in!X19)</f>
        <v>0.91769753870850612</v>
      </c>
      <c r="Y19" s="135">
        <f>IF(SER_hh_tes_in!Y19=0,"",SER_hh_tes_in!Y19/SER_hh_fec_in!Y19)</f>
        <v>0.92649680899387665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>
        <f>IF(SER_hh_tes_in!C21=0,"",SER_hh_tes_in!C21/SER_hh_fec_in!C21)</f>
        <v>0.61826489698249243</v>
      </c>
      <c r="D21" s="136">
        <f>IF(SER_hh_tes_in!D21=0,"",SER_hh_tes_in!D21/SER_hh_fec_in!D21)</f>
        <v>0.62033934603284135</v>
      </c>
      <c r="E21" s="136">
        <f>IF(SER_hh_tes_in!E21=0,"",SER_hh_tes_in!E21/SER_hh_fec_in!E21)</f>
        <v>0.62270215268283979</v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 t="str">
        <f>IF(SER_hh_tes_in!H21=0,"",SER_hh_tes_in!H21/SER_hh_fec_in!H21)</f>
        <v/>
      </c>
      <c r="I21" s="136" t="str">
        <f>IF(SER_hh_tes_in!I21=0,"",SER_hh_tes_in!I21/SER_hh_fec_in!I21)</f>
        <v/>
      </c>
      <c r="J21" s="136" t="str">
        <f>IF(SER_hh_tes_in!J21=0,"",SER_hh_tes_in!J21/SER_hh_fec_in!J21)</f>
        <v/>
      </c>
      <c r="K21" s="136" t="str">
        <f>IF(SER_hh_tes_in!K21=0,"",SER_hh_tes_in!K21/SER_hh_fec_in!K21)</f>
        <v/>
      </c>
      <c r="L21" s="136">
        <f>IF(SER_hh_tes_in!L21=0,"",SER_hh_tes_in!L21/SER_hh_fec_in!L21)</f>
        <v>0.6472406210616658</v>
      </c>
      <c r="M21" s="136">
        <f>IF(SER_hh_tes_in!M21=0,"",SER_hh_tes_in!M21/SER_hh_fec_in!M21)</f>
        <v>0.65785222045518021</v>
      </c>
      <c r="N21" s="136">
        <f>IF(SER_hh_tes_in!N21=0,"",SER_hh_tes_in!N21/SER_hh_fec_in!N21)</f>
        <v>0.67534425006184651</v>
      </c>
      <c r="O21" s="136">
        <f>IF(SER_hh_tes_in!O21=0,"",SER_hh_tes_in!O21/SER_hh_fec_in!O21)</f>
        <v>0.70091656457544682</v>
      </c>
      <c r="P21" s="136">
        <f>IF(SER_hh_tes_in!P21=0,"",SER_hh_tes_in!P21/SER_hh_fec_in!P21)</f>
        <v>0.73192575459577047</v>
      </c>
      <c r="Q21" s="136">
        <f>IF(SER_hh_tes_in!Q21=0,"",SER_hh_tes_in!Q21/SER_hh_fec_in!Q21)</f>
        <v>0.75984523796366266</v>
      </c>
      <c r="R21" s="136">
        <f>IF(SER_hh_tes_in!R21=0,"",SER_hh_tes_in!R21/SER_hh_fec_in!R21)</f>
        <v>0.77795878267581686</v>
      </c>
      <c r="S21" s="136">
        <f>IF(SER_hh_tes_in!S21=0,"",SER_hh_tes_in!S21/SER_hh_fec_in!S21)</f>
        <v>0.79482421911552836</v>
      </c>
      <c r="T21" s="136">
        <f>IF(SER_hh_tes_in!T21=0,"",SER_hh_tes_in!T21/SER_hh_fec_in!T21)</f>
        <v>0.80994425689462435</v>
      </c>
      <c r="U21" s="136">
        <f>IF(SER_hh_tes_in!U21=0,"",SER_hh_tes_in!U21/SER_hh_fec_in!U21)</f>
        <v>0.82282160562498452</v>
      </c>
      <c r="V21" s="136">
        <f>IF(SER_hh_tes_in!V21=0,"",SER_hh_tes_in!V21/SER_hh_fec_in!V21)</f>
        <v>0.83295897491846616</v>
      </c>
      <c r="W21" s="136">
        <f>IF(SER_hh_tes_in!W21=0,"",SER_hh_tes_in!W21/SER_hh_fec_in!W21)</f>
        <v>0.83918993934351183</v>
      </c>
      <c r="X21" s="136">
        <f>IF(SER_hh_tes_in!X21=0,"",SER_hh_tes_in!X21/SER_hh_fec_in!X21)</f>
        <v>0.84226242468860502</v>
      </c>
      <c r="Y21" s="136">
        <f>IF(SER_hh_tes_in!Y21=0,"",SER_hh_tes_in!Y21/SER_hh_fec_in!Y21)</f>
        <v>0.84381825606659833</v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0.58288172457633947</v>
      </c>
      <c r="D22" s="136">
        <f>IF(SER_hh_tes_in!D22=0,"",SER_hh_tes_in!D22/SER_hh_fec_in!D22)</f>
        <v>0.58507246871359242</v>
      </c>
      <c r="E22" s="136">
        <f>IF(SER_hh_tes_in!E22=0,"",SER_hh_tes_in!E22/SER_hh_fec_in!E22)</f>
        <v>0.5875677359823045</v>
      </c>
      <c r="F22" s="136">
        <f>IF(SER_hh_tes_in!F22=0,"",SER_hh_tes_in!F22/SER_hh_fec_in!F22)</f>
        <v>0.59010452913257927</v>
      </c>
      <c r="G22" s="136">
        <f>IF(SER_hh_tes_in!G22=0,"",SER_hh_tes_in!G22/SER_hh_fec_in!G22)</f>
        <v>0.59292177017516845</v>
      </c>
      <c r="H22" s="136">
        <f>IF(SER_hh_tes_in!H22=0,"",SER_hh_tes_in!H22/SER_hh_fec_in!H22)</f>
        <v>0.59599021809760355</v>
      </c>
      <c r="I22" s="136">
        <f>IF(SER_hh_tes_in!I22=0,"",SER_hh_tes_in!I22/SER_hh_fec_in!I22)</f>
        <v>0.59936874329031486</v>
      </c>
      <c r="J22" s="136">
        <f>IF(SER_hh_tes_in!J22=0,"",SER_hh_tes_in!J22/SER_hh_fec_in!J22)</f>
        <v>0.6032985169635191</v>
      </c>
      <c r="K22" s="136">
        <f>IF(SER_hh_tes_in!K22=0,"",SER_hh_tes_in!K22/SER_hh_fec_in!K22)</f>
        <v>0.60798459808147221</v>
      </c>
      <c r="L22" s="136">
        <f>IF(SER_hh_tes_in!L22=0,"",SER_hh_tes_in!L22/SER_hh_fec_in!L22)</f>
        <v>0.61348184832410402</v>
      </c>
      <c r="M22" s="136">
        <f>IF(SER_hh_tes_in!M22=0,"",SER_hh_tes_in!M22/SER_hh_fec_in!M22)</f>
        <v>0.62468834151530084</v>
      </c>
      <c r="N22" s="136">
        <f>IF(SER_hh_tes_in!N22=0,"",SER_hh_tes_in!N22/SER_hh_fec_in!N22)</f>
        <v>0.64316098672344135</v>
      </c>
      <c r="O22" s="136">
        <f>IF(SER_hh_tes_in!O22=0,"",SER_hh_tes_in!O22/SER_hh_fec_in!O22)</f>
        <v>0.67016690334850215</v>
      </c>
      <c r="P22" s="136">
        <f>IF(SER_hh_tes_in!P22=0,"",SER_hh_tes_in!P22/SER_hh_fec_in!P22)</f>
        <v>0.70291449058211597</v>
      </c>
      <c r="Q22" s="136">
        <f>IF(SER_hh_tes_in!Q22=0,"",SER_hh_tes_in!Q22/SER_hh_fec_in!Q22)</f>
        <v>0.73239916001424998</v>
      </c>
      <c r="R22" s="136">
        <f>IF(SER_hh_tes_in!R22=0,"",SER_hh_tes_in!R22/SER_hh_fec_in!R22)</f>
        <v>0.75152816290605284</v>
      </c>
      <c r="S22" s="136">
        <f>IF(SER_hh_tes_in!S22=0,"",SER_hh_tes_in!S22/SER_hh_fec_in!S22)</f>
        <v>0.76933908768933268</v>
      </c>
      <c r="T22" s="136">
        <f>IF(SER_hh_tes_in!T22=0,"",SER_hh_tes_in!T22/SER_hh_fec_in!T22)</f>
        <v>0.78530676552361234</v>
      </c>
      <c r="U22" s="136">
        <f>IF(SER_hh_tes_in!U22=0,"",SER_hh_tes_in!U22/SER_hh_fec_in!U22)</f>
        <v>0.79890602756846862</v>
      </c>
      <c r="V22" s="136">
        <f>IF(SER_hh_tes_in!V22=0,"",SER_hh_tes_in!V22/SER_hh_fec_in!V22)</f>
        <v>0.8096117049834568</v>
      </c>
      <c r="W22" s="136">
        <f>IF(SER_hh_tes_in!W22=0,"",SER_hh_tes_in!W22/SER_hh_fec_in!W22)</f>
        <v>0.8161919816990042</v>
      </c>
      <c r="X22" s="136">
        <f>IF(SER_hh_tes_in!X22=0,"",SER_hh_tes_in!X22/SER_hh_fec_in!X22)</f>
        <v>0.81953833445948787</v>
      </c>
      <c r="Y22" s="136">
        <f>IF(SER_hh_tes_in!Y22=0,"",SER_hh_tes_in!Y22/SER_hh_fec_in!Y22)</f>
        <v>0.82123284559358045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0.63169470975202857</v>
      </c>
      <c r="D23" s="136">
        <f>IF(SER_hh_tes_in!D23=0,"",SER_hh_tes_in!D23/SER_hh_fec_in!D23)</f>
        <v>0.63748259348226632</v>
      </c>
      <c r="E23" s="136">
        <f>IF(SER_hh_tes_in!E23=0,"",SER_hh_tes_in!E23/SER_hh_fec_in!E23)</f>
        <v>0.64353263427575258</v>
      </c>
      <c r="F23" s="136">
        <f>IF(SER_hh_tes_in!F23=0,"",SER_hh_tes_in!F23/SER_hh_fec_in!F23)</f>
        <v>0.64962928576493006</v>
      </c>
      <c r="G23" s="136">
        <f>IF(SER_hh_tes_in!G23=0,"",SER_hh_tes_in!G23/SER_hh_fec_in!G23)</f>
        <v>0.65596549423908501</v>
      </c>
      <c r="H23" s="136">
        <f>IF(SER_hh_tes_in!H23=0,"",SER_hh_tes_in!H23/SER_hh_fec_in!H23)</f>
        <v>0.6625156431710294</v>
      </c>
      <c r="I23" s="136">
        <f>IF(SER_hh_tes_in!I23=0,"",SER_hh_tes_in!I23/SER_hh_fec_in!I23)</f>
        <v>0.66932522439785258</v>
      </c>
      <c r="J23" s="136">
        <f>IF(SER_hh_tes_in!J23=0,"",SER_hh_tes_in!J23/SER_hh_fec_in!J23)</f>
        <v>0.67658524134244902</v>
      </c>
      <c r="K23" s="136">
        <f>IF(SER_hh_tes_in!K23=0,"",SER_hh_tes_in!K23/SER_hh_fec_in!K23)</f>
        <v>0.68445540765269186</v>
      </c>
      <c r="L23" s="136">
        <f>IF(SER_hh_tes_in!L23=0,"",SER_hh_tes_in!L23/SER_hh_fec_in!L23)</f>
        <v>0.69297367078677541</v>
      </c>
      <c r="M23" s="136">
        <f>IF(SER_hh_tes_in!M23=0,"",SER_hh_tes_in!M23/SER_hh_fec_in!M23)</f>
        <v>0.7061158419465593</v>
      </c>
      <c r="N23" s="136">
        <f>IF(SER_hh_tes_in!N23=0,"",SER_hh_tes_in!N23/SER_hh_fec_in!N23)</f>
        <v>0.72510951135474233</v>
      </c>
      <c r="O23" s="136">
        <f>IF(SER_hh_tes_in!O23=0,"",SER_hh_tes_in!O23/SER_hh_fec_in!O23)</f>
        <v>0.75083085878472555</v>
      </c>
      <c r="P23" s="136">
        <f>IF(SER_hh_tes_in!P23=0,"",SER_hh_tes_in!P23/SER_hh_fec_in!P23)</f>
        <v>0.78073795167955862</v>
      </c>
      <c r="Q23" s="136">
        <f>IF(SER_hh_tes_in!Q23=0,"",SER_hh_tes_in!Q23/SER_hh_fec_in!Q23)</f>
        <v>0.80692234723116063</v>
      </c>
      <c r="R23" s="136">
        <f>IF(SER_hh_tes_in!R23=0,"",SER_hh_tes_in!R23/SER_hh_fec_in!R23)</f>
        <v>0.82292816621110321</v>
      </c>
      <c r="S23" s="136">
        <f>IF(SER_hh_tes_in!S23=0,"",SER_hh_tes_in!S23/SER_hh_fec_in!S23)</f>
        <v>0.8365589306266219</v>
      </c>
      <c r="T23" s="136">
        <f>IF(SER_hh_tes_in!T23=0,"",SER_hh_tes_in!T23/SER_hh_fec_in!T23)</f>
        <v>0.8480285936980605</v>
      </c>
      <c r="U23" s="136">
        <f>IF(SER_hh_tes_in!U23=0,"",SER_hh_tes_in!U23/SER_hh_fec_in!U23)</f>
        <v>0.85754089745946493</v>
      </c>
      <c r="V23" s="136">
        <f>IF(SER_hh_tes_in!V23=0,"",SER_hh_tes_in!V23/SER_hh_fec_in!V23)</f>
        <v>0.86527453709895774</v>
      </c>
      <c r="W23" s="136">
        <f>IF(SER_hh_tes_in!W23=0,"",SER_hh_tes_in!W23/SER_hh_fec_in!W23)</f>
        <v>0.87039270474862851</v>
      </c>
      <c r="X23" s="136" t="str">
        <f>IF(SER_hh_tes_in!X23=0,"",SER_hh_tes_in!X23/SER_hh_fec_in!X23)</f>
        <v/>
      </c>
      <c r="Y23" s="136">
        <f>IF(SER_hh_tes_in!Y23=0,"",SER_hh_tes_in!Y23/SER_hh_fec_in!Y23)</f>
        <v>0.87380823936671081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0.88385399305258416</v>
      </c>
      <c r="D25" s="136">
        <f>IF(SER_hh_tes_in!D25=0,"",SER_hh_tes_in!D25/SER_hh_fec_in!D25)</f>
        <v>0.88565935120491734</v>
      </c>
      <c r="E25" s="136">
        <f>IF(SER_hh_tes_in!E25=0,"",SER_hh_tes_in!E25/SER_hh_fec_in!E25)</f>
        <v>0.88751344931733878</v>
      </c>
      <c r="F25" s="136">
        <f>IF(SER_hh_tes_in!F25=0,"",SER_hh_tes_in!F25/SER_hh_fec_in!F25)</f>
        <v>0.88937419378795401</v>
      </c>
      <c r="G25" s="136">
        <f>IF(SER_hh_tes_in!G25=0,"",SER_hh_tes_in!G25/SER_hh_fec_in!G25)</f>
        <v>0.89127982489497293</v>
      </c>
      <c r="H25" s="136">
        <f>IF(SER_hh_tes_in!H25=0,"",SER_hh_tes_in!H25/SER_hh_fec_in!H25)</f>
        <v>0.89322566251516855</v>
      </c>
      <c r="I25" s="136">
        <f>IF(SER_hh_tes_in!I25=0,"",SER_hh_tes_in!I25/SER_hh_fec_in!I25)</f>
        <v>0.89522112905420947</v>
      </c>
      <c r="J25" s="136">
        <f>IF(SER_hh_tes_in!J25=0,"",SER_hh_tes_in!J25/SER_hh_fec_in!J25)</f>
        <v>0.89730482478230833</v>
      </c>
      <c r="K25" s="136">
        <f>IF(SER_hh_tes_in!K25=0,"",SER_hh_tes_in!K25/SER_hh_fec_in!K25)</f>
        <v>0.89950957008222476</v>
      </c>
      <c r="L25" s="136">
        <f>IF(SER_hh_tes_in!L25=0,"",SER_hh_tes_in!L25/SER_hh_fec_in!L25)</f>
        <v>0.90184414575191407</v>
      </c>
      <c r="M25" s="136">
        <f>IF(SER_hh_tes_in!M25=0,"",SER_hh_tes_in!M25/SER_hh_fec_in!M25)</f>
        <v>0.90507665721732722</v>
      </c>
      <c r="N25" s="136">
        <f>IF(SER_hh_tes_in!N25=0,"",SER_hh_tes_in!N25/SER_hh_fec_in!N25)</f>
        <v>0.90944996014451396</v>
      </c>
      <c r="O25" s="136">
        <f>IF(SER_hh_tes_in!O25=0,"",SER_hh_tes_in!O25/SER_hh_fec_in!O25)</f>
        <v>0.91517694703521602</v>
      </c>
      <c r="P25" s="136">
        <f>IF(SER_hh_tes_in!P25=0,"",SER_hh_tes_in!P25/SER_hh_fec_in!P25)</f>
        <v>0.92185257429619594</v>
      </c>
      <c r="Q25" s="136">
        <f>IF(SER_hh_tes_in!Q25=0,"",SER_hh_tes_in!Q25/SER_hh_fec_in!Q25)</f>
        <v>0.92815087545063057</v>
      </c>
      <c r="R25" s="136">
        <f>IF(SER_hh_tes_in!R25=0,"",SER_hh_tes_in!R25/SER_hh_fec_in!R25)</f>
        <v>0.9329770534140096</v>
      </c>
      <c r="S25" s="136">
        <f>IF(SER_hh_tes_in!S25=0,"",SER_hh_tes_in!S25/SER_hh_fec_in!S25)</f>
        <v>0.9376721177883891</v>
      </c>
      <c r="T25" s="136">
        <f>IF(SER_hh_tes_in!T25=0,"",SER_hh_tes_in!T25/SER_hh_fec_in!T25)</f>
        <v>0.94220469816674868</v>
      </c>
      <c r="U25" s="136">
        <f>IF(SER_hh_tes_in!U25=0,"",SER_hh_tes_in!U25/SER_hh_fec_in!U25)</f>
        <v>0.94654342414208181</v>
      </c>
      <c r="V25" s="136">
        <f>IF(SER_hh_tes_in!V25=0,"",SER_hh_tes_in!V25/SER_hh_fec_in!V25)</f>
        <v>0.95065692530737667</v>
      </c>
      <c r="W25" s="136">
        <f>IF(SER_hh_tes_in!W25=0,"",SER_hh_tes_in!W25/SER_hh_fec_in!W25)</f>
        <v>0.95444625273806016</v>
      </c>
      <c r="X25" s="136">
        <f>IF(SER_hh_tes_in!X25=0,"",SER_hh_tes_in!X25/SER_hh_fec_in!X25)</f>
        <v>0.95686515841805875</v>
      </c>
      <c r="Y25" s="136">
        <f>IF(SER_hh_tes_in!Y25=0,"",SER_hh_tes_in!Y25/SER_hh_fec_in!Y25)</f>
        <v>0.95918959489526279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0.73445853614591883</v>
      </c>
      <c r="D26" s="137">
        <f>IF(SER_hh_tes_in!D26=0,"",SER_hh_tes_in!D26/SER_hh_fec_in!D26)</f>
        <v>0.73652511823845679</v>
      </c>
      <c r="E26" s="137">
        <f>IF(SER_hh_tes_in!E26=0,"",SER_hh_tes_in!E26/SER_hh_fec_in!E26)</f>
        <v>0.73878751380195729</v>
      </c>
      <c r="F26" s="137">
        <f>IF(SER_hh_tes_in!F26=0,"",SER_hh_tes_in!F26/SER_hh_fec_in!F26)</f>
        <v>0.74107720624956863</v>
      </c>
      <c r="G26" s="137">
        <f>IF(SER_hh_tes_in!G26=0,"",SER_hh_tes_in!G26/SER_hh_fec_in!G26)</f>
        <v>0.74354875931842845</v>
      </c>
      <c r="H26" s="137">
        <f>IF(SER_hh_tes_in!H26=0,"",SER_hh_tes_in!H26/SER_hh_fec_in!H26)</f>
        <v>0.74618472607967345</v>
      </c>
      <c r="I26" s="137">
        <f>IF(SER_hh_tes_in!I26=0,"",SER_hh_tes_in!I26/SER_hh_fec_in!I26)</f>
        <v>0.74902519230981879</v>
      </c>
      <c r="J26" s="137">
        <f>IF(SER_hh_tes_in!J26=0,"",SER_hh_tes_in!J26/SER_hh_fec_in!J26)</f>
        <v>0.75223088982758535</v>
      </c>
      <c r="K26" s="137">
        <f>IF(SER_hh_tes_in!K26=0,"",SER_hh_tes_in!K26/SER_hh_fec_in!K26)</f>
        <v>0.75594381146426315</v>
      </c>
      <c r="L26" s="137">
        <f>IF(SER_hh_tes_in!L26=0,"",SER_hh_tes_in!L26/SER_hh_fec_in!L26)</f>
        <v>0.76021277694948108</v>
      </c>
      <c r="M26" s="137">
        <f>IF(SER_hh_tes_in!M26=0,"",SER_hh_tes_in!M26/SER_hh_fec_in!M26)</f>
        <v>0.76832859451017577</v>
      </c>
      <c r="N26" s="137">
        <f>IF(SER_hh_tes_in!N26=0,"",SER_hh_tes_in!N26/SER_hh_fec_in!N26)</f>
        <v>0.78171084674085756</v>
      </c>
      <c r="O26" s="137">
        <f>IF(SER_hh_tes_in!O26=0,"",SER_hh_tes_in!O26/SER_hh_fec_in!O26)</f>
        <v>0.80211704181761345</v>
      </c>
      <c r="P26" s="137">
        <f>IF(SER_hh_tes_in!P26=0,"",SER_hh_tes_in!P26/SER_hh_fec_in!P26)</f>
        <v>0.82857971621705784</v>
      </c>
      <c r="Q26" s="137">
        <f>IF(SER_hh_tes_in!Q26=0,"",SER_hh_tes_in!Q26/SER_hh_fec_in!Q26)</f>
        <v>0.85411056682786568</v>
      </c>
      <c r="R26" s="137">
        <f>IF(SER_hh_tes_in!R26=0,"",SER_hh_tes_in!R26/SER_hh_fec_in!R26)</f>
        <v>0.87138829820277186</v>
      </c>
      <c r="S26" s="137">
        <f>IF(SER_hh_tes_in!S26=0,"",SER_hh_tes_in!S26/SER_hh_fec_in!S26)</f>
        <v>0.88812744176584457</v>
      </c>
      <c r="T26" s="137">
        <f>IF(SER_hh_tes_in!T26=0,"",SER_hh_tes_in!T26/SER_hh_fec_in!T26)</f>
        <v>0.90473668062106394</v>
      </c>
      <c r="U26" s="137">
        <f>IF(SER_hh_tes_in!U26=0,"",SER_hh_tes_in!U26/SER_hh_fec_in!U26)</f>
        <v>0.92138298285490616</v>
      </c>
      <c r="V26" s="137">
        <f>IF(SER_hh_tes_in!V26=0,"",SER_hh_tes_in!V26/SER_hh_fec_in!V26)</f>
        <v>0.93773604514736908</v>
      </c>
      <c r="W26" s="137">
        <f>IF(SER_hh_tes_in!W26=0,"",SER_hh_tes_in!W26/SER_hh_fec_in!W26)</f>
        <v>0.95267181612580853</v>
      </c>
      <c r="X26" s="137">
        <f>IF(SER_hh_tes_in!X26=0,"",SER_hh_tes_in!X26/SER_hh_fec_in!X26)</f>
        <v>0.95957498412236208</v>
      </c>
      <c r="Y26" s="137">
        <f>IF(SER_hh_tes_in!Y26=0,"",SER_hh_tes_in!Y26/SER_hh_fec_in!Y26)</f>
        <v>0.96601522028772357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>
        <f>IF(SER_hh_tes_in!D27=0,"",SER_hh_tes_in!D27/SER_hh_fec_in!D27)</f>
        <v>1</v>
      </c>
      <c r="E27" s="148">
        <f>IF(SER_hh_tes_in!E27=0,"",SER_hh_tes_in!E27/SER_hh_fec_in!E27)</f>
        <v>1</v>
      </c>
      <c r="F27" s="148">
        <f>IF(SER_hh_tes_in!F27=0,"",SER_hh_tes_in!F27/SER_hh_fec_in!F27)</f>
        <v>1</v>
      </c>
      <c r="G27" s="148">
        <f>IF(SER_hh_tes_in!G27=0,"",SER_hh_tes_in!G27/SER_hh_fec_in!G27)</f>
        <v>1</v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 t="str">
        <f>IF(SER_hh_tes_in!L27=0,"",SER_hh_tes_in!L27/SER_hh_fec_in!L27)</f>
        <v/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 t="str">
        <f>IF(SER_hh_tes_in!W27=0,"",SER_hh_tes_in!W27/SER_hh_fec_in!W27)</f>
        <v/>
      </c>
      <c r="X27" s="148">
        <f>IF(SER_hh_tes_in!X27=0,"",SER_hh_tes_in!X27/SER_hh_fec_in!X27)</f>
        <v>1</v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0.72702530311474567</v>
      </c>
      <c r="D29" s="135">
        <f>IF(SER_hh_tes_in!D29=0,"",SER_hh_tes_in!D29/SER_hh_fec_in!D29)</f>
        <v>0.79182822395438368</v>
      </c>
      <c r="E29" s="135">
        <f>IF(SER_hh_tes_in!E29=0,"",SER_hh_tes_in!E29/SER_hh_fec_in!E29)</f>
        <v>0.76830072043701758</v>
      </c>
      <c r="F29" s="135">
        <f>IF(SER_hh_tes_in!F29=0,"",SER_hh_tes_in!F29/SER_hh_fec_in!F29)</f>
        <v>0.72876415845693532</v>
      </c>
      <c r="G29" s="135">
        <f>IF(SER_hh_tes_in!G29=0,"",SER_hh_tes_in!G29/SER_hh_fec_in!G29)</f>
        <v>0.75974074155717797</v>
      </c>
      <c r="H29" s="135">
        <f>IF(SER_hh_tes_in!H29=0,"",SER_hh_tes_in!H29/SER_hh_fec_in!H29)</f>
        <v>0.74498846877211888</v>
      </c>
      <c r="I29" s="135">
        <f>IF(SER_hh_tes_in!I29=0,"",SER_hh_tes_in!I29/SER_hh_fec_in!I29)</f>
        <v>0.75334576997759528</v>
      </c>
      <c r="J29" s="135">
        <f>IF(SER_hh_tes_in!J29=0,"",SER_hh_tes_in!J29/SER_hh_fec_in!J29)</f>
        <v>0.72586164830334698</v>
      </c>
      <c r="K29" s="135">
        <f>IF(SER_hh_tes_in!K29=0,"",SER_hh_tes_in!K29/SER_hh_fec_in!K29)</f>
        <v>0.70471555967549859</v>
      </c>
      <c r="L29" s="135">
        <f>IF(SER_hh_tes_in!L29=0,"",SER_hh_tes_in!L29/SER_hh_fec_in!L29)</f>
        <v>0.73082890755183083</v>
      </c>
      <c r="M29" s="135">
        <f>IF(SER_hh_tes_in!M29=0,"",SER_hh_tes_in!M29/SER_hh_fec_in!M29)</f>
        <v>0.77779896977981722</v>
      </c>
      <c r="N29" s="135">
        <f>IF(SER_hh_tes_in!N29=0,"",SER_hh_tes_in!N29/SER_hh_fec_in!N29)</f>
        <v>0.77467639825453527</v>
      </c>
      <c r="O29" s="135">
        <f>IF(SER_hh_tes_in!O29=0,"",SER_hh_tes_in!O29/SER_hh_fec_in!O29)</f>
        <v>0.77264739359460277</v>
      </c>
      <c r="P29" s="135">
        <f>IF(SER_hh_tes_in!P29=0,"",SER_hh_tes_in!P29/SER_hh_fec_in!P29)</f>
        <v>0.79470843273579161</v>
      </c>
      <c r="Q29" s="135">
        <f>IF(SER_hh_tes_in!Q29=0,"",SER_hh_tes_in!Q29/SER_hh_fec_in!Q29)</f>
        <v>0.77118346405207827</v>
      </c>
      <c r="R29" s="135">
        <f>IF(SER_hh_tes_in!R29=0,"",SER_hh_tes_in!R29/SER_hh_fec_in!R29)</f>
        <v>0.78081195882380539</v>
      </c>
      <c r="S29" s="135">
        <f>IF(SER_hh_tes_in!S29=0,"",SER_hh_tes_in!S29/SER_hh_fec_in!S29)</f>
        <v>0.77372662229234213</v>
      </c>
      <c r="T29" s="135">
        <f>IF(SER_hh_tes_in!T29=0,"",SER_hh_tes_in!T29/SER_hh_fec_in!T29)</f>
        <v>0.77291504566653757</v>
      </c>
      <c r="U29" s="135">
        <f>IF(SER_hh_tes_in!U29=0,"",SER_hh_tes_in!U29/SER_hh_fec_in!U29)</f>
        <v>0.77028488867415712</v>
      </c>
      <c r="V29" s="135">
        <f>IF(SER_hh_tes_in!V29=0,"",SER_hh_tes_in!V29/SER_hh_fec_in!V29)</f>
        <v>0.77656450264149035</v>
      </c>
      <c r="W29" s="135">
        <f>IF(SER_hh_tes_in!W29=0,"",SER_hh_tes_in!W29/SER_hh_fec_in!W29)</f>
        <v>0.83115825639785923</v>
      </c>
      <c r="X29" s="135">
        <f>IF(SER_hh_tes_in!X29=0,"",SER_hh_tes_in!X29/SER_hh_fec_in!X29)</f>
        <v>0.83247881100078458</v>
      </c>
      <c r="Y29" s="135">
        <f>IF(SER_hh_tes_in!Y29=0,"",SER_hh_tes_in!Y29/SER_hh_fec_in!Y29)</f>
        <v>0.85205183835955112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0.6364518697737811</v>
      </c>
      <c r="D30" s="136" t="str">
        <f>IF(SER_hh_tes_in!D30=0,"",SER_hh_tes_in!D30/SER_hh_fec_in!D30)</f>
        <v/>
      </c>
      <c r="E30" s="136" t="str">
        <f>IF(SER_hh_tes_in!E30=0,"",SER_hh_tes_in!E30/SER_hh_fec_in!E30)</f>
        <v/>
      </c>
      <c r="F30" s="136" t="str">
        <f>IF(SER_hh_tes_in!F30=0,"",SER_hh_tes_in!F30/SER_hh_fec_in!F30)</f>
        <v/>
      </c>
      <c r="G30" s="136" t="str">
        <f>IF(SER_hh_tes_in!G30=0,"",SER_hh_tes_in!G30/SER_hh_fec_in!G30)</f>
        <v/>
      </c>
      <c r="H30" s="136" t="str">
        <f>IF(SER_hh_tes_in!H30=0,"",SER_hh_tes_in!H30/SER_hh_fec_in!H30)</f>
        <v/>
      </c>
      <c r="I30" s="136" t="str">
        <f>IF(SER_hh_tes_in!I30=0,"",SER_hh_tes_in!I30/SER_hh_fec_in!I30)</f>
        <v/>
      </c>
      <c r="J30" s="136">
        <f>IF(SER_hh_tes_in!J30=0,"",SER_hh_tes_in!J30/SER_hh_fec_in!J30)</f>
        <v>0.63712407899969181</v>
      </c>
      <c r="K30" s="136">
        <f>IF(SER_hh_tes_in!K30=0,"",SER_hh_tes_in!K30/SER_hh_fec_in!K30)</f>
        <v>0.63722015913952668</v>
      </c>
      <c r="L30" s="136">
        <f>IF(SER_hh_tes_in!L30=0,"",SER_hh_tes_in!L30/SER_hh_fec_in!L30)</f>
        <v>0.6373162623163624</v>
      </c>
      <c r="M30" s="136" t="str">
        <f>IF(SER_hh_tes_in!M30=0,"",SER_hh_tes_in!M30/SER_hh_fec_in!M30)</f>
        <v/>
      </c>
      <c r="N30" s="136" t="str">
        <f>IF(SER_hh_tes_in!N30=0,"",SER_hh_tes_in!N30/SER_hh_fec_in!N30)</f>
        <v/>
      </c>
      <c r="O30" s="136">
        <f>IF(SER_hh_tes_in!O30=0,"",SER_hh_tes_in!O30/SER_hh_fec_in!O30)</f>
        <v>0.63745442447559686</v>
      </c>
      <c r="P30" s="136" t="str">
        <f>IF(SER_hh_tes_in!P30=0,"",SER_hh_tes_in!P30/SER_hh_fec_in!P30)</f>
        <v/>
      </c>
      <c r="Q30" s="136">
        <f>IF(SER_hh_tes_in!Q30=0,"",SER_hh_tes_in!Q30/SER_hh_fec_in!Q30)</f>
        <v>0.63779937481985527</v>
      </c>
      <c r="R30" s="136">
        <f>IF(SER_hh_tes_in!R30=0,"",SER_hh_tes_in!R30/SER_hh_fec_in!R30)</f>
        <v>0.63852676402895714</v>
      </c>
      <c r="S30" s="136">
        <f>IF(SER_hh_tes_in!S30=0,"",SER_hh_tes_in!S30/SER_hh_fec_in!S30)</f>
        <v>0.63955282962680005</v>
      </c>
      <c r="T30" s="136">
        <f>IF(SER_hh_tes_in!T30=0,"",SER_hh_tes_in!T30/SER_hh_fec_in!T30)</f>
        <v>0.64067862477001958</v>
      </c>
      <c r="U30" s="136">
        <f>IF(SER_hh_tes_in!U30=0,"",SER_hh_tes_in!U30/SER_hh_fec_in!U30)</f>
        <v>0.64170520261525343</v>
      </c>
      <c r="V30" s="136">
        <f>IF(SER_hh_tes_in!V30=0,"",SER_hh_tes_in!V30/SER_hh_fec_in!V30)</f>
        <v>0.64243361631913876</v>
      </c>
      <c r="W30" s="136">
        <f>IF(SER_hh_tes_in!W30=0,"",SER_hh_tes_in!W30/SER_hh_fec_in!W30)</f>
        <v>0.64278369747565056</v>
      </c>
      <c r="X30" s="136" t="str">
        <f>IF(SER_hh_tes_in!X30=0,"",SER_hh_tes_in!X30/SER_hh_fec_in!X30)</f>
        <v/>
      </c>
      <c r="Y30" s="136" t="str">
        <f>IF(SER_hh_tes_in!Y30=0,"",SER_hh_tes_in!Y30/SER_hh_fec_in!Y30)</f>
        <v/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0.64376718997559879</v>
      </c>
      <c r="D31" s="136">
        <f>IF(SER_hh_tes_in!D31=0,"",SER_hh_tes_in!D31/SER_hh_fec_in!D31)</f>
        <v>0.64386430277038098</v>
      </c>
      <c r="E31" s="136">
        <f>IF(SER_hh_tes_in!E31=0,"",SER_hh_tes_in!E31/SER_hh_fec_in!E31)</f>
        <v>0.64396142431294778</v>
      </c>
      <c r="F31" s="136">
        <f>IF(SER_hh_tes_in!F31=0,"",SER_hh_tes_in!F31/SER_hh_fec_in!F31)</f>
        <v>0.64405854704839427</v>
      </c>
      <c r="G31" s="136">
        <f>IF(SER_hh_tes_in!G31=0,"",SER_hh_tes_in!G31/SER_hh_fec_in!G31)</f>
        <v>0.64415567784003602</v>
      </c>
      <c r="H31" s="136">
        <f>IF(SER_hh_tes_in!H31=0,"",SER_hh_tes_in!H31/SER_hh_fec_in!H31)</f>
        <v>0.64425281584789051</v>
      </c>
      <c r="I31" s="136">
        <f>IF(SER_hh_tes_in!I31=0,"",SER_hh_tes_in!I31/SER_hh_fec_in!I31)</f>
        <v>0.64434996276307877</v>
      </c>
      <c r="J31" s="136">
        <f>IF(SER_hh_tes_in!J31=0,"",SER_hh_tes_in!J31/SER_hh_fec_in!J31)</f>
        <v>0.64444712551352734</v>
      </c>
      <c r="K31" s="136">
        <f>IF(SER_hh_tes_in!K31=0,"",SER_hh_tes_in!K31/SER_hh_fec_in!K31)</f>
        <v>0.64454430998979562</v>
      </c>
      <c r="L31" s="136">
        <f>IF(SER_hh_tes_in!L31=0,"",SER_hh_tes_in!L31/SER_hh_fec_in!L31)</f>
        <v>0.64464151776784995</v>
      </c>
      <c r="M31" s="136">
        <f>IF(SER_hh_tes_in!M31=0,"",SER_hh_tes_in!M31/SER_hh_fec_in!M31)</f>
        <v>0.6447153415272695</v>
      </c>
      <c r="N31" s="136">
        <f>IF(SER_hh_tes_in!N31=0,"",SER_hh_tes_in!N31/SER_hh_fec_in!N31)</f>
        <v>0.64475660553623559</v>
      </c>
      <c r="O31" s="136">
        <f>IF(SER_hh_tes_in!O31=0,"",SER_hh_tes_in!O31/SER_hh_fec_in!O31)</f>
        <v>0.64478126795044111</v>
      </c>
      <c r="P31" s="136">
        <f>IF(SER_hh_tes_in!P31=0,"",SER_hh_tes_in!P31/SER_hh_fec_in!P31)</f>
        <v>0.64485008434028024</v>
      </c>
      <c r="Q31" s="136">
        <f>IF(SER_hh_tes_in!Q31=0,"",SER_hh_tes_in!Q31/SER_hh_fec_in!Q31)</f>
        <v>0.64513018312274362</v>
      </c>
      <c r="R31" s="136">
        <f>IF(SER_hh_tes_in!R31=0,"",SER_hh_tes_in!R31/SER_hh_fec_in!R31)</f>
        <v>0.64586593287759697</v>
      </c>
      <c r="S31" s="136">
        <f>IF(SER_hh_tes_in!S31=0,"",SER_hh_tes_in!S31/SER_hh_fec_in!S31)</f>
        <v>0.64690379198057801</v>
      </c>
      <c r="T31" s="136">
        <f>IF(SER_hh_tes_in!T31=0,"",SER_hh_tes_in!T31/SER_hh_fec_in!T31)</f>
        <v>0.64804252691130593</v>
      </c>
      <c r="U31" s="136">
        <f>IF(SER_hh_tes_in!U31=0,"",SER_hh_tes_in!U31/SER_hh_fec_in!U31)</f>
        <v>0.64908090414940323</v>
      </c>
      <c r="V31" s="136">
        <f>IF(SER_hh_tes_in!V31=0,"",SER_hh_tes_in!V31/SER_hh_fec_in!V31)</f>
        <v>0.64981769017449043</v>
      </c>
      <c r="W31" s="136">
        <f>IF(SER_hh_tes_in!W31=0,"",SER_hh_tes_in!W31/SER_hh_fec_in!W31)</f>
        <v>0.65017179513213808</v>
      </c>
      <c r="X31" s="136">
        <f>IF(SER_hh_tes_in!X31=0,"",SER_hh_tes_in!X31/SER_hh_fec_in!X31)</f>
        <v>0.65055750116872524</v>
      </c>
      <c r="Y31" s="136">
        <f>IF(SER_hh_tes_in!Y31=0,"",SER_hh_tes_in!Y31/SER_hh_fec_in!Y31)</f>
        <v>0.65059607177238399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>
        <f>IF(SER_hh_tes_in!J32=0,"",SER_hh_tes_in!J32/SER_hh_fec_in!J32)</f>
        <v>0.61816721432224497</v>
      </c>
      <c r="K32" s="136">
        <f>IF(SER_hh_tes_in!K32=0,"",SER_hh_tes_in!K32/SER_hh_fec_in!K32)</f>
        <v>0.61847517706268085</v>
      </c>
      <c r="L32" s="136">
        <f>IF(SER_hh_tes_in!L32=0,"",SER_hh_tes_in!L32/SER_hh_fec_in!L32)</f>
        <v>0.61878321364291256</v>
      </c>
      <c r="M32" s="136">
        <f>IF(SER_hh_tes_in!M32=0,"",SER_hh_tes_in!M32/SER_hh_fec_in!M32)</f>
        <v>0.61901714984479428</v>
      </c>
      <c r="N32" s="136">
        <f>IF(SER_hh_tes_in!N32=0,"",SER_hh_tes_in!N32/SER_hh_fec_in!N32)</f>
        <v>0.61914790917766882</v>
      </c>
      <c r="O32" s="136">
        <f>IF(SER_hh_tes_in!O32=0,"",SER_hh_tes_in!O32/SER_hh_fec_in!O32)</f>
        <v>0.61922606059604468</v>
      </c>
      <c r="P32" s="136">
        <f>IF(SER_hh_tes_in!P32=0,"",SER_hh_tes_in!P32/SER_hh_fec_in!P32)</f>
        <v>0.6194441292096291</v>
      </c>
      <c r="Q32" s="136">
        <f>IF(SER_hh_tes_in!Q32=0,"",SER_hh_tes_in!Q32/SER_hh_fec_in!Q32)</f>
        <v>0.62033171940872622</v>
      </c>
      <c r="R32" s="136">
        <f>IF(SER_hh_tes_in!R32=0,"",SER_hh_tes_in!R32/SER_hh_fec_in!R32)</f>
        <v>0.62266319784520052</v>
      </c>
      <c r="S32" s="136">
        <f>IF(SER_hh_tes_in!S32=0,"",SER_hh_tes_in!S32/SER_hh_fec_in!S32)</f>
        <v>0.62595201459673433</v>
      </c>
      <c r="T32" s="136">
        <f>IF(SER_hh_tes_in!T32=0,"",SER_hh_tes_in!T32/SER_hh_fec_in!T32)</f>
        <v>0.62956049141692894</v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>
        <f>IF(SER_hh_tes_in!X32=0,"",SER_hh_tes_in!X32/SER_hh_fec_in!X32)</f>
        <v>0.63665046502860922</v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0.84996957307723597</v>
      </c>
      <c r="D33" s="149">
        <f>IF(SER_hh_tes_in!D33=0,"",SER_hh_tes_in!D33/SER_hh_fec_in!D33)</f>
        <v>0.85091138838103197</v>
      </c>
      <c r="E33" s="149">
        <f>IF(SER_hh_tes_in!E33=0,"",SER_hh_tes_in!E33/SER_hh_fec_in!E33)</f>
        <v>0.85189761049427237</v>
      </c>
      <c r="F33" s="149">
        <f>IF(SER_hh_tes_in!F33=0,"",SER_hh_tes_in!F33/SER_hh_fec_in!F33)</f>
        <v>0.85288988808152832</v>
      </c>
      <c r="G33" s="149">
        <f>IF(SER_hh_tes_in!G33=0,"",SER_hh_tes_in!G33/SER_hh_fec_in!G33)</f>
        <v>0.85392306172831645</v>
      </c>
      <c r="H33" s="149">
        <f>IF(SER_hh_tes_in!H33=0,"",SER_hh_tes_in!H33/SER_hh_fec_in!H33)</f>
        <v>0.8549928673905155</v>
      </c>
      <c r="I33" s="149">
        <f>IF(SER_hh_tes_in!I33=0,"",SER_hh_tes_in!I33/SER_hh_fec_in!I33)</f>
        <v>0.85610788978941466</v>
      </c>
      <c r="J33" s="149">
        <f>IF(SER_hh_tes_in!J33=0,"",SER_hh_tes_in!J33/SER_hh_fec_in!J33)</f>
        <v>0.85730329749800305</v>
      </c>
      <c r="K33" s="149">
        <f>IF(SER_hh_tes_in!K33=0,"",SER_hh_tes_in!K33/SER_hh_fec_in!K33)</f>
        <v>0.85860899305375638</v>
      </c>
      <c r="L33" s="149">
        <f>IF(SER_hh_tes_in!L33=0,"",SER_hh_tes_in!L33/SER_hh_fec_in!L33)</f>
        <v>0.86003297661139122</v>
      </c>
      <c r="M33" s="149">
        <f>IF(SER_hh_tes_in!M33=0,"",SER_hh_tes_in!M33/SER_hh_fec_in!M33)</f>
        <v>0.86206895843025089</v>
      </c>
      <c r="N33" s="149">
        <f>IF(SER_hh_tes_in!N33=0,"",SER_hh_tes_in!N33/SER_hh_fec_in!N33)</f>
        <v>0.8648574931287375</v>
      </c>
      <c r="O33" s="149">
        <f>IF(SER_hh_tes_in!O33=0,"",SER_hh_tes_in!O33/SER_hh_fec_in!O33)</f>
        <v>0.86873188302944326</v>
      </c>
      <c r="P33" s="149">
        <f>IF(SER_hh_tes_in!P33=0,"",SER_hh_tes_in!P33/SER_hh_fec_in!P33)</f>
        <v>0.87385560267276985</v>
      </c>
      <c r="Q33" s="149">
        <f>IF(SER_hh_tes_in!Q33=0,"",SER_hh_tes_in!Q33/SER_hh_fec_in!Q33)</f>
        <v>0.88048574586628381</v>
      </c>
      <c r="R33" s="149">
        <f>IF(SER_hh_tes_in!R33=0,"",SER_hh_tes_in!R33/SER_hh_fec_in!R33)</f>
        <v>0.88950778559362009</v>
      </c>
      <c r="S33" s="149">
        <f>IF(SER_hh_tes_in!S33=0,"",SER_hh_tes_in!S33/SER_hh_fec_in!S33)</f>
        <v>0.90079730245245326</v>
      </c>
      <c r="T33" s="149">
        <f>IF(SER_hh_tes_in!T33=0,"",SER_hh_tes_in!T33/SER_hh_fec_in!T33)</f>
        <v>0.91295108730419094</v>
      </c>
      <c r="U33" s="149">
        <f>IF(SER_hh_tes_in!U33=0,"",SER_hh_tes_in!U33/SER_hh_fec_in!U33)</f>
        <v>0.92456593101027418</v>
      </c>
      <c r="V33" s="149">
        <f>IF(SER_hh_tes_in!V33=0,"",SER_hh_tes_in!V33/SER_hh_fec_in!V33)</f>
        <v>0.93423862443212824</v>
      </c>
      <c r="W33" s="149">
        <f>IF(SER_hh_tes_in!W33=0,"",SER_hh_tes_in!W33/SER_hh_fec_in!W33)</f>
        <v>0.94148162867863061</v>
      </c>
      <c r="X33" s="149">
        <f>IF(SER_hh_tes_in!X33=0,"",SER_hh_tes_in!X33/SER_hh_fec_in!X33)</f>
        <v>0.94535511447573539</v>
      </c>
      <c r="Y33" s="149">
        <f>IF(SER_hh_tes_in!Y33=0,"",SER_hh_tes_in!Y33/SER_hh_fec_in!Y33)</f>
        <v>0.94879010550663367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103.16035857760097</v>
      </c>
      <c r="D3" s="125">
        <f t="shared" si="0"/>
        <v>336.19170457161152</v>
      </c>
      <c r="E3" s="125">
        <f t="shared" si="0"/>
        <v>96.435779462662609</v>
      </c>
      <c r="F3" s="125">
        <f t="shared" si="0"/>
        <v>85.661436497764129</v>
      </c>
      <c r="G3" s="125">
        <f t="shared" si="0"/>
        <v>60.501153508505546</v>
      </c>
      <c r="H3" s="125">
        <f t="shared" si="0"/>
        <v>111.99166695689652</v>
      </c>
      <c r="I3" s="125">
        <f t="shared" si="0"/>
        <v>162.73360241306838</v>
      </c>
      <c r="J3" s="125">
        <f t="shared" si="0"/>
        <v>148.75218005423051</v>
      </c>
      <c r="K3" s="125">
        <f t="shared" si="0"/>
        <v>28.780069692946363</v>
      </c>
      <c r="L3" s="125">
        <f t="shared" si="0"/>
        <v>187.8066451313255</v>
      </c>
      <c r="M3" s="125">
        <f t="shared" si="0"/>
        <v>115.58800313171537</v>
      </c>
      <c r="N3" s="125">
        <f t="shared" si="0"/>
        <v>69.018847100331158</v>
      </c>
      <c r="O3" s="125">
        <f t="shared" si="0"/>
        <v>61.091061127712919</v>
      </c>
      <c r="P3" s="125">
        <f t="shared" si="0"/>
        <v>48.090363817955001</v>
      </c>
      <c r="Q3" s="125">
        <f t="shared" si="0"/>
        <v>36.256988347369052</v>
      </c>
      <c r="R3" s="125">
        <f t="shared" ref="R3:W3" si="1">SUM(R4,R16,R19,R29)</f>
        <v>54.913318860693288</v>
      </c>
      <c r="S3" s="125">
        <f t="shared" si="1"/>
        <v>47.029960968178358</v>
      </c>
      <c r="T3" s="125">
        <f t="shared" si="1"/>
        <v>46.260051329049347</v>
      </c>
      <c r="U3" s="125">
        <f t="shared" si="1"/>
        <v>36.512632205684795</v>
      </c>
      <c r="V3" s="125">
        <f t="shared" si="1"/>
        <v>33.534945486839092</v>
      </c>
      <c r="W3" s="125">
        <f t="shared" si="1"/>
        <v>33.306279658516985</v>
      </c>
      <c r="X3" s="125">
        <f t="shared" ref="X3:Y3" si="2">SUM(X4,X16,X19,X29)</f>
        <v>25.08324760181161</v>
      </c>
      <c r="Y3" s="125">
        <f t="shared" si="2"/>
        <v>26.450987019585259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88.046772364632616</v>
      </c>
      <c r="D4" s="130">
        <f t="shared" si="3"/>
        <v>302.65089417910679</v>
      </c>
      <c r="E4" s="130">
        <f t="shared" si="3"/>
        <v>82.406429599411183</v>
      </c>
      <c r="F4" s="130">
        <f t="shared" si="3"/>
        <v>53.287042631941297</v>
      </c>
      <c r="G4" s="130">
        <f t="shared" si="3"/>
        <v>38.625747188142242</v>
      </c>
      <c r="H4" s="130">
        <f t="shared" si="3"/>
        <v>85.719127381354198</v>
      </c>
      <c r="I4" s="130">
        <f t="shared" si="3"/>
        <v>135.12877222429012</v>
      </c>
      <c r="J4" s="130">
        <f t="shared" si="3"/>
        <v>128.26365456128983</v>
      </c>
      <c r="K4" s="130">
        <f t="shared" si="3"/>
        <v>24.294580378143554</v>
      </c>
      <c r="L4" s="130">
        <f t="shared" si="3"/>
        <v>160.76207570579217</v>
      </c>
      <c r="M4" s="130">
        <f t="shared" si="3"/>
        <v>95.964650116536234</v>
      </c>
      <c r="N4" s="130">
        <f t="shared" si="3"/>
        <v>57.246452755452992</v>
      </c>
      <c r="O4" s="130">
        <f t="shared" si="3"/>
        <v>51.572903233360208</v>
      </c>
      <c r="P4" s="130">
        <f t="shared" si="3"/>
        <v>39.89650632431016</v>
      </c>
      <c r="Q4" s="130">
        <f t="shared" si="3"/>
        <v>29.688111626208755</v>
      </c>
      <c r="R4" s="130">
        <f t="shared" ref="R4:W4" si="4">SUM(R5:R15)</f>
        <v>43.177640177824152</v>
      </c>
      <c r="S4" s="130">
        <f t="shared" si="4"/>
        <v>35.114986412177565</v>
      </c>
      <c r="T4" s="130">
        <f t="shared" si="4"/>
        <v>32.060448176727142</v>
      </c>
      <c r="U4" s="130">
        <f t="shared" si="4"/>
        <v>21.77448121307026</v>
      </c>
      <c r="V4" s="130">
        <f t="shared" si="4"/>
        <v>19.696565435767447</v>
      </c>
      <c r="W4" s="130">
        <f t="shared" si="4"/>
        <v>22.533005419036662</v>
      </c>
      <c r="X4" s="130">
        <f t="shared" ref="X4:Y4" si="5">SUM(X5:X15)</f>
        <v>16.77481919946279</v>
      </c>
      <c r="Y4" s="130">
        <f t="shared" si="5"/>
        <v>19.318777406505905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61.313088186786352</v>
      </c>
      <c r="D7" s="132">
        <v>163.19257516985203</v>
      </c>
      <c r="E7" s="132">
        <v>50.687392619267541</v>
      </c>
      <c r="F7" s="132">
        <v>50.137638741763347</v>
      </c>
      <c r="G7" s="132">
        <v>36.383435507932226</v>
      </c>
      <c r="H7" s="132">
        <v>29.489764416552738</v>
      </c>
      <c r="I7" s="132">
        <v>20.393422005422625</v>
      </c>
      <c r="J7" s="132">
        <v>39.032892693556576</v>
      </c>
      <c r="K7" s="132">
        <v>4.7989535103199676</v>
      </c>
      <c r="L7" s="132">
        <v>50.739920670829335</v>
      </c>
      <c r="M7" s="132">
        <v>37.063292752800841</v>
      </c>
      <c r="N7" s="132">
        <v>21.123411849405851</v>
      </c>
      <c r="O7" s="132">
        <v>20.980670911730375</v>
      </c>
      <c r="P7" s="132">
        <v>15.913190875904586</v>
      </c>
      <c r="Q7" s="132">
        <v>14.43838023401649</v>
      </c>
      <c r="R7" s="132">
        <v>13.183806831930882</v>
      </c>
      <c r="S7" s="132">
        <v>13.081361670714585</v>
      </c>
      <c r="T7" s="132">
        <v>8.6601905587156391</v>
      </c>
      <c r="U7" s="132">
        <v>0</v>
      </c>
      <c r="V7" s="132">
        <v>2.8493367457698255</v>
      </c>
      <c r="W7" s="132">
        <v>0.71109885956536878</v>
      </c>
      <c r="X7" s="132">
        <v>0.34768954457572399</v>
      </c>
      <c r="Y7" s="132">
        <v>4.8601618979669396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7.9801198364709027E-4</v>
      </c>
      <c r="D8" s="132">
        <v>1.9612941012137472E-3</v>
      </c>
      <c r="E8" s="132">
        <v>5.8619392559911801E-4</v>
      </c>
      <c r="F8" s="132">
        <v>7.3765370530978844E-4</v>
      </c>
      <c r="G8" s="132">
        <v>1.1264472128605205E-3</v>
      </c>
      <c r="H8" s="132">
        <v>1.9295919717176558E-3</v>
      </c>
      <c r="I8" s="132">
        <v>1.660784384496871E-3</v>
      </c>
      <c r="J8" s="132">
        <v>1.3030377523859326E-3</v>
      </c>
      <c r="K8" s="132">
        <v>4.4167081131958711E-4</v>
      </c>
      <c r="L8" s="132">
        <v>1.8534597211974366E-3</v>
      </c>
      <c r="M8" s="132">
        <v>1.6337853643297645E-3</v>
      </c>
      <c r="N8" s="132">
        <v>1.1073489607757348E-3</v>
      </c>
      <c r="O8" s="132">
        <v>1.0042333960747377E-3</v>
      </c>
      <c r="P8" s="132">
        <v>1.1633121807032259E-3</v>
      </c>
      <c r="Q8" s="132">
        <v>6.2276737439916248E-4</v>
      </c>
      <c r="R8" s="132">
        <v>8.1408002640000524E-4</v>
      </c>
      <c r="S8" s="132">
        <v>5.7066907860450343E-4</v>
      </c>
      <c r="T8" s="132">
        <v>7.4467067358890829E-4</v>
      </c>
      <c r="U8" s="132">
        <v>9.449926008735526E-4</v>
      </c>
      <c r="V8" s="132">
        <v>1.545956287534231E-3</v>
      </c>
      <c r="W8" s="132">
        <v>2.2401766893141864E-3</v>
      </c>
      <c r="X8" s="132">
        <v>3.3502613073326882E-3</v>
      </c>
      <c r="Y8" s="132">
        <v>3.1498700490875603E-3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26.732886165862613</v>
      </c>
      <c r="D9" s="132">
        <v>139.45635771515353</v>
      </c>
      <c r="E9" s="132">
        <v>31.718450786218042</v>
      </c>
      <c r="F9" s="132">
        <v>0</v>
      </c>
      <c r="G9" s="132">
        <v>0</v>
      </c>
      <c r="H9" s="132">
        <v>55.395373387593388</v>
      </c>
      <c r="I9" s="132">
        <v>114.73368943448298</v>
      </c>
      <c r="J9" s="132">
        <v>89.229458829980857</v>
      </c>
      <c r="K9" s="132">
        <v>19.495185197012265</v>
      </c>
      <c r="L9" s="132">
        <v>110.02030157524165</v>
      </c>
      <c r="M9" s="132">
        <v>58.899723578371074</v>
      </c>
      <c r="N9" s="132">
        <v>36.121933557086365</v>
      </c>
      <c r="O9" s="132">
        <v>26.693162422796444</v>
      </c>
      <c r="P9" s="132">
        <v>17.152794613224202</v>
      </c>
      <c r="Q9" s="132">
        <v>12.98367375326872</v>
      </c>
      <c r="R9" s="132">
        <v>28.602613017175148</v>
      </c>
      <c r="S9" s="132">
        <v>21.687967640846576</v>
      </c>
      <c r="T9" s="132">
        <v>22.808760141429033</v>
      </c>
      <c r="U9" s="132">
        <v>20.974500086912744</v>
      </c>
      <c r="V9" s="132">
        <v>16.224605255524263</v>
      </c>
      <c r="W9" s="132">
        <v>20.896521901168022</v>
      </c>
      <c r="X9" s="132">
        <v>15.66119393868925</v>
      </c>
      <c r="Y9" s="132">
        <v>13.850857940476297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3.1486662364726441</v>
      </c>
      <c r="G10" s="132">
        <v>2.2411852329971569</v>
      </c>
      <c r="H10" s="132">
        <v>0.83205998523636215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3.8980656654373149</v>
      </c>
      <c r="P10" s="132">
        <v>6.8293575230006685</v>
      </c>
      <c r="Q10" s="132">
        <v>2.2654348715491452</v>
      </c>
      <c r="R10" s="132">
        <v>1.3904062486917286</v>
      </c>
      <c r="S10" s="132">
        <v>0.34508643153780133</v>
      </c>
      <c r="T10" s="132">
        <v>0.59075280590888435</v>
      </c>
      <c r="U10" s="132">
        <v>0.79903613355664227</v>
      </c>
      <c r="V10" s="132">
        <v>0.62107747818582493</v>
      </c>
      <c r="W10" s="132">
        <v>0.92314448161395768</v>
      </c>
      <c r="X10" s="132">
        <v>0.76258545489048413</v>
      </c>
      <c r="Y10" s="132">
        <v>0.60460769801358027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1.4532205757594528E-2</v>
      </c>
      <c r="D16" s="130">
        <f t="shared" si="6"/>
        <v>3.7046191099087536E-2</v>
      </c>
      <c r="E16" s="130">
        <f t="shared" si="6"/>
        <v>2.3087027418690676E-3</v>
      </c>
      <c r="F16" s="130">
        <f t="shared" si="6"/>
        <v>6.6047994546742636E-2</v>
      </c>
      <c r="G16" s="130">
        <f t="shared" si="6"/>
        <v>3.8153773168681356E-2</v>
      </c>
      <c r="H16" s="130">
        <f t="shared" si="6"/>
        <v>2.5277740941331981E-2</v>
      </c>
      <c r="I16" s="130">
        <f t="shared" si="6"/>
        <v>7.3111838191259174E-2</v>
      </c>
      <c r="J16" s="130">
        <f t="shared" si="6"/>
        <v>5.5444752027278714E-2</v>
      </c>
      <c r="K16" s="130">
        <f t="shared" si="6"/>
        <v>1.1376989594857702E-2</v>
      </c>
      <c r="L16" s="130">
        <f t="shared" si="6"/>
        <v>3.5114279924335655E-2</v>
      </c>
      <c r="M16" s="130">
        <f t="shared" si="6"/>
        <v>4.6267384037824148E-2</v>
      </c>
      <c r="N16" s="130">
        <f t="shared" si="6"/>
        <v>2.9569324641765638E-2</v>
      </c>
      <c r="O16" s="130">
        <f t="shared" si="6"/>
        <v>3.5510322010784245E-2</v>
      </c>
      <c r="P16" s="130">
        <f t="shared" si="6"/>
        <v>6.4087443478418021E-2</v>
      </c>
      <c r="Q16" s="130">
        <f t="shared" si="6"/>
        <v>6.9665794250361068E-2</v>
      </c>
      <c r="R16" s="130">
        <f t="shared" ref="R16:W16" si="7">SUM(R17:R18)</f>
        <v>8.2312960541555097E-2</v>
      </c>
      <c r="S16" s="130">
        <f t="shared" si="7"/>
        <v>4.9908936044235928E-2</v>
      </c>
      <c r="T16" s="130">
        <f t="shared" si="7"/>
        <v>0.10646065898038608</v>
      </c>
      <c r="U16" s="130">
        <f t="shared" si="7"/>
        <v>0.11496742490944679</v>
      </c>
      <c r="V16" s="130">
        <f t="shared" si="7"/>
        <v>7.4988773259080835E-2</v>
      </c>
      <c r="W16" s="130">
        <f t="shared" si="7"/>
        <v>4.5014489249587265E-2</v>
      </c>
      <c r="X16" s="130">
        <f t="shared" ref="X16:Y16" si="8">SUM(X17:X18)</f>
        <v>5.0298705917568486E-2</v>
      </c>
      <c r="Y16" s="130">
        <f t="shared" si="8"/>
        <v>5.7025299318834384E-2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1.4532205757594528E-2</v>
      </c>
      <c r="D17" s="132">
        <v>3.7046191099087536E-2</v>
      </c>
      <c r="E17" s="132">
        <v>2.3087027418690676E-3</v>
      </c>
      <c r="F17" s="132">
        <v>6.6047994546742636E-2</v>
      </c>
      <c r="G17" s="132">
        <v>3.8153773168681356E-2</v>
      </c>
      <c r="H17" s="132">
        <v>2.5277740941331981E-2</v>
      </c>
      <c r="I17" s="132">
        <v>7.3111838191259174E-2</v>
      </c>
      <c r="J17" s="132">
        <v>5.5444752027278714E-2</v>
      </c>
      <c r="K17" s="132">
        <v>1.1376989594857702E-2</v>
      </c>
      <c r="L17" s="132">
        <v>3.5114279924335655E-2</v>
      </c>
      <c r="M17" s="132">
        <v>4.6267384037824148E-2</v>
      </c>
      <c r="N17" s="132">
        <v>2.9569324641765638E-2</v>
      </c>
      <c r="O17" s="132">
        <v>3.5510322010784245E-2</v>
      </c>
      <c r="P17" s="132">
        <v>6.4087443478418021E-2</v>
      </c>
      <c r="Q17" s="132">
        <v>6.9665794250361068E-2</v>
      </c>
      <c r="R17" s="132">
        <v>8.2312960541555097E-2</v>
      </c>
      <c r="S17" s="132">
        <v>4.9908936044235928E-2</v>
      </c>
      <c r="T17" s="132">
        <v>0.10646065898038608</v>
      </c>
      <c r="U17" s="132">
        <v>0.11496742490944679</v>
      </c>
      <c r="V17" s="132">
        <v>7.4988773259080835E-2</v>
      </c>
      <c r="W17" s="132">
        <v>4.5014489249587265E-2</v>
      </c>
      <c r="X17" s="132">
        <v>5.0298705917568486E-2</v>
      </c>
      <c r="Y17" s="132">
        <v>5.7025299318834384E-2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9.7977005156822106</v>
      </c>
      <c r="D19" s="130">
        <f t="shared" si="9"/>
        <v>24.979795596085893</v>
      </c>
      <c r="E19" s="130">
        <f t="shared" si="9"/>
        <v>10.128825444271211</v>
      </c>
      <c r="F19" s="130">
        <f t="shared" si="9"/>
        <v>22.11821734743026</v>
      </c>
      <c r="G19" s="130">
        <f t="shared" si="9"/>
        <v>15.61469291771642</v>
      </c>
      <c r="H19" s="130">
        <f t="shared" si="9"/>
        <v>17.406901974092904</v>
      </c>
      <c r="I19" s="130">
        <f t="shared" si="9"/>
        <v>18.3142972622231</v>
      </c>
      <c r="J19" s="130">
        <f t="shared" si="9"/>
        <v>12.054601518902379</v>
      </c>
      <c r="K19" s="130">
        <f t="shared" si="9"/>
        <v>2.2421457338624022</v>
      </c>
      <c r="L19" s="130">
        <f t="shared" si="9"/>
        <v>15.723554896586872</v>
      </c>
      <c r="M19" s="130">
        <f t="shared" si="9"/>
        <v>14.116678373589231</v>
      </c>
      <c r="N19" s="130">
        <f t="shared" si="9"/>
        <v>8.1664301502244232</v>
      </c>
      <c r="O19" s="130">
        <f t="shared" si="9"/>
        <v>6.3339000148219871</v>
      </c>
      <c r="P19" s="130">
        <f t="shared" si="9"/>
        <v>5.1746872801172774</v>
      </c>
      <c r="Q19" s="130">
        <f t="shared" si="9"/>
        <v>3.6164367873043828</v>
      </c>
      <c r="R19" s="130">
        <f t="shared" ref="R19:W19" si="10">SUM(R20:R27)</f>
        <v>6.5630332965356413</v>
      </c>
      <c r="S19" s="130">
        <f t="shared" si="10"/>
        <v>6.3922655454709094</v>
      </c>
      <c r="T19" s="130">
        <f t="shared" si="10"/>
        <v>7.3821270096852816</v>
      </c>
      <c r="U19" s="130">
        <f t="shared" si="10"/>
        <v>7.7662083371811557</v>
      </c>
      <c r="V19" s="130">
        <f t="shared" si="10"/>
        <v>7.3624539169994154</v>
      </c>
      <c r="W19" s="130">
        <f t="shared" si="10"/>
        <v>6.5045850071016647</v>
      </c>
      <c r="X19" s="130">
        <f t="shared" ref="X19:Y19" si="11">SUM(X20:X27)</f>
        <v>4.139398313833718</v>
      </c>
      <c r="Y19" s="130">
        <f t="shared" si="11"/>
        <v>3.6209807789224078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0.40707301943848945</v>
      </c>
      <c r="D21" s="132">
        <v>0.70790502559378443</v>
      </c>
      <c r="E21" s="132">
        <v>5.410081211796916E-2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1.0433971980233561E-3</v>
      </c>
      <c r="M21" s="132">
        <v>0.26235466442730909</v>
      </c>
      <c r="N21" s="132">
        <v>0.34546943440639838</v>
      </c>
      <c r="O21" s="132">
        <v>0.2568379562614635</v>
      </c>
      <c r="P21" s="132">
        <v>9.8070572614417165E-2</v>
      </c>
      <c r="Q21" s="132">
        <v>7.7579329599582206E-2</v>
      </c>
      <c r="R21" s="132">
        <v>0.13820257810191622</v>
      </c>
      <c r="S21" s="132">
        <v>0.17376796127423411</v>
      </c>
      <c r="T21" s="132">
        <v>0.13302757106656402</v>
      </c>
      <c r="U21" s="132">
        <v>9.1390954424713206E-2</v>
      </c>
      <c r="V21" s="132">
        <v>0.10032527903164824</v>
      </c>
      <c r="W21" s="132">
        <v>0.17803829497827162</v>
      </c>
      <c r="X21" s="132">
        <v>0.3398151231329733</v>
      </c>
      <c r="Y21" s="132">
        <v>0.23495609490066788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3.5926784894779882</v>
      </c>
      <c r="D22" s="132">
        <v>7.4766296778723618</v>
      </c>
      <c r="E22" s="132">
        <v>3.9123399029354542</v>
      </c>
      <c r="F22" s="132">
        <v>7.9454026688292032</v>
      </c>
      <c r="G22" s="132">
        <v>5.7459289069940755</v>
      </c>
      <c r="H22" s="132">
        <v>5.8964981894354374</v>
      </c>
      <c r="I22" s="132">
        <v>5.4506419014309495</v>
      </c>
      <c r="J22" s="132">
        <v>3.5584209610897006</v>
      </c>
      <c r="K22" s="132">
        <v>0.92839001237645014</v>
      </c>
      <c r="L22" s="132">
        <v>5.3558490293095691</v>
      </c>
      <c r="M22" s="132">
        <v>4.9734631612705309</v>
      </c>
      <c r="N22" s="132">
        <v>3.0788257136621064</v>
      </c>
      <c r="O22" s="132">
        <v>2.4018470555813844</v>
      </c>
      <c r="P22" s="132">
        <v>1.5435852343819982</v>
      </c>
      <c r="Q22" s="132">
        <v>1.1933040451889956</v>
      </c>
      <c r="R22" s="132">
        <v>1.7449351688502843</v>
      </c>
      <c r="S22" s="132">
        <v>1.4059297249909746</v>
      </c>
      <c r="T22" s="132">
        <v>1.099654173164452</v>
      </c>
      <c r="U22" s="132">
        <v>0.64005255348506185</v>
      </c>
      <c r="V22" s="132">
        <v>1.731586739867192</v>
      </c>
      <c r="W22" s="132">
        <v>2.6051096499983588</v>
      </c>
      <c r="X22" s="132">
        <v>3.7995831907007447</v>
      </c>
      <c r="Y22" s="132">
        <v>3.3343450325827586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5.7979490067657329</v>
      </c>
      <c r="D23" s="132">
        <v>16.795260892619744</v>
      </c>
      <c r="E23" s="132">
        <v>6.1623847292177878</v>
      </c>
      <c r="F23" s="132">
        <v>14.172814678601055</v>
      </c>
      <c r="G23" s="132">
        <v>9.8687640107223444</v>
      </c>
      <c r="H23" s="132">
        <v>11.510403784657468</v>
      </c>
      <c r="I23" s="132">
        <v>12.86365536079215</v>
      </c>
      <c r="J23" s="132">
        <v>8.4961805578126786</v>
      </c>
      <c r="K23" s="132">
        <v>1.3137557214859521</v>
      </c>
      <c r="L23" s="132">
        <v>10.36666247007928</v>
      </c>
      <c r="M23" s="132">
        <v>8.8808605478913911</v>
      </c>
      <c r="N23" s="132">
        <v>4.7421350021559183</v>
      </c>
      <c r="O23" s="132">
        <v>3.6752150029791393</v>
      </c>
      <c r="P23" s="132">
        <v>3.5330314731208623</v>
      </c>
      <c r="Q23" s="132">
        <v>2.3455534125158053</v>
      </c>
      <c r="R23" s="132">
        <v>4.6798955495834402</v>
      </c>
      <c r="S23" s="132">
        <v>4.8125678592057008</v>
      </c>
      <c r="T23" s="132">
        <v>6.1494452654542657</v>
      </c>
      <c r="U23" s="132">
        <v>7.0347648292713805</v>
      </c>
      <c r="V23" s="132">
        <v>5.5305418981005747</v>
      </c>
      <c r="W23" s="132">
        <v>3.7214370621250343</v>
      </c>
      <c r="X23" s="132">
        <v>0</v>
      </c>
      <c r="Y23" s="132">
        <v>5.1679651438981421E-2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5.3013534915285563</v>
      </c>
      <c r="D29" s="130">
        <f t="shared" si="12"/>
        <v>8.5239686053197889</v>
      </c>
      <c r="E29" s="130">
        <f t="shared" si="12"/>
        <v>3.898215716238334</v>
      </c>
      <c r="F29" s="130">
        <f t="shared" si="12"/>
        <v>10.190128523845825</v>
      </c>
      <c r="G29" s="130">
        <f t="shared" si="12"/>
        <v>6.2225596294782068</v>
      </c>
      <c r="H29" s="130">
        <f t="shared" si="12"/>
        <v>8.8403598605080891</v>
      </c>
      <c r="I29" s="130">
        <f t="shared" si="12"/>
        <v>9.2174210883638885</v>
      </c>
      <c r="J29" s="130">
        <f t="shared" si="12"/>
        <v>8.3784792220110216</v>
      </c>
      <c r="K29" s="130">
        <f t="shared" si="12"/>
        <v>2.2319665913455489</v>
      </c>
      <c r="L29" s="130">
        <f t="shared" si="12"/>
        <v>11.28590024902212</v>
      </c>
      <c r="M29" s="130">
        <f t="shared" si="12"/>
        <v>5.4604072575520783</v>
      </c>
      <c r="N29" s="130">
        <f t="shared" si="12"/>
        <v>3.5763948700119754</v>
      </c>
      <c r="O29" s="130">
        <f t="shared" si="12"/>
        <v>3.1487475575199415</v>
      </c>
      <c r="P29" s="130">
        <f t="shared" si="12"/>
        <v>2.9550827700491458</v>
      </c>
      <c r="Q29" s="130">
        <f t="shared" si="12"/>
        <v>2.8827741396055528</v>
      </c>
      <c r="R29" s="130">
        <f t="shared" ref="R29:W29" si="13">SUM(R30:R33)</f>
        <v>5.0903324257919351</v>
      </c>
      <c r="S29" s="130">
        <f t="shared" si="13"/>
        <v>5.47280007448565</v>
      </c>
      <c r="T29" s="130">
        <f t="shared" si="13"/>
        <v>6.7110154836565314</v>
      </c>
      <c r="U29" s="130">
        <f t="shared" si="13"/>
        <v>6.85697523052393</v>
      </c>
      <c r="V29" s="130">
        <f t="shared" si="13"/>
        <v>6.4009373608131552</v>
      </c>
      <c r="W29" s="130">
        <f t="shared" si="13"/>
        <v>4.223674743129072</v>
      </c>
      <c r="X29" s="130">
        <f t="shared" ref="X29:Y29" si="14">SUM(X30:X33)</f>
        <v>4.1187313825975345</v>
      </c>
      <c r="Y29" s="130">
        <f t="shared" si="14"/>
        <v>3.4542035348381122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0.36683706456799092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0.45006391413610169</v>
      </c>
      <c r="K30" s="132">
        <v>0.38713679475348356</v>
      </c>
      <c r="L30" s="132">
        <v>3.1793208730797491</v>
      </c>
      <c r="M30" s="132">
        <v>0</v>
      </c>
      <c r="N30" s="132">
        <v>0</v>
      </c>
      <c r="O30" s="132">
        <v>5.0770034621548617E-2</v>
      </c>
      <c r="P30" s="132">
        <v>0</v>
      </c>
      <c r="Q30" s="132">
        <v>0.31921018719832556</v>
      </c>
      <c r="R30" s="132">
        <v>9.0282696854408429E-2</v>
      </c>
      <c r="S30" s="132">
        <v>0.5189602494557124</v>
      </c>
      <c r="T30" s="132">
        <v>0.61435826974494367</v>
      </c>
      <c r="U30" s="132">
        <v>1.0191834395293033</v>
      </c>
      <c r="V30" s="132">
        <v>1.1960627645020023</v>
      </c>
      <c r="W30" s="132">
        <v>0.86811222401109711</v>
      </c>
      <c r="X30" s="132">
        <v>0</v>
      </c>
      <c r="Y30" s="132">
        <v>0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4.934516426960565</v>
      </c>
      <c r="D31" s="132">
        <v>8.5239686053197889</v>
      </c>
      <c r="E31" s="132">
        <v>3.898215716238334</v>
      </c>
      <c r="F31" s="132">
        <v>10.190128523845825</v>
      </c>
      <c r="G31" s="132">
        <v>6.2225596294782068</v>
      </c>
      <c r="H31" s="132">
        <v>8.8403598605080891</v>
      </c>
      <c r="I31" s="132">
        <v>9.2174210883638885</v>
      </c>
      <c r="J31" s="132">
        <v>7.9284153078749195</v>
      </c>
      <c r="K31" s="132">
        <v>1.8448297965920653</v>
      </c>
      <c r="L31" s="132">
        <v>8.1065793759423705</v>
      </c>
      <c r="M31" s="132">
        <v>5.4604072575520783</v>
      </c>
      <c r="N31" s="132">
        <v>3.5763948700119754</v>
      </c>
      <c r="O31" s="132">
        <v>3.0137790223891319</v>
      </c>
      <c r="P31" s="132">
        <v>2.8338602552927834</v>
      </c>
      <c r="Q31" s="132">
        <v>2.4676545042063847</v>
      </c>
      <c r="R31" s="132">
        <v>4.9075783535196216</v>
      </c>
      <c r="S31" s="132">
        <v>4.8882305168794655</v>
      </c>
      <c r="T31" s="132">
        <v>6.0932408372741467</v>
      </c>
      <c r="U31" s="132">
        <v>5.8377917909946264</v>
      </c>
      <c r="V31" s="132">
        <v>5.2048745963111527</v>
      </c>
      <c r="W31" s="132">
        <v>3.3555625191179748</v>
      </c>
      <c r="X31" s="132">
        <v>4.1159166545461536</v>
      </c>
      <c r="Y31" s="132">
        <v>3.4542035348381122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8.4198500509260699E-2</v>
      </c>
      <c r="P32" s="132">
        <v>0.12122251475636246</v>
      </c>
      <c r="Q32" s="132">
        <v>9.5909448200842642E-2</v>
      </c>
      <c r="R32" s="132">
        <v>9.2471375417905427E-2</v>
      </c>
      <c r="S32" s="132">
        <v>6.5609308150471571E-2</v>
      </c>
      <c r="T32" s="132">
        <v>3.416376637440567E-3</v>
      </c>
      <c r="U32" s="132">
        <v>0</v>
      </c>
      <c r="V32" s="132">
        <v>0</v>
      </c>
      <c r="W32" s="132">
        <v>0</v>
      </c>
      <c r="X32" s="132">
        <v>2.81472805138067E-3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169326.90943652391</v>
      </c>
      <c r="D3" s="125">
        <f>IF(SER_hh_fec_in!D3=0,0,11630*1000*SER_hh_fec_in!D3/SER_hh_num_in!D3)</f>
        <v>173248.81010668291</v>
      </c>
      <c r="E3" s="125">
        <f>IF(SER_hh_fec_in!E3=0,0,11630*1000*SER_hh_fec_in!E3/SER_hh_num_in!E3)</f>
        <v>161849.25324980254</v>
      </c>
      <c r="F3" s="125">
        <f>IF(SER_hh_fec_in!F3=0,0,11630*1000*SER_hh_fec_in!F3/SER_hh_num_in!F3)</f>
        <v>210927.53365637423</v>
      </c>
      <c r="G3" s="125">
        <f>IF(SER_hh_fec_in!G3=0,0,11630*1000*SER_hh_fec_in!G3/SER_hh_num_in!G3)</f>
        <v>179593.82746304467</v>
      </c>
      <c r="H3" s="125">
        <f>IF(SER_hh_fec_in!H3=0,0,11630*1000*SER_hh_fec_in!H3/SER_hh_num_in!H3)</f>
        <v>167453.34512491032</v>
      </c>
      <c r="I3" s="125">
        <f>IF(SER_hh_fec_in!I3=0,0,11630*1000*SER_hh_fec_in!I3/SER_hh_num_in!I3)</f>
        <v>159782.80095985954</v>
      </c>
      <c r="J3" s="125">
        <f>IF(SER_hh_fec_in!J3=0,0,11630*1000*SER_hh_fec_in!J3/SER_hh_num_in!J3)</f>
        <v>177887.5344028924</v>
      </c>
      <c r="K3" s="125">
        <f>IF(SER_hh_fec_in!K3=0,0,11630*1000*SER_hh_fec_in!K3/SER_hh_num_in!K3)</f>
        <v>170305.66218677847</v>
      </c>
      <c r="L3" s="125">
        <f>IF(SER_hh_fec_in!L3=0,0,11630*1000*SER_hh_fec_in!L3/SER_hh_num_in!L3)</f>
        <v>176668.40116662675</v>
      </c>
      <c r="M3" s="125">
        <f>IF(SER_hh_fec_in!M3=0,0,11630*1000*SER_hh_fec_in!M3/SER_hh_num_in!M3)</f>
        <v>139875.79510984838</v>
      </c>
      <c r="N3" s="125">
        <f>IF(SER_hh_fec_in!N3=0,0,11630*1000*SER_hh_fec_in!N3/SER_hh_num_in!N3)</f>
        <v>142958.92474092264</v>
      </c>
      <c r="O3" s="125">
        <f>IF(SER_hh_fec_in!O3=0,0,11630*1000*SER_hh_fec_in!O3/SER_hh_num_in!O3)</f>
        <v>145184.83769785706</v>
      </c>
      <c r="P3" s="125">
        <f>IF(SER_hh_fec_in!P3=0,0,11630*1000*SER_hh_fec_in!P3/SER_hh_num_in!P3)</f>
        <v>115337.65414254001</v>
      </c>
      <c r="Q3" s="125">
        <f>IF(SER_hh_fec_in!Q3=0,0,11630*1000*SER_hh_fec_in!Q3/SER_hh_num_in!Q3)</f>
        <v>119611.68923035919</v>
      </c>
      <c r="R3" s="125">
        <f>IF(SER_hh_fec_in!R3=0,0,11630*1000*SER_hh_fec_in!R3/SER_hh_num_in!R3)</f>
        <v>111795.82140572782</v>
      </c>
      <c r="S3" s="125">
        <f>IF(SER_hh_fec_in!S3=0,0,11630*1000*SER_hh_fec_in!S3/SER_hh_num_in!S3)</f>
        <v>105932.93591816284</v>
      </c>
      <c r="T3" s="125">
        <f>IF(SER_hh_fec_in!T3=0,0,11630*1000*SER_hh_fec_in!T3/SER_hh_num_in!T3)</f>
        <v>100552.70343402094</v>
      </c>
      <c r="U3" s="125">
        <f>IF(SER_hh_fec_in!U3=0,0,11630*1000*SER_hh_fec_in!U3/SER_hh_num_in!U3)</f>
        <v>92262.335896551027</v>
      </c>
      <c r="V3" s="125">
        <f>IF(SER_hh_fec_in!V3=0,0,11630*1000*SER_hh_fec_in!V3/SER_hh_num_in!V3)</f>
        <v>82560.979060433121</v>
      </c>
      <c r="W3" s="125">
        <f>IF(SER_hh_fec_in!W3=0,0,11630*1000*SER_hh_fec_in!W3/SER_hh_num_in!W3)</f>
        <v>80080.788221880386</v>
      </c>
      <c r="X3" s="125">
        <f>IF(SER_hh_fec_in!X3=0,0,11630*1000*SER_hh_fec_in!X3/SER_hh_num_in!X3)</f>
        <v>65875.295455146246</v>
      </c>
      <c r="Y3" s="125">
        <f>IF(SER_hh_fec_in!Y3=0,0,11630*1000*SER_hh_fec_in!Y3/SER_hh_num_in!Y3)</f>
        <v>65353.573017044095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124882.23962235733</v>
      </c>
      <c r="D4" s="130">
        <f>IF(SER_hh_fec_in!D4=0,0,11630*1000*SER_hh_fec_in!D4/SER_hh_num_in!D4)</f>
        <v>131657.58408243873</v>
      </c>
      <c r="E4" s="130">
        <f>IF(SER_hh_fec_in!E4=0,0,11630*1000*SER_hh_fec_in!E4/SER_hh_num_in!E4)</f>
        <v>113776.2115285444</v>
      </c>
      <c r="F4" s="130">
        <f>IF(SER_hh_fec_in!F4=0,0,11630*1000*SER_hh_fec_in!F4/SER_hh_num_in!F4)</f>
        <v>168262.03291868611</v>
      </c>
      <c r="G4" s="130">
        <f>IF(SER_hh_fec_in!G4=0,0,11630*1000*SER_hh_fec_in!G4/SER_hh_num_in!G4)</f>
        <v>136945.88958098117</v>
      </c>
      <c r="H4" s="130">
        <f>IF(SER_hh_fec_in!H4=0,0,11630*1000*SER_hh_fec_in!H4/SER_hh_num_in!H4)</f>
        <v>123378.86693058566</v>
      </c>
      <c r="I4" s="130">
        <f>IF(SER_hh_fec_in!I4=0,0,11630*1000*SER_hh_fec_in!I4/SER_hh_num_in!I4)</f>
        <v>118659.4946786785</v>
      </c>
      <c r="J4" s="130">
        <f>IF(SER_hh_fec_in!J4=0,0,11630*1000*SER_hh_fec_in!J4/SER_hh_num_in!J4)</f>
        <v>136546.77591710386</v>
      </c>
      <c r="K4" s="130">
        <f>IF(SER_hh_fec_in!K4=0,0,11630*1000*SER_hh_fec_in!K4/SER_hh_num_in!K4)</f>
        <v>129625.65934515504</v>
      </c>
      <c r="L4" s="130">
        <f>IF(SER_hh_fec_in!L4=0,0,11630*1000*SER_hh_fec_in!L4/SER_hh_num_in!L4)</f>
        <v>134914.9810120753</v>
      </c>
      <c r="M4" s="130">
        <f>IF(SER_hh_fec_in!M4=0,0,11630*1000*SER_hh_fec_in!M4/SER_hh_num_in!M4)</f>
        <v>99946.493990153918</v>
      </c>
      <c r="N4" s="130">
        <f>IF(SER_hh_fec_in!N4=0,0,11630*1000*SER_hh_fec_in!N4/SER_hh_num_in!N4)</f>
        <v>102824.96959200701</v>
      </c>
      <c r="O4" s="130">
        <f>IF(SER_hh_fec_in!O4=0,0,11630*1000*SER_hh_fec_in!O4/SER_hh_num_in!O4)</f>
        <v>105573.87467221809</v>
      </c>
      <c r="P4" s="130">
        <f>IF(SER_hh_fec_in!P4=0,0,11630*1000*SER_hh_fec_in!P4/SER_hh_num_in!P4)</f>
        <v>76785.278313772345</v>
      </c>
      <c r="Q4" s="130">
        <f>IF(SER_hh_fec_in!Q4=0,0,11630*1000*SER_hh_fec_in!Q4/SER_hh_num_in!Q4)</f>
        <v>80546.511720730239</v>
      </c>
      <c r="R4" s="130">
        <f>IF(SER_hh_fec_in!R4=0,0,11630*1000*SER_hh_fec_in!R4/SER_hh_num_in!R4)</f>
        <v>73408.605079803761</v>
      </c>
      <c r="S4" s="130">
        <f>IF(SER_hh_fec_in!S4=0,0,11630*1000*SER_hh_fec_in!S4/SER_hh_num_in!S4)</f>
        <v>67952.69040111934</v>
      </c>
      <c r="T4" s="130">
        <f>IF(SER_hh_fec_in!T4=0,0,11630*1000*SER_hh_fec_in!T4/SER_hh_num_in!T4)</f>
        <v>62403.570538121538</v>
      </c>
      <c r="U4" s="130">
        <f>IF(SER_hh_fec_in!U4=0,0,11630*1000*SER_hh_fec_in!U4/SER_hh_num_in!U4)</f>
        <v>55874.031684847578</v>
      </c>
      <c r="V4" s="130">
        <f>IF(SER_hh_fec_in!V4=0,0,11630*1000*SER_hh_fec_in!V4/SER_hh_num_in!V4)</f>
        <v>47867.564691310778</v>
      </c>
      <c r="W4" s="130">
        <f>IF(SER_hh_fec_in!W4=0,0,11630*1000*SER_hh_fec_in!W4/SER_hh_num_in!W4)</f>
        <v>46906.616214382331</v>
      </c>
      <c r="X4" s="130">
        <f>IF(SER_hh_fec_in!X4=0,0,11630*1000*SER_hh_fec_in!X4/SER_hh_num_in!X4)</f>
        <v>32276.114817616646</v>
      </c>
      <c r="Y4" s="130">
        <f>IF(SER_hh_fec_in!Y4=0,0,11630*1000*SER_hh_fec_in!Y4/SER_hh_num_in!Y4)</f>
        <v>31795.157221573536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0</v>
      </c>
      <c r="D5" s="132">
        <f>IF(SER_hh_fec_in!D5=0,0,11630*1000*SER_hh_fec_in!D5/SER_hh_num_in!D5)</f>
        <v>0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0</v>
      </c>
      <c r="N5" s="132">
        <f>IF(SER_hh_fec_in!N5=0,0,11630*1000*SER_hh_fec_in!N5/SER_hh_num_in!N5)</f>
        <v>0</v>
      </c>
      <c r="O5" s="132">
        <f>IF(SER_hh_fec_in!O5=0,0,11630*1000*SER_hh_fec_in!O5/SER_hh_num_in!O5)</f>
        <v>0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121901.70651124456</v>
      </c>
      <c r="D7" s="132">
        <f>IF(SER_hh_fec_in!D7=0,0,11630*1000*SER_hh_fec_in!D7/SER_hh_num_in!D7)</f>
        <v>154452.78920354531</v>
      </c>
      <c r="E7" s="132">
        <f>IF(SER_hh_fec_in!E7=0,0,11630*1000*SER_hh_fec_in!E7/SER_hh_num_in!E7)</f>
        <v>173685.35917403706</v>
      </c>
      <c r="F7" s="132">
        <f>IF(SER_hh_fec_in!F7=0,0,11630*1000*SER_hh_fec_in!F7/SER_hh_num_in!F7)</f>
        <v>168459.09592778792</v>
      </c>
      <c r="G7" s="132">
        <f>IF(SER_hh_fec_in!G7=0,0,11630*1000*SER_hh_fec_in!G7/SER_hh_num_in!G7)</f>
        <v>169160.77384347428</v>
      </c>
      <c r="H7" s="132">
        <f>IF(SER_hh_fec_in!H7=0,0,11630*1000*SER_hh_fec_in!H7/SER_hh_num_in!H7)</f>
        <v>146080.09418882124</v>
      </c>
      <c r="I7" s="132">
        <f>IF(SER_hh_fec_in!I7=0,0,11630*1000*SER_hh_fec_in!I7/SER_hh_num_in!I7)</f>
        <v>123744.68161634466</v>
      </c>
      <c r="J7" s="132">
        <f>IF(SER_hh_fec_in!J7=0,0,11630*1000*SER_hh_fec_in!J7/SER_hh_num_in!J7)</f>
        <v>154505.23501748475</v>
      </c>
      <c r="K7" s="132">
        <f>IF(SER_hh_fec_in!K7=0,0,11630*1000*SER_hh_fec_in!K7/SER_hh_num_in!K7)</f>
        <v>124904.84850674975</v>
      </c>
      <c r="L7" s="132">
        <f>IF(SER_hh_fec_in!L7=0,0,11630*1000*SER_hh_fec_in!L7/SER_hh_num_in!L7)</f>
        <v>138164.26014818237</v>
      </c>
      <c r="M7" s="132">
        <f>IF(SER_hh_fec_in!M7=0,0,11630*1000*SER_hh_fec_in!M7/SER_hh_num_in!M7)</f>
        <v>110872.9848107796</v>
      </c>
      <c r="N7" s="132">
        <f>IF(SER_hh_fec_in!N7=0,0,11630*1000*SER_hh_fec_in!N7/SER_hh_num_in!N7)</f>
        <v>105850.15794865222</v>
      </c>
      <c r="O7" s="132">
        <f>IF(SER_hh_fec_in!O7=0,0,11630*1000*SER_hh_fec_in!O7/SER_hh_num_in!O7)</f>
        <v>109562.32700961386</v>
      </c>
      <c r="P7" s="132">
        <f>IF(SER_hh_fec_in!P7=0,0,11630*1000*SER_hh_fec_in!P7/SER_hh_num_in!P7)</f>
        <v>77325.582301158298</v>
      </c>
      <c r="Q7" s="132">
        <f>IF(SER_hh_fec_in!Q7=0,0,11630*1000*SER_hh_fec_in!Q7/SER_hh_num_in!Q7)</f>
        <v>86994.245773475588</v>
      </c>
      <c r="R7" s="132">
        <f>IF(SER_hh_fec_in!R7=0,0,11630*1000*SER_hh_fec_in!R7/SER_hh_num_in!R7)</f>
        <v>77009.204496158185</v>
      </c>
      <c r="S7" s="132">
        <f>IF(SER_hh_fec_in!S7=0,0,11630*1000*SER_hh_fec_in!S7/SER_hh_num_in!S7)</f>
        <v>76723.40787365404</v>
      </c>
      <c r="T7" s="132">
        <f>IF(SER_hh_fec_in!T7=0,0,11630*1000*SER_hh_fec_in!T7/SER_hh_num_in!T7)</f>
        <v>74920.029072496924</v>
      </c>
      <c r="U7" s="132">
        <f>IF(SER_hh_fec_in!U7=0,0,11630*1000*SER_hh_fec_in!U7/SER_hh_num_in!U7)</f>
        <v>0</v>
      </c>
      <c r="V7" s="132">
        <f>IF(SER_hh_fec_in!V7=0,0,11630*1000*SER_hh_fec_in!V7/SER_hh_num_in!V7)</f>
        <v>64794.582766922613</v>
      </c>
      <c r="W7" s="132">
        <f>IF(SER_hh_fec_in!W7=0,0,11630*1000*SER_hh_fec_in!W7/SER_hh_num_in!W7)</f>
        <v>49059.306443151523</v>
      </c>
      <c r="X7" s="132">
        <f>IF(SER_hh_fec_in!X7=0,0,11630*1000*SER_hh_fec_in!X7/SER_hh_num_in!X7)</f>
        <v>36008.10407804943</v>
      </c>
      <c r="Y7" s="132">
        <f>IF(SER_hh_fec_in!Y7=0,0,11630*1000*SER_hh_fec_in!Y7/SER_hh_num_in!Y7)</f>
        <v>37676.428539359011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38034.183079384042</v>
      </c>
      <c r="D8" s="132">
        <f>IF(SER_hh_fec_in!D8=0,0,11630*1000*SER_hh_fec_in!D8/SER_hh_num_in!D8)</f>
        <v>36956.319717564416</v>
      </c>
      <c r="E8" s="132">
        <f>IF(SER_hh_fec_in!E8=0,0,11630*1000*SER_hh_fec_in!E8/SER_hh_num_in!E8)</f>
        <v>35939.982691560603</v>
      </c>
      <c r="F8" s="132">
        <f>IF(SER_hh_fec_in!F8=0,0,11630*1000*SER_hh_fec_in!F8/SER_hh_num_in!F8)</f>
        <v>40566.163973646944</v>
      </c>
      <c r="G8" s="132">
        <f>IF(SER_hh_fec_in!G8=0,0,11630*1000*SER_hh_fec_in!G8/SER_hh_num_in!G8)</f>
        <v>37506.64058212813</v>
      </c>
      <c r="H8" s="132">
        <f>IF(SER_hh_fec_in!H8=0,0,11630*1000*SER_hh_fec_in!H8/SER_hh_num_in!H8)</f>
        <v>35812.029488344</v>
      </c>
      <c r="I8" s="132">
        <f>IF(SER_hh_fec_in!I8=0,0,11630*1000*SER_hh_fec_in!I8/SER_hh_num_in!I8)</f>
        <v>29965.877910910356</v>
      </c>
      <c r="J8" s="132">
        <f>IF(SER_hh_fec_in!J8=0,0,11630*1000*SER_hh_fec_in!J8/SER_hh_num_in!J8)</f>
        <v>30802.81148558281</v>
      </c>
      <c r="K8" s="132">
        <f>IF(SER_hh_fec_in!K8=0,0,11630*1000*SER_hh_fec_in!K8/SER_hh_num_in!K8)</f>
        <v>29600.144400293928</v>
      </c>
      <c r="L8" s="132">
        <f>IF(SER_hh_fec_in!L8=0,0,11630*1000*SER_hh_fec_in!L8/SER_hh_num_in!L8)</f>
        <v>27941.290621887772</v>
      </c>
      <c r="M8" s="132">
        <f>IF(SER_hh_fec_in!M8=0,0,11630*1000*SER_hh_fec_in!M8/SER_hh_num_in!M8)</f>
        <v>21414.487616857274</v>
      </c>
      <c r="N8" s="132">
        <f>IF(SER_hh_fec_in!N8=0,0,11630*1000*SER_hh_fec_in!N8/SER_hh_num_in!N8)</f>
        <v>21746.229387134987</v>
      </c>
      <c r="O8" s="132">
        <f>IF(SER_hh_fec_in!O8=0,0,11630*1000*SER_hh_fec_in!O8/SER_hh_num_in!O8)</f>
        <v>21950.050325656819</v>
      </c>
      <c r="P8" s="132">
        <f>IF(SER_hh_fec_in!P8=0,0,11630*1000*SER_hh_fec_in!P8/SER_hh_num_in!P8)</f>
        <v>15260.062770309511</v>
      </c>
      <c r="Q8" s="132">
        <f>IF(SER_hh_fec_in!Q8=0,0,11630*1000*SER_hh_fec_in!Q8/SER_hh_num_in!Q8)</f>
        <v>15827.1343413301</v>
      </c>
      <c r="R8" s="132">
        <f>IF(SER_hh_fec_in!R8=0,0,11630*1000*SER_hh_fec_in!R8/SER_hh_num_in!R8)</f>
        <v>14986.754982314509</v>
      </c>
      <c r="S8" s="132">
        <f>IF(SER_hh_fec_in!S8=0,0,11630*1000*SER_hh_fec_in!S8/SER_hh_num_in!S8)</f>
        <v>13388.399125564791</v>
      </c>
      <c r="T8" s="132">
        <f>IF(SER_hh_fec_in!T8=0,0,11630*1000*SER_hh_fec_in!T8/SER_hh_num_in!T8)</f>
        <v>12392.974478474533</v>
      </c>
      <c r="U8" s="132">
        <f>IF(SER_hh_fec_in!U8=0,0,11630*1000*SER_hh_fec_in!U8/SER_hh_num_in!U8)</f>
        <v>11352.374391087274</v>
      </c>
      <c r="V8" s="132">
        <f>IF(SER_hh_fec_in!V8=0,0,11630*1000*SER_hh_fec_in!V8/SER_hh_num_in!V8)</f>
        <v>9515.644399344339</v>
      </c>
      <c r="W8" s="132">
        <f>IF(SER_hh_fec_in!W8=0,0,11630*1000*SER_hh_fec_in!W8/SER_hh_num_in!W8)</f>
        <v>7735.7182255294938</v>
      </c>
      <c r="X8" s="132">
        <f>IF(SER_hh_fec_in!X8=0,0,11630*1000*SER_hh_fec_in!X8/SER_hh_num_in!X8)</f>
        <v>7185.2155995239382</v>
      </c>
      <c r="Y8" s="132">
        <f>IF(SER_hh_fec_in!Y8=0,0,11630*1000*SER_hh_fec_in!Y8/SER_hh_num_in!Y8)</f>
        <v>7260.5855394903929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130677.7596489896</v>
      </c>
      <c r="D9" s="132">
        <f>IF(SER_hh_fec_in!D9=0,0,11630*1000*SER_hh_fec_in!D9/SER_hh_num_in!D9)</f>
        <v>119883.58916115022</v>
      </c>
      <c r="E9" s="132">
        <f>IF(SER_hh_fec_in!E9=0,0,11630*1000*SER_hh_fec_in!E9/SER_hh_num_in!E9)</f>
        <v>124596.23951020457</v>
      </c>
      <c r="F9" s="132">
        <f>IF(SER_hh_fec_in!F9=0,0,11630*1000*SER_hh_fec_in!F9/SER_hh_num_in!F9)</f>
        <v>0</v>
      </c>
      <c r="G9" s="132">
        <f>IF(SER_hh_fec_in!G9=0,0,11630*1000*SER_hh_fec_in!G9/SER_hh_num_in!G9)</f>
        <v>0</v>
      </c>
      <c r="H9" s="132">
        <f>IF(SER_hh_fec_in!H9=0,0,11630*1000*SER_hh_fec_in!H9/SER_hh_num_in!H9)</f>
        <v>137451.4995228771</v>
      </c>
      <c r="I9" s="132">
        <f>IF(SER_hh_fec_in!I9=0,0,11630*1000*SER_hh_fec_in!I9/SER_hh_num_in!I9)</f>
        <v>120155.37233530193</v>
      </c>
      <c r="J9" s="132">
        <f>IF(SER_hh_fec_in!J9=0,0,11630*1000*SER_hh_fec_in!J9/SER_hh_num_in!J9)</f>
        <v>130202.36457650203</v>
      </c>
      <c r="K9" s="132">
        <f>IF(SER_hh_fec_in!K9=0,0,11630*1000*SER_hh_fec_in!K9/SER_hh_num_in!K9)</f>
        <v>130811.17559198711</v>
      </c>
      <c r="L9" s="132">
        <f>IF(SER_hh_fec_in!L9=0,0,11630*1000*SER_hh_fec_in!L9/SER_hh_num_in!L9)</f>
        <v>133280.73050484</v>
      </c>
      <c r="M9" s="132">
        <f>IF(SER_hh_fec_in!M9=0,0,11630*1000*SER_hh_fec_in!M9/SER_hh_num_in!M9)</f>
        <v>96180.463227642671</v>
      </c>
      <c r="N9" s="132">
        <f>IF(SER_hh_fec_in!N9=0,0,11630*1000*SER_hh_fec_in!N9/SER_hh_num_in!N9)</f>
        <v>102237.72629931234</v>
      </c>
      <c r="O9" s="132">
        <f>IF(SER_hh_fec_in!O9=0,0,11630*1000*SER_hh_fec_in!O9/SER_hh_num_in!O9)</f>
        <v>104135.96190748086</v>
      </c>
      <c r="P9" s="132">
        <f>IF(SER_hh_fec_in!P9=0,0,11630*1000*SER_hh_fec_in!P9/SER_hh_num_in!P9)</f>
        <v>70014.68987587413</v>
      </c>
      <c r="Q9" s="132">
        <f>IF(SER_hh_fec_in!Q9=0,0,11630*1000*SER_hh_fec_in!Q9/SER_hh_num_in!Q9)</f>
        <v>73889.684531009319</v>
      </c>
      <c r="R9" s="132">
        <f>IF(SER_hh_fec_in!R9=0,0,11630*1000*SER_hh_fec_in!R9/SER_hh_num_in!R9)</f>
        <v>72890.140257686391</v>
      </c>
      <c r="S9" s="132">
        <f>IF(SER_hh_fec_in!S9=0,0,11630*1000*SER_hh_fec_in!S9/SER_hh_num_in!S9)</f>
        <v>66991.995274618093</v>
      </c>
      <c r="T9" s="132">
        <f>IF(SER_hh_fec_in!T9=0,0,11630*1000*SER_hh_fec_in!T9/SER_hh_num_in!T9)</f>
        <v>63116.087372195565</v>
      </c>
      <c r="U9" s="132">
        <f>IF(SER_hh_fec_in!U9=0,0,11630*1000*SER_hh_fec_in!U9/SER_hh_num_in!U9)</f>
        <v>57459.173685402282</v>
      </c>
      <c r="V9" s="132">
        <f>IF(SER_hh_fec_in!V9=0,0,11630*1000*SER_hh_fec_in!V9/SER_hh_num_in!V9)</f>
        <v>49192.610643474756</v>
      </c>
      <c r="W9" s="132">
        <f>IF(SER_hh_fec_in!W9=0,0,11630*1000*SER_hh_fec_in!W9/SER_hh_num_in!W9)</f>
        <v>51368.683661600546</v>
      </c>
      <c r="X9" s="132">
        <f>IF(SER_hh_fec_in!X9=0,0,11630*1000*SER_hh_fec_in!X9/SER_hh_num_in!X9)</f>
        <v>33794.248320771287</v>
      </c>
      <c r="Y9" s="132">
        <f>IF(SER_hh_fec_in!Y9=0,0,11630*1000*SER_hh_fec_in!Y9/SER_hh_num_in!Y9)</f>
        <v>32112.326611085438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161743.45233445347</v>
      </c>
      <c r="D10" s="132">
        <f>IF(SER_hh_fec_in!D10=0,0,11630*1000*SER_hh_fec_in!D10/SER_hh_num_in!D10)</f>
        <v>11917.237238997272</v>
      </c>
      <c r="E10" s="132">
        <f>IF(SER_hh_fec_in!E10=0,0,11630*1000*SER_hh_fec_in!E10/SER_hh_num_in!E10)</f>
        <v>3745.747855112571</v>
      </c>
      <c r="F10" s="132">
        <f>IF(SER_hh_fec_in!F10=0,0,11630*1000*SER_hh_fec_in!F10/SER_hh_num_in!F10)</f>
        <v>265347.11368814547</v>
      </c>
      <c r="G10" s="132">
        <f>IF(SER_hh_fec_in!G10=0,0,11630*1000*SER_hh_fec_in!G10/SER_hh_num_in!G10)</f>
        <v>226503.01775889396</v>
      </c>
      <c r="H10" s="132">
        <f>IF(SER_hh_fec_in!H10=0,0,11630*1000*SER_hh_fec_in!H10/SER_hh_num_in!H10)</f>
        <v>196832.18645714159</v>
      </c>
      <c r="I10" s="132">
        <f>IF(SER_hh_fec_in!I10=0,0,11630*1000*SER_hh_fec_in!I10/SER_hh_num_in!I10)</f>
        <v>0</v>
      </c>
      <c r="J10" s="132">
        <f>IF(SER_hh_fec_in!J10=0,0,11630*1000*SER_hh_fec_in!J10/SER_hh_num_in!J10)</f>
        <v>0</v>
      </c>
      <c r="K10" s="132">
        <f>IF(SER_hh_fec_in!K10=0,0,11630*1000*SER_hh_fec_in!K10/SER_hh_num_in!K10)</f>
        <v>44441.105845748069</v>
      </c>
      <c r="L10" s="132">
        <f>IF(SER_hh_fec_in!L10=0,0,11630*1000*SER_hh_fec_in!L10/SER_hh_num_in!L10)</f>
        <v>147248.69081893199</v>
      </c>
      <c r="M10" s="132">
        <f>IF(SER_hh_fec_in!M10=0,0,11630*1000*SER_hh_fec_in!M10/SER_hh_num_in!M10)</f>
        <v>89832.909925947184</v>
      </c>
      <c r="N10" s="132">
        <f>IF(SER_hh_fec_in!N10=0,0,11630*1000*SER_hh_fec_in!N10/SER_hh_num_in!N10)</f>
        <v>107216.06933825304</v>
      </c>
      <c r="O10" s="132">
        <f>IF(SER_hh_fec_in!O10=0,0,11630*1000*SER_hh_fec_in!O10/SER_hh_num_in!O10)</f>
        <v>129200.55371974845</v>
      </c>
      <c r="P10" s="132">
        <f>IF(SER_hh_fec_in!P10=0,0,11630*1000*SER_hh_fec_in!P10/SER_hh_num_in!P10)</f>
        <v>120819.66533399954</v>
      </c>
      <c r="Q10" s="132">
        <f>IF(SER_hh_fec_in!Q10=0,0,11630*1000*SER_hh_fec_in!Q10/SER_hh_num_in!Q10)</f>
        <v>117528.16928563001</v>
      </c>
      <c r="R10" s="132">
        <f>IF(SER_hh_fec_in!R10=0,0,11630*1000*SER_hh_fec_in!R10/SER_hh_num_in!R10)</f>
        <v>108473.29867517174</v>
      </c>
      <c r="S10" s="132">
        <f>IF(SER_hh_fec_in!S10=0,0,11630*1000*SER_hh_fec_in!S10/SER_hh_num_in!S10)</f>
        <v>98415.989008520715</v>
      </c>
      <c r="T10" s="132">
        <f>IF(SER_hh_fec_in!T10=0,0,11630*1000*SER_hh_fec_in!T10/SER_hh_num_in!T10)</f>
        <v>90571.007276751974</v>
      </c>
      <c r="U10" s="132">
        <f>IF(SER_hh_fec_in!U10=0,0,11630*1000*SER_hh_fec_in!U10/SER_hh_num_in!U10)</f>
        <v>85711.752674469491</v>
      </c>
      <c r="V10" s="132">
        <f>IF(SER_hh_fec_in!V10=0,0,11630*1000*SER_hh_fec_in!V10/SER_hh_num_in!V10)</f>
        <v>76613.208219755645</v>
      </c>
      <c r="W10" s="132">
        <f>IF(SER_hh_fec_in!W10=0,0,11630*1000*SER_hh_fec_in!W10/SER_hh_num_in!W10)</f>
        <v>63922.817520361845</v>
      </c>
      <c r="X10" s="132">
        <f>IF(SER_hh_fec_in!X10=0,0,11630*1000*SER_hh_fec_in!X10/SER_hh_num_in!X10)</f>
        <v>50563.007009040994</v>
      </c>
      <c r="Y10" s="132">
        <f>IF(SER_hh_fec_in!Y10=0,0,11630*1000*SER_hh_fec_in!Y10/SER_hh_num_in!Y10)</f>
        <v>43655.305524925418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0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0</v>
      </c>
      <c r="N11" s="132">
        <f>IF(SER_hh_fec_in!N11=0,0,11630*1000*SER_hh_fec_in!N11/SER_hh_num_in!N11)</f>
        <v>0</v>
      </c>
      <c r="O11" s="132">
        <f>IF(SER_hh_fec_in!O11=0,0,11630*1000*SER_hh_fec_in!O11/SER_hh_num_in!O11)</f>
        <v>0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85130.654442734725</v>
      </c>
      <c r="D12" s="132">
        <f>IF(SER_hh_fec_in!D12=0,0,11630*1000*SER_hh_fec_in!D12/SER_hh_num_in!D12)</f>
        <v>84894.553577603452</v>
      </c>
      <c r="E12" s="132">
        <f>IF(SER_hh_fec_in!E12=0,0,11630*1000*SER_hh_fec_in!E12/SER_hh_num_in!E12)</f>
        <v>86349.728224784718</v>
      </c>
      <c r="F12" s="132">
        <f>IF(SER_hh_fec_in!F12=0,0,11630*1000*SER_hh_fec_in!F12/SER_hh_num_in!F12)</f>
        <v>103317.37217114044</v>
      </c>
      <c r="G12" s="132">
        <f>IF(SER_hh_fec_in!G12=0,0,11630*1000*SER_hh_fec_in!G12/SER_hh_num_in!G12)</f>
        <v>93745.128966943361</v>
      </c>
      <c r="H12" s="132">
        <f>IF(SER_hh_fec_in!H12=0,0,11630*1000*SER_hh_fec_in!H12/SER_hh_num_in!H12)</f>
        <v>105404.10276016624</v>
      </c>
      <c r="I12" s="132">
        <f>IF(SER_hh_fec_in!I12=0,0,11630*1000*SER_hh_fec_in!I12/SER_hh_num_in!I12)</f>
        <v>113297.20059248454</v>
      </c>
      <c r="J12" s="132">
        <f>IF(SER_hh_fec_in!J12=0,0,11630*1000*SER_hh_fec_in!J12/SER_hh_num_in!J12)</f>
        <v>0</v>
      </c>
      <c r="K12" s="132">
        <f>IF(SER_hh_fec_in!K12=0,0,11630*1000*SER_hh_fec_in!K12/SER_hh_num_in!K12)</f>
        <v>0</v>
      </c>
      <c r="L12" s="132">
        <f>IF(SER_hh_fec_in!L12=0,0,11630*1000*SER_hh_fec_in!L12/SER_hh_num_in!L12)</f>
        <v>101697.91046582496</v>
      </c>
      <c r="M12" s="132">
        <f>IF(SER_hh_fec_in!M12=0,0,11630*1000*SER_hh_fec_in!M12/SER_hh_num_in!M12)</f>
        <v>81190.610388454195</v>
      </c>
      <c r="N12" s="132">
        <f>IF(SER_hh_fec_in!N12=0,0,11630*1000*SER_hh_fec_in!N12/SER_hh_num_in!N12)</f>
        <v>74500.754658932012</v>
      </c>
      <c r="O12" s="132">
        <f>IF(SER_hh_fec_in!O12=0,0,11630*1000*SER_hh_fec_in!O12/SER_hh_num_in!O12)</f>
        <v>64489.402074772443</v>
      </c>
      <c r="P12" s="132">
        <f>IF(SER_hh_fec_in!P12=0,0,11630*1000*SER_hh_fec_in!P12/SER_hh_num_in!P12)</f>
        <v>70023.063272207524</v>
      </c>
      <c r="Q12" s="132">
        <f>IF(SER_hh_fec_in!Q12=0,0,11630*1000*SER_hh_fec_in!Q12/SER_hh_num_in!Q12)</f>
        <v>72249.513026774657</v>
      </c>
      <c r="R12" s="132">
        <f>IF(SER_hh_fec_in!R12=0,0,11630*1000*SER_hh_fec_in!R12/SER_hh_num_in!R12)</f>
        <v>63681.181896561669</v>
      </c>
      <c r="S12" s="132">
        <f>IF(SER_hh_fec_in!S12=0,0,11630*1000*SER_hh_fec_in!S12/SER_hh_num_in!S12)</f>
        <v>56104.739604413691</v>
      </c>
      <c r="T12" s="132">
        <f>IF(SER_hh_fec_in!T12=0,0,11630*1000*SER_hh_fec_in!T12/SER_hh_num_in!T12)</f>
        <v>56162.240459273751</v>
      </c>
      <c r="U12" s="132">
        <f>IF(SER_hh_fec_in!U12=0,0,11630*1000*SER_hh_fec_in!U12/SER_hh_num_in!U12)</f>
        <v>49903.859809160072</v>
      </c>
      <c r="V12" s="132">
        <f>IF(SER_hh_fec_in!V12=0,0,11630*1000*SER_hh_fec_in!V12/SER_hh_num_in!V12)</f>
        <v>49450.101031234655</v>
      </c>
      <c r="W12" s="132">
        <f>IF(SER_hh_fec_in!W12=0,0,11630*1000*SER_hh_fec_in!W12/SER_hh_num_in!W12)</f>
        <v>42817.237267147619</v>
      </c>
      <c r="X12" s="132">
        <f>IF(SER_hh_fec_in!X12=0,0,11630*1000*SER_hh_fec_in!X12/SER_hh_num_in!X12)</f>
        <v>31065.56565858117</v>
      </c>
      <c r="Y12" s="132">
        <f>IF(SER_hh_fec_in!Y12=0,0,11630*1000*SER_hh_fec_in!Y12/SER_hh_num_in!Y12)</f>
        <v>32593.153716291697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45664.187217788633</v>
      </c>
      <c r="D13" s="132">
        <f>IF(SER_hh_fec_in!D13=0,0,11630*1000*SER_hh_fec_in!D13/SER_hh_num_in!D13)</f>
        <v>41109.30806715435</v>
      </c>
      <c r="E13" s="132">
        <f>IF(SER_hh_fec_in!E13=0,0,11630*1000*SER_hh_fec_in!E13/SER_hh_num_in!E13)</f>
        <v>35276.713178505917</v>
      </c>
      <c r="F13" s="132">
        <f>IF(SER_hh_fec_in!F13=0,0,11630*1000*SER_hh_fec_in!F13/SER_hh_num_in!F13)</f>
        <v>17249.847014267634</v>
      </c>
      <c r="G13" s="132">
        <f>IF(SER_hh_fec_in!G13=0,0,11630*1000*SER_hh_fec_in!G13/SER_hh_num_in!G13)</f>
        <v>12258.388651131711</v>
      </c>
      <c r="H13" s="132">
        <f>IF(SER_hh_fec_in!H13=0,0,11630*1000*SER_hh_fec_in!H13/SER_hh_num_in!H13)</f>
        <v>41315.193171927014</v>
      </c>
      <c r="I13" s="132">
        <f>IF(SER_hh_fec_in!I13=0,0,11630*1000*SER_hh_fec_in!I13/SER_hh_num_in!I13)</f>
        <v>36486.839678054057</v>
      </c>
      <c r="J13" s="132">
        <f>IF(SER_hh_fec_in!J13=0,0,11630*1000*SER_hh_fec_in!J13/SER_hh_num_in!J13)</f>
        <v>35056.426426711005</v>
      </c>
      <c r="K13" s="132">
        <f>IF(SER_hh_fec_in!K13=0,0,11630*1000*SER_hh_fec_in!K13/SER_hh_num_in!K13)</f>
        <v>33053.368361187837</v>
      </c>
      <c r="L13" s="132">
        <f>IF(SER_hh_fec_in!L13=0,0,11630*1000*SER_hh_fec_in!L13/SER_hh_num_in!L13)</f>
        <v>28632.102336337361</v>
      </c>
      <c r="M13" s="132">
        <f>IF(SER_hh_fec_in!M13=0,0,11630*1000*SER_hh_fec_in!M13/SER_hh_num_in!M13)</f>
        <v>24880.02416097988</v>
      </c>
      <c r="N13" s="132">
        <f>IF(SER_hh_fec_in!N13=0,0,11630*1000*SER_hh_fec_in!N13/SER_hh_num_in!N13)</f>
        <v>23136.412062793348</v>
      </c>
      <c r="O13" s="132">
        <f>IF(SER_hh_fec_in!O13=0,0,11630*1000*SER_hh_fec_in!O13/SER_hh_num_in!O13)</f>
        <v>22587.116892952185</v>
      </c>
      <c r="P13" s="132">
        <f>IF(SER_hh_fec_in!P13=0,0,11630*1000*SER_hh_fec_in!P13/SER_hh_num_in!P13)</f>
        <v>17357.133695605207</v>
      </c>
      <c r="Q13" s="132">
        <f>IF(SER_hh_fec_in!Q13=0,0,11630*1000*SER_hh_fec_in!Q13/SER_hh_num_in!Q13)</f>
        <v>15657.689280273007</v>
      </c>
      <c r="R13" s="132">
        <f>IF(SER_hh_fec_in!R13=0,0,11630*1000*SER_hh_fec_in!R13/SER_hh_num_in!R13)</f>
        <v>13418.185247444368</v>
      </c>
      <c r="S13" s="132">
        <f>IF(SER_hh_fec_in!S13=0,0,11630*1000*SER_hh_fec_in!S13/SER_hh_num_in!S13)</f>
        <v>9396.5684447276926</v>
      </c>
      <c r="T13" s="132">
        <f>IF(SER_hh_fec_in!T13=0,0,11630*1000*SER_hh_fec_in!T13/SER_hh_num_in!T13)</f>
        <v>13407.745135413017</v>
      </c>
      <c r="U13" s="132">
        <f>IF(SER_hh_fec_in!U13=0,0,11630*1000*SER_hh_fec_in!U13/SER_hh_num_in!U13)</f>
        <v>12254.546124198525</v>
      </c>
      <c r="V13" s="132">
        <f>IF(SER_hh_fec_in!V13=0,0,11630*1000*SER_hh_fec_in!V13/SER_hh_num_in!V13)</f>
        <v>9893.9857198022164</v>
      </c>
      <c r="W13" s="132">
        <f>IF(SER_hh_fec_in!W13=0,0,11630*1000*SER_hh_fec_in!W13/SER_hh_num_in!W13)</f>
        <v>10856.088879893323</v>
      </c>
      <c r="X13" s="132">
        <f>IF(SER_hh_fec_in!X13=0,0,11630*1000*SER_hh_fec_in!X13/SER_hh_num_in!X13)</f>
        <v>7408.4574509147124</v>
      </c>
      <c r="Y13" s="132">
        <f>IF(SER_hh_fec_in!Y13=0,0,11630*1000*SER_hh_fec_in!Y13/SER_hh_num_in!Y13)</f>
        <v>7652.1844544471078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111308.24086025709</v>
      </c>
      <c r="D14" s="65">
        <f>IF(SER_hh_fec_in!D14=0,0,11630*1000*SER_hh_fec_in!D14/SER_hh_num_in!D14)</f>
        <v>32961.691207278294</v>
      </c>
      <c r="E14" s="65">
        <f>IF(SER_hh_fec_in!E14=0,0,11630*1000*SER_hh_fec_in!E14/SER_hh_num_in!E14)</f>
        <v>4942.0805304583173</v>
      </c>
      <c r="F14" s="65">
        <f>IF(SER_hh_fec_in!F14=0,0,11630*1000*SER_hh_fec_in!F14/SER_hh_num_in!F14)</f>
        <v>168288.36032112755</v>
      </c>
      <c r="G14" s="65">
        <f>IF(SER_hh_fec_in!G14=0,0,11630*1000*SER_hh_fec_in!G14/SER_hh_num_in!G14)</f>
        <v>131303.83421908968</v>
      </c>
      <c r="H14" s="65">
        <f>IF(SER_hh_fec_in!H14=0,0,11630*1000*SER_hh_fec_in!H14/SER_hh_num_in!H14)</f>
        <v>106745.28096465714</v>
      </c>
      <c r="I14" s="65">
        <f>IF(SER_hh_fec_in!I14=0,0,11630*1000*SER_hh_fec_in!I14/SER_hh_num_in!I14)</f>
        <v>99981.008371006523</v>
      </c>
      <c r="J14" s="65">
        <f>IF(SER_hh_fec_in!J14=0,0,11630*1000*SER_hh_fec_in!J14/SER_hh_num_in!J14)</f>
        <v>0</v>
      </c>
      <c r="K14" s="65">
        <f>IF(SER_hh_fec_in!K14=0,0,11630*1000*SER_hh_fec_in!K14/SER_hh_num_in!K14)</f>
        <v>104172.09188244129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83397.668868913795</v>
      </c>
      <c r="N14" s="65">
        <f>IF(SER_hh_fec_in!N14=0,0,11630*1000*SER_hh_fec_in!N14/SER_hh_num_in!N14)</f>
        <v>84432.998494980828</v>
      </c>
      <c r="O14" s="65">
        <f>IF(SER_hh_fec_in!O14=0,0,11630*1000*SER_hh_fec_in!O14/SER_hh_num_in!O14)</f>
        <v>86007.148543988529</v>
      </c>
      <c r="P14" s="65">
        <f>IF(SER_hh_fec_in!P14=0,0,11630*1000*SER_hh_fec_in!P14/SER_hh_num_in!P14)</f>
        <v>68039.567281471929</v>
      </c>
      <c r="Q14" s="65">
        <f>IF(SER_hh_fec_in!Q14=0,0,11630*1000*SER_hh_fec_in!Q14/SER_hh_num_in!Q14)</f>
        <v>69963.605080803216</v>
      </c>
      <c r="R14" s="65">
        <f>IF(SER_hh_fec_in!R14=0,0,11630*1000*SER_hh_fec_in!R14/SER_hh_num_in!R14)</f>
        <v>67152.137065706265</v>
      </c>
      <c r="S14" s="65">
        <f>IF(SER_hh_fec_in!S14=0,0,11630*1000*SER_hh_fec_in!S14/SER_hh_num_in!S14)</f>
        <v>63072.088393966056</v>
      </c>
      <c r="T14" s="65">
        <f>IF(SER_hh_fec_in!T14=0,0,11630*1000*SER_hh_fec_in!T14/SER_hh_num_in!T14)</f>
        <v>59230.948867681771</v>
      </c>
      <c r="U14" s="65">
        <f>IF(SER_hh_fec_in!U14=0,0,11630*1000*SER_hh_fec_in!U14/SER_hh_num_in!U14)</f>
        <v>57115.226585791126</v>
      </c>
      <c r="V14" s="65">
        <f>IF(SER_hh_fec_in!V14=0,0,11630*1000*SER_hh_fec_in!V14/SER_hh_num_in!V14)</f>
        <v>47435.368091729768</v>
      </c>
      <c r="W14" s="65">
        <f>IF(SER_hh_fec_in!W14=0,0,11630*1000*SER_hh_fec_in!W14/SER_hh_num_in!W14)</f>
        <v>45056.819774887306</v>
      </c>
      <c r="X14" s="65">
        <f>IF(SER_hh_fec_in!X14=0,0,11630*1000*SER_hh_fec_in!X14/SER_hh_num_in!X14)</f>
        <v>34553.50775399238</v>
      </c>
      <c r="Y14" s="65">
        <f>IF(SER_hh_fec_in!Y14=0,0,11630*1000*SER_hh_fec_in!Y14/SER_hh_num_in!Y14)</f>
        <v>28968.054080333663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1363.9842237104401</v>
      </c>
      <c r="D15" s="134">
        <f>IF(SER_hh_fec_in!D15=0,0,11630*1000*SER_hh_fec_in!D15/SER_hh_num_in!D15)</f>
        <v>1469.2146397085364</v>
      </c>
      <c r="E15" s="134">
        <f>IF(SER_hh_fec_in!E15=0,0,11630*1000*SER_hh_fec_in!E15/SER_hh_num_in!E15)</f>
        <v>1587.4698046437479</v>
      </c>
      <c r="F15" s="134">
        <f>IF(SER_hh_fec_in!F15=0,0,11630*1000*SER_hh_fec_in!F15/SER_hh_num_in!F15)</f>
        <v>1686.0272386976935</v>
      </c>
      <c r="G15" s="134">
        <f>IF(SER_hh_fec_in!G15=0,0,11630*1000*SER_hh_fec_in!G15/SER_hh_num_in!G15)</f>
        <v>1516.8465140559215</v>
      </c>
      <c r="H15" s="134">
        <f>IF(SER_hh_fec_in!H15=0,0,11630*1000*SER_hh_fec_in!H15/SER_hh_num_in!H15)</f>
        <v>1427.8456213786621</v>
      </c>
      <c r="I15" s="134">
        <f>IF(SER_hh_fec_in!I15=0,0,11630*1000*SER_hh_fec_in!I15/SER_hh_num_in!I15)</f>
        <v>1296.2348033777682</v>
      </c>
      <c r="J15" s="134">
        <f>IF(SER_hh_fec_in!J15=0,0,11630*1000*SER_hh_fec_in!J15/SER_hh_num_in!J15)</f>
        <v>1460.936230090763</v>
      </c>
      <c r="K15" s="134">
        <f>IF(SER_hh_fec_in!K15=0,0,11630*1000*SER_hh_fec_in!K15/SER_hh_num_in!K15)</f>
        <v>1405.9871303028685</v>
      </c>
      <c r="L15" s="134">
        <f>IF(SER_hh_fec_in!L15=0,0,11630*1000*SER_hh_fec_in!L15/SER_hh_num_in!L15)</f>
        <v>1418.2089604877685</v>
      </c>
      <c r="M15" s="134">
        <f>IF(SER_hh_fec_in!M15=0,0,11630*1000*SER_hh_fec_in!M15/SER_hh_num_in!M15)</f>
        <v>1054.2829716932927</v>
      </c>
      <c r="N15" s="134">
        <f>IF(SER_hh_fec_in!N15=0,0,11630*1000*SER_hh_fec_in!N15/SER_hh_num_in!N15)</f>
        <v>1104.8883521163423</v>
      </c>
      <c r="O15" s="134">
        <f>IF(SER_hh_fec_in!O15=0,0,11630*1000*SER_hh_fec_in!O15/SER_hh_num_in!O15)</f>
        <v>1161.7627726518779</v>
      </c>
      <c r="P15" s="134">
        <f>IF(SER_hh_fec_in!P15=0,0,11630*1000*SER_hh_fec_in!P15/SER_hh_num_in!P15)</f>
        <v>791.37746006891791</v>
      </c>
      <c r="Q15" s="134">
        <f>IF(SER_hh_fec_in!Q15=0,0,11630*1000*SER_hh_fec_in!Q15/SER_hh_num_in!Q15)</f>
        <v>941.14982601982888</v>
      </c>
      <c r="R15" s="134">
        <f>IF(SER_hh_fec_in!R15=0,0,11630*1000*SER_hh_fec_in!R15/SER_hh_num_in!R15)</f>
        <v>934.44252283180947</v>
      </c>
      <c r="S15" s="134">
        <f>IF(SER_hh_fec_in!S15=0,0,11630*1000*SER_hh_fec_in!S15/SER_hh_num_in!S15)</f>
        <v>895.82668673195769</v>
      </c>
      <c r="T15" s="134">
        <f>IF(SER_hh_fec_in!T15=0,0,11630*1000*SER_hh_fec_in!T15/SER_hh_num_in!T15)</f>
        <v>831.39460881649961</v>
      </c>
      <c r="U15" s="134">
        <f>IF(SER_hh_fec_in!U15=0,0,11630*1000*SER_hh_fec_in!U15/SER_hh_num_in!U15)</f>
        <v>736.40450847771467</v>
      </c>
      <c r="V15" s="134">
        <f>IF(SER_hh_fec_in!V15=0,0,11630*1000*SER_hh_fec_in!V15/SER_hh_num_in!V15)</f>
        <v>630.48806709268842</v>
      </c>
      <c r="W15" s="134">
        <f>IF(SER_hh_fec_in!W15=0,0,11630*1000*SER_hh_fec_in!W15/SER_hh_num_in!W15)</f>
        <v>646.61922689820415</v>
      </c>
      <c r="X15" s="134">
        <f>IF(SER_hh_fec_in!X15=0,0,11630*1000*SER_hh_fec_in!X15/SER_hh_num_in!X15)</f>
        <v>428.99922403389752</v>
      </c>
      <c r="Y15" s="134">
        <f>IF(SER_hh_fec_in!Y15=0,0,11630*1000*SER_hh_fec_in!Y15/SER_hh_num_in!Y15)</f>
        <v>412.59032408557158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10594.359684596537</v>
      </c>
      <c r="D16" s="130">
        <f>IF(SER_hh_fec_in!D16=0,0,11630*1000*SER_hh_fec_in!D16/SER_hh_num_in!D16)</f>
        <v>10061.922286250285</v>
      </c>
      <c r="E16" s="130">
        <f>IF(SER_hh_fec_in!E16=0,0,11630*1000*SER_hh_fec_in!E16/SER_hh_num_in!E16)</f>
        <v>12215.81064240667</v>
      </c>
      <c r="F16" s="130">
        <f>IF(SER_hh_fec_in!F16=0,0,11630*1000*SER_hh_fec_in!F16/SER_hh_num_in!F16)</f>
        <v>9053.3907028486592</v>
      </c>
      <c r="G16" s="130">
        <f>IF(SER_hh_fec_in!G16=0,0,11630*1000*SER_hh_fec_in!G16/SER_hh_num_in!G16)</f>
        <v>8772.7645058564412</v>
      </c>
      <c r="H16" s="130">
        <f>IF(SER_hh_fec_in!H16=0,0,11630*1000*SER_hh_fec_in!H16/SER_hh_num_in!H16)</f>
        <v>10468.712921792165</v>
      </c>
      <c r="I16" s="130">
        <f>IF(SER_hh_fec_in!I16=0,0,11630*1000*SER_hh_fec_in!I16/SER_hh_num_in!I16)</f>
        <v>7835.3285021255615</v>
      </c>
      <c r="J16" s="130">
        <f>IF(SER_hh_fec_in!J16=0,0,11630*1000*SER_hh_fec_in!J16/SER_hh_num_in!J16)</f>
        <v>7534.8969271122933</v>
      </c>
      <c r="K16" s="130">
        <f>IF(SER_hh_fec_in!K16=0,0,11630*1000*SER_hh_fec_in!K16/SER_hh_num_in!K16)</f>
        <v>7237.2615174872117</v>
      </c>
      <c r="L16" s="130">
        <f>IF(SER_hh_fec_in!L16=0,0,11630*1000*SER_hh_fec_in!L16/SER_hh_num_in!L16)</f>
        <v>7323.8444898235539</v>
      </c>
      <c r="M16" s="130">
        <f>IF(SER_hh_fec_in!M16=0,0,11630*1000*SER_hh_fec_in!M16/SER_hh_num_in!M16)</f>
        <v>6534.7530170885893</v>
      </c>
      <c r="N16" s="130">
        <f>IF(SER_hh_fec_in!N16=0,0,11630*1000*SER_hh_fec_in!N16/SER_hh_num_in!N16)</f>
        <v>6227.9346404832686</v>
      </c>
      <c r="O16" s="130">
        <f>IF(SER_hh_fec_in!O16=0,0,11630*1000*SER_hh_fec_in!O16/SER_hh_num_in!O16)</f>
        <v>5902.9444156950058</v>
      </c>
      <c r="P16" s="130">
        <f>IF(SER_hh_fec_in!P16=0,0,11630*1000*SER_hh_fec_in!P16/SER_hh_num_in!P16)</f>
        <v>5361.477118699182</v>
      </c>
      <c r="Q16" s="130">
        <f>IF(SER_hh_fec_in!Q16=0,0,11630*1000*SER_hh_fec_in!Q16/SER_hh_num_in!Q16)</f>
        <v>5731.0698737791336</v>
      </c>
      <c r="R16" s="130">
        <f>IF(SER_hh_fec_in!R16=0,0,11630*1000*SER_hh_fec_in!R16/SER_hh_num_in!R16)</f>
        <v>5210.8631887953834</v>
      </c>
      <c r="S16" s="130">
        <f>IF(SER_hh_fec_in!S16=0,0,11630*1000*SER_hh_fec_in!S16/SER_hh_num_in!S16)</f>
        <v>4705.3074774053448</v>
      </c>
      <c r="T16" s="130">
        <f>IF(SER_hh_fec_in!T16=0,0,11630*1000*SER_hh_fec_in!T16/SER_hh_num_in!T16)</f>
        <v>5192.9712606576168</v>
      </c>
      <c r="U16" s="130">
        <f>IF(SER_hh_fec_in!U16=0,0,11630*1000*SER_hh_fec_in!U16/SER_hh_num_in!U16)</f>
        <v>4810.8261885862421</v>
      </c>
      <c r="V16" s="130">
        <f>IF(SER_hh_fec_in!V16=0,0,11630*1000*SER_hh_fec_in!V16/SER_hh_num_in!V16)</f>
        <v>4841.2275676681838</v>
      </c>
      <c r="W16" s="130">
        <f>IF(SER_hh_fec_in!W16=0,0,11630*1000*SER_hh_fec_in!W16/SER_hh_num_in!W16)</f>
        <v>3650.7758063936512</v>
      </c>
      <c r="X16" s="130">
        <f>IF(SER_hh_fec_in!X16=0,0,11630*1000*SER_hh_fec_in!X16/SER_hh_num_in!X16)</f>
        <v>3787.57603934593</v>
      </c>
      <c r="Y16" s="130">
        <f>IF(SER_hh_fec_in!Y16=0,0,11630*1000*SER_hh_fec_in!Y16/SER_hh_num_in!Y16)</f>
        <v>3527.032880942897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22369.100835840996</v>
      </c>
      <c r="D17" s="132">
        <f>IF(SER_hh_fec_in!D17=0,0,11630*1000*SER_hh_fec_in!D17/SER_hh_num_in!D17)</f>
        <v>21829.943186530872</v>
      </c>
      <c r="E17" s="132">
        <f>IF(SER_hh_fec_in!E17=0,0,11630*1000*SER_hh_fec_in!E17/SER_hh_num_in!E17)</f>
        <v>27155.500635786299</v>
      </c>
      <c r="F17" s="132">
        <f>IF(SER_hh_fec_in!F17=0,0,11630*1000*SER_hh_fec_in!F17/SER_hh_num_in!F17)</f>
        <v>20707.183027598774</v>
      </c>
      <c r="G17" s="132">
        <f>IF(SER_hh_fec_in!G17=0,0,11630*1000*SER_hh_fec_in!G17/SER_hh_num_in!G17)</f>
        <v>20570.958779880519</v>
      </c>
      <c r="H17" s="132">
        <f>IF(SER_hh_fec_in!H17=0,0,11630*1000*SER_hh_fec_in!H17/SER_hh_num_in!H17)</f>
        <v>25132.870835934267</v>
      </c>
      <c r="I17" s="132">
        <f>IF(SER_hh_fec_in!I17=0,0,11630*1000*SER_hh_fec_in!I17/SER_hh_num_in!I17)</f>
        <v>19232.123781354418</v>
      </c>
      <c r="J17" s="132">
        <f>IF(SER_hh_fec_in!J17=0,0,11630*1000*SER_hh_fec_in!J17/SER_hh_num_in!J17)</f>
        <v>18909.318846999602</v>
      </c>
      <c r="K17" s="132">
        <f>IF(SER_hh_fec_in!K17=0,0,11630*1000*SER_hh_fec_in!K17/SER_hh_num_in!K17)</f>
        <v>18537.881253679097</v>
      </c>
      <c r="L17" s="132">
        <f>IF(SER_hh_fec_in!L17=0,0,11630*1000*SER_hh_fec_in!L17/SER_hh_num_in!L17)</f>
        <v>19195.725366291648</v>
      </c>
      <c r="M17" s="132">
        <f>IF(SER_hh_fec_in!M17=0,0,11630*1000*SER_hh_fec_in!M17/SER_hh_num_in!M17)</f>
        <v>17513.119497371779</v>
      </c>
      <c r="N17" s="132">
        <f>IF(SER_hh_fec_in!N17=0,0,11630*1000*SER_hh_fec_in!N17/SER_hh_num_in!N17)</f>
        <v>17128.858413386224</v>
      </c>
      <c r="O17" s="132">
        <f>IF(SER_hh_fec_in!O17=0,0,11630*1000*SER_hh_fec_in!O17/SER_hh_num_in!O17)</f>
        <v>16665.306810196867</v>
      </c>
      <c r="P17" s="132">
        <f>IF(SER_hh_fec_in!P17=0,0,11630*1000*SER_hh_fec_in!P17/SER_hh_num_in!P17)</f>
        <v>15512.310017831756</v>
      </c>
      <c r="Q17" s="132">
        <f>IF(SER_hh_fec_in!Q17=0,0,11630*1000*SER_hh_fec_in!Q17/SER_hh_num_in!Q17)</f>
        <v>16813.784433193756</v>
      </c>
      <c r="R17" s="132">
        <f>IF(SER_hh_fec_in!R17=0,0,11630*1000*SER_hh_fec_in!R17/SER_hh_num_in!R17)</f>
        <v>15627.113440336621</v>
      </c>
      <c r="S17" s="132">
        <f>IF(SER_hh_fec_in!S17=0,0,11630*1000*SER_hh_fec_in!S17/SER_hh_num_in!S17)</f>
        <v>14095.298671399831</v>
      </c>
      <c r="T17" s="132">
        <f>IF(SER_hh_fec_in!T17=0,0,11630*1000*SER_hh_fec_in!T17/SER_hh_num_in!T17)</f>
        <v>15303.642291520991</v>
      </c>
      <c r="U17" s="132">
        <f>IF(SER_hh_fec_in!U17=0,0,11630*1000*SER_hh_fec_in!U17/SER_hh_num_in!U17)</f>
        <v>13990.736925189198</v>
      </c>
      <c r="V17" s="132">
        <f>IF(SER_hh_fec_in!V17=0,0,11630*1000*SER_hh_fec_in!V17/SER_hh_num_in!V17)</f>
        <v>14806.24349004239</v>
      </c>
      <c r="W17" s="132">
        <f>IF(SER_hh_fec_in!W17=0,0,11630*1000*SER_hh_fec_in!W17/SER_hh_num_in!W17)</f>
        <v>9845.5563093746186</v>
      </c>
      <c r="X17" s="132">
        <f>IF(SER_hh_fec_in!X17=0,0,11630*1000*SER_hh_fec_in!X17/SER_hh_num_in!X17)</f>
        <v>10849.261927590285</v>
      </c>
      <c r="Y17" s="132">
        <f>IF(SER_hh_fec_in!Y17=0,0,11630*1000*SER_hh_fec_in!Y17/SER_hh_num_in!Y17)</f>
        <v>10103.440194149143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10582.065795023485</v>
      </c>
      <c r="D18" s="132">
        <f>IF(SER_hh_fec_in!D18=0,0,11630*1000*SER_hh_fec_in!D18/SER_hh_num_in!D18)</f>
        <v>10048.154196839707</v>
      </c>
      <c r="E18" s="132">
        <f>IF(SER_hh_fec_in!E18=0,0,11630*1000*SER_hh_fec_in!E18/SER_hh_num_in!E18)</f>
        <v>12213.803752665595</v>
      </c>
      <c r="F18" s="132">
        <f>IF(SER_hh_fec_in!F18=0,0,11630*1000*SER_hh_fec_in!F18/SER_hh_num_in!F18)</f>
        <v>9022.7147429202323</v>
      </c>
      <c r="G18" s="132">
        <f>IF(SER_hh_fec_in!G18=0,0,11630*1000*SER_hh_fec_in!G18/SER_hh_num_in!G18)</f>
        <v>8749.3268557786305</v>
      </c>
      <c r="H18" s="132">
        <f>IF(SER_hh_fec_in!H18=0,0,11630*1000*SER_hh_fec_in!H18/SER_hh_num_in!H18)</f>
        <v>10455.718951385346</v>
      </c>
      <c r="I18" s="132">
        <f>IF(SER_hh_fec_in!I18=0,0,11630*1000*SER_hh_fec_in!I18/SER_hh_num_in!I18)</f>
        <v>7800.9056223168946</v>
      </c>
      <c r="J18" s="132">
        <f>IF(SER_hh_fec_in!J18=0,0,11630*1000*SER_hh_fec_in!J18/SER_hh_num_in!J18)</f>
        <v>7496.8757491816341</v>
      </c>
      <c r="K18" s="132">
        <f>IF(SER_hh_fec_in!K18=0,0,11630*1000*SER_hh_fec_in!K18/SER_hh_num_in!K18)</f>
        <v>7199.9160383792505</v>
      </c>
      <c r="L18" s="132">
        <f>IF(SER_hh_fec_in!L18=0,0,11630*1000*SER_hh_fec_in!L18/SER_hh_num_in!L18)</f>
        <v>7304.8132335016953</v>
      </c>
      <c r="M18" s="132">
        <f>IF(SER_hh_fec_in!M18=0,0,11630*1000*SER_hh_fec_in!M18/SER_hh_num_in!M18)</f>
        <v>6503.6878089451484</v>
      </c>
      <c r="N18" s="132">
        <f>IF(SER_hh_fec_in!N18=0,0,11630*1000*SER_hh_fec_in!N18/SER_hh_num_in!N18)</f>
        <v>6193.8802822179341</v>
      </c>
      <c r="O18" s="132">
        <f>IF(SER_hh_fec_in!O18=0,0,11630*1000*SER_hh_fec_in!O18/SER_hh_num_in!O18)</f>
        <v>5852.6565425669305</v>
      </c>
      <c r="P18" s="132">
        <f>IF(SER_hh_fec_in!P18=0,0,11630*1000*SER_hh_fec_in!P18/SER_hh_num_in!P18)</f>
        <v>5280.2570964368688</v>
      </c>
      <c r="Q18" s="132">
        <f>IF(SER_hh_fec_in!Q18=0,0,11630*1000*SER_hh_fec_in!Q18/SER_hh_num_in!Q18)</f>
        <v>5600.2322596525673</v>
      </c>
      <c r="R18" s="132">
        <f>IF(SER_hh_fec_in!R18=0,0,11630*1000*SER_hh_fec_in!R18/SER_hh_num_in!R18)</f>
        <v>5126.9666903862608</v>
      </c>
      <c r="S18" s="132">
        <f>IF(SER_hh_fec_in!S18=0,0,11630*1000*SER_hh_fec_in!S18/SER_hh_num_in!S18)</f>
        <v>4651.3156548506431</v>
      </c>
      <c r="T18" s="132">
        <f>IF(SER_hh_fec_in!T18=0,0,11630*1000*SER_hh_fec_in!T18/SER_hh_num_in!T18)</f>
        <v>5094.1142821307931</v>
      </c>
      <c r="U18" s="132">
        <f>IF(SER_hh_fec_in!U18=0,0,11630*1000*SER_hh_fec_in!U18/SER_hh_num_in!U18)</f>
        <v>4703.4351211862295</v>
      </c>
      <c r="V18" s="132">
        <f>IF(SER_hh_fec_in!V18=0,0,11630*1000*SER_hh_fec_in!V18/SER_hh_num_in!V18)</f>
        <v>4768.7363585909434</v>
      </c>
      <c r="W18" s="132">
        <f>IF(SER_hh_fec_in!W18=0,0,11630*1000*SER_hh_fec_in!W18/SER_hh_num_in!W18)</f>
        <v>3609.6665246026459</v>
      </c>
      <c r="X18" s="132">
        <f>IF(SER_hh_fec_in!X18=0,0,11630*1000*SER_hh_fec_in!X18/SER_hh_num_in!X18)</f>
        <v>3739.4559245993264</v>
      </c>
      <c r="Y18" s="132">
        <f>IF(SER_hh_fec_in!Y18=0,0,11630*1000*SER_hh_fec_in!Y18/SER_hh_num_in!Y18)</f>
        <v>3471.9638191616532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19655.951502834461</v>
      </c>
      <c r="D19" s="130">
        <f>IF(SER_hh_fec_in!D19=0,0,11630*1000*SER_hh_fec_in!D19/SER_hh_num_in!D19)</f>
        <v>19884.136844211116</v>
      </c>
      <c r="E19" s="130">
        <f>IF(SER_hh_fec_in!E19=0,0,11630*1000*SER_hh_fec_in!E19/SER_hh_num_in!E19)</f>
        <v>20538.626450570569</v>
      </c>
      <c r="F19" s="130">
        <f>IF(SER_hh_fec_in!F19=0,0,11630*1000*SER_hh_fec_in!F19/SER_hh_num_in!F19)</f>
        <v>19500.904450867693</v>
      </c>
      <c r="G19" s="130">
        <f>IF(SER_hh_fec_in!G19=0,0,11630*1000*SER_hh_fec_in!G19/SER_hh_num_in!G19)</f>
        <v>19060.526045703285</v>
      </c>
      <c r="H19" s="130">
        <f>IF(SER_hh_fec_in!H19=0,0,11630*1000*SER_hh_fec_in!H19/SER_hh_num_in!H19)</f>
        <v>18698.056492753069</v>
      </c>
      <c r="I19" s="130">
        <f>IF(SER_hh_fec_in!I19=0,0,11630*1000*SER_hh_fec_in!I19/SER_hh_num_in!I19)</f>
        <v>18242.351144907687</v>
      </c>
      <c r="J19" s="130">
        <f>IF(SER_hh_fec_in!J19=0,0,11630*1000*SER_hh_fec_in!J19/SER_hh_num_in!J19)</f>
        <v>17995.79567448084</v>
      </c>
      <c r="K19" s="130">
        <f>IF(SER_hh_fec_in!K19=0,0,11630*1000*SER_hh_fec_in!K19/SER_hh_num_in!K19)</f>
        <v>16901.874016432714</v>
      </c>
      <c r="L19" s="130">
        <f>IF(SER_hh_fec_in!L19=0,0,11630*1000*SER_hh_fec_in!L19/SER_hh_num_in!L19)</f>
        <v>18106.464824763643</v>
      </c>
      <c r="M19" s="130">
        <f>IF(SER_hh_fec_in!M19=0,0,11630*1000*SER_hh_fec_in!M19/SER_hh_num_in!M19)</f>
        <v>18161.19930649046</v>
      </c>
      <c r="N19" s="130">
        <f>IF(SER_hh_fec_in!N19=0,0,11630*1000*SER_hh_fec_in!N19/SER_hh_num_in!N19)</f>
        <v>18124.150646060294</v>
      </c>
      <c r="O19" s="130">
        <f>IF(SER_hh_fec_in!O19=0,0,11630*1000*SER_hh_fec_in!O19/SER_hh_num_in!O19)</f>
        <v>17827.268054969594</v>
      </c>
      <c r="P19" s="130">
        <f>IF(SER_hh_fec_in!P19=0,0,11630*1000*SER_hh_fec_in!P19/SER_hh_num_in!P19)</f>
        <v>16865.833097252354</v>
      </c>
      <c r="Q19" s="130">
        <f>IF(SER_hh_fec_in!Q19=0,0,11630*1000*SER_hh_fec_in!Q19/SER_hh_num_in!Q19)</f>
        <v>16183.732577955501</v>
      </c>
      <c r="R19" s="130">
        <f>IF(SER_hh_fec_in!R19=0,0,11630*1000*SER_hh_fec_in!R19/SER_hh_num_in!R19)</f>
        <v>15973.727972081078</v>
      </c>
      <c r="S19" s="130">
        <f>IF(SER_hh_fec_in!S19=0,0,11630*1000*SER_hh_fec_in!S19/SER_hh_num_in!S19)</f>
        <v>15838.008482375861</v>
      </c>
      <c r="T19" s="130">
        <f>IF(SER_hh_fec_in!T19=0,0,11630*1000*SER_hh_fec_in!T19/SER_hh_num_in!T19)</f>
        <v>15449.228998802417</v>
      </c>
      <c r="U19" s="130">
        <f>IF(SER_hh_fec_in!U19=0,0,11630*1000*SER_hh_fec_in!U19/SER_hh_num_in!U19)</f>
        <v>14607.530059253129</v>
      </c>
      <c r="V19" s="130">
        <f>IF(SER_hh_fec_in!V19=0,0,11630*1000*SER_hh_fec_in!V19/SER_hh_num_in!V19)</f>
        <v>13706.040462656701</v>
      </c>
      <c r="W19" s="130">
        <f>IF(SER_hh_fec_in!W19=0,0,11630*1000*SER_hh_fec_in!W19/SER_hh_num_in!W19)</f>
        <v>13777.400646588258</v>
      </c>
      <c r="X19" s="130">
        <f>IF(SER_hh_fec_in!X19=0,0,11630*1000*SER_hh_fec_in!X19/SER_hh_num_in!X19)</f>
        <v>14109.936965194713</v>
      </c>
      <c r="Y19" s="130">
        <f>IF(SER_hh_fec_in!Y19=0,0,11630*1000*SER_hh_fec_in!Y19/SER_hh_num_in!Y19)</f>
        <v>14365.758047122987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21081.443083785049</v>
      </c>
      <c r="D21" s="132">
        <f>IF(SER_hh_fec_in!D21=0,0,11630*1000*SER_hh_fec_in!D21/SER_hh_num_in!D21)</f>
        <v>21381.410864581459</v>
      </c>
      <c r="E21" s="132">
        <f>IF(SER_hh_fec_in!E21=0,0,11630*1000*SER_hh_fec_in!E21/SER_hh_num_in!E21)</f>
        <v>21914.188152092025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0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0</v>
      </c>
      <c r="L21" s="132">
        <f>IF(SER_hh_fec_in!L21=0,0,11630*1000*SER_hh_fec_in!L21/SER_hh_num_in!L21)</f>
        <v>17561.281040086593</v>
      </c>
      <c r="M21" s="132">
        <f>IF(SER_hh_fec_in!M21=0,0,11630*1000*SER_hh_fec_in!M21/SER_hh_num_in!M21)</f>
        <v>18417.572244449137</v>
      </c>
      <c r="N21" s="132">
        <f>IF(SER_hh_fec_in!N21=0,0,11630*1000*SER_hh_fec_in!N21/SER_hh_num_in!N21)</f>
        <v>19918.177979228483</v>
      </c>
      <c r="O21" s="132">
        <f>IF(SER_hh_fec_in!O21=0,0,11630*1000*SER_hh_fec_in!O21/SER_hh_num_in!O21)</f>
        <v>19503.79948283701</v>
      </c>
      <c r="P21" s="132">
        <f>IF(SER_hh_fec_in!P21=0,0,11630*1000*SER_hh_fec_in!P21/SER_hh_num_in!P21)</f>
        <v>17187.75374781244</v>
      </c>
      <c r="Q21" s="132">
        <f>IF(SER_hh_fec_in!Q21=0,0,11630*1000*SER_hh_fec_in!Q21/SER_hh_num_in!Q21)</f>
        <v>17229.003681466853</v>
      </c>
      <c r="R21" s="132">
        <f>IF(SER_hh_fec_in!R21=0,0,11630*1000*SER_hh_fec_in!R21/SER_hh_num_in!R21)</f>
        <v>16588.066260941756</v>
      </c>
      <c r="S21" s="132">
        <f>IF(SER_hh_fec_in!S21=0,0,11630*1000*SER_hh_fec_in!S21/SER_hh_num_in!S21)</f>
        <v>16928.593534864773</v>
      </c>
      <c r="T21" s="132">
        <f>IF(SER_hh_fec_in!T21=0,0,11630*1000*SER_hh_fec_in!T21/SER_hh_num_in!T21)</f>
        <v>16672.452644431462</v>
      </c>
      <c r="U21" s="132">
        <f>IF(SER_hh_fec_in!U21=0,0,11630*1000*SER_hh_fec_in!U21/SER_hh_num_in!U21)</f>
        <v>15973.449443951948</v>
      </c>
      <c r="V21" s="132">
        <f>IF(SER_hh_fec_in!V21=0,0,11630*1000*SER_hh_fec_in!V21/SER_hh_num_in!V21)</f>
        <v>12983.41544715356</v>
      </c>
      <c r="W21" s="132">
        <f>IF(SER_hh_fec_in!W21=0,0,11630*1000*SER_hh_fec_in!W21/SER_hh_num_in!W21)</f>
        <v>13203.926442348155</v>
      </c>
      <c r="X21" s="132">
        <f>IF(SER_hh_fec_in!X21=0,0,11630*1000*SER_hh_fec_in!X21/SER_hh_num_in!X21)</f>
        <v>17859.091871827663</v>
      </c>
      <c r="Y21" s="132">
        <f>IF(SER_hh_fec_in!Y21=0,0,11630*1000*SER_hh_fec_in!Y21/SER_hh_num_in!Y21)</f>
        <v>14420.853655780247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22226.381833508622</v>
      </c>
      <c r="D22" s="132">
        <f>IF(SER_hh_fec_in!D22=0,0,11630*1000*SER_hh_fec_in!D22/SER_hh_num_in!D22)</f>
        <v>22424.252938737274</v>
      </c>
      <c r="E22" s="132">
        <f>IF(SER_hh_fec_in!E22=0,0,11630*1000*SER_hh_fec_in!E22/SER_hh_num_in!E22)</f>
        <v>22385.699489335417</v>
      </c>
      <c r="F22" s="132">
        <f>IF(SER_hh_fec_in!F22=0,0,11630*1000*SER_hh_fec_in!F22/SER_hh_num_in!F22)</f>
        <v>21748.513595406421</v>
      </c>
      <c r="G22" s="132">
        <f>IF(SER_hh_fec_in!G22=0,0,11630*1000*SER_hh_fec_in!G22/SER_hh_num_in!G22)</f>
        <v>21354.20157909075</v>
      </c>
      <c r="H22" s="132">
        <f>IF(SER_hh_fec_in!H22=0,0,11630*1000*SER_hh_fec_in!H22/SER_hh_num_in!H22)</f>
        <v>21116.976764113395</v>
      </c>
      <c r="I22" s="132">
        <f>IF(SER_hh_fec_in!I22=0,0,11630*1000*SER_hh_fec_in!I22/SER_hh_num_in!I22)</f>
        <v>20861.853059222049</v>
      </c>
      <c r="J22" s="132">
        <f>IF(SER_hh_fec_in!J22=0,0,11630*1000*SER_hh_fec_in!J22/SER_hh_num_in!J22)</f>
        <v>20317.760460193902</v>
      </c>
      <c r="K22" s="132">
        <f>IF(SER_hh_fec_in!K22=0,0,11630*1000*SER_hh_fec_in!K22/SER_hh_num_in!K22)</f>
        <v>17063.767334419299</v>
      </c>
      <c r="L22" s="132">
        <f>IF(SER_hh_fec_in!L22=0,0,11630*1000*SER_hh_fec_in!L22/SER_hh_num_in!L22)</f>
        <v>20607.33057157023</v>
      </c>
      <c r="M22" s="132">
        <f>IF(SER_hh_fec_in!M22=0,0,11630*1000*SER_hh_fec_in!M22/SER_hh_num_in!M22)</f>
        <v>20631.2524590461</v>
      </c>
      <c r="N22" s="132">
        <f>IF(SER_hh_fec_in!N22=0,0,11630*1000*SER_hh_fec_in!N22/SER_hh_num_in!N22)</f>
        <v>20363.545718294379</v>
      </c>
      <c r="O22" s="132">
        <f>IF(SER_hh_fec_in!O22=0,0,11630*1000*SER_hh_fec_in!O22/SER_hh_num_in!O22)</f>
        <v>19772.589067536581</v>
      </c>
      <c r="P22" s="132">
        <f>IF(SER_hh_fec_in!P22=0,0,11630*1000*SER_hh_fec_in!P22/SER_hh_num_in!P22)</f>
        <v>19028.274791499225</v>
      </c>
      <c r="Q22" s="132">
        <f>IF(SER_hh_fec_in!Q22=0,0,11630*1000*SER_hh_fec_in!Q22/SER_hh_num_in!Q22)</f>
        <v>18451.470158765285</v>
      </c>
      <c r="R22" s="132">
        <f>IF(SER_hh_fec_in!R22=0,0,11630*1000*SER_hh_fec_in!R22/SER_hh_num_in!R22)</f>
        <v>17864.360697256761</v>
      </c>
      <c r="S22" s="132">
        <f>IF(SER_hh_fec_in!S22=0,0,11630*1000*SER_hh_fec_in!S22/SER_hh_num_in!S22)</f>
        <v>17812.011610983856</v>
      </c>
      <c r="T22" s="132">
        <f>IF(SER_hh_fec_in!T22=0,0,11630*1000*SER_hh_fec_in!T22/SER_hh_num_in!T22)</f>
        <v>17637.471318197473</v>
      </c>
      <c r="U22" s="132">
        <f>IF(SER_hh_fec_in!U22=0,0,11630*1000*SER_hh_fec_in!U22/SER_hh_num_in!U22)</f>
        <v>15022.688090750649</v>
      </c>
      <c r="V22" s="132">
        <f>IF(SER_hh_fec_in!V22=0,0,11630*1000*SER_hh_fec_in!V22/SER_hh_num_in!V22)</f>
        <v>14238.55669920505</v>
      </c>
      <c r="W22" s="132">
        <f>IF(SER_hh_fec_in!W22=0,0,11630*1000*SER_hh_fec_in!W22/SER_hh_num_in!W22)</f>
        <v>14797.783446772131</v>
      </c>
      <c r="X22" s="132">
        <f>IF(SER_hh_fec_in!X22=0,0,11630*1000*SER_hh_fec_in!X22/SER_hh_num_in!X22)</f>
        <v>15738.495349110652</v>
      </c>
      <c r="Y22" s="132">
        <f>IF(SER_hh_fec_in!Y22=0,0,11630*1000*SER_hh_fec_in!Y22/SER_hh_num_in!Y22)</f>
        <v>15861.262101761595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20672.440432130174</v>
      </c>
      <c r="D23" s="132">
        <f>IF(SER_hh_fec_in!D23=0,0,11630*1000*SER_hh_fec_in!D23/SER_hh_num_in!D23)</f>
        <v>20427.818315533605</v>
      </c>
      <c r="E23" s="132">
        <f>IF(SER_hh_fec_in!E23=0,0,11630*1000*SER_hh_fec_in!E23/SER_hh_num_in!E23)</f>
        <v>20398.101421865787</v>
      </c>
      <c r="F23" s="132">
        <f>IF(SER_hh_fec_in!F23=0,0,11630*1000*SER_hh_fec_in!F23/SER_hh_num_in!F23)</f>
        <v>19700.116308938144</v>
      </c>
      <c r="G23" s="132">
        <f>IF(SER_hh_fec_in!G23=0,0,11630*1000*SER_hh_fec_in!G23/SER_hh_num_in!G23)</f>
        <v>19358.261714456876</v>
      </c>
      <c r="H23" s="132">
        <f>IF(SER_hh_fec_in!H23=0,0,11630*1000*SER_hh_fec_in!H23/SER_hh_num_in!H23)</f>
        <v>18865.34251094894</v>
      </c>
      <c r="I23" s="132">
        <f>IF(SER_hh_fec_in!I23=0,0,11630*1000*SER_hh_fec_in!I23/SER_hh_num_in!I23)</f>
        <v>18435.010091792596</v>
      </c>
      <c r="J23" s="132">
        <f>IF(SER_hh_fec_in!J23=0,0,11630*1000*SER_hh_fec_in!J23/SER_hh_num_in!J23)</f>
        <v>18214.171287341396</v>
      </c>
      <c r="K23" s="132">
        <f>IF(SER_hh_fec_in!K23=0,0,11630*1000*SER_hh_fec_in!K23/SER_hh_num_in!K23)</f>
        <v>14855.973151783695</v>
      </c>
      <c r="L23" s="132">
        <f>IF(SER_hh_fec_in!L23=0,0,11630*1000*SER_hh_fec_in!L23/SER_hh_num_in!L23)</f>
        <v>18291.868830346575</v>
      </c>
      <c r="M23" s="132">
        <f>IF(SER_hh_fec_in!M23=0,0,11630*1000*SER_hh_fec_in!M23/SER_hh_num_in!M23)</f>
        <v>18116.174916648684</v>
      </c>
      <c r="N23" s="132">
        <f>IF(SER_hh_fec_in!N23=0,0,11630*1000*SER_hh_fec_in!N23/SER_hh_num_in!N23)</f>
        <v>18131.10883900003</v>
      </c>
      <c r="O23" s="132">
        <f>IF(SER_hh_fec_in!O23=0,0,11630*1000*SER_hh_fec_in!O23/SER_hh_num_in!O23)</f>
        <v>17855.340013059216</v>
      </c>
      <c r="P23" s="132">
        <f>IF(SER_hh_fec_in!P23=0,0,11630*1000*SER_hh_fec_in!P23/SER_hh_num_in!P23)</f>
        <v>17056.3646596053</v>
      </c>
      <c r="Q23" s="132">
        <f>IF(SER_hh_fec_in!Q23=0,0,11630*1000*SER_hh_fec_in!Q23/SER_hh_num_in!Q23)</f>
        <v>16619.431237898054</v>
      </c>
      <c r="R23" s="132">
        <f>IF(SER_hh_fec_in!R23=0,0,11630*1000*SER_hh_fec_in!R23/SER_hh_num_in!R23)</f>
        <v>16280.390169410095</v>
      </c>
      <c r="S23" s="132">
        <f>IF(SER_hh_fec_in!S23=0,0,11630*1000*SER_hh_fec_in!S23/SER_hh_num_in!S23)</f>
        <v>16018.552109878361</v>
      </c>
      <c r="T23" s="132">
        <f>IF(SER_hh_fec_in!T23=0,0,11630*1000*SER_hh_fec_in!T23/SER_hh_num_in!T23)</f>
        <v>15533.404358219403</v>
      </c>
      <c r="U23" s="132">
        <f>IF(SER_hh_fec_in!U23=0,0,11630*1000*SER_hh_fec_in!U23/SER_hh_num_in!U23)</f>
        <v>14823.483568686714</v>
      </c>
      <c r="V23" s="132">
        <f>IF(SER_hh_fec_in!V23=0,0,11630*1000*SER_hh_fec_in!V23/SER_hh_num_in!V23)</f>
        <v>14232.880463303623</v>
      </c>
      <c r="W23" s="132">
        <f>IF(SER_hh_fec_in!W23=0,0,11630*1000*SER_hh_fec_in!W23/SER_hh_num_in!W23)</f>
        <v>15535.355333636249</v>
      </c>
      <c r="X23" s="132">
        <f>IF(SER_hh_fec_in!X23=0,0,11630*1000*SER_hh_fec_in!X23/SER_hh_num_in!X23)</f>
        <v>0</v>
      </c>
      <c r="Y23" s="132">
        <f>IF(SER_hh_fec_in!Y23=0,0,11630*1000*SER_hh_fec_in!Y23/SER_hh_num_in!Y23)</f>
        <v>10465.68629778668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14603.327185174056</v>
      </c>
      <c r="D25" s="132">
        <f>IF(SER_hh_fec_in!D25=0,0,11630*1000*SER_hh_fec_in!D25/SER_hh_num_in!D25)</f>
        <v>14846.200648453561</v>
      </c>
      <c r="E25" s="132">
        <f>IF(SER_hh_fec_in!E25=0,0,11630*1000*SER_hh_fec_in!E25/SER_hh_num_in!E25)</f>
        <v>14711.373782515662</v>
      </c>
      <c r="F25" s="132">
        <f>IF(SER_hh_fec_in!F25=0,0,11630*1000*SER_hh_fec_in!F25/SER_hh_num_in!F25)</f>
        <v>14407.427671024199</v>
      </c>
      <c r="G25" s="132">
        <f>IF(SER_hh_fec_in!G25=0,0,11630*1000*SER_hh_fec_in!G25/SER_hh_num_in!G25)</f>
        <v>14281.798548059021</v>
      </c>
      <c r="H25" s="132">
        <f>IF(SER_hh_fec_in!H25=0,0,11630*1000*SER_hh_fec_in!H25/SER_hh_num_in!H25)</f>
        <v>14102.038033874836</v>
      </c>
      <c r="I25" s="132">
        <f>IF(SER_hh_fec_in!I25=0,0,11630*1000*SER_hh_fec_in!I25/SER_hh_num_in!I25)</f>
        <v>13791.912148071369</v>
      </c>
      <c r="J25" s="132">
        <f>IF(SER_hh_fec_in!J25=0,0,11630*1000*SER_hh_fec_in!J25/SER_hh_num_in!J25)</f>
        <v>13597.645736186296</v>
      </c>
      <c r="K25" s="132">
        <f>IF(SER_hh_fec_in!K25=0,0,11630*1000*SER_hh_fec_in!K25/SER_hh_num_in!K25)</f>
        <v>11758.58009362988</v>
      </c>
      <c r="L25" s="132">
        <f>IF(SER_hh_fec_in!L25=0,0,11630*1000*SER_hh_fec_in!L25/SER_hh_num_in!L25)</f>
        <v>14842.541410643258</v>
      </c>
      <c r="M25" s="132">
        <f>IF(SER_hh_fec_in!M25=0,0,11630*1000*SER_hh_fec_in!M25/SER_hh_num_in!M25)</f>
        <v>14463.487168318103</v>
      </c>
      <c r="N25" s="132">
        <f>IF(SER_hh_fec_in!N25=0,0,11630*1000*SER_hh_fec_in!N25/SER_hh_num_in!N25)</f>
        <v>14332.722256381383</v>
      </c>
      <c r="O25" s="132">
        <f>IF(SER_hh_fec_in!O25=0,0,11630*1000*SER_hh_fec_in!O25/SER_hh_num_in!O25)</f>
        <v>14790.54367099505</v>
      </c>
      <c r="P25" s="132">
        <f>IF(SER_hh_fec_in!P25=0,0,11630*1000*SER_hh_fec_in!P25/SER_hh_num_in!P25)</f>
        <v>13876.319909427248</v>
      </c>
      <c r="Q25" s="132">
        <f>IF(SER_hh_fec_in!Q25=0,0,11630*1000*SER_hh_fec_in!Q25/SER_hh_num_in!Q25)</f>
        <v>14445.209268347338</v>
      </c>
      <c r="R25" s="132">
        <f>IF(SER_hh_fec_in!R25=0,0,11630*1000*SER_hh_fec_in!R25/SER_hh_num_in!R25)</f>
        <v>14570.412666376702</v>
      </c>
      <c r="S25" s="132">
        <f>IF(SER_hh_fec_in!S25=0,0,11630*1000*SER_hh_fec_in!S25/SER_hh_num_in!S25)</f>
        <v>14328.99566012654</v>
      </c>
      <c r="T25" s="132">
        <f>IF(SER_hh_fec_in!T25=0,0,11630*1000*SER_hh_fec_in!T25/SER_hh_num_in!T25)</f>
        <v>14021.439905295576</v>
      </c>
      <c r="U25" s="132">
        <f>IF(SER_hh_fec_in!U25=0,0,11630*1000*SER_hh_fec_in!U25/SER_hh_num_in!U25)</f>
        <v>13580.868226621311</v>
      </c>
      <c r="V25" s="132">
        <f>IF(SER_hh_fec_in!V25=0,0,11630*1000*SER_hh_fec_in!V25/SER_hh_num_in!V25)</f>
        <v>12274.72728871469</v>
      </c>
      <c r="W25" s="132">
        <f>IF(SER_hh_fec_in!W25=0,0,11630*1000*SER_hh_fec_in!W25/SER_hh_num_in!W25)</f>
        <v>11329.111256745446</v>
      </c>
      <c r="X25" s="132">
        <f>IF(SER_hh_fec_in!X25=0,0,11630*1000*SER_hh_fec_in!X25/SER_hh_num_in!X25)</f>
        <v>13949.902464455779</v>
      </c>
      <c r="Y25" s="132">
        <f>IF(SER_hh_fec_in!Y25=0,0,11630*1000*SER_hh_fec_in!Y25/SER_hh_num_in!Y25)</f>
        <v>13795.269473836759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16697.630998530378</v>
      </c>
      <c r="D26" s="65">
        <f>IF(SER_hh_fec_in!D26=0,0,11630*1000*SER_hh_fec_in!D26/SER_hh_num_in!D26)</f>
        <v>18730.627095081592</v>
      </c>
      <c r="E26" s="65">
        <f>IF(SER_hh_fec_in!E26=0,0,11630*1000*SER_hh_fec_in!E26/SER_hh_num_in!E26)</f>
        <v>18721.966954934051</v>
      </c>
      <c r="F26" s="65">
        <f>IF(SER_hh_fec_in!F26=0,0,11630*1000*SER_hh_fec_in!F26/SER_hh_num_in!F26)</f>
        <v>15900.152188172926</v>
      </c>
      <c r="G26" s="65">
        <f>IF(SER_hh_fec_in!G26=0,0,11630*1000*SER_hh_fec_in!G26/SER_hh_num_in!G26)</f>
        <v>16390.5057771871</v>
      </c>
      <c r="H26" s="65">
        <f>IF(SER_hh_fec_in!H26=0,0,11630*1000*SER_hh_fec_in!H26/SER_hh_num_in!H26)</f>
        <v>16385.575532952571</v>
      </c>
      <c r="I26" s="65">
        <f>IF(SER_hh_fec_in!I26=0,0,11630*1000*SER_hh_fec_in!I26/SER_hh_num_in!I26)</f>
        <v>15435.982385875453</v>
      </c>
      <c r="J26" s="65">
        <f>IF(SER_hh_fec_in!J26=0,0,11630*1000*SER_hh_fec_in!J26/SER_hh_num_in!J26)</f>
        <v>15462.171340583747</v>
      </c>
      <c r="K26" s="65">
        <f>IF(SER_hh_fec_in!K26=0,0,11630*1000*SER_hh_fec_in!K26/SER_hh_num_in!K26)</f>
        <v>6893.1982670411353</v>
      </c>
      <c r="L26" s="65">
        <f>IF(SER_hh_fec_in!L26=0,0,11630*1000*SER_hh_fec_in!L26/SER_hh_num_in!L26)</f>
        <v>16691.51289612447</v>
      </c>
      <c r="M26" s="65">
        <f>IF(SER_hh_fec_in!M26=0,0,11630*1000*SER_hh_fec_in!M26/SER_hh_num_in!M26)</f>
        <v>16411.174473600484</v>
      </c>
      <c r="N26" s="65">
        <f>IF(SER_hh_fec_in!N26=0,0,11630*1000*SER_hh_fec_in!N26/SER_hh_num_in!N26)</f>
        <v>16376.607154455818</v>
      </c>
      <c r="O26" s="65">
        <f>IF(SER_hh_fec_in!O26=0,0,11630*1000*SER_hh_fec_in!O26/SER_hh_num_in!O26)</f>
        <v>16557.54071326655</v>
      </c>
      <c r="P26" s="65">
        <f>IF(SER_hh_fec_in!P26=0,0,11630*1000*SER_hh_fec_in!P26/SER_hh_num_in!P26)</f>
        <v>15578.94176207714</v>
      </c>
      <c r="Q26" s="65">
        <f>IF(SER_hh_fec_in!Q26=0,0,11630*1000*SER_hh_fec_in!Q26/SER_hh_num_in!Q26)</f>
        <v>13625.262909166466</v>
      </c>
      <c r="R26" s="65">
        <f>IF(SER_hh_fec_in!R26=0,0,11630*1000*SER_hh_fec_in!R26/SER_hh_num_in!R26)</f>
        <v>12492.928481002589</v>
      </c>
      <c r="S26" s="65">
        <f>IF(SER_hh_fec_in!S26=0,0,11630*1000*SER_hh_fec_in!S26/SER_hh_num_in!S26)</f>
        <v>14357.342874702379</v>
      </c>
      <c r="T26" s="65">
        <f>IF(SER_hh_fec_in!T26=0,0,11630*1000*SER_hh_fec_in!T26/SER_hh_num_in!T26)</f>
        <v>14248.890454814726</v>
      </c>
      <c r="U26" s="65">
        <f>IF(SER_hh_fec_in!U26=0,0,11630*1000*SER_hh_fec_in!U26/SER_hh_num_in!U26)</f>
        <v>13345.905874578433</v>
      </c>
      <c r="V26" s="65">
        <f>IF(SER_hh_fec_in!V26=0,0,11630*1000*SER_hh_fec_in!V26/SER_hh_num_in!V26)</f>
        <v>12586.198964491135</v>
      </c>
      <c r="W26" s="65">
        <f>IF(SER_hh_fec_in!W26=0,0,11630*1000*SER_hh_fec_in!W26/SER_hh_num_in!W26)</f>
        <v>12080.927548395937</v>
      </c>
      <c r="X26" s="65">
        <f>IF(SER_hh_fec_in!X26=0,0,11630*1000*SER_hh_fec_in!X26/SER_hh_num_in!X26)</f>
        <v>11790.432523112626</v>
      </c>
      <c r="Y26" s="65">
        <f>IF(SER_hh_fec_in!Y26=0,0,11630*1000*SER_hh_fec_in!Y26/SER_hh_num_in!Y26)</f>
        <v>13607.726179002544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24.600451480201198</v>
      </c>
      <c r="E27" s="145">
        <f>IF(SER_hh_fec_in!E27=0,0,11630*1000*SER_hh_fec_in!E27/SER_hh_num_in!E19)</f>
        <v>318.16900106963925</v>
      </c>
      <c r="F27" s="145">
        <f>IF(SER_hh_fec_in!F27=0,0,11630*1000*SER_hh_fec_in!F27/SER_hh_num_in!F19)</f>
        <v>53.448178701500595</v>
      </c>
      <c r="G27" s="145">
        <f>IF(SER_hh_fec_in!G27=0,0,11630*1000*SER_hh_fec_in!G27/SER_hh_num_in!G19)</f>
        <v>17.844505827586776</v>
      </c>
      <c r="H27" s="145">
        <f>IF(SER_hh_fec_in!H27=0,0,11630*1000*SER_hh_fec_in!H27/SER_hh_num_in!H19)</f>
        <v>143.09491394062326</v>
      </c>
      <c r="I27" s="145">
        <f>IF(SER_hh_fec_in!I27=0,0,11630*1000*SER_hh_fec_in!I27/SER_hh_num_in!I19)</f>
        <v>325.88545905038046</v>
      </c>
      <c r="J27" s="145">
        <f>IF(SER_hh_fec_in!J27=0,0,11630*1000*SER_hh_fec_in!J27/SER_hh_num_in!J19)</f>
        <v>382.32998118339339</v>
      </c>
      <c r="K27" s="145">
        <f>IF(SER_hh_fec_in!K27=0,0,11630*1000*SER_hh_fec_in!K27/SER_hh_num_in!K19)</f>
        <v>3832.7409192412965</v>
      </c>
      <c r="L27" s="145">
        <f>IF(SER_hh_fec_in!L27=0,0,11630*1000*SER_hh_fec_in!L27/SER_hh_num_in!L19)</f>
        <v>0</v>
      </c>
      <c r="M27" s="145">
        <f>IF(SER_hh_fec_in!M27=0,0,11630*1000*SER_hh_fec_in!M27/SER_hh_num_in!M19)</f>
        <v>53.933187428877368</v>
      </c>
      <c r="N27" s="145">
        <f>IF(SER_hh_fec_in!N27=0,0,11630*1000*SER_hh_fec_in!N27/SER_hh_num_in!N19)</f>
        <v>42.302454022873732</v>
      </c>
      <c r="O27" s="145">
        <f>IF(SER_hh_fec_in!O27=0,0,11630*1000*SER_hh_fec_in!O27/SER_hh_num_in!O19)</f>
        <v>1.5397684405352752E-12</v>
      </c>
      <c r="P27" s="145">
        <f>IF(SER_hh_fec_in!P27=0,0,11630*1000*SER_hh_fec_in!P27/SER_hh_num_in!P19)</f>
        <v>293.86484751792733</v>
      </c>
      <c r="Q27" s="145">
        <f>IF(SER_hh_fec_in!Q27=0,0,11630*1000*SER_hh_fec_in!Q27/SER_hh_num_in!Q19)</f>
        <v>655.836983929756</v>
      </c>
      <c r="R27" s="145">
        <f>IF(SER_hh_fec_in!R27=0,0,11630*1000*SER_hh_fec_in!R27/SER_hh_num_in!R19)</f>
        <v>1151.7117206353648</v>
      </c>
      <c r="S27" s="145">
        <f>IF(SER_hh_fec_in!S27=0,0,11630*1000*SER_hh_fec_in!S27/SER_hh_num_in!S19)</f>
        <v>309.8416822932798</v>
      </c>
      <c r="T27" s="145">
        <f>IF(SER_hh_fec_in!T27=0,0,11630*1000*SER_hh_fec_in!T27/SER_hh_num_in!T19)</f>
        <v>253.9483854266104</v>
      </c>
      <c r="U27" s="145">
        <f>IF(SER_hh_fec_in!U27=0,0,11630*1000*SER_hh_fec_in!U27/SER_hh_num_in!U19)</f>
        <v>176.12948315355692</v>
      </c>
      <c r="V27" s="145">
        <f>IF(SER_hh_fec_in!V27=0,0,11630*1000*SER_hh_fec_in!V27/SER_hh_num_in!V19)</f>
        <v>1.5252296611938131E-12</v>
      </c>
      <c r="W27" s="145">
        <f>IF(SER_hh_fec_in!W27=0,0,11630*1000*SER_hh_fec_in!W27/SER_hh_num_in!W19)</f>
        <v>0</v>
      </c>
      <c r="X27" s="145">
        <f>IF(SER_hh_fec_in!X27=0,0,11630*1000*SER_hh_fec_in!X27/SER_hh_num_in!X19)</f>
        <v>991.056729322092</v>
      </c>
      <c r="Y27" s="145">
        <f>IF(SER_hh_fec_in!Y27=0,0,11630*1000*SER_hh_fec_in!Y27/SER_hh_num_in!Y19)</f>
        <v>236.43493569225916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7836.9319453877197</v>
      </c>
      <c r="E28" s="146">
        <f>IF(SER_hh_fec_in!E27=0,0,11630*1000*SER_hh_fec_in!E27/SER_hh_num_in!E27)</f>
        <v>7914.5143042501631</v>
      </c>
      <c r="F28" s="146">
        <f>IF(SER_hh_fec_in!F27=0,0,11630*1000*SER_hh_fec_in!F27/SER_hh_num_in!F27)</f>
        <v>7876.3682489580024</v>
      </c>
      <c r="G28" s="146">
        <f>IF(SER_hh_fec_in!G27=0,0,11630*1000*SER_hh_fec_in!G27/SER_hh_num_in!G27)</f>
        <v>7401.8299449453934</v>
      </c>
      <c r="H28" s="146">
        <f>IF(SER_hh_fec_in!H27=0,0,11630*1000*SER_hh_fec_in!H27/SER_hh_num_in!H27)</f>
        <v>7422.2145594192007</v>
      </c>
      <c r="I28" s="146">
        <f>IF(SER_hh_fec_in!I27=0,0,11630*1000*SER_hh_fec_in!I27/SER_hh_num_in!I27)</f>
        <v>7079.3562105180863</v>
      </c>
      <c r="J28" s="146">
        <f>IF(SER_hh_fec_in!J27=0,0,11630*1000*SER_hh_fec_in!J27/SER_hh_num_in!J27)</f>
        <v>7571.4582925614095</v>
      </c>
      <c r="K28" s="146">
        <f>IF(SER_hh_fec_in!K27=0,0,11630*1000*SER_hh_fec_in!K27/SER_hh_num_in!K27)</f>
        <v>7483.1090931289982</v>
      </c>
      <c r="L28" s="146">
        <f>IF(SER_hh_fec_in!L27=0,0,11630*1000*SER_hh_fec_in!L27/SER_hh_num_in!L27)</f>
        <v>0</v>
      </c>
      <c r="M28" s="146">
        <f>IF(SER_hh_fec_in!M27=0,0,11630*1000*SER_hh_fec_in!M27/SER_hh_num_in!M27)</f>
        <v>7848.4384857188052</v>
      </c>
      <c r="N28" s="146">
        <f>IF(SER_hh_fec_in!N27=0,0,11630*1000*SER_hh_fec_in!N27/SER_hh_num_in!N27)</f>
        <v>7962.4676739693596</v>
      </c>
      <c r="O28" s="146">
        <f>IF(SER_hh_fec_in!O27=0,0,11630*1000*SER_hh_fec_in!O27/SER_hh_num_in!O27)</f>
        <v>9315.3190509806827</v>
      </c>
      <c r="P28" s="146">
        <f>IF(SER_hh_fec_in!P27=0,0,11630*1000*SER_hh_fec_in!P27/SER_hh_num_in!P27)</f>
        <v>9482.7781509463348</v>
      </c>
      <c r="Q28" s="146">
        <f>IF(SER_hh_fec_in!Q27=0,0,11630*1000*SER_hh_fec_in!Q27/SER_hh_num_in!Q27)</f>
        <v>8970.840029005496</v>
      </c>
      <c r="R28" s="146">
        <f>IF(SER_hh_fec_in!R27=0,0,11630*1000*SER_hh_fec_in!R27/SER_hh_num_in!R27)</f>
        <v>8160.5166101020814</v>
      </c>
      <c r="S28" s="146">
        <f>IF(SER_hh_fec_in!S27=0,0,11630*1000*SER_hh_fec_in!S27/SER_hh_num_in!S27)</f>
        <v>7853.1430883325984</v>
      </c>
      <c r="T28" s="146">
        <f>IF(SER_hh_fec_in!T27=0,0,11630*1000*SER_hh_fec_in!T27/SER_hh_num_in!T27)</f>
        <v>8374.5738737395623</v>
      </c>
      <c r="U28" s="146">
        <f>IF(SER_hh_fec_in!U27=0,0,11630*1000*SER_hh_fec_in!U27/SER_hh_num_in!U27)</f>
        <v>7905.6225872643963</v>
      </c>
      <c r="V28" s="146">
        <f>IF(SER_hh_fec_in!V27=0,0,11630*1000*SER_hh_fec_in!V27/SER_hh_num_in!V27)</f>
        <v>8968.704721930766</v>
      </c>
      <c r="W28" s="146">
        <f>IF(SER_hh_fec_in!W27=0,0,11630*1000*SER_hh_fec_in!W27/SER_hh_num_in!W27)</f>
        <v>0</v>
      </c>
      <c r="X28" s="146">
        <f>IF(SER_hh_fec_in!X27=0,0,11630*1000*SER_hh_fec_in!X27/SER_hh_num_in!X27)</f>
        <v>8739.333089370366</v>
      </c>
      <c r="Y28" s="146">
        <f>IF(SER_hh_fec_in!Y27=0,0,11630*1000*SER_hh_fec_in!Y27/SER_hh_num_in!Y27)</f>
        <v>8387.0945450054041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14194.358626735573</v>
      </c>
      <c r="D29" s="130">
        <f>IF(SER_hh_fec_in!D29=0,0,11630*1000*SER_hh_fec_in!D29/SER_hh_num_in!D29)</f>
        <v>14576.609106159183</v>
      </c>
      <c r="E29" s="130">
        <f>IF(SER_hh_fec_in!E29=0,0,11630*1000*SER_hh_fec_in!E29/SER_hh_num_in!E29)</f>
        <v>15318.604628280878</v>
      </c>
      <c r="F29" s="130">
        <f>IF(SER_hh_fec_in!F29=0,0,11630*1000*SER_hh_fec_in!F29/SER_hh_num_in!F29)</f>
        <v>14111.205583971734</v>
      </c>
      <c r="G29" s="130">
        <f>IF(SER_hh_fec_in!G29=0,0,11630*1000*SER_hh_fec_in!G29/SER_hh_num_in!G29)</f>
        <v>14814.647330503771</v>
      </c>
      <c r="H29" s="130">
        <f>IF(SER_hh_fec_in!H29=0,0,11630*1000*SER_hh_fec_in!H29/SER_hh_num_in!H29)</f>
        <v>14907.708779779419</v>
      </c>
      <c r="I29" s="130">
        <f>IF(SER_hh_fec_in!I29=0,0,11630*1000*SER_hh_fec_in!I29/SER_hh_num_in!I29)</f>
        <v>15045.626634147737</v>
      </c>
      <c r="J29" s="130">
        <f>IF(SER_hh_fec_in!J29=0,0,11630*1000*SER_hh_fec_in!J29/SER_hh_num_in!J29)</f>
        <v>15810.065884195415</v>
      </c>
      <c r="K29" s="130">
        <f>IF(SER_hh_fec_in!K29=0,0,11630*1000*SER_hh_fec_in!K29/SER_hh_num_in!K29)</f>
        <v>16540.867307703513</v>
      </c>
      <c r="L29" s="130">
        <f>IF(SER_hh_fec_in!L29=0,0,11630*1000*SER_hh_fec_in!L29/SER_hh_num_in!L29)</f>
        <v>16323.110839964227</v>
      </c>
      <c r="M29" s="130">
        <f>IF(SER_hh_fec_in!M29=0,0,11630*1000*SER_hh_fec_in!M29/SER_hh_num_in!M29)</f>
        <v>15233.348796115421</v>
      </c>
      <c r="N29" s="130">
        <f>IF(SER_hh_fec_in!N29=0,0,11630*1000*SER_hh_fec_in!N29/SER_hh_num_in!N29)</f>
        <v>15781.869862372056</v>
      </c>
      <c r="O29" s="130">
        <f>IF(SER_hh_fec_in!O29=0,0,11630*1000*SER_hh_fec_in!O29/SER_hh_num_in!O29)</f>
        <v>15880.750554974367</v>
      </c>
      <c r="P29" s="130">
        <f>IF(SER_hh_fec_in!P29=0,0,11630*1000*SER_hh_fec_in!P29/SER_hh_num_in!P29)</f>
        <v>16325.065612816084</v>
      </c>
      <c r="Q29" s="130">
        <f>IF(SER_hh_fec_in!Q29=0,0,11630*1000*SER_hh_fec_in!Q29/SER_hh_num_in!Q29)</f>
        <v>17150.375057894329</v>
      </c>
      <c r="R29" s="130">
        <f>IF(SER_hh_fec_in!R29=0,0,11630*1000*SER_hh_fec_in!R29/SER_hh_num_in!R29)</f>
        <v>17202.625165047612</v>
      </c>
      <c r="S29" s="130">
        <f>IF(SER_hh_fec_in!S29=0,0,11630*1000*SER_hh_fec_in!S29/SER_hh_num_in!S29)</f>
        <v>17436.929557262294</v>
      </c>
      <c r="T29" s="130">
        <f>IF(SER_hh_fec_in!T29=0,0,11630*1000*SER_hh_fec_in!T29/SER_hh_num_in!T29)</f>
        <v>17506.932636439342</v>
      </c>
      <c r="U29" s="130">
        <f>IF(SER_hh_fec_in!U29=0,0,11630*1000*SER_hh_fec_in!U29/SER_hh_num_in!U29)</f>
        <v>16969.947963864073</v>
      </c>
      <c r="V29" s="130">
        <f>IF(SER_hh_fec_in!V29=0,0,11630*1000*SER_hh_fec_in!V29/SER_hh_num_in!V29)</f>
        <v>16146.146338797464</v>
      </c>
      <c r="W29" s="130">
        <f>IF(SER_hh_fec_in!W29=0,0,11630*1000*SER_hh_fec_in!W29/SER_hh_num_in!W29)</f>
        <v>15745.995554516139</v>
      </c>
      <c r="X29" s="130">
        <f>IF(SER_hh_fec_in!X29=0,0,11630*1000*SER_hh_fec_in!X29/SER_hh_num_in!X29)</f>
        <v>15701.667632988947</v>
      </c>
      <c r="Y29" s="130">
        <f>IF(SER_hh_fec_in!Y29=0,0,11630*1000*SER_hh_fec_in!Y29/SER_hh_num_in!Y29)</f>
        <v>15665.624867404664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17568.057504813329</v>
      </c>
      <c r="D30" s="132">
        <f>IF(SER_hh_fec_in!D30=0,0,11630*1000*SER_hh_fec_in!D30/SER_hh_num_in!D30)</f>
        <v>0</v>
      </c>
      <c r="E30" s="132">
        <f>IF(SER_hh_fec_in!E30=0,0,11630*1000*SER_hh_fec_in!E30/SER_hh_num_in!E30)</f>
        <v>0</v>
      </c>
      <c r="F30" s="132">
        <f>IF(SER_hh_fec_in!F30=0,0,11630*1000*SER_hh_fec_in!F30/SER_hh_num_in!F30)</f>
        <v>0</v>
      </c>
      <c r="G30" s="132">
        <f>IF(SER_hh_fec_in!G30=0,0,11630*1000*SER_hh_fec_in!G30/SER_hh_num_in!G30)</f>
        <v>0</v>
      </c>
      <c r="H30" s="132">
        <f>IF(SER_hh_fec_in!H30=0,0,11630*1000*SER_hh_fec_in!H30/SER_hh_num_in!H30)</f>
        <v>0</v>
      </c>
      <c r="I30" s="132">
        <f>IF(SER_hh_fec_in!I30=0,0,11630*1000*SER_hh_fec_in!I30/SER_hh_num_in!I30)</f>
        <v>0</v>
      </c>
      <c r="J30" s="132">
        <f>IF(SER_hh_fec_in!J30=0,0,11630*1000*SER_hh_fec_in!J30/SER_hh_num_in!J30)</f>
        <v>18530.215985010975</v>
      </c>
      <c r="K30" s="132">
        <f>IF(SER_hh_fec_in!K30=0,0,11630*1000*SER_hh_fec_in!K30/SER_hh_num_in!K30)</f>
        <v>18045.803609679613</v>
      </c>
      <c r="L30" s="132">
        <f>IF(SER_hh_fec_in!L30=0,0,11630*1000*SER_hh_fec_in!L30/SER_hh_num_in!L30)</f>
        <v>21754.756838235706</v>
      </c>
      <c r="M30" s="132">
        <f>IF(SER_hh_fec_in!M30=0,0,11630*1000*SER_hh_fec_in!M30/SER_hh_num_in!M30)</f>
        <v>0</v>
      </c>
      <c r="N30" s="132">
        <f>IF(SER_hh_fec_in!N30=0,0,11630*1000*SER_hh_fec_in!N30/SER_hh_num_in!N30)</f>
        <v>0</v>
      </c>
      <c r="O30" s="132">
        <f>IF(SER_hh_fec_in!O30=0,0,11630*1000*SER_hh_fec_in!O30/SER_hh_num_in!O30)</f>
        <v>20335.490734524232</v>
      </c>
      <c r="P30" s="132">
        <f>IF(SER_hh_fec_in!P30=0,0,11630*1000*SER_hh_fec_in!P30/SER_hh_num_in!P30)</f>
        <v>0</v>
      </c>
      <c r="Q30" s="132">
        <f>IF(SER_hh_fec_in!Q30=0,0,11630*1000*SER_hh_fec_in!Q30/SER_hh_num_in!Q30)</f>
        <v>25048.570676147403</v>
      </c>
      <c r="R30" s="132">
        <f>IF(SER_hh_fec_in!R30=0,0,11630*1000*SER_hh_fec_in!R30/SER_hh_num_in!R30)</f>
        <v>19109.905199423785</v>
      </c>
      <c r="S30" s="132">
        <f>IF(SER_hh_fec_in!S30=0,0,11630*1000*SER_hh_fec_in!S30/SER_hh_num_in!S30)</f>
        <v>21382.299098915322</v>
      </c>
      <c r="T30" s="132">
        <f>IF(SER_hh_fec_in!T30=0,0,11630*1000*SER_hh_fec_in!T30/SER_hh_num_in!T30)</f>
        <v>19928.963870322837</v>
      </c>
      <c r="U30" s="132">
        <f>IF(SER_hh_fec_in!U30=0,0,11630*1000*SER_hh_fec_in!U30/SER_hh_num_in!U30)</f>
        <v>19314.496400909939</v>
      </c>
      <c r="V30" s="132">
        <f>IF(SER_hh_fec_in!V30=0,0,11630*1000*SER_hh_fec_in!V30/SER_hh_num_in!V30)</f>
        <v>21465.300796872474</v>
      </c>
      <c r="W30" s="132">
        <f>IF(SER_hh_fec_in!W30=0,0,11630*1000*SER_hh_fec_in!W30/SER_hh_num_in!W30)</f>
        <v>23043.09745876829</v>
      </c>
      <c r="X30" s="132">
        <f>IF(SER_hh_fec_in!X30=0,0,11630*1000*SER_hh_fec_in!X30/SER_hh_num_in!X30)</f>
        <v>0</v>
      </c>
      <c r="Y30" s="132">
        <f>IF(SER_hh_fec_in!Y30=0,0,11630*1000*SER_hh_fec_in!Y30/SER_hh_num_in!Y30)</f>
        <v>0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16278.19783664221</v>
      </c>
      <c r="D31" s="132">
        <f>IF(SER_hh_fec_in!D31=0,0,11630*1000*SER_hh_fec_in!D31/SER_hh_num_in!D31)</f>
        <v>16830.488653924756</v>
      </c>
      <c r="E31" s="132">
        <f>IF(SER_hh_fec_in!E31=0,0,11630*1000*SER_hh_fec_in!E31/SER_hh_num_in!E31)</f>
        <v>17153.871551236953</v>
      </c>
      <c r="F31" s="132">
        <f>IF(SER_hh_fec_in!F31=0,0,11630*1000*SER_hh_fec_in!F31/SER_hh_num_in!F31)</f>
        <v>16952.055547534219</v>
      </c>
      <c r="G31" s="132">
        <f>IF(SER_hh_fec_in!G31=0,0,11630*1000*SER_hh_fec_in!G31/SER_hh_num_in!G31)</f>
        <v>17099.943307184978</v>
      </c>
      <c r="H31" s="132">
        <f>IF(SER_hh_fec_in!H31=0,0,11630*1000*SER_hh_fec_in!H31/SER_hh_num_in!H31)</f>
        <v>17108.693301967109</v>
      </c>
      <c r="I31" s="132">
        <f>IF(SER_hh_fec_in!I31=0,0,11630*1000*SER_hh_fec_in!I31/SER_hh_num_in!I31)</f>
        <v>17446.686762179645</v>
      </c>
      <c r="J31" s="132">
        <f>IF(SER_hh_fec_in!J31=0,0,11630*1000*SER_hh_fec_in!J31/SER_hh_num_in!J31)</f>
        <v>17817.708617794418</v>
      </c>
      <c r="K31" s="132">
        <f>IF(SER_hh_fec_in!K31=0,0,11630*1000*SER_hh_fec_in!K31/SER_hh_num_in!K31)</f>
        <v>18007.556016928065</v>
      </c>
      <c r="L31" s="132">
        <f>IF(SER_hh_fec_in!L31=0,0,11630*1000*SER_hh_fec_in!L31/SER_hh_num_in!L31)</f>
        <v>18167.109904504679</v>
      </c>
      <c r="M31" s="132">
        <f>IF(SER_hh_fec_in!M31=0,0,11630*1000*SER_hh_fec_in!M31/SER_hh_num_in!M31)</f>
        <v>18427.844317757099</v>
      </c>
      <c r="N31" s="132">
        <f>IF(SER_hh_fec_in!N31=0,0,11630*1000*SER_hh_fec_in!N31/SER_hh_num_in!N31)</f>
        <v>19000.573538865061</v>
      </c>
      <c r="O31" s="132">
        <f>IF(SER_hh_fec_in!O31=0,0,11630*1000*SER_hh_fec_in!O31/SER_hh_num_in!O31)</f>
        <v>19415.555826061394</v>
      </c>
      <c r="P31" s="132">
        <f>IF(SER_hh_fec_in!P31=0,0,11630*1000*SER_hh_fec_in!P31/SER_hh_num_in!P31)</f>
        <v>19809.917831283252</v>
      </c>
      <c r="Q31" s="132">
        <f>IF(SER_hh_fec_in!Q31=0,0,11630*1000*SER_hh_fec_in!Q31/SER_hh_num_in!Q31)</f>
        <v>20334.966435282488</v>
      </c>
      <c r="R31" s="132">
        <f>IF(SER_hh_fec_in!R31=0,0,11630*1000*SER_hh_fec_in!R31/SER_hh_num_in!R31)</f>
        <v>20687.505990871043</v>
      </c>
      <c r="S31" s="132">
        <f>IF(SER_hh_fec_in!S31=0,0,11630*1000*SER_hh_fec_in!S31/SER_hh_num_in!S31)</f>
        <v>20730.347092363154</v>
      </c>
      <c r="T31" s="132">
        <f>IF(SER_hh_fec_in!T31=0,0,11630*1000*SER_hh_fec_in!T31/SER_hh_num_in!T31)</f>
        <v>20634.201728030104</v>
      </c>
      <c r="U31" s="132">
        <f>IF(SER_hh_fec_in!U31=0,0,11630*1000*SER_hh_fec_in!U31/SER_hh_num_in!U31)</f>
        <v>20507.055488524165</v>
      </c>
      <c r="V31" s="132">
        <f>IF(SER_hh_fec_in!V31=0,0,11630*1000*SER_hh_fec_in!V31/SER_hh_num_in!V31)</f>
        <v>19820.56313649482</v>
      </c>
      <c r="W31" s="132">
        <f>IF(SER_hh_fec_in!W31=0,0,11630*1000*SER_hh_fec_in!W31/SER_hh_num_in!W31)</f>
        <v>18987.638967503895</v>
      </c>
      <c r="X31" s="132">
        <f>IF(SER_hh_fec_in!X31=0,0,11630*1000*SER_hh_fec_in!X31/SER_hh_num_in!X31)</f>
        <v>20924.140399347078</v>
      </c>
      <c r="Y31" s="132">
        <f>IF(SER_hh_fec_in!Y31=0,0,11630*1000*SER_hh_fec_in!Y31/SER_hh_num_in!Y31)</f>
        <v>19862.180740689244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23825.139726404319</v>
      </c>
      <c r="K32" s="132">
        <f>IF(SER_hh_fec_in!K32=0,0,11630*1000*SER_hh_fec_in!K32/SER_hh_num_in!K32)</f>
        <v>13829.234271987023</v>
      </c>
      <c r="L32" s="132">
        <f>IF(SER_hh_fec_in!L32=0,0,11630*1000*SER_hh_fec_in!L32/SER_hh_num_in!L32)</f>
        <v>23943.560235153334</v>
      </c>
      <c r="M32" s="132">
        <f>IF(SER_hh_fec_in!M32=0,0,11630*1000*SER_hh_fec_in!M32/SER_hh_num_in!M32)</f>
        <v>22629.18039502831</v>
      </c>
      <c r="N32" s="132">
        <f>IF(SER_hh_fec_in!N32=0,0,11630*1000*SER_hh_fec_in!N32/SER_hh_num_in!N32)</f>
        <v>12018.38761180415</v>
      </c>
      <c r="O32" s="132">
        <f>IF(SER_hh_fec_in!O32=0,0,11630*1000*SER_hh_fec_in!O32/SER_hh_num_in!O32)</f>
        <v>18837.151873359384</v>
      </c>
      <c r="P32" s="132">
        <f>IF(SER_hh_fec_in!P32=0,0,11630*1000*SER_hh_fec_in!P32/SER_hh_num_in!P32)</f>
        <v>22294.652020634687</v>
      </c>
      <c r="Q32" s="132">
        <f>IF(SER_hh_fec_in!Q32=0,0,11630*1000*SER_hh_fec_in!Q32/SER_hh_num_in!Q32)</f>
        <v>22815.281794088569</v>
      </c>
      <c r="R32" s="132">
        <f>IF(SER_hh_fec_in!R32=0,0,11630*1000*SER_hh_fec_in!R32/SER_hh_num_in!R32)</f>
        <v>22198.251132109952</v>
      </c>
      <c r="S32" s="132">
        <f>IF(SER_hh_fec_in!S32=0,0,11630*1000*SER_hh_fec_in!S32/SER_hh_num_in!S32)</f>
        <v>21371.954921372177</v>
      </c>
      <c r="T32" s="132">
        <f>IF(SER_hh_fec_in!T32=0,0,11630*1000*SER_hh_fec_in!T32/SER_hh_num_in!T32)</f>
        <v>22211.205348237581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19045.467913084707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11889.780547058323</v>
      </c>
      <c r="D33" s="68">
        <f>IF(SER_hh_fec_in!D33=0,0,11630*1000*SER_hh_fec_in!D33/SER_hh_num_in!D33)</f>
        <v>13836.706395321384</v>
      </c>
      <c r="E33" s="68">
        <f>IF(SER_hh_fec_in!E33=0,0,11630*1000*SER_hh_fec_in!E33/SER_hh_num_in!E33)</f>
        <v>14290.656984393941</v>
      </c>
      <c r="F33" s="68">
        <f>IF(SER_hh_fec_in!F33=0,0,11630*1000*SER_hh_fec_in!F33/SER_hh_num_in!F33)</f>
        <v>11329.113547429572</v>
      </c>
      <c r="G33" s="68">
        <f>IF(SER_hh_fec_in!G33=0,0,11630*1000*SER_hh_fec_in!G33/SER_hh_num_in!G33)</f>
        <v>13359.806078211235</v>
      </c>
      <c r="H33" s="68">
        <f>IF(SER_hh_fec_in!H33=0,0,11630*1000*SER_hh_fec_in!H33/SER_hh_num_in!H33)</f>
        <v>13071.387442776519</v>
      </c>
      <c r="I33" s="68">
        <f>IF(SER_hh_fec_in!I33=0,0,11630*1000*SER_hh_fec_in!I33/SER_hh_num_in!I33)</f>
        <v>13317.639202261757</v>
      </c>
      <c r="J33" s="68">
        <f>IF(SER_hh_fec_in!J33=0,0,11630*1000*SER_hh_fec_in!J33/SER_hh_num_in!J33)</f>
        <v>13269.111745472708</v>
      </c>
      <c r="K33" s="68">
        <f>IF(SER_hh_fec_in!K33=0,0,11630*1000*SER_hh_fec_in!K33/SER_hh_num_in!K33)</f>
        <v>13780.891074236908</v>
      </c>
      <c r="L33" s="68">
        <f>IF(SER_hh_fec_in!L33=0,0,11630*1000*SER_hh_fec_in!L33/SER_hh_num_in!L33)</f>
        <v>13514.819779166206</v>
      </c>
      <c r="M33" s="68">
        <f>IF(SER_hh_fec_in!M33=0,0,11630*1000*SER_hh_fec_in!M33/SER_hh_num_in!M33)</f>
        <v>13716.08663019636</v>
      </c>
      <c r="N33" s="68">
        <f>IF(SER_hh_fec_in!N33=0,0,11630*1000*SER_hh_fec_in!N33/SER_hh_num_in!N33)</f>
        <v>14130.396119421808</v>
      </c>
      <c r="O33" s="68">
        <f>IF(SER_hh_fec_in!O33=0,0,11630*1000*SER_hh_fec_in!O33/SER_hh_num_in!O33)</f>
        <v>13976.155959345662</v>
      </c>
      <c r="P33" s="68">
        <f>IF(SER_hh_fec_in!P33=0,0,11630*1000*SER_hh_fec_in!P33/SER_hh_num_in!P33)</f>
        <v>14923.208778521295</v>
      </c>
      <c r="Q33" s="68">
        <f>IF(SER_hh_fec_in!Q33=0,0,11630*1000*SER_hh_fec_in!Q33/SER_hh_num_in!Q33)</f>
        <v>14916.303688933147</v>
      </c>
      <c r="R33" s="68">
        <f>IF(SER_hh_fec_in!R33=0,0,11630*1000*SER_hh_fec_in!R33/SER_hh_num_in!R33)</f>
        <v>15156.632983885202</v>
      </c>
      <c r="S33" s="68">
        <f>IF(SER_hh_fec_in!S33=0,0,11630*1000*SER_hh_fec_in!S33/SER_hh_num_in!S33)</f>
        <v>15024.700457181378</v>
      </c>
      <c r="T33" s="68">
        <f>IF(SER_hh_fec_in!T33=0,0,11630*1000*SER_hh_fec_in!T33/SER_hh_num_in!T33)</f>
        <v>15008.730803839384</v>
      </c>
      <c r="U33" s="68">
        <f>IF(SER_hh_fec_in!U33=0,0,11630*1000*SER_hh_fec_in!U33/SER_hh_num_in!U33)</f>
        <v>14033.520881033073</v>
      </c>
      <c r="V33" s="68">
        <f>IF(SER_hh_fec_in!V33=0,0,11630*1000*SER_hh_fec_in!V33/SER_hh_num_in!V33)</f>
        <v>13007.937643207679</v>
      </c>
      <c r="W33" s="68">
        <f>IF(SER_hh_fec_in!W33=0,0,11630*1000*SER_hh_fec_in!W33/SER_hh_num_in!W33)</f>
        <v>14063.829703994845</v>
      </c>
      <c r="X33" s="68">
        <f>IF(SER_hh_fec_in!X33=0,0,11630*1000*SER_hh_fec_in!X33/SER_hh_num_in!X33)</f>
        <v>13596.49711120963</v>
      </c>
      <c r="Y33" s="68">
        <f>IF(SER_hh_fec_in!Y33=0,0,11630*1000*SER_hh_fec_in!Y33/SER_hh_num_in!Y33)</f>
        <v>14222.630584647395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124293.5406924133</v>
      </c>
      <c r="D3" s="125">
        <f>IF(SER_hh_tes_in!D3=0,0,11630*1000*SER_hh_tes_in!D3/SER_hh_num_in!D3)</f>
        <v>122010.07145163669</v>
      </c>
      <c r="E3" s="125">
        <f>IF(SER_hh_tes_in!E3=0,0,11630*1000*SER_hh_tes_in!E3/SER_hh_num_in!E3)</f>
        <v>127977.66815968683</v>
      </c>
      <c r="F3" s="125">
        <f>IF(SER_hh_tes_in!F3=0,0,11630*1000*SER_hh_tes_in!F3/SER_hh_num_in!F3)</f>
        <v>178248.99105985483</v>
      </c>
      <c r="G3" s="125">
        <f>IF(SER_hh_tes_in!G3=0,0,11630*1000*SER_hh_tes_in!G3/SER_hh_num_in!G3)</f>
        <v>155332.05842273511</v>
      </c>
      <c r="H3" s="125">
        <f>IF(SER_hh_tes_in!H3=0,0,11630*1000*SER_hh_tes_in!H3/SER_hh_num_in!H3)</f>
        <v>144899.08916405682</v>
      </c>
      <c r="I3" s="125">
        <f>IF(SER_hh_tes_in!I3=0,0,11630*1000*SER_hh_tes_in!I3/SER_hh_num_in!I3)</f>
        <v>127625.20068214132</v>
      </c>
      <c r="J3" s="125">
        <f>IF(SER_hh_tes_in!J3=0,0,11630*1000*SER_hh_tes_in!J3/SER_hh_num_in!J3)</f>
        <v>136037.77565070489</v>
      </c>
      <c r="K3" s="125">
        <f>IF(SER_hh_tes_in!K3=0,0,11630*1000*SER_hh_tes_in!K3/SER_hh_num_in!K3)</f>
        <v>134288.73109375694</v>
      </c>
      <c r="L3" s="125">
        <f>IF(SER_hh_tes_in!L3=0,0,11630*1000*SER_hh_tes_in!L3/SER_hh_num_in!L3)</f>
        <v>139402.21084204689</v>
      </c>
      <c r="M3" s="125">
        <f>IF(SER_hh_tes_in!M3=0,0,11630*1000*SER_hh_tes_in!M3/SER_hh_num_in!M3)</f>
        <v>116654.12934212113</v>
      </c>
      <c r="N3" s="125">
        <f>IF(SER_hh_tes_in!N3=0,0,11630*1000*SER_hh_tes_in!N3/SER_hh_num_in!N3)</f>
        <v>121100.51682487084</v>
      </c>
      <c r="O3" s="125">
        <f>IF(SER_hh_tes_in!O3=0,0,11630*1000*SER_hh_tes_in!O3/SER_hh_num_in!O3)</f>
        <v>125771.65347617665</v>
      </c>
      <c r="P3" s="125">
        <f>IF(SER_hh_tes_in!P3=0,0,11630*1000*SER_hh_tes_in!P3/SER_hh_num_in!P3)</f>
        <v>107094.31063122999</v>
      </c>
      <c r="Q3" s="125">
        <f>IF(SER_hh_tes_in!Q3=0,0,11630*1000*SER_hh_tes_in!Q3/SER_hh_num_in!Q3)</f>
        <v>114848.29711411608</v>
      </c>
      <c r="R3" s="125">
        <f>IF(SER_hh_tes_in!R3=0,0,11630*1000*SER_hh_tes_in!R3/SER_hh_num_in!R3)</f>
        <v>111281.10103075934</v>
      </c>
      <c r="S3" s="125">
        <f>IF(SER_hh_tes_in!S3=0,0,11630*1000*SER_hh_tes_in!S3/SER_hh_num_in!S3)</f>
        <v>106187.08472499491</v>
      </c>
      <c r="T3" s="125">
        <f>IF(SER_hh_tes_in!T3=0,0,11630*1000*SER_hh_tes_in!T3/SER_hh_num_in!T3)</f>
        <v>106328.62595848367</v>
      </c>
      <c r="U3" s="125">
        <f>IF(SER_hh_tes_in!U3=0,0,11630*1000*SER_hh_tes_in!U3/SER_hh_num_in!U3)</f>
        <v>100192.5429923948</v>
      </c>
      <c r="V3" s="125">
        <f>IF(SER_hh_tes_in!V3=0,0,11630*1000*SER_hh_tes_in!V3/SER_hh_num_in!V3)</f>
        <v>92645.624150350195</v>
      </c>
      <c r="W3" s="125">
        <f>IF(SER_hh_tes_in!W3=0,0,11630*1000*SER_hh_tes_in!W3/SER_hh_num_in!W3)</f>
        <v>87895.793379544397</v>
      </c>
      <c r="X3" s="125">
        <f>IF(SER_hh_tes_in!X3=0,0,11630*1000*SER_hh_tes_in!X3/SER_hh_num_in!X3)</f>
        <v>75586.192895769564</v>
      </c>
      <c r="Y3" s="125">
        <f>IF(SER_hh_tes_in!Y3=0,0,11630*1000*SER_hh_tes_in!Y3/SER_hh_num_in!Y3)</f>
        <v>73391.017347063913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72893.718997290736</v>
      </c>
      <c r="D4" s="130">
        <f>IF(SER_hh_tes_in!D4=0,0,11630*1000*SER_hh_tes_in!D4/SER_hh_num_in!D4)</f>
        <v>77166.491399120219</v>
      </c>
      <c r="E4" s="130">
        <f>IF(SER_hh_tes_in!E4=0,0,11630*1000*SER_hh_tes_in!E4/SER_hh_num_in!E4)</f>
        <v>66952.586545249142</v>
      </c>
      <c r="F4" s="130">
        <f>IF(SER_hh_tes_in!F4=0,0,11630*1000*SER_hh_tes_in!F4/SER_hh_num_in!F4)</f>
        <v>127862.49142612379</v>
      </c>
      <c r="G4" s="130">
        <f>IF(SER_hh_tes_in!G4=0,0,11630*1000*SER_hh_tes_in!G4/SER_hh_num_in!G4)</f>
        <v>103818.02504814194</v>
      </c>
      <c r="H4" s="130">
        <f>IF(SER_hh_tes_in!H4=0,0,11630*1000*SER_hh_tes_in!H4/SER_hh_num_in!H4)</f>
        <v>86832.65974196358</v>
      </c>
      <c r="I4" s="130">
        <f>IF(SER_hh_tes_in!I4=0,0,11630*1000*SER_hh_tes_in!I4/SER_hh_num_in!I4)</f>
        <v>77174.354530080149</v>
      </c>
      <c r="J4" s="130">
        <f>IF(SER_hh_tes_in!J4=0,0,11630*1000*SER_hh_tes_in!J4/SER_hh_num_in!J4)</f>
        <v>85499.248687891872</v>
      </c>
      <c r="K4" s="130">
        <f>IF(SER_hh_tes_in!K4=0,0,11630*1000*SER_hh_tes_in!K4/SER_hh_num_in!K4)</f>
        <v>83449.113501389496</v>
      </c>
      <c r="L4" s="130">
        <f>IF(SER_hh_tes_in!L4=0,0,11630*1000*SER_hh_tes_in!L4/SER_hh_num_in!L4)</f>
        <v>86920.052231480513</v>
      </c>
      <c r="M4" s="130">
        <f>IF(SER_hh_tes_in!M4=0,0,11630*1000*SER_hh_tes_in!M4/SER_hh_num_in!M4)</f>
        <v>66172.829144904987</v>
      </c>
      <c r="N4" s="130">
        <f>IF(SER_hh_tes_in!N4=0,0,11630*1000*SER_hh_tes_in!N4/SER_hh_num_in!N4)</f>
        <v>70081.358015560007</v>
      </c>
      <c r="O4" s="130">
        <f>IF(SER_hh_tes_in!O4=0,0,11630*1000*SER_hh_tes_in!O4/SER_hh_num_in!O4)</f>
        <v>74669.523738833406</v>
      </c>
      <c r="P4" s="130">
        <f>IF(SER_hh_tes_in!P4=0,0,11630*1000*SER_hh_tes_in!P4/SER_hh_num_in!P4)</f>
        <v>56605.369512153324</v>
      </c>
      <c r="Q4" s="130">
        <f>IF(SER_hh_tes_in!Q4=0,0,11630*1000*SER_hh_tes_in!Q4/SER_hh_num_in!Q4)</f>
        <v>61855.926227746808</v>
      </c>
      <c r="R4" s="130">
        <f>IF(SER_hh_tes_in!R4=0,0,11630*1000*SER_hh_tes_in!R4/SER_hh_num_in!R4)</f>
        <v>59392.043754991864</v>
      </c>
      <c r="S4" s="130">
        <f>IF(SER_hh_tes_in!S4=0,0,11630*1000*SER_hh_tes_in!S4/SER_hh_num_in!S4)</f>
        <v>56205.850994920722</v>
      </c>
      <c r="T4" s="130">
        <f>IF(SER_hh_tes_in!T4=0,0,11630*1000*SER_hh_tes_in!T4/SER_hh_num_in!T4)</f>
        <v>53988.283455321434</v>
      </c>
      <c r="U4" s="130">
        <f>IF(SER_hh_tes_in!U4=0,0,11630*1000*SER_hh_tes_in!U4/SER_hh_num_in!U4)</f>
        <v>50720.996864955065</v>
      </c>
      <c r="V4" s="130">
        <f>IF(SER_hh_tes_in!V4=0,0,11630*1000*SER_hh_tes_in!V4/SER_hh_num_in!V4)</f>
        <v>43927.031692394565</v>
      </c>
      <c r="W4" s="130">
        <f>IF(SER_hh_tes_in!W4=0,0,11630*1000*SER_hh_tes_in!W4/SER_hh_num_in!W4)</f>
        <v>44146.795563439955</v>
      </c>
      <c r="X4" s="130">
        <f>IF(SER_hh_tes_in!X4=0,0,11630*1000*SER_hh_tes_in!X4/SER_hh_num_in!X4)</f>
        <v>30417.817350167261</v>
      </c>
      <c r="Y4" s="130">
        <f>IF(SER_hh_tes_in!Y4=0,0,11630*1000*SER_hh_tes_in!Y4/SER_hh_num_in!Y4)</f>
        <v>28878.308698097739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0</v>
      </c>
      <c r="D5" s="132">
        <f>IF(SER_hh_tes_in!D5=0,0,11630*1000*SER_hh_tes_in!D5/SER_hh_num_in!D5)</f>
        <v>0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0</v>
      </c>
      <c r="N5" s="132">
        <f>IF(SER_hh_tes_in!N5=0,0,11630*1000*SER_hh_tes_in!N5/SER_hh_num_in!N5)</f>
        <v>0</v>
      </c>
      <c r="O5" s="132">
        <f>IF(SER_hh_tes_in!O5=0,0,11630*1000*SER_hh_tes_in!O5/SER_hh_num_in!O5)</f>
        <v>0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67300.652016542168</v>
      </c>
      <c r="D7" s="132">
        <f>IF(SER_hh_tes_in!D7=0,0,11630*1000*SER_hh_tes_in!D7/SER_hh_num_in!D7)</f>
        <v>85985.322891077405</v>
      </c>
      <c r="E7" s="132">
        <f>IF(SER_hh_tes_in!E7=0,0,11630*1000*SER_hh_tes_in!E7/SER_hh_num_in!E7)</f>
        <v>97537.405471709819</v>
      </c>
      <c r="F7" s="132">
        <f>IF(SER_hh_tes_in!F7=0,0,11630*1000*SER_hh_tes_in!F7/SER_hh_num_in!F7)</f>
        <v>95417.686137667144</v>
      </c>
      <c r="G7" s="132">
        <f>IF(SER_hh_tes_in!G7=0,0,11630*1000*SER_hh_tes_in!G7/SER_hh_num_in!G7)</f>
        <v>96670.35539246675</v>
      </c>
      <c r="H7" s="132">
        <f>IF(SER_hh_tes_in!H7=0,0,11630*1000*SER_hh_tes_in!H7/SER_hh_num_in!H7)</f>
        <v>84245.774844637373</v>
      </c>
      <c r="I7" s="132">
        <f>IF(SER_hh_tes_in!I7=0,0,11630*1000*SER_hh_tes_in!I7/SER_hh_num_in!I7)</f>
        <v>72042.75672711122</v>
      </c>
      <c r="J7" s="132">
        <f>IF(SER_hh_tes_in!J7=0,0,11630*1000*SER_hh_tes_in!J7/SER_hh_num_in!J7)</f>
        <v>90871.811644112298</v>
      </c>
      <c r="K7" s="132">
        <f>IF(SER_hh_tes_in!K7=0,0,11630*1000*SER_hh_tes_in!K7/SER_hh_num_in!K7)</f>
        <v>74291.352080580182</v>
      </c>
      <c r="L7" s="132">
        <f>IF(SER_hh_tes_in!L7=0,0,11630*1000*SER_hh_tes_in!L7/SER_hh_num_in!L7)</f>
        <v>83194.653032859889</v>
      </c>
      <c r="M7" s="132">
        <f>IF(SER_hh_tes_in!M7=0,0,11630*1000*SER_hh_tes_in!M7/SER_hh_num_in!M7)</f>
        <v>68237.803099230223</v>
      </c>
      <c r="N7" s="132">
        <f>IF(SER_hh_tes_in!N7=0,0,11630*1000*SER_hh_tes_in!N7/SER_hh_num_in!N7)</f>
        <v>67352.279694163357</v>
      </c>
      <c r="O7" s="132">
        <f>IF(SER_hh_tes_in!O7=0,0,11630*1000*SER_hh_tes_in!O7/SER_hh_num_in!O7)</f>
        <v>72909.081884502622</v>
      </c>
      <c r="P7" s="132">
        <f>IF(SER_hh_tes_in!P7=0,0,11630*1000*SER_hh_tes_in!P7/SER_hh_num_in!P7)</f>
        <v>54055.398281499263</v>
      </c>
      <c r="Q7" s="132">
        <f>IF(SER_hh_tes_in!Q7=0,0,11630*1000*SER_hh_tes_in!Q7/SER_hh_num_in!Q7)</f>
        <v>63148.778033568953</v>
      </c>
      <c r="R7" s="132">
        <f>IF(SER_hh_tes_in!R7=0,0,11630*1000*SER_hh_tes_in!R7/SER_hh_num_in!R7)</f>
        <v>56687.94309430576</v>
      </c>
      <c r="S7" s="132">
        <f>IF(SER_hh_tes_in!S7=0,0,11630*1000*SER_hh_tes_in!S7/SER_hh_num_in!S7)</f>
        <v>56846.747582683187</v>
      </c>
      <c r="T7" s="132">
        <f>IF(SER_hh_tes_in!T7=0,0,11630*1000*SER_hh_tes_in!T7/SER_hh_num_in!T7)</f>
        <v>55630.237932180884</v>
      </c>
      <c r="U7" s="132">
        <f>IF(SER_hh_tes_in!U7=0,0,11630*1000*SER_hh_tes_in!U7/SER_hh_num_in!U7)</f>
        <v>0</v>
      </c>
      <c r="V7" s="132">
        <f>IF(SER_hh_tes_in!V7=0,0,11630*1000*SER_hh_tes_in!V7/SER_hh_num_in!V7)</f>
        <v>48229.253273871029</v>
      </c>
      <c r="W7" s="132">
        <f>IF(SER_hh_tes_in!W7=0,0,11630*1000*SER_hh_tes_in!W7/SER_hh_num_in!W7)</f>
        <v>36608.109917389229</v>
      </c>
      <c r="X7" s="132">
        <f>IF(SER_hh_tes_in!X7=0,0,11630*1000*SER_hh_tes_in!X7/SER_hh_num_in!X7)</f>
        <v>26909.988377699938</v>
      </c>
      <c r="Y7" s="132">
        <f>IF(SER_hh_tes_in!Y7=0,0,11630*1000*SER_hh_tes_in!Y7/SER_hh_num_in!Y7)</f>
        <v>28184.071597384143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74600.716772665226</v>
      </c>
      <c r="D8" s="132">
        <f>IF(SER_hh_tes_in!D8=0,0,11630*1000*SER_hh_tes_in!D8/SER_hh_num_in!D8)</f>
        <v>76189.586455510216</v>
      </c>
      <c r="E8" s="132">
        <f>IF(SER_hh_tes_in!E8=0,0,11630*1000*SER_hh_tes_in!E8/SER_hh_num_in!E8)</f>
        <v>77745.376913845888</v>
      </c>
      <c r="F8" s="132">
        <f>IF(SER_hh_tes_in!F8=0,0,11630*1000*SER_hh_tes_in!F8/SER_hh_num_in!F8)</f>
        <v>91887.137825841099</v>
      </c>
      <c r="G8" s="132">
        <f>IF(SER_hh_tes_in!G8=0,0,11630*1000*SER_hh_tes_in!G8/SER_hh_num_in!G8)</f>
        <v>88829.280354372793</v>
      </c>
      <c r="H8" s="132">
        <f>IF(SER_hh_tes_in!H8=0,0,11630*1000*SER_hh_tes_in!H8/SER_hh_num_in!H8)</f>
        <v>88556.988096784698</v>
      </c>
      <c r="I8" s="132">
        <f>IF(SER_hh_tes_in!I8=0,0,11630*1000*SER_hh_tes_in!I8/SER_hh_num_in!I8)</f>
        <v>77275.272278609787</v>
      </c>
      <c r="J8" s="132">
        <f>IF(SER_hh_tes_in!J8=0,0,11630*1000*SER_hh_tes_in!J8/SER_hh_num_in!J8)</f>
        <v>82773.746850395968</v>
      </c>
      <c r="K8" s="132">
        <f>IF(SER_hh_tes_in!K8=0,0,11630*1000*SER_hh_tes_in!K8/SER_hh_num_in!K8)</f>
        <v>82851.072346669156</v>
      </c>
      <c r="L8" s="132">
        <f>IF(SER_hh_tes_in!L8=0,0,11630*1000*SER_hh_tes_in!L8/SER_hh_num_in!L8)</f>
        <v>81432.373392281472</v>
      </c>
      <c r="M8" s="132">
        <f>IF(SER_hh_tes_in!M8=0,0,11630*1000*SER_hh_tes_in!M8/SER_hh_num_in!M8)</f>
        <v>65478.258322216658</v>
      </c>
      <c r="N8" s="132">
        <f>IF(SER_hh_tes_in!N8=0,0,11630*1000*SER_hh_tes_in!N8/SER_hh_num_in!N8)</f>
        <v>70394.343094543379</v>
      </c>
      <c r="O8" s="132">
        <f>IF(SER_hh_tes_in!O8=0,0,11630*1000*SER_hh_tes_in!O8/SER_hh_num_in!O8)</f>
        <v>75856.617515089703</v>
      </c>
      <c r="P8" s="132">
        <f>IF(SER_hh_tes_in!P8=0,0,11630*1000*SER_hh_tes_in!P8/SER_hh_num_in!P8)</f>
        <v>56336.385384240282</v>
      </c>
      <c r="Q8" s="132">
        <f>IF(SER_hh_tes_in!Q8=0,0,11630*1000*SER_hh_tes_in!Q8/SER_hh_num_in!Q8)</f>
        <v>61353.584343033042</v>
      </c>
      <c r="R8" s="132">
        <f>IF(SER_hh_tes_in!R8=0,0,11630*1000*SER_hh_tes_in!R8/SER_hh_num_in!R8)</f>
        <v>60687.87208485735</v>
      </c>
      <c r="S8" s="132">
        <f>IF(SER_hh_tes_in!S8=0,0,11630*1000*SER_hh_tes_in!S8/SER_hh_num_in!S8)</f>
        <v>55727.172790347795</v>
      </c>
      <c r="T8" s="132">
        <f>IF(SER_hh_tes_in!T8=0,0,11630*1000*SER_hh_tes_in!T8/SER_hh_num_in!T8)</f>
        <v>52471.69037090068</v>
      </c>
      <c r="U8" s="132">
        <f>IF(SER_hh_tes_in!U8=0,0,11630*1000*SER_hh_tes_in!U8/SER_hh_num_in!U8)</f>
        <v>48625.258828011356</v>
      </c>
      <c r="V8" s="132">
        <f>IF(SER_hh_tes_in!V8=0,0,11630*1000*SER_hh_tes_in!V8/SER_hh_num_in!V8)</f>
        <v>41188.83261522148</v>
      </c>
      <c r="W8" s="132">
        <f>IF(SER_hh_tes_in!W8=0,0,11630*1000*SER_hh_tes_in!W8/SER_hh_num_in!W8)</f>
        <v>33826.027673937038</v>
      </c>
      <c r="X8" s="132">
        <f>IF(SER_hh_tes_in!X8=0,0,11630*1000*SER_hh_tes_in!X8/SER_hh_num_in!X8)</f>
        <v>31676.014374739796</v>
      </c>
      <c r="Y8" s="132">
        <f>IF(SER_hh_tes_in!Y8=0,0,11630*1000*SER_hh_tes_in!Y8/SER_hh_num_in!Y8)</f>
        <v>32229.161287178464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77205.976462746839</v>
      </c>
      <c r="D9" s="132">
        <f>IF(SER_hh_tes_in!D9=0,0,11630*1000*SER_hh_tes_in!D9/SER_hh_num_in!D9)</f>
        <v>71428.688676511243</v>
      </c>
      <c r="E9" s="132">
        <f>IF(SER_hh_tes_in!E9=0,0,11630*1000*SER_hh_tes_in!E9/SER_hh_num_in!E9)</f>
        <v>74899.423965108072</v>
      </c>
      <c r="F9" s="132">
        <f>IF(SER_hh_tes_in!F9=0,0,11630*1000*SER_hh_tes_in!F9/SER_hh_num_in!F9)</f>
        <v>0</v>
      </c>
      <c r="G9" s="132">
        <f>IF(SER_hh_tes_in!G9=0,0,11630*1000*SER_hh_tes_in!G9/SER_hh_num_in!G9)</f>
        <v>0</v>
      </c>
      <c r="H9" s="132">
        <f>IF(SER_hh_tes_in!H9=0,0,11630*1000*SER_hh_tes_in!H9/SER_hh_num_in!H9)</f>
        <v>84923.880645387922</v>
      </c>
      <c r="I9" s="132">
        <f>IF(SER_hh_tes_in!I9=0,0,11630*1000*SER_hh_tes_in!I9/SER_hh_num_in!I9)</f>
        <v>74975.531498448327</v>
      </c>
      <c r="J9" s="132">
        <f>IF(SER_hh_tes_in!J9=0,0,11630*1000*SER_hh_tes_in!J9/SER_hh_num_in!J9)</f>
        <v>82124.794879175897</v>
      </c>
      <c r="K9" s="132">
        <f>IF(SER_hh_tes_in!K9=0,0,11630*1000*SER_hh_tes_in!K9/SER_hh_num_in!K9)</f>
        <v>83506.869962638099</v>
      </c>
      <c r="L9" s="132">
        <f>IF(SER_hh_tes_in!L9=0,0,11630*1000*SER_hh_tes_in!L9/SER_hh_num_in!L9)</f>
        <v>86224.770744907975</v>
      </c>
      <c r="M9" s="132">
        <f>IF(SER_hh_tes_in!M9=0,0,11630*1000*SER_hh_tes_in!M9/SER_hh_num_in!M9)</f>
        <v>63746.617107752478</v>
      </c>
      <c r="N9" s="132">
        <f>IF(SER_hh_tes_in!N9=0,0,11630*1000*SER_hh_tes_in!N9/SER_hh_num_in!N9)</f>
        <v>70326.32643754629</v>
      </c>
      <c r="O9" s="132">
        <f>IF(SER_hh_tes_in!O9=0,0,11630*1000*SER_hh_tes_in!O9/SER_hh_num_in!O9)</f>
        <v>75344.517430733584</v>
      </c>
      <c r="P9" s="132">
        <f>IF(SER_hh_tes_in!P9=0,0,11630*1000*SER_hh_tes_in!P9/SER_hh_num_in!P9)</f>
        <v>53596.443282729146</v>
      </c>
      <c r="Q9" s="132">
        <f>IF(SER_hh_tes_in!Q9=0,0,11630*1000*SER_hh_tes_in!Q9/SER_hh_num_in!Q9)</f>
        <v>59177.367822177279</v>
      </c>
      <c r="R9" s="132">
        <f>IF(SER_hh_tes_in!R9=0,0,11630*1000*SER_hh_tes_in!R9/SER_hh_num_in!R9)</f>
        <v>59684.326456509581</v>
      </c>
      <c r="S9" s="132">
        <f>IF(SER_hh_tes_in!S9=0,0,11630*1000*SER_hh_tes_in!S9/SER_hh_num_in!S9)</f>
        <v>55772.849973956363</v>
      </c>
      <c r="T9" s="132">
        <f>IF(SER_hh_tes_in!T9=0,0,11630*1000*SER_hh_tes_in!T9/SER_hh_num_in!T9)</f>
        <v>53247.373880989777</v>
      </c>
      <c r="U9" s="132">
        <f>IF(SER_hh_tes_in!U9=0,0,11630*1000*SER_hh_tes_in!U9/SER_hh_num_in!U9)</f>
        <v>49029.579315255876</v>
      </c>
      <c r="V9" s="132">
        <f>IF(SER_hh_tes_in!V9=0,0,11630*1000*SER_hh_tes_in!V9/SER_hh_num_in!V9)</f>
        <v>42406.321036558242</v>
      </c>
      <c r="W9" s="132">
        <f>IF(SER_hh_tes_in!W9=0,0,11630*1000*SER_hh_tes_in!W9/SER_hh_num_in!W9)</f>
        <v>44616.602560823572</v>
      </c>
      <c r="X9" s="132">
        <f>IF(SER_hh_tes_in!X9=0,0,11630*1000*SER_hh_tes_in!X9/SER_hh_num_in!X9)</f>
        <v>29454.674170626218</v>
      </c>
      <c r="Y9" s="132">
        <f>IF(SER_hh_tes_in!Y9=0,0,11630*1000*SER_hh_tes_in!Y9/SER_hh_num_in!Y9)</f>
        <v>28055.191032575523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70267.710918016164</v>
      </c>
      <c r="D10" s="132">
        <f>IF(SER_hh_tes_in!D10=0,0,11630*1000*SER_hh_tes_in!D10/SER_hh_num_in!D10)</f>
        <v>5283.1893092206792</v>
      </c>
      <c r="E10" s="132">
        <f>IF(SER_hh_tes_in!E10=0,0,11630*1000*SER_hh_tes_in!E10/SER_hh_num_in!E10)</f>
        <v>1694.1715829611423</v>
      </c>
      <c r="F10" s="132">
        <f>IF(SER_hh_tes_in!F10=0,0,11630*1000*SER_hh_tes_in!F10/SER_hh_num_in!F10)</f>
        <v>122414.27217452104</v>
      </c>
      <c r="G10" s="132">
        <f>IF(SER_hh_tes_in!G10=0,0,11630*1000*SER_hh_tes_in!G10/SER_hh_num_in!G10)</f>
        <v>106557.81449029472</v>
      </c>
      <c r="H10" s="132">
        <f>IF(SER_hh_tes_in!H10=0,0,11630*1000*SER_hh_tes_in!H10/SER_hh_num_in!H10)</f>
        <v>94403.733383216822</v>
      </c>
      <c r="I10" s="132">
        <f>IF(SER_hh_tes_in!I10=0,0,11630*1000*SER_hh_tes_in!I10/SER_hh_num_in!I10)</f>
        <v>0</v>
      </c>
      <c r="J10" s="132">
        <f>IF(SER_hh_tes_in!J10=0,0,11630*1000*SER_hh_tes_in!J10/SER_hh_num_in!J10)</f>
        <v>0</v>
      </c>
      <c r="K10" s="132">
        <f>IF(SER_hh_tes_in!K10=0,0,11630*1000*SER_hh_tes_in!K10/SER_hh_num_in!K10)</f>
        <v>22542.48193259284</v>
      </c>
      <c r="L10" s="132">
        <f>IF(SER_hh_tes_in!L10=0,0,11630*1000*SER_hh_tes_in!L10/SER_hh_num_in!L10)</f>
        <v>76035.907418851784</v>
      </c>
      <c r="M10" s="132">
        <f>IF(SER_hh_tes_in!M10=0,0,11630*1000*SER_hh_tes_in!M10/SER_hh_num_in!M10)</f>
        <v>47141.38034942426</v>
      </c>
      <c r="N10" s="132">
        <f>IF(SER_hh_tes_in!N10=0,0,11630*1000*SER_hh_tes_in!N10/SER_hh_num_in!N10)</f>
        <v>57043.319344728465</v>
      </c>
      <c r="O10" s="132">
        <f>IF(SER_hh_tes_in!O10=0,0,11630*1000*SER_hh_tes_in!O10/SER_hh_num_in!O10)</f>
        <v>69507.608753730732</v>
      </c>
      <c r="P10" s="132">
        <f>IF(SER_hh_tes_in!P10=0,0,11630*1000*SER_hh_tes_in!P10/SER_hh_num_in!P10)</f>
        <v>65617.963337756635</v>
      </c>
      <c r="Q10" s="132">
        <f>IF(SER_hh_tes_in!Q10=0,0,11630*1000*SER_hh_tes_in!Q10/SER_hh_num_in!Q10)</f>
        <v>64548.935417051478</v>
      </c>
      <c r="R10" s="132">
        <f>IF(SER_hh_tes_in!R10=0,0,11630*1000*SER_hh_tes_in!R10/SER_hh_num_in!R10)</f>
        <v>60569.259874479256</v>
      </c>
      <c r="S10" s="132">
        <f>IF(SER_hh_tes_in!S10=0,0,11630*1000*SER_hh_tes_in!S10/SER_hh_num_in!S10)</f>
        <v>55967.912040247837</v>
      </c>
      <c r="T10" s="132">
        <f>IF(SER_hh_tes_in!T10=0,0,11630*1000*SER_hh_tes_in!T10/SER_hh_num_in!T10)</f>
        <v>52448.2583908991</v>
      </c>
      <c r="U10" s="132">
        <f>IF(SER_hh_tes_in!U10=0,0,11630*1000*SER_hh_tes_in!U10/SER_hh_num_in!U10)</f>
        <v>50457.551805696989</v>
      </c>
      <c r="V10" s="132">
        <f>IF(SER_hh_tes_in!V10=0,0,11630*1000*SER_hh_tes_in!V10/SER_hh_num_in!V10)</f>
        <v>45718.567356229207</v>
      </c>
      <c r="W10" s="132">
        <f>IF(SER_hh_tes_in!W10=0,0,11630*1000*SER_hh_tes_in!W10/SER_hh_num_in!W10)</f>
        <v>38559.3405487817</v>
      </c>
      <c r="X10" s="132">
        <f>IF(SER_hh_tes_in!X10=0,0,11630*1000*SER_hh_tes_in!X10/SER_hh_num_in!X10)</f>
        <v>30793.778227596591</v>
      </c>
      <c r="Y10" s="132">
        <f>IF(SER_hh_tes_in!Y10=0,0,11630*1000*SER_hh_tes_in!Y10/SER_hh_num_in!Y10)</f>
        <v>26825.513320115719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0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0</v>
      </c>
      <c r="N11" s="132">
        <f>IF(SER_hh_tes_in!N11=0,0,11630*1000*SER_hh_tes_in!N11/SER_hh_num_in!N11)</f>
        <v>0</v>
      </c>
      <c r="O11" s="132">
        <f>IF(SER_hh_tes_in!O11=0,0,11630*1000*SER_hh_tes_in!O11/SER_hh_num_in!O11)</f>
        <v>0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74683.651322168123</v>
      </c>
      <c r="D12" s="132">
        <f>IF(SER_hh_tes_in!D12=0,0,11630*1000*SER_hh_tes_in!D12/SER_hh_num_in!D12)</f>
        <v>74634.287370383521</v>
      </c>
      <c r="E12" s="132">
        <f>IF(SER_hh_tes_in!E12=0,0,11630*1000*SER_hh_tes_in!E12/SER_hh_num_in!E12)</f>
        <v>76078.390817350679</v>
      </c>
      <c r="F12" s="132">
        <f>IF(SER_hh_tes_in!F12=0,0,11630*1000*SER_hh_tes_in!F12/SER_hh_num_in!F12)</f>
        <v>91225.615697800269</v>
      </c>
      <c r="G12" s="132">
        <f>IF(SER_hh_tes_in!G12=0,0,11630*1000*SER_hh_tes_in!G12/SER_hh_num_in!G12)</f>
        <v>82957.547352436159</v>
      </c>
      <c r="H12" s="132">
        <f>IF(SER_hh_tes_in!H12=0,0,11630*1000*SER_hh_tes_in!H12/SER_hh_num_in!H12)</f>
        <v>93486.000768802929</v>
      </c>
      <c r="I12" s="132">
        <f>IF(SER_hh_tes_in!I12=0,0,11630*1000*SER_hh_tes_in!I12/SER_hh_num_in!I12)</f>
        <v>100719.33755280348</v>
      </c>
      <c r="J12" s="132">
        <f>IF(SER_hh_tes_in!J12=0,0,11630*1000*SER_hh_tes_in!J12/SER_hh_num_in!J12)</f>
        <v>0</v>
      </c>
      <c r="K12" s="132">
        <f>IF(SER_hh_tes_in!K12=0,0,11630*1000*SER_hh_tes_in!K12/SER_hh_num_in!K12)</f>
        <v>0</v>
      </c>
      <c r="L12" s="132">
        <f>IF(SER_hh_tes_in!L12=0,0,11630*1000*SER_hh_tes_in!L12/SER_hh_num_in!L12)</f>
        <v>91101.075373189829</v>
      </c>
      <c r="M12" s="132">
        <f>IF(SER_hh_tes_in!M12=0,0,11630*1000*SER_hh_tes_in!M12/SER_hh_num_in!M12)</f>
        <v>73000.770603375393</v>
      </c>
      <c r="N12" s="132">
        <f>IF(SER_hh_tes_in!N12=0,0,11630*1000*SER_hh_tes_in!N12/SER_hh_num_in!N12)</f>
        <v>67321.109100312809</v>
      </c>
      <c r="O12" s="132">
        <f>IF(SER_hh_tes_in!O12=0,0,11630*1000*SER_hh_tes_in!O12/SER_hh_num_in!O12)</f>
        <v>58654.721052557827</v>
      </c>
      <c r="P12" s="132">
        <f>IF(SER_hh_tes_in!P12=0,0,11630*1000*SER_hh_tes_in!P12/SER_hh_num_in!P12)</f>
        <v>64168.89106025573</v>
      </c>
      <c r="Q12" s="132">
        <f>IF(SER_hh_tes_in!Q12=0,0,11630*1000*SER_hh_tes_in!Q12/SER_hh_num_in!Q12)</f>
        <v>66677.606295722566</v>
      </c>
      <c r="R12" s="132">
        <f>IF(SER_hh_tes_in!R12=0,0,11630*1000*SER_hh_tes_in!R12/SER_hh_num_in!R12)</f>
        <v>59086.424492956874</v>
      </c>
      <c r="S12" s="132">
        <f>IF(SER_hh_tes_in!S12=0,0,11630*1000*SER_hh_tes_in!S12/SER_hh_num_in!S12)</f>
        <v>52327.787912449108</v>
      </c>
      <c r="T12" s="132">
        <f>IF(SER_hh_tes_in!T12=0,0,11630*1000*SER_hh_tes_in!T12/SER_hh_num_in!T12)</f>
        <v>52643.448783302585</v>
      </c>
      <c r="U12" s="132">
        <f>IF(SER_hh_tes_in!U12=0,0,11630*1000*SER_hh_tes_in!U12/SER_hh_num_in!U12)</f>
        <v>47000.054811062349</v>
      </c>
      <c r="V12" s="132">
        <f>IF(SER_hh_tes_in!V12=0,0,11630*1000*SER_hh_tes_in!V12/SER_hh_num_in!V12)</f>
        <v>46782.082365004935</v>
      </c>
      <c r="W12" s="132">
        <f>IF(SER_hh_tes_in!W12=0,0,11630*1000*SER_hh_tes_in!W12/SER_hh_num_in!W12)</f>
        <v>40674.096879763572</v>
      </c>
      <c r="X12" s="132">
        <f>IF(SER_hh_tes_in!X12=0,0,11630*1000*SER_hh_tes_in!X12/SER_hh_num_in!X12)</f>
        <v>29585.034884690878</v>
      </c>
      <c r="Y12" s="132">
        <f>IF(SER_hh_tes_in!Y12=0,0,11630*1000*SER_hh_tes_in!Y12/SER_hh_num_in!Y12)</f>
        <v>31114.83136442606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80384.997945504161</v>
      </c>
      <c r="D13" s="132">
        <f>IF(SER_hh_tes_in!D13=0,0,11630*1000*SER_hh_tes_in!D13/SER_hh_num_in!D13)</f>
        <v>76406.344004097686</v>
      </c>
      <c r="E13" s="132">
        <f>IF(SER_hh_tes_in!E13=0,0,11630*1000*SER_hh_tes_in!E13/SER_hh_num_in!E13)</f>
        <v>69090.564459127781</v>
      </c>
      <c r="F13" s="132">
        <f>IF(SER_hh_tes_in!F13=0,0,11630*1000*SER_hh_tes_in!F13/SER_hh_num_in!F13)</f>
        <v>35519.858577808111</v>
      </c>
      <c r="G13" s="132">
        <f>IF(SER_hh_tes_in!G13=0,0,11630*1000*SER_hh_tes_in!G13/SER_hh_num_in!G13)</f>
        <v>26494.275815661666</v>
      </c>
      <c r="H13" s="132">
        <f>IF(SER_hh_tes_in!H13=0,0,11630*1000*SER_hh_tes_in!H13/SER_hh_num_in!H13)</f>
        <v>93577.204723785922</v>
      </c>
      <c r="I13" s="132">
        <f>IF(SER_hh_tes_in!I13=0,0,11630*1000*SER_hh_tes_in!I13/SER_hh_num_in!I13)</f>
        <v>86484.052743005916</v>
      </c>
      <c r="J13" s="132">
        <f>IF(SER_hh_tes_in!J13=0,0,11630*1000*SER_hh_tes_in!J13/SER_hh_num_in!J13)</f>
        <v>86875.914089064245</v>
      </c>
      <c r="K13" s="132">
        <f>IF(SER_hh_tes_in!K13=0,0,11630*1000*SER_hh_tes_in!K13/SER_hh_num_in!K13)</f>
        <v>85588.282934221803</v>
      </c>
      <c r="L13" s="132">
        <f>IF(SER_hh_tes_in!L13=0,0,11630*1000*SER_hh_tes_in!L13/SER_hh_num_in!L13)</f>
        <v>77425.72315405235</v>
      </c>
      <c r="M13" s="132">
        <f>IF(SER_hh_tes_in!M13=0,0,11630*1000*SER_hh_tes_in!M13/SER_hh_num_in!M13)</f>
        <v>70770.902702731779</v>
      </c>
      <c r="N13" s="132">
        <f>IF(SER_hh_tes_in!N13=0,0,11630*1000*SER_hh_tes_in!N13/SER_hh_num_in!N13)</f>
        <v>69825.245520140161</v>
      </c>
      <c r="O13" s="132">
        <f>IF(SER_hh_tes_in!O13=0,0,11630*1000*SER_hh_tes_in!O13/SER_hh_num_in!O13)</f>
        <v>72894.254381961044</v>
      </c>
      <c r="P13" s="132">
        <f>IF(SER_hh_tes_in!P13=0,0,11630*1000*SER_hh_tes_in!P13/SER_hh_num_in!P13)</f>
        <v>59902.790588972464</v>
      </c>
      <c r="Q13" s="132">
        <f>IF(SER_hh_tes_in!Q13=0,0,11630*1000*SER_hh_tes_in!Q13/SER_hh_num_in!Q13)</f>
        <v>56764.511636240575</v>
      </c>
      <c r="R13" s="132">
        <f>IF(SER_hh_tes_in!R13=0,0,11630*1000*SER_hh_tes_in!R13/SER_hh_num_in!R13)</f>
        <v>50935.999006428319</v>
      </c>
      <c r="S13" s="132">
        <f>IF(SER_hh_tes_in!S13=0,0,11630*1000*SER_hh_tes_in!S13/SER_hh_num_in!S13)</f>
        <v>36708.563743166633</v>
      </c>
      <c r="T13" s="132">
        <f>IF(SER_hh_tes_in!T13=0,0,11630*1000*SER_hh_tes_in!T13/SER_hh_num_in!T13)</f>
        <v>53302.584757509809</v>
      </c>
      <c r="U13" s="132">
        <f>IF(SER_hh_tes_in!U13=0,0,11630*1000*SER_hh_tes_in!U13/SER_hh_num_in!U13)</f>
        <v>49286.15342327868</v>
      </c>
      <c r="V13" s="132">
        <f>IF(SER_hh_tes_in!V13=0,0,11630*1000*SER_hh_tes_in!V13/SER_hh_num_in!V13)</f>
        <v>40214.24612108912</v>
      </c>
      <c r="W13" s="132">
        <f>IF(SER_hh_tes_in!W13=0,0,11630*1000*SER_hh_tes_in!W13/SER_hh_num_in!W13)</f>
        <v>44587.979888157133</v>
      </c>
      <c r="X13" s="132">
        <f>IF(SER_hh_tes_in!X13=0,0,11630*1000*SER_hh_tes_in!X13/SER_hh_num_in!X13)</f>
        <v>30692.849216443574</v>
      </c>
      <c r="Y13" s="132">
        <f>IF(SER_hh_tes_in!Y13=0,0,11630*1000*SER_hh_tes_in!Y13/SER_hh_num_in!Y13)</f>
        <v>31937.309904965485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88498.276175763705</v>
      </c>
      <c r="D14" s="65">
        <f>IF(SER_hh_tes_in!D14=0,0,11630*1000*SER_hh_tes_in!D14/SER_hh_num_in!D14)</f>
        <v>26319.761777327323</v>
      </c>
      <c r="E14" s="65">
        <f>IF(SER_hh_tes_in!E14=0,0,11630*1000*SER_hh_tes_in!E14/SER_hh_num_in!E14)</f>
        <v>3963.0917342577068</v>
      </c>
      <c r="F14" s="65">
        <f>IF(SER_hh_tes_in!F14=0,0,11630*1000*SER_hh_tes_in!F14/SER_hh_num_in!F14)</f>
        <v>135525.64506951292</v>
      </c>
      <c r="G14" s="65">
        <f>IF(SER_hh_tes_in!G14=0,0,11630*1000*SER_hh_tes_in!G14/SER_hh_num_in!G14)</f>
        <v>106187.99247764377</v>
      </c>
      <c r="H14" s="65">
        <f>IF(SER_hh_tes_in!H14=0,0,11630*1000*SER_hh_tes_in!H14/SER_hh_num_in!H14)</f>
        <v>86689.279359176653</v>
      </c>
      <c r="I14" s="65">
        <f>IF(SER_hh_tes_in!I14=0,0,11630*1000*SER_hh_tes_in!I14/SER_hh_num_in!I14)</f>
        <v>81534.277987876412</v>
      </c>
      <c r="J14" s="65">
        <f>IF(SER_hh_tes_in!J14=0,0,11630*1000*SER_hh_tes_in!J14/SER_hh_num_in!J14)</f>
        <v>0</v>
      </c>
      <c r="K14" s="65">
        <f>IF(SER_hh_tes_in!K14=0,0,11630*1000*SER_hh_tes_in!K14/SER_hh_num_in!K14)</f>
        <v>85651.312084399033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69071.22694112685</v>
      </c>
      <c r="N14" s="65">
        <f>IF(SER_hh_tes_in!N14=0,0,11630*1000*SER_hh_tes_in!N14/SER_hh_num_in!N14)</f>
        <v>70083.155218114931</v>
      </c>
      <c r="O14" s="65">
        <f>IF(SER_hh_tes_in!O14=0,0,11630*1000*SER_hh_tes_in!O14/SER_hh_num_in!O14)</f>
        <v>71498.592731330951</v>
      </c>
      <c r="P14" s="65">
        <f>IF(SER_hh_tes_in!P14=0,0,11630*1000*SER_hh_tes_in!P14/SER_hh_num_in!P14)</f>
        <v>56696.788040745836</v>
      </c>
      <c r="Q14" s="65">
        <f>IF(SER_hh_tes_in!Q14=0,0,11630*1000*SER_hh_tes_in!Q14/SER_hh_num_in!Q14)</f>
        <v>58732.128594242444</v>
      </c>
      <c r="R14" s="65">
        <f>IF(SER_hh_tes_in!R14=0,0,11630*1000*SER_hh_tes_in!R14/SER_hh_num_in!R14)</f>
        <v>57343.254079212449</v>
      </c>
      <c r="S14" s="65">
        <f>IF(SER_hh_tes_in!S14=0,0,11630*1000*SER_hh_tes_in!S14/SER_hh_num_in!S14)</f>
        <v>55088.149839043486</v>
      </c>
      <c r="T14" s="65">
        <f>IF(SER_hh_tes_in!T14=0,0,11630*1000*SER_hh_tes_in!T14/SER_hh_num_in!T14)</f>
        <v>53026.213122863628</v>
      </c>
      <c r="U14" s="65">
        <f>IF(SER_hh_tes_in!U14=0,0,11630*1000*SER_hh_tes_in!U14/SER_hh_num_in!U14)</f>
        <v>52361.277797597031</v>
      </c>
      <c r="V14" s="65">
        <f>IF(SER_hh_tes_in!V14=0,0,11630*1000*SER_hh_tes_in!V14/SER_hh_num_in!V14)</f>
        <v>44367.341392862771</v>
      </c>
      <c r="W14" s="65">
        <f>IF(SER_hh_tes_in!W14=0,0,11630*1000*SER_hh_tes_in!W14/SER_hh_num_in!W14)</f>
        <v>42821.494474484993</v>
      </c>
      <c r="X14" s="65">
        <f>IF(SER_hh_tes_in!X14=0,0,11630*1000*SER_hh_tes_in!X14/SER_hh_num_in!X14)</f>
        <v>33097.134499256332</v>
      </c>
      <c r="Y14" s="65">
        <f>IF(SER_hh_tes_in!Y14=0,0,11630*1000*SER_hh_tes_in!Y14/SER_hh_num_in!Y14)</f>
        <v>27951.010968998598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1363.9842237104401</v>
      </c>
      <c r="D15" s="134">
        <f>IF(SER_hh_tes_in!D15=0,0,11630*1000*SER_hh_tes_in!D15/SER_hh_num_in!D15)</f>
        <v>1469.2146397085364</v>
      </c>
      <c r="E15" s="134">
        <f>IF(SER_hh_tes_in!E15=0,0,11630*1000*SER_hh_tes_in!E15/SER_hh_num_in!E15)</f>
        <v>1587.4698046437479</v>
      </c>
      <c r="F15" s="134">
        <f>IF(SER_hh_tes_in!F15=0,0,11630*1000*SER_hh_tes_in!F15/SER_hh_num_in!F15)</f>
        <v>1686.0272386976935</v>
      </c>
      <c r="G15" s="134">
        <f>IF(SER_hh_tes_in!G15=0,0,11630*1000*SER_hh_tes_in!G15/SER_hh_num_in!G15)</f>
        <v>1516.8465140559215</v>
      </c>
      <c r="H15" s="134">
        <f>IF(SER_hh_tes_in!H15=0,0,11630*1000*SER_hh_tes_in!H15/SER_hh_num_in!H15)</f>
        <v>1427.8456213786621</v>
      </c>
      <c r="I15" s="134">
        <f>IF(SER_hh_tes_in!I15=0,0,11630*1000*SER_hh_tes_in!I15/SER_hh_num_in!I15)</f>
        <v>1296.2348033777682</v>
      </c>
      <c r="J15" s="134">
        <f>IF(SER_hh_tes_in!J15=0,0,11630*1000*SER_hh_tes_in!J15/SER_hh_num_in!J15)</f>
        <v>1460.936230090763</v>
      </c>
      <c r="K15" s="134">
        <f>IF(SER_hh_tes_in!K15=0,0,11630*1000*SER_hh_tes_in!K15/SER_hh_num_in!K15)</f>
        <v>1405.9871303028685</v>
      </c>
      <c r="L15" s="134">
        <f>IF(SER_hh_tes_in!L15=0,0,11630*1000*SER_hh_tes_in!L15/SER_hh_num_in!L15)</f>
        <v>1418.2089604877685</v>
      </c>
      <c r="M15" s="134">
        <f>IF(SER_hh_tes_in!M15=0,0,11630*1000*SER_hh_tes_in!M15/SER_hh_num_in!M15)</f>
        <v>1054.2829716932927</v>
      </c>
      <c r="N15" s="134">
        <f>IF(SER_hh_tes_in!N15=0,0,11630*1000*SER_hh_tes_in!N15/SER_hh_num_in!N15)</f>
        <v>1104.8883521163423</v>
      </c>
      <c r="O15" s="134">
        <f>IF(SER_hh_tes_in!O15=0,0,11630*1000*SER_hh_tes_in!O15/SER_hh_num_in!O15)</f>
        <v>1161.7627726518779</v>
      </c>
      <c r="P15" s="134">
        <f>IF(SER_hh_tes_in!P15=0,0,11630*1000*SER_hh_tes_in!P15/SER_hh_num_in!P15)</f>
        <v>791.37746006891791</v>
      </c>
      <c r="Q15" s="134">
        <f>IF(SER_hh_tes_in!Q15=0,0,11630*1000*SER_hh_tes_in!Q15/SER_hh_num_in!Q15)</f>
        <v>941.14982601982888</v>
      </c>
      <c r="R15" s="134">
        <f>IF(SER_hh_tes_in!R15=0,0,11630*1000*SER_hh_tes_in!R15/SER_hh_num_in!R15)</f>
        <v>934.44252283180947</v>
      </c>
      <c r="S15" s="134">
        <f>IF(SER_hh_tes_in!S15=0,0,11630*1000*SER_hh_tes_in!S15/SER_hh_num_in!S15)</f>
        <v>895.82668673195769</v>
      </c>
      <c r="T15" s="134">
        <f>IF(SER_hh_tes_in!T15=0,0,11630*1000*SER_hh_tes_in!T15/SER_hh_num_in!T15)</f>
        <v>831.39460881649961</v>
      </c>
      <c r="U15" s="134">
        <f>IF(SER_hh_tes_in!U15=0,0,11630*1000*SER_hh_tes_in!U15/SER_hh_num_in!U15)</f>
        <v>736.40450847771467</v>
      </c>
      <c r="V15" s="134">
        <f>IF(SER_hh_tes_in!V15=0,0,11630*1000*SER_hh_tes_in!V15/SER_hh_num_in!V15)</f>
        <v>630.48806709268842</v>
      </c>
      <c r="W15" s="134">
        <f>IF(SER_hh_tes_in!W15=0,0,11630*1000*SER_hh_tes_in!W15/SER_hh_num_in!W15)</f>
        <v>646.61922689820415</v>
      </c>
      <c r="X15" s="134">
        <f>IF(SER_hh_tes_in!X15=0,0,11630*1000*SER_hh_tes_in!X15/SER_hh_num_in!X15)</f>
        <v>428.99922403389752</v>
      </c>
      <c r="Y15" s="134">
        <f>IF(SER_hh_tes_in!Y15=0,0,11630*1000*SER_hh_tes_in!Y15/SER_hh_num_in!Y15)</f>
        <v>412.59032408557158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28291.220822134725</v>
      </c>
      <c r="D16" s="130">
        <f>IF(SER_hh_tes_in!D16=0,0,11630*1000*SER_hh_tes_in!D16/SER_hh_num_in!D16)</f>
        <v>28066.232009810261</v>
      </c>
      <c r="E16" s="130">
        <f>IF(SER_hh_tes_in!E16=0,0,11630*1000*SER_hh_tes_in!E16/SER_hh_num_in!E16)</f>
        <v>35599.247355138905</v>
      </c>
      <c r="F16" s="130">
        <f>IF(SER_hh_tes_in!F16=0,0,11630*1000*SER_hh_tes_in!F16/SER_hh_num_in!F16)</f>
        <v>27404.106401029945</v>
      </c>
      <c r="G16" s="130">
        <f>IF(SER_hh_tes_in!G16=0,0,11630*1000*SER_hh_tes_in!G16/SER_hh_num_in!G16)</f>
        <v>27660.743742796098</v>
      </c>
      <c r="H16" s="130">
        <f>IF(SER_hh_tes_in!H16=0,0,11630*1000*SER_hh_tes_in!H16/SER_hh_num_in!H16)</f>
        <v>34371.13864057864</v>
      </c>
      <c r="I16" s="130">
        <f>IF(SER_hh_tes_in!I16=0,0,11630*1000*SER_hh_tes_in!I16/SER_hh_num_in!I16)</f>
        <v>26639.624745568843</v>
      </c>
      <c r="J16" s="130">
        <f>IF(SER_hh_tes_in!J16=0,0,11630*1000*SER_hh_tes_in!J16/SER_hh_num_in!J16)</f>
        <v>26576.088268190771</v>
      </c>
      <c r="K16" s="130">
        <f>IF(SER_hh_tes_in!K16=0,0,11630*1000*SER_hh_tes_in!K16/SER_hh_num_in!K16)</f>
        <v>26480.398216317848</v>
      </c>
      <c r="L16" s="130">
        <f>IF(SER_hh_tes_in!L16=0,0,11630*1000*SER_hh_tes_in!L16/SER_hh_num_in!L16)</f>
        <v>27859.13457313439</v>
      </c>
      <c r="M16" s="130">
        <f>IF(SER_hh_tes_in!M16=0,0,11630*1000*SER_hh_tes_in!M16/SER_hh_num_in!M16)</f>
        <v>25816.346951961965</v>
      </c>
      <c r="N16" s="130">
        <f>IF(SER_hh_tes_in!N16=0,0,11630*1000*SER_hh_tes_in!N16/SER_hh_num_in!N16)</f>
        <v>25704.069304460554</v>
      </c>
      <c r="O16" s="130">
        <f>IF(SER_hh_tes_in!O16=0,0,11630*1000*SER_hh_tes_in!O16/SER_hh_num_in!O16)</f>
        <v>25486.886200917314</v>
      </c>
      <c r="P16" s="130">
        <f>IF(SER_hh_tes_in!P16=0,0,11630*1000*SER_hh_tes_in!P16/SER_hh_num_in!P16)</f>
        <v>24100.266413013287</v>
      </c>
      <c r="Q16" s="130">
        <f>IF(SER_hh_tes_in!Q16=0,0,11630*1000*SER_hh_tes_in!Q16/SER_hh_num_in!Q16)</f>
        <v>26461.371048419431</v>
      </c>
      <c r="R16" s="130">
        <f>IF(SER_hh_tes_in!R16=0,0,11630*1000*SER_hh_tes_in!R16/SER_hh_num_in!R16)</f>
        <v>24970.696949967034</v>
      </c>
      <c r="S16" s="130">
        <f>IF(SER_hh_tes_in!S16=0,0,11630*1000*SER_hh_tes_in!S16/SER_hh_num_in!S16)</f>
        <v>22999.773667632511</v>
      </c>
      <c r="T16" s="130">
        <f>IF(SER_hh_tes_in!T16=0,0,11630*1000*SER_hh_tes_in!T16/SER_hh_num_in!T16)</f>
        <v>25434.266273557318</v>
      </c>
      <c r="U16" s="130">
        <f>IF(SER_hh_tes_in!U16=0,0,11630*1000*SER_hh_tes_in!U16/SER_hh_num_in!U16)</f>
        <v>23644.503742125384</v>
      </c>
      <c r="V16" s="130">
        <f>IF(SER_hh_tes_in!V16=0,0,11630*1000*SER_hh_tes_in!V16/SER_hh_num_in!V16)</f>
        <v>24142.518912434985</v>
      </c>
      <c r="W16" s="130">
        <f>IF(SER_hh_tes_in!W16=0,0,11630*1000*SER_hh_tes_in!W16/SER_hh_num_in!W16)</f>
        <v>18385.289585147588</v>
      </c>
      <c r="X16" s="130">
        <f>IF(SER_hh_tes_in!X16=0,0,11630*1000*SER_hh_tes_in!X16/SER_hh_num_in!X16)</f>
        <v>19148.415519470793</v>
      </c>
      <c r="Y16" s="130">
        <f>IF(SER_hh_tes_in!Y16=0,0,11630*1000*SER_hh_tes_in!Y16/SER_hh_num_in!Y16)</f>
        <v>17854.955192205376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28296.467644211261</v>
      </c>
      <c r="D17" s="132">
        <f>IF(SER_hh_tes_in!D17=0,0,11630*1000*SER_hh_tes_in!D17/SER_hh_num_in!D17)</f>
        <v>28090.813496881525</v>
      </c>
      <c r="E17" s="132">
        <f>IF(SER_hh_tes_in!E17=0,0,11630*1000*SER_hh_tes_in!E17/SER_hh_num_in!E17)</f>
        <v>35526.427638509827</v>
      </c>
      <c r="F17" s="132">
        <f>IF(SER_hh_tes_in!F17=0,0,11630*1000*SER_hh_tes_in!F17/SER_hh_num_in!F17)</f>
        <v>27524.03683519956</v>
      </c>
      <c r="G17" s="132">
        <f>IF(SER_hh_tes_in!G17=0,0,11630*1000*SER_hh_tes_in!G17/SER_hh_num_in!G17)</f>
        <v>27767.073757572594</v>
      </c>
      <c r="H17" s="132">
        <f>IF(SER_hh_tes_in!H17=0,0,11630*1000*SER_hh_tes_in!H17/SER_hh_num_in!H17)</f>
        <v>34434.913088404661</v>
      </c>
      <c r="I17" s="132">
        <f>IF(SER_hh_tes_in!I17=0,0,11630*1000*SER_hh_tes_in!I17/SER_hh_num_in!I17)</f>
        <v>26735.438712218609</v>
      </c>
      <c r="J17" s="132">
        <f>IF(SER_hh_tes_in!J17=0,0,11630*1000*SER_hh_tes_in!J17/SER_hh_num_in!J17)</f>
        <v>26663.393259485398</v>
      </c>
      <c r="K17" s="132">
        <f>IF(SER_hh_tes_in!K17=0,0,11630*1000*SER_hh_tes_in!K17/SER_hh_num_in!K17)</f>
        <v>26509.228949359178</v>
      </c>
      <c r="L17" s="132">
        <f>IF(SER_hh_tes_in!L17=0,0,11630*1000*SER_hh_tes_in!L17/SER_hh_num_in!L17)</f>
        <v>27833.552921340652</v>
      </c>
      <c r="M17" s="132">
        <f>IF(SER_hh_tes_in!M17=0,0,11630*1000*SER_hh_tes_in!M17/SER_hh_num_in!M17)</f>
        <v>25799.30601229586</v>
      </c>
      <c r="N17" s="132">
        <f>IF(SER_hh_tes_in!N17=0,0,11630*1000*SER_hh_tes_in!N17/SER_hh_num_in!N17)</f>
        <v>25684.53513612871</v>
      </c>
      <c r="O17" s="132">
        <f>IF(SER_hh_tes_in!O17=0,0,11630*1000*SER_hh_tes_in!O17/SER_hh_num_in!O17)</f>
        <v>25472.858302247205</v>
      </c>
      <c r="P17" s="132">
        <f>IF(SER_hh_tes_in!P17=0,0,11630*1000*SER_hh_tes_in!P17/SER_hh_num_in!P17)</f>
        <v>24155.436738046377</v>
      </c>
      <c r="Q17" s="132">
        <f>IF(SER_hh_tes_in!Q17=0,0,11630*1000*SER_hh_tes_in!Q17/SER_hh_num_in!Q17)</f>
        <v>26545.747149214068</v>
      </c>
      <c r="R17" s="132">
        <f>IF(SER_hh_tes_in!R17=0,0,11630*1000*SER_hh_tes_in!R17/SER_hh_num_in!R17)</f>
        <v>25079.40655404955</v>
      </c>
      <c r="S17" s="132">
        <f>IF(SER_hh_tes_in!S17=0,0,11630*1000*SER_hh_tes_in!S17/SER_hh_num_in!S17)</f>
        <v>23074.144713131205</v>
      </c>
      <c r="T17" s="132">
        <f>IF(SER_hh_tes_in!T17=0,0,11630*1000*SER_hh_tes_in!T17/SER_hh_num_in!T17)</f>
        <v>25576.632193364865</v>
      </c>
      <c r="U17" s="132">
        <f>IF(SER_hh_tes_in!U17=0,0,11630*1000*SER_hh_tes_in!U17/SER_hh_num_in!U17)</f>
        <v>23820.982287623036</v>
      </c>
      <c r="V17" s="132">
        <f>IF(SER_hh_tes_in!V17=0,0,11630*1000*SER_hh_tes_in!V17/SER_hh_num_in!V17)</f>
        <v>25630.756190767985</v>
      </c>
      <c r="W17" s="132">
        <f>IF(SER_hh_tes_in!W17=0,0,11630*1000*SER_hh_tes_in!W17/SER_hh_num_in!W17)</f>
        <v>17261.665770550859</v>
      </c>
      <c r="X17" s="132">
        <f>IF(SER_hh_tes_in!X17=0,0,11630*1000*SER_hh_tes_in!X17/SER_hh_num_in!X17)</f>
        <v>19112.665139418503</v>
      </c>
      <c r="Y17" s="132">
        <f>IF(SER_hh_tes_in!Y17=0,0,11630*1000*SER_hh_tes_in!Y17/SER_hh_num_in!Y17)</f>
        <v>17812.599754203333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28291.215343980224</v>
      </c>
      <c r="D18" s="132">
        <f>IF(SER_hh_tes_in!D18=0,0,11630*1000*SER_hh_tes_in!D18/SER_hh_num_in!D18)</f>
        <v>28066.203250504452</v>
      </c>
      <c r="E18" s="132">
        <f>IF(SER_hh_tes_in!E18=0,0,11630*1000*SER_hh_tes_in!E18/SER_hh_num_in!E18)</f>
        <v>35599.257137212197</v>
      </c>
      <c r="F18" s="132">
        <f>IF(SER_hh_tes_in!F18=0,0,11630*1000*SER_hh_tes_in!F18/SER_hh_num_in!F18)</f>
        <v>27403.790711416619</v>
      </c>
      <c r="G18" s="132">
        <f>IF(SER_hh_tes_in!G18=0,0,11630*1000*SER_hh_tes_in!G18/SER_hh_num_in!G18)</f>
        <v>27660.53251338072</v>
      </c>
      <c r="H18" s="132">
        <f>IF(SER_hh_tes_in!H18=0,0,11630*1000*SER_hh_tes_in!H18/SER_hh_num_in!H18)</f>
        <v>34371.082129779134</v>
      </c>
      <c r="I18" s="132">
        <f>IF(SER_hh_tes_in!I18=0,0,11630*1000*SER_hh_tes_in!I18/SER_hh_num_in!I18)</f>
        <v>26639.335349069457</v>
      </c>
      <c r="J18" s="132">
        <f>IF(SER_hh_tes_in!J18=0,0,11630*1000*SER_hh_tes_in!J18/SER_hh_num_in!J18)</f>
        <v>26575.796434580974</v>
      </c>
      <c r="K18" s="132">
        <f>IF(SER_hh_tes_in!K18=0,0,11630*1000*SER_hh_tes_in!K18/SER_hh_num_in!K18)</f>
        <v>26480.302938575249</v>
      </c>
      <c r="L18" s="132">
        <f>IF(SER_hh_tes_in!L18=0,0,11630*1000*SER_hh_tes_in!L18/SER_hh_num_in!L18)</f>
        <v>27859.1755818825</v>
      </c>
      <c r="M18" s="132">
        <f>IF(SER_hh_tes_in!M18=0,0,11630*1000*SER_hh_tes_in!M18/SER_hh_num_in!M18)</f>
        <v>25816.395172281318</v>
      </c>
      <c r="N18" s="132">
        <f>IF(SER_hh_tes_in!N18=0,0,11630*1000*SER_hh_tes_in!N18/SER_hh_num_in!N18)</f>
        <v>25704.130328973759</v>
      </c>
      <c r="O18" s="132">
        <f>IF(SER_hh_tes_in!O18=0,0,11630*1000*SER_hh_tes_in!O18/SER_hh_num_in!O18)</f>
        <v>25486.951747231658</v>
      </c>
      <c r="P18" s="132">
        <f>IF(SER_hh_tes_in!P18=0,0,11630*1000*SER_hh_tes_in!P18/SER_hh_num_in!P18)</f>
        <v>24099.824977805762</v>
      </c>
      <c r="Q18" s="132">
        <f>IF(SER_hh_tes_in!Q18=0,0,11630*1000*SER_hh_tes_in!Q18/SER_hh_num_in!Q18)</f>
        <v>26460.374941584949</v>
      </c>
      <c r="R18" s="132">
        <f>IF(SER_hh_tes_in!R18=0,0,11630*1000*SER_hh_tes_in!R18/SER_hh_num_in!R18)</f>
        <v>24969.82136087252</v>
      </c>
      <c r="S18" s="132">
        <f>IF(SER_hh_tes_in!S18=0,0,11630*1000*SER_hh_tes_in!S18/SER_hh_num_in!S18)</f>
        <v>22999.346039085391</v>
      </c>
      <c r="T18" s="132">
        <f>IF(SER_hh_tes_in!T18=0,0,11630*1000*SER_hh_tes_in!T18/SER_hh_num_in!T18)</f>
        <v>25432.874292289762</v>
      </c>
      <c r="U18" s="132">
        <f>IF(SER_hh_tes_in!U18=0,0,11630*1000*SER_hh_tes_in!U18/SER_hh_num_in!U18)</f>
        <v>23642.43921013613</v>
      </c>
      <c r="V18" s="132">
        <f>IF(SER_hh_tes_in!V18=0,0,11630*1000*SER_hh_tes_in!V18/SER_hh_num_in!V18)</f>
        <v>24131.692625699416</v>
      </c>
      <c r="W18" s="132">
        <f>IF(SER_hh_tes_in!W18=0,0,11630*1000*SER_hh_tes_in!W18/SER_hh_num_in!W18)</f>
        <v>18392.746083081474</v>
      </c>
      <c r="X18" s="132">
        <f>IF(SER_hh_tes_in!X18=0,0,11630*1000*SER_hh_tes_in!X18/SER_hh_num_in!X18)</f>
        <v>19148.659131607834</v>
      </c>
      <c r="Y18" s="132">
        <f>IF(SER_hh_tes_in!Y18=0,0,11630*1000*SER_hh_tes_in!Y18/SER_hh_num_in!Y18)</f>
        <v>17855.30986522379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12788.94298986598</v>
      </c>
      <c r="D19" s="130">
        <f>IF(SER_hh_tes_in!D19=0,0,11630*1000*SER_hh_tes_in!D19/SER_hh_num_in!D19)</f>
        <v>13411.99852355164</v>
      </c>
      <c r="E19" s="130">
        <f>IF(SER_hh_tes_in!E19=0,0,11630*1000*SER_hh_tes_in!E19/SER_hh_num_in!E19)</f>
        <v>13656.539287300726</v>
      </c>
      <c r="F19" s="130">
        <f>IF(SER_hh_tes_in!F19=0,0,11630*1000*SER_hh_tes_in!F19/SER_hh_num_in!F19)</f>
        <v>12698.652370485157</v>
      </c>
      <c r="G19" s="130">
        <f>IF(SER_hh_tes_in!G19=0,0,11630*1000*SER_hh_tes_in!G19/SER_hh_num_in!G19)</f>
        <v>12597.998483012076</v>
      </c>
      <c r="H19" s="130">
        <f>IF(SER_hh_tes_in!H19=0,0,11630*1000*SER_hh_tes_in!H19/SER_hh_num_in!H19)</f>
        <v>12589.219644766026</v>
      </c>
      <c r="I19" s="130">
        <f>IF(SER_hh_tes_in!I19=0,0,11630*1000*SER_hh_tes_in!I19/SER_hh_num_in!I19)</f>
        <v>12476.662224994889</v>
      </c>
      <c r="J19" s="130">
        <f>IF(SER_hh_tes_in!J19=0,0,11630*1000*SER_hh_tes_in!J19/SER_hh_num_in!J19)</f>
        <v>12486.518212135668</v>
      </c>
      <c r="K19" s="130">
        <f>IF(SER_hh_tes_in!K19=0,0,11630*1000*SER_hh_tes_in!K19/SER_hh_num_in!K19)</f>
        <v>12702.612813783151</v>
      </c>
      <c r="L19" s="130">
        <f>IF(SER_hh_tes_in!L19=0,0,11630*1000*SER_hh_tes_in!L19/SER_hh_num_in!L19)</f>
        <v>12693.622774413498</v>
      </c>
      <c r="M19" s="130">
        <f>IF(SER_hh_tes_in!M19=0,0,11630*1000*SER_hh_tes_in!M19/SER_hh_num_in!M19)</f>
        <v>12816.470245338987</v>
      </c>
      <c r="N19" s="130">
        <f>IF(SER_hh_tes_in!N19=0,0,11630*1000*SER_hh_tes_in!N19/SER_hh_num_in!N19)</f>
        <v>13089.247402146082</v>
      </c>
      <c r="O19" s="130">
        <f>IF(SER_hh_tes_in!O19=0,0,11630*1000*SER_hh_tes_in!O19/SER_hh_num_in!O19)</f>
        <v>13345.023011798958</v>
      </c>
      <c r="P19" s="130">
        <f>IF(SER_hh_tes_in!P19=0,0,11630*1000*SER_hh_tes_in!P19/SER_hh_num_in!P19)</f>
        <v>13415.007398593314</v>
      </c>
      <c r="Q19" s="130">
        <f>IF(SER_hh_tes_in!Q19=0,0,11630*1000*SER_hh_tes_in!Q19/SER_hh_num_in!Q19)</f>
        <v>13304.914191010515</v>
      </c>
      <c r="R19" s="130">
        <f>IF(SER_hh_tes_in!R19=0,0,11630*1000*SER_hh_tes_in!R19/SER_hh_num_in!R19)</f>
        <v>13486.344873767943</v>
      </c>
      <c r="S19" s="130">
        <f>IF(SER_hh_tes_in!S19=0,0,11630*1000*SER_hh_tes_in!S19/SER_hh_num_in!S19)</f>
        <v>13490.04345295161</v>
      </c>
      <c r="T19" s="130">
        <f>IF(SER_hh_tes_in!T19=0,0,11630*1000*SER_hh_tes_in!T19/SER_hh_num_in!T19)</f>
        <v>13374.704591430391</v>
      </c>
      <c r="U19" s="130">
        <f>IF(SER_hh_tes_in!U19=0,0,11630*1000*SER_hh_tes_in!U19/SER_hh_num_in!U19)</f>
        <v>12755.347907163063</v>
      </c>
      <c r="V19" s="130">
        <f>IF(SER_hh_tes_in!V19=0,0,11630*1000*SER_hh_tes_in!V19/SER_hh_num_in!V19)</f>
        <v>12037.549444355667</v>
      </c>
      <c r="W19" s="130">
        <f>IF(SER_hh_tes_in!W19=0,0,11630*1000*SER_hh_tes_in!W19/SER_hh_num_in!W19)</f>
        <v>12276.294020616786</v>
      </c>
      <c r="X19" s="130">
        <f>IF(SER_hh_tes_in!X19=0,0,11630*1000*SER_hh_tes_in!X19/SER_hh_num_in!X19)</f>
        <v>12948.654424291357</v>
      </c>
      <c r="Y19" s="130">
        <f>IF(SER_hh_tes_in!Y19=0,0,11630*1000*SER_hh_tes_in!Y19/SER_hh_num_in!Y19)</f>
        <v>13309.828989437554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13033.916236438639</v>
      </c>
      <c r="D21" s="132">
        <f>IF(SER_hh_tes_in!D21=0,0,11630*1000*SER_hh_tes_in!D21/SER_hh_num_in!D21)</f>
        <v>13263.730432993952</v>
      </c>
      <c r="E21" s="132">
        <f>IF(SER_hh_tes_in!E21=0,0,11630*1000*SER_hh_tes_in!E21/SER_hh_num_in!E21)</f>
        <v>13646.012136604488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0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0</v>
      </c>
      <c r="L21" s="132">
        <f>IF(SER_hh_tes_in!L21=0,0,11630*1000*SER_hh_tes_in!L21/SER_hh_num_in!L21)</f>
        <v>11366.374447024102</v>
      </c>
      <c r="M21" s="132">
        <f>IF(SER_hh_tes_in!M21=0,0,11630*1000*SER_hh_tes_in!M21/SER_hh_num_in!M21)</f>
        <v>12116.040796404564</v>
      </c>
      <c r="N21" s="132">
        <f>IF(SER_hh_tes_in!N21=0,0,11630*1000*SER_hh_tes_in!N21/SER_hh_num_in!N21)</f>
        <v>13451.626969980445</v>
      </c>
      <c r="O21" s="132">
        <f>IF(SER_hh_tes_in!O21=0,0,11630*1000*SER_hh_tes_in!O21/SER_hh_num_in!O21)</f>
        <v>13670.536129678496</v>
      </c>
      <c r="P21" s="132">
        <f>IF(SER_hh_tes_in!P21=0,0,11630*1000*SER_hh_tes_in!P21/SER_hh_num_in!P21)</f>
        <v>12580.159631673903</v>
      </c>
      <c r="Q21" s="132">
        <f>IF(SER_hh_tes_in!Q21=0,0,11630*1000*SER_hh_tes_in!Q21/SER_hh_num_in!Q21)</f>
        <v>13091.376402221</v>
      </c>
      <c r="R21" s="132">
        <f>IF(SER_hh_tes_in!R21=0,0,11630*1000*SER_hh_tes_in!R21/SER_hh_num_in!R21)</f>
        <v>12904.831835308038</v>
      </c>
      <c r="S21" s="132">
        <f>IF(SER_hh_tes_in!S21=0,0,11630*1000*SER_hh_tes_in!S21/SER_hh_num_in!S21)</f>
        <v>13455.256137073076</v>
      </c>
      <c r="T21" s="132">
        <f>IF(SER_hh_tes_in!T21=0,0,11630*1000*SER_hh_tes_in!T21/SER_hh_num_in!T21)</f>
        <v>13503.757267704856</v>
      </c>
      <c r="U21" s="132">
        <f>IF(SER_hh_tes_in!U21=0,0,11630*1000*SER_hh_tes_in!U21/SER_hh_num_in!U21)</f>
        <v>13143.299318842057</v>
      </c>
      <c r="V21" s="132">
        <f>IF(SER_hh_tes_in!V21=0,0,11630*1000*SER_hh_tes_in!V21/SER_hh_num_in!V21)</f>
        <v>10814.652421801609</v>
      </c>
      <c r="W21" s="132">
        <f>IF(SER_hh_tes_in!W21=0,0,11630*1000*SER_hh_tes_in!W21/SER_hh_num_in!W21)</f>
        <v>11080.602230250339</v>
      </c>
      <c r="X21" s="132">
        <f>IF(SER_hh_tes_in!X21=0,0,11630*1000*SER_hh_tes_in!X21/SER_hh_num_in!X21)</f>
        <v>15042.042022702122</v>
      </c>
      <c r="Y21" s="132">
        <f>IF(SER_hh_tes_in!Y21=0,0,11630*1000*SER_hh_tes_in!Y21/SER_hh_num_in!Y21)</f>
        <v>12168.579582812117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12955.351774207727</v>
      </c>
      <c r="D22" s="132">
        <f>IF(SER_hh_tes_in!D22=0,0,11630*1000*SER_hh_tes_in!D22/SER_hh_num_in!D22)</f>
        <v>13119.813025925045</v>
      </c>
      <c r="E22" s="132">
        <f>IF(SER_hh_tes_in!E22=0,0,11630*1000*SER_hh_tes_in!E22/SER_hh_num_in!E22)</f>
        <v>13153.114767329038</v>
      </c>
      <c r="F22" s="132">
        <f>IF(SER_hh_tes_in!F22=0,0,11630*1000*SER_hh_tes_in!F22/SER_hh_num_in!F22)</f>
        <v>12833.896374550806</v>
      </c>
      <c r="G22" s="132">
        <f>IF(SER_hh_tes_in!G22=0,0,11630*1000*SER_hh_tes_in!G22/SER_hh_num_in!G22)</f>
        <v>12661.371000951865</v>
      </c>
      <c r="H22" s="132">
        <f>IF(SER_hh_tes_in!H22=0,0,11630*1000*SER_hh_tes_in!H22/SER_hh_num_in!H22)</f>
        <v>12585.511587205969</v>
      </c>
      <c r="I22" s="132">
        <f>IF(SER_hh_tes_in!I22=0,0,11630*1000*SER_hh_tes_in!I22/SER_hh_num_in!I22)</f>
        <v>12503.942650813129</v>
      </c>
      <c r="J22" s="132">
        <f>IF(SER_hh_tes_in!J22=0,0,11630*1000*SER_hh_tes_in!J22/SER_hh_num_in!J22)</f>
        <v>12257.674753655008</v>
      </c>
      <c r="K22" s="132">
        <f>IF(SER_hh_tes_in!K22=0,0,11630*1000*SER_hh_tes_in!K22/SER_hh_num_in!K22)</f>
        <v>10374.507724572673</v>
      </c>
      <c r="L22" s="132">
        <f>IF(SER_hh_tes_in!L22=0,0,11630*1000*SER_hh_tes_in!L22/SER_hh_num_in!L22)</f>
        <v>12642.223248072722</v>
      </c>
      <c r="M22" s="132">
        <f>IF(SER_hh_tes_in!M22=0,0,11630*1000*SER_hh_tes_in!M22/SER_hh_num_in!M22)</f>
        <v>12888.102882024979</v>
      </c>
      <c r="N22" s="132">
        <f>IF(SER_hh_tes_in!N22=0,0,11630*1000*SER_hh_tes_in!N22/SER_hh_num_in!N22)</f>
        <v>13097.038157366123</v>
      </c>
      <c r="O22" s="132">
        <f>IF(SER_hh_tes_in!O22=0,0,11630*1000*SER_hh_tes_in!O22/SER_hh_num_in!O22)</f>
        <v>13250.93478657344</v>
      </c>
      <c r="P22" s="132">
        <f>IF(SER_hh_tes_in!P22=0,0,11630*1000*SER_hh_tes_in!P22/SER_hh_num_in!P22)</f>
        <v>13375.250081723196</v>
      </c>
      <c r="Q22" s="132">
        <f>IF(SER_hh_tes_in!Q22=0,0,11630*1000*SER_hh_tes_in!Q22/SER_hh_num_in!Q22)</f>
        <v>13513.841245307698</v>
      </c>
      <c r="R22" s="132">
        <f>IF(SER_hh_tes_in!R22=0,0,11630*1000*SER_hh_tes_in!R22/SER_hh_num_in!R22)</f>
        <v>13425.570176300465</v>
      </c>
      <c r="S22" s="132">
        <f>IF(SER_hh_tes_in!S22=0,0,11630*1000*SER_hh_tes_in!S22/SER_hh_num_in!S22)</f>
        <v>13703.476762706121</v>
      </c>
      <c r="T22" s="132">
        <f>IF(SER_hh_tes_in!T22=0,0,11630*1000*SER_hh_tes_in!T22/SER_hh_num_in!T22)</f>
        <v>13850.825552909142</v>
      </c>
      <c r="U22" s="132">
        <f>IF(SER_hh_tes_in!U22=0,0,11630*1000*SER_hh_tes_in!U22/SER_hh_num_in!U22)</f>
        <v>12001.716065981742</v>
      </c>
      <c r="V22" s="132">
        <f>IF(SER_hh_tes_in!V22=0,0,11630*1000*SER_hh_tes_in!V22/SER_hh_num_in!V22)</f>
        <v>11527.702165747021</v>
      </c>
      <c r="W22" s="132">
        <f>IF(SER_hh_tes_in!W22=0,0,11630*1000*SER_hh_tes_in!W22/SER_hh_num_in!W22)</f>
        <v>12077.832196173666</v>
      </c>
      <c r="X22" s="132">
        <f>IF(SER_hh_tes_in!X22=0,0,11630*1000*SER_hh_tes_in!X22/SER_hh_num_in!X22)</f>
        <v>12898.30026530854</v>
      </c>
      <c r="Y22" s="132">
        <f>IF(SER_hh_tes_in!Y22=0,0,11630*1000*SER_hh_tes_in!Y22/SER_hh_num_in!Y22)</f>
        <v>13025.78941053529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13058.671258640572</v>
      </c>
      <c r="D23" s="132">
        <f>IF(SER_hh_tes_in!D23=0,0,11630*1000*SER_hh_tes_in!D23/SER_hh_num_in!D23)</f>
        <v>13022.378598970903</v>
      </c>
      <c r="E23" s="132">
        <f>IF(SER_hh_tes_in!E23=0,0,11630*1000*SER_hh_tes_in!E23/SER_hh_num_in!E23)</f>
        <v>13126.843942237265</v>
      </c>
      <c r="F23" s="132">
        <f>IF(SER_hh_tes_in!F23=0,0,11630*1000*SER_hh_tes_in!F23/SER_hh_num_in!F23)</f>
        <v>12797.772487261536</v>
      </c>
      <c r="G23" s="132">
        <f>IF(SER_hh_tes_in!G23=0,0,11630*1000*SER_hh_tes_in!G23/SER_hh_num_in!G23)</f>
        <v>12698.351713133261</v>
      </c>
      <c r="H23" s="132">
        <f>IF(SER_hh_tes_in!H23=0,0,11630*1000*SER_hh_tes_in!H23/SER_hh_num_in!H23)</f>
        <v>12498.584527283101</v>
      </c>
      <c r="I23" s="132">
        <f>IF(SER_hh_tes_in!I23=0,0,11630*1000*SER_hh_tes_in!I23/SER_hh_num_in!I23)</f>
        <v>12339.017266465758</v>
      </c>
      <c r="J23" s="132">
        <f>IF(SER_hh_tes_in!J23=0,0,11630*1000*SER_hh_tes_in!J23/SER_hh_num_in!J23)</f>
        <v>12323.439476298585</v>
      </c>
      <c r="K23" s="132">
        <f>IF(SER_hh_tes_in!K23=0,0,11630*1000*SER_hh_tes_in!K23/SER_hh_num_in!K23)</f>
        <v>10168.251159681555</v>
      </c>
      <c r="L23" s="132">
        <f>IF(SER_hh_tes_in!L23=0,0,11630*1000*SER_hh_tes_in!L23/SER_hh_num_in!L23)</f>
        <v>12675.783488915467</v>
      </c>
      <c r="M23" s="132">
        <f>IF(SER_hh_tes_in!M23=0,0,11630*1000*SER_hh_tes_in!M23/SER_hh_num_in!M23)</f>
        <v>12792.118104120524</v>
      </c>
      <c r="N23" s="132">
        <f>IF(SER_hh_tes_in!N23=0,0,11630*1000*SER_hh_tes_in!N23/SER_hh_num_in!N23)</f>
        <v>13147.039470566961</v>
      </c>
      <c r="O23" s="132">
        <f>IF(SER_hh_tes_in!O23=0,0,11630*1000*SER_hh_tes_in!O23/SER_hh_num_in!O23)</f>
        <v>13406.340275898527</v>
      </c>
      <c r="P23" s="132">
        <f>IF(SER_hh_tes_in!P23=0,0,11630*1000*SER_hh_tes_in!P23/SER_hh_num_in!P23)</f>
        <v>13316.551207439854</v>
      </c>
      <c r="Q23" s="132">
        <f>IF(SER_hh_tes_in!Q23=0,0,11630*1000*SER_hh_tes_in!Q23/SER_hh_num_in!Q23)</f>
        <v>13410.590464131572</v>
      </c>
      <c r="R23" s="132">
        <f>IF(SER_hh_tes_in!R23=0,0,11630*1000*SER_hh_tes_in!R23/SER_hh_num_in!R23)</f>
        <v>13397.591627313919</v>
      </c>
      <c r="S23" s="132">
        <f>IF(SER_hh_tes_in!S23=0,0,11630*1000*SER_hh_tes_in!S23/SER_hh_num_in!S23)</f>
        <v>13400.462823226659</v>
      </c>
      <c r="T23" s="132">
        <f>IF(SER_hh_tes_in!T23=0,0,11630*1000*SER_hh_tes_in!T23/SER_hh_num_in!T23)</f>
        <v>13172.771053244123</v>
      </c>
      <c r="U23" s="132">
        <f>IF(SER_hh_tes_in!U23=0,0,11630*1000*SER_hh_tes_in!U23/SER_hh_num_in!U23)</f>
        <v>12711.743402967237</v>
      </c>
      <c r="V23" s="132">
        <f>IF(SER_hh_tes_in!V23=0,0,11630*1000*SER_hh_tes_in!V23/SER_hh_num_in!V23)</f>
        <v>12315.349054469842</v>
      </c>
      <c r="W23" s="132">
        <f>IF(SER_hh_tes_in!W23=0,0,11630*1000*SER_hh_tes_in!W23/SER_hh_num_in!W23)</f>
        <v>13521.859948074685</v>
      </c>
      <c r="X23" s="132">
        <f>IF(SER_hh_tes_in!X23=0,0,11630*1000*SER_hh_tes_in!X23/SER_hh_num_in!X23)</f>
        <v>0</v>
      </c>
      <c r="Y23" s="132">
        <f>IF(SER_hh_tes_in!Y23=0,0,11630*1000*SER_hh_tes_in!Y23/SER_hh_num_in!Y23)</f>
        <v>9145.0029176332901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12907.209044469442</v>
      </c>
      <c r="D25" s="132">
        <f>IF(SER_hh_tes_in!D25=0,0,11630*1000*SER_hh_tes_in!D25/SER_hh_num_in!D25)</f>
        <v>13148.676434167406</v>
      </c>
      <c r="E25" s="132">
        <f>IF(SER_hh_tes_in!E25=0,0,11630*1000*SER_hh_tes_in!E25/SER_hh_num_in!E25)</f>
        <v>13056.54208991714</v>
      </c>
      <c r="F25" s="132">
        <f>IF(SER_hh_tes_in!F25=0,0,11630*1000*SER_hh_tes_in!F25/SER_hh_num_in!F25)</f>
        <v>12813.594369475406</v>
      </c>
      <c r="G25" s="132">
        <f>IF(SER_hh_tes_in!G25=0,0,11630*1000*SER_hh_tes_in!G25/SER_hh_num_in!G25)</f>
        <v>12729.078909099324</v>
      </c>
      <c r="H25" s="132">
        <f>IF(SER_hh_tes_in!H25=0,0,11630*1000*SER_hh_tes_in!H25/SER_hh_num_in!H25)</f>
        <v>12596.302265621956</v>
      </c>
      <c r="I25" s="132">
        <f>IF(SER_hh_tes_in!I25=0,0,11630*1000*SER_hh_tes_in!I25/SER_hh_num_in!I25)</f>
        <v>12346.811165012916</v>
      </c>
      <c r="J25" s="132">
        <f>IF(SER_hh_tes_in!J25=0,0,11630*1000*SER_hh_tes_in!J25/SER_hh_num_in!J25)</f>
        <v>12201.233124760547</v>
      </c>
      <c r="K25" s="132">
        <f>IF(SER_hh_tes_in!K25=0,0,11630*1000*SER_hh_tes_in!K25/SER_hh_num_in!K25)</f>
        <v>10576.95532479842</v>
      </c>
      <c r="L25" s="132">
        <f>IF(SER_hh_tes_in!L25=0,0,11630*1000*SER_hh_tes_in!L25/SER_hh_num_in!L25)</f>
        <v>13385.659079268979</v>
      </c>
      <c r="M25" s="132">
        <f>IF(SER_hh_tes_in!M25=0,0,11630*1000*SER_hh_tes_in!M25/SER_hh_num_in!M25)</f>
        <v>13090.564618007054</v>
      </c>
      <c r="N25" s="132">
        <f>IF(SER_hh_tes_in!N25=0,0,11630*1000*SER_hh_tes_in!N25/SER_hh_num_in!N25)</f>
        <v>13034.893684828437</v>
      </c>
      <c r="O25" s="132">
        <f>IF(SER_hh_tes_in!O25=0,0,11630*1000*SER_hh_tes_in!O25/SER_hh_num_in!O25)</f>
        <v>13535.964601812286</v>
      </c>
      <c r="P25" s="132">
        <f>IF(SER_hh_tes_in!P25=0,0,11630*1000*SER_hh_tes_in!P25/SER_hh_num_in!P25)</f>
        <v>12791.921230263062</v>
      </c>
      <c r="Q25" s="132">
        <f>IF(SER_hh_tes_in!Q25=0,0,11630*1000*SER_hh_tes_in!Q25/SER_hh_num_in!Q25)</f>
        <v>13407.333628484144</v>
      </c>
      <c r="R25" s="132">
        <f>IF(SER_hh_tes_in!R25=0,0,11630*1000*SER_hh_tes_in!R25/SER_hh_num_in!R25)</f>
        <v>13593.860676502296</v>
      </c>
      <c r="S25" s="132">
        <f>IF(SER_hh_tes_in!S25=0,0,11630*1000*SER_hh_tes_in!S25/SER_hh_num_in!S25)</f>
        <v>13435.89970641149</v>
      </c>
      <c r="T25" s="132">
        <f>IF(SER_hh_tes_in!T25=0,0,11630*1000*SER_hh_tes_in!T25/SER_hh_num_in!T25)</f>
        <v>13211.066553832223</v>
      </c>
      <c r="U25" s="132">
        <f>IF(SER_hh_tes_in!U25=0,0,11630*1000*SER_hh_tes_in!U25/SER_hh_num_in!U25)</f>
        <v>12854.881514048539</v>
      </c>
      <c r="V25" s="132">
        <f>IF(SER_hh_tes_in!V25=0,0,11630*1000*SER_hh_tes_in!V25/SER_hh_num_in!V25)</f>
        <v>11669.05450327606</v>
      </c>
      <c r="W25" s="132">
        <f>IF(SER_hh_tes_in!W25=0,0,11630*1000*SER_hh_tes_in!W25/SER_hh_num_in!W25)</f>
        <v>10813.027785853265</v>
      </c>
      <c r="X25" s="132">
        <f>IF(SER_hh_tes_in!X25=0,0,11630*1000*SER_hh_tes_in!X25/SER_hh_num_in!X25)</f>
        <v>13348.175631567947</v>
      </c>
      <c r="Y25" s="132">
        <f>IF(SER_hh_tes_in!Y25=0,0,11630*1000*SER_hh_tes_in!Y25/SER_hh_num_in!Y25)</f>
        <v>13232.278938080466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12263.717620285339</v>
      </c>
      <c r="D26" s="65">
        <f>IF(SER_hh_tes_in!D26=0,0,11630*1000*SER_hh_tes_in!D26/SER_hh_num_in!D26)</f>
        <v>13795.577335885413</v>
      </c>
      <c r="E26" s="65">
        <f>IF(SER_hh_tes_in!E26=0,0,11630*1000*SER_hh_tes_in!E26/SER_hh_num_in!E26)</f>
        <v>13831.555420118128</v>
      </c>
      <c r="F26" s="65">
        <f>IF(SER_hh_tes_in!F26=0,0,11630*1000*SER_hh_tes_in!F26/SER_hh_num_in!F26)</f>
        <v>11783.240362554157</v>
      </c>
      <c r="G26" s="65">
        <f>IF(SER_hh_tes_in!G26=0,0,11630*1000*SER_hh_tes_in!G26/SER_hh_num_in!G26)</f>
        <v>12187.140235229001</v>
      </c>
      <c r="H26" s="65">
        <f>IF(SER_hh_tes_in!H26=0,0,11630*1000*SER_hh_tes_in!H26/SER_hh_num_in!H26)</f>
        <v>12226.666190714015</v>
      </c>
      <c r="I26" s="65">
        <f>IF(SER_hh_tes_in!I26=0,0,11630*1000*SER_hh_tes_in!I26/SER_hh_num_in!I26)</f>
        <v>11561.939675071337</v>
      </c>
      <c r="J26" s="65">
        <f>IF(SER_hh_tes_in!J26=0,0,11630*1000*SER_hh_tes_in!J26/SER_hh_num_in!J26)</f>
        <v>11631.122906193899</v>
      </c>
      <c r="K26" s="65">
        <f>IF(SER_hh_tes_in!K26=0,0,11630*1000*SER_hh_tes_in!K26/SER_hh_num_in!K26)</f>
        <v>5210.8705711659295</v>
      </c>
      <c r="L26" s="65">
        <f>IF(SER_hh_tes_in!L26=0,0,11630*1000*SER_hh_tes_in!L26/SER_hh_num_in!L26)</f>
        <v>12689.101370250859</v>
      </c>
      <c r="M26" s="65">
        <f>IF(SER_hh_tes_in!M26=0,0,11630*1000*SER_hh_tes_in!M26/SER_hh_num_in!M26)</f>
        <v>12609.174617562732</v>
      </c>
      <c r="N26" s="65">
        <f>IF(SER_hh_tes_in!N26=0,0,11630*1000*SER_hh_tes_in!N26/SER_hh_num_in!N26)</f>
        <v>12801.771445452041</v>
      </c>
      <c r="O26" s="65">
        <f>IF(SER_hh_tes_in!O26=0,0,11630*1000*SER_hh_tes_in!O26/SER_hh_num_in!O26)</f>
        <v>13281.085576700063</v>
      </c>
      <c r="P26" s="65">
        <f>IF(SER_hh_tes_in!P26=0,0,11630*1000*SER_hh_tes_in!P26/SER_hh_num_in!P26)</f>
        <v>12908.395144183947</v>
      </c>
      <c r="Q26" s="65">
        <f>IF(SER_hh_tes_in!Q26=0,0,11630*1000*SER_hh_tes_in!Q26/SER_hh_num_in!Q26)</f>
        <v>11637.481026526864</v>
      </c>
      <c r="R26" s="65">
        <f>IF(SER_hh_tes_in!R26=0,0,11630*1000*SER_hh_tes_in!R26/SER_hh_num_in!R26)</f>
        <v>10886.191688629786</v>
      </c>
      <c r="S26" s="65">
        <f>IF(SER_hh_tes_in!S26=0,0,11630*1000*SER_hh_tes_in!S26/SER_hh_num_in!S26)</f>
        <v>12751.150197864499</v>
      </c>
      <c r="T26" s="65">
        <f>IF(SER_hh_tes_in!T26=0,0,11630*1000*SER_hh_tes_in!T26/SER_hh_num_in!T26)</f>
        <v>12891.493852622238</v>
      </c>
      <c r="U26" s="65">
        <f>IF(SER_hh_tes_in!U26=0,0,11630*1000*SER_hh_tes_in!U26/SER_hh_num_in!U26)</f>
        <v>12296.690563619892</v>
      </c>
      <c r="V26" s="65">
        <f>IF(SER_hh_tes_in!V26=0,0,11630*1000*SER_hh_tes_in!V26/SER_hh_num_in!V26)</f>
        <v>11802.532440399829</v>
      </c>
      <c r="W26" s="65">
        <f>IF(SER_hh_tes_in!W26=0,0,11630*1000*SER_hh_tes_in!W26/SER_hh_num_in!W26)</f>
        <v>11509.15918801467</v>
      </c>
      <c r="X26" s="65">
        <f>IF(SER_hh_tes_in!X26=0,0,11630*1000*SER_hh_tes_in!X26/SER_hh_num_in!X26)</f>
        <v>11313.804101161579</v>
      </c>
      <c r="Y26" s="65">
        <f>IF(SER_hh_tes_in!Y26=0,0,11630*1000*SER_hh_tes_in!Y26/SER_hh_num_in!Y26)</f>
        <v>13145.270602424167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24.600451480201198</v>
      </c>
      <c r="E27" s="145">
        <f>IF(SER_hh_tes_in!E27=0,0,11630*1000*SER_hh_tes_in!E27/SER_hh_num_in!E19)</f>
        <v>318.16900106963925</v>
      </c>
      <c r="F27" s="145">
        <f>IF(SER_hh_tes_in!F27=0,0,11630*1000*SER_hh_tes_in!F27/SER_hh_num_in!F19)</f>
        <v>53.448178701500595</v>
      </c>
      <c r="G27" s="145">
        <f>IF(SER_hh_tes_in!G27=0,0,11630*1000*SER_hh_tes_in!G27/SER_hh_num_in!G19)</f>
        <v>17.844505827586776</v>
      </c>
      <c r="H27" s="145">
        <f>IF(SER_hh_tes_in!H27=0,0,11630*1000*SER_hh_tes_in!H27/SER_hh_num_in!H19)</f>
        <v>143.09491394062326</v>
      </c>
      <c r="I27" s="145">
        <f>IF(SER_hh_tes_in!I27=0,0,11630*1000*SER_hh_tes_in!I27/SER_hh_num_in!I19)</f>
        <v>325.88545905038046</v>
      </c>
      <c r="J27" s="145">
        <f>IF(SER_hh_tes_in!J27=0,0,11630*1000*SER_hh_tes_in!J27/SER_hh_num_in!J19)</f>
        <v>382.32998118339339</v>
      </c>
      <c r="K27" s="145">
        <f>IF(SER_hh_tes_in!K27=0,0,11630*1000*SER_hh_tes_in!K27/SER_hh_num_in!K19)</f>
        <v>3832.7409192412965</v>
      </c>
      <c r="L27" s="145">
        <f>IF(SER_hh_tes_in!L27=0,0,11630*1000*SER_hh_tes_in!L27/SER_hh_num_in!L19)</f>
        <v>0</v>
      </c>
      <c r="M27" s="145">
        <f>IF(SER_hh_tes_in!M27=0,0,11630*1000*SER_hh_tes_in!M27/SER_hh_num_in!M19)</f>
        <v>53.933187428877368</v>
      </c>
      <c r="N27" s="145">
        <f>IF(SER_hh_tes_in!N27=0,0,11630*1000*SER_hh_tes_in!N27/SER_hh_num_in!N19)</f>
        <v>42.302454022873732</v>
      </c>
      <c r="O27" s="145">
        <f>IF(SER_hh_tes_in!O27=0,0,11630*1000*SER_hh_tes_in!O27/SER_hh_num_in!O19)</f>
        <v>1.5397684405352752E-12</v>
      </c>
      <c r="P27" s="145">
        <f>IF(SER_hh_tes_in!P27=0,0,11630*1000*SER_hh_tes_in!P27/SER_hh_num_in!P19)</f>
        <v>293.86484751792733</v>
      </c>
      <c r="Q27" s="145">
        <f>IF(SER_hh_tes_in!Q27=0,0,11630*1000*SER_hh_tes_in!Q27/SER_hh_num_in!Q19)</f>
        <v>655.836983929756</v>
      </c>
      <c r="R27" s="145">
        <f>IF(SER_hh_tes_in!R27=0,0,11630*1000*SER_hh_tes_in!R27/SER_hh_num_in!R19)</f>
        <v>1151.7117206353648</v>
      </c>
      <c r="S27" s="145">
        <f>IF(SER_hh_tes_in!S27=0,0,11630*1000*SER_hh_tes_in!S27/SER_hh_num_in!S19)</f>
        <v>309.8416822932798</v>
      </c>
      <c r="T27" s="145">
        <f>IF(SER_hh_tes_in!T27=0,0,11630*1000*SER_hh_tes_in!T27/SER_hh_num_in!T19)</f>
        <v>253.9483854266104</v>
      </c>
      <c r="U27" s="145">
        <f>IF(SER_hh_tes_in!U27=0,0,11630*1000*SER_hh_tes_in!U27/SER_hh_num_in!U19)</f>
        <v>176.12948315355692</v>
      </c>
      <c r="V27" s="145">
        <f>IF(SER_hh_tes_in!V27=0,0,11630*1000*SER_hh_tes_in!V27/SER_hh_num_in!V19)</f>
        <v>1.5252296611938131E-12</v>
      </c>
      <c r="W27" s="145">
        <f>IF(SER_hh_tes_in!W27=0,0,11630*1000*SER_hh_tes_in!W27/SER_hh_num_in!W19)</f>
        <v>0</v>
      </c>
      <c r="X27" s="145">
        <f>IF(SER_hh_tes_in!X27=0,0,11630*1000*SER_hh_tes_in!X27/SER_hh_num_in!X19)</f>
        <v>991.056729322092</v>
      </c>
      <c r="Y27" s="145">
        <f>IF(SER_hh_tes_in!Y27=0,0,11630*1000*SER_hh_tes_in!Y27/SER_hh_num_in!Y19)</f>
        <v>236.43493569225916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7836.9319453877197</v>
      </c>
      <c r="E28" s="146">
        <f>IF(SER_hh_tes_in!E27=0,0,11630*1000*SER_hh_tes_in!E27/SER_hh_num_in!E27)</f>
        <v>7914.5143042501631</v>
      </c>
      <c r="F28" s="146">
        <f>IF(SER_hh_tes_in!F27=0,0,11630*1000*SER_hh_tes_in!F27/SER_hh_num_in!F27)</f>
        <v>7876.3682489580024</v>
      </c>
      <c r="G28" s="146">
        <f>IF(SER_hh_tes_in!G27=0,0,11630*1000*SER_hh_tes_in!G27/SER_hh_num_in!G27)</f>
        <v>7401.8299449453934</v>
      </c>
      <c r="H28" s="146">
        <f>IF(SER_hh_tes_in!H27=0,0,11630*1000*SER_hh_tes_in!H27/SER_hh_num_in!H27)</f>
        <v>7422.2145594192007</v>
      </c>
      <c r="I28" s="146">
        <f>IF(SER_hh_tes_in!I27=0,0,11630*1000*SER_hh_tes_in!I27/SER_hh_num_in!I27)</f>
        <v>7079.3562105180863</v>
      </c>
      <c r="J28" s="146">
        <f>IF(SER_hh_tes_in!J27=0,0,11630*1000*SER_hh_tes_in!J27/SER_hh_num_in!J27)</f>
        <v>7571.4582925614095</v>
      </c>
      <c r="K28" s="146">
        <f>IF(SER_hh_tes_in!K27=0,0,11630*1000*SER_hh_tes_in!K27/SER_hh_num_in!K27)</f>
        <v>7483.1090931289982</v>
      </c>
      <c r="L28" s="146">
        <f>IF(SER_hh_tes_in!L27=0,0,11630*1000*SER_hh_tes_in!L27/SER_hh_num_in!L27)</f>
        <v>0</v>
      </c>
      <c r="M28" s="146">
        <f>IF(SER_hh_tes_in!M27=0,0,11630*1000*SER_hh_tes_in!M27/SER_hh_num_in!M27)</f>
        <v>7848.4384857188052</v>
      </c>
      <c r="N28" s="146">
        <f>IF(SER_hh_tes_in!N27=0,0,11630*1000*SER_hh_tes_in!N27/SER_hh_num_in!N27)</f>
        <v>7962.4676739693596</v>
      </c>
      <c r="O28" s="146">
        <f>IF(SER_hh_tes_in!O27=0,0,11630*1000*SER_hh_tes_in!O27/SER_hh_num_in!O27)</f>
        <v>9315.3190509806827</v>
      </c>
      <c r="P28" s="146">
        <f>IF(SER_hh_tes_in!P27=0,0,11630*1000*SER_hh_tes_in!P27/SER_hh_num_in!P27)</f>
        <v>9482.7781509463348</v>
      </c>
      <c r="Q28" s="146">
        <f>IF(SER_hh_tes_in!Q27=0,0,11630*1000*SER_hh_tes_in!Q27/SER_hh_num_in!Q27)</f>
        <v>8970.840029005496</v>
      </c>
      <c r="R28" s="146">
        <f>IF(SER_hh_tes_in!R27=0,0,11630*1000*SER_hh_tes_in!R27/SER_hh_num_in!R27)</f>
        <v>8160.5166101020814</v>
      </c>
      <c r="S28" s="146">
        <f>IF(SER_hh_tes_in!S27=0,0,11630*1000*SER_hh_tes_in!S27/SER_hh_num_in!S27)</f>
        <v>7853.1430883325984</v>
      </c>
      <c r="T28" s="146">
        <f>IF(SER_hh_tes_in!T27=0,0,11630*1000*SER_hh_tes_in!T27/SER_hh_num_in!T27)</f>
        <v>8374.5738737395623</v>
      </c>
      <c r="U28" s="146">
        <f>IF(SER_hh_tes_in!U27=0,0,11630*1000*SER_hh_tes_in!U27/SER_hh_num_in!U27)</f>
        <v>7905.6225872643963</v>
      </c>
      <c r="V28" s="146">
        <f>IF(SER_hh_tes_in!V27=0,0,11630*1000*SER_hh_tes_in!V27/SER_hh_num_in!V27)</f>
        <v>8968.704721930766</v>
      </c>
      <c r="W28" s="146">
        <f>IF(SER_hh_tes_in!W27=0,0,11630*1000*SER_hh_tes_in!W27/SER_hh_num_in!W27)</f>
        <v>0</v>
      </c>
      <c r="X28" s="146">
        <f>IF(SER_hh_tes_in!X27=0,0,11630*1000*SER_hh_tes_in!X27/SER_hh_num_in!X27)</f>
        <v>8739.333089370366</v>
      </c>
      <c r="Y28" s="146">
        <f>IF(SER_hh_tes_in!Y27=0,0,11630*1000*SER_hh_tes_in!Y27/SER_hh_num_in!Y27)</f>
        <v>8387.0945450054041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10319.657883121834</v>
      </c>
      <c r="D29" s="130">
        <f>IF(SER_hh_tes_in!D29=0,0,11630*1000*SER_hh_tes_in!D29/SER_hh_num_in!D29)</f>
        <v>11542.170499807322</v>
      </c>
      <c r="E29" s="130">
        <f>IF(SER_hh_tes_in!E29=0,0,11630*1000*SER_hh_tes_in!E29/SER_hh_num_in!E29)</f>
        <v>11769.29497199803</v>
      </c>
      <c r="F29" s="130">
        <f>IF(SER_hh_tes_in!F29=0,0,11630*1000*SER_hh_tes_in!F29/SER_hh_num_in!F29)</f>
        <v>10283.740862215967</v>
      </c>
      <c r="G29" s="130">
        <f>IF(SER_hh_tes_in!G29=0,0,11630*1000*SER_hh_tes_in!G29/SER_hh_num_in!G29)</f>
        <v>11255.291148785001</v>
      </c>
      <c r="H29" s="130">
        <f>IF(SER_hh_tes_in!H29=0,0,11630*1000*SER_hh_tes_in!H29/SER_hh_num_in!H29)</f>
        <v>11106.071136748542</v>
      </c>
      <c r="I29" s="130">
        <f>IF(SER_hh_tes_in!I29=0,0,11630*1000*SER_hh_tes_in!I29/SER_hh_num_in!I29)</f>
        <v>11334.55918149744</v>
      </c>
      <c r="J29" s="130">
        <f>IF(SER_hh_tes_in!J29=0,0,11630*1000*SER_hh_tes_in!J29/SER_hh_num_in!J29)</f>
        <v>11475.920482486596</v>
      </c>
      <c r="K29" s="130">
        <f>IF(SER_hh_tes_in!K29=0,0,11630*1000*SER_hh_tes_in!K29/SER_hh_num_in!K29)</f>
        <v>11656.606562266439</v>
      </c>
      <c r="L29" s="130">
        <f>IF(SER_hh_tes_in!L29=0,0,11630*1000*SER_hh_tes_in!L29/SER_hh_num_in!L29)</f>
        <v>11929.401263018504</v>
      </c>
      <c r="M29" s="130">
        <f>IF(SER_hh_tes_in!M29=0,0,11630*1000*SER_hh_tes_in!M29/SER_hh_num_in!M29)</f>
        <v>11848.482999915192</v>
      </c>
      <c r="N29" s="130">
        <f>IF(SER_hh_tes_in!N29=0,0,11630*1000*SER_hh_tes_in!N29/SER_hh_num_in!N29)</f>
        <v>12225.84210270418</v>
      </c>
      <c r="O29" s="130">
        <f>IF(SER_hh_tes_in!O29=0,0,11630*1000*SER_hh_tes_in!O29/SER_hh_num_in!O29)</f>
        <v>12270.220524626986</v>
      </c>
      <c r="P29" s="130">
        <f>IF(SER_hh_tes_in!P29=0,0,11630*1000*SER_hh_tes_in!P29/SER_hh_num_in!P29)</f>
        <v>12973.667307470036</v>
      </c>
      <c r="Q29" s="130">
        <f>IF(SER_hh_tes_in!Q29=0,0,11630*1000*SER_hh_tes_in!Q29/SER_hh_num_in!Q29)</f>
        <v>13226.085646939311</v>
      </c>
      <c r="R29" s="130">
        <f>IF(SER_hh_tes_in!R29=0,0,11630*1000*SER_hh_tes_in!R29/SER_hh_num_in!R29)</f>
        <v>13432.015452032516</v>
      </c>
      <c r="S29" s="130">
        <f>IF(SER_hh_tes_in!S29=0,0,11630*1000*SER_hh_tes_in!S29/SER_hh_num_in!S29)</f>
        <v>13491.416609490059</v>
      </c>
      <c r="T29" s="130">
        <f>IF(SER_hh_tes_in!T29=0,0,11630*1000*SER_hh_tes_in!T29/SER_hh_num_in!T29)</f>
        <v>13531.371638174513</v>
      </c>
      <c r="U29" s="130">
        <f>IF(SER_hh_tes_in!U29=0,0,11630*1000*SER_hh_tes_in!U29/SER_hh_num_in!U29)</f>
        <v>13071.694478151278</v>
      </c>
      <c r="V29" s="130">
        <f>IF(SER_hh_tes_in!V29=0,0,11630*1000*SER_hh_tes_in!V29/SER_hh_num_in!V29)</f>
        <v>12538.524101164974</v>
      </c>
      <c r="W29" s="130">
        <f>IF(SER_hh_tes_in!W29=0,0,11630*1000*SER_hh_tes_in!W29/SER_hh_num_in!W29)</f>
        <v>13087.414210340077</v>
      </c>
      <c r="X29" s="130">
        <f>IF(SER_hh_tes_in!X29=0,0,11630*1000*SER_hh_tes_in!X29/SER_hh_num_in!X29)</f>
        <v>13071.305601840142</v>
      </c>
      <c r="Y29" s="130">
        <f>IF(SER_hh_tes_in!Y29=0,0,11630*1000*SER_hh_tes_in!Y29/SER_hh_num_in!Y29)</f>
        <v>13347.924467323244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11181.223047231751</v>
      </c>
      <c r="D30" s="132">
        <f>IF(SER_hh_tes_in!D30=0,0,11630*1000*SER_hh_tes_in!D30/SER_hh_num_in!D30)</f>
        <v>0</v>
      </c>
      <c r="E30" s="132">
        <f>IF(SER_hh_tes_in!E30=0,0,11630*1000*SER_hh_tes_in!E30/SER_hh_num_in!E30)</f>
        <v>0</v>
      </c>
      <c r="F30" s="132">
        <f>IF(SER_hh_tes_in!F30=0,0,11630*1000*SER_hh_tes_in!F30/SER_hh_num_in!F30)</f>
        <v>0</v>
      </c>
      <c r="G30" s="132">
        <f>IF(SER_hh_tes_in!G30=0,0,11630*1000*SER_hh_tes_in!G30/SER_hh_num_in!G30)</f>
        <v>0</v>
      </c>
      <c r="H30" s="132">
        <f>IF(SER_hh_tes_in!H30=0,0,11630*1000*SER_hh_tes_in!H30/SER_hh_num_in!H30)</f>
        <v>0</v>
      </c>
      <c r="I30" s="132">
        <f>IF(SER_hh_tes_in!I30=0,0,11630*1000*SER_hh_tes_in!I30/SER_hh_num_in!I30)</f>
        <v>0</v>
      </c>
      <c r="J30" s="132">
        <f>IF(SER_hh_tes_in!J30=0,0,11630*1000*SER_hh_tes_in!J30/SER_hh_num_in!J30)</f>
        <v>11806.046793115484</v>
      </c>
      <c r="K30" s="132">
        <f>IF(SER_hh_tes_in!K30=0,0,11630*1000*SER_hh_tes_in!K30/SER_hh_num_in!K30)</f>
        <v>11499.149847960689</v>
      </c>
      <c r="L30" s="132">
        <f>IF(SER_hh_tes_in!L30=0,0,11630*1000*SER_hh_tes_in!L30/SER_hh_num_in!L30)</f>
        <v>13864.660315745707</v>
      </c>
      <c r="M30" s="132">
        <f>IF(SER_hh_tes_in!M30=0,0,11630*1000*SER_hh_tes_in!M30/SER_hh_num_in!M30)</f>
        <v>0</v>
      </c>
      <c r="N30" s="132">
        <f>IF(SER_hh_tes_in!N30=0,0,11630*1000*SER_hh_tes_in!N30/SER_hh_num_in!N30)</f>
        <v>0</v>
      </c>
      <c r="O30" s="132">
        <f>IF(SER_hh_tes_in!O30=0,0,11630*1000*SER_hh_tes_in!O30/SER_hh_num_in!O30)</f>
        <v>12962.948542604976</v>
      </c>
      <c r="P30" s="132">
        <f>IF(SER_hh_tes_in!P30=0,0,11630*1000*SER_hh_tes_in!P30/SER_hh_num_in!P30)</f>
        <v>0</v>
      </c>
      <c r="Q30" s="132">
        <f>IF(SER_hh_tes_in!Q30=0,0,11630*1000*SER_hh_tes_in!Q30/SER_hh_num_in!Q30)</f>
        <v>15975.962717377774</v>
      </c>
      <c r="R30" s="132">
        <f>IF(SER_hh_tes_in!R30=0,0,11630*1000*SER_hh_tes_in!R30/SER_hh_num_in!R30)</f>
        <v>12202.185927888211</v>
      </c>
      <c r="S30" s="132">
        <f>IF(SER_hh_tes_in!S30=0,0,11630*1000*SER_hh_tes_in!S30/SER_hh_num_in!S30)</f>
        <v>13675.109892637873</v>
      </c>
      <c r="T30" s="132">
        <f>IF(SER_hh_tes_in!T30=0,0,11630*1000*SER_hh_tes_in!T30/SER_hh_num_in!T30)</f>
        <v>12768.061165529842</v>
      </c>
      <c r="U30" s="132">
        <f>IF(SER_hh_tes_in!U30=0,0,11630*1000*SER_hh_tes_in!U30/SER_hh_num_in!U30)</f>
        <v>12394.212826357496</v>
      </c>
      <c r="V30" s="132">
        <f>IF(SER_hh_tes_in!V30=0,0,11630*1000*SER_hh_tes_in!V30/SER_hh_num_in!V30)</f>
        <v>13790.030816312874</v>
      </c>
      <c r="W30" s="132">
        <f>IF(SER_hh_tes_in!W30=0,0,11630*1000*SER_hh_tes_in!W30/SER_hh_num_in!W30)</f>
        <v>14811.727385838849</v>
      </c>
      <c r="X30" s="132">
        <f>IF(SER_hh_tes_in!X30=0,0,11630*1000*SER_hh_tes_in!X30/SER_hh_num_in!X30)</f>
        <v>0</v>
      </c>
      <c r="Y30" s="132">
        <f>IF(SER_hh_tes_in!Y30=0,0,11630*1000*SER_hh_tes_in!Y30/SER_hh_num_in!Y30)</f>
        <v>0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10479.369679162028</v>
      </c>
      <c r="D31" s="132">
        <f>IF(SER_hh_tes_in!D31=0,0,11630*1000*SER_hh_tes_in!D31/SER_hh_num_in!D31)</f>
        <v>10836.55084244407</v>
      </c>
      <c r="E31" s="132">
        <f>IF(SER_hh_tes_in!E31=0,0,11630*1000*SER_hh_tes_in!E31/SER_hh_num_in!E31)</f>
        <v>11046.431556615902</v>
      </c>
      <c r="F31" s="132">
        <f>IF(SER_hh_tes_in!F31=0,0,11630*1000*SER_hh_tes_in!F31/SER_hh_num_in!F31)</f>
        <v>10918.116265428562</v>
      </c>
      <c r="G31" s="132">
        <f>IF(SER_hh_tes_in!G31=0,0,11630*1000*SER_hh_tes_in!G31/SER_hh_num_in!G31)</f>
        <v>11015.025572065928</v>
      </c>
      <c r="H31" s="132">
        <f>IF(SER_hh_tes_in!H31=0,0,11630*1000*SER_hh_tes_in!H31/SER_hh_num_in!H31)</f>
        <v>11022.323835270252</v>
      </c>
      <c r="I31" s="132">
        <f>IF(SER_hh_tes_in!I31=0,0,11630*1000*SER_hh_tes_in!I31/SER_hh_num_in!I31)</f>
        <v>11241.771965549551</v>
      </c>
      <c r="J31" s="132">
        <f>IF(SER_hh_tes_in!J31=0,0,11630*1000*SER_hh_tes_in!J31/SER_hh_num_in!J31)</f>
        <v>11482.571101975218</v>
      </c>
      <c r="K31" s="132">
        <f>IF(SER_hh_tes_in!K31=0,0,11630*1000*SER_hh_tes_in!K31/SER_hh_num_in!K31)</f>
        <v>11606.66776753349</v>
      </c>
      <c r="L31" s="132">
        <f>IF(SER_hh_tes_in!L31=0,0,11630*1000*SER_hh_tes_in!L31/SER_hh_num_in!L31)</f>
        <v>11711.273302295236</v>
      </c>
      <c r="M31" s="132">
        <f>IF(SER_hh_tes_in!M31=0,0,11630*1000*SER_hh_tes_in!M31/SER_hh_num_in!M31)</f>
        <v>11880.713942934122</v>
      </c>
      <c r="N31" s="132">
        <f>IF(SER_hh_tes_in!N31=0,0,11630*1000*SER_hh_tes_in!N31/SER_hh_num_in!N31)</f>
        <v>12250.745298160256</v>
      </c>
      <c r="O31" s="132">
        <f>IF(SER_hh_tes_in!O31=0,0,11630*1000*SER_hh_tes_in!O31/SER_hh_num_in!O31)</f>
        <v>12518.786703490441</v>
      </c>
      <c r="P31" s="132">
        <f>IF(SER_hh_tes_in!P31=0,0,11630*1000*SER_hh_tes_in!P31/SER_hh_num_in!P31)</f>
        <v>12774.427184277029</v>
      </c>
      <c r="Q31" s="132">
        <f>IF(SER_hh_tes_in!Q31=0,0,11630*1000*SER_hh_tes_in!Q31/SER_hh_num_in!Q31)</f>
        <v>13118.700620188636</v>
      </c>
      <c r="R31" s="132">
        <f>IF(SER_hh_tes_in!R31=0,0,11630*1000*SER_hh_tes_in!R31/SER_hh_num_in!R31)</f>
        <v>13361.355355704802</v>
      </c>
      <c r="S31" s="132">
        <f>IF(SER_hh_tes_in!S31=0,0,11630*1000*SER_hh_tes_in!S31/SER_hh_num_in!S31)</f>
        <v>13410.540143123277</v>
      </c>
      <c r="T31" s="132">
        <f>IF(SER_hh_tes_in!T31=0,0,11630*1000*SER_hh_tes_in!T31/SER_hh_num_in!T31)</f>
        <v>13371.840228630264</v>
      </c>
      <c r="U31" s="132">
        <f>IF(SER_hh_tes_in!U31=0,0,11630*1000*SER_hh_tes_in!U31/SER_hh_num_in!U31)</f>
        <v>13310.738117933248</v>
      </c>
      <c r="V31" s="132">
        <f>IF(SER_hh_tes_in!V31=0,0,11630*1000*SER_hh_tes_in!V31/SER_hh_num_in!V31)</f>
        <v>12879.752555314719</v>
      </c>
      <c r="W31" s="132">
        <f>IF(SER_hh_tes_in!W31=0,0,11630*1000*SER_hh_tes_in!W31/SER_hh_num_in!W31)</f>
        <v>12345.227312822944</v>
      </c>
      <c r="X31" s="132">
        <f>IF(SER_hh_tes_in!X31=0,0,11630*1000*SER_hh_tes_in!X31/SER_hh_num_in!X31)</f>
        <v>13612.356492302806</v>
      </c>
      <c r="Y31" s="132">
        <f>IF(SER_hh_tes_in!Y31=0,0,11630*1000*SER_hh_tes_in!Y31/SER_hh_num_in!Y31)</f>
        <v>12922.256766725524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14727.920255509613</v>
      </c>
      <c r="K32" s="132">
        <f>IF(SER_hh_tes_in!K32=0,0,11630*1000*SER_hh_tes_in!K32/SER_hh_num_in!K32)</f>
        <v>8553.0381150084686</v>
      </c>
      <c r="L32" s="132">
        <f>IF(SER_hh_tes_in!L32=0,0,11630*1000*SER_hh_tes_in!L32/SER_hh_num_in!L32)</f>
        <v>14815.87314836083</v>
      </c>
      <c r="M32" s="132">
        <f>IF(SER_hh_tes_in!M32=0,0,11630*1000*SER_hh_tes_in!M32/SER_hh_num_in!M32)</f>
        <v>14007.85075145412</v>
      </c>
      <c r="N32" s="132">
        <f>IF(SER_hh_tes_in!N32=0,0,11630*1000*SER_hh_tes_in!N32/SER_hh_num_in!N32)</f>
        <v>7441.1595615353353</v>
      </c>
      <c r="O32" s="132">
        <f>IF(SER_hh_tes_in!O32=0,0,11630*1000*SER_hh_tes_in!O32/SER_hh_num_in!O32)</f>
        <v>11664.455347389736</v>
      </c>
      <c r="P32" s="132">
        <f>IF(SER_hh_tes_in!P32=0,0,11630*1000*SER_hh_tes_in!P32/SER_hh_num_in!P32)</f>
        <v>13810.291306953754</v>
      </c>
      <c r="Q32" s="132">
        <f>IF(SER_hh_tes_in!Q32=0,0,11630*1000*SER_hh_tes_in!Q32/SER_hh_num_in!Q32)</f>
        <v>14153.04298412157</v>
      </c>
      <c r="R32" s="132">
        <f>IF(SER_hh_tes_in!R32=0,0,11630*1000*SER_hh_tes_in!R32/SER_hh_num_in!R32)</f>
        <v>13822.034036490424</v>
      </c>
      <c r="S32" s="132">
        <f>IF(SER_hh_tes_in!S32=0,0,11630*1000*SER_hh_tes_in!S32/SER_hh_num_in!S32)</f>
        <v>13377.818238903503</v>
      </c>
      <c r="T32" s="132">
        <f>IF(SER_hh_tes_in!T32=0,0,11630*1000*SER_hh_tes_in!T32/SER_hh_num_in!T32)</f>
        <v>13983.297353998772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12125.306003552834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10105.951695565189</v>
      </c>
      <c r="D33" s="68">
        <f>IF(SER_hh_tes_in!D33=0,0,11630*1000*SER_hh_tes_in!D33/SER_hh_num_in!D33)</f>
        <v>11773.811049463622</v>
      </c>
      <c r="E33" s="68">
        <f>IF(SER_hh_tes_in!E33=0,0,11630*1000*SER_hh_tes_in!E33/SER_hh_num_in!E33)</f>
        <v>12174.176537398482</v>
      </c>
      <c r="F33" s="68">
        <f>IF(SER_hh_tes_in!F33=0,0,11630*1000*SER_hh_tes_in!F33/SER_hh_num_in!F33)</f>
        <v>9662.4863855301337</v>
      </c>
      <c r="G33" s="68">
        <f>IF(SER_hh_tes_in!G33=0,0,11630*1000*SER_hh_tes_in!G33/SER_hh_num_in!G33)</f>
        <v>11408.246510402711</v>
      </c>
      <c r="H33" s="68">
        <f>IF(SER_hh_tes_in!H33=0,0,11630*1000*SER_hh_tes_in!H33/SER_hh_num_in!H33)</f>
        <v>11175.943030471873</v>
      </c>
      <c r="I33" s="68">
        <f>IF(SER_hh_tes_in!I33=0,0,11630*1000*SER_hh_tes_in!I33/SER_hh_num_in!I33)</f>
        <v>11401.335994425095</v>
      </c>
      <c r="J33" s="68">
        <f>IF(SER_hh_tes_in!J33=0,0,11630*1000*SER_hh_tes_in!J33/SER_hh_num_in!J33)</f>
        <v>11375.653254263236</v>
      </c>
      <c r="K33" s="68">
        <f>IF(SER_hh_tes_in!K33=0,0,11630*1000*SER_hh_tes_in!K33/SER_hh_num_in!K33)</f>
        <v>11832.397008634051</v>
      </c>
      <c r="L33" s="68">
        <f>IF(SER_hh_tes_in!L33=0,0,11630*1000*SER_hh_tes_in!L33/SER_hh_num_in!L33)</f>
        <v>11623.190683042818</v>
      </c>
      <c r="M33" s="68">
        <f>IF(SER_hh_tes_in!M33=0,0,11630*1000*SER_hh_tes_in!M33/SER_hh_num_in!M33)</f>
        <v>11824.212515032466</v>
      </c>
      <c r="N33" s="68">
        <f>IF(SER_hh_tes_in!N33=0,0,11630*1000*SER_hh_tes_in!N33/SER_hh_num_in!N33)</f>
        <v>12220.778964759185</v>
      </c>
      <c r="O33" s="68">
        <f>IF(SER_hh_tes_in!O33=0,0,11630*1000*SER_hh_tes_in!O33/SER_hh_num_in!O33)</f>
        <v>12141.532284075533</v>
      </c>
      <c r="P33" s="68">
        <f>IF(SER_hh_tes_in!P33=0,0,11630*1000*SER_hh_tes_in!P33/SER_hh_num_in!P33)</f>
        <v>13040.729600966295</v>
      </c>
      <c r="Q33" s="68">
        <f>IF(SER_hh_tes_in!Q33=0,0,11630*1000*SER_hh_tes_in!Q33/SER_hh_num_in!Q33)</f>
        <v>13133.592779118304</v>
      </c>
      <c r="R33" s="68">
        <f>IF(SER_hh_tes_in!R33=0,0,11630*1000*SER_hh_tes_in!R33/SER_hh_num_in!R33)</f>
        <v>13481.943042550947</v>
      </c>
      <c r="S33" s="68">
        <f>IF(SER_hh_tes_in!S33=0,0,11630*1000*SER_hh_tes_in!S33/SER_hh_num_in!S33)</f>
        <v>13534.209641985126</v>
      </c>
      <c r="T33" s="68">
        <f>IF(SER_hh_tes_in!T33=0,0,11630*1000*SER_hh_tes_in!T33/SER_hh_num_in!T33)</f>
        <v>13702.237106421067</v>
      </c>
      <c r="U33" s="68">
        <f>IF(SER_hh_tes_in!U33=0,0,11630*1000*SER_hh_tes_in!U33/SER_hh_num_in!U33)</f>
        <v>12974.915298724467</v>
      </c>
      <c r="V33" s="68">
        <f>IF(SER_hh_tes_in!V33=0,0,11630*1000*SER_hh_tes_in!V33/SER_hh_num_in!V33)</f>
        <v>12152.517770489243</v>
      </c>
      <c r="W33" s="68">
        <f>IF(SER_hh_tes_in!W33=0,0,11630*1000*SER_hh_tes_in!W33/SER_hh_num_in!W33)</f>
        <v>13240.837295175972</v>
      </c>
      <c r="X33" s="68">
        <f>IF(SER_hh_tes_in!X33=0,0,11630*1000*SER_hh_tes_in!X33/SER_hh_num_in!X33)</f>
        <v>12853.518083036586</v>
      </c>
      <c r="Y33" s="68">
        <f>IF(SER_hh_tes_in!Y33=0,0,11630*1000*SER_hh_tes_in!Y33/SER_hh_num_in!Y33)</f>
        <v>13494.291172989479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33369.903869960021</v>
      </c>
      <c r="D3" s="125">
        <f>IF(SER_hh_emi_in!D3=0,0,1000000*SER_hh_emi_in!D3/SER_hh_num_in!D3)</f>
        <v>33067.487956695957</v>
      </c>
      <c r="E3" s="125">
        <f>IF(SER_hh_emi_in!E3=0,0,1000000*SER_hh_emi_in!E3/SER_hh_num_in!E3)</f>
        <v>30716.486422073871</v>
      </c>
      <c r="F3" s="125">
        <f>IF(SER_hh_emi_in!F3=0,0,1000000*SER_hh_emi_in!F3/SER_hh_num_in!F3)</f>
        <v>14233.833452198161</v>
      </c>
      <c r="G3" s="125">
        <f>IF(SER_hh_emi_in!G3=0,0,1000000*SER_hh_emi_in!G3/SER_hh_num_in!G3)</f>
        <v>13055.308376381376</v>
      </c>
      <c r="H3" s="125">
        <f>IF(SER_hh_emi_in!H3=0,0,1000000*SER_hh_emi_in!H3/SER_hh_num_in!H3)</f>
        <v>19898.29786220082</v>
      </c>
      <c r="I3" s="125">
        <f>IF(SER_hh_emi_in!I3=0,0,1000000*SER_hh_emi_in!I3/SER_hh_num_in!I3)</f>
        <v>26004.492573717329</v>
      </c>
      <c r="J3" s="125">
        <f>IF(SER_hh_emi_in!J3=0,0,1000000*SER_hh_emi_in!J3/SER_hh_num_in!J3)</f>
        <v>34096.08596615494</v>
      </c>
      <c r="K3" s="125">
        <f>IF(SER_hh_emi_in!K3=0,0,1000000*SER_hh_emi_in!K3/SER_hh_num_in!K3)</f>
        <v>31134.019162932356</v>
      </c>
      <c r="L3" s="125">
        <f>IF(SER_hh_emi_in!L3=0,0,1000000*SER_hh_emi_in!L3/SER_hh_num_in!L3)</f>
        <v>33086.921716595396</v>
      </c>
      <c r="M3" s="125">
        <f>IF(SER_hh_emi_in!M3=0,0,1000000*SER_hh_emi_in!M3/SER_hh_num_in!M3)</f>
        <v>24771.157468909336</v>
      </c>
      <c r="N3" s="125">
        <f>IF(SER_hh_emi_in!N3=0,0,1000000*SER_hh_emi_in!N3/SER_hh_num_in!N3)</f>
        <v>24882.802214191568</v>
      </c>
      <c r="O3" s="125">
        <f>IF(SER_hh_emi_in!O3=0,0,1000000*SER_hh_emi_in!O3/SER_hh_num_in!O3)</f>
        <v>26635.23160418772</v>
      </c>
      <c r="P3" s="125">
        <f>IF(SER_hh_emi_in!P3=0,0,1000000*SER_hh_emi_in!P3/SER_hh_num_in!P3)</f>
        <v>18337.559278454635</v>
      </c>
      <c r="Q3" s="125">
        <f>IF(SER_hh_emi_in!Q3=0,0,1000000*SER_hh_emi_in!Q3/SER_hh_num_in!Q3)</f>
        <v>20311.35657575334</v>
      </c>
      <c r="R3" s="125">
        <f>IF(SER_hh_emi_in!R3=0,0,1000000*SER_hh_emi_in!R3/SER_hh_num_in!R3)</f>
        <v>16563.153642762754</v>
      </c>
      <c r="S3" s="125">
        <f>IF(SER_hh_emi_in!S3=0,0,1000000*SER_hh_emi_in!S3/SER_hh_num_in!S3)</f>
        <v>15093.993352007144</v>
      </c>
      <c r="T3" s="125">
        <f>IF(SER_hh_emi_in!T3=0,0,1000000*SER_hh_emi_in!T3/SER_hh_num_in!T3)</f>
        <v>12810.385225510743</v>
      </c>
      <c r="U3" s="125">
        <f>IF(SER_hh_emi_in!U3=0,0,1000000*SER_hh_emi_in!U3/SER_hh_num_in!U3)</f>
        <v>10216.687840117673</v>
      </c>
      <c r="V3" s="125">
        <f>IF(SER_hh_emi_in!V3=0,0,1000000*SER_hh_emi_in!V3/SER_hh_num_in!V3)</f>
        <v>9491.6549143486463</v>
      </c>
      <c r="W3" s="125">
        <f>IF(SER_hh_emi_in!W3=0,0,1000000*SER_hh_emi_in!W3/SER_hh_num_in!W3)</f>
        <v>9561.5268599095107</v>
      </c>
      <c r="X3" s="125">
        <f>IF(SER_hh_emi_in!X3=0,0,1000000*SER_hh_emi_in!X3/SER_hh_num_in!X3)</f>
        <v>7256.717437022282</v>
      </c>
      <c r="Y3" s="125">
        <f>IF(SER_hh_emi_in!Y3=0,0,1000000*SER_hh_emi_in!Y3/SER_hh_num_in!Y3)</f>
        <v>7689.5741165281042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28481.020911321168</v>
      </c>
      <c r="D4" s="130">
        <f>IF(SER_hh_emi_in!D4=0,0,1000000*SER_hh_emi_in!D4/SER_hh_num_in!D4)</f>
        <v>29768.446580510768</v>
      </c>
      <c r="E4" s="130">
        <f>IF(SER_hh_emi_in!E4=0,0,1000000*SER_hh_emi_in!E4/SER_hh_num_in!E4)</f>
        <v>26247.892535175994</v>
      </c>
      <c r="F4" s="130">
        <f>IF(SER_hh_emi_in!F4=0,0,1000000*SER_hh_emi_in!F4/SER_hh_num_in!F4)</f>
        <v>8854.3797651937912</v>
      </c>
      <c r="G4" s="130">
        <f>IF(SER_hh_emi_in!G4=0,0,1000000*SER_hh_emi_in!G4/SER_hh_num_in!G4)</f>
        <v>8334.8996104421367</v>
      </c>
      <c r="H4" s="130">
        <f>IF(SER_hh_emi_in!H4=0,0,1000000*SER_hh_emi_in!H4/SER_hh_num_in!H4)</f>
        <v>15230.282533240601</v>
      </c>
      <c r="I4" s="130">
        <f>IF(SER_hh_emi_in!I4=0,0,1000000*SER_hh_emi_in!I4/SER_hh_num_in!I4)</f>
        <v>21593.297891129969</v>
      </c>
      <c r="J4" s="130">
        <f>IF(SER_hh_emi_in!J4=0,0,1000000*SER_hh_emi_in!J4/SER_hh_num_in!J4)</f>
        <v>29399.828564936473</v>
      </c>
      <c r="K4" s="130">
        <f>IF(SER_hh_emi_in!K4=0,0,1000000*SER_hh_emi_in!K4/SER_hh_num_in!K4)</f>
        <v>26281.657380207911</v>
      </c>
      <c r="L4" s="130">
        <f>IF(SER_hh_emi_in!L4=0,0,1000000*SER_hh_emi_in!L4/SER_hh_num_in!L4)</f>
        <v>28322.332312339018</v>
      </c>
      <c r="M4" s="130">
        <f>IF(SER_hh_emi_in!M4=0,0,1000000*SER_hh_emi_in!M4/SER_hh_num_in!M4)</f>
        <v>20565.76283938983</v>
      </c>
      <c r="N4" s="130">
        <f>IF(SER_hh_emi_in!N4=0,0,1000000*SER_hh_emi_in!N4/SER_hh_num_in!N4)</f>
        <v>20638.596864814393</v>
      </c>
      <c r="O4" s="130">
        <f>IF(SER_hh_emi_in!O4=0,0,1000000*SER_hh_emi_in!O4/SER_hh_num_in!O4)</f>
        <v>22485.388152764877</v>
      </c>
      <c r="P4" s="130">
        <f>IF(SER_hh_emi_in!P4=0,0,1000000*SER_hh_emi_in!P4/SER_hh_num_in!P4)</f>
        <v>15213.121541245777</v>
      </c>
      <c r="Q4" s="130">
        <f>IF(SER_hh_emi_in!Q4=0,0,1000000*SER_hh_emi_in!Q4/SER_hh_num_in!Q4)</f>
        <v>16631.437104578235</v>
      </c>
      <c r="R4" s="130">
        <f>IF(SER_hh_emi_in!R4=0,0,1000000*SER_hh_emi_in!R4/SER_hh_num_in!R4)</f>
        <v>13023.395836108066</v>
      </c>
      <c r="S4" s="130">
        <f>IF(SER_hh_emi_in!S4=0,0,1000000*SER_hh_emi_in!S4/SER_hh_num_in!S4)</f>
        <v>11269.951336337654</v>
      </c>
      <c r="T4" s="130">
        <f>IF(SER_hh_emi_in!T4=0,0,1000000*SER_hh_emi_in!T4/SER_hh_num_in!T4)</f>
        <v>8878.2152169487945</v>
      </c>
      <c r="U4" s="130">
        <f>IF(SER_hh_emi_in!U4=0,0,1000000*SER_hh_emi_in!U4/SER_hh_num_in!U4)</f>
        <v>6092.7702002215401</v>
      </c>
      <c r="V4" s="130">
        <f>IF(SER_hh_emi_in!V4=0,0,1000000*SER_hh_emi_in!V4/SER_hh_num_in!V4)</f>
        <v>5574.8712097224707</v>
      </c>
      <c r="W4" s="130">
        <f>IF(SER_hh_emi_in!W4=0,0,1000000*SER_hh_emi_in!W4/SER_hh_num_in!W4)</f>
        <v>6468.7481987653155</v>
      </c>
      <c r="X4" s="130">
        <f>IF(SER_hh_emi_in!X4=0,0,1000000*SER_hh_emi_in!X4/SER_hh_num_in!X4)</f>
        <v>4853.0447460418154</v>
      </c>
      <c r="Y4" s="130">
        <f>IF(SER_hh_emi_in!Y4=0,0,1000000*SER_hh_emi_in!Y4/SER_hh_num_in!Y4)</f>
        <v>5616.1673890672455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0</v>
      </c>
      <c r="D5" s="132">
        <f>IF(SER_hh_emi_in!D5=0,0,1000000*SER_hh_emi_in!D5/SER_hh_num_in!D5)</f>
        <v>0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0</v>
      </c>
      <c r="N5" s="132">
        <f>IF(SER_hh_emi_in!N5=0,0,1000000*SER_hh_emi_in!N5/SER_hh_num_in!N5)</f>
        <v>0</v>
      </c>
      <c r="O5" s="132">
        <f>IF(SER_hh_emi_in!O5=0,0,1000000*SER_hh_emi_in!O5/SER_hh_num_in!O5)</f>
        <v>0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32548.560759517946</v>
      </c>
      <c r="D7" s="132">
        <f>IF(SER_hh_emi_in!D7=0,0,1000000*SER_hh_emi_in!D7/SER_hh_num_in!D7)</f>
        <v>41223.545294566822</v>
      </c>
      <c r="E7" s="132">
        <f>IF(SER_hh_emi_in!E7=0,0,1000000*SER_hh_emi_in!E7/SER_hh_num_in!E7)</f>
        <v>46376.224674452031</v>
      </c>
      <c r="F7" s="132">
        <f>IF(SER_hh_emi_in!F7=0,0,1000000*SER_hh_emi_in!F7/SER_hh_num_in!F7)</f>
        <v>44984.22389404499</v>
      </c>
      <c r="G7" s="132">
        <f>IF(SER_hh_emi_in!G7=0,0,1000000*SER_hh_emi_in!G7/SER_hh_num_in!G7)</f>
        <v>45181.813702189174</v>
      </c>
      <c r="H7" s="132">
        <f>IF(SER_hh_emi_in!H7=0,0,1000000*SER_hh_emi_in!H7/SER_hh_num_in!H7)</f>
        <v>39001.645367854631</v>
      </c>
      <c r="I7" s="132">
        <f>IF(SER_hh_emi_in!I7=0,0,1000000*SER_hh_emi_in!I7/SER_hh_num_in!I7)</f>
        <v>33052.584578615089</v>
      </c>
      <c r="J7" s="132">
        <f>IF(SER_hh_emi_in!J7=0,0,1000000*SER_hh_emi_in!J7/SER_hh_num_in!J7)</f>
        <v>41185.17971703074</v>
      </c>
      <c r="K7" s="132">
        <f>IF(SER_hh_emi_in!K7=0,0,1000000*SER_hh_emi_in!K7/SER_hh_num_in!K7)</f>
        <v>33282.376186578258</v>
      </c>
      <c r="L7" s="132">
        <f>IF(SER_hh_emi_in!L7=0,0,1000000*SER_hh_emi_in!L7/SER_hh_num_in!L7)</f>
        <v>36840.308545414242</v>
      </c>
      <c r="M7" s="132">
        <f>IF(SER_hh_emi_in!M7=0,0,1000000*SER_hh_emi_in!M7/SER_hh_num_in!M7)</f>
        <v>29566.372485606822</v>
      </c>
      <c r="N7" s="132">
        <f>IF(SER_hh_emi_in!N7=0,0,1000000*SER_hh_emi_in!N7/SER_hh_num_in!N7)</f>
        <v>28222.341717033818</v>
      </c>
      <c r="O7" s="132">
        <f>IF(SER_hh_emi_in!O7=0,0,1000000*SER_hh_emi_in!O7/SER_hh_num_in!O7)</f>
        <v>29212.414755366564</v>
      </c>
      <c r="P7" s="132">
        <f>IF(SER_hh_emi_in!P7=0,0,1000000*SER_hh_emi_in!P7/SER_hh_num_in!P7)</f>
        <v>20608.28957511804</v>
      </c>
      <c r="Q7" s="132">
        <f>IF(SER_hh_emi_in!Q7=0,0,1000000*SER_hh_emi_in!Q7/SER_hh_num_in!Q7)</f>
        <v>23184.124799619676</v>
      </c>
      <c r="R7" s="132">
        <f>IF(SER_hh_emi_in!R7=0,0,1000000*SER_hh_emi_in!R7/SER_hh_num_in!R7)</f>
        <v>20529.550384415845</v>
      </c>
      <c r="S7" s="132">
        <f>IF(SER_hh_emi_in!S7=0,0,1000000*SER_hh_emi_in!S7/SER_hh_num_in!S7)</f>
        <v>20455.371074157341</v>
      </c>
      <c r="T7" s="132">
        <f>IF(SER_hh_emi_in!T7=0,0,1000000*SER_hh_emi_in!T7/SER_hh_num_in!T7)</f>
        <v>19976.463315835066</v>
      </c>
      <c r="U7" s="132">
        <f>IF(SER_hh_emi_in!U7=0,0,1000000*SER_hh_emi_in!U7/SER_hh_num_in!U7)</f>
        <v>0</v>
      </c>
      <c r="V7" s="132">
        <f>IF(SER_hh_emi_in!V7=0,0,1000000*SER_hh_emi_in!V7/SER_hh_num_in!V7)</f>
        <v>17279.073046211019</v>
      </c>
      <c r="W7" s="132">
        <f>IF(SER_hh_emi_in!W7=0,0,1000000*SER_hh_emi_in!W7/SER_hh_num_in!W7)</f>
        <v>13079.787266576926</v>
      </c>
      <c r="X7" s="132">
        <f>IF(SER_hh_emi_in!X7=0,0,1000000*SER_hh_emi_in!X7/SER_hh_num_in!X7)</f>
        <v>9596.152097866363</v>
      </c>
      <c r="Y7" s="132">
        <f>IF(SER_hh_emi_in!Y7=0,0,1000000*SER_hh_emi_in!Y7/SER_hh_num_in!Y7)</f>
        <v>10040.311735515475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7663.2762759379311</v>
      </c>
      <c r="D8" s="132">
        <f>IF(SER_hh_emi_in!D8=0,0,1000000*SER_hh_emi_in!D8/SER_hh_num_in!D8)</f>
        <v>7448.9255653174496</v>
      </c>
      <c r="E8" s="132">
        <f>IF(SER_hh_emi_in!E8=0,0,1000000*SER_hh_emi_in!E8/SER_hh_num_in!E8)</f>
        <v>7245.9914741283019</v>
      </c>
      <c r="F8" s="132">
        <f>IF(SER_hh_emi_in!F8=0,0,1000000*SER_hh_emi_in!F8/SER_hh_num_in!F8)</f>
        <v>8189.3583285050754</v>
      </c>
      <c r="G8" s="132">
        <f>IF(SER_hh_emi_in!G8=0,0,1000000*SER_hh_emi_in!G8/SER_hh_num_in!G8)</f>
        <v>7571.4310723687513</v>
      </c>
      <c r="H8" s="132">
        <f>IF(SER_hh_emi_in!H8=0,0,1000000*SER_hh_emi_in!H8/SER_hh_num_in!H8)</f>
        <v>7228.6171965225803</v>
      </c>
      <c r="I8" s="132">
        <f>IF(SER_hh_emi_in!I8=0,0,1000000*SER_hh_emi_in!I8/SER_hh_num_in!I8)</f>
        <v>6045.1060112545119</v>
      </c>
      <c r="J8" s="132">
        <f>IF(SER_hh_emi_in!J8=0,0,1000000*SER_hh_emi_in!J8/SER_hh_num_in!J8)</f>
        <v>6213.9701703960864</v>
      </c>
      <c r="K8" s="132">
        <f>IF(SER_hh_emi_in!K8=0,0,1000000*SER_hh_emi_in!K8/SER_hh_num_in!K8)</f>
        <v>5966.2510889251835</v>
      </c>
      <c r="L8" s="132">
        <f>IF(SER_hh_emi_in!L8=0,0,1000000*SER_hh_emi_in!L8/SER_hh_num_in!L8)</f>
        <v>5626.2473589797692</v>
      </c>
      <c r="M8" s="132">
        <f>IF(SER_hh_emi_in!M8=0,0,1000000*SER_hh_emi_in!M8/SER_hh_num_in!M8)</f>
        <v>4296.7817423109536</v>
      </c>
      <c r="N8" s="132">
        <f>IF(SER_hh_emi_in!N8=0,0,1000000*SER_hh_emi_in!N8/SER_hh_num_in!N8)</f>
        <v>4345.8402296257473</v>
      </c>
      <c r="O8" s="132">
        <f>IF(SER_hh_emi_in!O8=0,0,1000000*SER_hh_emi_in!O8/SER_hh_num_in!O8)</f>
        <v>4384.5448232336275</v>
      </c>
      <c r="P8" s="132">
        <f>IF(SER_hh_emi_in!P8=0,0,1000000*SER_hh_emi_in!P8/SER_hh_num_in!P8)</f>
        <v>3028.5582661124449</v>
      </c>
      <c r="Q8" s="132">
        <f>IF(SER_hh_emi_in!Q8=0,0,1000000*SER_hh_emi_in!Q8/SER_hh_num_in!Q8)</f>
        <v>3148.5761537242734</v>
      </c>
      <c r="R8" s="132">
        <f>IF(SER_hh_emi_in!R8=0,0,1000000*SER_hh_emi_in!R8/SER_hh_num_in!R8)</f>
        <v>2979.9840273604809</v>
      </c>
      <c r="S8" s="132">
        <f>IF(SER_hh_emi_in!S8=0,0,1000000*SER_hh_emi_in!S8/SER_hh_num_in!S8)</f>
        <v>2661.2729847172363</v>
      </c>
      <c r="T8" s="132">
        <f>IF(SER_hh_emi_in!T8=0,0,1000000*SER_hh_emi_in!T8/SER_hh_num_in!T8)</f>
        <v>2465.6095945957059</v>
      </c>
      <c r="U8" s="132">
        <f>IF(SER_hh_emi_in!U8=0,0,1000000*SER_hh_emi_in!U8/SER_hh_num_in!U8)</f>
        <v>2257.404052417131</v>
      </c>
      <c r="V8" s="132">
        <f>IF(SER_hh_emi_in!V8=0,0,1000000*SER_hh_emi_in!V8/SER_hh_num_in!V8)</f>
        <v>1888.7497723761451</v>
      </c>
      <c r="W8" s="132">
        <f>IF(SER_hh_emi_in!W8=0,0,1000000*SER_hh_emi_in!W8/SER_hh_num_in!W8)</f>
        <v>1540.1831755282121</v>
      </c>
      <c r="X8" s="132">
        <f>IF(SER_hh_emi_in!X8=0,0,1000000*SER_hh_emi_in!X8/SER_hh_num_in!X8)</f>
        <v>1423.9146742017342</v>
      </c>
      <c r="Y8" s="132">
        <f>IF(SER_hh_emi_in!Y8=0,0,1000000*SER_hh_emi_in!Y8/SER_hh_num_in!Y8)</f>
        <v>1434.6068462382686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26329.467185365374</v>
      </c>
      <c r="D9" s="132">
        <f>IF(SER_hh_emi_in!D9=0,0,1000000*SER_hh_emi_in!D9/SER_hh_num_in!D9)</f>
        <v>24163.767901923504</v>
      </c>
      <c r="E9" s="132">
        <f>IF(SER_hh_emi_in!E9=0,0,1000000*SER_hh_emi_in!E9/SER_hh_num_in!E9)</f>
        <v>25120.303950824953</v>
      </c>
      <c r="F9" s="132">
        <f>IF(SER_hh_emi_in!F9=0,0,1000000*SER_hh_emi_in!F9/SER_hh_num_in!F9)</f>
        <v>0</v>
      </c>
      <c r="G9" s="132">
        <f>IF(SER_hh_emi_in!G9=0,0,1000000*SER_hh_emi_in!G9/SER_hh_num_in!G9)</f>
        <v>0</v>
      </c>
      <c r="H9" s="132">
        <f>IF(SER_hh_emi_in!H9=0,0,1000000*SER_hh_emi_in!H9/SER_hh_num_in!H9)</f>
        <v>27744.427985078975</v>
      </c>
      <c r="I9" s="132">
        <f>IF(SER_hh_emi_in!I9=0,0,1000000*SER_hh_emi_in!I9/SER_hh_num_in!I9)</f>
        <v>24239.301973669135</v>
      </c>
      <c r="J9" s="132">
        <f>IF(SER_hh_emi_in!J9=0,0,1000000*SER_hh_emi_in!J9/SER_hh_num_in!J9)</f>
        <v>26266.226054465988</v>
      </c>
      <c r="K9" s="132">
        <f>IF(SER_hh_emi_in!K9=0,0,1000000*SER_hh_emi_in!K9/SER_hh_num_in!K9)</f>
        <v>26366.503766499412</v>
      </c>
      <c r="L9" s="132">
        <f>IF(SER_hh_emi_in!L9=0,0,1000000*SER_hh_emi_in!L9/SER_hh_num_in!L9)</f>
        <v>26837.355802682225</v>
      </c>
      <c r="M9" s="132">
        <f>IF(SER_hh_emi_in!M9=0,0,1000000*SER_hh_emi_in!M9/SER_hh_num_in!M9)</f>
        <v>19298.451859208897</v>
      </c>
      <c r="N9" s="132">
        <f>IF(SER_hh_emi_in!N9=0,0,1000000*SER_hh_emi_in!N9/SER_hh_num_in!N9)</f>
        <v>20431.533946748019</v>
      </c>
      <c r="O9" s="132">
        <f>IF(SER_hh_emi_in!O9=0,0,1000000*SER_hh_emi_in!O9/SER_hh_num_in!O9)</f>
        <v>20801.264048137746</v>
      </c>
      <c r="P9" s="132">
        <f>IF(SER_hh_emi_in!P9=0,0,1000000*SER_hh_emi_in!P9/SER_hh_num_in!P9)</f>
        <v>13895.327362967142</v>
      </c>
      <c r="Q9" s="132">
        <f>IF(SER_hh_emi_in!Q9=0,0,1000000*SER_hh_emi_in!Q9/SER_hh_num_in!Q9)</f>
        <v>14699.268591726237</v>
      </c>
      <c r="R9" s="132">
        <f>IF(SER_hh_emi_in!R9=0,0,1000000*SER_hh_emi_in!R9/SER_hh_num_in!R9)</f>
        <v>14493.561413147569</v>
      </c>
      <c r="S9" s="132">
        <f>IF(SER_hh_emi_in!S9=0,0,1000000*SER_hh_emi_in!S9/SER_hh_num_in!S9)</f>
        <v>13316.30358077818</v>
      </c>
      <c r="T9" s="132">
        <f>IF(SER_hh_emi_in!T9=0,0,1000000*SER_hh_emi_in!T9/SER_hh_num_in!T9)</f>
        <v>12557.084731234087</v>
      </c>
      <c r="U9" s="132">
        <f>IF(SER_hh_emi_in!U9=0,0,1000000*SER_hh_emi_in!U9/SER_hh_num_in!U9)</f>
        <v>11425.677753175652</v>
      </c>
      <c r="V9" s="132">
        <f>IF(SER_hh_emi_in!V9=0,0,1000000*SER_hh_emi_in!V9/SER_hh_num_in!V9)</f>
        <v>9764.1870856222067</v>
      </c>
      <c r="W9" s="132">
        <f>IF(SER_hh_emi_in!W9=0,0,1000000*SER_hh_emi_in!W9/SER_hh_num_in!W9)</f>
        <v>10227.516051906445</v>
      </c>
      <c r="X9" s="132">
        <f>IF(SER_hh_emi_in!X9=0,0,1000000*SER_hh_emi_in!X9/SER_hh_num_in!X9)</f>
        <v>6697.1026020084619</v>
      </c>
      <c r="Y9" s="132">
        <f>IF(SER_hh_emi_in!Y9=0,0,1000000*SER_hh_emi_in!Y9/SER_hh_num_in!Y9)</f>
        <v>6345.0204331778987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135805.87238930515</v>
      </c>
      <c r="G10" s="132">
        <f>IF(SER_hh_emi_in!G10=0,0,1000000*SER_hh_emi_in!G10/SER_hh_num_in!G10)</f>
        <v>116065.98116289053</v>
      </c>
      <c r="H10" s="132">
        <f>IF(SER_hh_emi_in!H10=0,0,1000000*SER_hh_emi_in!H10/SER_hh_num_in!H10)</f>
        <v>100857.53214489111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39204.391163584653</v>
      </c>
      <c r="P10" s="132">
        <f>IF(SER_hh_emi_in!P10=0,0,1000000*SER_hh_emi_in!P10/SER_hh_num_in!P10)</f>
        <v>31439.446171809224</v>
      </c>
      <c r="Q10" s="132">
        <f>IF(SER_hh_emi_in!Q10=0,0,1000000*SER_hh_emi_in!Q10/SER_hh_num_in!Q10)</f>
        <v>34186.560413645326</v>
      </c>
      <c r="R10" s="132">
        <f>IF(SER_hh_emi_in!R10=0,0,1000000*SER_hh_emi_in!R10/SER_hh_num_in!R10)</f>
        <v>31035.165610870386</v>
      </c>
      <c r="S10" s="132">
        <f>IF(SER_hh_emi_in!S10=0,0,1000000*SER_hh_emi_in!S10/SER_hh_num_in!S10)</f>
        <v>28068.228432041124</v>
      </c>
      <c r="T10" s="132">
        <f>IF(SER_hh_emi_in!T10=0,0,1000000*SER_hh_emi_in!T10/SER_hh_num_in!T10)</f>
        <v>25498.636917469616</v>
      </c>
      <c r="U10" s="132">
        <f>IF(SER_hh_emi_in!U10=0,0,1000000*SER_hh_emi_in!U10/SER_hh_num_in!U10)</f>
        <v>22867.291227174177</v>
      </c>
      <c r="V10" s="132">
        <f>IF(SER_hh_emi_in!V10=0,0,1000000*SER_hh_emi_in!V10/SER_hh_num_in!V10)</f>
        <v>21505.136594381573</v>
      </c>
      <c r="W10" s="132">
        <f>IF(SER_hh_emi_in!W10=0,0,1000000*SER_hh_emi_in!W10/SER_hh_num_in!W10)</f>
        <v>18117.251026052618</v>
      </c>
      <c r="X10" s="132">
        <f>IF(SER_hh_emi_in!X10=0,0,1000000*SER_hh_emi_in!X10/SER_hh_num_in!X10)</f>
        <v>12678.154245424972</v>
      </c>
      <c r="Y10" s="132">
        <f>IF(SER_hh_emi_in!Y10=0,0,1000000*SER_hh_emi_in!Y10/SER_hh_num_in!Y10)</f>
        <v>12341.080610271241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4.7008203134988191</v>
      </c>
      <c r="D16" s="130">
        <f>IF(SER_hh_emi_in!D16=0,0,1000000*SER_hh_emi_in!D16/SER_hh_num_in!D16)</f>
        <v>5.1418566134939523</v>
      </c>
      <c r="E16" s="130">
        <f>IF(SER_hh_emi_in!E16=0,0,1000000*SER_hh_emi_in!E16/SER_hh_num_in!E16)</f>
        <v>0.7353622982918121</v>
      </c>
      <c r="F16" s="130">
        <f>IF(SER_hh_emi_in!F16=0,0,1000000*SER_hh_emi_in!F16/SER_hh_num_in!F16)</f>
        <v>10.974788570753953</v>
      </c>
      <c r="G16" s="130">
        <f>IF(SER_hh_emi_in!G16=0,0,1000000*SER_hh_emi_in!G16/SER_hh_num_in!G16)</f>
        <v>8.2330541742417225</v>
      </c>
      <c r="H16" s="130">
        <f>IF(SER_hh_emi_in!H16=0,0,1000000*SER_hh_emi_in!H16/SER_hh_num_in!H16)</f>
        <v>4.4912628966203458</v>
      </c>
      <c r="I16" s="130">
        <f>IF(SER_hh_emi_in!I16=0,0,1000000*SER_hh_emi_in!I16/SER_hh_num_in!I16)</f>
        <v>11.683120296627457</v>
      </c>
      <c r="J16" s="130">
        <f>IF(SER_hh_emi_in!J16=0,0,1000000*SER_hh_emi_in!J16/SER_hh_num_in!J16)</f>
        <v>12.708714795339731</v>
      </c>
      <c r="K16" s="130">
        <f>IF(SER_hh_emi_in!K16=0,0,1000000*SER_hh_emi_in!K16/SER_hh_num_in!K16)</f>
        <v>12.307524472381473</v>
      </c>
      <c r="L16" s="130">
        <f>IF(SER_hh_emi_in!L16=0,0,1000000*SER_hh_emi_in!L16/SER_hh_num_in!L16)</f>
        <v>6.1862743471014863</v>
      </c>
      <c r="M16" s="130">
        <f>IF(SER_hh_emi_in!M16=0,0,1000000*SER_hh_emi_in!M16/SER_hh_num_in!M16)</f>
        <v>9.915359938950056</v>
      </c>
      <c r="N16" s="130">
        <f>IF(SER_hh_emi_in!N16=0,0,1000000*SER_hh_emi_in!N16/SER_hh_num_in!N16)</f>
        <v>10.660387525724767</v>
      </c>
      <c r="O16" s="130">
        <f>IF(SER_hh_emi_in!O16=0,0,1000000*SER_hh_emi_in!O16/SER_hh_num_in!O16)</f>
        <v>15.482226591534282</v>
      </c>
      <c r="P16" s="130">
        <f>IF(SER_hh_emi_in!P16=0,0,1000000*SER_hh_emi_in!P16/SER_hh_num_in!P16)</f>
        <v>24.437479787818237</v>
      </c>
      <c r="Q16" s="130">
        <f>IF(SER_hh_emi_in!Q16=0,0,1000000*SER_hh_emi_in!Q16/SER_hh_num_in!Q16)</f>
        <v>39.027146286815878</v>
      </c>
      <c r="R16" s="130">
        <f>IF(SER_hh_emi_in!R16=0,0,1000000*SER_hh_emi_in!R16/SER_hh_num_in!R16)</f>
        <v>24.827532564532969</v>
      </c>
      <c r="S16" s="130">
        <f>IF(SER_hh_emi_in!S16=0,0,1000000*SER_hh_emi_in!S16/SER_hh_num_in!S16)</f>
        <v>16.017983713981081</v>
      </c>
      <c r="T16" s="130">
        <f>IF(SER_hh_emi_in!T16=0,0,1000000*SER_hh_emi_in!T16/SER_hh_num_in!T16)</f>
        <v>29.48120492127655</v>
      </c>
      <c r="U16" s="130">
        <f>IF(SER_hh_emi_in!U16=0,0,1000000*SER_hh_emi_in!U16/SER_hh_num_in!U16)</f>
        <v>32.169312950795991</v>
      </c>
      <c r="V16" s="130">
        <f>IF(SER_hh_emi_in!V16=0,0,1000000*SER_hh_emi_in!V16/SER_hh_num_in!V16)</f>
        <v>21.224652310971152</v>
      </c>
      <c r="W16" s="130">
        <f>IF(SER_hh_emi_in!W16=0,0,1000000*SER_hh_emi_in!W16/SER_hh_num_in!W16)</f>
        <v>12.922705641636384</v>
      </c>
      <c r="X16" s="130">
        <f>IF(SER_hh_emi_in!X16=0,0,1000000*SER_hh_emi_in!X16/SER_hh_num_in!X16)</f>
        <v>14.551684139390028</v>
      </c>
      <c r="Y16" s="130">
        <f>IF(SER_hh_emi_in!Y16=0,0,1000000*SER_hh_emi_in!Y16/SER_hh_num_in!Y16)</f>
        <v>16.577841322317965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4507.0141086395533</v>
      </c>
      <c r="D17" s="132">
        <f>IF(SER_hh_emi_in!D17=0,0,1000000*SER_hh_emi_in!D17/SER_hh_num_in!D17)</f>
        <v>4400.0491156670278</v>
      </c>
      <c r="E17" s="132">
        <f>IF(SER_hh_emi_in!E17=0,0,1000000*SER_hh_emi_in!E17/SER_hh_num_in!E17)</f>
        <v>5474.9198899530429</v>
      </c>
      <c r="F17" s="132">
        <f>IF(SER_hh_emi_in!F17=0,0,1000000*SER_hh_emi_in!F17/SER_hh_num_in!F17)</f>
        <v>4180.2952307028218</v>
      </c>
      <c r="G17" s="132">
        <f>IF(SER_hh_emi_in!G17=0,0,1000000*SER_hh_emi_in!G17/SER_hh_num_in!G17)</f>
        <v>4152.6405478346041</v>
      </c>
      <c r="H17" s="132">
        <f>IF(SER_hh_emi_in!H17=0,0,1000000*SER_hh_emi_in!H17/SER_hh_num_in!H17)</f>
        <v>5073.0412355364188</v>
      </c>
      <c r="I17" s="132">
        <f>IF(SER_hh_emi_in!I17=0,0,1000000*SER_hh_emi_in!I17/SER_hh_num_in!I17)</f>
        <v>3879.7537460942176</v>
      </c>
      <c r="J17" s="132">
        <f>IF(SER_hh_emi_in!J17=0,0,1000000*SER_hh_emi_in!J17/SER_hh_num_in!J17)</f>
        <v>3814.6499488451091</v>
      </c>
      <c r="K17" s="132">
        <f>IF(SER_hh_emi_in!K17=0,0,1000000*SER_hh_emi_in!K17/SER_hh_num_in!K17)</f>
        <v>3736.5241439508113</v>
      </c>
      <c r="L17" s="132">
        <f>IF(SER_hh_emi_in!L17=0,0,1000000*SER_hh_emi_in!L17/SER_hh_num_in!L17)</f>
        <v>3865.2437572514191</v>
      </c>
      <c r="M17" s="132">
        <f>IF(SER_hh_emi_in!M17=0,0,1000000*SER_hh_emi_in!M17/SER_hh_num_in!M17)</f>
        <v>3513.978641636093</v>
      </c>
      <c r="N17" s="132">
        <f>IF(SER_hh_emi_in!N17=0,0,1000000*SER_hh_emi_in!N17/SER_hh_num_in!N17)</f>
        <v>3423.0891551477603</v>
      </c>
      <c r="O17" s="132">
        <f>IF(SER_hh_emi_in!O17=0,0,1000000*SER_hh_emi_in!O17/SER_hh_num_in!O17)</f>
        <v>3328.9119440805794</v>
      </c>
      <c r="P17" s="132">
        <f>IF(SER_hh_emi_in!P17=0,0,1000000*SER_hh_emi_in!P17/SER_hh_num_in!P17)</f>
        <v>3078.6200186809842</v>
      </c>
      <c r="Q17" s="132">
        <f>IF(SER_hh_emi_in!Q17=0,0,1000000*SER_hh_emi_in!Q17/SER_hh_num_in!Q17)</f>
        <v>3344.8557128861307</v>
      </c>
      <c r="R17" s="132">
        <f>IF(SER_hh_emi_in!R17=0,0,1000000*SER_hh_emi_in!R17/SER_hh_num_in!R17)</f>
        <v>3107.3136580205514</v>
      </c>
      <c r="S17" s="132">
        <f>IF(SER_hh_emi_in!S17=0,0,1000000*SER_hh_emi_in!S17/SER_hh_num_in!S17)</f>
        <v>2801.7866224267268</v>
      </c>
      <c r="T17" s="132">
        <f>IF(SER_hh_emi_in!T17=0,0,1000000*SER_hh_emi_in!T17/SER_hh_num_in!T17)</f>
        <v>3044.6933729891252</v>
      </c>
      <c r="U17" s="132">
        <f>IF(SER_hh_emi_in!U17=0,0,1000000*SER_hh_emi_in!U17/SER_hh_num_in!U17)</f>
        <v>2782.0388178899061</v>
      </c>
      <c r="V17" s="132">
        <f>IF(SER_hh_emi_in!V17=0,0,1000000*SER_hh_emi_in!V17/SER_hh_num_in!V17)</f>
        <v>2938.8749566440551</v>
      </c>
      <c r="W17" s="132">
        <f>IF(SER_hh_emi_in!W17=0,0,1000000*SER_hh_emi_in!W17/SER_hh_num_in!W17)</f>
        <v>1960.2523953587372</v>
      </c>
      <c r="X17" s="132">
        <f>IF(SER_hh_emi_in!X17=0,0,1000000*SER_hh_emi_in!X17/SER_hh_num_in!X17)</f>
        <v>2150.029188265074</v>
      </c>
      <c r="Y17" s="132">
        <f>IF(SER_hh_emi_in!Y17=0,0,1000000*SER_hh_emi_in!Y17/SER_hh_num_in!Y17)</f>
        <v>1996.3217008118336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3169.321325197126</v>
      </c>
      <c r="D19" s="130">
        <f>IF(SER_hh_emi_in!D19=0,0,1000000*SER_hh_emi_in!D19/SER_hh_num_in!D19)</f>
        <v>2456.9883158980442</v>
      </c>
      <c r="E19" s="130">
        <f>IF(SER_hh_emi_in!E19=0,0,1000000*SER_hh_emi_in!E19/SER_hh_num_in!E19)</f>
        <v>3226.2084774351938</v>
      </c>
      <c r="F19" s="130">
        <f>IF(SER_hh_emi_in!F19=0,0,1000000*SER_hh_emi_in!F19/SER_hh_num_in!F19)</f>
        <v>3675.247986193413</v>
      </c>
      <c r="G19" s="130">
        <f>IF(SER_hh_emi_in!G19=0,0,1000000*SER_hh_emi_in!G19/SER_hh_num_in!G19)</f>
        <v>3369.4337945908301</v>
      </c>
      <c r="H19" s="130">
        <f>IF(SER_hh_emi_in!H19=0,0,1000000*SER_hh_emi_in!H19/SER_hh_num_in!H19)</f>
        <v>3092.7990425568214</v>
      </c>
      <c r="I19" s="130">
        <f>IF(SER_hh_emi_in!I19=0,0,1000000*SER_hh_emi_in!I19/SER_hh_num_in!I19)</f>
        <v>2926.5867656481391</v>
      </c>
      <c r="J19" s="130">
        <f>IF(SER_hh_emi_in!J19=0,0,1000000*SER_hh_emi_in!J19/SER_hh_num_in!J19)</f>
        <v>2763.0837378409788</v>
      </c>
      <c r="K19" s="130">
        <f>IF(SER_hh_emi_in!K19=0,0,1000000*SER_hh_emi_in!K19/SER_hh_num_in!K19)</f>
        <v>2425.5329812932282</v>
      </c>
      <c r="L19" s="130">
        <f>IF(SER_hh_emi_in!L19=0,0,1000000*SER_hh_emi_in!L19/SER_hh_num_in!L19)</f>
        <v>2770.1044848875013</v>
      </c>
      <c r="M19" s="130">
        <f>IF(SER_hh_emi_in!M19=0,0,1000000*SER_hh_emi_in!M19/SER_hh_num_in!M19)</f>
        <v>3025.2833638076554</v>
      </c>
      <c r="N19" s="130">
        <f>IF(SER_hh_emi_in!N19=0,0,1000000*SER_hh_emi_in!N19/SER_hh_num_in!N19)</f>
        <v>2944.176478761698</v>
      </c>
      <c r="O19" s="130">
        <f>IF(SER_hh_emi_in!O19=0,0,1000000*SER_hh_emi_in!O19/SER_hh_num_in!O19)</f>
        <v>2761.5315684215798</v>
      </c>
      <c r="P19" s="130">
        <f>IF(SER_hh_emi_in!P19=0,0,1000000*SER_hh_emi_in!P19/SER_hh_num_in!P19)</f>
        <v>1973.1839647922811</v>
      </c>
      <c r="Q19" s="130">
        <f>IF(SER_hh_emi_in!Q19=0,0,1000000*SER_hh_emi_in!Q19/SER_hh_num_in!Q19)</f>
        <v>2025.9470096319053</v>
      </c>
      <c r="R19" s="130">
        <f>IF(SER_hh_emi_in!R19=0,0,1000000*SER_hh_emi_in!R19/SER_hh_num_in!R19)</f>
        <v>1979.5658158789192</v>
      </c>
      <c r="S19" s="130">
        <f>IF(SER_hh_emi_in!S19=0,0,1000000*SER_hh_emi_in!S19/SER_hh_num_in!S19)</f>
        <v>2051.5605724803017</v>
      </c>
      <c r="T19" s="130">
        <f>IF(SER_hh_emi_in!T19=0,0,1000000*SER_hh_emi_in!T19/SER_hh_num_in!T19)</f>
        <v>2044.2668795382745</v>
      </c>
      <c r="U19" s="130">
        <f>IF(SER_hh_emi_in!U19=0,0,1000000*SER_hh_emi_in!U19/SER_hh_num_in!U19)</f>
        <v>2173.0815197143106</v>
      </c>
      <c r="V19" s="130">
        <f>IF(SER_hh_emi_in!V19=0,0,1000000*SER_hh_emi_in!V19/SER_hh_num_in!V19)</f>
        <v>2083.8522588437881</v>
      </c>
      <c r="W19" s="130">
        <f>IF(SER_hh_emi_in!W19=0,0,1000000*SER_hh_emi_in!W19/SER_hh_num_in!W19)</f>
        <v>1867.3284706556308</v>
      </c>
      <c r="X19" s="130">
        <f>IF(SER_hh_emi_in!X19=0,0,1000000*SER_hh_emi_in!X19/SER_hh_num_in!X19)</f>
        <v>1197.5500301886061</v>
      </c>
      <c r="Y19" s="130">
        <f>IF(SER_hh_emi_in!Y19=0,0,1000000*SER_hh_emi_in!Y19/SER_hh_num_in!Y19)</f>
        <v>1052.656373595094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4788.8606109126122</v>
      </c>
      <c r="D21" s="132">
        <f>IF(SER_hh_emi_in!D21=0,0,1000000*SER_hh_emi_in!D21/SER_hh_num_in!D21)</f>
        <v>4857.0012919983246</v>
      </c>
      <c r="E21" s="132">
        <f>IF(SER_hh_emi_in!E21=0,0,1000000*SER_hh_emi_in!E21/SER_hh_num_in!E21)</f>
        <v>4978.0269806292254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0</v>
      </c>
      <c r="I21" s="132">
        <f>IF(SER_hh_emi_in!I21=0,0,1000000*SER_hh_emi_in!I21/SER_hh_num_in!I21)</f>
        <v>0</v>
      </c>
      <c r="J21" s="132">
        <f>IF(SER_hh_emi_in!J21=0,0,1000000*SER_hh_emi_in!J21/SER_hh_num_in!J21)</f>
        <v>0</v>
      </c>
      <c r="K21" s="132">
        <f>IF(SER_hh_emi_in!K21=0,0,1000000*SER_hh_emi_in!K21/SER_hh_num_in!K21)</f>
        <v>0</v>
      </c>
      <c r="L21" s="132">
        <f>IF(SER_hh_emi_in!L21=0,0,1000000*SER_hh_emi_in!L21/SER_hh_num_in!L21)</f>
        <v>3989.2206010660711</v>
      </c>
      <c r="M21" s="132">
        <f>IF(SER_hh_emi_in!M21=0,0,1000000*SER_hh_emi_in!M21/SER_hh_num_in!M21)</f>
        <v>4183.7357110490657</v>
      </c>
      <c r="N21" s="132">
        <f>IF(SER_hh_emi_in!N21=0,0,1000000*SER_hh_emi_in!N21/SER_hh_num_in!N21)</f>
        <v>4524.613309761542</v>
      </c>
      <c r="O21" s="132">
        <f>IF(SER_hh_emi_in!O21=0,0,1000000*SER_hh_emi_in!O21/SER_hh_num_in!O21)</f>
        <v>4430.4830905212566</v>
      </c>
      <c r="P21" s="132">
        <f>IF(SER_hh_emi_in!P21=0,0,1000000*SER_hh_emi_in!P21/SER_hh_num_in!P21)</f>
        <v>3904.3701413530744</v>
      </c>
      <c r="Q21" s="132">
        <f>IF(SER_hh_emi_in!Q21=0,0,1000000*SER_hh_emi_in!Q21/SER_hh_num_in!Q21)</f>
        <v>3913.7404762820115</v>
      </c>
      <c r="R21" s="132">
        <f>IF(SER_hh_emi_in!R21=0,0,1000000*SER_hh_emi_in!R21/SER_hh_num_in!R21)</f>
        <v>3768.1451318355294</v>
      </c>
      <c r="S21" s="132">
        <f>IF(SER_hh_emi_in!S21=0,0,1000000*SER_hh_emi_in!S21/SER_hh_num_in!S21)</f>
        <v>3845.4993073798823</v>
      </c>
      <c r="T21" s="132">
        <f>IF(SER_hh_emi_in!T21=0,0,1000000*SER_hh_emi_in!T21/SER_hh_num_in!T21)</f>
        <v>3787.3143427090508</v>
      </c>
      <c r="U21" s="132">
        <f>IF(SER_hh_emi_in!U21=0,0,1000000*SER_hh_emi_in!U21/SER_hh_num_in!U21)</f>
        <v>3628.5287756881244</v>
      </c>
      <c r="V21" s="132">
        <f>IF(SER_hh_emi_in!V21=0,0,1000000*SER_hh_emi_in!V21/SER_hh_num_in!V21)</f>
        <v>2949.3126529754031</v>
      </c>
      <c r="W21" s="132">
        <f>IF(SER_hh_emi_in!W21=0,0,1000000*SER_hh_emi_in!W21/SER_hh_num_in!W21)</f>
        <v>2999.4039306438067</v>
      </c>
      <c r="X21" s="132">
        <f>IF(SER_hh_emi_in!X21=0,0,1000000*SER_hh_emi_in!X21/SER_hh_num_in!X21)</f>
        <v>4056.8713096043716</v>
      </c>
      <c r="Y21" s="132">
        <f>IF(SER_hh_emi_in!Y21=0,0,1000000*SER_hh_emi_in!Y21/SER_hh_num_in!Y21)</f>
        <v>3275.8411164470413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5934.5907475501126</v>
      </c>
      <c r="D22" s="132">
        <f>IF(SER_hh_emi_in!D22=0,0,1000000*SER_hh_emi_in!D22/SER_hh_num_in!D22)</f>
        <v>5985.0470262381004</v>
      </c>
      <c r="E22" s="132">
        <f>IF(SER_hh_emi_in!E22=0,0,1000000*SER_hh_emi_in!E22/SER_hh_num_in!E22)</f>
        <v>5977.2696671106223</v>
      </c>
      <c r="F22" s="132">
        <f>IF(SER_hh_emi_in!F22=0,0,1000000*SER_hh_emi_in!F22/SER_hh_num_in!F22)</f>
        <v>5807.5819506820899</v>
      </c>
      <c r="G22" s="132">
        <f>IF(SER_hh_emi_in!G22=0,0,1000000*SER_hh_emi_in!G22/SER_hh_num_in!G22)</f>
        <v>5703.5773458817866</v>
      </c>
      <c r="H22" s="132">
        <f>IF(SER_hh_emi_in!H22=0,0,1000000*SER_hh_emi_in!H22/SER_hh_num_in!H22)</f>
        <v>5637.9812976476205</v>
      </c>
      <c r="I22" s="132">
        <f>IF(SER_hh_emi_in!I22=0,0,1000000*SER_hh_emi_in!I22/SER_hh_num_in!I22)</f>
        <v>5572.2650355544647</v>
      </c>
      <c r="J22" s="132">
        <f>IF(SER_hh_emi_in!J22=0,0,1000000*SER_hh_emi_in!J22/SER_hh_num_in!J22)</f>
        <v>5415.9369804263952</v>
      </c>
      <c r="K22" s="132">
        <f>IF(SER_hh_emi_in!K22=0,0,1000000*SER_hh_emi_in!K22/SER_hh_num_in!K22)</f>
        <v>4546.8428998070394</v>
      </c>
      <c r="L22" s="132">
        <f>IF(SER_hh_emi_in!L22=0,0,1000000*SER_hh_emi_in!L22/SER_hh_num_in!L22)</f>
        <v>5494.7669950229347</v>
      </c>
      <c r="M22" s="132">
        <f>IF(SER_hh_emi_in!M22=0,0,1000000*SER_hh_emi_in!M22/SER_hh_num_in!M22)</f>
        <v>5501.7125775930435</v>
      </c>
      <c r="N22" s="132">
        <f>IF(SER_hh_emi_in!N22=0,0,1000000*SER_hh_emi_in!N22/SER_hh_num_in!N22)</f>
        <v>5429.4387176156552</v>
      </c>
      <c r="O22" s="132">
        <f>IF(SER_hh_emi_in!O22=0,0,1000000*SER_hh_emi_in!O22/SER_hh_num_in!O22)</f>
        <v>5271.9314055607974</v>
      </c>
      <c r="P22" s="132">
        <f>IF(SER_hh_emi_in!P22=0,0,1000000*SER_hh_emi_in!P22/SER_hh_num_in!P22)</f>
        <v>5071.2866990238081</v>
      </c>
      <c r="Q22" s="132">
        <f>IF(SER_hh_emi_in!Q22=0,0,1000000*SER_hh_emi_in!Q22/SER_hh_num_in!Q22)</f>
        <v>4917.3503729335453</v>
      </c>
      <c r="R22" s="132">
        <f>IF(SER_hh_emi_in!R22=0,0,1000000*SER_hh_emi_in!R22/SER_hh_num_in!R22)</f>
        <v>4762.3825673722822</v>
      </c>
      <c r="S22" s="132">
        <f>IF(SER_hh_emi_in!S22=0,0,1000000*SER_hh_emi_in!S22/SER_hh_num_in!S22)</f>
        <v>4748.8936841788554</v>
      </c>
      <c r="T22" s="132">
        <f>IF(SER_hh_emi_in!T22=0,0,1000000*SER_hh_emi_in!T22/SER_hh_num_in!T22)</f>
        <v>4702.8051528267024</v>
      </c>
      <c r="U22" s="132">
        <f>IF(SER_hh_emi_in!U22=0,0,1000000*SER_hh_emi_in!U22/SER_hh_num_in!U22)</f>
        <v>4006.054966382575</v>
      </c>
      <c r="V22" s="132">
        <f>IF(SER_hh_emi_in!V22=0,0,1000000*SER_hh_emi_in!V22/SER_hh_num_in!V22)</f>
        <v>3797.0622044622251</v>
      </c>
      <c r="W22" s="132">
        <f>IF(SER_hh_emi_in!W22=0,0,1000000*SER_hh_emi_in!W22/SER_hh_num_in!W22)</f>
        <v>3945.262857006247</v>
      </c>
      <c r="X22" s="132">
        <f>IF(SER_hh_emi_in!X22=0,0,1000000*SER_hh_emi_in!X22/SER_hh_num_in!X22)</f>
        <v>4194.3056716972669</v>
      </c>
      <c r="Y22" s="132">
        <f>IF(SER_hh_emi_in!Y22=0,0,1000000*SER_hh_emi_in!Y22/SER_hh_num_in!Y22)</f>
        <v>4226.8341823864694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4165.1643207016077</v>
      </c>
      <c r="D23" s="132">
        <f>IF(SER_hh_emi_in!D23=0,0,1000000*SER_hh_emi_in!D23/SER_hh_num_in!D23)</f>
        <v>4117.4364562583305</v>
      </c>
      <c r="E23" s="132">
        <f>IF(SER_hh_emi_in!E23=0,0,1000000*SER_hh_emi_in!E23/SER_hh_num_in!E23)</f>
        <v>4112.5358979638922</v>
      </c>
      <c r="F23" s="132">
        <f>IF(SER_hh_emi_in!F23=0,0,1000000*SER_hh_emi_in!F23/SER_hh_num_in!F23)</f>
        <v>3976.992048642488</v>
      </c>
      <c r="G23" s="132">
        <f>IF(SER_hh_emi_in!G23=0,0,1000000*SER_hh_emi_in!G23/SER_hh_num_in!G23)</f>
        <v>3907.8345054908878</v>
      </c>
      <c r="H23" s="132">
        <f>IF(SER_hh_emi_in!H23=0,0,1000000*SER_hh_emi_in!H23/SER_hh_num_in!H23)</f>
        <v>3807.9478108695134</v>
      </c>
      <c r="I23" s="132">
        <f>IF(SER_hh_emi_in!I23=0,0,1000000*SER_hh_emi_in!I23/SER_hh_num_in!I23)</f>
        <v>3718.9496217915894</v>
      </c>
      <c r="J23" s="132">
        <f>IF(SER_hh_emi_in!J23=0,0,1000000*SER_hh_emi_in!J23/SER_hh_num_in!J23)</f>
        <v>3674.4151458706638</v>
      </c>
      <c r="K23" s="132">
        <f>IF(SER_hh_emi_in!K23=0,0,1000000*SER_hh_emi_in!K23/SER_hh_num_in!K23)</f>
        <v>2994.3930271161998</v>
      </c>
      <c r="L23" s="132">
        <f>IF(SER_hh_emi_in!L23=0,0,1000000*SER_hh_emi_in!L23/SER_hh_num_in!L23)</f>
        <v>3683.2435584390569</v>
      </c>
      <c r="M23" s="132">
        <f>IF(SER_hh_emi_in!M23=0,0,1000000*SER_hh_emi_in!M23/SER_hh_num_in!M23)</f>
        <v>3634.9807202994607</v>
      </c>
      <c r="N23" s="132">
        <f>IF(SER_hh_emi_in!N23=0,0,1000000*SER_hh_emi_in!N23/SER_hh_num_in!N23)</f>
        <v>3623.3822791763696</v>
      </c>
      <c r="O23" s="132">
        <f>IF(SER_hh_emi_in!O23=0,0,1000000*SER_hh_emi_in!O23/SER_hh_num_in!O23)</f>
        <v>3566.6222837688383</v>
      </c>
      <c r="P23" s="132">
        <f>IF(SER_hh_emi_in!P23=0,0,1000000*SER_hh_emi_in!P23/SER_hh_num_in!P23)</f>
        <v>3385.0577784109664</v>
      </c>
      <c r="Q23" s="132">
        <f>IF(SER_hh_emi_in!Q23=0,0,1000000*SER_hh_emi_in!Q23/SER_hh_num_in!Q23)</f>
        <v>3306.191996327525</v>
      </c>
      <c r="R23" s="132">
        <f>IF(SER_hh_emi_in!R23=0,0,1000000*SER_hh_emi_in!R23/SER_hh_num_in!R23)</f>
        <v>3237.2119729247834</v>
      </c>
      <c r="S23" s="132">
        <f>IF(SER_hh_emi_in!S23=0,0,1000000*SER_hh_emi_in!S23/SER_hh_num_in!S23)</f>
        <v>3184.080455362599</v>
      </c>
      <c r="T23" s="132">
        <f>IF(SER_hh_emi_in!T23=0,0,1000000*SER_hh_emi_in!T23/SER_hh_num_in!T23)</f>
        <v>3090.405042702454</v>
      </c>
      <c r="U23" s="132">
        <f>IF(SER_hh_emi_in!U23=0,0,1000000*SER_hh_emi_in!U23/SER_hh_num_in!U23)</f>
        <v>2947.6293439690958</v>
      </c>
      <c r="V23" s="132">
        <f>IF(SER_hh_emi_in!V23=0,0,1000000*SER_hh_emi_in!V23/SER_hh_num_in!V23)</f>
        <v>2825.0687612048519</v>
      </c>
      <c r="W23" s="132">
        <f>IF(SER_hh_emi_in!W23=0,0,1000000*SER_hh_emi_in!W23/SER_hh_num_in!W23)</f>
        <v>3093.092614432871</v>
      </c>
      <c r="X23" s="132">
        <f>IF(SER_hh_emi_in!X23=0,0,1000000*SER_hh_emi_in!X23/SER_hh_num_in!X23)</f>
        <v>0</v>
      </c>
      <c r="Y23" s="132">
        <f>IF(SER_hh_emi_in!Y23=0,0,1000000*SER_hh_emi_in!Y23/SER_hh_num_in!Y23)</f>
        <v>2067.897297225511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1714.8608131282322</v>
      </c>
      <c r="D29" s="130">
        <f>IF(SER_hh_emi_in!D29=0,0,1000000*SER_hh_emi_in!D29/SER_hh_num_in!D29)</f>
        <v>838.40923308572201</v>
      </c>
      <c r="E29" s="130">
        <f>IF(SER_hh_emi_in!E29=0,0,1000000*SER_hh_emi_in!E29/SER_hh_num_in!E29)</f>
        <v>1241.6500471643897</v>
      </c>
      <c r="F29" s="130">
        <f>IF(SER_hh_emi_in!F29=0,0,1000000*SER_hh_emi_in!F29/SER_hh_num_in!F29)</f>
        <v>1693.2309122402032</v>
      </c>
      <c r="G29" s="130">
        <f>IF(SER_hh_emi_in!G29=0,0,1000000*SER_hh_emi_in!G29/SER_hh_num_in!G29)</f>
        <v>1342.741917174169</v>
      </c>
      <c r="H29" s="130">
        <f>IF(SER_hh_emi_in!H29=0,0,1000000*SER_hh_emi_in!H29/SER_hh_num_in!H29)</f>
        <v>1570.7250235067731</v>
      </c>
      <c r="I29" s="130">
        <f>IF(SER_hh_emi_in!I29=0,0,1000000*SER_hh_emi_in!I29/SER_hh_num_in!I29)</f>
        <v>1472.924796642586</v>
      </c>
      <c r="J29" s="130">
        <f>IF(SER_hh_emi_in!J29=0,0,1000000*SER_hh_emi_in!J29/SER_hh_num_in!J29)</f>
        <v>1920.4649485821519</v>
      </c>
      <c r="K29" s="130">
        <f>IF(SER_hh_emi_in!K29=0,0,1000000*SER_hh_emi_in!K29/SER_hh_num_in!K29)</f>
        <v>2414.5212769588361</v>
      </c>
      <c r="L29" s="130">
        <f>IF(SER_hh_emi_in!L29=0,0,1000000*SER_hh_emi_in!L29/SER_hh_num_in!L29)</f>
        <v>1988.2986450217725</v>
      </c>
      <c r="M29" s="130">
        <f>IF(SER_hh_emi_in!M29=0,0,1000000*SER_hh_emi_in!M29/SER_hh_num_in!M29)</f>
        <v>1170.195905772895</v>
      </c>
      <c r="N29" s="130">
        <f>IF(SER_hh_emi_in!N29=0,0,1000000*SER_hh_emi_in!N29/SER_hh_num_in!N29)</f>
        <v>1289.3684830897494</v>
      </c>
      <c r="O29" s="130">
        <f>IF(SER_hh_emi_in!O29=0,0,1000000*SER_hh_emi_in!O29/SER_hh_num_in!O29)</f>
        <v>1372.8296564097313</v>
      </c>
      <c r="P29" s="130">
        <f>IF(SER_hh_emi_in!P29=0,0,1000000*SER_hh_emi_in!P29/SER_hh_num_in!P29)</f>
        <v>1126.8162926287559</v>
      </c>
      <c r="Q29" s="130">
        <f>IF(SER_hh_emi_in!Q29=0,0,1000000*SER_hh_emi_in!Q29/SER_hh_num_in!Q29)</f>
        <v>1614.9453152563833</v>
      </c>
      <c r="R29" s="130">
        <f>IF(SER_hh_emi_in!R29=0,0,1000000*SER_hh_emi_in!R29/SER_hh_num_in!R29)</f>
        <v>1535.3644582112331</v>
      </c>
      <c r="S29" s="130">
        <f>IF(SER_hh_emi_in!S29=0,0,1000000*SER_hh_emi_in!S29/SER_hh_num_in!S29)</f>
        <v>1756.4634594752092</v>
      </c>
      <c r="T29" s="130">
        <f>IF(SER_hh_emi_in!T29=0,0,1000000*SER_hh_emi_in!T29/SER_hh_num_in!T29)</f>
        <v>1858.4219241023955</v>
      </c>
      <c r="U29" s="130">
        <f>IF(SER_hh_emi_in!U29=0,0,1000000*SER_hh_emi_in!U29/SER_hh_num_in!U29)</f>
        <v>1918.666807231024</v>
      </c>
      <c r="V29" s="130">
        <f>IF(SER_hh_emi_in!V29=0,0,1000000*SER_hh_emi_in!V29/SER_hh_num_in!V29)</f>
        <v>1811.7067934714175</v>
      </c>
      <c r="W29" s="130">
        <f>IF(SER_hh_emi_in!W29=0,0,1000000*SER_hh_emi_in!W29/SER_hh_num_in!W29)</f>
        <v>1212.5274848469287</v>
      </c>
      <c r="X29" s="130">
        <f>IF(SER_hh_emi_in!X29=0,0,1000000*SER_hh_emi_in!X29/SER_hh_num_in!X29)</f>
        <v>1191.570976652471</v>
      </c>
      <c r="Y29" s="130">
        <f>IF(SER_hh_emi_in!Y29=0,0,1000000*SER_hh_emi_in!Y29/SER_hh_num_in!Y29)</f>
        <v>1004.1725125434469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3990.7599427933965</v>
      </c>
      <c r="D30" s="132">
        <f>IF(SER_hh_emi_in!D30=0,0,1000000*SER_hh_emi_in!D30/SER_hh_num_in!D30)</f>
        <v>0</v>
      </c>
      <c r="E30" s="132">
        <f>IF(SER_hh_emi_in!E30=0,0,1000000*SER_hh_emi_in!E30/SER_hh_num_in!E30)</f>
        <v>0</v>
      </c>
      <c r="F30" s="132">
        <f>IF(SER_hh_emi_in!F30=0,0,1000000*SER_hh_emi_in!F30/SER_hh_num_in!F30)</f>
        <v>0</v>
      </c>
      <c r="G30" s="132">
        <f>IF(SER_hh_emi_in!G30=0,0,1000000*SER_hh_emi_in!G30/SER_hh_num_in!G30)</f>
        <v>0</v>
      </c>
      <c r="H30" s="132">
        <f>IF(SER_hh_emi_in!H30=0,0,1000000*SER_hh_emi_in!H30/SER_hh_num_in!H30)</f>
        <v>0</v>
      </c>
      <c r="I30" s="132">
        <f>IF(SER_hh_emi_in!I30=0,0,1000000*SER_hh_emi_in!I30/SER_hh_num_in!I30)</f>
        <v>0</v>
      </c>
      <c r="J30" s="132">
        <f>IF(SER_hh_emi_in!J30=0,0,1000000*SER_hh_emi_in!J30/SER_hh_num_in!J30)</f>
        <v>4209.323863155093</v>
      </c>
      <c r="K30" s="132">
        <f>IF(SER_hh_emi_in!K30=0,0,1000000*SER_hh_emi_in!K30/SER_hh_num_in!K30)</f>
        <v>4099.2847479748216</v>
      </c>
      <c r="L30" s="132">
        <f>IF(SER_hh_emi_in!L30=0,0,1000000*SER_hh_emi_in!L30/SER_hh_num_in!L30)</f>
        <v>4941.8105633736241</v>
      </c>
      <c r="M30" s="132">
        <f>IF(SER_hh_emi_in!M30=0,0,1000000*SER_hh_emi_in!M30/SER_hh_num_in!M30)</f>
        <v>0</v>
      </c>
      <c r="N30" s="132">
        <f>IF(SER_hh_emi_in!N30=0,0,1000000*SER_hh_emi_in!N30/SER_hh_num_in!N30)</f>
        <v>0</v>
      </c>
      <c r="O30" s="132">
        <f>IF(SER_hh_emi_in!O30=0,0,1000000*SER_hh_emi_in!O30/SER_hh_num_in!O30)</f>
        <v>4619.4100752545255</v>
      </c>
      <c r="P30" s="132">
        <f>IF(SER_hh_emi_in!P30=0,0,1000000*SER_hh_emi_in!P30/SER_hh_num_in!P30)</f>
        <v>0</v>
      </c>
      <c r="Q30" s="132">
        <f>IF(SER_hh_emi_in!Q30=0,0,1000000*SER_hh_emi_in!Q30/SER_hh_num_in!Q30)</f>
        <v>5690.0333147936462</v>
      </c>
      <c r="R30" s="132">
        <f>IF(SER_hh_emi_in!R30=0,0,1000000*SER_hh_emi_in!R30/SER_hh_num_in!R30)</f>
        <v>4341.0060651011072</v>
      </c>
      <c r="S30" s="132">
        <f>IF(SER_hh_emi_in!S30=0,0,1000000*SER_hh_emi_in!S30/SER_hh_num_in!S30)</f>
        <v>4857.2030633096065</v>
      </c>
      <c r="T30" s="132">
        <f>IF(SER_hh_emi_in!T30=0,0,1000000*SER_hh_emi_in!T30/SER_hh_num_in!T30)</f>
        <v>4527.0634327825364</v>
      </c>
      <c r="U30" s="132">
        <f>IF(SER_hh_emi_in!U30=0,0,1000000*SER_hh_emi_in!U30/SER_hh_num_in!U30)</f>
        <v>4387.4810024307026</v>
      </c>
      <c r="V30" s="132">
        <f>IF(SER_hh_emi_in!V30=0,0,1000000*SER_hh_emi_in!V30/SER_hh_num_in!V30)</f>
        <v>4876.0577290175524</v>
      </c>
      <c r="W30" s="132">
        <f>IF(SER_hh_emi_in!W30=0,0,1000000*SER_hh_emi_in!W30/SER_hh_num_in!W30)</f>
        <v>5234.4700187338049</v>
      </c>
      <c r="X30" s="132">
        <f>IF(SER_hh_emi_in!X30=0,0,1000000*SER_hh_emi_in!X30/SER_hh_num_in!X30)</f>
        <v>0</v>
      </c>
      <c r="Y30" s="132">
        <f>IF(SER_hh_emi_in!Y30=0,0,1000000*SER_hh_emi_in!Y30/SER_hh_num_in!Y30)</f>
        <v>0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3279.7951000078274</v>
      </c>
      <c r="D31" s="132">
        <f>IF(SER_hh_emi_in!D31=0,0,1000000*SER_hh_emi_in!D31/SER_hh_num_in!D31)</f>
        <v>3392.3577393292385</v>
      </c>
      <c r="E31" s="132">
        <f>IF(SER_hh_emi_in!E31=0,0,1000000*SER_hh_emi_in!E31/SER_hh_num_in!E31)</f>
        <v>3458.4548377576789</v>
      </c>
      <c r="F31" s="132">
        <f>IF(SER_hh_emi_in!F31=0,0,1000000*SER_hh_emi_in!F31/SER_hh_num_in!F31)</f>
        <v>3422.2229485062003</v>
      </c>
      <c r="G31" s="132">
        <f>IF(SER_hh_emi_in!G31=0,0,1000000*SER_hh_emi_in!G31/SER_hh_num_in!G31)</f>
        <v>3451.9498436086865</v>
      </c>
      <c r="H31" s="132">
        <f>IF(SER_hh_emi_in!H31=0,0,1000000*SER_hh_emi_in!H31/SER_hh_num_in!H31)</f>
        <v>3453.3701769926952</v>
      </c>
      <c r="I31" s="132">
        <f>IF(SER_hh_emi_in!I31=0,0,1000000*SER_hh_emi_in!I31/SER_hh_num_in!I31)</f>
        <v>3519.5722059631994</v>
      </c>
      <c r="J31" s="132">
        <f>IF(SER_hh_emi_in!J31=0,0,1000000*SER_hh_emi_in!J31/SER_hh_num_in!J31)</f>
        <v>3594.4351997740673</v>
      </c>
      <c r="K31" s="132">
        <f>IF(SER_hh_emi_in!K31=0,0,1000000*SER_hh_emi_in!K31/SER_hh_num_in!K31)</f>
        <v>3629.6309653750022</v>
      </c>
      <c r="L31" s="132">
        <f>IF(SER_hh_emi_in!L31=0,0,1000000*SER_hh_emi_in!L31/SER_hh_num_in!L31)</f>
        <v>3658.1221498926216</v>
      </c>
      <c r="M31" s="132">
        <f>IF(SER_hh_emi_in!M31=0,0,1000000*SER_hh_emi_in!M31/SER_hh_num_in!M31)</f>
        <v>3697.5166733551591</v>
      </c>
      <c r="N31" s="132">
        <f>IF(SER_hh_emi_in!N31=0,0,1000000*SER_hh_emi_in!N31/SER_hh_num_in!N31)</f>
        <v>3797.1390534495363</v>
      </c>
      <c r="O31" s="132">
        <f>IF(SER_hh_emi_in!O31=0,0,1000000*SER_hh_emi_in!O31/SER_hh_num_in!O31)</f>
        <v>3878.2769754225455</v>
      </c>
      <c r="P31" s="132">
        <f>IF(SER_hh_emi_in!P31=0,0,1000000*SER_hh_emi_in!P31/SER_hh_num_in!P31)</f>
        <v>3931.5362788461439</v>
      </c>
      <c r="Q31" s="132">
        <f>IF(SER_hh_emi_in!Q31=0,0,1000000*SER_hh_emi_in!Q31/SER_hh_num_in!Q31)</f>
        <v>4045.3432076910785</v>
      </c>
      <c r="R31" s="132">
        <f>IF(SER_hh_emi_in!R31=0,0,1000000*SER_hh_emi_in!R31/SER_hh_num_in!R31)</f>
        <v>4113.5280780575731</v>
      </c>
      <c r="S31" s="132">
        <f>IF(SER_hh_emi_in!S31=0,0,1000000*SER_hh_emi_in!S31/SER_hh_num_in!S31)</f>
        <v>4120.6653733061803</v>
      </c>
      <c r="T31" s="132">
        <f>IF(SER_hh_emi_in!T31=0,0,1000000*SER_hh_emi_in!T31/SER_hh_num_in!T31)</f>
        <v>4105.2199248712323</v>
      </c>
      <c r="U31" s="132">
        <f>IF(SER_hh_emi_in!U31=0,0,1000000*SER_hh_emi_in!U31/SER_hh_num_in!U31)</f>
        <v>4077.7998124587689</v>
      </c>
      <c r="V31" s="132">
        <f>IF(SER_hh_emi_in!V31=0,0,1000000*SER_hh_emi_in!V31/SER_hh_num_in!V31)</f>
        <v>3934.1617384316173</v>
      </c>
      <c r="W31" s="132">
        <f>IF(SER_hh_emi_in!W31=0,0,1000000*SER_hh_emi_in!W31/SER_hh_num_in!W31)</f>
        <v>3780.4430342667579</v>
      </c>
      <c r="X31" s="132">
        <f>IF(SER_hh_emi_in!X31=0,0,1000000*SER_hh_emi_in!X31/SER_hh_num_in!X31)</f>
        <v>4146.5965978337063</v>
      </c>
      <c r="Y31" s="132">
        <f>IF(SER_hh_emi_in!Y31=0,0,1000000*SER_hh_emi_in!Y31/SER_hh_num_in!Y31)</f>
        <v>3924.5347798511921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5715.912580784493</v>
      </c>
      <c r="P32" s="132">
        <f>IF(SER_hh_emi_in!P32=0,0,1000000*SER_hh_emi_in!P32/SER_hh_num_in!P32)</f>
        <v>5801.4687442170462</v>
      </c>
      <c r="Q32" s="132">
        <f>IF(SER_hh_emi_in!Q32=0,0,1000000*SER_hh_emi_in!Q32/SER_hh_num_in!Q32)</f>
        <v>6636.502671222308</v>
      </c>
      <c r="R32" s="132">
        <f>IF(SER_hh_emi_in!R32=0,0,1000000*SER_hh_emi_in!R32/SER_hh_num_in!R32)</f>
        <v>6351.1150538506718</v>
      </c>
      <c r="S32" s="132">
        <f>IF(SER_hh_emi_in!S32=0,0,1000000*SER_hh_emi_in!S32/SER_hh_num_in!S32)</f>
        <v>6095.2790173192661</v>
      </c>
      <c r="T32" s="132">
        <f>IF(SER_hh_emi_in!T32=0,0,1000000*SER_hh_emi_in!T32/SER_hh_num_in!T32)</f>
        <v>6253.1650878464179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4775.4553014460771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188.14101048502658</v>
      </c>
      <c r="D3" s="125">
        <f>IF(SER_hh_fech_in!D3=0,0,SER_hh_fech_in!D3/SER_summary!D$27)</f>
        <v>192.49867789631432</v>
      </c>
      <c r="E3" s="125">
        <f>IF(SER_hh_fech_in!E3=0,0,SER_hh_fech_in!E3/SER_summary!E$27)</f>
        <v>179.83250361089168</v>
      </c>
      <c r="F3" s="125">
        <f>IF(SER_hh_fech_in!F3=0,0,SER_hh_fech_in!F3/SER_summary!F$27)</f>
        <v>234.36392628486027</v>
      </c>
      <c r="G3" s="125">
        <f>IF(SER_hh_fech_in!G3=0,0,SER_hh_fech_in!G3/SER_summary!G$27)</f>
        <v>199.54869718116072</v>
      </c>
      <c r="H3" s="125">
        <f>IF(SER_hh_fech_in!H3=0,0,SER_hh_fech_in!H3/SER_summary!H$27)</f>
        <v>186.05927236101147</v>
      </c>
      <c r="I3" s="125">
        <f>IF(SER_hh_fech_in!I3=0,0,SER_hh_fech_in!I3/SER_summary!I$27)</f>
        <v>177.53644551095505</v>
      </c>
      <c r="J3" s="125">
        <f>IF(SER_hh_fech_in!J3=0,0,SER_hh_fech_in!J3/SER_summary!J$27)</f>
        <v>197.65281600321376</v>
      </c>
      <c r="K3" s="125">
        <f>IF(SER_hh_fech_in!K3=0,0,SER_hh_fech_in!K3/SER_summary!K$27)</f>
        <v>189.22851354086498</v>
      </c>
      <c r="L3" s="125">
        <f>IF(SER_hh_fech_in!L3=0,0,SER_hh_fech_in!L3/SER_summary!L$27)</f>
        <v>196.29822351847415</v>
      </c>
      <c r="M3" s="125">
        <f>IF(SER_hh_fech_in!M3=0,0,SER_hh_fech_in!M3/SER_summary!M$27)</f>
        <v>155.41755012205374</v>
      </c>
      <c r="N3" s="125">
        <f>IF(SER_hh_fech_in!N3=0,0,SER_hh_fech_in!N3/SER_summary!N$27)</f>
        <v>158.84324971213624</v>
      </c>
      <c r="O3" s="125">
        <f>IF(SER_hh_fech_in!O3=0,0,SER_hh_fech_in!O3/SER_summary!O$27)</f>
        <v>161.3164863309523</v>
      </c>
      <c r="P3" s="125">
        <f>IF(SER_hh_fech_in!P3=0,0,SER_hh_fech_in!P3/SER_summary!P$27)</f>
        <v>128.1529490472667</v>
      </c>
      <c r="Q3" s="125">
        <f>IF(SER_hh_fech_in!Q3=0,0,SER_hh_fech_in!Q3/SER_summary!Q$27)</f>
        <v>132.90187692262131</v>
      </c>
      <c r="R3" s="125">
        <f>IF(SER_hh_fech_in!R3=0,0,SER_hh_fech_in!R3/SER_summary!R$27)</f>
        <v>124.21757933969756</v>
      </c>
      <c r="S3" s="125">
        <f>IF(SER_hh_fech_in!S3=0,0,SER_hh_fech_in!S3/SER_summary!S$27)</f>
        <v>117.70326213129205</v>
      </c>
      <c r="T3" s="125">
        <f>IF(SER_hh_fech_in!T3=0,0,SER_hh_fech_in!T3/SER_summary!T$27)</f>
        <v>111.72522603780104</v>
      </c>
      <c r="U3" s="125">
        <f>IF(SER_hh_fech_in!U3=0,0,SER_hh_fech_in!U3/SER_summary!U$27)</f>
        <v>102.51370655172336</v>
      </c>
      <c r="V3" s="125">
        <f>IF(SER_hh_fech_in!V3=0,0,SER_hh_fech_in!V3/SER_summary!V$27)</f>
        <v>91.734421178259026</v>
      </c>
      <c r="W3" s="125">
        <f>IF(SER_hh_fech_in!W3=0,0,SER_hh_fech_in!W3/SER_summary!W$27)</f>
        <v>88.9786535798671</v>
      </c>
      <c r="X3" s="125">
        <f>IF(SER_hh_fech_in!X3=0,0,SER_hh_fech_in!X3/SER_summary!X$27)</f>
        <v>73.194772727940261</v>
      </c>
      <c r="Y3" s="125">
        <f>IF(SER_hh_fech_in!Y3=0,0,SER_hh_fech_in!Y3/SER_summary!Y$27)</f>
        <v>72.615081130048992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138.75804402484147</v>
      </c>
      <c r="D4" s="130">
        <f>IF(SER_hh_fech_in!D4=0,0,SER_hh_fech_in!D4/SER_summary!D$27)</f>
        <v>146.28620453604302</v>
      </c>
      <c r="E4" s="130">
        <f>IF(SER_hh_fech_in!E4=0,0,SER_hh_fech_in!E4/SER_summary!E$27)</f>
        <v>126.41801280949376</v>
      </c>
      <c r="F4" s="130">
        <f>IF(SER_hh_fech_in!F4=0,0,SER_hh_fech_in!F4/SER_summary!F$27)</f>
        <v>186.95781435409566</v>
      </c>
      <c r="G4" s="130">
        <f>IF(SER_hh_fech_in!G4=0,0,SER_hh_fech_in!G4/SER_summary!G$27)</f>
        <v>152.1620995344235</v>
      </c>
      <c r="H4" s="130">
        <f>IF(SER_hh_fech_in!H4=0,0,SER_hh_fech_in!H4/SER_summary!H$27)</f>
        <v>137.08762992287296</v>
      </c>
      <c r="I4" s="130">
        <f>IF(SER_hh_fech_in!I4=0,0,SER_hh_fech_in!I4/SER_summary!I$27)</f>
        <v>131.84388297630946</v>
      </c>
      <c r="J4" s="130">
        <f>IF(SER_hh_fech_in!J4=0,0,SER_hh_fech_in!J4/SER_summary!J$27)</f>
        <v>151.71863990789316</v>
      </c>
      <c r="K4" s="130">
        <f>IF(SER_hh_fech_in!K4=0,0,SER_hh_fech_in!K4/SER_summary!K$27)</f>
        <v>144.02851038350562</v>
      </c>
      <c r="L4" s="130">
        <f>IF(SER_hh_fech_in!L4=0,0,SER_hh_fech_in!L4/SER_summary!L$27)</f>
        <v>149.90553445786142</v>
      </c>
      <c r="M4" s="130">
        <f>IF(SER_hh_fech_in!M4=0,0,SER_hh_fech_in!M4/SER_summary!M$27)</f>
        <v>111.0516599890599</v>
      </c>
      <c r="N4" s="130">
        <f>IF(SER_hh_fech_in!N4=0,0,SER_hh_fech_in!N4/SER_summary!N$27)</f>
        <v>114.24996621334111</v>
      </c>
      <c r="O4" s="130">
        <f>IF(SER_hh_fech_in!O4=0,0,SER_hh_fech_in!O4/SER_summary!O$27)</f>
        <v>117.30430519135344</v>
      </c>
      <c r="P4" s="130">
        <f>IF(SER_hh_fech_in!P4=0,0,SER_hh_fech_in!P4/SER_summary!P$27)</f>
        <v>85.316975904191509</v>
      </c>
      <c r="Q4" s="130">
        <f>IF(SER_hh_fech_in!Q4=0,0,SER_hh_fech_in!Q4/SER_summary!Q$27)</f>
        <v>89.496124134144708</v>
      </c>
      <c r="R4" s="130">
        <f>IF(SER_hh_fech_in!R4=0,0,SER_hh_fech_in!R4/SER_summary!R$27)</f>
        <v>81.565116755337499</v>
      </c>
      <c r="S4" s="130">
        <f>IF(SER_hh_fech_in!S4=0,0,SER_hh_fech_in!S4/SER_summary!S$27)</f>
        <v>75.502989334577038</v>
      </c>
      <c r="T4" s="130">
        <f>IF(SER_hh_fech_in!T4=0,0,SER_hh_fech_in!T4/SER_summary!T$27)</f>
        <v>69.337300597912815</v>
      </c>
      <c r="U4" s="130">
        <f>IF(SER_hh_fech_in!U4=0,0,SER_hh_fech_in!U4/SER_summary!U$27)</f>
        <v>62.082257427608418</v>
      </c>
      <c r="V4" s="130">
        <f>IF(SER_hh_fech_in!V4=0,0,SER_hh_fech_in!V4/SER_summary!V$27)</f>
        <v>53.186182990345308</v>
      </c>
      <c r="W4" s="130">
        <f>IF(SER_hh_fech_in!W4=0,0,SER_hh_fech_in!W4/SER_summary!W$27)</f>
        <v>52.118462460424816</v>
      </c>
      <c r="X4" s="130">
        <f>IF(SER_hh_fech_in!X4=0,0,SER_hh_fech_in!X4/SER_summary!X$27)</f>
        <v>35.862349797351825</v>
      </c>
      <c r="Y4" s="130">
        <f>IF(SER_hh_fech_in!Y4=0,0,SER_hh_fech_in!Y4/SER_summary!Y$27)</f>
        <v>35.327952468415042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0</v>
      </c>
      <c r="D5" s="132">
        <f>IF(SER_hh_fech_in!D5=0,0,SER_hh_fech_in!D5/SER_summary!D$27)</f>
        <v>0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0</v>
      </c>
      <c r="N5" s="132">
        <f>IF(SER_hh_fech_in!N5=0,0,SER_hh_fech_in!N5/SER_summary!N$27)</f>
        <v>0</v>
      </c>
      <c r="O5" s="132">
        <f>IF(SER_hh_fech_in!O5=0,0,SER_hh_fech_in!O5/SER_summary!O$27)</f>
        <v>0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135.44634056804949</v>
      </c>
      <c r="D7" s="132">
        <f>IF(SER_hh_fech_in!D7=0,0,SER_hh_fech_in!D7/SER_summary!D$27)</f>
        <v>171.61421022616145</v>
      </c>
      <c r="E7" s="132">
        <f>IF(SER_hh_fech_in!E7=0,0,SER_hh_fech_in!E7/SER_summary!E$27)</f>
        <v>192.98373241559671</v>
      </c>
      <c r="F7" s="132">
        <f>IF(SER_hh_fech_in!F7=0,0,SER_hh_fech_in!F7/SER_summary!F$27)</f>
        <v>187.17677325309768</v>
      </c>
      <c r="G7" s="132">
        <f>IF(SER_hh_fech_in!G7=0,0,SER_hh_fech_in!G7/SER_summary!G$27)</f>
        <v>187.95641538163807</v>
      </c>
      <c r="H7" s="132">
        <f>IF(SER_hh_fech_in!H7=0,0,SER_hh_fech_in!H7/SER_summary!H$27)</f>
        <v>162.31121576535693</v>
      </c>
      <c r="I7" s="132">
        <f>IF(SER_hh_fech_in!I7=0,0,SER_hh_fech_in!I7/SER_summary!I$27)</f>
        <v>137.4940906848274</v>
      </c>
      <c r="J7" s="132">
        <f>IF(SER_hh_fech_in!J7=0,0,SER_hh_fech_in!J7/SER_summary!J$27)</f>
        <v>171.67248335276082</v>
      </c>
      <c r="K7" s="132">
        <f>IF(SER_hh_fech_in!K7=0,0,SER_hh_fech_in!K7/SER_summary!K$27)</f>
        <v>138.78316500749975</v>
      </c>
      <c r="L7" s="132">
        <f>IF(SER_hh_fech_in!L7=0,0,SER_hh_fech_in!L7/SER_summary!L$27)</f>
        <v>153.51584460909149</v>
      </c>
      <c r="M7" s="132">
        <f>IF(SER_hh_fech_in!M7=0,0,SER_hh_fech_in!M7/SER_summary!M$27)</f>
        <v>123.19220534531065</v>
      </c>
      <c r="N7" s="132">
        <f>IF(SER_hh_fech_in!N7=0,0,SER_hh_fech_in!N7/SER_summary!N$27)</f>
        <v>117.61128660961357</v>
      </c>
      <c r="O7" s="132">
        <f>IF(SER_hh_fech_in!O7=0,0,SER_hh_fech_in!O7/SER_summary!O$27)</f>
        <v>121.73591889957095</v>
      </c>
      <c r="P7" s="132">
        <f>IF(SER_hh_fech_in!P7=0,0,SER_hh_fech_in!P7/SER_summary!P$27)</f>
        <v>85.917313667953678</v>
      </c>
      <c r="Q7" s="132">
        <f>IF(SER_hh_fech_in!Q7=0,0,SER_hh_fech_in!Q7/SER_summary!Q$27)</f>
        <v>96.660273081639545</v>
      </c>
      <c r="R7" s="132">
        <f>IF(SER_hh_fech_in!R7=0,0,SER_hh_fech_in!R7/SER_summary!R$27)</f>
        <v>85.565782773509085</v>
      </c>
      <c r="S7" s="132">
        <f>IF(SER_hh_fech_in!S7=0,0,SER_hh_fech_in!S7/SER_summary!S$27)</f>
        <v>85.248230970726709</v>
      </c>
      <c r="T7" s="132">
        <f>IF(SER_hh_fech_in!T7=0,0,SER_hh_fech_in!T7/SER_summary!T$27)</f>
        <v>83.244476747218798</v>
      </c>
      <c r="U7" s="132">
        <f>IF(SER_hh_fech_in!U7=0,0,SER_hh_fech_in!U7/SER_summary!U$27)</f>
        <v>0</v>
      </c>
      <c r="V7" s="132">
        <f>IF(SER_hh_fech_in!V7=0,0,SER_hh_fech_in!V7/SER_summary!V$27)</f>
        <v>71.993980852136232</v>
      </c>
      <c r="W7" s="132">
        <f>IF(SER_hh_fech_in!W7=0,0,SER_hh_fech_in!W7/SER_summary!W$27)</f>
        <v>54.510340492390583</v>
      </c>
      <c r="X7" s="132">
        <f>IF(SER_hh_fech_in!X7=0,0,SER_hh_fech_in!X7/SER_summary!X$27)</f>
        <v>40.009004531166028</v>
      </c>
      <c r="Y7" s="132">
        <f>IF(SER_hh_fech_in!Y7=0,0,SER_hh_fech_in!Y7/SER_summary!Y$27)</f>
        <v>41.86269837706557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42.260203421537824</v>
      </c>
      <c r="D8" s="132">
        <f>IF(SER_hh_fech_in!D8=0,0,SER_hh_fech_in!D8/SER_summary!D$27)</f>
        <v>41.062577463960459</v>
      </c>
      <c r="E8" s="132">
        <f>IF(SER_hh_fech_in!E8=0,0,SER_hh_fech_in!E8/SER_summary!E$27)</f>
        <v>39.933314101733998</v>
      </c>
      <c r="F8" s="132">
        <f>IF(SER_hh_fech_in!F8=0,0,SER_hh_fech_in!F8/SER_summary!F$27)</f>
        <v>45.073515526274385</v>
      </c>
      <c r="G8" s="132">
        <f>IF(SER_hh_fech_in!G8=0,0,SER_hh_fech_in!G8/SER_summary!G$27)</f>
        <v>41.674045091253475</v>
      </c>
      <c r="H8" s="132">
        <f>IF(SER_hh_fech_in!H8=0,0,SER_hh_fech_in!H8/SER_summary!H$27)</f>
        <v>39.791143875937777</v>
      </c>
      <c r="I8" s="132">
        <f>IF(SER_hh_fech_in!I8=0,0,SER_hh_fech_in!I8/SER_summary!I$27)</f>
        <v>33.295419901011506</v>
      </c>
      <c r="J8" s="132">
        <f>IF(SER_hh_fech_in!J8=0,0,SER_hh_fech_in!J8/SER_summary!J$27)</f>
        <v>34.225346095092007</v>
      </c>
      <c r="K8" s="132">
        <f>IF(SER_hh_fech_in!K8=0,0,SER_hh_fech_in!K8/SER_summary!K$27)</f>
        <v>32.889049333659926</v>
      </c>
      <c r="L8" s="132">
        <f>IF(SER_hh_fech_in!L8=0,0,SER_hh_fech_in!L8/SER_summary!L$27)</f>
        <v>31.045878468764187</v>
      </c>
      <c r="M8" s="132">
        <f>IF(SER_hh_fech_in!M8=0,0,SER_hh_fech_in!M8/SER_summary!M$27)</f>
        <v>23.793875129841414</v>
      </c>
      <c r="N8" s="132">
        <f>IF(SER_hh_fech_in!N8=0,0,SER_hh_fech_in!N8/SER_summary!N$27)</f>
        <v>24.162477096816648</v>
      </c>
      <c r="O8" s="132">
        <f>IF(SER_hh_fech_in!O8=0,0,SER_hh_fech_in!O8/SER_summary!O$27)</f>
        <v>24.388944806285355</v>
      </c>
      <c r="P8" s="132">
        <f>IF(SER_hh_fech_in!P8=0,0,SER_hh_fech_in!P8/SER_summary!P$27)</f>
        <v>16.955625300343904</v>
      </c>
      <c r="Q8" s="132">
        <f>IF(SER_hh_fech_in!Q8=0,0,SER_hh_fech_in!Q8/SER_summary!Q$27)</f>
        <v>17.585704823700112</v>
      </c>
      <c r="R8" s="132">
        <f>IF(SER_hh_fech_in!R8=0,0,SER_hh_fech_in!R8/SER_summary!R$27)</f>
        <v>16.651949980349453</v>
      </c>
      <c r="S8" s="132">
        <f>IF(SER_hh_fech_in!S8=0,0,SER_hh_fech_in!S8/SER_summary!S$27)</f>
        <v>14.875999028405323</v>
      </c>
      <c r="T8" s="132">
        <f>IF(SER_hh_fech_in!T8=0,0,SER_hh_fech_in!T8/SER_summary!T$27)</f>
        <v>13.76997164274948</v>
      </c>
      <c r="U8" s="132">
        <f>IF(SER_hh_fech_in!U8=0,0,SER_hh_fech_in!U8/SER_summary!U$27)</f>
        <v>12.613749323430305</v>
      </c>
      <c r="V8" s="132">
        <f>IF(SER_hh_fech_in!V8=0,0,SER_hh_fech_in!V8/SER_summary!V$27)</f>
        <v>10.572938221493709</v>
      </c>
      <c r="W8" s="132">
        <f>IF(SER_hh_fech_in!W8=0,0,SER_hh_fech_in!W8/SER_summary!W$27)</f>
        <v>8.5952424728105488</v>
      </c>
      <c r="X8" s="132">
        <f>IF(SER_hh_fech_in!X8=0,0,SER_hh_fech_in!X8/SER_summary!X$27)</f>
        <v>7.9835728883599302</v>
      </c>
      <c r="Y8" s="132">
        <f>IF(SER_hh_fech_in!Y8=0,0,SER_hh_fech_in!Y8/SER_summary!Y$27)</f>
        <v>8.0673172661004369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145.19751072109955</v>
      </c>
      <c r="D9" s="132">
        <f>IF(SER_hh_fech_in!D9=0,0,SER_hh_fech_in!D9/SER_summary!D$27)</f>
        <v>133.20398795683354</v>
      </c>
      <c r="E9" s="132">
        <f>IF(SER_hh_fech_in!E9=0,0,SER_hh_fech_in!E9/SER_summary!E$27)</f>
        <v>138.44026612244951</v>
      </c>
      <c r="F9" s="132">
        <f>IF(SER_hh_fech_in!F9=0,0,SER_hh_fech_in!F9/SER_summary!F$27)</f>
        <v>0</v>
      </c>
      <c r="G9" s="132">
        <f>IF(SER_hh_fech_in!G9=0,0,SER_hh_fech_in!G9/SER_summary!G$27)</f>
        <v>0</v>
      </c>
      <c r="H9" s="132">
        <f>IF(SER_hh_fech_in!H9=0,0,SER_hh_fech_in!H9/SER_summary!H$27)</f>
        <v>152.72388835875233</v>
      </c>
      <c r="I9" s="132">
        <f>IF(SER_hh_fech_in!I9=0,0,SER_hh_fech_in!I9/SER_summary!I$27)</f>
        <v>133.50596926144658</v>
      </c>
      <c r="J9" s="132">
        <f>IF(SER_hh_fech_in!J9=0,0,SER_hh_fech_in!J9/SER_summary!J$27)</f>
        <v>144.66929397389114</v>
      </c>
      <c r="K9" s="132">
        <f>IF(SER_hh_fech_in!K9=0,0,SER_hh_fech_in!K9/SER_summary!K$27)</f>
        <v>145.34575065776346</v>
      </c>
      <c r="L9" s="132">
        <f>IF(SER_hh_fech_in!L9=0,0,SER_hh_fech_in!L9/SER_summary!L$27)</f>
        <v>148.08970056093332</v>
      </c>
      <c r="M9" s="132">
        <f>IF(SER_hh_fech_in!M9=0,0,SER_hh_fech_in!M9/SER_summary!M$27)</f>
        <v>106.8671813640474</v>
      </c>
      <c r="N9" s="132">
        <f>IF(SER_hh_fech_in!N9=0,0,SER_hh_fech_in!N9/SER_summary!N$27)</f>
        <v>113.59747366590258</v>
      </c>
      <c r="O9" s="132">
        <f>IF(SER_hh_fech_in!O9=0,0,SER_hh_fech_in!O9/SER_summary!O$27)</f>
        <v>115.70662434164539</v>
      </c>
      <c r="P9" s="132">
        <f>IF(SER_hh_fech_in!P9=0,0,SER_hh_fech_in!P9/SER_summary!P$27)</f>
        <v>77.794099862082376</v>
      </c>
      <c r="Q9" s="132">
        <f>IF(SER_hh_fech_in!Q9=0,0,SER_hh_fech_in!Q9/SER_summary!Q$27)</f>
        <v>82.099649478899238</v>
      </c>
      <c r="R9" s="132">
        <f>IF(SER_hh_fech_in!R9=0,0,SER_hh_fech_in!R9/SER_summary!R$27)</f>
        <v>80.989044730762643</v>
      </c>
      <c r="S9" s="132">
        <f>IF(SER_hh_fech_in!S9=0,0,SER_hh_fech_in!S9/SER_summary!S$27)</f>
        <v>74.435550305131216</v>
      </c>
      <c r="T9" s="132">
        <f>IF(SER_hh_fech_in!T9=0,0,SER_hh_fech_in!T9/SER_summary!T$27)</f>
        <v>70.128985969106182</v>
      </c>
      <c r="U9" s="132">
        <f>IF(SER_hh_fech_in!U9=0,0,SER_hh_fech_in!U9/SER_summary!U$27)</f>
        <v>63.84352631711365</v>
      </c>
      <c r="V9" s="132">
        <f>IF(SER_hh_fech_in!V9=0,0,SER_hh_fech_in!V9/SER_summary!V$27)</f>
        <v>54.658456270527509</v>
      </c>
      <c r="W9" s="132">
        <f>IF(SER_hh_fech_in!W9=0,0,SER_hh_fech_in!W9/SER_summary!W$27)</f>
        <v>57.076315179556161</v>
      </c>
      <c r="X9" s="132">
        <f>IF(SER_hh_fech_in!X9=0,0,SER_hh_fech_in!X9/SER_summary!X$27)</f>
        <v>37.549164800856978</v>
      </c>
      <c r="Y9" s="132">
        <f>IF(SER_hh_fech_in!Y9=0,0,SER_hh_fech_in!Y9/SER_summary!Y$27)</f>
        <v>35.680362901206045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179.71494703828162</v>
      </c>
      <c r="D10" s="132">
        <f>IF(SER_hh_fech_in!D10=0,0,SER_hh_fech_in!D10/SER_summary!D$27)</f>
        <v>13.241374709996967</v>
      </c>
      <c r="E10" s="132">
        <f>IF(SER_hh_fech_in!E10=0,0,SER_hh_fech_in!E10/SER_summary!E$27)</f>
        <v>4.1619420612361893</v>
      </c>
      <c r="F10" s="132">
        <f>IF(SER_hh_fech_in!F10=0,0,SER_hh_fech_in!F10/SER_summary!F$27)</f>
        <v>294.83012632016164</v>
      </c>
      <c r="G10" s="132">
        <f>IF(SER_hh_fech_in!G10=0,0,SER_hh_fech_in!G10/SER_summary!G$27)</f>
        <v>251.67001973210435</v>
      </c>
      <c r="H10" s="132">
        <f>IF(SER_hh_fech_in!H10=0,0,SER_hh_fech_in!H10/SER_summary!H$27)</f>
        <v>218.70242939682399</v>
      </c>
      <c r="I10" s="132">
        <f>IF(SER_hh_fech_in!I10=0,0,SER_hh_fech_in!I10/SER_summary!I$27)</f>
        <v>0</v>
      </c>
      <c r="J10" s="132">
        <f>IF(SER_hh_fech_in!J10=0,0,SER_hh_fech_in!J10/SER_summary!J$27)</f>
        <v>0</v>
      </c>
      <c r="K10" s="132">
        <f>IF(SER_hh_fech_in!K10=0,0,SER_hh_fech_in!K10/SER_summary!K$27)</f>
        <v>49.37900649527564</v>
      </c>
      <c r="L10" s="132">
        <f>IF(SER_hh_fech_in!L10=0,0,SER_hh_fech_in!L10/SER_summary!L$27)</f>
        <v>163.60965646547999</v>
      </c>
      <c r="M10" s="132">
        <f>IF(SER_hh_fech_in!M10=0,0,SER_hh_fech_in!M10/SER_summary!M$27)</f>
        <v>99.814344362163524</v>
      </c>
      <c r="N10" s="132">
        <f>IF(SER_hh_fech_in!N10=0,0,SER_hh_fech_in!N10/SER_summary!N$27)</f>
        <v>119.12896593139226</v>
      </c>
      <c r="O10" s="132">
        <f>IF(SER_hh_fech_in!O10=0,0,SER_hh_fech_in!O10/SER_summary!O$27)</f>
        <v>143.55617079972049</v>
      </c>
      <c r="P10" s="132">
        <f>IF(SER_hh_fech_in!P10=0,0,SER_hh_fech_in!P10/SER_summary!P$27)</f>
        <v>134.24407259333285</v>
      </c>
      <c r="Q10" s="132">
        <f>IF(SER_hh_fech_in!Q10=0,0,SER_hh_fech_in!Q10/SER_summary!Q$27)</f>
        <v>130.58685476181111</v>
      </c>
      <c r="R10" s="132">
        <f>IF(SER_hh_fech_in!R10=0,0,SER_hh_fech_in!R10/SER_summary!R$27)</f>
        <v>120.52588741685747</v>
      </c>
      <c r="S10" s="132">
        <f>IF(SER_hh_fech_in!S10=0,0,SER_hh_fech_in!S10/SER_summary!S$27)</f>
        <v>109.35109889835635</v>
      </c>
      <c r="T10" s="132">
        <f>IF(SER_hh_fech_in!T10=0,0,SER_hh_fech_in!T10/SER_summary!T$27)</f>
        <v>100.63445252972441</v>
      </c>
      <c r="U10" s="132">
        <f>IF(SER_hh_fech_in!U10=0,0,SER_hh_fech_in!U10/SER_summary!U$27)</f>
        <v>95.235280749410549</v>
      </c>
      <c r="V10" s="132">
        <f>IF(SER_hh_fech_in!V10=0,0,SER_hh_fech_in!V10/SER_summary!V$27)</f>
        <v>85.125786910839608</v>
      </c>
      <c r="W10" s="132">
        <f>IF(SER_hh_fech_in!W10=0,0,SER_hh_fech_in!W10/SER_summary!W$27)</f>
        <v>71.025352800402047</v>
      </c>
      <c r="X10" s="132">
        <f>IF(SER_hh_fech_in!X10=0,0,SER_hh_fech_in!X10/SER_summary!X$27)</f>
        <v>56.181118898934429</v>
      </c>
      <c r="Y10" s="132">
        <f>IF(SER_hh_fech_in!Y10=0,0,SER_hh_fech_in!Y10/SER_summary!Y$27)</f>
        <v>48.505895027694912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0</v>
      </c>
      <c r="K11" s="132">
        <f>IF(SER_hh_fech_in!K11=0,0,SER_hh_fech_in!K11/SER_summary!K$27)</f>
        <v>0</v>
      </c>
      <c r="L11" s="132">
        <f>IF(SER_hh_fech_in!L11=0,0,SER_hh_fech_in!L11/SER_summary!L$27)</f>
        <v>0</v>
      </c>
      <c r="M11" s="132">
        <f>IF(SER_hh_fech_in!M11=0,0,SER_hh_fech_in!M11/SER_summary!M$27)</f>
        <v>0</v>
      </c>
      <c r="N11" s="132">
        <f>IF(SER_hh_fech_in!N11=0,0,SER_hh_fech_in!N11/SER_summary!N$27)</f>
        <v>0</v>
      </c>
      <c r="O11" s="132">
        <f>IF(SER_hh_fech_in!O11=0,0,SER_hh_fech_in!O11/SER_summary!O$27)</f>
        <v>0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94.589616047483034</v>
      </c>
      <c r="D12" s="132">
        <f>IF(SER_hh_fech_in!D12=0,0,SER_hh_fech_in!D12/SER_summary!D$27)</f>
        <v>94.327281752892716</v>
      </c>
      <c r="E12" s="132">
        <f>IF(SER_hh_fech_in!E12=0,0,SER_hh_fech_in!E12/SER_summary!E$27)</f>
        <v>95.944142471983014</v>
      </c>
      <c r="F12" s="132">
        <f>IF(SER_hh_fech_in!F12=0,0,SER_hh_fech_in!F12/SER_summary!F$27)</f>
        <v>114.79708019015604</v>
      </c>
      <c r="G12" s="132">
        <f>IF(SER_hh_fech_in!G12=0,0,SER_hh_fech_in!G12/SER_summary!G$27)</f>
        <v>104.16125440771484</v>
      </c>
      <c r="H12" s="132">
        <f>IF(SER_hh_fech_in!H12=0,0,SER_hh_fech_in!H12/SER_summary!H$27)</f>
        <v>117.11566973351803</v>
      </c>
      <c r="I12" s="132">
        <f>IF(SER_hh_fech_in!I12=0,0,SER_hh_fech_in!I12/SER_summary!I$27)</f>
        <v>125.88577843609394</v>
      </c>
      <c r="J12" s="132">
        <f>IF(SER_hh_fech_in!J12=0,0,SER_hh_fech_in!J12/SER_summary!J$27)</f>
        <v>0</v>
      </c>
      <c r="K12" s="132">
        <f>IF(SER_hh_fech_in!K12=0,0,SER_hh_fech_in!K12/SER_summary!K$27)</f>
        <v>0</v>
      </c>
      <c r="L12" s="132">
        <f>IF(SER_hh_fech_in!L12=0,0,SER_hh_fech_in!L12/SER_summary!L$27)</f>
        <v>112.99767829536106</v>
      </c>
      <c r="M12" s="132">
        <f>IF(SER_hh_fech_in!M12=0,0,SER_hh_fech_in!M12/SER_summary!M$27)</f>
        <v>90.21178932050465</v>
      </c>
      <c r="N12" s="132">
        <f>IF(SER_hh_fech_in!N12=0,0,SER_hh_fech_in!N12/SER_summary!N$27)</f>
        <v>82.778616287702221</v>
      </c>
      <c r="O12" s="132">
        <f>IF(SER_hh_fech_in!O12=0,0,SER_hh_fech_in!O12/SER_summary!O$27)</f>
        <v>71.654891194191606</v>
      </c>
      <c r="P12" s="132">
        <f>IF(SER_hh_fech_in!P12=0,0,SER_hh_fech_in!P12/SER_summary!P$27)</f>
        <v>77.803403635786154</v>
      </c>
      <c r="Q12" s="132">
        <f>IF(SER_hh_fech_in!Q12=0,0,SER_hh_fech_in!Q12/SER_summary!Q$27)</f>
        <v>80.277236696416281</v>
      </c>
      <c r="R12" s="132">
        <f>IF(SER_hh_fech_in!R12=0,0,SER_hh_fech_in!R12/SER_summary!R$27)</f>
        <v>70.756868773957407</v>
      </c>
      <c r="S12" s="132">
        <f>IF(SER_hh_fech_in!S12=0,0,SER_hh_fech_in!S12/SER_summary!S$27)</f>
        <v>62.338599560459656</v>
      </c>
      <c r="T12" s="132">
        <f>IF(SER_hh_fech_in!T12=0,0,SER_hh_fech_in!T12/SER_summary!T$27)</f>
        <v>62.402489399193058</v>
      </c>
      <c r="U12" s="132">
        <f>IF(SER_hh_fech_in!U12=0,0,SER_hh_fech_in!U12/SER_summary!U$27)</f>
        <v>55.448733121288967</v>
      </c>
      <c r="V12" s="132">
        <f>IF(SER_hh_fech_in!V12=0,0,SER_hh_fech_in!V12/SER_summary!V$27)</f>
        <v>54.944556701371837</v>
      </c>
      <c r="W12" s="132">
        <f>IF(SER_hh_fech_in!W12=0,0,SER_hh_fech_in!W12/SER_summary!W$27)</f>
        <v>47.574708074608466</v>
      </c>
      <c r="X12" s="132">
        <f>IF(SER_hh_fech_in!X12=0,0,SER_hh_fech_in!X12/SER_summary!X$27)</f>
        <v>34.517295176201294</v>
      </c>
      <c r="Y12" s="132">
        <f>IF(SER_hh_fech_in!Y12=0,0,SER_hh_fech_in!Y12/SER_summary!Y$27)</f>
        <v>36.214615240324108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50.737985797542926</v>
      </c>
      <c r="D13" s="132">
        <f>IF(SER_hh_fech_in!D13=0,0,SER_hh_fech_in!D13/SER_summary!D$27)</f>
        <v>45.677008963504825</v>
      </c>
      <c r="E13" s="132">
        <f>IF(SER_hh_fech_in!E13=0,0,SER_hh_fech_in!E13/SER_summary!E$27)</f>
        <v>39.196347976117679</v>
      </c>
      <c r="F13" s="132">
        <f>IF(SER_hh_fech_in!F13=0,0,SER_hh_fech_in!F13/SER_summary!F$27)</f>
        <v>19.166496682519593</v>
      </c>
      <c r="G13" s="132">
        <f>IF(SER_hh_fech_in!G13=0,0,SER_hh_fech_in!G13/SER_summary!G$27)</f>
        <v>13.620431834590788</v>
      </c>
      <c r="H13" s="132">
        <f>IF(SER_hh_fech_in!H13=0,0,SER_hh_fech_in!H13/SER_summary!H$27)</f>
        <v>45.905770191030015</v>
      </c>
      <c r="I13" s="132">
        <f>IF(SER_hh_fech_in!I13=0,0,SER_hh_fech_in!I13/SER_summary!I$27)</f>
        <v>40.540932975615618</v>
      </c>
      <c r="J13" s="132">
        <f>IF(SER_hh_fech_in!J13=0,0,SER_hh_fech_in!J13/SER_summary!J$27)</f>
        <v>38.951584918567775</v>
      </c>
      <c r="K13" s="132">
        <f>IF(SER_hh_fech_in!K13=0,0,SER_hh_fech_in!K13/SER_summary!K$27)</f>
        <v>36.725964845764267</v>
      </c>
      <c r="L13" s="132">
        <f>IF(SER_hh_fech_in!L13=0,0,SER_hh_fech_in!L13/SER_summary!L$27)</f>
        <v>31.81344704037484</v>
      </c>
      <c r="M13" s="132">
        <f>IF(SER_hh_fech_in!M13=0,0,SER_hh_fech_in!M13/SER_summary!M$27)</f>
        <v>27.644471289977641</v>
      </c>
      <c r="N13" s="132">
        <f>IF(SER_hh_fech_in!N13=0,0,SER_hh_fech_in!N13/SER_summary!N$27)</f>
        <v>25.707124514214829</v>
      </c>
      <c r="O13" s="132">
        <f>IF(SER_hh_fech_in!O13=0,0,SER_hh_fech_in!O13/SER_summary!O$27)</f>
        <v>25.096796547724651</v>
      </c>
      <c r="P13" s="132">
        <f>IF(SER_hh_fech_in!P13=0,0,SER_hh_fech_in!P13/SER_summary!P$27)</f>
        <v>19.28570410622801</v>
      </c>
      <c r="Q13" s="132">
        <f>IF(SER_hh_fech_in!Q13=0,0,SER_hh_fech_in!Q13/SER_summary!Q$27)</f>
        <v>17.397432533636675</v>
      </c>
      <c r="R13" s="132">
        <f>IF(SER_hh_fech_in!R13=0,0,SER_hh_fech_in!R13/SER_summary!R$27)</f>
        <v>14.90909471938263</v>
      </c>
      <c r="S13" s="132">
        <f>IF(SER_hh_fech_in!S13=0,0,SER_hh_fech_in!S13/SER_summary!S$27)</f>
        <v>10.440631605252992</v>
      </c>
      <c r="T13" s="132">
        <f>IF(SER_hh_fech_in!T13=0,0,SER_hh_fech_in!T13/SER_summary!T$27)</f>
        <v>14.897494594903351</v>
      </c>
      <c r="U13" s="132">
        <f>IF(SER_hh_fech_in!U13=0,0,SER_hh_fech_in!U13/SER_summary!U$27)</f>
        <v>13.616162360220583</v>
      </c>
      <c r="V13" s="132">
        <f>IF(SER_hh_fech_in!V13=0,0,SER_hh_fech_in!V13/SER_summary!V$27)</f>
        <v>10.993317466446907</v>
      </c>
      <c r="W13" s="132">
        <f>IF(SER_hh_fech_in!W13=0,0,SER_hh_fech_in!W13/SER_summary!W$27)</f>
        <v>12.062320977659247</v>
      </c>
      <c r="X13" s="132">
        <f>IF(SER_hh_fech_in!X13=0,0,SER_hh_fech_in!X13/SER_summary!X$27)</f>
        <v>8.2316193899052355</v>
      </c>
      <c r="Y13" s="132">
        <f>IF(SER_hh_fech_in!Y13=0,0,SER_hh_fech_in!Y13/SER_summary!Y$27)</f>
        <v>8.5024271716078967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123.67582317806344</v>
      </c>
      <c r="D14" s="65">
        <f>IF(SER_hh_fech_in!D14=0,0,SER_hh_fech_in!D14/SER_summary!D$27)</f>
        <v>36.624101341420321</v>
      </c>
      <c r="E14" s="65">
        <f>IF(SER_hh_fech_in!E14=0,0,SER_hh_fech_in!E14/SER_summary!E$27)</f>
        <v>5.4912005893981295</v>
      </c>
      <c r="F14" s="65">
        <f>IF(SER_hh_fech_in!F14=0,0,SER_hh_fech_in!F14/SER_summary!F$27)</f>
        <v>186.98706702347505</v>
      </c>
      <c r="G14" s="65">
        <f>IF(SER_hh_fech_in!G14=0,0,SER_hh_fech_in!G14/SER_summary!G$27)</f>
        <v>145.89314913232184</v>
      </c>
      <c r="H14" s="65">
        <f>IF(SER_hh_fech_in!H14=0,0,SER_hh_fech_in!H14/SER_summary!H$27)</f>
        <v>118.60586773850794</v>
      </c>
      <c r="I14" s="65">
        <f>IF(SER_hh_fech_in!I14=0,0,SER_hh_fech_in!I14/SER_summary!I$27)</f>
        <v>111.09000930111836</v>
      </c>
      <c r="J14" s="65">
        <f>IF(SER_hh_fech_in!J14=0,0,SER_hh_fech_in!J14/SER_summary!J$27)</f>
        <v>0</v>
      </c>
      <c r="K14" s="65">
        <f>IF(SER_hh_fech_in!K14=0,0,SER_hh_fech_in!K14/SER_summary!K$27)</f>
        <v>115.74676875826812</v>
      </c>
      <c r="L14" s="65">
        <f>IF(SER_hh_fech_in!L14=0,0,SER_hh_fech_in!L14/SER_summary!L$27)</f>
        <v>0</v>
      </c>
      <c r="M14" s="65">
        <f>IF(SER_hh_fech_in!M14=0,0,SER_hh_fech_in!M14/SER_summary!M$27)</f>
        <v>92.664076521015318</v>
      </c>
      <c r="N14" s="65">
        <f>IF(SER_hh_fech_in!N14=0,0,SER_hh_fech_in!N14/SER_summary!N$27)</f>
        <v>93.814442772200906</v>
      </c>
      <c r="O14" s="65">
        <f>IF(SER_hh_fech_in!O14=0,0,SER_hh_fech_in!O14/SER_summary!O$27)</f>
        <v>95.563498382209474</v>
      </c>
      <c r="P14" s="65">
        <f>IF(SER_hh_fech_in!P14=0,0,SER_hh_fech_in!P14/SER_summary!P$27)</f>
        <v>75.599519201635488</v>
      </c>
      <c r="Q14" s="65">
        <f>IF(SER_hh_fech_in!Q14=0,0,SER_hh_fech_in!Q14/SER_summary!Q$27)</f>
        <v>77.737338978670238</v>
      </c>
      <c r="R14" s="65">
        <f>IF(SER_hh_fech_in!R14=0,0,SER_hh_fech_in!R14/SER_summary!R$27)</f>
        <v>74.613485628562501</v>
      </c>
      <c r="S14" s="65">
        <f>IF(SER_hh_fech_in!S14=0,0,SER_hh_fech_in!S14/SER_summary!S$27)</f>
        <v>70.080098215517836</v>
      </c>
      <c r="T14" s="65">
        <f>IF(SER_hh_fech_in!T14=0,0,SER_hh_fech_in!T14/SER_summary!T$27)</f>
        <v>65.812165408535307</v>
      </c>
      <c r="U14" s="65">
        <f>IF(SER_hh_fech_in!U14=0,0,SER_hh_fech_in!U14/SER_summary!U$27)</f>
        <v>63.461362873101251</v>
      </c>
      <c r="V14" s="65">
        <f>IF(SER_hh_fech_in!V14=0,0,SER_hh_fech_in!V14/SER_summary!V$27)</f>
        <v>52.70596454636641</v>
      </c>
      <c r="W14" s="65">
        <f>IF(SER_hh_fech_in!W14=0,0,SER_hh_fech_in!W14/SER_summary!W$27)</f>
        <v>50.063133083208115</v>
      </c>
      <c r="X14" s="65">
        <f>IF(SER_hh_fech_in!X14=0,0,SER_hh_fech_in!X14/SER_summary!X$27)</f>
        <v>38.392786393324862</v>
      </c>
      <c r="Y14" s="65">
        <f>IF(SER_hh_fech_in!Y14=0,0,SER_hh_fech_in!Y14/SER_summary!Y$27)</f>
        <v>32.186726755926294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1.5155380263449334</v>
      </c>
      <c r="D15" s="134">
        <f>IF(SER_hh_fech_in!D15=0,0,SER_hh_fech_in!D15/SER_summary!D$27)</f>
        <v>1.6324607107872624</v>
      </c>
      <c r="E15" s="134">
        <f>IF(SER_hh_fech_in!E15=0,0,SER_hh_fech_in!E15/SER_summary!E$27)</f>
        <v>1.7638553384930531</v>
      </c>
      <c r="F15" s="134">
        <f>IF(SER_hh_fech_in!F15=0,0,SER_hh_fech_in!F15/SER_summary!F$27)</f>
        <v>1.8733635985529928</v>
      </c>
      <c r="G15" s="134">
        <f>IF(SER_hh_fech_in!G15=0,0,SER_hh_fech_in!G15/SER_summary!G$27)</f>
        <v>1.6853850156176904</v>
      </c>
      <c r="H15" s="134">
        <f>IF(SER_hh_fech_in!H15=0,0,SER_hh_fech_in!H15/SER_summary!H$27)</f>
        <v>1.5864951348651801</v>
      </c>
      <c r="I15" s="134">
        <f>IF(SER_hh_fech_in!I15=0,0,SER_hh_fech_in!I15/SER_summary!I$27)</f>
        <v>1.4402608926419647</v>
      </c>
      <c r="J15" s="134">
        <f>IF(SER_hh_fech_in!J15=0,0,SER_hh_fech_in!J15/SER_summary!J$27)</f>
        <v>1.6232624778786253</v>
      </c>
      <c r="K15" s="134">
        <f>IF(SER_hh_fech_in!K15=0,0,SER_hh_fech_in!K15/SER_summary!K$27)</f>
        <v>1.5622079225587431</v>
      </c>
      <c r="L15" s="134">
        <f>IF(SER_hh_fech_in!L15=0,0,SER_hh_fech_in!L15/SER_summary!L$27)</f>
        <v>1.5757877338752981</v>
      </c>
      <c r="M15" s="134">
        <f>IF(SER_hh_fech_in!M15=0,0,SER_hh_fech_in!M15/SER_summary!M$27)</f>
        <v>1.1714255241036584</v>
      </c>
      <c r="N15" s="134">
        <f>IF(SER_hh_fech_in!N15=0,0,SER_hh_fech_in!N15/SER_summary!N$27)</f>
        <v>1.2276537245737136</v>
      </c>
      <c r="O15" s="134">
        <f>IF(SER_hh_fech_in!O15=0,0,SER_hh_fech_in!O15/SER_summary!O$27)</f>
        <v>1.2908475251687532</v>
      </c>
      <c r="P15" s="134">
        <f>IF(SER_hh_fech_in!P15=0,0,SER_hh_fech_in!P15/SER_summary!P$27)</f>
        <v>0.87930828896546442</v>
      </c>
      <c r="Q15" s="134">
        <f>IF(SER_hh_fech_in!Q15=0,0,SER_hh_fech_in!Q15/SER_summary!Q$27)</f>
        <v>1.045722028910921</v>
      </c>
      <c r="R15" s="134">
        <f>IF(SER_hh_fech_in!R15=0,0,SER_hh_fech_in!R15/SER_summary!R$27)</f>
        <v>1.0382694698131214</v>
      </c>
      <c r="S15" s="134">
        <f>IF(SER_hh_fech_in!S15=0,0,SER_hh_fech_in!S15/SER_summary!S$27)</f>
        <v>0.99536298525773081</v>
      </c>
      <c r="T15" s="134">
        <f>IF(SER_hh_fech_in!T15=0,0,SER_hh_fech_in!T15/SER_summary!T$27)</f>
        <v>0.92377178757388845</v>
      </c>
      <c r="U15" s="134">
        <f>IF(SER_hh_fech_in!U15=0,0,SER_hh_fech_in!U15/SER_summary!U$27)</f>
        <v>0.81822723164190514</v>
      </c>
      <c r="V15" s="134">
        <f>IF(SER_hh_fech_in!V15=0,0,SER_hh_fech_in!V15/SER_summary!V$27)</f>
        <v>0.70054229676965385</v>
      </c>
      <c r="W15" s="134">
        <f>IF(SER_hh_fech_in!W15=0,0,SER_hh_fech_in!W15/SER_summary!W$27)</f>
        <v>0.71846580766467127</v>
      </c>
      <c r="X15" s="134">
        <f>IF(SER_hh_fech_in!X15=0,0,SER_hh_fech_in!X15/SER_summary!X$27)</f>
        <v>0.47666580448210827</v>
      </c>
      <c r="Y15" s="134">
        <f>IF(SER_hh_fech_in!Y15=0,0,SER_hh_fech_in!Y15/SER_summary!Y$27)</f>
        <v>0.45843369342841289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11.771510760662819</v>
      </c>
      <c r="D16" s="130">
        <f>IF(SER_hh_fech_in!D16=0,0,SER_hh_fech_in!D16/SER_summary!D$27)</f>
        <v>11.179913651389203</v>
      </c>
      <c r="E16" s="130">
        <f>IF(SER_hh_fech_in!E16=0,0,SER_hh_fech_in!E16/SER_summary!E$27)</f>
        <v>13.57312293600741</v>
      </c>
      <c r="F16" s="130">
        <f>IF(SER_hh_fech_in!F16=0,0,SER_hh_fech_in!F16/SER_summary!F$27)</f>
        <v>10.059323003165177</v>
      </c>
      <c r="G16" s="130">
        <f>IF(SER_hh_fech_in!G16=0,0,SER_hh_fech_in!G16/SER_summary!G$27)</f>
        <v>9.7475161176182663</v>
      </c>
      <c r="H16" s="130">
        <f>IF(SER_hh_fech_in!H16=0,0,SER_hh_fech_in!H16/SER_summary!H$27)</f>
        <v>11.631903246435739</v>
      </c>
      <c r="I16" s="130">
        <f>IF(SER_hh_fech_in!I16=0,0,SER_hh_fech_in!I16/SER_summary!I$27)</f>
        <v>8.70592055791729</v>
      </c>
      <c r="J16" s="130">
        <f>IF(SER_hh_fech_in!J16=0,0,SER_hh_fech_in!J16/SER_summary!J$27)</f>
        <v>8.3721076967914367</v>
      </c>
      <c r="K16" s="130">
        <f>IF(SER_hh_fech_in!K16=0,0,SER_hh_fech_in!K16/SER_summary!K$27)</f>
        <v>8.0414016860969024</v>
      </c>
      <c r="L16" s="130">
        <f>IF(SER_hh_fech_in!L16=0,0,SER_hh_fech_in!L16/SER_summary!L$27)</f>
        <v>8.1376049886928374</v>
      </c>
      <c r="M16" s="130">
        <f>IF(SER_hh_fech_in!M16=0,0,SER_hh_fech_in!M16/SER_summary!M$27)</f>
        <v>7.2608366856539872</v>
      </c>
      <c r="N16" s="130">
        <f>IF(SER_hh_fech_in!N16=0,0,SER_hh_fech_in!N16/SER_summary!N$27)</f>
        <v>6.9199273783147417</v>
      </c>
      <c r="O16" s="130">
        <f>IF(SER_hh_fech_in!O16=0,0,SER_hh_fech_in!O16/SER_summary!O$27)</f>
        <v>6.5588271285500062</v>
      </c>
      <c r="P16" s="130">
        <f>IF(SER_hh_fech_in!P16=0,0,SER_hh_fech_in!P16/SER_summary!P$27)</f>
        <v>5.957196798554647</v>
      </c>
      <c r="Q16" s="130">
        <f>IF(SER_hh_fech_in!Q16=0,0,SER_hh_fech_in!Q16/SER_summary!Q$27)</f>
        <v>6.3678554153101485</v>
      </c>
      <c r="R16" s="130">
        <f>IF(SER_hh_fech_in!R16=0,0,SER_hh_fech_in!R16/SER_summary!R$27)</f>
        <v>5.7898479875504254</v>
      </c>
      <c r="S16" s="130">
        <f>IF(SER_hh_fech_in!S16=0,0,SER_hh_fech_in!S16/SER_summary!S$27)</f>
        <v>5.2281194193392722</v>
      </c>
      <c r="T16" s="130">
        <f>IF(SER_hh_fech_in!T16=0,0,SER_hh_fech_in!T16/SER_summary!T$27)</f>
        <v>5.7699680673973521</v>
      </c>
      <c r="U16" s="130">
        <f>IF(SER_hh_fech_in!U16=0,0,SER_hh_fech_in!U16/SER_summary!U$27)</f>
        <v>5.3453624317624913</v>
      </c>
      <c r="V16" s="130">
        <f>IF(SER_hh_fech_in!V16=0,0,SER_hh_fech_in!V16/SER_summary!V$27)</f>
        <v>5.3791417418535374</v>
      </c>
      <c r="W16" s="130">
        <f>IF(SER_hh_fech_in!W16=0,0,SER_hh_fech_in!W16/SER_summary!W$27)</f>
        <v>4.0564175626596128</v>
      </c>
      <c r="X16" s="130">
        <f>IF(SER_hh_fech_in!X16=0,0,SER_hh_fech_in!X16/SER_summary!X$27)</f>
        <v>4.2084178214954768</v>
      </c>
      <c r="Y16" s="130">
        <f>IF(SER_hh_fech_in!Y16=0,0,SER_hh_fech_in!Y16/SER_summary!Y$27)</f>
        <v>3.9189254232698856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24.854556484267775</v>
      </c>
      <c r="D17" s="132">
        <f>IF(SER_hh_fech_in!D17=0,0,SER_hh_fech_in!D17/SER_summary!D$27)</f>
        <v>24.255492429478743</v>
      </c>
      <c r="E17" s="132">
        <f>IF(SER_hh_fech_in!E17=0,0,SER_hh_fech_in!E17/SER_summary!E$27)</f>
        <v>30.172778484206994</v>
      </c>
      <c r="F17" s="132">
        <f>IF(SER_hh_fech_in!F17=0,0,SER_hh_fech_in!F17/SER_summary!F$27)</f>
        <v>23.007981141776416</v>
      </c>
      <c r="G17" s="132">
        <f>IF(SER_hh_fech_in!G17=0,0,SER_hh_fech_in!G17/SER_summary!G$27)</f>
        <v>22.856620866533905</v>
      </c>
      <c r="H17" s="132">
        <f>IF(SER_hh_fech_in!H17=0,0,SER_hh_fech_in!H17/SER_summary!H$27)</f>
        <v>27.925412039926965</v>
      </c>
      <c r="I17" s="132">
        <f>IF(SER_hh_fech_in!I17=0,0,SER_hh_fech_in!I17/SER_summary!I$27)</f>
        <v>21.369026423727131</v>
      </c>
      <c r="J17" s="132">
        <f>IF(SER_hh_fech_in!J17=0,0,SER_hh_fech_in!J17/SER_summary!J$27)</f>
        <v>21.010354274444001</v>
      </c>
      <c r="K17" s="132">
        <f>IF(SER_hh_fech_in!K17=0,0,SER_hh_fech_in!K17/SER_summary!K$27)</f>
        <v>20.597645837421222</v>
      </c>
      <c r="L17" s="132">
        <f>IF(SER_hh_fech_in!L17=0,0,SER_hh_fech_in!L17/SER_summary!L$27)</f>
        <v>21.328583740324049</v>
      </c>
      <c r="M17" s="132">
        <f>IF(SER_hh_fech_in!M17=0,0,SER_hh_fech_in!M17/SER_summary!M$27)</f>
        <v>19.45902166374642</v>
      </c>
      <c r="N17" s="132">
        <f>IF(SER_hh_fech_in!N17=0,0,SER_hh_fech_in!N17/SER_summary!N$27)</f>
        <v>19.032064903762468</v>
      </c>
      <c r="O17" s="132">
        <f>IF(SER_hh_fech_in!O17=0,0,SER_hh_fech_in!O17/SER_summary!O$27)</f>
        <v>18.517007566885407</v>
      </c>
      <c r="P17" s="132">
        <f>IF(SER_hh_fech_in!P17=0,0,SER_hh_fech_in!P17/SER_summary!P$27)</f>
        <v>17.235900019813066</v>
      </c>
      <c r="Q17" s="132">
        <f>IF(SER_hh_fech_in!Q17=0,0,SER_hh_fech_in!Q17/SER_summary!Q$27)</f>
        <v>18.681982703548616</v>
      </c>
      <c r="R17" s="132">
        <f>IF(SER_hh_fech_in!R17=0,0,SER_hh_fech_in!R17/SER_summary!R$27)</f>
        <v>17.363459378151799</v>
      </c>
      <c r="S17" s="132">
        <f>IF(SER_hh_fech_in!S17=0,0,SER_hh_fech_in!S17/SER_summary!S$27)</f>
        <v>15.661442968222033</v>
      </c>
      <c r="T17" s="132">
        <f>IF(SER_hh_fech_in!T17=0,0,SER_hh_fech_in!T17/SER_summary!T$27)</f>
        <v>17.004046990578878</v>
      </c>
      <c r="U17" s="132">
        <f>IF(SER_hh_fech_in!U17=0,0,SER_hh_fech_in!U17/SER_summary!U$27)</f>
        <v>15.545263250210219</v>
      </c>
      <c r="V17" s="132">
        <f>IF(SER_hh_fech_in!V17=0,0,SER_hh_fech_in!V17/SER_summary!V$27)</f>
        <v>16.451381655602656</v>
      </c>
      <c r="W17" s="132">
        <f>IF(SER_hh_fech_in!W17=0,0,SER_hh_fech_in!W17/SER_summary!W$27)</f>
        <v>10.939507010416243</v>
      </c>
      <c r="X17" s="132">
        <f>IF(SER_hh_fech_in!X17=0,0,SER_hh_fech_in!X17/SER_summary!X$27)</f>
        <v>12.054735475100316</v>
      </c>
      <c r="Y17" s="132">
        <f>IF(SER_hh_fech_in!Y17=0,0,SER_hh_fech_in!Y17/SER_summary!Y$27)</f>
        <v>11.226044660165714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11.757850883359428</v>
      </c>
      <c r="D18" s="132">
        <f>IF(SER_hh_fech_in!D18=0,0,SER_hh_fech_in!D18/SER_summary!D$27)</f>
        <v>11.164615774266339</v>
      </c>
      <c r="E18" s="132">
        <f>IF(SER_hh_fech_in!E18=0,0,SER_hh_fech_in!E18/SER_summary!E$27)</f>
        <v>13.570893058517326</v>
      </c>
      <c r="F18" s="132">
        <f>IF(SER_hh_fech_in!F18=0,0,SER_hh_fech_in!F18/SER_summary!F$27)</f>
        <v>10.025238603244702</v>
      </c>
      <c r="G18" s="132">
        <f>IF(SER_hh_fech_in!G18=0,0,SER_hh_fech_in!G18/SER_summary!G$27)</f>
        <v>9.7214742841984769</v>
      </c>
      <c r="H18" s="132">
        <f>IF(SER_hh_fech_in!H18=0,0,SER_hh_fech_in!H18/SER_summary!H$27)</f>
        <v>11.617465501539273</v>
      </c>
      <c r="I18" s="132">
        <f>IF(SER_hh_fech_in!I18=0,0,SER_hh_fech_in!I18/SER_summary!I$27)</f>
        <v>8.667672913685438</v>
      </c>
      <c r="J18" s="132">
        <f>IF(SER_hh_fech_in!J18=0,0,SER_hh_fech_in!J18/SER_summary!J$27)</f>
        <v>8.329861943535148</v>
      </c>
      <c r="K18" s="132">
        <f>IF(SER_hh_fech_in!K18=0,0,SER_hh_fech_in!K18/SER_summary!K$27)</f>
        <v>7.9999067093102791</v>
      </c>
      <c r="L18" s="132">
        <f>IF(SER_hh_fech_in!L18=0,0,SER_hh_fech_in!L18/SER_summary!L$27)</f>
        <v>8.1164591483352169</v>
      </c>
      <c r="M18" s="132">
        <f>IF(SER_hh_fech_in!M18=0,0,SER_hh_fech_in!M18/SER_summary!M$27)</f>
        <v>7.2263197877168306</v>
      </c>
      <c r="N18" s="132">
        <f>IF(SER_hh_fech_in!N18=0,0,SER_hh_fech_in!N18/SER_summary!N$27)</f>
        <v>6.8820892024643703</v>
      </c>
      <c r="O18" s="132">
        <f>IF(SER_hh_fech_in!O18=0,0,SER_hh_fech_in!O18/SER_summary!O$27)</f>
        <v>6.502951713963256</v>
      </c>
      <c r="P18" s="132">
        <f>IF(SER_hh_fech_in!P18=0,0,SER_hh_fech_in!P18/SER_summary!P$27)</f>
        <v>5.8669523293742998</v>
      </c>
      <c r="Q18" s="132">
        <f>IF(SER_hh_fech_in!Q18=0,0,SER_hh_fech_in!Q18/SER_summary!Q$27)</f>
        <v>6.2224802885028527</v>
      </c>
      <c r="R18" s="132">
        <f>IF(SER_hh_fech_in!R18=0,0,SER_hh_fech_in!R18/SER_summary!R$27)</f>
        <v>5.6966296559847338</v>
      </c>
      <c r="S18" s="132">
        <f>IF(SER_hh_fech_in!S18=0,0,SER_hh_fech_in!S18/SER_summary!S$27)</f>
        <v>5.1681285053896033</v>
      </c>
      <c r="T18" s="132">
        <f>IF(SER_hh_fech_in!T18=0,0,SER_hh_fech_in!T18/SER_summary!T$27)</f>
        <v>5.6601269801453258</v>
      </c>
      <c r="U18" s="132">
        <f>IF(SER_hh_fech_in!U18=0,0,SER_hh_fech_in!U18/SER_summary!U$27)</f>
        <v>5.2260390235402552</v>
      </c>
      <c r="V18" s="132">
        <f>IF(SER_hh_fech_in!V18=0,0,SER_hh_fech_in!V18/SER_summary!V$27)</f>
        <v>5.2985959539899374</v>
      </c>
      <c r="W18" s="132">
        <f>IF(SER_hh_fech_in!W18=0,0,SER_hh_fech_in!W18/SER_summary!W$27)</f>
        <v>4.0107405828918292</v>
      </c>
      <c r="X18" s="132">
        <f>IF(SER_hh_fech_in!X18=0,0,SER_hh_fech_in!X18/SER_summary!X$27)</f>
        <v>4.1549510273325847</v>
      </c>
      <c r="Y18" s="132">
        <f>IF(SER_hh_fech_in!Y18=0,0,SER_hh_fech_in!Y18/SER_summary!Y$27)</f>
        <v>3.8577375768462812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21.839946114260513</v>
      </c>
      <c r="D19" s="130">
        <f>IF(SER_hh_fech_in!D19=0,0,SER_hh_fech_in!D19/SER_summary!D$27)</f>
        <v>22.093485382456794</v>
      </c>
      <c r="E19" s="130">
        <f>IF(SER_hh_fech_in!E19=0,0,SER_hh_fech_in!E19/SER_summary!E$27)</f>
        <v>22.820696056189519</v>
      </c>
      <c r="F19" s="130">
        <f>IF(SER_hh_fech_in!F19=0,0,SER_hh_fech_in!F19/SER_summary!F$27)</f>
        <v>21.667671612075214</v>
      </c>
      <c r="G19" s="130">
        <f>IF(SER_hh_fech_in!G19=0,0,SER_hh_fech_in!G19/SER_summary!G$27)</f>
        <v>21.178362273003646</v>
      </c>
      <c r="H19" s="130">
        <f>IF(SER_hh_fech_in!H19=0,0,SER_hh_fech_in!H19/SER_summary!H$27)</f>
        <v>20.775618325281187</v>
      </c>
      <c r="I19" s="130">
        <f>IF(SER_hh_fech_in!I19=0,0,SER_hh_fech_in!I19/SER_summary!I$27)</f>
        <v>20.269279049897431</v>
      </c>
      <c r="J19" s="130">
        <f>IF(SER_hh_fech_in!J19=0,0,SER_hh_fech_in!J19/SER_summary!J$27)</f>
        <v>19.995328527200929</v>
      </c>
      <c r="K19" s="130">
        <f>IF(SER_hh_fech_in!K19=0,0,SER_hh_fech_in!K19/SER_summary!K$27)</f>
        <v>18.779860018258574</v>
      </c>
      <c r="L19" s="130">
        <f>IF(SER_hh_fech_in!L19=0,0,SER_hh_fech_in!L19/SER_summary!L$27)</f>
        <v>20.118294249737378</v>
      </c>
      <c r="M19" s="130">
        <f>IF(SER_hh_fech_in!M19=0,0,SER_hh_fech_in!M19/SER_summary!M$27)</f>
        <v>20.179110340544952</v>
      </c>
      <c r="N19" s="130">
        <f>IF(SER_hh_fech_in!N19=0,0,SER_hh_fech_in!N19/SER_summary!N$27)</f>
        <v>20.137945162289213</v>
      </c>
      <c r="O19" s="130">
        <f>IF(SER_hh_fech_in!O19=0,0,SER_hh_fech_in!O19/SER_summary!O$27)</f>
        <v>19.808075616632884</v>
      </c>
      <c r="P19" s="130">
        <f>IF(SER_hh_fech_in!P19=0,0,SER_hh_fech_in!P19/SER_summary!P$27)</f>
        <v>18.739814552502619</v>
      </c>
      <c r="Q19" s="130">
        <f>IF(SER_hh_fech_in!Q19=0,0,SER_hh_fech_in!Q19/SER_summary!Q$27)</f>
        <v>17.981925086617224</v>
      </c>
      <c r="R19" s="130">
        <f>IF(SER_hh_fech_in!R19=0,0,SER_hh_fech_in!R19/SER_summary!R$27)</f>
        <v>17.748586635645641</v>
      </c>
      <c r="S19" s="130">
        <f>IF(SER_hh_fech_in!S19=0,0,SER_hh_fech_in!S19/SER_summary!S$27)</f>
        <v>17.597787202639847</v>
      </c>
      <c r="T19" s="130">
        <f>IF(SER_hh_fech_in!T19=0,0,SER_hh_fech_in!T19/SER_summary!T$27)</f>
        <v>17.165809998669353</v>
      </c>
      <c r="U19" s="130">
        <f>IF(SER_hh_fech_in!U19=0,0,SER_hh_fech_in!U19/SER_summary!U$27)</f>
        <v>16.2305889547257</v>
      </c>
      <c r="V19" s="130">
        <f>IF(SER_hh_fech_in!V19=0,0,SER_hh_fech_in!V19/SER_summary!V$27)</f>
        <v>15.228933847396336</v>
      </c>
      <c r="W19" s="130">
        <f>IF(SER_hh_fech_in!W19=0,0,SER_hh_fech_in!W19/SER_summary!W$27)</f>
        <v>15.30822294065362</v>
      </c>
      <c r="X19" s="130">
        <f>IF(SER_hh_fech_in!X19=0,0,SER_hh_fech_in!X19/SER_summary!X$27)</f>
        <v>15.677707739105234</v>
      </c>
      <c r="Y19" s="130">
        <f>IF(SER_hh_fech_in!Y19=0,0,SER_hh_fech_in!Y19/SER_summary!Y$27)</f>
        <v>15.961953385692208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23.423825648650055</v>
      </c>
      <c r="D21" s="132">
        <f>IF(SER_hh_fech_in!D21=0,0,SER_hh_fech_in!D21/SER_summary!D$27)</f>
        <v>23.757123182868284</v>
      </c>
      <c r="E21" s="132">
        <f>IF(SER_hh_fech_in!E21=0,0,SER_hh_fech_in!E21/SER_summary!E$27)</f>
        <v>24.349097946768914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0</v>
      </c>
      <c r="I21" s="132">
        <f>IF(SER_hh_fech_in!I21=0,0,SER_hh_fech_in!I21/SER_summary!I$27)</f>
        <v>0</v>
      </c>
      <c r="J21" s="132">
        <f>IF(SER_hh_fech_in!J21=0,0,SER_hh_fech_in!J21/SER_summary!J$27)</f>
        <v>0</v>
      </c>
      <c r="K21" s="132">
        <f>IF(SER_hh_fech_in!K21=0,0,SER_hh_fech_in!K21/SER_summary!K$27)</f>
        <v>0</v>
      </c>
      <c r="L21" s="132">
        <f>IF(SER_hh_fech_in!L21=0,0,SER_hh_fech_in!L21/SER_summary!L$27)</f>
        <v>19.5125344889851</v>
      </c>
      <c r="M21" s="132">
        <f>IF(SER_hh_fech_in!M21=0,0,SER_hh_fech_in!M21/SER_summary!M$27)</f>
        <v>20.463969160499037</v>
      </c>
      <c r="N21" s="132">
        <f>IF(SER_hh_fech_in!N21=0,0,SER_hh_fech_in!N21/SER_summary!N$27)</f>
        <v>22.131308865809423</v>
      </c>
      <c r="O21" s="132">
        <f>IF(SER_hh_fech_in!O21=0,0,SER_hh_fech_in!O21/SER_summary!O$27)</f>
        <v>21.670888314263344</v>
      </c>
      <c r="P21" s="132">
        <f>IF(SER_hh_fech_in!P21=0,0,SER_hh_fech_in!P21/SER_summary!P$27)</f>
        <v>19.097504164236046</v>
      </c>
      <c r="Q21" s="132">
        <f>IF(SER_hh_fech_in!Q21=0,0,SER_hh_fech_in!Q21/SER_summary!Q$27)</f>
        <v>19.14333742385206</v>
      </c>
      <c r="R21" s="132">
        <f>IF(SER_hh_fech_in!R21=0,0,SER_hh_fech_in!R21/SER_summary!R$27)</f>
        <v>18.431184734379727</v>
      </c>
      <c r="S21" s="132">
        <f>IF(SER_hh_fech_in!S21=0,0,SER_hh_fech_in!S21/SER_summary!S$27)</f>
        <v>18.809548372071969</v>
      </c>
      <c r="T21" s="132">
        <f>IF(SER_hh_fech_in!T21=0,0,SER_hh_fech_in!T21/SER_summary!T$27)</f>
        <v>18.524947382701622</v>
      </c>
      <c r="U21" s="132">
        <f>IF(SER_hh_fech_in!U21=0,0,SER_hh_fech_in!U21/SER_summary!U$27)</f>
        <v>17.748277159946607</v>
      </c>
      <c r="V21" s="132">
        <f>IF(SER_hh_fech_in!V21=0,0,SER_hh_fech_in!V21/SER_summary!V$27)</f>
        <v>14.426017163503955</v>
      </c>
      <c r="W21" s="132">
        <f>IF(SER_hh_fech_in!W21=0,0,SER_hh_fech_in!W21/SER_summary!W$27)</f>
        <v>14.671029380386839</v>
      </c>
      <c r="X21" s="132">
        <f>IF(SER_hh_fech_in!X21=0,0,SER_hh_fech_in!X21/SER_summary!X$27)</f>
        <v>19.843435413141844</v>
      </c>
      <c r="Y21" s="132">
        <f>IF(SER_hh_fech_in!Y21=0,0,SER_hh_fech_in!Y21/SER_summary!Y$27)</f>
        <v>16.023170728644718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24.695979815009579</v>
      </c>
      <c r="D22" s="132">
        <f>IF(SER_hh_fech_in!D22=0,0,SER_hh_fech_in!D22/SER_summary!D$27)</f>
        <v>24.915836598596968</v>
      </c>
      <c r="E22" s="132">
        <f>IF(SER_hh_fech_in!E22=0,0,SER_hh_fech_in!E22/SER_summary!E$27)</f>
        <v>24.872999432594906</v>
      </c>
      <c r="F22" s="132">
        <f>IF(SER_hh_fech_in!F22=0,0,SER_hh_fech_in!F22/SER_summary!F$27)</f>
        <v>24.165015106007136</v>
      </c>
      <c r="G22" s="132">
        <f>IF(SER_hh_fech_in!G22=0,0,SER_hh_fech_in!G22/SER_summary!G$27)</f>
        <v>23.726890643434164</v>
      </c>
      <c r="H22" s="132">
        <f>IF(SER_hh_fech_in!H22=0,0,SER_hh_fech_in!H22/SER_summary!H$27)</f>
        <v>23.463307515681549</v>
      </c>
      <c r="I22" s="132">
        <f>IF(SER_hh_fech_in!I22=0,0,SER_hh_fech_in!I22/SER_summary!I$27)</f>
        <v>23.179836732468942</v>
      </c>
      <c r="J22" s="132">
        <f>IF(SER_hh_fech_in!J22=0,0,SER_hh_fech_in!J22/SER_summary!J$27)</f>
        <v>22.575289400215443</v>
      </c>
      <c r="K22" s="132">
        <f>IF(SER_hh_fech_in!K22=0,0,SER_hh_fech_in!K22/SER_summary!K$27)</f>
        <v>18.959741482688113</v>
      </c>
      <c r="L22" s="132">
        <f>IF(SER_hh_fech_in!L22=0,0,SER_hh_fech_in!L22/SER_summary!L$27)</f>
        <v>22.897033968411364</v>
      </c>
      <c r="M22" s="132">
        <f>IF(SER_hh_fech_in!M22=0,0,SER_hh_fech_in!M22/SER_summary!M$27)</f>
        <v>22.923613843384551</v>
      </c>
      <c r="N22" s="132">
        <f>IF(SER_hh_fech_in!N22=0,0,SER_hh_fech_in!N22/SER_summary!N$27)</f>
        <v>22.626161909215973</v>
      </c>
      <c r="O22" s="132">
        <f>IF(SER_hh_fech_in!O22=0,0,SER_hh_fech_in!O22/SER_summary!O$27)</f>
        <v>21.96954340837398</v>
      </c>
      <c r="P22" s="132">
        <f>IF(SER_hh_fech_in!P22=0,0,SER_hh_fech_in!P22/SER_summary!P$27)</f>
        <v>21.142527546110252</v>
      </c>
      <c r="Q22" s="132">
        <f>IF(SER_hh_fech_in!Q22=0,0,SER_hh_fech_in!Q22/SER_summary!Q$27)</f>
        <v>20.501633509739207</v>
      </c>
      <c r="R22" s="132">
        <f>IF(SER_hh_fech_in!R22=0,0,SER_hh_fech_in!R22/SER_summary!R$27)</f>
        <v>19.84928966361862</v>
      </c>
      <c r="S22" s="132">
        <f>IF(SER_hh_fech_in!S22=0,0,SER_hh_fech_in!S22/SER_summary!S$27)</f>
        <v>19.791124012204286</v>
      </c>
      <c r="T22" s="132">
        <f>IF(SER_hh_fech_in!T22=0,0,SER_hh_fech_in!T22/SER_summary!T$27)</f>
        <v>19.597190353552747</v>
      </c>
      <c r="U22" s="132">
        <f>IF(SER_hh_fech_in!U22=0,0,SER_hh_fech_in!U22/SER_summary!U$27)</f>
        <v>16.691875656389609</v>
      </c>
      <c r="V22" s="132">
        <f>IF(SER_hh_fech_in!V22=0,0,SER_hh_fech_in!V22/SER_summary!V$27)</f>
        <v>15.820618554672278</v>
      </c>
      <c r="W22" s="132">
        <f>IF(SER_hh_fech_in!W22=0,0,SER_hh_fech_in!W22/SER_summary!W$27)</f>
        <v>16.441981607524589</v>
      </c>
      <c r="X22" s="132">
        <f>IF(SER_hh_fech_in!X22=0,0,SER_hh_fech_in!X22/SER_summary!X$27)</f>
        <v>17.487217054567388</v>
      </c>
      <c r="Y22" s="132">
        <f>IF(SER_hh_fech_in!Y22=0,0,SER_hh_fech_in!Y22/SER_summary!Y$27)</f>
        <v>17.623624557512883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22.969378257922415</v>
      </c>
      <c r="D23" s="132">
        <f>IF(SER_hh_fech_in!D23=0,0,SER_hh_fech_in!D23/SER_summary!D$27)</f>
        <v>22.697575906148447</v>
      </c>
      <c r="E23" s="132">
        <f>IF(SER_hh_fech_in!E23=0,0,SER_hh_fech_in!E23/SER_summary!E$27)</f>
        <v>22.664557135406426</v>
      </c>
      <c r="F23" s="132">
        <f>IF(SER_hh_fech_in!F23=0,0,SER_hh_fech_in!F23/SER_summary!F$27)</f>
        <v>21.889018121042383</v>
      </c>
      <c r="G23" s="132">
        <f>IF(SER_hh_fech_in!G23=0,0,SER_hh_fech_in!G23/SER_summary!G$27)</f>
        <v>21.509179682729858</v>
      </c>
      <c r="H23" s="132">
        <f>IF(SER_hh_fech_in!H23=0,0,SER_hh_fech_in!H23/SER_summary!H$27)</f>
        <v>20.961491678832154</v>
      </c>
      <c r="I23" s="132">
        <f>IF(SER_hh_fech_in!I23=0,0,SER_hh_fech_in!I23/SER_summary!I$27)</f>
        <v>20.483344546436218</v>
      </c>
      <c r="J23" s="132">
        <f>IF(SER_hh_fech_in!J23=0,0,SER_hh_fech_in!J23/SER_summary!J$27)</f>
        <v>20.237968097045993</v>
      </c>
      <c r="K23" s="132">
        <f>IF(SER_hh_fech_in!K23=0,0,SER_hh_fech_in!K23/SER_summary!K$27)</f>
        <v>16.50663683531522</v>
      </c>
      <c r="L23" s="132">
        <f>IF(SER_hh_fech_in!L23=0,0,SER_hh_fech_in!L23/SER_summary!L$27)</f>
        <v>20.324298700385082</v>
      </c>
      <c r="M23" s="132">
        <f>IF(SER_hh_fech_in!M23=0,0,SER_hh_fech_in!M23/SER_summary!M$27)</f>
        <v>20.129083240720757</v>
      </c>
      <c r="N23" s="132">
        <f>IF(SER_hh_fech_in!N23=0,0,SER_hh_fech_in!N23/SER_summary!N$27)</f>
        <v>20.145676487777809</v>
      </c>
      <c r="O23" s="132">
        <f>IF(SER_hh_fech_in!O23=0,0,SER_hh_fech_in!O23/SER_summary!O$27)</f>
        <v>19.839266681176905</v>
      </c>
      <c r="P23" s="132">
        <f>IF(SER_hh_fech_in!P23=0,0,SER_hh_fech_in!P23/SER_summary!P$27)</f>
        <v>18.951516288450335</v>
      </c>
      <c r="Q23" s="132">
        <f>IF(SER_hh_fech_in!Q23=0,0,SER_hh_fech_in!Q23/SER_summary!Q$27)</f>
        <v>18.466034708775616</v>
      </c>
      <c r="R23" s="132">
        <f>IF(SER_hh_fech_in!R23=0,0,SER_hh_fech_in!R23/SER_summary!R$27)</f>
        <v>18.089322410455658</v>
      </c>
      <c r="S23" s="132">
        <f>IF(SER_hh_fech_in!S23=0,0,SER_hh_fech_in!S23/SER_summary!S$27)</f>
        <v>17.798391233198178</v>
      </c>
      <c r="T23" s="132">
        <f>IF(SER_hh_fech_in!T23=0,0,SER_hh_fech_in!T23/SER_summary!T$27)</f>
        <v>17.259338175799336</v>
      </c>
      <c r="U23" s="132">
        <f>IF(SER_hh_fech_in!U23=0,0,SER_hh_fech_in!U23/SER_summary!U$27)</f>
        <v>16.470537298540794</v>
      </c>
      <c r="V23" s="132">
        <f>IF(SER_hh_fech_in!V23=0,0,SER_hh_fech_in!V23/SER_summary!V$27)</f>
        <v>15.814311625892914</v>
      </c>
      <c r="W23" s="132">
        <f>IF(SER_hh_fech_in!W23=0,0,SER_hh_fech_in!W23/SER_summary!W$27)</f>
        <v>17.261505926262497</v>
      </c>
      <c r="X23" s="132">
        <f>IF(SER_hh_fech_in!X23=0,0,SER_hh_fech_in!X23/SER_summary!X$27)</f>
        <v>0</v>
      </c>
      <c r="Y23" s="132">
        <f>IF(SER_hh_fech_in!Y23=0,0,SER_hh_fech_in!Y23/SER_summary!Y$27)</f>
        <v>11.62854033087409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16.225919094637838</v>
      </c>
      <c r="D25" s="132">
        <f>IF(SER_hh_fech_in!D25=0,0,SER_hh_fech_in!D25/SER_summary!D$27)</f>
        <v>16.495778498281734</v>
      </c>
      <c r="E25" s="132">
        <f>IF(SER_hh_fech_in!E25=0,0,SER_hh_fech_in!E25/SER_summary!E$27)</f>
        <v>16.345970869461844</v>
      </c>
      <c r="F25" s="132">
        <f>IF(SER_hh_fech_in!F25=0,0,SER_hh_fech_in!F25/SER_summary!F$27)</f>
        <v>16.008252967804665</v>
      </c>
      <c r="G25" s="132">
        <f>IF(SER_hh_fech_in!G25=0,0,SER_hh_fech_in!G25/SER_summary!G$27)</f>
        <v>15.86866505339891</v>
      </c>
      <c r="H25" s="132">
        <f>IF(SER_hh_fech_in!H25=0,0,SER_hh_fech_in!H25/SER_summary!H$27)</f>
        <v>15.668931148749818</v>
      </c>
      <c r="I25" s="132">
        <f>IF(SER_hh_fech_in!I25=0,0,SER_hh_fech_in!I25/SER_summary!I$27)</f>
        <v>15.324346831190411</v>
      </c>
      <c r="J25" s="132">
        <f>IF(SER_hh_fech_in!J25=0,0,SER_hh_fech_in!J25/SER_summary!J$27)</f>
        <v>15.108495262429216</v>
      </c>
      <c r="K25" s="132">
        <f>IF(SER_hh_fech_in!K25=0,0,SER_hh_fech_in!K25/SER_summary!K$27)</f>
        <v>13.065088992922091</v>
      </c>
      <c r="L25" s="132">
        <f>IF(SER_hh_fech_in!L25=0,0,SER_hh_fech_in!L25/SER_summary!L$27)</f>
        <v>16.491712678492508</v>
      </c>
      <c r="M25" s="132">
        <f>IF(SER_hh_fech_in!M25=0,0,SER_hh_fech_in!M25/SER_summary!M$27)</f>
        <v>16.070541298131221</v>
      </c>
      <c r="N25" s="132">
        <f>IF(SER_hh_fech_in!N25=0,0,SER_hh_fech_in!N25/SER_summary!N$27)</f>
        <v>15.925246951534868</v>
      </c>
      <c r="O25" s="132">
        <f>IF(SER_hh_fech_in!O25=0,0,SER_hh_fech_in!O25/SER_summary!O$27)</f>
        <v>16.433937412216721</v>
      </c>
      <c r="P25" s="132">
        <f>IF(SER_hh_fech_in!P25=0,0,SER_hh_fech_in!P25/SER_summary!P$27)</f>
        <v>15.418133232696944</v>
      </c>
      <c r="Q25" s="132">
        <f>IF(SER_hh_fech_in!Q25=0,0,SER_hh_fech_in!Q25/SER_summary!Q$27)</f>
        <v>16.050232520385933</v>
      </c>
      <c r="R25" s="132">
        <f>IF(SER_hh_fech_in!R25=0,0,SER_hh_fech_in!R25/SER_summary!R$27)</f>
        <v>16.189347407085222</v>
      </c>
      <c r="S25" s="132">
        <f>IF(SER_hh_fech_in!S25=0,0,SER_hh_fech_in!S25/SER_summary!S$27)</f>
        <v>15.92110628902949</v>
      </c>
      <c r="T25" s="132">
        <f>IF(SER_hh_fech_in!T25=0,0,SER_hh_fech_in!T25/SER_summary!T$27)</f>
        <v>15.57937767255064</v>
      </c>
      <c r="U25" s="132">
        <f>IF(SER_hh_fech_in!U25=0,0,SER_hh_fech_in!U25/SER_summary!U$27)</f>
        <v>15.08985358513479</v>
      </c>
      <c r="V25" s="132">
        <f>IF(SER_hh_fech_in!V25=0,0,SER_hh_fech_in!V25/SER_summary!V$27)</f>
        <v>13.638585876349655</v>
      </c>
      <c r="W25" s="132">
        <f>IF(SER_hh_fech_in!W25=0,0,SER_hh_fech_in!W25/SER_summary!W$27)</f>
        <v>12.587901396383829</v>
      </c>
      <c r="X25" s="132">
        <f>IF(SER_hh_fech_in!X25=0,0,SER_hh_fech_in!X25/SER_summary!X$27)</f>
        <v>15.499891627173087</v>
      </c>
      <c r="Y25" s="132">
        <f>IF(SER_hh_fech_in!Y25=0,0,SER_hh_fech_in!Y25/SER_summary!Y$27)</f>
        <v>15.328077193151955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18.55292333170042</v>
      </c>
      <c r="D26" s="65">
        <f>IF(SER_hh_fech_in!D26=0,0,SER_hh_fech_in!D26/SER_summary!D$27)</f>
        <v>20.811807883423988</v>
      </c>
      <c r="E26" s="65">
        <f>IF(SER_hh_fech_in!E26=0,0,SER_hh_fech_in!E26/SER_summary!E$27)</f>
        <v>20.802185505482274</v>
      </c>
      <c r="F26" s="65">
        <f>IF(SER_hh_fech_in!F26=0,0,SER_hh_fech_in!F26/SER_summary!F$27)</f>
        <v>17.666835764636584</v>
      </c>
      <c r="G26" s="65">
        <f>IF(SER_hh_fech_in!G26=0,0,SER_hh_fech_in!G26/SER_summary!G$27)</f>
        <v>18.21167308576344</v>
      </c>
      <c r="H26" s="65">
        <f>IF(SER_hh_fech_in!H26=0,0,SER_hh_fech_in!H26/SER_summary!H$27)</f>
        <v>18.206195036613966</v>
      </c>
      <c r="I26" s="65">
        <f>IF(SER_hh_fech_in!I26=0,0,SER_hh_fech_in!I26/SER_summary!I$27)</f>
        <v>17.151091539861614</v>
      </c>
      <c r="J26" s="65">
        <f>IF(SER_hh_fech_in!J26=0,0,SER_hh_fech_in!J26/SER_summary!J$27)</f>
        <v>17.180190378426385</v>
      </c>
      <c r="K26" s="65">
        <f>IF(SER_hh_fech_in!K26=0,0,SER_hh_fech_in!K26/SER_summary!K$27)</f>
        <v>7.6591091856012623</v>
      </c>
      <c r="L26" s="65">
        <f>IF(SER_hh_fech_in!L26=0,0,SER_hh_fech_in!L26/SER_summary!L$27)</f>
        <v>18.546125440138297</v>
      </c>
      <c r="M26" s="65">
        <f>IF(SER_hh_fech_in!M26=0,0,SER_hh_fech_in!M26/SER_summary!M$27)</f>
        <v>18.234638304000537</v>
      </c>
      <c r="N26" s="65">
        <f>IF(SER_hh_fech_in!N26=0,0,SER_hh_fech_in!N26/SER_summary!N$27)</f>
        <v>18.196230171617572</v>
      </c>
      <c r="O26" s="65">
        <f>IF(SER_hh_fech_in!O26=0,0,SER_hh_fech_in!O26/SER_summary!O$27)</f>
        <v>18.397267459185056</v>
      </c>
      <c r="P26" s="65">
        <f>IF(SER_hh_fech_in!P26=0,0,SER_hh_fech_in!P26/SER_summary!P$27)</f>
        <v>17.309935291196826</v>
      </c>
      <c r="Q26" s="65">
        <f>IF(SER_hh_fech_in!Q26=0,0,SER_hh_fech_in!Q26/SER_summary!Q$27)</f>
        <v>15.139181010184961</v>
      </c>
      <c r="R26" s="65">
        <f>IF(SER_hh_fech_in!R26=0,0,SER_hh_fech_in!R26/SER_summary!R$27)</f>
        <v>13.88103164555843</v>
      </c>
      <c r="S26" s="65">
        <f>IF(SER_hh_fech_in!S26=0,0,SER_hh_fech_in!S26/SER_summary!S$27)</f>
        <v>15.952603194113754</v>
      </c>
      <c r="T26" s="65">
        <f>IF(SER_hh_fech_in!T26=0,0,SER_hh_fech_in!T26/SER_summary!T$27)</f>
        <v>15.832100505349695</v>
      </c>
      <c r="U26" s="65">
        <f>IF(SER_hh_fech_in!U26=0,0,SER_hh_fech_in!U26/SER_summary!U$27)</f>
        <v>14.828784305087147</v>
      </c>
      <c r="V26" s="65">
        <f>IF(SER_hh_fech_in!V26=0,0,SER_hh_fech_in!V26/SER_summary!V$27)</f>
        <v>13.984665516101261</v>
      </c>
      <c r="W26" s="65">
        <f>IF(SER_hh_fech_in!W26=0,0,SER_hh_fech_in!W26/SER_summary!W$27)</f>
        <v>13.423252831551041</v>
      </c>
      <c r="X26" s="65">
        <f>IF(SER_hh_fech_in!X26=0,0,SER_hh_fech_in!X26/SER_summary!X$27)</f>
        <v>13.100480581236249</v>
      </c>
      <c r="Y26" s="65">
        <f>IF(SER_hh_fech_in!Y26=0,0,SER_hh_fech_in!Y26/SER_summary!Y$27)</f>
        <v>15.119695754447271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2.7333834978001327E-2</v>
      </c>
      <c r="E27" s="145">
        <f>IF(SER_hh_fech_in!E27=0,0,SER_hh_fech_in!E27/SER_summary!E$27)</f>
        <v>0.35352111229959915</v>
      </c>
      <c r="F27" s="145">
        <f>IF(SER_hh_fech_in!F27=0,0,SER_hh_fech_in!F27/SER_summary!F$27)</f>
        <v>5.938686522388955E-2</v>
      </c>
      <c r="G27" s="145">
        <f>IF(SER_hh_fech_in!G27=0,0,SER_hh_fech_in!G27/SER_summary!G$27)</f>
        <v>1.9827228697318636E-2</v>
      </c>
      <c r="H27" s="145">
        <f>IF(SER_hh_fech_in!H27=0,0,SER_hh_fech_in!H27/SER_summary!H$27)</f>
        <v>0.15899434882291474</v>
      </c>
      <c r="I27" s="145">
        <f>IF(SER_hh_fech_in!I27=0,0,SER_hh_fech_in!I27/SER_summary!I$27)</f>
        <v>0.36209495450042273</v>
      </c>
      <c r="J27" s="145">
        <f>IF(SER_hh_fech_in!J27=0,0,SER_hh_fech_in!J27/SER_summary!J$27)</f>
        <v>0.42481109020377039</v>
      </c>
      <c r="K27" s="145">
        <f>IF(SER_hh_fech_in!K27=0,0,SER_hh_fech_in!K27/SER_summary!K$27)</f>
        <v>4.2586010213792189</v>
      </c>
      <c r="L27" s="145">
        <f>IF(SER_hh_fech_in!L27=0,0,SER_hh_fech_in!L27/SER_summary!L$27)</f>
        <v>0</v>
      </c>
      <c r="M27" s="145">
        <f>IF(SER_hh_fech_in!M27=0,0,SER_hh_fech_in!M27/SER_summary!M$27)</f>
        <v>5.9925763809863732E-2</v>
      </c>
      <c r="N27" s="145">
        <f>IF(SER_hh_fech_in!N27=0,0,SER_hh_fech_in!N27/SER_summary!N$27)</f>
        <v>4.7002726692081921E-2</v>
      </c>
      <c r="O27" s="145">
        <f>IF(SER_hh_fech_in!O27=0,0,SER_hh_fech_in!O27/SER_summary!O$27)</f>
        <v>1.7108538228169725E-15</v>
      </c>
      <c r="P27" s="145">
        <f>IF(SER_hh_fech_in!P27=0,0,SER_hh_fech_in!P27/SER_summary!P$27)</f>
        <v>0.32651649724214155</v>
      </c>
      <c r="Q27" s="145">
        <f>IF(SER_hh_fech_in!Q27=0,0,SER_hh_fech_in!Q27/SER_summary!Q$27)</f>
        <v>0.72870775992195114</v>
      </c>
      <c r="R27" s="145">
        <f>IF(SER_hh_fech_in!R27=0,0,SER_hh_fech_in!R27/SER_summary!R$27)</f>
        <v>1.2796796895948497</v>
      </c>
      <c r="S27" s="145">
        <f>IF(SER_hh_fech_in!S27=0,0,SER_hh_fech_in!S27/SER_summary!S$27)</f>
        <v>0.34426853588142198</v>
      </c>
      <c r="T27" s="145">
        <f>IF(SER_hh_fech_in!T27=0,0,SER_hh_fech_in!T27/SER_summary!T$27)</f>
        <v>0.2821648726962338</v>
      </c>
      <c r="U27" s="145">
        <f>IF(SER_hh_fech_in!U27=0,0,SER_hh_fech_in!U27/SER_summary!U$27)</f>
        <v>0.19569942572617435</v>
      </c>
      <c r="V27" s="145">
        <f>IF(SER_hh_fech_in!V27=0,0,SER_hh_fech_in!V27/SER_summary!V$27)</f>
        <v>1.6946996235486813E-15</v>
      </c>
      <c r="W27" s="145">
        <f>IF(SER_hh_fech_in!W27=0,0,SER_hh_fech_in!W27/SER_summary!W$27)</f>
        <v>0</v>
      </c>
      <c r="X27" s="145">
        <f>IF(SER_hh_fech_in!X27=0,0,SER_hh_fech_in!X27/SER_summary!X$27)</f>
        <v>1.1011741436912132</v>
      </c>
      <c r="Y27" s="145">
        <f>IF(SER_hh_fech_in!Y27=0,0,SER_hh_fech_in!Y27/SER_summary!Y$27)</f>
        <v>0.26270548410251016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8.7077021615419099</v>
      </c>
      <c r="E28" s="146">
        <f>IF(SER_hh_fech_in!E28=0,0,SER_hh_fech_in!E28/SER_summary!E$27)</f>
        <v>8.7939047825001797</v>
      </c>
      <c r="F28" s="146">
        <f>IF(SER_hh_fech_in!F28=0,0,SER_hh_fech_in!F28/SER_summary!F$27)</f>
        <v>8.7515202766200026</v>
      </c>
      <c r="G28" s="146">
        <f>IF(SER_hh_fech_in!G28=0,0,SER_hh_fech_in!G28/SER_summary!G$27)</f>
        <v>8.2242554943837689</v>
      </c>
      <c r="H28" s="146">
        <f>IF(SER_hh_fech_in!H28=0,0,SER_hh_fech_in!H28/SER_summary!H$27)</f>
        <v>8.2469050660213341</v>
      </c>
      <c r="I28" s="146">
        <f>IF(SER_hh_fech_in!I28=0,0,SER_hh_fech_in!I28/SER_summary!I$27)</f>
        <v>7.865951345020096</v>
      </c>
      <c r="J28" s="146">
        <f>IF(SER_hh_fech_in!J28=0,0,SER_hh_fech_in!J28/SER_summary!J$27)</f>
        <v>8.4127314361793424</v>
      </c>
      <c r="K28" s="146">
        <f>IF(SER_hh_fech_in!K28=0,0,SER_hh_fech_in!K28/SER_summary!K$27)</f>
        <v>8.3145656590322208</v>
      </c>
      <c r="L28" s="146">
        <f>IF(SER_hh_fech_in!L28=0,0,SER_hh_fech_in!L28/SER_summary!L$27)</f>
        <v>0</v>
      </c>
      <c r="M28" s="146">
        <f>IF(SER_hh_fech_in!M28=0,0,SER_hh_fech_in!M28/SER_summary!M$27)</f>
        <v>8.7204872063542265</v>
      </c>
      <c r="N28" s="146">
        <f>IF(SER_hh_fech_in!N28=0,0,SER_hh_fech_in!N28/SER_summary!N$27)</f>
        <v>8.847186304410398</v>
      </c>
      <c r="O28" s="146">
        <f>IF(SER_hh_fech_in!O28=0,0,SER_hh_fech_in!O28/SER_summary!O$27)</f>
        <v>10.350354501089647</v>
      </c>
      <c r="P28" s="146">
        <f>IF(SER_hh_fech_in!P28=0,0,SER_hh_fech_in!P28/SER_summary!P$27)</f>
        <v>10.536420167718152</v>
      </c>
      <c r="Q28" s="146">
        <f>IF(SER_hh_fech_in!Q28=0,0,SER_hh_fech_in!Q28/SER_summary!Q$27)</f>
        <v>9.9676000322283294</v>
      </c>
      <c r="R28" s="146">
        <f>IF(SER_hh_fech_in!R28=0,0,SER_hh_fech_in!R28/SER_summary!R$27)</f>
        <v>9.0672406778912009</v>
      </c>
      <c r="S28" s="146">
        <f>IF(SER_hh_fech_in!S28=0,0,SER_hh_fech_in!S28/SER_summary!S$27)</f>
        <v>8.7257145425917759</v>
      </c>
      <c r="T28" s="146">
        <f>IF(SER_hh_fech_in!T28=0,0,SER_hh_fech_in!T28/SER_summary!T$27)</f>
        <v>9.3050820819328468</v>
      </c>
      <c r="U28" s="146">
        <f>IF(SER_hh_fech_in!U28=0,0,SER_hh_fech_in!U28/SER_summary!U$27)</f>
        <v>8.7840250969604412</v>
      </c>
      <c r="V28" s="146">
        <f>IF(SER_hh_fech_in!V28=0,0,SER_hh_fech_in!V28/SER_summary!V$27)</f>
        <v>9.9652274688119622</v>
      </c>
      <c r="W28" s="146">
        <f>IF(SER_hh_fech_in!W28=0,0,SER_hh_fech_in!W28/SER_summary!W$27)</f>
        <v>0</v>
      </c>
      <c r="X28" s="146">
        <f>IF(SER_hh_fech_in!X28=0,0,SER_hh_fech_in!X28/SER_summary!X$27)</f>
        <v>9.7103700993004054</v>
      </c>
      <c r="Y28" s="146">
        <f>IF(SER_hh_fech_in!Y28=0,0,SER_hh_fech_in!Y28/SER_summary!Y$27)</f>
        <v>9.3189939388948932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15.771509585261748</v>
      </c>
      <c r="D29" s="130">
        <f>IF(SER_hh_fech_in!D29=0,0,SER_hh_fech_in!D29/SER_summary!D$27)</f>
        <v>16.19623234017687</v>
      </c>
      <c r="E29" s="130">
        <f>IF(SER_hh_fech_in!E29=0,0,SER_hh_fech_in!E29/SER_summary!E$27)</f>
        <v>17.020671809200973</v>
      </c>
      <c r="F29" s="130">
        <f>IF(SER_hh_fech_in!F29=0,0,SER_hh_fech_in!F29/SER_summary!F$27)</f>
        <v>15.679117315524149</v>
      </c>
      <c r="G29" s="130">
        <f>IF(SER_hh_fech_in!G29=0,0,SER_hh_fech_in!G29/SER_summary!G$27)</f>
        <v>16.460719256115297</v>
      </c>
      <c r="H29" s="130">
        <f>IF(SER_hh_fech_in!H29=0,0,SER_hh_fech_in!H29/SER_summary!H$27)</f>
        <v>16.564120866421575</v>
      </c>
      <c r="I29" s="130">
        <f>IF(SER_hh_fech_in!I29=0,0,SER_hh_fech_in!I29/SER_summary!I$27)</f>
        <v>16.71736292683082</v>
      </c>
      <c r="J29" s="130">
        <f>IF(SER_hh_fech_in!J29=0,0,SER_hh_fech_in!J29/SER_summary!J$27)</f>
        <v>17.566739871328238</v>
      </c>
      <c r="K29" s="130">
        <f>IF(SER_hh_fech_in!K29=0,0,SER_hh_fech_in!K29/SER_summary!K$27)</f>
        <v>18.378741453003904</v>
      </c>
      <c r="L29" s="130">
        <f>IF(SER_hh_fech_in!L29=0,0,SER_hh_fech_in!L29/SER_summary!L$27)</f>
        <v>18.136789822182472</v>
      </c>
      <c r="M29" s="130">
        <f>IF(SER_hh_fech_in!M29=0,0,SER_hh_fech_in!M29/SER_summary!M$27)</f>
        <v>16.925943106794911</v>
      </c>
      <c r="N29" s="130">
        <f>IF(SER_hh_fech_in!N29=0,0,SER_hh_fech_in!N29/SER_summary!N$27)</f>
        <v>17.535410958191171</v>
      </c>
      <c r="O29" s="130">
        <f>IF(SER_hh_fech_in!O29=0,0,SER_hh_fech_in!O29/SER_summary!O$27)</f>
        <v>17.645278394415964</v>
      </c>
      <c r="P29" s="130">
        <f>IF(SER_hh_fech_in!P29=0,0,SER_hh_fech_in!P29/SER_summary!P$27)</f>
        <v>18.138961792017874</v>
      </c>
      <c r="Q29" s="130">
        <f>IF(SER_hh_fech_in!Q29=0,0,SER_hh_fech_in!Q29/SER_summary!Q$27)</f>
        <v>19.055972286549256</v>
      </c>
      <c r="R29" s="130">
        <f>IF(SER_hh_fech_in!R29=0,0,SER_hh_fech_in!R29/SER_summary!R$27)</f>
        <v>19.114027961164009</v>
      </c>
      <c r="S29" s="130">
        <f>IF(SER_hh_fech_in!S29=0,0,SER_hh_fech_in!S29/SER_summary!S$27)</f>
        <v>19.374366174735883</v>
      </c>
      <c r="T29" s="130">
        <f>IF(SER_hh_fech_in!T29=0,0,SER_hh_fech_in!T29/SER_summary!T$27)</f>
        <v>19.452147373821489</v>
      </c>
      <c r="U29" s="130">
        <f>IF(SER_hh_fech_in!U29=0,0,SER_hh_fech_in!U29/SER_summary!U$27)</f>
        <v>18.855497737626749</v>
      </c>
      <c r="V29" s="130">
        <f>IF(SER_hh_fech_in!V29=0,0,SER_hh_fech_in!V29/SER_summary!V$27)</f>
        <v>17.94016259866385</v>
      </c>
      <c r="W29" s="130">
        <f>IF(SER_hh_fech_in!W29=0,0,SER_hh_fech_in!W29/SER_summary!W$27)</f>
        <v>17.495550616129044</v>
      </c>
      <c r="X29" s="130">
        <f>IF(SER_hh_fech_in!X29=0,0,SER_hh_fech_in!X29/SER_summary!X$27)</f>
        <v>17.446297369987718</v>
      </c>
      <c r="Y29" s="130">
        <f>IF(SER_hh_fech_in!Y29=0,0,SER_hh_fech_in!Y29/SER_summary!Y$27)</f>
        <v>17.406249852671849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19.520063894237033</v>
      </c>
      <c r="D30" s="132">
        <f>IF(SER_hh_fech_in!D30=0,0,SER_hh_fech_in!D30/SER_summary!D$27)</f>
        <v>0</v>
      </c>
      <c r="E30" s="132">
        <f>IF(SER_hh_fech_in!E30=0,0,SER_hh_fech_in!E30/SER_summary!E$27)</f>
        <v>0</v>
      </c>
      <c r="F30" s="132">
        <f>IF(SER_hh_fech_in!F30=0,0,SER_hh_fech_in!F30/SER_summary!F$27)</f>
        <v>0</v>
      </c>
      <c r="G30" s="132">
        <f>IF(SER_hh_fech_in!G30=0,0,SER_hh_fech_in!G30/SER_summary!G$27)</f>
        <v>0</v>
      </c>
      <c r="H30" s="132">
        <f>IF(SER_hh_fech_in!H30=0,0,SER_hh_fech_in!H30/SER_summary!H$27)</f>
        <v>0</v>
      </c>
      <c r="I30" s="132">
        <f>IF(SER_hh_fech_in!I30=0,0,SER_hh_fech_in!I30/SER_summary!I$27)</f>
        <v>0</v>
      </c>
      <c r="J30" s="132">
        <f>IF(SER_hh_fech_in!J30=0,0,SER_hh_fech_in!J30/SER_summary!J$27)</f>
        <v>20.589128872234415</v>
      </c>
      <c r="K30" s="132">
        <f>IF(SER_hh_fech_in!K30=0,0,SER_hh_fech_in!K30/SER_summary!K$27)</f>
        <v>20.050892899644015</v>
      </c>
      <c r="L30" s="132">
        <f>IF(SER_hh_fech_in!L30=0,0,SER_hh_fech_in!L30/SER_summary!L$27)</f>
        <v>24.171952042484115</v>
      </c>
      <c r="M30" s="132">
        <f>IF(SER_hh_fech_in!M30=0,0,SER_hh_fech_in!M30/SER_summary!M$27)</f>
        <v>0</v>
      </c>
      <c r="N30" s="132">
        <f>IF(SER_hh_fech_in!N30=0,0,SER_hh_fech_in!N30/SER_summary!N$27)</f>
        <v>0</v>
      </c>
      <c r="O30" s="132">
        <f>IF(SER_hh_fech_in!O30=0,0,SER_hh_fech_in!O30/SER_summary!O$27)</f>
        <v>22.594989705026926</v>
      </c>
      <c r="P30" s="132">
        <f>IF(SER_hh_fech_in!P30=0,0,SER_hh_fech_in!P30/SER_summary!P$27)</f>
        <v>0</v>
      </c>
      <c r="Q30" s="132">
        <f>IF(SER_hh_fech_in!Q30=0,0,SER_hh_fech_in!Q30/SER_summary!Q$27)</f>
        <v>27.831745195719336</v>
      </c>
      <c r="R30" s="132">
        <f>IF(SER_hh_fech_in!R30=0,0,SER_hh_fech_in!R30/SER_summary!R$27)</f>
        <v>21.233227999359759</v>
      </c>
      <c r="S30" s="132">
        <f>IF(SER_hh_fech_in!S30=0,0,SER_hh_fech_in!S30/SER_summary!S$27)</f>
        <v>23.758110109905914</v>
      </c>
      <c r="T30" s="132">
        <f>IF(SER_hh_fech_in!T30=0,0,SER_hh_fech_in!T30/SER_summary!T$27)</f>
        <v>22.143293189247597</v>
      </c>
      <c r="U30" s="132">
        <f>IF(SER_hh_fech_in!U30=0,0,SER_hh_fech_in!U30/SER_summary!U$27)</f>
        <v>21.4605515565666</v>
      </c>
      <c r="V30" s="132">
        <f>IF(SER_hh_fech_in!V30=0,0,SER_hh_fech_in!V30/SER_summary!V$27)</f>
        <v>23.850334218747193</v>
      </c>
      <c r="W30" s="132">
        <f>IF(SER_hh_fech_in!W30=0,0,SER_hh_fech_in!W30/SER_summary!W$27)</f>
        <v>25.603441620853655</v>
      </c>
      <c r="X30" s="132">
        <f>IF(SER_hh_fech_in!X30=0,0,SER_hh_fech_in!X30/SER_summary!X$27)</f>
        <v>0</v>
      </c>
      <c r="Y30" s="132">
        <f>IF(SER_hh_fech_in!Y30=0,0,SER_hh_fech_in!Y30/SER_summary!Y$27)</f>
        <v>0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18.086886485158011</v>
      </c>
      <c r="D31" s="132">
        <f>IF(SER_hh_fech_in!D31=0,0,SER_hh_fech_in!D31/SER_summary!D$27)</f>
        <v>18.700542948805282</v>
      </c>
      <c r="E31" s="132">
        <f>IF(SER_hh_fech_in!E31=0,0,SER_hh_fech_in!E31/SER_summary!E$27)</f>
        <v>19.059857279152169</v>
      </c>
      <c r="F31" s="132">
        <f>IF(SER_hh_fech_in!F31=0,0,SER_hh_fech_in!F31/SER_summary!F$27)</f>
        <v>18.835617275038022</v>
      </c>
      <c r="G31" s="132">
        <f>IF(SER_hh_fech_in!G31=0,0,SER_hh_fech_in!G31/SER_summary!G$27)</f>
        <v>18.999937007983306</v>
      </c>
      <c r="H31" s="132">
        <f>IF(SER_hh_fech_in!H31=0,0,SER_hh_fech_in!H31/SER_summary!H$27)</f>
        <v>19.009659224407898</v>
      </c>
      <c r="I31" s="132">
        <f>IF(SER_hh_fech_in!I31=0,0,SER_hh_fech_in!I31/SER_summary!I$27)</f>
        <v>19.38520751353294</v>
      </c>
      <c r="J31" s="132">
        <f>IF(SER_hh_fech_in!J31=0,0,SER_hh_fech_in!J31/SER_summary!J$27)</f>
        <v>19.797454019771575</v>
      </c>
      <c r="K31" s="132">
        <f>IF(SER_hh_fech_in!K31=0,0,SER_hh_fech_in!K31/SER_summary!K$27)</f>
        <v>20.008395574364521</v>
      </c>
      <c r="L31" s="132">
        <f>IF(SER_hh_fech_in!L31=0,0,SER_hh_fech_in!L31/SER_summary!L$27)</f>
        <v>20.185677671671865</v>
      </c>
      <c r="M31" s="132">
        <f>IF(SER_hh_fech_in!M31=0,0,SER_hh_fech_in!M31/SER_summary!M$27)</f>
        <v>20.475382575285664</v>
      </c>
      <c r="N31" s="132">
        <f>IF(SER_hh_fech_in!N31=0,0,SER_hh_fech_in!N31/SER_summary!N$27)</f>
        <v>21.111748376516733</v>
      </c>
      <c r="O31" s="132">
        <f>IF(SER_hh_fech_in!O31=0,0,SER_hh_fech_in!O31/SER_summary!O$27)</f>
        <v>21.572839806734883</v>
      </c>
      <c r="P31" s="132">
        <f>IF(SER_hh_fech_in!P31=0,0,SER_hh_fech_in!P31/SER_summary!P$27)</f>
        <v>22.011019812536951</v>
      </c>
      <c r="Q31" s="132">
        <f>IF(SER_hh_fech_in!Q31=0,0,SER_hh_fech_in!Q31/SER_summary!Q$27)</f>
        <v>22.594407150313874</v>
      </c>
      <c r="R31" s="132">
        <f>IF(SER_hh_fech_in!R31=0,0,SER_hh_fech_in!R31/SER_summary!R$27)</f>
        <v>22.986117767634489</v>
      </c>
      <c r="S31" s="132">
        <f>IF(SER_hh_fech_in!S31=0,0,SER_hh_fech_in!S31/SER_summary!S$27)</f>
        <v>23.033718991514615</v>
      </c>
      <c r="T31" s="132">
        <f>IF(SER_hh_fech_in!T31=0,0,SER_hh_fech_in!T31/SER_summary!T$27)</f>
        <v>22.926890808922337</v>
      </c>
      <c r="U31" s="132">
        <f>IF(SER_hh_fech_in!U31=0,0,SER_hh_fech_in!U31/SER_summary!U$27)</f>
        <v>22.785617209471294</v>
      </c>
      <c r="V31" s="132">
        <f>IF(SER_hh_fech_in!V31=0,0,SER_hh_fech_in!V31/SER_summary!V$27)</f>
        <v>22.02284792943869</v>
      </c>
      <c r="W31" s="132">
        <f>IF(SER_hh_fech_in!W31=0,0,SER_hh_fech_in!W31/SER_summary!W$27)</f>
        <v>21.097376630559882</v>
      </c>
      <c r="X31" s="132">
        <f>IF(SER_hh_fech_in!X31=0,0,SER_hh_fech_in!X31/SER_summary!X$27)</f>
        <v>23.249044888163418</v>
      </c>
      <c r="Y31" s="132">
        <f>IF(SER_hh_fech_in!Y31=0,0,SER_hh_fech_in!Y31/SER_summary!Y$27)</f>
        <v>22.069089711876938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26.472377473782572</v>
      </c>
      <c r="K32" s="132">
        <f>IF(SER_hh_fech_in!K32=0,0,SER_hh_fech_in!K32/SER_summary!K$27)</f>
        <v>15.36581585776336</v>
      </c>
      <c r="L32" s="132">
        <f>IF(SER_hh_fech_in!L32=0,0,SER_hh_fech_in!L32/SER_summary!L$27)</f>
        <v>26.603955816837036</v>
      </c>
      <c r="M32" s="132">
        <f>IF(SER_hh_fech_in!M32=0,0,SER_hh_fech_in!M32/SER_summary!M$27)</f>
        <v>25.143533772253676</v>
      </c>
      <c r="N32" s="132">
        <f>IF(SER_hh_fech_in!N32=0,0,SER_hh_fech_in!N32/SER_summary!N$27)</f>
        <v>13.35376401311572</v>
      </c>
      <c r="O32" s="132">
        <f>IF(SER_hh_fech_in!O32=0,0,SER_hh_fech_in!O32/SER_summary!O$27)</f>
        <v>20.930168748177092</v>
      </c>
      <c r="P32" s="132">
        <f>IF(SER_hh_fech_in!P32=0,0,SER_hh_fech_in!P32/SER_summary!P$27)</f>
        <v>24.771835578482989</v>
      </c>
      <c r="Q32" s="132">
        <f>IF(SER_hh_fech_in!Q32=0,0,SER_hh_fech_in!Q32/SER_summary!Q$27)</f>
        <v>25.350313104542856</v>
      </c>
      <c r="R32" s="132">
        <f>IF(SER_hh_fech_in!R32=0,0,SER_hh_fech_in!R32/SER_summary!R$27)</f>
        <v>24.664723480122166</v>
      </c>
      <c r="S32" s="132">
        <f>IF(SER_hh_fech_in!S32=0,0,SER_hh_fech_in!S32/SER_summary!S$27)</f>
        <v>23.746616579302419</v>
      </c>
      <c r="T32" s="132">
        <f>IF(SER_hh_fech_in!T32=0,0,SER_hh_fech_in!T32/SER_summary!T$27)</f>
        <v>24.679117053597313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21.16163101453856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13.210867274509248</v>
      </c>
      <c r="D33" s="68">
        <f>IF(SER_hh_fech_in!D33=0,0,SER_hh_fech_in!D33/SER_summary!D$27)</f>
        <v>15.374118217023758</v>
      </c>
      <c r="E33" s="68">
        <f>IF(SER_hh_fech_in!E33=0,0,SER_hh_fech_in!E33/SER_summary!E$27)</f>
        <v>15.87850776043771</v>
      </c>
      <c r="F33" s="68">
        <f>IF(SER_hh_fech_in!F33=0,0,SER_hh_fech_in!F33/SER_summary!F$27)</f>
        <v>12.587903941588413</v>
      </c>
      <c r="G33" s="68">
        <f>IF(SER_hh_fech_in!G33=0,0,SER_hh_fech_in!G33/SER_summary!G$27)</f>
        <v>14.84422897579026</v>
      </c>
      <c r="H33" s="68">
        <f>IF(SER_hh_fech_in!H33=0,0,SER_hh_fech_in!H33/SER_summary!H$27)</f>
        <v>14.523763825307244</v>
      </c>
      <c r="I33" s="68">
        <f>IF(SER_hh_fech_in!I33=0,0,SER_hh_fech_in!I33/SER_summary!I$27)</f>
        <v>14.797376891401951</v>
      </c>
      <c r="J33" s="68">
        <f>IF(SER_hh_fech_in!J33=0,0,SER_hh_fech_in!J33/SER_summary!J$27)</f>
        <v>14.743457494969674</v>
      </c>
      <c r="K33" s="68">
        <f>IF(SER_hh_fech_in!K33=0,0,SER_hh_fech_in!K33/SER_summary!K$27)</f>
        <v>15.312101193596567</v>
      </c>
      <c r="L33" s="68">
        <f>IF(SER_hh_fech_in!L33=0,0,SER_hh_fech_in!L33/SER_summary!L$27)</f>
        <v>15.016466421295782</v>
      </c>
      <c r="M33" s="68">
        <f>IF(SER_hh_fech_in!M33=0,0,SER_hh_fech_in!M33/SER_summary!M$27)</f>
        <v>15.240096255773731</v>
      </c>
      <c r="N33" s="68">
        <f>IF(SER_hh_fech_in!N33=0,0,SER_hh_fech_in!N33/SER_summary!N$27)</f>
        <v>15.700440132690895</v>
      </c>
      <c r="O33" s="68">
        <f>IF(SER_hh_fech_in!O33=0,0,SER_hh_fech_in!O33/SER_summary!O$27)</f>
        <v>15.529062177050736</v>
      </c>
      <c r="P33" s="68">
        <f>IF(SER_hh_fech_in!P33=0,0,SER_hh_fech_in!P33/SER_summary!P$27)</f>
        <v>16.581343087245887</v>
      </c>
      <c r="Q33" s="68">
        <f>IF(SER_hh_fech_in!Q33=0,0,SER_hh_fech_in!Q33/SER_summary!Q$27)</f>
        <v>16.573670765481275</v>
      </c>
      <c r="R33" s="68">
        <f>IF(SER_hh_fech_in!R33=0,0,SER_hh_fech_in!R33/SER_summary!R$27)</f>
        <v>16.840703315427998</v>
      </c>
      <c r="S33" s="68">
        <f>IF(SER_hh_fech_in!S33=0,0,SER_hh_fech_in!S33/SER_summary!S$27)</f>
        <v>16.694111619090421</v>
      </c>
      <c r="T33" s="68">
        <f>IF(SER_hh_fech_in!T33=0,0,SER_hh_fech_in!T33/SER_summary!T$27)</f>
        <v>16.676367559821539</v>
      </c>
      <c r="U33" s="68">
        <f>IF(SER_hh_fech_in!U33=0,0,SER_hh_fech_in!U33/SER_summary!U$27)</f>
        <v>15.592800978925636</v>
      </c>
      <c r="V33" s="68">
        <f>IF(SER_hh_fech_in!V33=0,0,SER_hh_fech_in!V33/SER_summary!V$27)</f>
        <v>14.453264048008531</v>
      </c>
      <c r="W33" s="68">
        <f>IF(SER_hh_fech_in!W33=0,0,SER_hh_fech_in!W33/SER_summary!W$27)</f>
        <v>15.626477448883161</v>
      </c>
      <c r="X33" s="68">
        <f>IF(SER_hh_fech_in!X33=0,0,SER_hh_fech_in!X33/SER_summary!X$27)</f>
        <v>15.107219012455143</v>
      </c>
      <c r="Y33" s="68">
        <f>IF(SER_hh_fech_in!Y33=0,0,SER_hh_fech_in!Y33/SER_summary!Y$27)</f>
        <v>15.80292287183044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138.10393410268145</v>
      </c>
      <c r="D3" s="125">
        <f>IF(SER_hh_tesh_in!D3=0,0,SER_hh_tesh_in!D3/SER_summary!D$27)</f>
        <v>135.56674605737408</v>
      </c>
      <c r="E3" s="125">
        <f>IF(SER_hh_tesh_in!E3=0,0,SER_hh_tesh_in!E3/SER_summary!E$27)</f>
        <v>142.19740906631867</v>
      </c>
      <c r="F3" s="125">
        <f>IF(SER_hh_tesh_in!F3=0,0,SER_hh_tesh_in!F3/SER_summary!F$27)</f>
        <v>198.05443451094982</v>
      </c>
      <c r="G3" s="125">
        <f>IF(SER_hh_tesh_in!G3=0,0,SER_hh_tesh_in!G3/SER_summary!G$27)</f>
        <v>172.59117602526121</v>
      </c>
      <c r="H3" s="125">
        <f>IF(SER_hh_tesh_in!H3=0,0,SER_hh_tesh_in!H3/SER_summary!H$27)</f>
        <v>160.99898796006312</v>
      </c>
      <c r="I3" s="125">
        <f>IF(SER_hh_tesh_in!I3=0,0,SER_hh_tesh_in!I3/SER_summary!I$27)</f>
        <v>141.80577853571259</v>
      </c>
      <c r="J3" s="125">
        <f>IF(SER_hh_tesh_in!J3=0,0,SER_hh_tesh_in!J3/SER_summary!J$27)</f>
        <v>151.15308405633874</v>
      </c>
      <c r="K3" s="125">
        <f>IF(SER_hh_tesh_in!K3=0,0,SER_hh_tesh_in!K3/SER_summary!K$27)</f>
        <v>149.20970121528552</v>
      </c>
      <c r="L3" s="125">
        <f>IF(SER_hh_tesh_in!L3=0,0,SER_hh_tesh_in!L3/SER_summary!L$27)</f>
        <v>154.89134538005209</v>
      </c>
      <c r="M3" s="125">
        <f>IF(SER_hh_tesh_in!M3=0,0,SER_hh_tesh_in!M3/SER_summary!M$27)</f>
        <v>129.61569926902345</v>
      </c>
      <c r="N3" s="125">
        <f>IF(SER_hh_tesh_in!N3=0,0,SER_hh_tesh_in!N3/SER_summary!N$27)</f>
        <v>134.55612980541201</v>
      </c>
      <c r="O3" s="125">
        <f>IF(SER_hh_tesh_in!O3=0,0,SER_hh_tesh_in!O3/SER_summary!O$27)</f>
        <v>139.74628164019629</v>
      </c>
      <c r="P3" s="125">
        <f>IF(SER_hh_tesh_in!P3=0,0,SER_hh_tesh_in!P3/SER_summary!P$27)</f>
        <v>118.99367847914445</v>
      </c>
      <c r="Q3" s="125">
        <f>IF(SER_hh_tesh_in!Q3=0,0,SER_hh_tesh_in!Q3/SER_summary!Q$27)</f>
        <v>127.60921901568453</v>
      </c>
      <c r="R3" s="125">
        <f>IF(SER_hh_tesh_in!R3=0,0,SER_hh_tesh_in!R3/SER_summary!R$27)</f>
        <v>123.64566781195481</v>
      </c>
      <c r="S3" s="125">
        <f>IF(SER_hh_tesh_in!S3=0,0,SER_hh_tesh_in!S3/SER_summary!S$27)</f>
        <v>117.98564969443879</v>
      </c>
      <c r="T3" s="125">
        <f>IF(SER_hh_tesh_in!T3=0,0,SER_hh_tesh_in!T3/SER_summary!T$27)</f>
        <v>118.14291773164852</v>
      </c>
      <c r="U3" s="125">
        <f>IF(SER_hh_tesh_in!U3=0,0,SER_hh_tesh_in!U3/SER_summary!U$27)</f>
        <v>111.32504776932755</v>
      </c>
      <c r="V3" s="125">
        <f>IF(SER_hh_tesh_in!V3=0,0,SER_hh_tesh_in!V3/SER_summary!V$27)</f>
        <v>102.939582389278</v>
      </c>
      <c r="W3" s="125">
        <f>IF(SER_hh_tesh_in!W3=0,0,SER_hh_tesh_in!W3/SER_summary!W$27)</f>
        <v>97.66199264393822</v>
      </c>
      <c r="X3" s="125">
        <f>IF(SER_hh_tesh_in!X3=0,0,SER_hh_tesh_in!X3/SER_summary!X$27)</f>
        <v>83.984658773077285</v>
      </c>
      <c r="Y3" s="125">
        <f>IF(SER_hh_tesh_in!Y3=0,0,SER_hh_tesh_in!Y3/SER_summary!Y$27)</f>
        <v>81.545574830071018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80.99302110810082</v>
      </c>
      <c r="D4" s="130">
        <f>IF(SER_hh_tesh_in!D4=0,0,SER_hh_tesh_in!D4/SER_summary!D$27)</f>
        <v>85.740545999022459</v>
      </c>
      <c r="E4" s="130">
        <f>IF(SER_hh_tesh_in!E4=0,0,SER_hh_tesh_in!E4/SER_summary!E$27)</f>
        <v>74.391762828054596</v>
      </c>
      <c r="F4" s="130">
        <f>IF(SER_hh_tesh_in!F4=0,0,SER_hh_tesh_in!F4/SER_summary!F$27)</f>
        <v>142.06943491791532</v>
      </c>
      <c r="G4" s="130">
        <f>IF(SER_hh_tesh_in!G4=0,0,SER_hh_tesh_in!G4/SER_summary!G$27)</f>
        <v>115.35336116460213</v>
      </c>
      <c r="H4" s="130">
        <f>IF(SER_hh_tesh_in!H4=0,0,SER_hh_tesh_in!H4/SER_summary!H$27)</f>
        <v>96.480733046626199</v>
      </c>
      <c r="I4" s="130">
        <f>IF(SER_hh_tesh_in!I4=0,0,SER_hh_tesh_in!I4/SER_summary!I$27)</f>
        <v>85.74928281120016</v>
      </c>
      <c r="J4" s="130">
        <f>IF(SER_hh_tesh_in!J4=0,0,SER_hh_tesh_in!J4/SER_summary!J$27)</f>
        <v>94.99916520876873</v>
      </c>
      <c r="K4" s="130">
        <f>IF(SER_hh_tesh_in!K4=0,0,SER_hh_tesh_in!K4/SER_summary!K$27)</f>
        <v>92.721237223766124</v>
      </c>
      <c r="L4" s="130">
        <f>IF(SER_hh_tesh_in!L4=0,0,SER_hh_tesh_in!L4/SER_summary!L$27)</f>
        <v>96.577835812756106</v>
      </c>
      <c r="M4" s="130">
        <f>IF(SER_hh_tesh_in!M4=0,0,SER_hh_tesh_in!M4/SER_summary!M$27)</f>
        <v>73.525365716561083</v>
      </c>
      <c r="N4" s="130">
        <f>IF(SER_hh_tesh_in!N4=0,0,SER_hh_tesh_in!N4/SER_summary!N$27)</f>
        <v>77.868175572844436</v>
      </c>
      <c r="O4" s="130">
        <f>IF(SER_hh_tesh_in!O4=0,0,SER_hh_tesh_in!O4/SER_summary!O$27)</f>
        <v>82.966137487592675</v>
      </c>
      <c r="P4" s="130">
        <f>IF(SER_hh_tesh_in!P4=0,0,SER_hh_tesh_in!P4/SER_summary!P$27)</f>
        <v>62.894855013503701</v>
      </c>
      <c r="Q4" s="130">
        <f>IF(SER_hh_tesh_in!Q4=0,0,SER_hh_tesh_in!Q4/SER_summary!Q$27)</f>
        <v>68.728806919718679</v>
      </c>
      <c r="R4" s="130">
        <f>IF(SER_hh_tesh_in!R4=0,0,SER_hh_tesh_in!R4/SER_summary!R$27)</f>
        <v>65.991159727768732</v>
      </c>
      <c r="S4" s="130">
        <f>IF(SER_hh_tesh_in!S4=0,0,SER_hh_tesh_in!S4/SER_summary!S$27)</f>
        <v>62.450945549911914</v>
      </c>
      <c r="T4" s="130">
        <f>IF(SER_hh_tesh_in!T4=0,0,SER_hh_tesh_in!T4/SER_summary!T$27)</f>
        <v>59.986981617023815</v>
      </c>
      <c r="U4" s="130">
        <f>IF(SER_hh_tesh_in!U4=0,0,SER_hh_tesh_in!U4/SER_summary!U$27)</f>
        <v>56.356663183283402</v>
      </c>
      <c r="V4" s="130">
        <f>IF(SER_hh_tesh_in!V4=0,0,SER_hh_tesh_in!V4/SER_summary!V$27)</f>
        <v>48.807812991549518</v>
      </c>
      <c r="W4" s="130">
        <f>IF(SER_hh_tesh_in!W4=0,0,SER_hh_tesh_in!W4/SER_summary!W$27)</f>
        <v>49.051995070488836</v>
      </c>
      <c r="X4" s="130">
        <f>IF(SER_hh_tesh_in!X4=0,0,SER_hh_tesh_in!X4/SER_summary!X$27)</f>
        <v>33.797574833519171</v>
      </c>
      <c r="Y4" s="130">
        <f>IF(SER_hh_tesh_in!Y4=0,0,SER_hh_tesh_in!Y4/SER_summary!Y$27)</f>
        <v>32.087009664553044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0</v>
      </c>
      <c r="D5" s="132">
        <f>IF(SER_hh_tesh_in!D5=0,0,SER_hh_tesh_in!D5/SER_summary!D$27)</f>
        <v>0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0</v>
      </c>
      <c r="N5" s="132">
        <f>IF(SER_hh_tesh_in!N5=0,0,SER_hh_tesh_in!N5/SER_summary!N$27)</f>
        <v>0</v>
      </c>
      <c r="O5" s="132">
        <f>IF(SER_hh_tesh_in!O5=0,0,SER_hh_tesh_in!O5/SER_summary!O$27)</f>
        <v>0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74.778502240602407</v>
      </c>
      <c r="D7" s="132">
        <f>IF(SER_hh_tesh_in!D7=0,0,SER_hh_tesh_in!D7/SER_summary!D$27)</f>
        <v>95.539247656752664</v>
      </c>
      <c r="E7" s="132">
        <f>IF(SER_hh_tesh_in!E7=0,0,SER_hh_tesh_in!E7/SER_summary!E$27)</f>
        <v>108.37489496856645</v>
      </c>
      <c r="F7" s="132">
        <f>IF(SER_hh_tesh_in!F7=0,0,SER_hh_tesh_in!F7/SER_summary!F$27)</f>
        <v>106.01965126407461</v>
      </c>
      <c r="G7" s="132">
        <f>IF(SER_hh_tesh_in!G7=0,0,SER_hh_tesh_in!G7/SER_summary!G$27)</f>
        <v>107.41150599162971</v>
      </c>
      <c r="H7" s="132">
        <f>IF(SER_hh_tesh_in!H7=0,0,SER_hh_tesh_in!H7/SER_summary!H$27)</f>
        <v>93.606416494041525</v>
      </c>
      <c r="I7" s="132">
        <f>IF(SER_hh_tesh_in!I7=0,0,SER_hh_tesh_in!I7/SER_summary!I$27)</f>
        <v>80.047507474568022</v>
      </c>
      <c r="J7" s="132">
        <f>IF(SER_hh_tesh_in!J7=0,0,SER_hh_tesh_in!J7/SER_summary!J$27)</f>
        <v>100.9686796045692</v>
      </c>
      <c r="K7" s="132">
        <f>IF(SER_hh_tesh_in!K7=0,0,SER_hh_tesh_in!K7/SER_summary!K$27)</f>
        <v>82.545946756200209</v>
      </c>
      <c r="L7" s="132">
        <f>IF(SER_hh_tesh_in!L7=0,0,SER_hh_tesh_in!L7/SER_summary!L$27)</f>
        <v>92.438503369844312</v>
      </c>
      <c r="M7" s="132">
        <f>IF(SER_hh_tesh_in!M7=0,0,SER_hh_tesh_in!M7/SER_summary!M$27)</f>
        <v>75.81978122136691</v>
      </c>
      <c r="N7" s="132">
        <f>IF(SER_hh_tesh_in!N7=0,0,SER_hh_tesh_in!N7/SER_summary!N$27)</f>
        <v>74.835866326848162</v>
      </c>
      <c r="O7" s="132">
        <f>IF(SER_hh_tesh_in!O7=0,0,SER_hh_tesh_in!O7/SER_summary!O$27)</f>
        <v>81.010090982780696</v>
      </c>
      <c r="P7" s="132">
        <f>IF(SER_hh_tesh_in!P7=0,0,SER_hh_tesh_in!P7/SER_summary!P$27)</f>
        <v>60.061553646110298</v>
      </c>
      <c r="Q7" s="132">
        <f>IF(SER_hh_tesh_in!Q7=0,0,SER_hh_tesh_in!Q7/SER_summary!Q$27)</f>
        <v>70.16530892618772</v>
      </c>
      <c r="R7" s="132">
        <f>IF(SER_hh_tesh_in!R7=0,0,SER_hh_tesh_in!R7/SER_summary!R$27)</f>
        <v>62.986603438117506</v>
      </c>
      <c r="S7" s="132">
        <f>IF(SER_hh_tesh_in!S7=0,0,SER_hh_tesh_in!S7/SER_summary!S$27)</f>
        <v>63.163052869647984</v>
      </c>
      <c r="T7" s="132">
        <f>IF(SER_hh_tesh_in!T7=0,0,SER_hh_tesh_in!T7/SER_summary!T$27)</f>
        <v>61.811375480200979</v>
      </c>
      <c r="U7" s="132">
        <f>IF(SER_hh_tesh_in!U7=0,0,SER_hh_tesh_in!U7/SER_summary!U$27)</f>
        <v>0</v>
      </c>
      <c r="V7" s="132">
        <f>IF(SER_hh_tesh_in!V7=0,0,SER_hh_tesh_in!V7/SER_summary!V$27)</f>
        <v>53.588059193190034</v>
      </c>
      <c r="W7" s="132">
        <f>IF(SER_hh_tesh_in!W7=0,0,SER_hh_tesh_in!W7/SER_summary!W$27)</f>
        <v>40.675677685988035</v>
      </c>
      <c r="X7" s="132">
        <f>IF(SER_hh_tesh_in!X7=0,0,SER_hh_tesh_in!X7/SER_summary!X$27)</f>
        <v>29.899987086333262</v>
      </c>
      <c r="Y7" s="132">
        <f>IF(SER_hh_tesh_in!Y7=0,0,SER_hh_tesh_in!Y7/SER_summary!Y$27)</f>
        <v>31.315635108204603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82.889685302961368</v>
      </c>
      <c r="D8" s="132">
        <f>IF(SER_hh_tesh_in!D8=0,0,SER_hh_tesh_in!D8/SER_summary!D$27)</f>
        <v>84.655096061678009</v>
      </c>
      <c r="E8" s="132">
        <f>IF(SER_hh_tesh_in!E8=0,0,SER_hh_tesh_in!E8/SER_summary!E$27)</f>
        <v>86.383752126495423</v>
      </c>
      <c r="F8" s="132">
        <f>IF(SER_hh_tesh_in!F8=0,0,SER_hh_tesh_in!F8/SER_summary!F$27)</f>
        <v>102.0968198064901</v>
      </c>
      <c r="G8" s="132">
        <f>IF(SER_hh_tesh_in!G8=0,0,SER_hh_tesh_in!G8/SER_summary!G$27)</f>
        <v>98.699200393747532</v>
      </c>
      <c r="H8" s="132">
        <f>IF(SER_hh_tesh_in!H8=0,0,SER_hh_tesh_in!H8/SER_summary!H$27)</f>
        <v>98.396653440871887</v>
      </c>
      <c r="I8" s="132">
        <f>IF(SER_hh_tesh_in!I8=0,0,SER_hh_tesh_in!I8/SER_summary!I$27)</f>
        <v>85.861413642899763</v>
      </c>
      <c r="J8" s="132">
        <f>IF(SER_hh_tesh_in!J8=0,0,SER_hh_tesh_in!J8/SER_summary!J$27)</f>
        <v>91.97082983377328</v>
      </c>
      <c r="K8" s="132">
        <f>IF(SER_hh_tesh_in!K8=0,0,SER_hh_tesh_in!K8/SER_summary!K$27)</f>
        <v>92.056747051854629</v>
      </c>
      <c r="L8" s="132">
        <f>IF(SER_hh_tesh_in!L8=0,0,SER_hh_tesh_in!L8/SER_summary!L$27)</f>
        <v>90.480414880312736</v>
      </c>
      <c r="M8" s="132">
        <f>IF(SER_hh_tesh_in!M8=0,0,SER_hh_tesh_in!M8/SER_summary!M$27)</f>
        <v>72.753620358018495</v>
      </c>
      <c r="N8" s="132">
        <f>IF(SER_hh_tesh_in!N8=0,0,SER_hh_tesh_in!N8/SER_summary!N$27)</f>
        <v>78.215936771714851</v>
      </c>
      <c r="O8" s="132">
        <f>IF(SER_hh_tesh_in!O8=0,0,SER_hh_tesh_in!O8/SER_summary!O$27)</f>
        <v>84.28513057232189</v>
      </c>
      <c r="P8" s="132">
        <f>IF(SER_hh_tesh_in!P8=0,0,SER_hh_tesh_in!P8/SER_summary!P$27)</f>
        <v>62.595983760266989</v>
      </c>
      <c r="Q8" s="132">
        <f>IF(SER_hh_tesh_in!Q8=0,0,SER_hh_tesh_in!Q8/SER_summary!Q$27)</f>
        <v>68.170649270036719</v>
      </c>
      <c r="R8" s="132">
        <f>IF(SER_hh_tesh_in!R8=0,0,SER_hh_tesh_in!R8/SER_summary!R$27)</f>
        <v>67.430968983174822</v>
      </c>
      <c r="S8" s="132">
        <f>IF(SER_hh_tesh_in!S8=0,0,SER_hh_tesh_in!S8/SER_summary!S$27)</f>
        <v>61.919080878164216</v>
      </c>
      <c r="T8" s="132">
        <f>IF(SER_hh_tesh_in!T8=0,0,SER_hh_tesh_in!T8/SER_summary!T$27)</f>
        <v>58.301878189889642</v>
      </c>
      <c r="U8" s="132">
        <f>IF(SER_hh_tesh_in!U8=0,0,SER_hh_tesh_in!U8/SER_summary!U$27)</f>
        <v>54.028065364457063</v>
      </c>
      <c r="V8" s="132">
        <f>IF(SER_hh_tesh_in!V8=0,0,SER_hh_tesh_in!V8/SER_summary!V$27)</f>
        <v>45.765369572468309</v>
      </c>
      <c r="W8" s="132">
        <f>IF(SER_hh_tesh_in!W8=0,0,SER_hh_tesh_in!W8/SER_summary!W$27)</f>
        <v>37.584475193263373</v>
      </c>
      <c r="X8" s="132">
        <f>IF(SER_hh_tesh_in!X8=0,0,SER_hh_tesh_in!X8/SER_summary!X$27)</f>
        <v>35.19557152748866</v>
      </c>
      <c r="Y8" s="132">
        <f>IF(SER_hh_tesh_in!Y8=0,0,SER_hh_tesh_in!Y8/SER_summary!Y$27)</f>
        <v>35.81017920797607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85.784418291940938</v>
      </c>
      <c r="D9" s="132">
        <f>IF(SER_hh_tesh_in!D9=0,0,SER_hh_tesh_in!D9/SER_summary!D$27)</f>
        <v>79.36520964056804</v>
      </c>
      <c r="E9" s="132">
        <f>IF(SER_hh_tesh_in!E9=0,0,SER_hh_tesh_in!E9/SER_summary!E$27)</f>
        <v>83.221582183453407</v>
      </c>
      <c r="F9" s="132">
        <f>IF(SER_hh_tesh_in!F9=0,0,SER_hh_tesh_in!F9/SER_summary!F$27)</f>
        <v>0</v>
      </c>
      <c r="G9" s="132">
        <f>IF(SER_hh_tesh_in!G9=0,0,SER_hh_tesh_in!G9/SER_summary!G$27)</f>
        <v>0</v>
      </c>
      <c r="H9" s="132">
        <f>IF(SER_hh_tesh_in!H9=0,0,SER_hh_tesh_in!H9/SER_summary!H$27)</f>
        <v>94.359867383764353</v>
      </c>
      <c r="I9" s="132">
        <f>IF(SER_hh_tesh_in!I9=0,0,SER_hh_tesh_in!I9/SER_summary!I$27)</f>
        <v>83.306146109387029</v>
      </c>
      <c r="J9" s="132">
        <f>IF(SER_hh_tesh_in!J9=0,0,SER_hh_tesh_in!J9/SER_summary!J$27)</f>
        <v>91.249772087973213</v>
      </c>
      <c r="K9" s="132">
        <f>IF(SER_hh_tesh_in!K9=0,0,SER_hh_tesh_in!K9/SER_summary!K$27)</f>
        <v>92.785411069597899</v>
      </c>
      <c r="L9" s="132">
        <f>IF(SER_hh_tesh_in!L9=0,0,SER_hh_tesh_in!L9/SER_summary!L$27)</f>
        <v>95.805300827675509</v>
      </c>
      <c r="M9" s="132">
        <f>IF(SER_hh_tesh_in!M9=0,0,SER_hh_tesh_in!M9/SER_summary!M$27)</f>
        <v>70.829574564169405</v>
      </c>
      <c r="N9" s="132">
        <f>IF(SER_hh_tesh_in!N9=0,0,SER_hh_tesh_in!N9/SER_summary!N$27)</f>
        <v>78.140362708384757</v>
      </c>
      <c r="O9" s="132">
        <f>IF(SER_hh_tesh_in!O9=0,0,SER_hh_tesh_in!O9/SER_summary!O$27)</f>
        <v>83.716130478592873</v>
      </c>
      <c r="P9" s="132">
        <f>IF(SER_hh_tesh_in!P9=0,0,SER_hh_tesh_in!P9/SER_summary!P$27)</f>
        <v>59.551603647476838</v>
      </c>
      <c r="Q9" s="132">
        <f>IF(SER_hh_tesh_in!Q9=0,0,SER_hh_tesh_in!Q9/SER_summary!Q$27)</f>
        <v>65.752630913530311</v>
      </c>
      <c r="R9" s="132">
        <f>IF(SER_hh_tesh_in!R9=0,0,SER_hh_tesh_in!R9/SER_summary!R$27)</f>
        <v>66.315918285010639</v>
      </c>
      <c r="S9" s="132">
        <f>IF(SER_hh_tesh_in!S9=0,0,SER_hh_tesh_in!S9/SER_summary!S$27)</f>
        <v>61.969833304395962</v>
      </c>
      <c r="T9" s="132">
        <f>IF(SER_hh_tesh_in!T9=0,0,SER_hh_tesh_in!T9/SER_summary!T$27)</f>
        <v>59.163748756655309</v>
      </c>
      <c r="U9" s="132">
        <f>IF(SER_hh_tesh_in!U9=0,0,SER_hh_tesh_in!U9/SER_summary!U$27)</f>
        <v>54.477310350284306</v>
      </c>
      <c r="V9" s="132">
        <f>IF(SER_hh_tesh_in!V9=0,0,SER_hh_tesh_in!V9/SER_summary!V$27)</f>
        <v>47.118134485064715</v>
      </c>
      <c r="W9" s="132">
        <f>IF(SER_hh_tesh_in!W9=0,0,SER_hh_tesh_in!W9/SER_summary!W$27)</f>
        <v>49.574002845359523</v>
      </c>
      <c r="X9" s="132">
        <f>IF(SER_hh_tesh_in!X9=0,0,SER_hh_tesh_in!X9/SER_summary!X$27)</f>
        <v>32.727415745140242</v>
      </c>
      <c r="Y9" s="132">
        <f>IF(SER_hh_tesh_in!Y9=0,0,SER_hh_tesh_in!Y9/SER_summary!Y$27)</f>
        <v>31.17243448063947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78.075234353351291</v>
      </c>
      <c r="D10" s="132">
        <f>IF(SER_hh_tesh_in!D10=0,0,SER_hh_tesh_in!D10/SER_summary!D$27)</f>
        <v>5.870210343578532</v>
      </c>
      <c r="E10" s="132">
        <f>IF(SER_hh_tesh_in!E10=0,0,SER_hh_tesh_in!E10/SER_summary!E$27)</f>
        <v>1.8824128699568246</v>
      </c>
      <c r="F10" s="132">
        <f>IF(SER_hh_tesh_in!F10=0,0,SER_hh_tesh_in!F10/SER_summary!F$27)</f>
        <v>136.01585797169005</v>
      </c>
      <c r="G10" s="132">
        <f>IF(SER_hh_tesh_in!G10=0,0,SER_hh_tesh_in!G10/SER_summary!G$27)</f>
        <v>118.39757165588301</v>
      </c>
      <c r="H10" s="132">
        <f>IF(SER_hh_tesh_in!H10=0,0,SER_hh_tesh_in!H10/SER_summary!H$27)</f>
        <v>104.89303709246313</v>
      </c>
      <c r="I10" s="132">
        <f>IF(SER_hh_tesh_in!I10=0,0,SER_hh_tesh_in!I10/SER_summary!I$27)</f>
        <v>0</v>
      </c>
      <c r="J10" s="132">
        <f>IF(SER_hh_tesh_in!J10=0,0,SER_hh_tesh_in!J10/SER_summary!J$27)</f>
        <v>0</v>
      </c>
      <c r="K10" s="132">
        <f>IF(SER_hh_tesh_in!K10=0,0,SER_hh_tesh_in!K10/SER_summary!K$27)</f>
        <v>25.047202147325383</v>
      </c>
      <c r="L10" s="132">
        <f>IF(SER_hh_tesh_in!L10=0,0,SER_hh_tesh_in!L10/SER_summary!L$27)</f>
        <v>84.484341576501976</v>
      </c>
      <c r="M10" s="132">
        <f>IF(SER_hh_tesh_in!M10=0,0,SER_hh_tesh_in!M10/SER_summary!M$27)</f>
        <v>52.379311499360284</v>
      </c>
      <c r="N10" s="132">
        <f>IF(SER_hh_tesh_in!N10=0,0,SER_hh_tesh_in!N10/SER_summary!N$27)</f>
        <v>63.381465938587176</v>
      </c>
      <c r="O10" s="132">
        <f>IF(SER_hh_tesh_in!O10=0,0,SER_hh_tesh_in!O10/SER_summary!O$27)</f>
        <v>77.230676393034145</v>
      </c>
      <c r="P10" s="132">
        <f>IF(SER_hh_tesh_in!P10=0,0,SER_hh_tesh_in!P10/SER_summary!P$27)</f>
        <v>72.908848153062934</v>
      </c>
      <c r="Q10" s="132">
        <f>IF(SER_hh_tesh_in!Q10=0,0,SER_hh_tesh_in!Q10/SER_summary!Q$27)</f>
        <v>71.721039352279419</v>
      </c>
      <c r="R10" s="132">
        <f>IF(SER_hh_tesh_in!R10=0,0,SER_hh_tesh_in!R10/SER_summary!R$27)</f>
        <v>67.299177638310269</v>
      </c>
      <c r="S10" s="132">
        <f>IF(SER_hh_tesh_in!S10=0,0,SER_hh_tesh_in!S10/SER_summary!S$27)</f>
        <v>62.186568933608704</v>
      </c>
      <c r="T10" s="132">
        <f>IF(SER_hh_tesh_in!T10=0,0,SER_hh_tesh_in!T10/SER_summary!T$27)</f>
        <v>58.275842656554559</v>
      </c>
      <c r="U10" s="132">
        <f>IF(SER_hh_tesh_in!U10=0,0,SER_hh_tesh_in!U10/SER_summary!U$27)</f>
        <v>56.063946450774431</v>
      </c>
      <c r="V10" s="132">
        <f>IF(SER_hh_tesh_in!V10=0,0,SER_hh_tesh_in!V10/SER_summary!V$27)</f>
        <v>50.798408173588008</v>
      </c>
      <c r="W10" s="132">
        <f>IF(SER_hh_tesh_in!W10=0,0,SER_hh_tesh_in!W10/SER_summary!W$27)</f>
        <v>42.843711720868555</v>
      </c>
      <c r="X10" s="132">
        <f>IF(SER_hh_tesh_in!X10=0,0,SER_hh_tesh_in!X10/SER_summary!X$27)</f>
        <v>34.215309141773986</v>
      </c>
      <c r="Y10" s="132">
        <f>IF(SER_hh_tesh_in!Y10=0,0,SER_hh_tesh_in!Y10/SER_summary!Y$27)</f>
        <v>29.806125911239686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0</v>
      </c>
      <c r="K11" s="132">
        <f>IF(SER_hh_tesh_in!K11=0,0,SER_hh_tesh_in!K11/SER_summary!K$27)</f>
        <v>0</v>
      </c>
      <c r="L11" s="132">
        <f>IF(SER_hh_tesh_in!L11=0,0,SER_hh_tesh_in!L11/SER_summary!L$27)</f>
        <v>0</v>
      </c>
      <c r="M11" s="132">
        <f>IF(SER_hh_tesh_in!M11=0,0,SER_hh_tesh_in!M11/SER_summary!M$27)</f>
        <v>0</v>
      </c>
      <c r="N11" s="132">
        <f>IF(SER_hh_tesh_in!N11=0,0,SER_hh_tesh_in!N11/SER_summary!N$27)</f>
        <v>0</v>
      </c>
      <c r="O11" s="132">
        <f>IF(SER_hh_tesh_in!O11=0,0,SER_hh_tesh_in!O11/SER_summary!O$27)</f>
        <v>0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82.981834802409026</v>
      </c>
      <c r="D12" s="132">
        <f>IF(SER_hh_tesh_in!D12=0,0,SER_hh_tesh_in!D12/SER_summary!D$27)</f>
        <v>82.92698596709279</v>
      </c>
      <c r="E12" s="132">
        <f>IF(SER_hh_tesh_in!E12=0,0,SER_hh_tesh_in!E12/SER_summary!E$27)</f>
        <v>84.531545352611857</v>
      </c>
      <c r="F12" s="132">
        <f>IF(SER_hh_tesh_in!F12=0,0,SER_hh_tesh_in!F12/SER_summary!F$27)</f>
        <v>101.36179521977807</v>
      </c>
      <c r="G12" s="132">
        <f>IF(SER_hh_tesh_in!G12=0,0,SER_hh_tesh_in!G12/SER_summary!G$27)</f>
        <v>92.17505261381794</v>
      </c>
      <c r="H12" s="132">
        <f>IF(SER_hh_tesh_in!H12=0,0,SER_hh_tesh_in!H12/SER_summary!H$27)</f>
        <v>103.87333418755881</v>
      </c>
      <c r="I12" s="132">
        <f>IF(SER_hh_tesh_in!I12=0,0,SER_hh_tesh_in!I12/SER_summary!I$27)</f>
        <v>111.91037505867054</v>
      </c>
      <c r="J12" s="132">
        <f>IF(SER_hh_tesh_in!J12=0,0,SER_hh_tesh_in!J12/SER_summary!J$27)</f>
        <v>0</v>
      </c>
      <c r="K12" s="132">
        <f>IF(SER_hh_tesh_in!K12=0,0,SER_hh_tesh_in!K12/SER_summary!K$27)</f>
        <v>0</v>
      </c>
      <c r="L12" s="132">
        <f>IF(SER_hh_tesh_in!L12=0,0,SER_hh_tesh_in!L12/SER_summary!L$27)</f>
        <v>101.22341708132203</v>
      </c>
      <c r="M12" s="132">
        <f>IF(SER_hh_tesh_in!M12=0,0,SER_hh_tesh_in!M12/SER_summary!M$27)</f>
        <v>81.111967337083755</v>
      </c>
      <c r="N12" s="132">
        <f>IF(SER_hh_tesh_in!N12=0,0,SER_hh_tesh_in!N12/SER_summary!N$27)</f>
        <v>74.801232333680886</v>
      </c>
      <c r="O12" s="132">
        <f>IF(SER_hh_tesh_in!O12=0,0,SER_hh_tesh_in!O12/SER_summary!O$27)</f>
        <v>65.171912280619807</v>
      </c>
      <c r="P12" s="132">
        <f>IF(SER_hh_tesh_in!P12=0,0,SER_hh_tesh_in!P12/SER_summary!P$27)</f>
        <v>71.298767844728602</v>
      </c>
      <c r="Q12" s="132">
        <f>IF(SER_hh_tesh_in!Q12=0,0,SER_hh_tesh_in!Q12/SER_summary!Q$27)</f>
        <v>74.086229217469523</v>
      </c>
      <c r="R12" s="132">
        <f>IF(SER_hh_tesh_in!R12=0,0,SER_hh_tesh_in!R12/SER_summary!R$27)</f>
        <v>65.651582769952071</v>
      </c>
      <c r="S12" s="132">
        <f>IF(SER_hh_tesh_in!S12=0,0,SER_hh_tesh_in!S12/SER_summary!S$27)</f>
        <v>58.141986569387896</v>
      </c>
      <c r="T12" s="132">
        <f>IF(SER_hh_tesh_in!T12=0,0,SER_hh_tesh_in!T12/SER_summary!T$27)</f>
        <v>58.492720870336207</v>
      </c>
      <c r="U12" s="132">
        <f>IF(SER_hh_tesh_in!U12=0,0,SER_hh_tesh_in!U12/SER_summary!U$27)</f>
        <v>52.222283123402612</v>
      </c>
      <c r="V12" s="132">
        <f>IF(SER_hh_tesh_in!V12=0,0,SER_hh_tesh_in!V12/SER_summary!V$27)</f>
        <v>51.980091516672147</v>
      </c>
      <c r="W12" s="132">
        <f>IF(SER_hh_tesh_in!W12=0,0,SER_hh_tesh_in!W12/SER_summary!W$27)</f>
        <v>45.193440977515081</v>
      </c>
      <c r="X12" s="132">
        <f>IF(SER_hh_tesh_in!X12=0,0,SER_hh_tesh_in!X12/SER_summary!X$27)</f>
        <v>32.872260982989857</v>
      </c>
      <c r="Y12" s="132">
        <f>IF(SER_hh_tesh_in!Y12=0,0,SER_hh_tesh_in!Y12/SER_summary!Y$27)</f>
        <v>34.572034849362289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89.31666438389351</v>
      </c>
      <c r="D13" s="132">
        <f>IF(SER_hh_tesh_in!D13=0,0,SER_hh_tesh_in!D13/SER_summary!D$27)</f>
        <v>84.895937782330748</v>
      </c>
      <c r="E13" s="132">
        <f>IF(SER_hh_tesh_in!E13=0,0,SER_hh_tesh_in!E13/SER_summary!E$27)</f>
        <v>76.767293843475301</v>
      </c>
      <c r="F13" s="132">
        <f>IF(SER_hh_tesh_in!F13=0,0,SER_hh_tesh_in!F13/SER_summary!F$27)</f>
        <v>39.466509530897902</v>
      </c>
      <c r="G13" s="132">
        <f>IF(SER_hh_tesh_in!G13=0,0,SER_hh_tesh_in!G13/SER_summary!G$27)</f>
        <v>29.438084239624068</v>
      </c>
      <c r="H13" s="132">
        <f>IF(SER_hh_tesh_in!H13=0,0,SER_hh_tesh_in!H13/SER_summary!H$27)</f>
        <v>103.97467191531769</v>
      </c>
      <c r="I13" s="132">
        <f>IF(SER_hh_tesh_in!I13=0,0,SER_hh_tesh_in!I13/SER_summary!I$27)</f>
        <v>96.093391936673243</v>
      </c>
      <c r="J13" s="132">
        <f>IF(SER_hh_tesh_in!J13=0,0,SER_hh_tesh_in!J13/SER_summary!J$27)</f>
        <v>96.528793432293597</v>
      </c>
      <c r="K13" s="132">
        <f>IF(SER_hh_tesh_in!K13=0,0,SER_hh_tesh_in!K13/SER_summary!K$27)</f>
        <v>95.098092149135354</v>
      </c>
      <c r="L13" s="132">
        <f>IF(SER_hh_tesh_in!L13=0,0,SER_hh_tesh_in!L13/SER_summary!L$27)</f>
        <v>86.028581282280385</v>
      </c>
      <c r="M13" s="132">
        <f>IF(SER_hh_tesh_in!M13=0,0,SER_hh_tesh_in!M13/SER_summary!M$27)</f>
        <v>78.634336336368634</v>
      </c>
      <c r="N13" s="132">
        <f>IF(SER_hh_tesh_in!N13=0,0,SER_hh_tesh_in!N13/SER_summary!N$27)</f>
        <v>77.583606133489056</v>
      </c>
      <c r="O13" s="132">
        <f>IF(SER_hh_tesh_in!O13=0,0,SER_hh_tesh_in!O13/SER_summary!O$27)</f>
        <v>80.993615979956715</v>
      </c>
      <c r="P13" s="132">
        <f>IF(SER_hh_tesh_in!P13=0,0,SER_hh_tesh_in!P13/SER_summary!P$27)</f>
        <v>66.558656209969413</v>
      </c>
      <c r="Q13" s="132">
        <f>IF(SER_hh_tesh_in!Q13=0,0,SER_hh_tesh_in!Q13/SER_summary!Q$27)</f>
        <v>63.071679595822864</v>
      </c>
      <c r="R13" s="132">
        <f>IF(SER_hh_tesh_in!R13=0,0,SER_hh_tesh_in!R13/SER_summary!R$27)</f>
        <v>56.595554451587013</v>
      </c>
      <c r="S13" s="132">
        <f>IF(SER_hh_tesh_in!S13=0,0,SER_hh_tesh_in!S13/SER_summary!S$27)</f>
        <v>40.787293047962926</v>
      </c>
      <c r="T13" s="132">
        <f>IF(SER_hh_tesh_in!T13=0,0,SER_hh_tesh_in!T13/SER_summary!T$27)</f>
        <v>59.225094175010895</v>
      </c>
      <c r="U13" s="132">
        <f>IF(SER_hh_tesh_in!U13=0,0,SER_hh_tesh_in!U13/SER_summary!U$27)</f>
        <v>54.762392692531868</v>
      </c>
      <c r="V13" s="132">
        <f>IF(SER_hh_tesh_in!V13=0,0,SER_hh_tesh_in!V13/SER_summary!V$27)</f>
        <v>44.682495690099024</v>
      </c>
      <c r="W13" s="132">
        <f>IF(SER_hh_tesh_in!W13=0,0,SER_hh_tesh_in!W13/SER_summary!W$27)</f>
        <v>49.542199875730148</v>
      </c>
      <c r="X13" s="132">
        <f>IF(SER_hh_tesh_in!X13=0,0,SER_hh_tesh_in!X13/SER_summary!X$27)</f>
        <v>34.103165796048408</v>
      </c>
      <c r="Y13" s="132">
        <f>IF(SER_hh_tesh_in!Y13=0,0,SER_hh_tesh_in!Y13/SER_summary!Y$27)</f>
        <v>35.485899894406096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98.331417973070785</v>
      </c>
      <c r="D14" s="65">
        <f>IF(SER_hh_tesh_in!D14=0,0,SER_hh_tesh_in!D14/SER_summary!D$27)</f>
        <v>29.244179752585911</v>
      </c>
      <c r="E14" s="65">
        <f>IF(SER_hh_tesh_in!E14=0,0,SER_hh_tesh_in!E14/SER_summary!E$27)</f>
        <v>4.40343526028634</v>
      </c>
      <c r="F14" s="65">
        <f>IF(SER_hh_tesh_in!F14=0,0,SER_hh_tesh_in!F14/SER_summary!F$27)</f>
        <v>150.58405007723658</v>
      </c>
      <c r="G14" s="65">
        <f>IF(SER_hh_tesh_in!G14=0,0,SER_hh_tesh_in!G14/SER_summary!G$27)</f>
        <v>117.98665830849306</v>
      </c>
      <c r="H14" s="65">
        <f>IF(SER_hh_tesh_in!H14=0,0,SER_hh_tesh_in!H14/SER_summary!H$27)</f>
        <v>96.321421510196288</v>
      </c>
      <c r="I14" s="65">
        <f>IF(SER_hh_tesh_in!I14=0,0,SER_hh_tesh_in!I14/SER_summary!I$27)</f>
        <v>90.593642208751575</v>
      </c>
      <c r="J14" s="65">
        <f>IF(SER_hh_tesh_in!J14=0,0,SER_hh_tesh_in!J14/SER_summary!J$27)</f>
        <v>0</v>
      </c>
      <c r="K14" s="65">
        <f>IF(SER_hh_tesh_in!K14=0,0,SER_hh_tesh_in!K14/SER_summary!K$27)</f>
        <v>95.168124538221164</v>
      </c>
      <c r="L14" s="65">
        <f>IF(SER_hh_tesh_in!L14=0,0,SER_hh_tesh_in!L14/SER_summary!L$27)</f>
        <v>0</v>
      </c>
      <c r="M14" s="65">
        <f>IF(SER_hh_tesh_in!M14=0,0,SER_hh_tesh_in!M14/SER_summary!M$27)</f>
        <v>76.74580771236316</v>
      </c>
      <c r="N14" s="65">
        <f>IF(SER_hh_tesh_in!N14=0,0,SER_hh_tesh_in!N14/SER_summary!N$27)</f>
        <v>77.870172464572136</v>
      </c>
      <c r="O14" s="65">
        <f>IF(SER_hh_tesh_in!O14=0,0,SER_hh_tesh_in!O14/SER_summary!O$27)</f>
        <v>79.442880812589948</v>
      </c>
      <c r="P14" s="65">
        <f>IF(SER_hh_tesh_in!P14=0,0,SER_hh_tesh_in!P14/SER_summary!P$27)</f>
        <v>62.996431156384268</v>
      </c>
      <c r="Q14" s="65">
        <f>IF(SER_hh_tesh_in!Q14=0,0,SER_hh_tesh_in!Q14/SER_summary!Q$27)</f>
        <v>65.257920660269377</v>
      </c>
      <c r="R14" s="65">
        <f>IF(SER_hh_tesh_in!R14=0,0,SER_hh_tesh_in!R14/SER_summary!R$27)</f>
        <v>63.714726754680491</v>
      </c>
      <c r="S14" s="65">
        <f>IF(SER_hh_tesh_in!S14=0,0,SER_hh_tesh_in!S14/SER_summary!S$27)</f>
        <v>61.209055376714986</v>
      </c>
      <c r="T14" s="65">
        <f>IF(SER_hh_tesh_in!T14=0,0,SER_hh_tesh_in!T14/SER_summary!T$27)</f>
        <v>58.918014580959586</v>
      </c>
      <c r="U14" s="65">
        <f>IF(SER_hh_tesh_in!U14=0,0,SER_hh_tesh_in!U14/SER_summary!U$27)</f>
        <v>58.17919755288559</v>
      </c>
      <c r="V14" s="65">
        <f>IF(SER_hh_tesh_in!V14=0,0,SER_hh_tesh_in!V14/SER_summary!V$27)</f>
        <v>49.297045992069748</v>
      </c>
      <c r="W14" s="65">
        <f>IF(SER_hh_tesh_in!W14=0,0,SER_hh_tesh_in!W14/SER_summary!W$27)</f>
        <v>47.579438304983327</v>
      </c>
      <c r="X14" s="65">
        <f>IF(SER_hh_tesh_in!X14=0,0,SER_hh_tesh_in!X14/SER_summary!X$27)</f>
        <v>36.774593888062583</v>
      </c>
      <c r="Y14" s="65">
        <f>IF(SER_hh_tesh_in!Y14=0,0,SER_hh_tesh_in!Y14/SER_summary!Y$27)</f>
        <v>31.056678854442886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1.5155380263449334</v>
      </c>
      <c r="D15" s="134">
        <f>IF(SER_hh_tesh_in!D15=0,0,SER_hh_tesh_in!D15/SER_summary!D$27)</f>
        <v>1.6324607107872624</v>
      </c>
      <c r="E15" s="134">
        <f>IF(SER_hh_tesh_in!E15=0,0,SER_hh_tesh_in!E15/SER_summary!E$27)</f>
        <v>1.7638553384930531</v>
      </c>
      <c r="F15" s="134">
        <f>IF(SER_hh_tesh_in!F15=0,0,SER_hh_tesh_in!F15/SER_summary!F$27)</f>
        <v>1.8733635985529928</v>
      </c>
      <c r="G15" s="134">
        <f>IF(SER_hh_tesh_in!G15=0,0,SER_hh_tesh_in!G15/SER_summary!G$27)</f>
        <v>1.6853850156176904</v>
      </c>
      <c r="H15" s="134">
        <f>IF(SER_hh_tesh_in!H15=0,0,SER_hh_tesh_in!H15/SER_summary!H$27)</f>
        <v>1.5864951348651801</v>
      </c>
      <c r="I15" s="134">
        <f>IF(SER_hh_tesh_in!I15=0,0,SER_hh_tesh_in!I15/SER_summary!I$27)</f>
        <v>1.4402608926419647</v>
      </c>
      <c r="J15" s="134">
        <f>IF(SER_hh_tesh_in!J15=0,0,SER_hh_tesh_in!J15/SER_summary!J$27)</f>
        <v>1.6232624778786253</v>
      </c>
      <c r="K15" s="134">
        <f>IF(SER_hh_tesh_in!K15=0,0,SER_hh_tesh_in!K15/SER_summary!K$27)</f>
        <v>1.5622079225587431</v>
      </c>
      <c r="L15" s="134">
        <f>IF(SER_hh_tesh_in!L15=0,0,SER_hh_tesh_in!L15/SER_summary!L$27)</f>
        <v>1.5757877338752981</v>
      </c>
      <c r="M15" s="134">
        <f>IF(SER_hh_tesh_in!M15=0,0,SER_hh_tesh_in!M15/SER_summary!M$27)</f>
        <v>1.1714255241036584</v>
      </c>
      <c r="N15" s="134">
        <f>IF(SER_hh_tesh_in!N15=0,0,SER_hh_tesh_in!N15/SER_summary!N$27)</f>
        <v>1.2276537245737136</v>
      </c>
      <c r="O15" s="134">
        <f>IF(SER_hh_tesh_in!O15=0,0,SER_hh_tesh_in!O15/SER_summary!O$27)</f>
        <v>1.2908475251687532</v>
      </c>
      <c r="P15" s="134">
        <f>IF(SER_hh_tesh_in!P15=0,0,SER_hh_tesh_in!P15/SER_summary!P$27)</f>
        <v>0.87930828896546442</v>
      </c>
      <c r="Q15" s="134">
        <f>IF(SER_hh_tesh_in!Q15=0,0,SER_hh_tesh_in!Q15/SER_summary!Q$27)</f>
        <v>1.045722028910921</v>
      </c>
      <c r="R15" s="134">
        <f>IF(SER_hh_tesh_in!R15=0,0,SER_hh_tesh_in!R15/SER_summary!R$27)</f>
        <v>1.0382694698131214</v>
      </c>
      <c r="S15" s="134">
        <f>IF(SER_hh_tesh_in!S15=0,0,SER_hh_tesh_in!S15/SER_summary!S$27)</f>
        <v>0.99536298525773081</v>
      </c>
      <c r="T15" s="134">
        <f>IF(SER_hh_tesh_in!T15=0,0,SER_hh_tesh_in!T15/SER_summary!T$27)</f>
        <v>0.92377178757388845</v>
      </c>
      <c r="U15" s="134">
        <f>IF(SER_hh_tesh_in!U15=0,0,SER_hh_tesh_in!U15/SER_summary!U$27)</f>
        <v>0.81822723164190514</v>
      </c>
      <c r="V15" s="134">
        <f>IF(SER_hh_tesh_in!V15=0,0,SER_hh_tesh_in!V15/SER_summary!V$27)</f>
        <v>0.70054229676965385</v>
      </c>
      <c r="W15" s="134">
        <f>IF(SER_hh_tesh_in!W15=0,0,SER_hh_tesh_in!W15/SER_summary!W$27)</f>
        <v>0.71846580766467127</v>
      </c>
      <c r="X15" s="134">
        <f>IF(SER_hh_tesh_in!X15=0,0,SER_hh_tesh_in!X15/SER_summary!X$27)</f>
        <v>0.47666580448210827</v>
      </c>
      <c r="Y15" s="134">
        <f>IF(SER_hh_tesh_in!Y15=0,0,SER_hh_tesh_in!Y15/SER_summary!Y$27)</f>
        <v>0.45843369342841289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31.434689802371917</v>
      </c>
      <c r="D16" s="130">
        <f>IF(SER_hh_tesh_in!D16=0,0,SER_hh_tesh_in!D16/SER_summary!D$27)</f>
        <v>31.184702233122508</v>
      </c>
      <c r="E16" s="130">
        <f>IF(SER_hh_tesh_in!E16=0,0,SER_hh_tesh_in!E16/SER_summary!E$27)</f>
        <v>39.554719283487664</v>
      </c>
      <c r="F16" s="130">
        <f>IF(SER_hh_tesh_in!F16=0,0,SER_hh_tesh_in!F16/SER_summary!F$27)</f>
        <v>30.449007112255494</v>
      </c>
      <c r="G16" s="130">
        <f>IF(SER_hh_tesh_in!G16=0,0,SER_hh_tesh_in!G16/SER_summary!G$27)</f>
        <v>30.734159714217881</v>
      </c>
      <c r="H16" s="130">
        <f>IF(SER_hh_tesh_in!H16=0,0,SER_hh_tesh_in!H16/SER_summary!H$27)</f>
        <v>38.190154045087375</v>
      </c>
      <c r="I16" s="130">
        <f>IF(SER_hh_tesh_in!I16=0,0,SER_hh_tesh_in!I16/SER_summary!I$27)</f>
        <v>29.599583050632049</v>
      </c>
      <c r="J16" s="130">
        <f>IF(SER_hh_tesh_in!J16=0,0,SER_hh_tesh_in!J16/SER_summary!J$27)</f>
        <v>29.528986964656408</v>
      </c>
      <c r="K16" s="130">
        <f>IF(SER_hh_tesh_in!K16=0,0,SER_hh_tesh_in!K16/SER_summary!K$27)</f>
        <v>29.422664684797613</v>
      </c>
      <c r="L16" s="130">
        <f>IF(SER_hh_tesh_in!L16=0,0,SER_hh_tesh_in!L16/SER_summary!L$27)</f>
        <v>30.954593970149318</v>
      </c>
      <c r="M16" s="130">
        <f>IF(SER_hh_tesh_in!M16=0,0,SER_hh_tesh_in!M16/SER_summary!M$27)</f>
        <v>28.684829946624401</v>
      </c>
      <c r="N16" s="130">
        <f>IF(SER_hh_tesh_in!N16=0,0,SER_hh_tesh_in!N16/SER_summary!N$27)</f>
        <v>28.560077004956167</v>
      </c>
      <c r="O16" s="130">
        <f>IF(SER_hh_tesh_in!O16=0,0,SER_hh_tesh_in!O16/SER_summary!O$27)</f>
        <v>28.318762445463683</v>
      </c>
      <c r="P16" s="130">
        <f>IF(SER_hh_tesh_in!P16=0,0,SER_hh_tesh_in!P16/SER_summary!P$27)</f>
        <v>26.778073792236988</v>
      </c>
      <c r="Q16" s="130">
        <f>IF(SER_hh_tesh_in!Q16=0,0,SER_hh_tesh_in!Q16/SER_summary!Q$27)</f>
        <v>29.401523387132702</v>
      </c>
      <c r="R16" s="130">
        <f>IF(SER_hh_tesh_in!R16=0,0,SER_hh_tesh_in!R16/SER_summary!R$27)</f>
        <v>27.7452188332967</v>
      </c>
      <c r="S16" s="130">
        <f>IF(SER_hh_tesh_in!S16=0,0,SER_hh_tesh_in!S16/SER_summary!S$27)</f>
        <v>25.555304075147234</v>
      </c>
      <c r="T16" s="130">
        <f>IF(SER_hh_tesh_in!T16=0,0,SER_hh_tesh_in!T16/SER_summary!T$27)</f>
        <v>28.26029585950813</v>
      </c>
      <c r="U16" s="130">
        <f>IF(SER_hh_tesh_in!U16=0,0,SER_hh_tesh_in!U16/SER_summary!U$27)</f>
        <v>26.271670824583758</v>
      </c>
      <c r="V16" s="130">
        <f>IF(SER_hh_tesh_in!V16=0,0,SER_hh_tesh_in!V16/SER_summary!V$27)</f>
        <v>26.825021013816649</v>
      </c>
      <c r="W16" s="130">
        <f>IF(SER_hh_tesh_in!W16=0,0,SER_hh_tesh_in!W16/SER_summary!W$27)</f>
        <v>20.428099539052877</v>
      </c>
      <c r="X16" s="130">
        <f>IF(SER_hh_tesh_in!X16=0,0,SER_hh_tesh_in!X16/SER_summary!X$27)</f>
        <v>21.276017243856433</v>
      </c>
      <c r="Y16" s="130">
        <f>IF(SER_hh_tesh_in!Y16=0,0,SER_hh_tesh_in!Y16/SER_summary!Y$27)</f>
        <v>19.838839102450418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31.440519604679178</v>
      </c>
      <c r="D17" s="132">
        <f>IF(SER_hh_tesh_in!D17=0,0,SER_hh_tesh_in!D17/SER_summary!D$27)</f>
        <v>31.212014996535025</v>
      </c>
      <c r="E17" s="132">
        <f>IF(SER_hh_tesh_in!E17=0,0,SER_hh_tesh_in!E17/SER_summary!E$27)</f>
        <v>39.473808487233136</v>
      </c>
      <c r="F17" s="132">
        <f>IF(SER_hh_tesh_in!F17=0,0,SER_hh_tesh_in!F17/SER_summary!F$27)</f>
        <v>30.582263150221735</v>
      </c>
      <c r="G17" s="132">
        <f>IF(SER_hh_tesh_in!G17=0,0,SER_hh_tesh_in!G17/SER_summary!G$27)</f>
        <v>30.852304175080658</v>
      </c>
      <c r="H17" s="132">
        <f>IF(SER_hh_tesh_in!H17=0,0,SER_hh_tesh_in!H17/SER_summary!H$27)</f>
        <v>38.261014542671845</v>
      </c>
      <c r="I17" s="132">
        <f>IF(SER_hh_tesh_in!I17=0,0,SER_hh_tesh_in!I17/SER_summary!I$27)</f>
        <v>29.706043013576231</v>
      </c>
      <c r="J17" s="132">
        <f>IF(SER_hh_tesh_in!J17=0,0,SER_hh_tesh_in!J17/SER_summary!J$27)</f>
        <v>29.625992510539326</v>
      </c>
      <c r="K17" s="132">
        <f>IF(SER_hh_tesh_in!K17=0,0,SER_hh_tesh_in!K17/SER_summary!K$27)</f>
        <v>29.454698832621311</v>
      </c>
      <c r="L17" s="132">
        <f>IF(SER_hh_tesh_in!L17=0,0,SER_hh_tesh_in!L17/SER_summary!L$27)</f>
        <v>30.92616991260072</v>
      </c>
      <c r="M17" s="132">
        <f>IF(SER_hh_tesh_in!M17=0,0,SER_hh_tesh_in!M17/SER_summary!M$27)</f>
        <v>28.665895569217618</v>
      </c>
      <c r="N17" s="132">
        <f>IF(SER_hh_tesh_in!N17=0,0,SER_hh_tesh_in!N17/SER_summary!N$27)</f>
        <v>28.538372373476342</v>
      </c>
      <c r="O17" s="132">
        <f>IF(SER_hh_tesh_in!O17=0,0,SER_hh_tesh_in!O17/SER_summary!O$27)</f>
        <v>28.303175891385784</v>
      </c>
      <c r="P17" s="132">
        <f>IF(SER_hh_tesh_in!P17=0,0,SER_hh_tesh_in!P17/SER_summary!P$27)</f>
        <v>26.839374153384867</v>
      </c>
      <c r="Q17" s="132">
        <f>IF(SER_hh_tesh_in!Q17=0,0,SER_hh_tesh_in!Q17/SER_summary!Q$27)</f>
        <v>29.495274610237853</v>
      </c>
      <c r="R17" s="132">
        <f>IF(SER_hh_tesh_in!R17=0,0,SER_hh_tesh_in!R17/SER_summary!R$27)</f>
        <v>27.866007282277273</v>
      </c>
      <c r="S17" s="132">
        <f>IF(SER_hh_tesh_in!S17=0,0,SER_hh_tesh_in!S17/SER_summary!S$27)</f>
        <v>25.637938570145785</v>
      </c>
      <c r="T17" s="132">
        <f>IF(SER_hh_tesh_in!T17=0,0,SER_hh_tesh_in!T17/SER_summary!T$27)</f>
        <v>28.418480214849851</v>
      </c>
      <c r="U17" s="132">
        <f>IF(SER_hh_tesh_in!U17=0,0,SER_hh_tesh_in!U17/SER_summary!U$27)</f>
        <v>26.467758097358928</v>
      </c>
      <c r="V17" s="132">
        <f>IF(SER_hh_tesh_in!V17=0,0,SER_hh_tesh_in!V17/SER_summary!V$27)</f>
        <v>28.478617989742204</v>
      </c>
      <c r="W17" s="132">
        <f>IF(SER_hh_tesh_in!W17=0,0,SER_hh_tesh_in!W17/SER_summary!W$27)</f>
        <v>19.179628633945399</v>
      </c>
      <c r="X17" s="132">
        <f>IF(SER_hh_tesh_in!X17=0,0,SER_hh_tesh_in!X17/SER_summary!X$27)</f>
        <v>21.23629459935389</v>
      </c>
      <c r="Y17" s="132">
        <f>IF(SER_hh_tesh_in!Y17=0,0,SER_hh_tesh_in!Y17/SER_summary!Y$27)</f>
        <v>19.791777504670371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31.434683715533584</v>
      </c>
      <c r="D18" s="132">
        <f>IF(SER_hh_tesh_in!D18=0,0,SER_hh_tesh_in!D18/SER_summary!D$27)</f>
        <v>31.184670278338277</v>
      </c>
      <c r="E18" s="132">
        <f>IF(SER_hh_tesh_in!E18=0,0,SER_hh_tesh_in!E18/SER_summary!E$27)</f>
        <v>39.554730152457992</v>
      </c>
      <c r="F18" s="132">
        <f>IF(SER_hh_tesh_in!F18=0,0,SER_hh_tesh_in!F18/SER_summary!F$27)</f>
        <v>30.448656346018467</v>
      </c>
      <c r="G18" s="132">
        <f>IF(SER_hh_tesh_in!G18=0,0,SER_hh_tesh_in!G18/SER_summary!G$27)</f>
        <v>30.733925014867463</v>
      </c>
      <c r="H18" s="132">
        <f>IF(SER_hh_tesh_in!H18=0,0,SER_hh_tesh_in!H18/SER_summary!H$27)</f>
        <v>38.190091255310151</v>
      </c>
      <c r="I18" s="132">
        <f>IF(SER_hh_tesh_in!I18=0,0,SER_hh_tesh_in!I18/SER_summary!I$27)</f>
        <v>29.599261498966065</v>
      </c>
      <c r="J18" s="132">
        <f>IF(SER_hh_tesh_in!J18=0,0,SER_hh_tesh_in!J18/SER_summary!J$27)</f>
        <v>29.528662705089967</v>
      </c>
      <c r="K18" s="132">
        <f>IF(SER_hh_tesh_in!K18=0,0,SER_hh_tesh_in!K18/SER_summary!K$27)</f>
        <v>29.422558820639168</v>
      </c>
      <c r="L18" s="132">
        <f>IF(SER_hh_tesh_in!L18=0,0,SER_hh_tesh_in!L18/SER_summary!L$27)</f>
        <v>30.954639535424995</v>
      </c>
      <c r="M18" s="132">
        <f>IF(SER_hh_tesh_in!M18=0,0,SER_hh_tesh_in!M18/SER_summary!M$27)</f>
        <v>28.684883524757016</v>
      </c>
      <c r="N18" s="132">
        <f>IF(SER_hh_tesh_in!N18=0,0,SER_hh_tesh_in!N18/SER_summary!N$27)</f>
        <v>28.56014480997084</v>
      </c>
      <c r="O18" s="132">
        <f>IF(SER_hh_tesh_in!O18=0,0,SER_hh_tesh_in!O18/SER_summary!O$27)</f>
        <v>28.318835274701843</v>
      </c>
      <c r="P18" s="132">
        <f>IF(SER_hh_tesh_in!P18=0,0,SER_hh_tesh_in!P18/SER_summary!P$27)</f>
        <v>26.777583308673073</v>
      </c>
      <c r="Q18" s="132">
        <f>IF(SER_hh_tesh_in!Q18=0,0,SER_hh_tesh_in!Q18/SER_summary!Q$27)</f>
        <v>29.400416601761055</v>
      </c>
      <c r="R18" s="132">
        <f>IF(SER_hh_tesh_in!R18=0,0,SER_hh_tesh_in!R18/SER_summary!R$27)</f>
        <v>27.74424595652502</v>
      </c>
      <c r="S18" s="132">
        <f>IF(SER_hh_tesh_in!S18=0,0,SER_hh_tesh_in!S18/SER_summary!S$27)</f>
        <v>25.554828932317101</v>
      </c>
      <c r="T18" s="132">
        <f>IF(SER_hh_tesh_in!T18=0,0,SER_hh_tesh_in!T18/SER_summary!T$27)</f>
        <v>28.258749213655292</v>
      </c>
      <c r="U18" s="132">
        <f>IF(SER_hh_tesh_in!U18=0,0,SER_hh_tesh_in!U18/SER_summary!U$27)</f>
        <v>26.269376900151254</v>
      </c>
      <c r="V18" s="132">
        <f>IF(SER_hh_tesh_in!V18=0,0,SER_hh_tesh_in!V18/SER_summary!V$27)</f>
        <v>26.812991806332683</v>
      </c>
      <c r="W18" s="132">
        <f>IF(SER_hh_tesh_in!W18=0,0,SER_hh_tesh_in!W18/SER_summary!W$27)</f>
        <v>20.436384536757195</v>
      </c>
      <c r="X18" s="132">
        <f>IF(SER_hh_tesh_in!X18=0,0,SER_hh_tesh_in!X18/SER_summary!X$27)</f>
        <v>21.276287924008702</v>
      </c>
      <c r="Y18" s="132">
        <f>IF(SER_hh_tesh_in!Y18=0,0,SER_hh_tesh_in!Y18/SER_summary!Y$27)</f>
        <v>19.839233183581989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14.209936655406645</v>
      </c>
      <c r="D19" s="130">
        <f>IF(SER_hh_tesh_in!D19=0,0,SER_hh_tesh_in!D19/SER_summary!D$27)</f>
        <v>14.902220581724043</v>
      </c>
      <c r="E19" s="130">
        <f>IF(SER_hh_tesh_in!E19=0,0,SER_hh_tesh_in!E19/SER_summary!E$27)</f>
        <v>15.173932541445248</v>
      </c>
      <c r="F19" s="130">
        <f>IF(SER_hh_tesh_in!F19=0,0,SER_hh_tesh_in!F19/SER_summary!F$27)</f>
        <v>14.109613744983507</v>
      </c>
      <c r="G19" s="130">
        <f>IF(SER_hh_tesh_in!G19=0,0,SER_hh_tesh_in!G19/SER_summary!G$27)</f>
        <v>13.997776092235638</v>
      </c>
      <c r="H19" s="130">
        <f>IF(SER_hh_tesh_in!H19=0,0,SER_hh_tesh_in!H19/SER_summary!H$27)</f>
        <v>13.988021827517807</v>
      </c>
      <c r="I19" s="130">
        <f>IF(SER_hh_tesh_in!I19=0,0,SER_hh_tesh_in!I19/SER_summary!I$27)</f>
        <v>13.862958027772098</v>
      </c>
      <c r="J19" s="130">
        <f>IF(SER_hh_tesh_in!J19=0,0,SER_hh_tesh_in!J19/SER_summary!J$27)</f>
        <v>13.873909124595185</v>
      </c>
      <c r="K19" s="130">
        <f>IF(SER_hh_tesh_in!K19=0,0,SER_hh_tesh_in!K19/SER_summary!K$27)</f>
        <v>14.114014237536836</v>
      </c>
      <c r="L19" s="130">
        <f>IF(SER_hh_tesh_in!L19=0,0,SER_hh_tesh_in!L19/SER_summary!L$27)</f>
        <v>14.104025304903885</v>
      </c>
      <c r="M19" s="130">
        <f>IF(SER_hh_tesh_in!M19=0,0,SER_hh_tesh_in!M19/SER_summary!M$27)</f>
        <v>14.240522494821095</v>
      </c>
      <c r="N19" s="130">
        <f>IF(SER_hh_tesh_in!N19=0,0,SER_hh_tesh_in!N19/SER_summary!N$27)</f>
        <v>14.543608224606755</v>
      </c>
      <c r="O19" s="130">
        <f>IF(SER_hh_tesh_in!O19=0,0,SER_hh_tesh_in!O19/SER_summary!O$27)</f>
        <v>14.827803346443286</v>
      </c>
      <c r="P19" s="130">
        <f>IF(SER_hh_tesh_in!P19=0,0,SER_hh_tesh_in!P19/SER_summary!P$27)</f>
        <v>14.905563776214795</v>
      </c>
      <c r="Q19" s="130">
        <f>IF(SER_hh_tesh_in!Q19=0,0,SER_hh_tesh_in!Q19/SER_summary!Q$27)</f>
        <v>14.783237990011683</v>
      </c>
      <c r="R19" s="130">
        <f>IF(SER_hh_tesh_in!R19=0,0,SER_hh_tesh_in!R19/SER_summary!R$27)</f>
        <v>14.984827637519935</v>
      </c>
      <c r="S19" s="130">
        <f>IF(SER_hh_tesh_in!S19=0,0,SER_hh_tesh_in!S19/SER_summary!S$27)</f>
        <v>14.988937169946233</v>
      </c>
      <c r="T19" s="130">
        <f>IF(SER_hh_tesh_in!T19=0,0,SER_hh_tesh_in!T19/SER_summary!T$27)</f>
        <v>14.8607828793671</v>
      </c>
      <c r="U19" s="130">
        <f>IF(SER_hh_tesh_in!U19=0,0,SER_hh_tesh_in!U19/SER_summary!U$27)</f>
        <v>14.172608785736736</v>
      </c>
      <c r="V19" s="130">
        <f>IF(SER_hh_tesh_in!V19=0,0,SER_hh_tesh_in!V19/SER_summary!V$27)</f>
        <v>13.375054938172964</v>
      </c>
      <c r="W19" s="130">
        <f>IF(SER_hh_tesh_in!W19=0,0,SER_hh_tesh_in!W19/SER_summary!W$27)</f>
        <v>13.640326689574207</v>
      </c>
      <c r="X19" s="130">
        <f>IF(SER_hh_tesh_in!X19=0,0,SER_hh_tesh_in!X19/SER_summary!X$27)</f>
        <v>14.387393804768173</v>
      </c>
      <c r="Y19" s="130">
        <f>IF(SER_hh_tesh_in!Y19=0,0,SER_hh_tesh_in!Y19/SER_summary!Y$27)</f>
        <v>14.788698877152838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14.482129151598489</v>
      </c>
      <c r="D21" s="132">
        <f>IF(SER_hh_tesh_in!D21=0,0,SER_hh_tesh_in!D21/SER_summary!D$27)</f>
        <v>14.737478258882168</v>
      </c>
      <c r="E21" s="132">
        <f>IF(SER_hh_tesh_in!E21=0,0,SER_hh_tesh_in!E21/SER_summary!E$27)</f>
        <v>15.162235707338318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0</v>
      </c>
      <c r="I21" s="132">
        <f>IF(SER_hh_tesh_in!I21=0,0,SER_hh_tesh_in!I21/SER_summary!I$27)</f>
        <v>0</v>
      </c>
      <c r="J21" s="132">
        <f>IF(SER_hh_tesh_in!J21=0,0,SER_hh_tesh_in!J21/SER_summary!J$27)</f>
        <v>0</v>
      </c>
      <c r="K21" s="132">
        <f>IF(SER_hh_tesh_in!K21=0,0,SER_hh_tesh_in!K21/SER_summary!K$27)</f>
        <v>0</v>
      </c>
      <c r="L21" s="132">
        <f>IF(SER_hh_tesh_in!L21=0,0,SER_hh_tesh_in!L21/SER_summary!L$27)</f>
        <v>12.629304941137889</v>
      </c>
      <c r="M21" s="132">
        <f>IF(SER_hh_tesh_in!M21=0,0,SER_hh_tesh_in!M21/SER_summary!M$27)</f>
        <v>13.462267551560625</v>
      </c>
      <c r="N21" s="132">
        <f>IF(SER_hh_tesh_in!N21=0,0,SER_hh_tesh_in!N21/SER_summary!N$27)</f>
        <v>14.94625218886716</v>
      </c>
      <c r="O21" s="132">
        <f>IF(SER_hh_tesh_in!O21=0,0,SER_hh_tesh_in!O21/SER_summary!O$27)</f>
        <v>15.189484588531663</v>
      </c>
      <c r="P21" s="132">
        <f>IF(SER_hh_tesh_in!P21=0,0,SER_hh_tesh_in!P21/SER_summary!P$27)</f>
        <v>13.977955146304339</v>
      </c>
      <c r="Q21" s="132">
        <f>IF(SER_hh_tesh_in!Q21=0,0,SER_hh_tesh_in!Q21/SER_summary!Q$27)</f>
        <v>14.545973780245555</v>
      </c>
      <c r="R21" s="132">
        <f>IF(SER_hh_tesh_in!R21=0,0,SER_hh_tesh_in!R21/SER_summary!R$27)</f>
        <v>14.338702039231151</v>
      </c>
      <c r="S21" s="132">
        <f>IF(SER_hh_tesh_in!S21=0,0,SER_hh_tesh_in!S21/SER_summary!S$27)</f>
        <v>14.950284596747863</v>
      </c>
      <c r="T21" s="132">
        <f>IF(SER_hh_tesh_in!T21=0,0,SER_hh_tesh_in!T21/SER_summary!T$27)</f>
        <v>15.004174741894284</v>
      </c>
      <c r="U21" s="132">
        <f>IF(SER_hh_tesh_in!U21=0,0,SER_hh_tesh_in!U21/SER_summary!U$27)</f>
        <v>14.603665909824509</v>
      </c>
      <c r="V21" s="132">
        <f>IF(SER_hh_tesh_in!V21=0,0,SER_hh_tesh_in!V21/SER_summary!V$27)</f>
        <v>12.016280468668455</v>
      </c>
      <c r="W21" s="132">
        <f>IF(SER_hh_tesh_in!W21=0,0,SER_hh_tesh_in!W21/SER_summary!W$27)</f>
        <v>12.31178025583371</v>
      </c>
      <c r="X21" s="132">
        <f>IF(SER_hh_tesh_in!X21=0,0,SER_hh_tesh_in!X21/SER_summary!X$27)</f>
        <v>16.713380025224577</v>
      </c>
      <c r="Y21" s="132">
        <f>IF(SER_hh_tesh_in!Y21=0,0,SER_hh_tesh_in!Y21/SER_summary!Y$27)</f>
        <v>13.520643980902353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14.394835304675253</v>
      </c>
      <c r="D22" s="132">
        <f>IF(SER_hh_tesh_in!D22=0,0,SER_hh_tesh_in!D22/SER_summary!D$27)</f>
        <v>14.577570028805603</v>
      </c>
      <c r="E22" s="132">
        <f>IF(SER_hh_tesh_in!E22=0,0,SER_hh_tesh_in!E22/SER_summary!E$27)</f>
        <v>14.614571963698928</v>
      </c>
      <c r="F22" s="132">
        <f>IF(SER_hh_tesh_in!F22=0,0,SER_hh_tesh_in!F22/SER_summary!F$27)</f>
        <v>14.259884860612006</v>
      </c>
      <c r="G22" s="132">
        <f>IF(SER_hh_tesh_in!G22=0,0,SER_hh_tesh_in!G22/SER_summary!G$27)</f>
        <v>14.068190001057626</v>
      </c>
      <c r="H22" s="132">
        <f>IF(SER_hh_tesh_in!H22=0,0,SER_hh_tesh_in!H22/SER_summary!H$27)</f>
        <v>13.983901763562187</v>
      </c>
      <c r="I22" s="132">
        <f>IF(SER_hh_tesh_in!I22=0,0,SER_hh_tesh_in!I22/SER_summary!I$27)</f>
        <v>13.893269612014588</v>
      </c>
      <c r="J22" s="132">
        <f>IF(SER_hh_tesh_in!J22=0,0,SER_hh_tesh_in!J22/SER_summary!J$27)</f>
        <v>13.61963861517223</v>
      </c>
      <c r="K22" s="132">
        <f>IF(SER_hh_tesh_in!K22=0,0,SER_hh_tesh_in!K22/SER_summary!K$27)</f>
        <v>11.52723080508075</v>
      </c>
      <c r="L22" s="132">
        <f>IF(SER_hh_tesh_in!L22=0,0,SER_hh_tesh_in!L22/SER_summary!L$27)</f>
        <v>14.0469147200808</v>
      </c>
      <c r="M22" s="132">
        <f>IF(SER_hh_tesh_in!M22=0,0,SER_hh_tesh_in!M22/SER_summary!M$27)</f>
        <v>14.320114313361087</v>
      </c>
      <c r="N22" s="132">
        <f>IF(SER_hh_tesh_in!N22=0,0,SER_hh_tesh_in!N22/SER_summary!N$27)</f>
        <v>14.552264619295691</v>
      </c>
      <c r="O22" s="132">
        <f>IF(SER_hh_tesh_in!O22=0,0,SER_hh_tesh_in!O22/SER_summary!O$27)</f>
        <v>14.723260873970489</v>
      </c>
      <c r="P22" s="132">
        <f>IF(SER_hh_tesh_in!P22=0,0,SER_hh_tesh_in!P22/SER_summary!P$27)</f>
        <v>14.861388979692441</v>
      </c>
      <c r="Q22" s="132">
        <f>IF(SER_hh_tesh_in!Q22=0,0,SER_hh_tesh_in!Q22/SER_summary!Q$27)</f>
        <v>15.015379161452998</v>
      </c>
      <c r="R22" s="132">
        <f>IF(SER_hh_tesh_in!R22=0,0,SER_hh_tesh_in!R22/SER_summary!R$27)</f>
        <v>14.917300195889403</v>
      </c>
      <c r="S22" s="132">
        <f>IF(SER_hh_tesh_in!S22=0,0,SER_hh_tesh_in!S22/SER_summary!S$27)</f>
        <v>15.226085291895689</v>
      </c>
      <c r="T22" s="132">
        <f>IF(SER_hh_tesh_in!T22=0,0,SER_hh_tesh_in!T22/SER_summary!T$27)</f>
        <v>15.389806169899046</v>
      </c>
      <c r="U22" s="132">
        <f>IF(SER_hh_tesh_in!U22=0,0,SER_hh_tesh_in!U22/SER_summary!U$27)</f>
        <v>13.335240073313047</v>
      </c>
      <c r="V22" s="132">
        <f>IF(SER_hh_tesh_in!V22=0,0,SER_hh_tesh_in!V22/SER_summary!V$27)</f>
        <v>12.808557961941135</v>
      </c>
      <c r="W22" s="132">
        <f>IF(SER_hh_tesh_in!W22=0,0,SER_hh_tesh_in!W22/SER_summary!W$27)</f>
        <v>13.419813551304072</v>
      </c>
      <c r="X22" s="132">
        <f>IF(SER_hh_tesh_in!X22=0,0,SER_hh_tesh_in!X22/SER_summary!X$27)</f>
        <v>14.33144473923171</v>
      </c>
      <c r="Y22" s="132">
        <f>IF(SER_hh_tesh_in!Y22=0,0,SER_hh_tesh_in!Y22/SER_summary!Y$27)</f>
        <v>14.473099345039211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14.509634731822858</v>
      </c>
      <c r="D23" s="132">
        <f>IF(SER_hh_tesh_in!D23=0,0,SER_hh_tesh_in!D23/SER_summary!D$27)</f>
        <v>14.469309554412114</v>
      </c>
      <c r="E23" s="132">
        <f>IF(SER_hh_tesh_in!E23=0,0,SER_hh_tesh_in!E23/SER_summary!E$27)</f>
        <v>14.585382158041403</v>
      </c>
      <c r="F23" s="132">
        <f>IF(SER_hh_tesh_in!F23=0,0,SER_hh_tesh_in!F23/SER_summary!F$27)</f>
        <v>14.219747208068373</v>
      </c>
      <c r="G23" s="132">
        <f>IF(SER_hh_tesh_in!G23=0,0,SER_hh_tesh_in!G23/SER_summary!G$27)</f>
        <v>14.109279681259178</v>
      </c>
      <c r="H23" s="132">
        <f>IF(SER_hh_tesh_in!H23=0,0,SER_hh_tesh_in!H23/SER_summary!H$27)</f>
        <v>13.887316141425668</v>
      </c>
      <c r="I23" s="132">
        <f>IF(SER_hh_tesh_in!I23=0,0,SER_hh_tesh_in!I23/SER_summary!I$27)</f>
        <v>13.710019184961954</v>
      </c>
      <c r="J23" s="132">
        <f>IF(SER_hh_tesh_in!J23=0,0,SER_hh_tesh_in!J23/SER_summary!J$27)</f>
        <v>13.692710529220648</v>
      </c>
      <c r="K23" s="132">
        <f>IF(SER_hh_tesh_in!K23=0,0,SER_hh_tesh_in!K23/SER_summary!K$27)</f>
        <v>11.298056844090619</v>
      </c>
      <c r="L23" s="132">
        <f>IF(SER_hh_tesh_in!L23=0,0,SER_hh_tesh_in!L23/SER_summary!L$27)</f>
        <v>14.08420387657274</v>
      </c>
      <c r="M23" s="132">
        <f>IF(SER_hh_tesh_in!M23=0,0,SER_hh_tesh_in!M23/SER_summary!M$27)</f>
        <v>14.213464560133913</v>
      </c>
      <c r="N23" s="132">
        <f>IF(SER_hh_tesh_in!N23=0,0,SER_hh_tesh_in!N23/SER_summary!N$27)</f>
        <v>14.607821633963288</v>
      </c>
      <c r="O23" s="132">
        <f>IF(SER_hh_tesh_in!O23=0,0,SER_hh_tesh_in!O23/SER_summary!O$27)</f>
        <v>14.895933639887252</v>
      </c>
      <c r="P23" s="132">
        <f>IF(SER_hh_tesh_in!P23=0,0,SER_hh_tesh_in!P23/SER_summary!P$27)</f>
        <v>14.796168008266505</v>
      </c>
      <c r="Q23" s="132">
        <f>IF(SER_hh_tesh_in!Q23=0,0,SER_hh_tesh_in!Q23/SER_summary!Q$27)</f>
        <v>14.900656071257302</v>
      </c>
      <c r="R23" s="132">
        <f>IF(SER_hh_tesh_in!R23=0,0,SER_hh_tesh_in!R23/SER_summary!R$27)</f>
        <v>14.886212919237686</v>
      </c>
      <c r="S23" s="132">
        <f>IF(SER_hh_tesh_in!S23=0,0,SER_hh_tesh_in!S23/SER_summary!S$27)</f>
        <v>14.88940313691851</v>
      </c>
      <c r="T23" s="132">
        <f>IF(SER_hh_tesh_in!T23=0,0,SER_hh_tesh_in!T23/SER_summary!T$27)</f>
        <v>14.636412281382359</v>
      </c>
      <c r="U23" s="132">
        <f>IF(SER_hh_tesh_in!U23=0,0,SER_hh_tesh_in!U23/SER_summary!U$27)</f>
        <v>14.124159336630264</v>
      </c>
      <c r="V23" s="132">
        <f>IF(SER_hh_tesh_in!V23=0,0,SER_hh_tesh_in!V23/SER_summary!V$27)</f>
        <v>13.683721171633158</v>
      </c>
      <c r="W23" s="132">
        <f>IF(SER_hh_tesh_in!W23=0,0,SER_hh_tesh_in!W23/SER_summary!W$27)</f>
        <v>15.024288831194095</v>
      </c>
      <c r="X23" s="132">
        <f>IF(SER_hh_tesh_in!X23=0,0,SER_hh_tesh_in!X23/SER_summary!X$27)</f>
        <v>0</v>
      </c>
      <c r="Y23" s="132">
        <f>IF(SER_hh_tesh_in!Y23=0,0,SER_hh_tesh_in!Y23/SER_summary!Y$27)</f>
        <v>10.161114352925878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14.341343382743824</v>
      </c>
      <c r="D25" s="132">
        <f>IF(SER_hh_tesh_in!D25=0,0,SER_hh_tesh_in!D25/SER_summary!D$27)</f>
        <v>14.609640482408228</v>
      </c>
      <c r="E25" s="132">
        <f>IF(SER_hh_tesh_in!E25=0,0,SER_hh_tesh_in!E25/SER_summary!E$27)</f>
        <v>14.50726898879682</v>
      </c>
      <c r="F25" s="132">
        <f>IF(SER_hh_tesh_in!F25=0,0,SER_hh_tesh_in!F25/SER_summary!F$27)</f>
        <v>14.237327077194896</v>
      </c>
      <c r="G25" s="132">
        <f>IF(SER_hh_tesh_in!G25=0,0,SER_hh_tesh_in!G25/SER_summary!G$27)</f>
        <v>14.143421010110359</v>
      </c>
      <c r="H25" s="132">
        <f>IF(SER_hh_tesh_in!H25=0,0,SER_hh_tesh_in!H25/SER_summary!H$27)</f>
        <v>13.995891406246619</v>
      </c>
      <c r="I25" s="132">
        <f>IF(SER_hh_tesh_in!I25=0,0,SER_hh_tesh_in!I25/SER_summary!I$27)</f>
        <v>13.718679072236574</v>
      </c>
      <c r="J25" s="132">
        <f>IF(SER_hh_tesh_in!J25=0,0,SER_hh_tesh_in!J25/SER_summary!J$27)</f>
        <v>13.556925694178384</v>
      </c>
      <c r="K25" s="132">
        <f>IF(SER_hh_tesh_in!K25=0,0,SER_hh_tesh_in!K25/SER_summary!K$27)</f>
        <v>11.752172583109358</v>
      </c>
      <c r="L25" s="132">
        <f>IF(SER_hh_tesh_in!L25=0,0,SER_hh_tesh_in!L25/SER_summary!L$27)</f>
        <v>14.872954532521085</v>
      </c>
      <c r="M25" s="132">
        <f>IF(SER_hh_tesh_in!M25=0,0,SER_hh_tesh_in!M25/SER_summary!M$27)</f>
        <v>14.545071797785614</v>
      </c>
      <c r="N25" s="132">
        <f>IF(SER_hh_tesh_in!N25=0,0,SER_hh_tesh_in!N25/SER_summary!N$27)</f>
        <v>14.483215205364928</v>
      </c>
      <c r="O25" s="132">
        <f>IF(SER_hh_tesh_in!O25=0,0,SER_hh_tesh_in!O25/SER_summary!O$27)</f>
        <v>15.039960668680317</v>
      </c>
      <c r="P25" s="132">
        <f>IF(SER_hh_tesh_in!P25=0,0,SER_hh_tesh_in!P25/SER_summary!P$27)</f>
        <v>14.213245811403404</v>
      </c>
      <c r="Q25" s="132">
        <f>IF(SER_hh_tesh_in!Q25=0,0,SER_hh_tesh_in!Q25/SER_summary!Q$27)</f>
        <v>14.897037364982383</v>
      </c>
      <c r="R25" s="132">
        <f>IF(SER_hh_tesh_in!R25=0,0,SER_hh_tesh_in!R25/SER_summary!R$27)</f>
        <v>15.104289640558104</v>
      </c>
      <c r="S25" s="132">
        <f>IF(SER_hh_tesh_in!S25=0,0,SER_hh_tesh_in!S25/SER_summary!S$27)</f>
        <v>14.928777451568322</v>
      </c>
      <c r="T25" s="132">
        <f>IF(SER_hh_tesh_in!T25=0,0,SER_hh_tesh_in!T25/SER_summary!T$27)</f>
        <v>14.678962837591358</v>
      </c>
      <c r="U25" s="132">
        <f>IF(SER_hh_tesh_in!U25=0,0,SER_hh_tesh_in!U25/SER_summary!U$27)</f>
        <v>14.283201682276154</v>
      </c>
      <c r="V25" s="132">
        <f>IF(SER_hh_tesh_in!V25=0,0,SER_hh_tesh_in!V25/SER_summary!V$27)</f>
        <v>12.965616114751178</v>
      </c>
      <c r="W25" s="132">
        <f>IF(SER_hh_tesh_in!W25=0,0,SER_hh_tesh_in!W25/SER_summary!W$27)</f>
        <v>12.014475317614739</v>
      </c>
      <c r="X25" s="132">
        <f>IF(SER_hh_tesh_in!X25=0,0,SER_hh_tesh_in!X25/SER_summary!X$27)</f>
        <v>14.831306257297717</v>
      </c>
      <c r="Y25" s="132">
        <f>IF(SER_hh_tesh_in!Y25=0,0,SER_hh_tesh_in!Y25/SER_summary!Y$27)</f>
        <v>14.702532153422741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13.626352911428155</v>
      </c>
      <c r="D26" s="65">
        <f>IF(SER_hh_tesh_in!D26=0,0,SER_hh_tesh_in!D26/SER_summary!D$27)</f>
        <v>15.328419262094901</v>
      </c>
      <c r="E26" s="65">
        <f>IF(SER_hh_tesh_in!E26=0,0,SER_hh_tesh_in!E26/SER_summary!E$27)</f>
        <v>15.368394911242362</v>
      </c>
      <c r="F26" s="65">
        <f>IF(SER_hh_tesh_in!F26=0,0,SER_hh_tesh_in!F26/SER_summary!F$27)</f>
        <v>13.092489291726842</v>
      </c>
      <c r="G26" s="65">
        <f>IF(SER_hh_tesh_in!G26=0,0,SER_hh_tesh_in!G26/SER_summary!G$27)</f>
        <v>13.541266928032222</v>
      </c>
      <c r="H26" s="65">
        <f>IF(SER_hh_tesh_in!H26=0,0,SER_hh_tesh_in!H26/SER_summary!H$27)</f>
        <v>13.585184656348906</v>
      </c>
      <c r="I26" s="65">
        <f>IF(SER_hh_tesh_in!I26=0,0,SER_hh_tesh_in!I26/SER_summary!I$27)</f>
        <v>12.846599638968152</v>
      </c>
      <c r="J26" s="65">
        <f>IF(SER_hh_tesh_in!J26=0,0,SER_hh_tesh_in!J26/SER_summary!J$27)</f>
        <v>12.923469895770998</v>
      </c>
      <c r="K26" s="65">
        <f>IF(SER_hh_tesh_in!K26=0,0,SER_hh_tesh_in!K26/SER_summary!K$27)</f>
        <v>5.7898561901843673</v>
      </c>
      <c r="L26" s="65">
        <f>IF(SER_hh_tesh_in!L26=0,0,SER_hh_tesh_in!L26/SER_summary!L$27)</f>
        <v>14.099001522500952</v>
      </c>
      <c r="M26" s="65">
        <f>IF(SER_hh_tesh_in!M26=0,0,SER_hh_tesh_in!M26/SER_summary!M$27)</f>
        <v>14.010194019514145</v>
      </c>
      <c r="N26" s="65">
        <f>IF(SER_hh_tesh_in!N26=0,0,SER_hh_tesh_in!N26/SER_summary!N$27)</f>
        <v>14.224190494946711</v>
      </c>
      <c r="O26" s="65">
        <f>IF(SER_hh_tesh_in!O26=0,0,SER_hh_tesh_in!O26/SER_summary!O$27)</f>
        <v>14.756761751888959</v>
      </c>
      <c r="P26" s="65">
        <f>IF(SER_hh_tesh_in!P26=0,0,SER_hh_tesh_in!P26/SER_summary!P$27)</f>
        <v>14.3426612713155</v>
      </c>
      <c r="Q26" s="65">
        <f>IF(SER_hh_tesh_in!Q26=0,0,SER_hh_tesh_in!Q26/SER_summary!Q$27)</f>
        <v>12.930534473918739</v>
      </c>
      <c r="R26" s="65">
        <f>IF(SER_hh_tesh_in!R26=0,0,SER_hh_tesh_in!R26/SER_summary!R$27)</f>
        <v>12.095768542921983</v>
      </c>
      <c r="S26" s="65">
        <f>IF(SER_hh_tesh_in!S26=0,0,SER_hh_tesh_in!S26/SER_summary!S$27)</f>
        <v>14.167944664293888</v>
      </c>
      <c r="T26" s="65">
        <f>IF(SER_hh_tesh_in!T26=0,0,SER_hh_tesh_in!T26/SER_summary!T$27)</f>
        <v>14.323882058469152</v>
      </c>
      <c r="U26" s="65">
        <f>IF(SER_hh_tesh_in!U26=0,0,SER_hh_tesh_in!U26/SER_summary!U$27)</f>
        <v>13.662989515133212</v>
      </c>
      <c r="V26" s="65">
        <f>IF(SER_hh_tesh_in!V26=0,0,SER_hh_tesh_in!V26/SER_summary!V$27)</f>
        <v>13.113924933777588</v>
      </c>
      <c r="W26" s="65">
        <f>IF(SER_hh_tesh_in!W26=0,0,SER_hh_tesh_in!W26/SER_summary!W$27)</f>
        <v>12.787954653349633</v>
      </c>
      <c r="X26" s="65">
        <f>IF(SER_hh_tesh_in!X26=0,0,SER_hh_tesh_in!X26/SER_summary!X$27)</f>
        <v>12.570893445735086</v>
      </c>
      <c r="Y26" s="65">
        <f>IF(SER_hh_tesh_in!Y26=0,0,SER_hh_tesh_in!Y26/SER_summary!Y$27)</f>
        <v>14.60585622491574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2.7333834978001327E-2</v>
      </c>
      <c r="E27" s="145">
        <f>IF(SER_hh_tesh_in!E27=0,0,SER_hh_tesh_in!E27/SER_summary!E$27)</f>
        <v>0.35352111229959915</v>
      </c>
      <c r="F27" s="145">
        <f>IF(SER_hh_tesh_in!F27=0,0,SER_hh_tesh_in!F27/SER_summary!F$27)</f>
        <v>5.938686522388955E-2</v>
      </c>
      <c r="G27" s="145">
        <f>IF(SER_hh_tesh_in!G27=0,0,SER_hh_tesh_in!G27/SER_summary!G$27)</f>
        <v>1.9827228697318636E-2</v>
      </c>
      <c r="H27" s="145">
        <f>IF(SER_hh_tesh_in!H27=0,0,SER_hh_tesh_in!H27/SER_summary!H$27)</f>
        <v>0.15899434882291474</v>
      </c>
      <c r="I27" s="145">
        <f>IF(SER_hh_tesh_in!I27=0,0,SER_hh_tesh_in!I27/SER_summary!I$27)</f>
        <v>0.36209495450042273</v>
      </c>
      <c r="J27" s="145">
        <f>IF(SER_hh_tesh_in!J27=0,0,SER_hh_tesh_in!J27/SER_summary!J$27)</f>
        <v>0.42481109020377039</v>
      </c>
      <c r="K27" s="145">
        <f>IF(SER_hh_tesh_in!K27=0,0,SER_hh_tesh_in!K27/SER_summary!K$27)</f>
        <v>4.2586010213792189</v>
      </c>
      <c r="L27" s="145">
        <f>IF(SER_hh_tesh_in!L27=0,0,SER_hh_tesh_in!L27/SER_summary!L$27)</f>
        <v>0</v>
      </c>
      <c r="M27" s="145">
        <f>IF(SER_hh_tesh_in!M27=0,0,SER_hh_tesh_in!M27/SER_summary!M$27)</f>
        <v>5.9925763809863732E-2</v>
      </c>
      <c r="N27" s="145">
        <f>IF(SER_hh_tesh_in!N27=0,0,SER_hh_tesh_in!N27/SER_summary!N$27)</f>
        <v>4.7002726692081921E-2</v>
      </c>
      <c r="O27" s="145">
        <f>IF(SER_hh_tesh_in!O27=0,0,SER_hh_tesh_in!O27/SER_summary!O$27)</f>
        <v>1.7108538228169725E-15</v>
      </c>
      <c r="P27" s="145">
        <f>IF(SER_hh_tesh_in!P27=0,0,SER_hh_tesh_in!P27/SER_summary!P$27)</f>
        <v>0.32651649724214155</v>
      </c>
      <c r="Q27" s="145">
        <f>IF(SER_hh_tesh_in!Q27=0,0,SER_hh_tesh_in!Q27/SER_summary!Q$27)</f>
        <v>0.72870775992195114</v>
      </c>
      <c r="R27" s="145">
        <f>IF(SER_hh_tesh_in!R27=0,0,SER_hh_tesh_in!R27/SER_summary!R$27)</f>
        <v>1.2796796895948497</v>
      </c>
      <c r="S27" s="145">
        <f>IF(SER_hh_tesh_in!S27=0,0,SER_hh_tesh_in!S27/SER_summary!S$27)</f>
        <v>0.34426853588142198</v>
      </c>
      <c r="T27" s="145">
        <f>IF(SER_hh_tesh_in!T27=0,0,SER_hh_tesh_in!T27/SER_summary!T$27)</f>
        <v>0.2821648726962338</v>
      </c>
      <c r="U27" s="145">
        <f>IF(SER_hh_tesh_in!U27=0,0,SER_hh_tesh_in!U27/SER_summary!U$27)</f>
        <v>0.19569942572617435</v>
      </c>
      <c r="V27" s="145">
        <f>IF(SER_hh_tesh_in!V27=0,0,SER_hh_tesh_in!V27/SER_summary!V$27)</f>
        <v>1.6946996235486813E-15</v>
      </c>
      <c r="W27" s="145">
        <f>IF(SER_hh_tesh_in!W27=0,0,SER_hh_tesh_in!W27/SER_summary!W$27)</f>
        <v>0</v>
      </c>
      <c r="X27" s="145">
        <f>IF(SER_hh_tesh_in!X27=0,0,SER_hh_tesh_in!X27/SER_summary!X$27)</f>
        <v>1.1011741436912132</v>
      </c>
      <c r="Y27" s="145">
        <f>IF(SER_hh_tesh_in!Y27=0,0,SER_hh_tesh_in!Y27/SER_summary!Y$27)</f>
        <v>0.26270548410251016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8.7077021615419099</v>
      </c>
      <c r="E28" s="146">
        <f>IF(SER_hh_tesh_in!E28=0,0,SER_hh_tesh_in!E28/SER_summary!E$27)</f>
        <v>8.7939047825001797</v>
      </c>
      <c r="F28" s="146">
        <f>IF(SER_hh_tesh_in!F28=0,0,SER_hh_tesh_in!F28/SER_summary!F$27)</f>
        <v>8.7515202766200026</v>
      </c>
      <c r="G28" s="146">
        <f>IF(SER_hh_tesh_in!G28=0,0,SER_hh_tesh_in!G28/SER_summary!G$27)</f>
        <v>8.2242554943837689</v>
      </c>
      <c r="H28" s="146">
        <f>IF(SER_hh_tesh_in!H28=0,0,SER_hh_tesh_in!H28/SER_summary!H$27)</f>
        <v>8.2469050660213341</v>
      </c>
      <c r="I28" s="146">
        <f>IF(SER_hh_tesh_in!I28=0,0,SER_hh_tesh_in!I28/SER_summary!I$27)</f>
        <v>7.865951345020096</v>
      </c>
      <c r="J28" s="146">
        <f>IF(SER_hh_tesh_in!J28=0,0,SER_hh_tesh_in!J28/SER_summary!J$27)</f>
        <v>8.4127314361793424</v>
      </c>
      <c r="K28" s="146">
        <f>IF(SER_hh_tesh_in!K28=0,0,SER_hh_tesh_in!K28/SER_summary!K$27)</f>
        <v>8.3145656590322208</v>
      </c>
      <c r="L28" s="146">
        <f>IF(SER_hh_tesh_in!L28=0,0,SER_hh_tesh_in!L28/SER_summary!L$27)</f>
        <v>0</v>
      </c>
      <c r="M28" s="146">
        <f>IF(SER_hh_tesh_in!M28=0,0,SER_hh_tesh_in!M28/SER_summary!M$27)</f>
        <v>8.7204872063542265</v>
      </c>
      <c r="N28" s="146">
        <f>IF(SER_hh_tesh_in!N28=0,0,SER_hh_tesh_in!N28/SER_summary!N$27)</f>
        <v>8.847186304410398</v>
      </c>
      <c r="O28" s="146">
        <f>IF(SER_hh_tesh_in!O28=0,0,SER_hh_tesh_in!O28/SER_summary!O$27)</f>
        <v>10.350354501089647</v>
      </c>
      <c r="P28" s="146">
        <f>IF(SER_hh_tesh_in!P28=0,0,SER_hh_tesh_in!P28/SER_summary!P$27)</f>
        <v>10.536420167718152</v>
      </c>
      <c r="Q28" s="146">
        <f>IF(SER_hh_tesh_in!Q28=0,0,SER_hh_tesh_in!Q28/SER_summary!Q$27)</f>
        <v>9.9676000322283294</v>
      </c>
      <c r="R28" s="146">
        <f>IF(SER_hh_tesh_in!R28=0,0,SER_hh_tesh_in!R28/SER_summary!R$27)</f>
        <v>9.0672406778912009</v>
      </c>
      <c r="S28" s="146">
        <f>IF(SER_hh_tesh_in!S28=0,0,SER_hh_tesh_in!S28/SER_summary!S$27)</f>
        <v>8.7257145425917759</v>
      </c>
      <c r="T28" s="146">
        <f>IF(SER_hh_tesh_in!T28=0,0,SER_hh_tesh_in!T28/SER_summary!T$27)</f>
        <v>9.3050820819328468</v>
      </c>
      <c r="U28" s="146">
        <f>IF(SER_hh_tesh_in!U28=0,0,SER_hh_tesh_in!U28/SER_summary!U$27)</f>
        <v>8.7840250969604412</v>
      </c>
      <c r="V28" s="146">
        <f>IF(SER_hh_tesh_in!V28=0,0,SER_hh_tesh_in!V28/SER_summary!V$27)</f>
        <v>9.9652274688119622</v>
      </c>
      <c r="W28" s="146">
        <f>IF(SER_hh_tesh_in!W28=0,0,SER_hh_tesh_in!W28/SER_summary!W$27)</f>
        <v>0</v>
      </c>
      <c r="X28" s="146">
        <f>IF(SER_hh_tesh_in!X28=0,0,SER_hh_tesh_in!X28/SER_summary!X$27)</f>
        <v>9.7103700993004054</v>
      </c>
      <c r="Y28" s="146">
        <f>IF(SER_hh_tesh_in!Y28=0,0,SER_hh_tesh_in!Y28/SER_summary!Y$27)</f>
        <v>9.3189939388948932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11.466286536802038</v>
      </c>
      <c r="D29" s="130">
        <f>IF(SER_hh_tesh_in!D29=0,0,SER_hh_tesh_in!D29/SER_summary!D$27)</f>
        <v>12.8246338886748</v>
      </c>
      <c r="E29" s="130">
        <f>IF(SER_hh_tesh_in!E29=0,0,SER_hh_tesh_in!E29/SER_summary!E$27)</f>
        <v>13.076994413331143</v>
      </c>
      <c r="F29" s="130">
        <f>IF(SER_hh_tesh_in!F29=0,0,SER_hh_tesh_in!F29/SER_summary!F$27)</f>
        <v>11.426378735795518</v>
      </c>
      <c r="G29" s="130">
        <f>IF(SER_hh_tesh_in!G29=0,0,SER_hh_tesh_in!G29/SER_summary!G$27)</f>
        <v>12.505879054205556</v>
      </c>
      <c r="H29" s="130">
        <f>IF(SER_hh_tesh_in!H29=0,0,SER_hh_tesh_in!H29/SER_summary!H$27)</f>
        <v>12.340079040831712</v>
      </c>
      <c r="I29" s="130">
        <f>IF(SER_hh_tesh_in!I29=0,0,SER_hh_tesh_in!I29/SER_summary!I$27)</f>
        <v>12.593954646108266</v>
      </c>
      <c r="J29" s="130">
        <f>IF(SER_hh_tesh_in!J29=0,0,SER_hh_tesh_in!J29/SER_summary!J$27)</f>
        <v>12.751022758318438</v>
      </c>
      <c r="K29" s="130">
        <f>IF(SER_hh_tesh_in!K29=0,0,SER_hh_tesh_in!K29/SER_summary!K$27)</f>
        <v>12.951785069184934</v>
      </c>
      <c r="L29" s="130">
        <f>IF(SER_hh_tesh_in!L29=0,0,SER_hh_tesh_in!L29/SER_summary!L$27)</f>
        <v>13.254890292242781</v>
      </c>
      <c r="M29" s="130">
        <f>IF(SER_hh_tesh_in!M29=0,0,SER_hh_tesh_in!M29/SER_summary!M$27)</f>
        <v>13.164981111016878</v>
      </c>
      <c r="N29" s="130">
        <f>IF(SER_hh_tesh_in!N29=0,0,SER_hh_tesh_in!N29/SER_summary!N$27)</f>
        <v>13.584269003004643</v>
      </c>
      <c r="O29" s="130">
        <f>IF(SER_hh_tesh_in!O29=0,0,SER_hh_tesh_in!O29/SER_summary!O$27)</f>
        <v>13.633578360696651</v>
      </c>
      <c r="P29" s="130">
        <f>IF(SER_hh_tesh_in!P29=0,0,SER_hh_tesh_in!P29/SER_summary!P$27)</f>
        <v>14.41518589718893</v>
      </c>
      <c r="Q29" s="130">
        <f>IF(SER_hh_tesh_in!Q29=0,0,SER_hh_tesh_in!Q29/SER_summary!Q$27)</f>
        <v>14.695650718821456</v>
      </c>
      <c r="R29" s="130">
        <f>IF(SER_hh_tesh_in!R29=0,0,SER_hh_tesh_in!R29/SER_summary!R$27)</f>
        <v>14.924461613369461</v>
      </c>
      <c r="S29" s="130">
        <f>IF(SER_hh_tesh_in!S29=0,0,SER_hh_tesh_in!S29/SER_summary!S$27)</f>
        <v>14.9904628994334</v>
      </c>
      <c r="T29" s="130">
        <f>IF(SER_hh_tesh_in!T29=0,0,SER_hh_tesh_in!T29/SER_summary!T$27)</f>
        <v>15.034857375749459</v>
      </c>
      <c r="U29" s="130">
        <f>IF(SER_hh_tesh_in!U29=0,0,SER_hh_tesh_in!U29/SER_summary!U$27)</f>
        <v>14.524104975723642</v>
      </c>
      <c r="V29" s="130">
        <f>IF(SER_hh_tesh_in!V29=0,0,SER_hh_tesh_in!V29/SER_summary!V$27)</f>
        <v>13.93169344573886</v>
      </c>
      <c r="W29" s="130">
        <f>IF(SER_hh_tesh_in!W29=0,0,SER_hh_tesh_in!W29/SER_summary!W$27)</f>
        <v>14.541571344822309</v>
      </c>
      <c r="X29" s="130">
        <f>IF(SER_hh_tesh_in!X29=0,0,SER_hh_tesh_in!X29/SER_summary!X$27)</f>
        <v>14.52367289093349</v>
      </c>
      <c r="Y29" s="130">
        <f>IF(SER_hh_tesh_in!Y29=0,0,SER_hh_tesh_in!Y29/SER_summary!Y$27)</f>
        <v>14.831027185914715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12.423581163590836</v>
      </c>
      <c r="D30" s="132">
        <f>IF(SER_hh_tesh_in!D30=0,0,SER_hh_tesh_in!D30/SER_summary!D$27)</f>
        <v>0</v>
      </c>
      <c r="E30" s="132">
        <f>IF(SER_hh_tesh_in!E30=0,0,SER_hh_tesh_in!E30/SER_summary!E$27)</f>
        <v>0</v>
      </c>
      <c r="F30" s="132">
        <f>IF(SER_hh_tesh_in!F30=0,0,SER_hh_tesh_in!F30/SER_summary!F$27)</f>
        <v>0</v>
      </c>
      <c r="G30" s="132">
        <f>IF(SER_hh_tesh_in!G30=0,0,SER_hh_tesh_in!G30/SER_summary!G$27)</f>
        <v>0</v>
      </c>
      <c r="H30" s="132">
        <f>IF(SER_hh_tesh_in!H30=0,0,SER_hh_tesh_in!H30/SER_summary!H$27)</f>
        <v>0</v>
      </c>
      <c r="I30" s="132">
        <f>IF(SER_hh_tesh_in!I30=0,0,SER_hh_tesh_in!I30/SER_summary!I$27)</f>
        <v>0</v>
      </c>
      <c r="J30" s="132">
        <f>IF(SER_hh_tesh_in!J30=0,0,SER_hh_tesh_in!J30/SER_summary!J$27)</f>
        <v>13.117829770128314</v>
      </c>
      <c r="K30" s="132">
        <f>IF(SER_hh_tesh_in!K30=0,0,SER_hh_tesh_in!K30/SER_summary!K$27)</f>
        <v>12.776833164400767</v>
      </c>
      <c r="L30" s="132">
        <f>IF(SER_hh_tesh_in!L30=0,0,SER_hh_tesh_in!L30/SER_summary!L$27)</f>
        <v>15.405178128606339</v>
      </c>
      <c r="M30" s="132">
        <f>IF(SER_hh_tesh_in!M30=0,0,SER_hh_tesh_in!M30/SER_summary!M$27)</f>
        <v>0</v>
      </c>
      <c r="N30" s="132">
        <f>IF(SER_hh_tesh_in!N30=0,0,SER_hh_tesh_in!N30/SER_summary!N$27)</f>
        <v>0</v>
      </c>
      <c r="O30" s="132">
        <f>IF(SER_hh_tesh_in!O30=0,0,SER_hh_tesh_in!O30/SER_summary!O$27)</f>
        <v>14.403276158449973</v>
      </c>
      <c r="P30" s="132">
        <f>IF(SER_hh_tesh_in!P30=0,0,SER_hh_tesh_in!P30/SER_summary!P$27)</f>
        <v>0</v>
      </c>
      <c r="Q30" s="132">
        <f>IF(SER_hh_tesh_in!Q30=0,0,SER_hh_tesh_in!Q30/SER_summary!Q$27)</f>
        <v>17.751069685975303</v>
      </c>
      <c r="R30" s="132">
        <f>IF(SER_hh_tesh_in!R30=0,0,SER_hh_tesh_in!R30/SER_summary!R$27)</f>
        <v>13.557984364320232</v>
      </c>
      <c r="S30" s="132">
        <f>IF(SER_hh_tesh_in!S30=0,0,SER_hh_tesh_in!S30/SER_summary!S$27)</f>
        <v>15.194566547375414</v>
      </c>
      <c r="T30" s="132">
        <f>IF(SER_hh_tesh_in!T30=0,0,SER_hh_tesh_in!T30/SER_summary!T$27)</f>
        <v>14.186734628366491</v>
      </c>
      <c r="U30" s="132">
        <f>IF(SER_hh_tesh_in!U30=0,0,SER_hh_tesh_in!U30/SER_summary!U$27)</f>
        <v>13.771347584841662</v>
      </c>
      <c r="V30" s="132">
        <f>IF(SER_hh_tesh_in!V30=0,0,SER_hh_tesh_in!V30/SER_summary!V$27)</f>
        <v>15.322256462569859</v>
      </c>
      <c r="W30" s="132">
        <f>IF(SER_hh_tesh_in!W30=0,0,SER_hh_tesh_in!W30/SER_summary!W$27)</f>
        <v>16.457474873154275</v>
      </c>
      <c r="X30" s="132">
        <f>IF(SER_hh_tesh_in!X30=0,0,SER_hh_tesh_in!X30/SER_summary!X$27)</f>
        <v>0</v>
      </c>
      <c r="Y30" s="132">
        <f>IF(SER_hh_tesh_in!Y30=0,0,SER_hh_tesh_in!Y30/SER_summary!Y$27)</f>
        <v>0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11.643744087957808</v>
      </c>
      <c r="D31" s="132">
        <f>IF(SER_hh_tesh_in!D31=0,0,SER_hh_tesh_in!D31/SER_summary!D$27)</f>
        <v>12.040612047160076</v>
      </c>
      <c r="E31" s="132">
        <f>IF(SER_hh_tesh_in!E31=0,0,SER_hh_tesh_in!E31/SER_summary!E$27)</f>
        <v>12.273812840684334</v>
      </c>
      <c r="F31" s="132">
        <f>IF(SER_hh_tesh_in!F31=0,0,SER_hh_tesh_in!F31/SER_summary!F$27)</f>
        <v>12.131240294920625</v>
      </c>
      <c r="G31" s="132">
        <f>IF(SER_hh_tesh_in!G31=0,0,SER_hh_tesh_in!G31/SER_summary!G$27)</f>
        <v>12.238917302295475</v>
      </c>
      <c r="H31" s="132">
        <f>IF(SER_hh_tesh_in!H31=0,0,SER_hh_tesh_in!H31/SER_summary!H$27)</f>
        <v>12.247026483633613</v>
      </c>
      <c r="I31" s="132">
        <f>IF(SER_hh_tesh_in!I31=0,0,SER_hh_tesh_in!I31/SER_summary!I$27)</f>
        <v>12.490857739499502</v>
      </c>
      <c r="J31" s="132">
        <f>IF(SER_hh_tesh_in!J31=0,0,SER_hh_tesh_in!J31/SER_summary!J$27)</f>
        <v>12.758412335528018</v>
      </c>
      <c r="K31" s="132">
        <f>IF(SER_hh_tesh_in!K31=0,0,SER_hh_tesh_in!K31/SER_summary!K$27)</f>
        <v>12.896297519481658</v>
      </c>
      <c r="L31" s="132">
        <f>IF(SER_hh_tesh_in!L31=0,0,SER_hh_tesh_in!L31/SER_summary!L$27)</f>
        <v>13.01252589143915</v>
      </c>
      <c r="M31" s="132">
        <f>IF(SER_hh_tesh_in!M31=0,0,SER_hh_tesh_in!M31/SER_summary!M$27)</f>
        <v>13.2007932699268</v>
      </c>
      <c r="N31" s="132">
        <f>IF(SER_hh_tesh_in!N31=0,0,SER_hh_tesh_in!N31/SER_summary!N$27)</f>
        <v>13.61193922017806</v>
      </c>
      <c r="O31" s="132">
        <f>IF(SER_hh_tesh_in!O31=0,0,SER_hh_tesh_in!O31/SER_summary!O$27)</f>
        <v>13.909763003878268</v>
      </c>
      <c r="P31" s="132">
        <f>IF(SER_hh_tesh_in!P31=0,0,SER_hh_tesh_in!P31/SER_summary!P$27)</f>
        <v>14.193807982530034</v>
      </c>
      <c r="Q31" s="132">
        <f>IF(SER_hh_tesh_in!Q31=0,0,SER_hh_tesh_in!Q31/SER_summary!Q$27)</f>
        <v>14.576334022431817</v>
      </c>
      <c r="R31" s="132">
        <f>IF(SER_hh_tesh_in!R31=0,0,SER_hh_tesh_in!R31/SER_summary!R$27)</f>
        <v>14.845950395227556</v>
      </c>
      <c r="S31" s="132">
        <f>IF(SER_hh_tesh_in!S31=0,0,SER_hh_tesh_in!S31/SER_summary!S$27)</f>
        <v>14.900600159025863</v>
      </c>
      <c r="T31" s="132">
        <f>IF(SER_hh_tesh_in!T31=0,0,SER_hh_tesh_in!T31/SER_summary!T$27)</f>
        <v>14.857600254033628</v>
      </c>
      <c r="U31" s="132">
        <f>IF(SER_hh_tesh_in!U31=0,0,SER_hh_tesh_in!U31/SER_summary!U$27)</f>
        <v>14.78970901992583</v>
      </c>
      <c r="V31" s="132">
        <f>IF(SER_hh_tesh_in!V31=0,0,SER_hh_tesh_in!V31/SER_summary!V$27)</f>
        <v>14.310836172571911</v>
      </c>
      <c r="W31" s="132">
        <f>IF(SER_hh_tesh_in!W31=0,0,SER_hh_tesh_in!W31/SER_summary!W$27)</f>
        <v>13.716919236469938</v>
      </c>
      <c r="X31" s="132">
        <f>IF(SER_hh_tesh_in!X31=0,0,SER_hh_tesh_in!X31/SER_summary!X$27)</f>
        <v>15.124840547003116</v>
      </c>
      <c r="Y31" s="132">
        <f>IF(SER_hh_tesh_in!Y31=0,0,SER_hh_tesh_in!Y31/SER_summary!Y$27)</f>
        <v>14.358063074139471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16.364355839455122</v>
      </c>
      <c r="K32" s="132">
        <f>IF(SER_hh_tesh_in!K32=0,0,SER_hh_tesh_in!K32/SER_summary!K$27)</f>
        <v>9.5033756833427443</v>
      </c>
      <c r="L32" s="132">
        <f>IF(SER_hh_tesh_in!L32=0,0,SER_hh_tesh_in!L32/SER_summary!L$27)</f>
        <v>16.462081275956475</v>
      </c>
      <c r="M32" s="132">
        <f>IF(SER_hh_tesh_in!M32=0,0,SER_hh_tesh_in!M32/SER_summary!M$27)</f>
        <v>15.564278612726797</v>
      </c>
      <c r="N32" s="132">
        <f>IF(SER_hh_tesh_in!N32=0,0,SER_hh_tesh_in!N32/SER_summary!N$27)</f>
        <v>8.2679550683725935</v>
      </c>
      <c r="O32" s="132">
        <f>IF(SER_hh_tesh_in!O32=0,0,SER_hh_tesh_in!O32/SER_summary!O$27)</f>
        <v>12.960505941544151</v>
      </c>
      <c r="P32" s="132">
        <f>IF(SER_hh_tesh_in!P32=0,0,SER_hh_tesh_in!P32/SER_summary!P$27)</f>
        <v>15.344768118837505</v>
      </c>
      <c r="Q32" s="132">
        <f>IF(SER_hh_tesh_in!Q32=0,0,SER_hh_tesh_in!Q32/SER_summary!Q$27)</f>
        <v>15.725603315690634</v>
      </c>
      <c r="R32" s="132">
        <f>IF(SER_hh_tesh_in!R32=0,0,SER_hh_tesh_in!R32/SER_summary!R$27)</f>
        <v>15.357815596100469</v>
      </c>
      <c r="S32" s="132">
        <f>IF(SER_hh_tesh_in!S32=0,0,SER_hh_tesh_in!S32/SER_summary!S$27)</f>
        <v>14.864242487670559</v>
      </c>
      <c r="T32" s="132">
        <f>IF(SER_hh_tesh_in!T32=0,0,SER_hh_tesh_in!T32/SER_summary!T$27)</f>
        <v>15.536997059998637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13.472562226169813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11.228835217294654</v>
      </c>
      <c r="D33" s="68">
        <f>IF(SER_hh_tesh_in!D33=0,0,SER_hh_tesh_in!D33/SER_summary!D$27)</f>
        <v>13.0820122771818</v>
      </c>
      <c r="E33" s="68">
        <f>IF(SER_hh_tesh_in!E33=0,0,SER_hh_tesh_in!E33/SER_summary!E$27)</f>
        <v>13.526862819331644</v>
      </c>
      <c r="F33" s="68">
        <f>IF(SER_hh_tesh_in!F33=0,0,SER_hh_tesh_in!F33/SER_summary!F$27)</f>
        <v>10.73609598392237</v>
      </c>
      <c r="G33" s="68">
        <f>IF(SER_hh_tesh_in!G33=0,0,SER_hh_tesh_in!G33/SER_summary!G$27)</f>
        <v>12.67582945600301</v>
      </c>
      <c r="H33" s="68">
        <f>IF(SER_hh_tesh_in!H33=0,0,SER_hh_tesh_in!H33/SER_summary!H$27)</f>
        <v>12.417714478302083</v>
      </c>
      <c r="I33" s="68">
        <f>IF(SER_hh_tesh_in!I33=0,0,SER_hh_tesh_in!I33/SER_summary!I$27)</f>
        <v>12.668151104916772</v>
      </c>
      <c r="J33" s="68">
        <f>IF(SER_hh_tesh_in!J33=0,0,SER_hh_tesh_in!J33/SER_summary!J$27)</f>
        <v>12.639614726959149</v>
      </c>
      <c r="K33" s="68">
        <f>IF(SER_hh_tesh_in!K33=0,0,SER_hh_tesh_in!K33/SER_summary!K$27)</f>
        <v>13.147107787371169</v>
      </c>
      <c r="L33" s="68">
        <f>IF(SER_hh_tesh_in!L33=0,0,SER_hh_tesh_in!L33/SER_summary!L$27)</f>
        <v>12.914656314492019</v>
      </c>
      <c r="M33" s="68">
        <f>IF(SER_hh_tesh_in!M33=0,0,SER_hh_tesh_in!M33/SER_summary!M$27)</f>
        <v>13.138013905591627</v>
      </c>
      <c r="N33" s="68">
        <f>IF(SER_hh_tesh_in!N33=0,0,SER_hh_tesh_in!N33/SER_summary!N$27)</f>
        <v>13.578643294176871</v>
      </c>
      <c r="O33" s="68">
        <f>IF(SER_hh_tesh_in!O33=0,0,SER_hh_tesh_in!O33/SER_summary!O$27)</f>
        <v>13.490591426750592</v>
      </c>
      <c r="P33" s="68">
        <f>IF(SER_hh_tesh_in!P33=0,0,SER_hh_tesh_in!P33/SER_summary!P$27)</f>
        <v>14.489699556629219</v>
      </c>
      <c r="Q33" s="68">
        <f>IF(SER_hh_tesh_in!Q33=0,0,SER_hh_tesh_in!Q33/SER_summary!Q$27)</f>
        <v>14.592880865687004</v>
      </c>
      <c r="R33" s="68">
        <f>IF(SER_hh_tesh_in!R33=0,0,SER_hh_tesh_in!R33/SER_summary!R$27)</f>
        <v>14.979936713945495</v>
      </c>
      <c r="S33" s="68">
        <f>IF(SER_hh_tesh_in!S33=0,0,SER_hh_tesh_in!S33/SER_summary!S$27)</f>
        <v>15.038010713316806</v>
      </c>
      <c r="T33" s="68">
        <f>IF(SER_hh_tesh_in!T33=0,0,SER_hh_tesh_in!T33/SER_summary!T$27)</f>
        <v>15.224707896023409</v>
      </c>
      <c r="U33" s="68">
        <f>IF(SER_hh_tesh_in!U33=0,0,SER_hh_tesh_in!U33/SER_summary!U$27)</f>
        <v>14.416572554138297</v>
      </c>
      <c r="V33" s="68">
        <f>IF(SER_hh_tesh_in!V33=0,0,SER_hh_tesh_in!V33/SER_summary!V$27)</f>
        <v>13.502797522765826</v>
      </c>
      <c r="W33" s="68">
        <f>IF(SER_hh_tesh_in!W33=0,0,SER_hh_tesh_in!W33/SER_summary!W$27)</f>
        <v>14.712041439084413</v>
      </c>
      <c r="X33" s="68">
        <f>IF(SER_hh_tesh_in!X33=0,0,SER_hh_tesh_in!X33/SER_summary!X$27)</f>
        <v>14.281686758929538</v>
      </c>
      <c r="Y33" s="68">
        <f>IF(SER_hh_tesh_in!Y33=0,0,SER_hh_tesh_in!Y33/SER_summary!Y$27)</f>
        <v>14.993656858877198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37.077670966622243</v>
      </c>
      <c r="D3" s="125">
        <f>IF(SER_hh_emih_in!D3=0,0,SER_hh_emih_in!D3/SER_summary!D$27)</f>
        <v>36.741653285217723</v>
      </c>
      <c r="E3" s="125">
        <f>IF(SER_hh_emih_in!E3=0,0,SER_hh_emih_in!E3/SER_summary!E$27)</f>
        <v>34.129429357859856</v>
      </c>
      <c r="F3" s="125">
        <f>IF(SER_hh_emih_in!F3=0,0,SER_hh_emih_in!F3/SER_summary!F$27)</f>
        <v>15.815370502442402</v>
      </c>
      <c r="G3" s="125">
        <f>IF(SER_hh_emih_in!G3=0,0,SER_hh_emih_in!G3/SER_summary!G$27)</f>
        <v>14.505898195979304</v>
      </c>
      <c r="H3" s="125">
        <f>IF(SER_hh_emih_in!H3=0,0,SER_hh_emih_in!H3/SER_summary!H$27)</f>
        <v>22.1092198468898</v>
      </c>
      <c r="I3" s="125">
        <f>IF(SER_hh_emih_in!I3=0,0,SER_hh_emih_in!I3/SER_summary!I$27)</f>
        <v>28.893880637463699</v>
      </c>
      <c r="J3" s="125">
        <f>IF(SER_hh_emih_in!J3=0,0,SER_hh_emih_in!J3/SER_summary!J$27)</f>
        <v>37.884539962394371</v>
      </c>
      <c r="K3" s="125">
        <f>IF(SER_hh_emih_in!K3=0,0,SER_hh_emih_in!K3/SER_summary!K$27)</f>
        <v>34.593354625480401</v>
      </c>
      <c r="L3" s="125">
        <f>IF(SER_hh_emih_in!L3=0,0,SER_hh_emih_in!L3/SER_summary!L$27)</f>
        <v>36.763246351772658</v>
      </c>
      <c r="M3" s="125">
        <f>IF(SER_hh_emih_in!M3=0,0,SER_hh_emih_in!M3/SER_summary!M$27)</f>
        <v>27.523508298788148</v>
      </c>
      <c r="N3" s="125">
        <f>IF(SER_hh_emih_in!N3=0,0,SER_hh_emih_in!N3/SER_summary!N$27)</f>
        <v>27.647558015768407</v>
      </c>
      <c r="O3" s="125">
        <f>IF(SER_hh_emih_in!O3=0,0,SER_hh_emih_in!O3/SER_summary!O$27)</f>
        <v>29.5947017824308</v>
      </c>
      <c r="P3" s="125">
        <f>IF(SER_hh_emih_in!P3=0,0,SER_hh_emih_in!P3/SER_summary!P$27)</f>
        <v>20.375065864949597</v>
      </c>
      <c r="Q3" s="125">
        <f>IF(SER_hh_emih_in!Q3=0,0,SER_hh_emih_in!Q3/SER_summary!Q$27)</f>
        <v>22.568173973059267</v>
      </c>
      <c r="R3" s="125">
        <f>IF(SER_hh_emih_in!R3=0,0,SER_hh_emih_in!R3/SER_summary!R$27)</f>
        <v>18.403504047514168</v>
      </c>
      <c r="S3" s="125">
        <f>IF(SER_hh_emih_in!S3=0,0,SER_hh_emih_in!S3/SER_summary!S$27)</f>
        <v>16.771103724452384</v>
      </c>
      <c r="T3" s="125">
        <f>IF(SER_hh_emih_in!T3=0,0,SER_hh_emih_in!T3/SER_summary!T$27)</f>
        <v>14.233761361678603</v>
      </c>
      <c r="U3" s="125">
        <f>IF(SER_hh_emih_in!U3=0,0,SER_hh_emih_in!U3/SER_summary!U$27)</f>
        <v>11.351875377908526</v>
      </c>
      <c r="V3" s="125">
        <f>IF(SER_hh_emih_in!V3=0,0,SER_hh_emih_in!V3/SER_summary!V$27)</f>
        <v>10.546283238165163</v>
      </c>
      <c r="W3" s="125">
        <f>IF(SER_hh_emih_in!W3=0,0,SER_hh_emih_in!W3/SER_summary!W$27)</f>
        <v>10.62391873323279</v>
      </c>
      <c r="X3" s="125">
        <f>IF(SER_hh_emih_in!X3=0,0,SER_hh_emih_in!X3/SER_summary!X$27)</f>
        <v>8.0630193744692011</v>
      </c>
      <c r="Y3" s="125">
        <f>IF(SER_hh_emih_in!Y3=0,0,SER_hh_emih_in!Y3/SER_summary!Y$27)</f>
        <v>8.5439712405867834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31.645578790356854</v>
      </c>
      <c r="D4" s="130">
        <f>IF(SER_hh_emih_in!D4=0,0,SER_hh_emih_in!D4/SER_summary!D$27)</f>
        <v>33.076051756123071</v>
      </c>
      <c r="E4" s="130">
        <f>IF(SER_hh_emih_in!E4=0,0,SER_hh_emih_in!E4/SER_summary!E$27)</f>
        <v>29.164325039084435</v>
      </c>
      <c r="F4" s="130">
        <f>IF(SER_hh_emih_in!F4=0,0,SER_hh_emih_in!F4/SER_summary!F$27)</f>
        <v>9.838199739104212</v>
      </c>
      <c r="G4" s="130">
        <f>IF(SER_hh_emih_in!G4=0,0,SER_hh_emih_in!G4/SER_summary!G$27)</f>
        <v>9.2609995671579277</v>
      </c>
      <c r="H4" s="130">
        <f>IF(SER_hh_emih_in!H4=0,0,SER_hh_emih_in!H4/SER_summary!H$27)</f>
        <v>16.922536148045111</v>
      </c>
      <c r="I4" s="130">
        <f>IF(SER_hh_emih_in!I4=0,0,SER_hh_emih_in!I4/SER_summary!I$27)</f>
        <v>23.992553212366634</v>
      </c>
      <c r="J4" s="130">
        <f>IF(SER_hh_emih_in!J4=0,0,SER_hh_emih_in!J4/SER_summary!J$27)</f>
        <v>32.666476183262745</v>
      </c>
      <c r="K4" s="130">
        <f>IF(SER_hh_emih_in!K4=0,0,SER_hh_emih_in!K4/SER_summary!K$27)</f>
        <v>29.201841533564348</v>
      </c>
      <c r="L4" s="130">
        <f>IF(SER_hh_emih_in!L4=0,0,SER_hh_emih_in!L4/SER_summary!L$27)</f>
        <v>31.469258124821128</v>
      </c>
      <c r="M4" s="130">
        <f>IF(SER_hh_emih_in!M4=0,0,SER_hh_emih_in!M4/SER_summary!M$27)</f>
        <v>22.85084759932203</v>
      </c>
      <c r="N4" s="130">
        <f>IF(SER_hh_emih_in!N4=0,0,SER_hh_emih_in!N4/SER_summary!N$27)</f>
        <v>22.931774294238213</v>
      </c>
      <c r="O4" s="130">
        <f>IF(SER_hh_emih_in!O4=0,0,SER_hh_emih_in!O4/SER_summary!O$27)</f>
        <v>24.983764614183197</v>
      </c>
      <c r="P4" s="130">
        <f>IF(SER_hh_emih_in!P4=0,0,SER_hh_emih_in!P4/SER_summary!P$27)</f>
        <v>16.903468379161975</v>
      </c>
      <c r="Q4" s="130">
        <f>IF(SER_hh_emih_in!Q4=0,0,SER_hh_emih_in!Q4/SER_summary!Q$27)</f>
        <v>18.479374560642484</v>
      </c>
      <c r="R4" s="130">
        <f>IF(SER_hh_emih_in!R4=0,0,SER_hh_emih_in!R4/SER_summary!R$27)</f>
        <v>14.47043981789785</v>
      </c>
      <c r="S4" s="130">
        <f>IF(SER_hh_emih_in!S4=0,0,SER_hh_emih_in!S4/SER_summary!S$27)</f>
        <v>12.522168151486282</v>
      </c>
      <c r="T4" s="130">
        <f>IF(SER_hh_emih_in!T4=0,0,SER_hh_emih_in!T4/SER_summary!T$27)</f>
        <v>9.8646835743875503</v>
      </c>
      <c r="U4" s="130">
        <f>IF(SER_hh_emih_in!U4=0,0,SER_hh_emih_in!U4/SER_summary!U$27)</f>
        <v>6.7697446669128221</v>
      </c>
      <c r="V4" s="130">
        <f>IF(SER_hh_emih_in!V4=0,0,SER_hh_emih_in!V4/SER_summary!V$27)</f>
        <v>6.1943013441360781</v>
      </c>
      <c r="W4" s="130">
        <f>IF(SER_hh_emih_in!W4=0,0,SER_hh_emih_in!W4/SER_summary!W$27)</f>
        <v>7.1874979986281282</v>
      </c>
      <c r="X4" s="130">
        <f>IF(SER_hh_emih_in!X4=0,0,SER_hh_emih_in!X4/SER_summary!X$27)</f>
        <v>5.3922719400464612</v>
      </c>
      <c r="Y4" s="130">
        <f>IF(SER_hh_emih_in!Y4=0,0,SER_hh_emih_in!Y4/SER_summary!Y$27)</f>
        <v>6.2401859878524952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0</v>
      </c>
      <c r="D5" s="132">
        <f>IF(SER_hh_emih_in!D5=0,0,SER_hh_emih_in!D5/SER_summary!D$27)</f>
        <v>0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0</v>
      </c>
      <c r="N5" s="132">
        <f>IF(SER_hh_emih_in!N5=0,0,SER_hh_emih_in!N5/SER_summary!N$27)</f>
        <v>0</v>
      </c>
      <c r="O5" s="132">
        <f>IF(SER_hh_emih_in!O5=0,0,SER_hh_emih_in!O5/SER_summary!O$27)</f>
        <v>0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36.165067510575497</v>
      </c>
      <c r="D7" s="132">
        <f>IF(SER_hh_emih_in!D7=0,0,SER_hh_emih_in!D7/SER_summary!D$27)</f>
        <v>45.803939216185356</v>
      </c>
      <c r="E7" s="132">
        <f>IF(SER_hh_emih_in!E7=0,0,SER_hh_emih_in!E7/SER_summary!E$27)</f>
        <v>51.529138527168918</v>
      </c>
      <c r="F7" s="132">
        <f>IF(SER_hh_emih_in!F7=0,0,SER_hh_emih_in!F7/SER_summary!F$27)</f>
        <v>49.982470993383323</v>
      </c>
      <c r="G7" s="132">
        <f>IF(SER_hh_emih_in!G7=0,0,SER_hh_emih_in!G7/SER_summary!G$27)</f>
        <v>50.20201522465463</v>
      </c>
      <c r="H7" s="132">
        <f>IF(SER_hh_emih_in!H7=0,0,SER_hh_emih_in!H7/SER_summary!H$27)</f>
        <v>43.335161519838479</v>
      </c>
      <c r="I7" s="132">
        <f>IF(SER_hh_emih_in!I7=0,0,SER_hh_emih_in!I7/SER_summary!I$27)</f>
        <v>36.725093976238988</v>
      </c>
      <c r="J7" s="132">
        <f>IF(SER_hh_emih_in!J7=0,0,SER_hh_emih_in!J7/SER_summary!J$27)</f>
        <v>45.761310796700819</v>
      </c>
      <c r="K7" s="132">
        <f>IF(SER_hh_emih_in!K7=0,0,SER_hh_emih_in!K7/SER_summary!K$27)</f>
        <v>36.980417985086959</v>
      </c>
      <c r="L7" s="132">
        <f>IF(SER_hh_emih_in!L7=0,0,SER_hh_emih_in!L7/SER_summary!L$27)</f>
        <v>40.933676161571377</v>
      </c>
      <c r="M7" s="132">
        <f>IF(SER_hh_emih_in!M7=0,0,SER_hh_emih_in!M7/SER_summary!M$27)</f>
        <v>32.851524984007575</v>
      </c>
      <c r="N7" s="132">
        <f>IF(SER_hh_emih_in!N7=0,0,SER_hh_emih_in!N7/SER_summary!N$27)</f>
        <v>31.358157463370905</v>
      </c>
      <c r="O7" s="132">
        <f>IF(SER_hh_emih_in!O7=0,0,SER_hh_emih_in!O7/SER_summary!O$27)</f>
        <v>32.45823861707396</v>
      </c>
      <c r="P7" s="132">
        <f>IF(SER_hh_emih_in!P7=0,0,SER_hh_emih_in!P7/SER_summary!P$27)</f>
        <v>22.898099527908936</v>
      </c>
      <c r="Q7" s="132">
        <f>IF(SER_hh_emih_in!Q7=0,0,SER_hh_emih_in!Q7/SER_summary!Q$27)</f>
        <v>25.760138666244085</v>
      </c>
      <c r="R7" s="132">
        <f>IF(SER_hh_emih_in!R7=0,0,SER_hh_emih_in!R7/SER_summary!R$27)</f>
        <v>22.810611538239826</v>
      </c>
      <c r="S7" s="132">
        <f>IF(SER_hh_emih_in!S7=0,0,SER_hh_emih_in!S7/SER_summary!S$27)</f>
        <v>22.728190082397045</v>
      </c>
      <c r="T7" s="132">
        <f>IF(SER_hh_emih_in!T7=0,0,SER_hh_emih_in!T7/SER_summary!T$27)</f>
        <v>22.196070350927851</v>
      </c>
      <c r="U7" s="132">
        <f>IF(SER_hh_emih_in!U7=0,0,SER_hh_emih_in!U7/SER_summary!U$27)</f>
        <v>0</v>
      </c>
      <c r="V7" s="132">
        <f>IF(SER_hh_emih_in!V7=0,0,SER_hh_emih_in!V7/SER_summary!V$27)</f>
        <v>19.198970051345576</v>
      </c>
      <c r="W7" s="132">
        <f>IF(SER_hh_emih_in!W7=0,0,SER_hh_emih_in!W7/SER_summary!W$27)</f>
        <v>14.533096962863251</v>
      </c>
      <c r="X7" s="132">
        <f>IF(SER_hh_emih_in!X7=0,0,SER_hh_emih_in!X7/SER_summary!X$27)</f>
        <v>10.662391219851513</v>
      </c>
      <c r="Y7" s="132">
        <f>IF(SER_hh_emih_in!Y7=0,0,SER_hh_emih_in!Y7/SER_summary!Y$27)</f>
        <v>11.155901928350529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8.5147514177088119</v>
      </c>
      <c r="D8" s="132">
        <f>IF(SER_hh_emih_in!D8=0,0,SER_hh_emih_in!D8/SER_summary!D$27)</f>
        <v>8.2765839614638317</v>
      </c>
      <c r="E8" s="132">
        <f>IF(SER_hh_emih_in!E8=0,0,SER_hh_emih_in!E8/SER_summary!E$27)</f>
        <v>8.0511016379203344</v>
      </c>
      <c r="F8" s="132">
        <f>IF(SER_hh_emih_in!F8=0,0,SER_hh_emih_in!F8/SER_summary!F$27)</f>
        <v>9.099287031672306</v>
      </c>
      <c r="G8" s="132">
        <f>IF(SER_hh_emih_in!G8=0,0,SER_hh_emih_in!G8/SER_summary!G$27)</f>
        <v>8.4127011915208332</v>
      </c>
      <c r="H8" s="132">
        <f>IF(SER_hh_emih_in!H8=0,0,SER_hh_emih_in!H8/SER_summary!H$27)</f>
        <v>8.0317968850250896</v>
      </c>
      <c r="I8" s="132">
        <f>IF(SER_hh_emih_in!I8=0,0,SER_hh_emih_in!I8/SER_summary!I$27)</f>
        <v>6.7167844569494575</v>
      </c>
      <c r="J8" s="132">
        <f>IF(SER_hh_emih_in!J8=0,0,SER_hh_emih_in!J8/SER_summary!J$27)</f>
        <v>6.9044113004400947</v>
      </c>
      <c r="K8" s="132">
        <f>IF(SER_hh_emih_in!K8=0,0,SER_hh_emih_in!K8/SER_summary!K$27)</f>
        <v>6.629167876583538</v>
      </c>
      <c r="L8" s="132">
        <f>IF(SER_hh_emih_in!L8=0,0,SER_hh_emih_in!L8/SER_summary!L$27)</f>
        <v>6.2513859544219645</v>
      </c>
      <c r="M8" s="132">
        <f>IF(SER_hh_emih_in!M8=0,0,SER_hh_emih_in!M8/SER_summary!M$27)</f>
        <v>4.7742019359010586</v>
      </c>
      <c r="N8" s="132">
        <f>IF(SER_hh_emih_in!N8=0,0,SER_hh_emih_in!N8/SER_summary!N$27)</f>
        <v>4.8287113662508299</v>
      </c>
      <c r="O8" s="132">
        <f>IF(SER_hh_emih_in!O8=0,0,SER_hh_emih_in!O8/SER_summary!O$27)</f>
        <v>4.8717164702595861</v>
      </c>
      <c r="P8" s="132">
        <f>IF(SER_hh_emih_in!P8=0,0,SER_hh_emih_in!P8/SER_summary!P$27)</f>
        <v>3.3650647401249394</v>
      </c>
      <c r="Q8" s="132">
        <f>IF(SER_hh_emih_in!Q8=0,0,SER_hh_emih_in!Q8/SER_summary!Q$27)</f>
        <v>3.4984179485825257</v>
      </c>
      <c r="R8" s="132">
        <f>IF(SER_hh_emih_in!R8=0,0,SER_hh_emih_in!R8/SER_summary!R$27)</f>
        <v>3.3110933637338671</v>
      </c>
      <c r="S8" s="132">
        <f>IF(SER_hh_emih_in!S8=0,0,SER_hh_emih_in!S8/SER_summary!S$27)</f>
        <v>2.9569699830191514</v>
      </c>
      <c r="T8" s="132">
        <f>IF(SER_hh_emih_in!T8=0,0,SER_hh_emih_in!T8/SER_summary!T$27)</f>
        <v>2.739566216217451</v>
      </c>
      <c r="U8" s="132">
        <f>IF(SER_hh_emih_in!U8=0,0,SER_hh_emih_in!U8/SER_summary!U$27)</f>
        <v>2.5082267249079231</v>
      </c>
      <c r="V8" s="132">
        <f>IF(SER_hh_emih_in!V8=0,0,SER_hh_emih_in!V8/SER_summary!V$27)</f>
        <v>2.0986108581957166</v>
      </c>
      <c r="W8" s="132">
        <f>IF(SER_hh_emih_in!W8=0,0,SER_hh_emih_in!W8/SER_summary!W$27)</f>
        <v>1.7113146394757912</v>
      </c>
      <c r="X8" s="132">
        <f>IF(SER_hh_emih_in!X8=0,0,SER_hh_emih_in!X8/SER_summary!X$27)</f>
        <v>1.5821274157797045</v>
      </c>
      <c r="Y8" s="132">
        <f>IF(SER_hh_emih_in!Y8=0,0,SER_hh_emih_in!Y8/SER_summary!Y$27)</f>
        <v>1.5940076069314095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29.254963539294859</v>
      </c>
      <c r="D9" s="132">
        <f>IF(SER_hh_emih_in!D9=0,0,SER_hh_emih_in!D9/SER_summary!D$27)</f>
        <v>26.848631002137225</v>
      </c>
      <c r="E9" s="132">
        <f>IF(SER_hh_emih_in!E9=0,0,SER_hh_emih_in!E9/SER_summary!E$27)</f>
        <v>27.911448834249946</v>
      </c>
      <c r="F9" s="132">
        <f>IF(SER_hh_emih_in!F9=0,0,SER_hh_emih_in!F9/SER_summary!F$27)</f>
        <v>0</v>
      </c>
      <c r="G9" s="132">
        <f>IF(SER_hh_emih_in!G9=0,0,SER_hh_emih_in!G9/SER_summary!G$27)</f>
        <v>0</v>
      </c>
      <c r="H9" s="132">
        <f>IF(SER_hh_emih_in!H9=0,0,SER_hh_emih_in!H9/SER_summary!H$27)</f>
        <v>30.827142205643305</v>
      </c>
      <c r="I9" s="132">
        <f>IF(SER_hh_emih_in!I9=0,0,SER_hh_emih_in!I9/SER_summary!I$27)</f>
        <v>26.932557748521262</v>
      </c>
      <c r="J9" s="132">
        <f>IF(SER_hh_emih_in!J9=0,0,SER_hh_emih_in!J9/SER_summary!J$27)</f>
        <v>29.184695616073316</v>
      </c>
      <c r="K9" s="132">
        <f>IF(SER_hh_emih_in!K9=0,0,SER_hh_emih_in!K9/SER_summary!K$27)</f>
        <v>29.296115296110461</v>
      </c>
      <c r="L9" s="132">
        <f>IF(SER_hh_emih_in!L9=0,0,SER_hh_emih_in!L9/SER_summary!L$27)</f>
        <v>29.81928422520247</v>
      </c>
      <c r="M9" s="132">
        <f>IF(SER_hh_emih_in!M9=0,0,SER_hh_emih_in!M9/SER_summary!M$27)</f>
        <v>21.442724288009885</v>
      </c>
      <c r="N9" s="132">
        <f>IF(SER_hh_emih_in!N9=0,0,SER_hh_emih_in!N9/SER_summary!N$27)</f>
        <v>22.701704385275573</v>
      </c>
      <c r="O9" s="132">
        <f>IF(SER_hh_emih_in!O9=0,0,SER_hh_emih_in!O9/SER_summary!O$27)</f>
        <v>23.112515609041939</v>
      </c>
      <c r="P9" s="132">
        <f>IF(SER_hh_emih_in!P9=0,0,SER_hh_emih_in!P9/SER_summary!P$27)</f>
        <v>15.439252625519048</v>
      </c>
      <c r="Q9" s="132">
        <f>IF(SER_hh_emih_in!Q9=0,0,SER_hh_emih_in!Q9/SER_summary!Q$27)</f>
        <v>16.332520657473598</v>
      </c>
      <c r="R9" s="132">
        <f>IF(SER_hh_emih_in!R9=0,0,SER_hh_emih_in!R9/SER_summary!R$27)</f>
        <v>16.103957125719518</v>
      </c>
      <c r="S9" s="132">
        <f>IF(SER_hh_emih_in!S9=0,0,SER_hh_emih_in!S9/SER_summary!S$27)</f>
        <v>14.795892867531311</v>
      </c>
      <c r="T9" s="132">
        <f>IF(SER_hh_emih_in!T9=0,0,SER_hh_emih_in!T9/SER_summary!T$27)</f>
        <v>13.952316368037874</v>
      </c>
      <c r="U9" s="132">
        <f>IF(SER_hh_emih_in!U9=0,0,SER_hh_emih_in!U9/SER_summary!U$27)</f>
        <v>12.695197503528503</v>
      </c>
      <c r="V9" s="132">
        <f>IF(SER_hh_emih_in!V9=0,0,SER_hh_emih_in!V9/SER_summary!V$27)</f>
        <v>10.849096761802452</v>
      </c>
      <c r="W9" s="132">
        <f>IF(SER_hh_emih_in!W9=0,0,SER_hh_emih_in!W9/SER_summary!W$27)</f>
        <v>11.363906724340493</v>
      </c>
      <c r="X9" s="132">
        <f>IF(SER_hh_emih_in!X9=0,0,SER_hh_emih_in!X9/SER_summary!X$27)</f>
        <v>7.4412251133427345</v>
      </c>
      <c r="Y9" s="132">
        <f>IF(SER_hh_emih_in!Y9=0,0,SER_hh_emih_in!Y9/SER_summary!Y$27)</f>
        <v>7.0500227035309981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150.8954137658946</v>
      </c>
      <c r="G10" s="132">
        <f>IF(SER_hh_emih_in!G10=0,0,SER_hh_emih_in!G10/SER_summary!G$27)</f>
        <v>128.96220129210056</v>
      </c>
      <c r="H10" s="132">
        <f>IF(SER_hh_emih_in!H10=0,0,SER_hh_emih_in!H10/SER_summary!H$27)</f>
        <v>112.06392460543456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43.560434626205172</v>
      </c>
      <c r="P10" s="132">
        <f>IF(SER_hh_emih_in!P10=0,0,SER_hh_emih_in!P10/SER_summary!P$27)</f>
        <v>34.932717968676918</v>
      </c>
      <c r="Q10" s="132">
        <f>IF(SER_hh_emih_in!Q10=0,0,SER_hh_emih_in!Q10/SER_summary!Q$27)</f>
        <v>37.985067126272583</v>
      </c>
      <c r="R10" s="132">
        <f>IF(SER_hh_emih_in!R10=0,0,SER_hh_emih_in!R10/SER_summary!R$27)</f>
        <v>34.483517345411535</v>
      </c>
      <c r="S10" s="132">
        <f>IF(SER_hh_emih_in!S10=0,0,SER_hh_emih_in!S10/SER_summary!S$27)</f>
        <v>31.186920480045693</v>
      </c>
      <c r="T10" s="132">
        <f>IF(SER_hh_emih_in!T10=0,0,SER_hh_emih_in!T10/SER_summary!T$27)</f>
        <v>28.331818797188461</v>
      </c>
      <c r="U10" s="132">
        <f>IF(SER_hh_emih_in!U10=0,0,SER_hh_emih_in!U10/SER_summary!U$27)</f>
        <v>25.408101363526864</v>
      </c>
      <c r="V10" s="132">
        <f>IF(SER_hh_emih_in!V10=0,0,SER_hh_emih_in!V10/SER_summary!V$27)</f>
        <v>23.894596215979526</v>
      </c>
      <c r="W10" s="132">
        <f>IF(SER_hh_emih_in!W10=0,0,SER_hh_emih_in!W10/SER_summary!W$27)</f>
        <v>20.130278917836243</v>
      </c>
      <c r="X10" s="132">
        <f>IF(SER_hh_emih_in!X10=0,0,SER_hh_emih_in!X10/SER_summary!X$27)</f>
        <v>14.08683805047219</v>
      </c>
      <c r="Y10" s="132">
        <f>IF(SER_hh_emih_in!Y10=0,0,SER_hh_emih_in!Y10/SER_summary!Y$27)</f>
        <v>13.712311789190268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5.2231336816653548E-3</v>
      </c>
      <c r="D16" s="130">
        <f>IF(SER_hh_emih_in!D16=0,0,SER_hh_emih_in!D16/SER_summary!D$27)</f>
        <v>5.7131740149932797E-3</v>
      </c>
      <c r="E16" s="130">
        <f>IF(SER_hh_emih_in!E16=0,0,SER_hh_emih_in!E16/SER_summary!E$27)</f>
        <v>8.1706922032423555E-4</v>
      </c>
      <c r="F16" s="130">
        <f>IF(SER_hh_emih_in!F16=0,0,SER_hh_emih_in!F16/SER_summary!F$27)</f>
        <v>1.2194209523059947E-2</v>
      </c>
      <c r="G16" s="130">
        <f>IF(SER_hh_emih_in!G16=0,0,SER_hh_emih_in!G16/SER_summary!G$27)</f>
        <v>9.1478379713796909E-3</v>
      </c>
      <c r="H16" s="130">
        <f>IF(SER_hh_emih_in!H16=0,0,SER_hh_emih_in!H16/SER_summary!H$27)</f>
        <v>4.9902921073559396E-3</v>
      </c>
      <c r="I16" s="130">
        <f>IF(SER_hh_emih_in!I16=0,0,SER_hh_emih_in!I16/SER_summary!I$27)</f>
        <v>1.2981244774030508E-2</v>
      </c>
      <c r="J16" s="130">
        <f>IF(SER_hh_emih_in!J16=0,0,SER_hh_emih_in!J16/SER_summary!J$27)</f>
        <v>1.4120794217044144E-2</v>
      </c>
      <c r="K16" s="130">
        <f>IF(SER_hh_emih_in!K16=0,0,SER_hh_emih_in!K16/SER_summary!K$27)</f>
        <v>1.3675027191534973E-2</v>
      </c>
      <c r="L16" s="130">
        <f>IF(SER_hh_emih_in!L16=0,0,SER_hh_emih_in!L16/SER_summary!L$27)</f>
        <v>6.8736381634460948E-3</v>
      </c>
      <c r="M16" s="130">
        <f>IF(SER_hh_emih_in!M16=0,0,SER_hh_emih_in!M16/SER_summary!M$27)</f>
        <v>1.1017066598833393E-2</v>
      </c>
      <c r="N16" s="130">
        <f>IF(SER_hh_emih_in!N16=0,0,SER_hh_emih_in!N16/SER_summary!N$27)</f>
        <v>1.1844875028583073E-2</v>
      </c>
      <c r="O16" s="130">
        <f>IF(SER_hh_emih_in!O16=0,0,SER_hh_emih_in!O16/SER_summary!O$27)</f>
        <v>1.7202473990593648E-2</v>
      </c>
      <c r="P16" s="130">
        <f>IF(SER_hh_emih_in!P16=0,0,SER_hh_emih_in!P16/SER_summary!P$27)</f>
        <v>2.7152755319798043E-2</v>
      </c>
      <c r="Q16" s="130">
        <f>IF(SER_hh_emih_in!Q16=0,0,SER_hh_emih_in!Q16/SER_summary!Q$27)</f>
        <v>4.3363495874239863E-2</v>
      </c>
      <c r="R16" s="130">
        <f>IF(SER_hh_emih_in!R16=0,0,SER_hh_emih_in!R16/SER_summary!R$27)</f>
        <v>2.7586147293925518E-2</v>
      </c>
      <c r="S16" s="130">
        <f>IF(SER_hh_emih_in!S16=0,0,SER_hh_emih_in!S16/SER_summary!S$27)</f>
        <v>1.7797759682201202E-2</v>
      </c>
      <c r="T16" s="130">
        <f>IF(SER_hh_emih_in!T16=0,0,SER_hh_emih_in!T16/SER_summary!T$27)</f>
        <v>3.2756894356973945E-2</v>
      </c>
      <c r="U16" s="130">
        <f>IF(SER_hh_emih_in!U16=0,0,SER_hh_emih_in!U16/SER_summary!U$27)</f>
        <v>3.5743681056439991E-2</v>
      </c>
      <c r="V16" s="130">
        <f>IF(SER_hh_emih_in!V16=0,0,SER_hh_emih_in!V16/SER_summary!V$27)</f>
        <v>2.3582947012190169E-2</v>
      </c>
      <c r="W16" s="130">
        <f>IF(SER_hh_emih_in!W16=0,0,SER_hh_emih_in!W16/SER_summary!W$27)</f>
        <v>1.4358561824040427E-2</v>
      </c>
      <c r="X16" s="130">
        <f>IF(SER_hh_emih_in!X16=0,0,SER_hh_emih_in!X16/SER_summary!X$27)</f>
        <v>1.6168537932655585E-2</v>
      </c>
      <c r="Y16" s="130">
        <f>IF(SER_hh_emih_in!Y16=0,0,SER_hh_emih_in!Y16/SER_summary!Y$27)</f>
        <v>1.8419823691464405E-2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5.0077934540439486</v>
      </c>
      <c r="D17" s="132">
        <f>IF(SER_hh_emih_in!D17=0,0,SER_hh_emih_in!D17/SER_summary!D$27)</f>
        <v>4.8889434618522527</v>
      </c>
      <c r="E17" s="132">
        <f>IF(SER_hh_emih_in!E17=0,0,SER_hh_emih_in!E17/SER_summary!E$27)</f>
        <v>6.0832443221700467</v>
      </c>
      <c r="F17" s="132">
        <f>IF(SER_hh_emih_in!F17=0,0,SER_hh_emih_in!F17/SER_summary!F$27)</f>
        <v>4.644772478558691</v>
      </c>
      <c r="G17" s="132">
        <f>IF(SER_hh_emih_in!G17=0,0,SER_hh_emih_in!G17/SER_summary!G$27)</f>
        <v>4.6140450531495594</v>
      </c>
      <c r="H17" s="132">
        <f>IF(SER_hh_emih_in!H17=0,0,SER_hh_emih_in!H17/SER_summary!H$27)</f>
        <v>5.6367124839293545</v>
      </c>
      <c r="I17" s="132">
        <f>IF(SER_hh_emih_in!I17=0,0,SER_hh_emih_in!I17/SER_summary!I$27)</f>
        <v>4.310837495660242</v>
      </c>
      <c r="J17" s="132">
        <f>IF(SER_hh_emih_in!J17=0,0,SER_hh_emih_in!J17/SER_summary!J$27)</f>
        <v>4.2384999431612318</v>
      </c>
      <c r="K17" s="132">
        <f>IF(SER_hh_emih_in!K17=0,0,SER_hh_emih_in!K17/SER_summary!K$27)</f>
        <v>4.15169349327868</v>
      </c>
      <c r="L17" s="132">
        <f>IF(SER_hh_emih_in!L17=0,0,SER_hh_emih_in!L17/SER_summary!L$27)</f>
        <v>4.2947152858349096</v>
      </c>
      <c r="M17" s="132">
        <f>IF(SER_hh_emih_in!M17=0,0,SER_hh_emih_in!M17/SER_summary!M$27)</f>
        <v>3.9044207129289918</v>
      </c>
      <c r="N17" s="132">
        <f>IF(SER_hh_emih_in!N17=0,0,SER_hh_emih_in!N17/SER_summary!N$27)</f>
        <v>3.8034323946086221</v>
      </c>
      <c r="O17" s="132">
        <f>IF(SER_hh_emih_in!O17=0,0,SER_hh_emih_in!O17/SER_summary!O$27)</f>
        <v>3.6987910489784217</v>
      </c>
      <c r="P17" s="132">
        <f>IF(SER_hh_emih_in!P17=0,0,SER_hh_emih_in!P17/SER_summary!P$27)</f>
        <v>3.4206889096455386</v>
      </c>
      <c r="Q17" s="132">
        <f>IF(SER_hh_emih_in!Q17=0,0,SER_hh_emih_in!Q17/SER_summary!Q$27)</f>
        <v>3.7165063476512565</v>
      </c>
      <c r="R17" s="132">
        <f>IF(SER_hh_emih_in!R17=0,0,SER_hh_emih_in!R17/SER_summary!R$27)</f>
        <v>3.4525707311339455</v>
      </c>
      <c r="S17" s="132">
        <f>IF(SER_hh_emih_in!S17=0,0,SER_hh_emih_in!S17/SER_summary!S$27)</f>
        <v>3.1130962471408075</v>
      </c>
      <c r="T17" s="132">
        <f>IF(SER_hh_emih_in!T17=0,0,SER_hh_emih_in!T17/SER_summary!T$27)</f>
        <v>3.3829926366545835</v>
      </c>
      <c r="U17" s="132">
        <f>IF(SER_hh_emih_in!U17=0,0,SER_hh_emih_in!U17/SER_summary!U$27)</f>
        <v>3.0911542420998956</v>
      </c>
      <c r="V17" s="132">
        <f>IF(SER_hh_emih_in!V17=0,0,SER_hh_emih_in!V17/SER_summary!V$27)</f>
        <v>3.2654166184933948</v>
      </c>
      <c r="W17" s="132">
        <f>IF(SER_hh_emih_in!W17=0,0,SER_hh_emih_in!W17/SER_summary!W$27)</f>
        <v>2.1780582170652636</v>
      </c>
      <c r="X17" s="132">
        <f>IF(SER_hh_emih_in!X17=0,0,SER_hh_emih_in!X17/SER_summary!X$27)</f>
        <v>2.3889213202945263</v>
      </c>
      <c r="Y17" s="132">
        <f>IF(SER_hh_emih_in!Y17=0,0,SER_hh_emih_in!Y17/SER_summary!Y$27)</f>
        <v>2.2181352231242597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3.5214681391079177</v>
      </c>
      <c r="D19" s="130">
        <f>IF(SER_hh_emih_in!D19=0,0,SER_hh_emih_in!D19/SER_summary!D$27)</f>
        <v>2.7299870176644934</v>
      </c>
      <c r="E19" s="130">
        <f>IF(SER_hh_emih_in!E19=0,0,SER_hh_emih_in!E19/SER_summary!E$27)</f>
        <v>3.5846760860391038</v>
      </c>
      <c r="F19" s="130">
        <f>IF(SER_hh_emih_in!F19=0,0,SER_hh_emih_in!F19/SER_summary!F$27)</f>
        <v>4.0836088735482363</v>
      </c>
      <c r="G19" s="130">
        <f>IF(SER_hh_emih_in!G19=0,0,SER_hh_emih_in!G19/SER_summary!G$27)</f>
        <v>3.7438153273231443</v>
      </c>
      <c r="H19" s="130">
        <f>IF(SER_hh_emih_in!H19=0,0,SER_hh_emih_in!H19/SER_summary!H$27)</f>
        <v>3.4364433806186905</v>
      </c>
      <c r="I19" s="130">
        <f>IF(SER_hh_emih_in!I19=0,0,SER_hh_emih_in!I19/SER_summary!I$27)</f>
        <v>3.251763072942377</v>
      </c>
      <c r="J19" s="130">
        <f>IF(SER_hh_emih_in!J19=0,0,SER_hh_emih_in!J19/SER_summary!J$27)</f>
        <v>3.0700930420455315</v>
      </c>
      <c r="K19" s="130">
        <f>IF(SER_hh_emih_in!K19=0,0,SER_hh_emih_in!K19/SER_summary!K$27)</f>
        <v>2.6950366458813648</v>
      </c>
      <c r="L19" s="130">
        <f>IF(SER_hh_emih_in!L19=0,0,SER_hh_emih_in!L19/SER_summary!L$27)</f>
        <v>3.0778938720972233</v>
      </c>
      <c r="M19" s="130">
        <f>IF(SER_hh_emih_in!M19=0,0,SER_hh_emih_in!M19/SER_summary!M$27)</f>
        <v>3.3614259597862834</v>
      </c>
      <c r="N19" s="130">
        <f>IF(SER_hh_emih_in!N19=0,0,SER_hh_emih_in!N19/SER_summary!N$27)</f>
        <v>3.2713071986241085</v>
      </c>
      <c r="O19" s="130">
        <f>IF(SER_hh_emih_in!O19=0,0,SER_hh_emih_in!O19/SER_summary!O$27)</f>
        <v>3.0683684093573107</v>
      </c>
      <c r="P19" s="130">
        <f>IF(SER_hh_emih_in!P19=0,0,SER_hh_emih_in!P19/SER_summary!P$27)</f>
        <v>2.1924266275469795</v>
      </c>
      <c r="Q19" s="130">
        <f>IF(SER_hh_emih_in!Q19=0,0,SER_hh_emih_in!Q19/SER_summary!Q$27)</f>
        <v>2.2510522329243394</v>
      </c>
      <c r="R19" s="130">
        <f>IF(SER_hh_emih_in!R19=0,0,SER_hh_emih_in!R19/SER_summary!R$27)</f>
        <v>2.1995175731987988</v>
      </c>
      <c r="S19" s="130">
        <f>IF(SER_hh_emih_in!S19=0,0,SER_hh_emih_in!S19/SER_summary!S$27)</f>
        <v>2.2795117472003352</v>
      </c>
      <c r="T19" s="130">
        <f>IF(SER_hh_emih_in!T19=0,0,SER_hh_emih_in!T19/SER_summary!T$27)</f>
        <v>2.2714076439314161</v>
      </c>
      <c r="U19" s="130">
        <f>IF(SER_hh_emih_in!U19=0,0,SER_hh_emih_in!U19/SER_summary!U$27)</f>
        <v>2.4145350219047894</v>
      </c>
      <c r="V19" s="130">
        <f>IF(SER_hh_emih_in!V19=0,0,SER_hh_emih_in!V19/SER_summary!V$27)</f>
        <v>2.3153913987153203</v>
      </c>
      <c r="W19" s="130">
        <f>IF(SER_hh_emih_in!W19=0,0,SER_hh_emih_in!W19/SER_summary!W$27)</f>
        <v>2.0748094118395897</v>
      </c>
      <c r="X19" s="130">
        <f>IF(SER_hh_emih_in!X19=0,0,SER_hh_emih_in!X19/SER_summary!X$27)</f>
        <v>1.3306111446540065</v>
      </c>
      <c r="Y19" s="130">
        <f>IF(SER_hh_emih_in!Y19=0,0,SER_hh_emih_in!Y19/SER_summary!Y$27)</f>
        <v>1.1696181928834377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5.3209562343473467</v>
      </c>
      <c r="D21" s="132">
        <f>IF(SER_hh_emih_in!D21=0,0,SER_hh_emih_in!D21/SER_summary!D$27)</f>
        <v>5.3966681022203602</v>
      </c>
      <c r="E21" s="132">
        <f>IF(SER_hh_emih_in!E21=0,0,SER_hh_emih_in!E21/SER_summary!E$27)</f>
        <v>5.5311410895880275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0</v>
      </c>
      <c r="I21" s="132">
        <f>IF(SER_hh_emih_in!I21=0,0,SER_hh_emih_in!I21/SER_summary!I$27)</f>
        <v>0</v>
      </c>
      <c r="J21" s="132">
        <f>IF(SER_hh_emih_in!J21=0,0,SER_hh_emih_in!J21/SER_summary!J$27)</f>
        <v>0</v>
      </c>
      <c r="K21" s="132">
        <f>IF(SER_hh_emih_in!K21=0,0,SER_hh_emih_in!K21/SER_summary!K$27)</f>
        <v>0</v>
      </c>
      <c r="L21" s="132">
        <f>IF(SER_hh_emih_in!L21=0,0,SER_hh_emih_in!L21/SER_summary!L$27)</f>
        <v>4.432467334517856</v>
      </c>
      <c r="M21" s="132">
        <f>IF(SER_hh_emih_in!M21=0,0,SER_hh_emih_in!M21/SER_summary!M$27)</f>
        <v>4.6485952344989609</v>
      </c>
      <c r="N21" s="132">
        <f>IF(SER_hh_emih_in!N21=0,0,SER_hh_emih_in!N21/SER_summary!N$27)</f>
        <v>5.0273481219572682</v>
      </c>
      <c r="O21" s="132">
        <f>IF(SER_hh_emih_in!O21=0,0,SER_hh_emih_in!O21/SER_summary!O$27)</f>
        <v>4.922758989468063</v>
      </c>
      <c r="P21" s="132">
        <f>IF(SER_hh_emih_in!P21=0,0,SER_hh_emih_in!P21/SER_summary!P$27)</f>
        <v>4.3381890459478614</v>
      </c>
      <c r="Q21" s="132">
        <f>IF(SER_hh_emih_in!Q21=0,0,SER_hh_emih_in!Q21/SER_summary!Q$27)</f>
        <v>4.3486005292022352</v>
      </c>
      <c r="R21" s="132">
        <f>IF(SER_hh_emih_in!R21=0,0,SER_hh_emih_in!R21/SER_summary!R$27)</f>
        <v>4.1868279242616984</v>
      </c>
      <c r="S21" s="132">
        <f>IF(SER_hh_emih_in!S21=0,0,SER_hh_emih_in!S21/SER_summary!S$27)</f>
        <v>4.2727770081998688</v>
      </c>
      <c r="T21" s="132">
        <f>IF(SER_hh_emih_in!T21=0,0,SER_hh_emih_in!T21/SER_summary!T$27)</f>
        <v>4.2081270474545009</v>
      </c>
      <c r="U21" s="132">
        <f>IF(SER_hh_emih_in!U21=0,0,SER_hh_emih_in!U21/SER_summary!U$27)</f>
        <v>4.0316986396534711</v>
      </c>
      <c r="V21" s="132">
        <f>IF(SER_hh_emih_in!V21=0,0,SER_hh_emih_in!V21/SER_summary!V$27)</f>
        <v>3.2770140588615591</v>
      </c>
      <c r="W21" s="132">
        <f>IF(SER_hh_emih_in!W21=0,0,SER_hh_emih_in!W21/SER_summary!W$27)</f>
        <v>3.332671034048674</v>
      </c>
      <c r="X21" s="132">
        <f>IF(SER_hh_emih_in!X21=0,0,SER_hh_emih_in!X21/SER_summary!X$27)</f>
        <v>4.5076347884493009</v>
      </c>
      <c r="Y21" s="132">
        <f>IF(SER_hh_emih_in!Y21=0,0,SER_hh_emih_in!Y21/SER_summary!Y$27)</f>
        <v>3.6398234627189345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6.5939897195001249</v>
      </c>
      <c r="D22" s="132">
        <f>IF(SER_hh_emih_in!D22=0,0,SER_hh_emih_in!D22/SER_summary!D$27)</f>
        <v>6.6500522513756666</v>
      </c>
      <c r="E22" s="132">
        <f>IF(SER_hh_emih_in!E22=0,0,SER_hh_emih_in!E22/SER_summary!E$27)</f>
        <v>6.641410741234024</v>
      </c>
      <c r="F22" s="132">
        <f>IF(SER_hh_emih_in!F22=0,0,SER_hh_emih_in!F22/SER_summary!F$27)</f>
        <v>6.4528688340912108</v>
      </c>
      <c r="G22" s="132">
        <f>IF(SER_hh_emih_in!G22=0,0,SER_hh_emih_in!G22/SER_summary!G$27)</f>
        <v>6.3373081620908733</v>
      </c>
      <c r="H22" s="132">
        <f>IF(SER_hh_emih_in!H22=0,0,SER_hh_emih_in!H22/SER_summary!H$27)</f>
        <v>6.2644236640529121</v>
      </c>
      <c r="I22" s="132">
        <f>IF(SER_hh_emih_in!I22=0,0,SER_hh_emih_in!I22/SER_summary!I$27)</f>
        <v>6.191405595060516</v>
      </c>
      <c r="J22" s="132">
        <f>IF(SER_hh_emih_in!J22=0,0,SER_hh_emih_in!J22/SER_summary!J$27)</f>
        <v>6.0177077560293268</v>
      </c>
      <c r="K22" s="132">
        <f>IF(SER_hh_emih_in!K22=0,0,SER_hh_emih_in!K22/SER_summary!K$27)</f>
        <v>5.0520476664522667</v>
      </c>
      <c r="L22" s="132">
        <f>IF(SER_hh_emih_in!L22=0,0,SER_hh_emih_in!L22/SER_summary!L$27)</f>
        <v>6.1052966611365935</v>
      </c>
      <c r="M22" s="132">
        <f>IF(SER_hh_emih_in!M22=0,0,SER_hh_emih_in!M22/SER_summary!M$27)</f>
        <v>6.1130139751033807</v>
      </c>
      <c r="N22" s="132">
        <f>IF(SER_hh_emih_in!N22=0,0,SER_hh_emih_in!N22/SER_summary!N$27)</f>
        <v>6.0327096862396159</v>
      </c>
      <c r="O22" s="132">
        <f>IF(SER_hh_emih_in!O22=0,0,SER_hh_emih_in!O22/SER_summary!O$27)</f>
        <v>5.8577015617342196</v>
      </c>
      <c r="P22" s="132">
        <f>IF(SER_hh_emih_in!P22=0,0,SER_hh_emih_in!P22/SER_summary!P$27)</f>
        <v>5.6347629989153427</v>
      </c>
      <c r="Q22" s="132">
        <f>IF(SER_hh_emih_in!Q22=0,0,SER_hh_emih_in!Q22/SER_summary!Q$27)</f>
        <v>5.463722636592828</v>
      </c>
      <c r="R22" s="132">
        <f>IF(SER_hh_emih_in!R22=0,0,SER_hh_emih_in!R22/SER_summary!R$27)</f>
        <v>5.2915361859692016</v>
      </c>
      <c r="S22" s="132">
        <f>IF(SER_hh_emih_in!S22=0,0,SER_hh_emih_in!S22/SER_summary!S$27)</f>
        <v>5.276548537976506</v>
      </c>
      <c r="T22" s="132">
        <f>IF(SER_hh_emih_in!T22=0,0,SER_hh_emih_in!T22/SER_summary!T$27)</f>
        <v>5.2253390586963357</v>
      </c>
      <c r="U22" s="132">
        <f>IF(SER_hh_emih_in!U22=0,0,SER_hh_emih_in!U22/SER_summary!U$27)</f>
        <v>4.4511721848695274</v>
      </c>
      <c r="V22" s="132">
        <f>IF(SER_hh_emih_in!V22=0,0,SER_hh_emih_in!V22/SER_summary!V$27)</f>
        <v>4.2189580049580275</v>
      </c>
      <c r="W22" s="132">
        <f>IF(SER_hh_emih_in!W22=0,0,SER_hh_emih_in!W22/SER_summary!W$27)</f>
        <v>4.3836253966736081</v>
      </c>
      <c r="X22" s="132">
        <f>IF(SER_hh_emih_in!X22=0,0,SER_hh_emih_in!X22/SER_summary!X$27)</f>
        <v>4.6603396352191853</v>
      </c>
      <c r="Y22" s="132">
        <f>IF(SER_hh_emih_in!Y22=0,0,SER_hh_emih_in!Y22/SER_summary!Y$27)</f>
        <v>4.6964824248738548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4.6279603563351195</v>
      </c>
      <c r="D23" s="132">
        <f>IF(SER_hh_emih_in!D23=0,0,SER_hh_emih_in!D23/SER_summary!D$27)</f>
        <v>4.574929395842589</v>
      </c>
      <c r="E23" s="132">
        <f>IF(SER_hh_emih_in!E23=0,0,SER_hh_emih_in!E23/SER_summary!E$27)</f>
        <v>4.5694843310709912</v>
      </c>
      <c r="F23" s="132">
        <f>IF(SER_hh_emih_in!F23=0,0,SER_hh_emih_in!F23/SER_summary!F$27)</f>
        <v>4.4188800540472091</v>
      </c>
      <c r="G23" s="132">
        <f>IF(SER_hh_emih_in!G23=0,0,SER_hh_emih_in!G23/SER_summary!G$27)</f>
        <v>4.3420383394343194</v>
      </c>
      <c r="H23" s="132">
        <f>IF(SER_hh_emih_in!H23=0,0,SER_hh_emih_in!H23/SER_summary!H$27)</f>
        <v>4.2310531231883486</v>
      </c>
      <c r="I23" s="132">
        <f>IF(SER_hh_emih_in!I23=0,0,SER_hh_emih_in!I23/SER_summary!I$27)</f>
        <v>4.1321662464350997</v>
      </c>
      <c r="J23" s="132">
        <f>IF(SER_hh_emih_in!J23=0,0,SER_hh_emih_in!J23/SER_summary!J$27)</f>
        <v>4.0826834954118478</v>
      </c>
      <c r="K23" s="132">
        <f>IF(SER_hh_emih_in!K23=0,0,SER_hh_emih_in!K23/SER_summary!K$27)</f>
        <v>3.3271033634624447</v>
      </c>
      <c r="L23" s="132">
        <f>IF(SER_hh_emih_in!L23=0,0,SER_hh_emih_in!L23/SER_summary!L$27)</f>
        <v>4.0924928427100626</v>
      </c>
      <c r="M23" s="132">
        <f>IF(SER_hh_emih_in!M23=0,0,SER_hh_emih_in!M23/SER_summary!M$27)</f>
        <v>4.0388674669994007</v>
      </c>
      <c r="N23" s="132">
        <f>IF(SER_hh_emih_in!N23=0,0,SER_hh_emih_in!N23/SER_summary!N$27)</f>
        <v>4.0259803101959655</v>
      </c>
      <c r="O23" s="132">
        <f>IF(SER_hh_emih_in!O23=0,0,SER_hh_emih_in!O23/SER_summary!O$27)</f>
        <v>3.9629136486320427</v>
      </c>
      <c r="P23" s="132">
        <f>IF(SER_hh_emih_in!P23=0,0,SER_hh_emih_in!P23/SER_summary!P$27)</f>
        <v>3.7611753093455187</v>
      </c>
      <c r="Q23" s="132">
        <f>IF(SER_hh_emih_in!Q23=0,0,SER_hh_emih_in!Q23/SER_summary!Q$27)</f>
        <v>3.6735466625861388</v>
      </c>
      <c r="R23" s="132">
        <f>IF(SER_hh_emih_in!R23=0,0,SER_hh_emih_in!R23/SER_summary!R$27)</f>
        <v>3.5969021921386477</v>
      </c>
      <c r="S23" s="132">
        <f>IF(SER_hh_emih_in!S23=0,0,SER_hh_emih_in!S23/SER_summary!S$27)</f>
        <v>3.5378671726251101</v>
      </c>
      <c r="T23" s="132">
        <f>IF(SER_hh_emih_in!T23=0,0,SER_hh_emih_in!T23/SER_summary!T$27)</f>
        <v>3.4337833807805045</v>
      </c>
      <c r="U23" s="132">
        <f>IF(SER_hh_emih_in!U23=0,0,SER_hh_emih_in!U23/SER_summary!U$27)</f>
        <v>3.2751437155212173</v>
      </c>
      <c r="V23" s="132">
        <f>IF(SER_hh_emih_in!V23=0,0,SER_hh_emih_in!V23/SER_summary!V$27)</f>
        <v>3.1389652902276133</v>
      </c>
      <c r="W23" s="132">
        <f>IF(SER_hh_emih_in!W23=0,0,SER_hh_emih_in!W23/SER_summary!W$27)</f>
        <v>3.436769571592079</v>
      </c>
      <c r="X23" s="132">
        <f>IF(SER_hh_emih_in!X23=0,0,SER_hh_emih_in!X23/SER_summary!X$27)</f>
        <v>0</v>
      </c>
      <c r="Y23" s="132">
        <f>IF(SER_hh_emih_in!Y23=0,0,SER_hh_emih_in!Y23/SER_summary!Y$27)</f>
        <v>2.2976636635839012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1.9054009034758135</v>
      </c>
      <c r="D29" s="130">
        <f>IF(SER_hh_emih_in!D29=0,0,SER_hh_emih_in!D29/SER_summary!D$27)</f>
        <v>0.93156581453969101</v>
      </c>
      <c r="E29" s="130">
        <f>IF(SER_hh_emih_in!E29=0,0,SER_hh_emih_in!E29/SER_summary!E$27)</f>
        <v>1.3796111635159884</v>
      </c>
      <c r="F29" s="130">
        <f>IF(SER_hh_emih_in!F29=0,0,SER_hh_emih_in!F29/SER_summary!F$27)</f>
        <v>1.8813676802668924</v>
      </c>
      <c r="G29" s="130">
        <f>IF(SER_hh_emih_in!G29=0,0,SER_hh_emih_in!G29/SER_summary!G$27)</f>
        <v>1.4919354635268542</v>
      </c>
      <c r="H29" s="130">
        <f>IF(SER_hh_emih_in!H29=0,0,SER_hh_emih_in!H29/SER_summary!H$27)</f>
        <v>1.7452500261186368</v>
      </c>
      <c r="I29" s="130">
        <f>IF(SER_hh_emih_in!I29=0,0,SER_hh_emih_in!I29/SER_summary!I$27)</f>
        <v>1.6365831073806512</v>
      </c>
      <c r="J29" s="130">
        <f>IF(SER_hh_emih_in!J29=0,0,SER_hh_emih_in!J29/SER_summary!J$27)</f>
        <v>2.1338499428690576</v>
      </c>
      <c r="K29" s="130">
        <f>IF(SER_hh_emih_in!K29=0,0,SER_hh_emih_in!K29/SER_summary!K$27)</f>
        <v>2.6828014188431517</v>
      </c>
      <c r="L29" s="130">
        <f>IF(SER_hh_emih_in!L29=0,0,SER_hh_emih_in!L29/SER_summary!L$27)</f>
        <v>2.209220716690858</v>
      </c>
      <c r="M29" s="130">
        <f>IF(SER_hh_emih_in!M29=0,0,SER_hh_emih_in!M29/SER_summary!M$27)</f>
        <v>1.3002176730809942</v>
      </c>
      <c r="N29" s="130">
        <f>IF(SER_hh_emih_in!N29=0,0,SER_hh_emih_in!N29/SER_summary!N$27)</f>
        <v>1.4326316478774992</v>
      </c>
      <c r="O29" s="130">
        <f>IF(SER_hh_emih_in!O29=0,0,SER_hh_emih_in!O29/SER_summary!O$27)</f>
        <v>1.5253662848997014</v>
      </c>
      <c r="P29" s="130">
        <f>IF(SER_hh_emih_in!P29=0,0,SER_hh_emih_in!P29/SER_summary!P$27)</f>
        <v>1.2520181029208401</v>
      </c>
      <c r="Q29" s="130">
        <f>IF(SER_hh_emih_in!Q29=0,0,SER_hh_emih_in!Q29/SER_summary!Q$27)</f>
        <v>1.7943836836182037</v>
      </c>
      <c r="R29" s="130">
        <f>IF(SER_hh_emih_in!R29=0,0,SER_hh_emih_in!R29/SER_summary!R$27)</f>
        <v>1.7059605091235921</v>
      </c>
      <c r="S29" s="130">
        <f>IF(SER_hh_emih_in!S29=0,0,SER_hh_emih_in!S29/SER_summary!S$27)</f>
        <v>1.9516260660835658</v>
      </c>
      <c r="T29" s="130">
        <f>IF(SER_hh_emih_in!T29=0,0,SER_hh_emih_in!T29/SER_summary!T$27)</f>
        <v>2.0649132490026618</v>
      </c>
      <c r="U29" s="130">
        <f>IF(SER_hh_emih_in!U29=0,0,SER_hh_emih_in!U29/SER_summary!U$27)</f>
        <v>2.1318520080344712</v>
      </c>
      <c r="V29" s="130">
        <f>IF(SER_hh_emih_in!V29=0,0,SER_hh_emih_in!V29/SER_summary!V$27)</f>
        <v>2.0130075483015752</v>
      </c>
      <c r="W29" s="130">
        <f>IF(SER_hh_emih_in!W29=0,0,SER_hh_emih_in!W29/SER_summary!W$27)</f>
        <v>1.3472527609410319</v>
      </c>
      <c r="X29" s="130">
        <f>IF(SER_hh_emih_in!X29=0,0,SER_hh_emih_in!X29/SER_summary!X$27)</f>
        <v>1.3239677518360788</v>
      </c>
      <c r="Y29" s="130">
        <f>IF(SER_hh_emih_in!Y29=0,0,SER_hh_emih_in!Y29/SER_summary!Y$27)</f>
        <v>1.1157472361593854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4.4341777142148846</v>
      </c>
      <c r="D30" s="132">
        <f>IF(SER_hh_emih_in!D30=0,0,SER_hh_emih_in!D30/SER_summary!D$27)</f>
        <v>0</v>
      </c>
      <c r="E30" s="132">
        <f>IF(SER_hh_emih_in!E30=0,0,SER_hh_emih_in!E30/SER_summary!E$27)</f>
        <v>0</v>
      </c>
      <c r="F30" s="132">
        <f>IF(SER_hh_emih_in!F30=0,0,SER_hh_emih_in!F30/SER_summary!F$27)</f>
        <v>0</v>
      </c>
      <c r="G30" s="132">
        <f>IF(SER_hh_emih_in!G30=0,0,SER_hh_emih_in!G30/SER_summary!G$27)</f>
        <v>0</v>
      </c>
      <c r="H30" s="132">
        <f>IF(SER_hh_emih_in!H30=0,0,SER_hh_emih_in!H30/SER_summary!H$27)</f>
        <v>0</v>
      </c>
      <c r="I30" s="132">
        <f>IF(SER_hh_emih_in!I30=0,0,SER_hh_emih_in!I30/SER_summary!I$27)</f>
        <v>0</v>
      </c>
      <c r="J30" s="132">
        <f>IF(SER_hh_emih_in!J30=0,0,SER_hh_emih_in!J30/SER_summary!J$27)</f>
        <v>4.6770265146167693</v>
      </c>
      <c r="K30" s="132">
        <f>IF(SER_hh_emih_in!K30=0,0,SER_hh_emih_in!K30/SER_summary!K$27)</f>
        <v>4.5547608310831356</v>
      </c>
      <c r="L30" s="132">
        <f>IF(SER_hh_emih_in!L30=0,0,SER_hh_emih_in!L30/SER_summary!L$27)</f>
        <v>5.4909006259706929</v>
      </c>
      <c r="M30" s="132">
        <f>IF(SER_hh_emih_in!M30=0,0,SER_hh_emih_in!M30/SER_summary!M$27)</f>
        <v>0</v>
      </c>
      <c r="N30" s="132">
        <f>IF(SER_hh_emih_in!N30=0,0,SER_hh_emih_in!N30/SER_summary!N$27)</f>
        <v>0</v>
      </c>
      <c r="O30" s="132">
        <f>IF(SER_hh_emih_in!O30=0,0,SER_hh_emih_in!O30/SER_summary!O$27)</f>
        <v>5.1326778613939172</v>
      </c>
      <c r="P30" s="132">
        <f>IF(SER_hh_emih_in!P30=0,0,SER_hh_emih_in!P30/SER_summary!P$27)</f>
        <v>0</v>
      </c>
      <c r="Q30" s="132">
        <f>IF(SER_hh_emih_in!Q30=0,0,SER_hh_emih_in!Q30/SER_summary!Q$27)</f>
        <v>6.3222592386596066</v>
      </c>
      <c r="R30" s="132">
        <f>IF(SER_hh_emih_in!R30=0,0,SER_hh_emih_in!R30/SER_summary!R$27)</f>
        <v>4.8233400723345632</v>
      </c>
      <c r="S30" s="132">
        <f>IF(SER_hh_emih_in!S30=0,0,SER_hh_emih_in!S30/SER_summary!S$27)</f>
        <v>5.3968922925662293</v>
      </c>
      <c r="T30" s="132">
        <f>IF(SER_hh_emih_in!T30=0,0,SER_hh_emih_in!T30/SER_summary!T$27)</f>
        <v>5.0300704808694849</v>
      </c>
      <c r="U30" s="132">
        <f>IF(SER_hh_emih_in!U30=0,0,SER_hh_emih_in!U30/SER_summary!U$27)</f>
        <v>4.8749788915896692</v>
      </c>
      <c r="V30" s="132">
        <f>IF(SER_hh_emih_in!V30=0,0,SER_hh_emih_in!V30/SER_summary!V$27)</f>
        <v>5.4178419211306137</v>
      </c>
      <c r="W30" s="132">
        <f>IF(SER_hh_emih_in!W30=0,0,SER_hh_emih_in!W30/SER_summary!W$27)</f>
        <v>5.8160777985931169</v>
      </c>
      <c r="X30" s="132">
        <f>IF(SER_hh_emih_in!X30=0,0,SER_hh_emih_in!X30/SER_summary!X$27)</f>
        <v>0</v>
      </c>
      <c r="Y30" s="132">
        <f>IF(SER_hh_emih_in!Y30=0,0,SER_hh_emih_in!Y30/SER_summary!Y$27)</f>
        <v>0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3.6442167777864749</v>
      </c>
      <c r="D31" s="132">
        <f>IF(SER_hh_emih_in!D31=0,0,SER_hh_emih_in!D31/SER_summary!D$27)</f>
        <v>3.7692863770324867</v>
      </c>
      <c r="E31" s="132">
        <f>IF(SER_hh_emih_in!E31=0,0,SER_hh_emih_in!E31/SER_summary!E$27)</f>
        <v>3.8427275975085315</v>
      </c>
      <c r="F31" s="132">
        <f>IF(SER_hh_emih_in!F31=0,0,SER_hh_emih_in!F31/SER_summary!F$27)</f>
        <v>3.8024699427846671</v>
      </c>
      <c r="G31" s="132">
        <f>IF(SER_hh_emih_in!G31=0,0,SER_hh_emih_in!G31/SER_summary!G$27)</f>
        <v>3.8354998262318736</v>
      </c>
      <c r="H31" s="132">
        <f>IF(SER_hh_emih_in!H31=0,0,SER_hh_emih_in!H31/SER_summary!H$27)</f>
        <v>3.8370779744363279</v>
      </c>
      <c r="I31" s="132">
        <f>IF(SER_hh_emih_in!I31=0,0,SER_hh_emih_in!I31/SER_summary!I$27)</f>
        <v>3.9106357844035551</v>
      </c>
      <c r="J31" s="132">
        <f>IF(SER_hh_emih_in!J31=0,0,SER_hh_emih_in!J31/SER_summary!J$27)</f>
        <v>3.993816888637852</v>
      </c>
      <c r="K31" s="132">
        <f>IF(SER_hh_emih_in!K31=0,0,SER_hh_emih_in!K31/SER_summary!K$27)</f>
        <v>4.0329232948611144</v>
      </c>
      <c r="L31" s="132">
        <f>IF(SER_hh_emih_in!L31=0,0,SER_hh_emih_in!L31/SER_summary!L$27)</f>
        <v>4.0645801665473567</v>
      </c>
      <c r="M31" s="132">
        <f>IF(SER_hh_emih_in!M31=0,0,SER_hh_emih_in!M31/SER_summary!M$27)</f>
        <v>4.10835185928351</v>
      </c>
      <c r="N31" s="132">
        <f>IF(SER_hh_emih_in!N31=0,0,SER_hh_emih_in!N31/SER_summary!N$27)</f>
        <v>4.2190433927217068</v>
      </c>
      <c r="O31" s="132">
        <f>IF(SER_hh_emih_in!O31=0,0,SER_hh_emih_in!O31/SER_summary!O$27)</f>
        <v>4.309196639358384</v>
      </c>
      <c r="P31" s="132">
        <f>IF(SER_hh_emih_in!P31=0,0,SER_hh_emih_in!P31/SER_summary!P$27)</f>
        <v>4.368373643162383</v>
      </c>
      <c r="Q31" s="132">
        <f>IF(SER_hh_emih_in!Q31=0,0,SER_hh_emih_in!Q31/SER_summary!Q$27)</f>
        <v>4.4948257863234202</v>
      </c>
      <c r="R31" s="132">
        <f>IF(SER_hh_emih_in!R31=0,0,SER_hh_emih_in!R31/SER_summary!R$27)</f>
        <v>4.5705867533973032</v>
      </c>
      <c r="S31" s="132">
        <f>IF(SER_hh_emih_in!S31=0,0,SER_hh_emih_in!S31/SER_summary!S$27)</f>
        <v>4.5785170814513112</v>
      </c>
      <c r="T31" s="132">
        <f>IF(SER_hh_emih_in!T31=0,0,SER_hh_emih_in!T31/SER_summary!T$27)</f>
        <v>4.5613554720791472</v>
      </c>
      <c r="U31" s="132">
        <f>IF(SER_hh_emih_in!U31=0,0,SER_hh_emih_in!U31/SER_summary!U$27)</f>
        <v>4.5308886805097428</v>
      </c>
      <c r="V31" s="132">
        <f>IF(SER_hh_emih_in!V31=0,0,SER_hh_emih_in!V31/SER_summary!V$27)</f>
        <v>4.3712908204795751</v>
      </c>
      <c r="W31" s="132">
        <f>IF(SER_hh_emih_in!W31=0,0,SER_hh_emih_in!W31/SER_summary!W$27)</f>
        <v>4.2004922602963974</v>
      </c>
      <c r="X31" s="132">
        <f>IF(SER_hh_emih_in!X31=0,0,SER_hh_emih_in!X31/SER_summary!X$27)</f>
        <v>4.6073295531485616</v>
      </c>
      <c r="Y31" s="132">
        <f>IF(SER_hh_emih_in!Y31=0,0,SER_hh_emih_in!Y31/SER_summary!Y$27)</f>
        <v>4.360594199834658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6.3510139786494371</v>
      </c>
      <c r="P32" s="132">
        <f>IF(SER_hh_emih_in!P32=0,0,SER_hh_emih_in!P32/SER_summary!P$27)</f>
        <v>6.4460763824633851</v>
      </c>
      <c r="Q32" s="132">
        <f>IF(SER_hh_emih_in!Q32=0,0,SER_hh_emih_in!Q32/SER_summary!Q$27)</f>
        <v>7.3738918569136755</v>
      </c>
      <c r="R32" s="132">
        <f>IF(SER_hh_emih_in!R32=0,0,SER_hh_emih_in!R32/SER_summary!R$27)</f>
        <v>7.056794504278523</v>
      </c>
      <c r="S32" s="132">
        <f>IF(SER_hh_emih_in!S32=0,0,SER_hh_emih_in!S32/SER_summary!S$27)</f>
        <v>6.7725322414658509</v>
      </c>
      <c r="T32" s="132">
        <f>IF(SER_hh_emih_in!T32=0,0,SER_hh_emih_in!T32/SER_summary!T$27)</f>
        <v>6.9479612087182421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5.3060614460511957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680.20580488448991</v>
      </c>
      <c r="C3" s="179">
        <f t="shared" ref="C3:W3" si="1">SUM(C4:C9)</f>
        <v>706.80108486199924</v>
      </c>
      <c r="D3" s="179">
        <f t="shared" si="1"/>
        <v>746.70392072290167</v>
      </c>
      <c r="E3" s="179">
        <f t="shared" si="1"/>
        <v>772.37890502858772</v>
      </c>
      <c r="F3" s="179">
        <f t="shared" si="1"/>
        <v>809.75806198507303</v>
      </c>
      <c r="G3" s="179">
        <f t="shared" si="1"/>
        <v>849.46495571097239</v>
      </c>
      <c r="H3" s="179">
        <f t="shared" si="1"/>
        <v>894.93265397835944</v>
      </c>
      <c r="I3" s="179">
        <f t="shared" si="1"/>
        <v>937.43663573946924</v>
      </c>
      <c r="J3" s="179">
        <f t="shared" si="1"/>
        <v>970.39776762833844</v>
      </c>
      <c r="K3" s="179">
        <f t="shared" si="1"/>
        <v>988.30564993286202</v>
      </c>
      <c r="L3" s="179">
        <f t="shared" si="1"/>
        <v>1016.889581705619</v>
      </c>
      <c r="M3" s="179">
        <f t="shared" si="1"/>
        <v>1039.0531545296708</v>
      </c>
      <c r="N3" s="179">
        <f t="shared" si="1"/>
        <v>1050.7209818962951</v>
      </c>
      <c r="O3" s="179">
        <f t="shared" si="1"/>
        <v>1059.9420910623421</v>
      </c>
      <c r="P3" s="179">
        <f t="shared" si="1"/>
        <v>1072.2114817285742</v>
      </c>
      <c r="Q3" s="179">
        <f t="shared" si="1"/>
        <v>1087.8147460411858</v>
      </c>
      <c r="R3" s="179">
        <f t="shared" si="1"/>
        <v>1082.6832075052444</v>
      </c>
      <c r="S3" s="179">
        <f t="shared" si="1"/>
        <v>1088.8190229088152</v>
      </c>
      <c r="T3" s="179">
        <f t="shared" si="1"/>
        <v>1071.46857981618</v>
      </c>
      <c r="U3" s="179">
        <f t="shared" si="1"/>
        <v>1052.4885423039332</v>
      </c>
      <c r="V3" s="179">
        <f t="shared" si="1"/>
        <v>1006.2868613974211</v>
      </c>
      <c r="W3" s="179">
        <f t="shared" si="1"/>
        <v>994.46470087271837</v>
      </c>
      <c r="X3" s="179">
        <f t="shared" ref="X3:Y3" si="2">SUM(X4:X9)</f>
        <v>991.11797466080588</v>
      </c>
      <c r="Y3" s="179">
        <f t="shared" si="2"/>
        <v>983.27738976398609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49.661467355788375</v>
      </c>
      <c r="C4" s="180">
        <f t="shared" ref="C4:R9" si="4">C12*C44/11630</f>
        <v>51.282182494231698</v>
      </c>
      <c r="D4" s="180">
        <f t="shared" si="4"/>
        <v>54.120453834606813</v>
      </c>
      <c r="E4" s="180">
        <f t="shared" si="4"/>
        <v>55.271702537816381</v>
      </c>
      <c r="F4" s="180">
        <f t="shared" si="4"/>
        <v>56.961023404423706</v>
      </c>
      <c r="G4" s="180">
        <f t="shared" si="4"/>
        <v>58.446552229508569</v>
      </c>
      <c r="H4" s="180">
        <f t="shared" si="4"/>
        <v>60.603862240631983</v>
      </c>
      <c r="I4" s="180">
        <f t="shared" si="4"/>
        <v>62.744397093051134</v>
      </c>
      <c r="J4" s="180">
        <f t="shared" si="4"/>
        <v>64.664204336895367</v>
      </c>
      <c r="K4" s="180">
        <f t="shared" si="4"/>
        <v>64.878890972605845</v>
      </c>
      <c r="L4" s="180">
        <f t="shared" si="4"/>
        <v>66.53793440114957</v>
      </c>
      <c r="M4" s="180">
        <f t="shared" si="4"/>
        <v>67.935725806306422</v>
      </c>
      <c r="N4" s="180">
        <f t="shared" si="4"/>
        <v>68.80320945578984</v>
      </c>
      <c r="O4" s="180">
        <f t="shared" si="4"/>
        <v>69.763457924974077</v>
      </c>
      <c r="P4" s="180">
        <f t="shared" si="4"/>
        <v>70.707280514401944</v>
      </c>
      <c r="Q4" s="180">
        <f t="shared" si="4"/>
        <v>71.642940145057253</v>
      </c>
      <c r="R4" s="180">
        <f t="shared" si="4"/>
        <v>71.637548851247942</v>
      </c>
      <c r="S4" s="180">
        <f t="shared" ref="D4:W9" si="5">S12*S44/11630</f>
        <v>71.52524130047253</v>
      </c>
      <c r="T4" s="180">
        <f t="shared" si="5"/>
        <v>71.482801802113414</v>
      </c>
      <c r="U4" s="180">
        <f t="shared" si="5"/>
        <v>71.632339876372669</v>
      </c>
      <c r="V4" s="180">
        <f t="shared" si="5"/>
        <v>71.503959807264906</v>
      </c>
      <c r="W4" s="180">
        <f t="shared" si="5"/>
        <v>71.721883093481466</v>
      </c>
      <c r="X4" s="180">
        <f t="shared" ref="X4:Y4" si="6">X12*X44/11630</f>
        <v>71.626611972951551</v>
      </c>
      <c r="Y4" s="180">
        <f t="shared" si="6"/>
        <v>71.470877798217828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72.466842340499994</v>
      </c>
      <c r="C5" s="180">
        <f t="shared" si="4"/>
        <v>73.029633173515947</v>
      </c>
      <c r="D5" s="180">
        <f t="shared" si="5"/>
        <v>74.236617945451002</v>
      </c>
      <c r="E5" s="180">
        <f t="shared" si="5"/>
        <v>74.915787488121467</v>
      </c>
      <c r="F5" s="180">
        <f t="shared" si="5"/>
        <v>75.877085702450074</v>
      </c>
      <c r="G5" s="180">
        <f t="shared" si="5"/>
        <v>77.160340660700939</v>
      </c>
      <c r="H5" s="180">
        <f t="shared" si="5"/>
        <v>78.243386008635554</v>
      </c>
      <c r="I5" s="180">
        <f t="shared" si="5"/>
        <v>79.457098259545958</v>
      </c>
      <c r="J5" s="180">
        <f t="shared" si="5"/>
        <v>81.076324262698151</v>
      </c>
      <c r="K5" s="180">
        <f t="shared" si="5"/>
        <v>82.549530838380093</v>
      </c>
      <c r="L5" s="180">
        <f t="shared" si="5"/>
        <v>83.207345461833512</v>
      </c>
      <c r="M5" s="180">
        <f t="shared" si="5"/>
        <v>84.147400796788958</v>
      </c>
      <c r="N5" s="180">
        <f t="shared" si="5"/>
        <v>84.367038660668868</v>
      </c>
      <c r="O5" s="180">
        <f t="shared" si="5"/>
        <v>85.001265937064844</v>
      </c>
      <c r="P5" s="180">
        <f t="shared" si="5"/>
        <v>85.02022227047469</v>
      </c>
      <c r="Q5" s="180">
        <f t="shared" si="5"/>
        <v>84.792697278180853</v>
      </c>
      <c r="R5" s="180">
        <f t="shared" si="5"/>
        <v>83.834169311764711</v>
      </c>
      <c r="S5" s="180">
        <f t="shared" si="5"/>
        <v>83.304320035475513</v>
      </c>
      <c r="T5" s="180">
        <f t="shared" si="5"/>
        <v>80.718449200301364</v>
      </c>
      <c r="U5" s="180">
        <f t="shared" si="5"/>
        <v>77.819318837206325</v>
      </c>
      <c r="V5" s="180">
        <f t="shared" si="5"/>
        <v>74.707540743234063</v>
      </c>
      <c r="W5" s="180">
        <f t="shared" si="5"/>
        <v>72.262010575462725</v>
      </c>
      <c r="X5" s="180">
        <f t="shared" ref="X5:Y5" si="7">X13*X45/11630</f>
        <v>70.008014744381967</v>
      </c>
      <c r="Y5" s="180">
        <f t="shared" si="7"/>
        <v>68.364653384702137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283.87050726256768</v>
      </c>
      <c r="C6" s="180">
        <f t="shared" si="4"/>
        <v>287.9360454118243</v>
      </c>
      <c r="D6" s="180">
        <f t="shared" si="5"/>
        <v>300.85879905489185</v>
      </c>
      <c r="E6" s="180">
        <f t="shared" si="5"/>
        <v>303.25398443812344</v>
      </c>
      <c r="F6" s="180">
        <f t="shared" si="5"/>
        <v>309.75708103660725</v>
      </c>
      <c r="G6" s="180">
        <f t="shared" si="5"/>
        <v>312.79894662444161</v>
      </c>
      <c r="H6" s="180">
        <f t="shared" si="5"/>
        <v>318.11618887039987</v>
      </c>
      <c r="I6" s="180">
        <f t="shared" si="5"/>
        <v>325.10256119082658</v>
      </c>
      <c r="J6" s="180">
        <f t="shared" si="5"/>
        <v>330.1253795613959</v>
      </c>
      <c r="K6" s="180">
        <f t="shared" si="5"/>
        <v>328.85280681851236</v>
      </c>
      <c r="L6" s="180">
        <f t="shared" si="5"/>
        <v>337.33637790023795</v>
      </c>
      <c r="M6" s="180">
        <f t="shared" si="5"/>
        <v>342.01832173864329</v>
      </c>
      <c r="N6" s="180">
        <f t="shared" si="5"/>
        <v>343.59951215760134</v>
      </c>
      <c r="O6" s="180">
        <f t="shared" si="5"/>
        <v>341.81572203137421</v>
      </c>
      <c r="P6" s="180">
        <f t="shared" si="5"/>
        <v>341.099349730158</v>
      </c>
      <c r="Q6" s="180">
        <f t="shared" si="5"/>
        <v>341.74611260796911</v>
      </c>
      <c r="R6" s="180">
        <f t="shared" si="5"/>
        <v>333.4406076381498</v>
      </c>
      <c r="S6" s="180">
        <f t="shared" si="5"/>
        <v>333.6033888879557</v>
      </c>
      <c r="T6" s="180">
        <f t="shared" si="5"/>
        <v>315.51411689390608</v>
      </c>
      <c r="U6" s="180">
        <f t="shared" si="5"/>
        <v>297.76753214134226</v>
      </c>
      <c r="V6" s="180">
        <f t="shared" si="5"/>
        <v>264.89545787719368</v>
      </c>
      <c r="W6" s="180">
        <f t="shared" si="5"/>
        <v>251.71815640307742</v>
      </c>
      <c r="X6" s="180">
        <f t="shared" ref="X6:Y6" si="8">X14*X46/11630</f>
        <v>242.96161417074927</v>
      </c>
      <c r="Y6" s="180">
        <f t="shared" si="8"/>
        <v>231.97603356464484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104.25614892900394</v>
      </c>
      <c r="C7" s="180">
        <f t="shared" si="4"/>
        <v>105.65725119124959</v>
      </c>
      <c r="D7" s="180">
        <f t="shared" si="5"/>
        <v>107.70282122601579</v>
      </c>
      <c r="E7" s="180">
        <f t="shared" si="5"/>
        <v>110.87286741530572</v>
      </c>
      <c r="F7" s="180">
        <f t="shared" si="5"/>
        <v>117.19302248566322</v>
      </c>
      <c r="G7" s="180">
        <f t="shared" si="5"/>
        <v>129.58273818825074</v>
      </c>
      <c r="H7" s="180">
        <f t="shared" si="5"/>
        <v>146.17543677336977</v>
      </c>
      <c r="I7" s="180">
        <f t="shared" si="5"/>
        <v>156.48747246246242</v>
      </c>
      <c r="J7" s="180">
        <f t="shared" si="5"/>
        <v>162.8599854628203</v>
      </c>
      <c r="K7" s="180">
        <f t="shared" si="5"/>
        <v>169.73478857625835</v>
      </c>
      <c r="L7" s="180">
        <f t="shared" si="5"/>
        <v>173.94085967480652</v>
      </c>
      <c r="M7" s="180">
        <f t="shared" si="5"/>
        <v>176.33842726269552</v>
      </c>
      <c r="N7" s="180">
        <f t="shared" si="5"/>
        <v>177.97835425485857</v>
      </c>
      <c r="O7" s="180">
        <f t="shared" si="5"/>
        <v>179.53233669772479</v>
      </c>
      <c r="P7" s="180">
        <f t="shared" si="5"/>
        <v>181.24093105035266</v>
      </c>
      <c r="Q7" s="180">
        <f t="shared" si="5"/>
        <v>183.84401667128219</v>
      </c>
      <c r="R7" s="180">
        <f t="shared" si="5"/>
        <v>181.83303609573545</v>
      </c>
      <c r="S7" s="180">
        <f t="shared" si="5"/>
        <v>180.55827775574281</v>
      </c>
      <c r="T7" s="180">
        <f t="shared" si="5"/>
        <v>180.23960760005866</v>
      </c>
      <c r="U7" s="180">
        <f t="shared" si="5"/>
        <v>179.67375933359284</v>
      </c>
      <c r="V7" s="180">
        <f t="shared" si="5"/>
        <v>179.40872398970302</v>
      </c>
      <c r="W7" s="180">
        <f t="shared" si="5"/>
        <v>179.37265115243559</v>
      </c>
      <c r="X7" s="180">
        <f t="shared" ref="X7:Y7" si="9">X15*X47/11630</f>
        <v>179.17073638665983</v>
      </c>
      <c r="Y7" s="180">
        <f t="shared" si="9"/>
        <v>179.29904444707086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87.079237213114737</v>
      </c>
      <c r="C8" s="55">
        <f t="shared" si="4"/>
        <v>92.715775619696714</v>
      </c>
      <c r="D8" s="55">
        <f t="shared" si="5"/>
        <v>102.06268936104981</v>
      </c>
      <c r="E8" s="55">
        <f t="shared" si="5"/>
        <v>109.23600784565014</v>
      </c>
      <c r="F8" s="55">
        <f t="shared" si="5"/>
        <v>118.32698842271878</v>
      </c>
      <c r="G8" s="55">
        <f t="shared" si="5"/>
        <v>127.76581576628921</v>
      </c>
      <c r="H8" s="55">
        <f t="shared" si="5"/>
        <v>136.86362262558572</v>
      </c>
      <c r="I8" s="55">
        <f t="shared" si="5"/>
        <v>145.69553517504229</v>
      </c>
      <c r="J8" s="55">
        <f t="shared" si="5"/>
        <v>152.43740271153459</v>
      </c>
      <c r="K8" s="55">
        <f t="shared" si="5"/>
        <v>154.37674358263763</v>
      </c>
      <c r="L8" s="55">
        <f t="shared" si="5"/>
        <v>159.69947695711048</v>
      </c>
      <c r="M8" s="55">
        <f t="shared" si="5"/>
        <v>163.47452121166023</v>
      </c>
      <c r="N8" s="55">
        <f t="shared" si="5"/>
        <v>165.78519793314047</v>
      </c>
      <c r="O8" s="55">
        <f t="shared" si="5"/>
        <v>167.51479630967185</v>
      </c>
      <c r="P8" s="55">
        <f t="shared" si="5"/>
        <v>169.15375621094884</v>
      </c>
      <c r="Q8" s="55">
        <f t="shared" si="5"/>
        <v>169.01781602885748</v>
      </c>
      <c r="R8" s="55">
        <f t="shared" si="5"/>
        <v>172.21035038193457</v>
      </c>
      <c r="S8" s="55">
        <f t="shared" si="5"/>
        <v>176.08632815252372</v>
      </c>
      <c r="T8" s="55">
        <f t="shared" si="5"/>
        <v>177.05850480631202</v>
      </c>
      <c r="U8" s="55">
        <f t="shared" si="5"/>
        <v>176.61269838658444</v>
      </c>
      <c r="V8" s="55">
        <f t="shared" si="5"/>
        <v>167.75000445153367</v>
      </c>
      <c r="W8" s="55">
        <f t="shared" si="5"/>
        <v>168.22666304884635</v>
      </c>
      <c r="X8" s="55">
        <f t="shared" ref="X8:Y8" si="10">X16*X48/11630</f>
        <v>171.76599108624561</v>
      </c>
      <c r="Y8" s="55">
        <f t="shared" si="10"/>
        <v>173.54586128333955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82.871601783515203</v>
      </c>
      <c r="C9" s="63">
        <f t="shared" si="4"/>
        <v>96.180196971480996</v>
      </c>
      <c r="D9" s="63">
        <f t="shared" si="5"/>
        <v>107.7225393008864</v>
      </c>
      <c r="E9" s="63">
        <f t="shared" si="5"/>
        <v>118.82855530357048</v>
      </c>
      <c r="F9" s="63">
        <f t="shared" si="5"/>
        <v>131.64286093320987</v>
      </c>
      <c r="G9" s="63">
        <f t="shared" si="5"/>
        <v>143.71056224178133</v>
      </c>
      <c r="H9" s="63">
        <f t="shared" si="5"/>
        <v>154.93015745973659</v>
      </c>
      <c r="I9" s="63">
        <f t="shared" si="5"/>
        <v>167.94957155854075</v>
      </c>
      <c r="J9" s="63">
        <f t="shared" si="5"/>
        <v>179.23447129299416</v>
      </c>
      <c r="K9" s="63">
        <f t="shared" si="5"/>
        <v>187.91288914446773</v>
      </c>
      <c r="L9" s="63">
        <f t="shared" si="5"/>
        <v>196.16758731048097</v>
      </c>
      <c r="M9" s="63">
        <f t="shared" si="5"/>
        <v>205.13875771357633</v>
      </c>
      <c r="N9" s="63">
        <f t="shared" si="5"/>
        <v>210.18766943423594</v>
      </c>
      <c r="O9" s="63">
        <f t="shared" si="5"/>
        <v>216.31451216153241</v>
      </c>
      <c r="P9" s="63">
        <f t="shared" si="5"/>
        <v>224.9899419522381</v>
      </c>
      <c r="Q9" s="63">
        <f t="shared" si="5"/>
        <v>236.77116330983887</v>
      </c>
      <c r="R9" s="63">
        <f t="shared" si="5"/>
        <v>239.72749522641163</v>
      </c>
      <c r="S9" s="63">
        <f t="shared" si="5"/>
        <v>243.74146677664507</v>
      </c>
      <c r="T9" s="63">
        <f t="shared" si="5"/>
        <v>246.45509951348831</v>
      </c>
      <c r="U9" s="63">
        <f t="shared" si="5"/>
        <v>248.9828937288346</v>
      </c>
      <c r="V9" s="63">
        <f t="shared" si="5"/>
        <v>248.02117452849188</v>
      </c>
      <c r="W9" s="63">
        <f t="shared" si="5"/>
        <v>251.16333659941486</v>
      </c>
      <c r="X9" s="63">
        <f t="shared" ref="X9:Y9" si="11">X17*X49/11630</f>
        <v>255.58500629981773</v>
      </c>
      <c r="Y9" s="63">
        <f t="shared" si="11"/>
        <v>258.6209192860108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3319.8820949666351</v>
      </c>
      <c r="C11" s="179">
        <f t="shared" ref="C11:W11" si="13">SUM(C12:C17)</f>
        <v>3454.5131752563179</v>
      </c>
      <c r="D11" s="179">
        <f t="shared" si="13"/>
        <v>3670.427443567783</v>
      </c>
      <c r="E11" s="179">
        <f t="shared" si="13"/>
        <v>3804.1988105328801</v>
      </c>
      <c r="F11" s="179">
        <f t="shared" si="13"/>
        <v>3996.0130804619243</v>
      </c>
      <c r="G11" s="179">
        <f t="shared" si="13"/>
        <v>4183.9875788686677</v>
      </c>
      <c r="H11" s="179">
        <f t="shared" si="13"/>
        <v>4381.6690673414869</v>
      </c>
      <c r="I11" s="179">
        <f t="shared" si="13"/>
        <v>4588.0658974879943</v>
      </c>
      <c r="J11" s="179">
        <f t="shared" si="13"/>
        <v>4748.0807380262468</v>
      </c>
      <c r="K11" s="179">
        <f t="shared" si="13"/>
        <v>4800.0468094438475</v>
      </c>
      <c r="L11" s="179">
        <f t="shared" si="13"/>
        <v>4931.2777556250212</v>
      </c>
      <c r="M11" s="179">
        <f t="shared" si="13"/>
        <v>5018.4382833591553</v>
      </c>
      <c r="N11" s="179">
        <f t="shared" si="13"/>
        <v>5069.4588473879485</v>
      </c>
      <c r="O11" s="179">
        <f t="shared" si="13"/>
        <v>5107.259227745938</v>
      </c>
      <c r="P11" s="179">
        <f t="shared" si="13"/>
        <v>5156.7057625770294</v>
      </c>
      <c r="Q11" s="179">
        <f t="shared" si="13"/>
        <v>5209.2225279625291</v>
      </c>
      <c r="R11" s="179">
        <f t="shared" si="13"/>
        <v>5179.8064917168649</v>
      </c>
      <c r="S11" s="179">
        <f t="shared" si="13"/>
        <v>5141.3731130534479</v>
      </c>
      <c r="T11" s="179">
        <f t="shared" si="13"/>
        <v>5106.8520344360131</v>
      </c>
      <c r="U11" s="179">
        <f t="shared" si="13"/>
        <v>5061.4545574089507</v>
      </c>
      <c r="V11" s="179">
        <f t="shared" si="13"/>
        <v>4988.8465670430569</v>
      </c>
      <c r="W11" s="179">
        <f t="shared" si="13"/>
        <v>4936.1444122591165</v>
      </c>
      <c r="X11" s="179">
        <f t="shared" ref="X11:Y11" si="14">SUM(X12:X17)</f>
        <v>4869.3409166573638</v>
      </c>
      <c r="Y11" s="179">
        <f t="shared" si="14"/>
        <v>4809.1237028040277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65.931833943814937</v>
      </c>
      <c r="C12" s="180">
        <f t="shared" ref="C12:W12" si="15">C20*C52</f>
        <v>68.083536804556488</v>
      </c>
      <c r="D12" s="180">
        <f t="shared" si="15"/>
        <v>71.85169841283988</v>
      </c>
      <c r="E12" s="180">
        <f t="shared" si="15"/>
        <v>73.380125629543912</v>
      </c>
      <c r="F12" s="180">
        <f t="shared" si="15"/>
        <v>75.622911209297712</v>
      </c>
      <c r="G12" s="180">
        <f t="shared" si="15"/>
        <v>77.595137263605565</v>
      </c>
      <c r="H12" s="180">
        <f t="shared" si="15"/>
        <v>80.459237198464621</v>
      </c>
      <c r="I12" s="180">
        <f t="shared" si="15"/>
        <v>83.301066003674052</v>
      </c>
      <c r="J12" s="180">
        <f t="shared" si="15"/>
        <v>85.84985119156309</v>
      </c>
      <c r="K12" s="180">
        <f t="shared" si="15"/>
        <v>86.134874658836324</v>
      </c>
      <c r="L12" s="180">
        <f t="shared" si="15"/>
        <v>88.337463137599258</v>
      </c>
      <c r="M12" s="180">
        <f t="shared" si="15"/>
        <v>90.193206749696742</v>
      </c>
      <c r="N12" s="180">
        <f t="shared" si="15"/>
        <v>91.344900224981302</v>
      </c>
      <c r="O12" s="180">
        <f t="shared" si="15"/>
        <v>92.619750646969024</v>
      </c>
      <c r="P12" s="180">
        <f t="shared" si="15"/>
        <v>93.872793650969754</v>
      </c>
      <c r="Q12" s="180">
        <f t="shared" si="15"/>
        <v>95.114999302170787</v>
      </c>
      <c r="R12" s="180">
        <f t="shared" si="15"/>
        <v>95.107841682649948</v>
      </c>
      <c r="S12" s="180">
        <f t="shared" si="15"/>
        <v>94.958739306449289</v>
      </c>
      <c r="T12" s="180">
        <f t="shared" si="15"/>
        <v>94.902395543216784</v>
      </c>
      <c r="U12" s="180">
        <f t="shared" si="15"/>
        <v>95.100926114408011</v>
      </c>
      <c r="V12" s="180">
        <f t="shared" si="15"/>
        <v>94.930485451882518</v>
      </c>
      <c r="W12" s="180">
        <f t="shared" si="15"/>
        <v>95.219805979131237</v>
      </c>
      <c r="X12" s="180">
        <f t="shared" ref="X12:Y12" si="16">X20*X52</f>
        <v>95.093321603359215</v>
      </c>
      <c r="Y12" s="180">
        <f t="shared" si="16"/>
        <v>94.886564930738984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203.70171561468197</v>
      </c>
      <c r="C13" s="180">
        <f t="shared" ref="C13:W13" si="17">C21*C53/1000</f>
        <v>206.05130579382165</v>
      </c>
      <c r="D13" s="180">
        <f t="shared" si="17"/>
        <v>210.05447146400661</v>
      </c>
      <c r="E13" s="180">
        <f t="shared" si="17"/>
        <v>212.76096143968138</v>
      </c>
      <c r="F13" s="180">
        <f t="shared" si="17"/>
        <v>215.65585638886398</v>
      </c>
      <c r="G13" s="180">
        <f t="shared" si="17"/>
        <v>219.79274674303051</v>
      </c>
      <c r="H13" s="180">
        <f t="shared" si="17"/>
        <v>223.02870632799554</v>
      </c>
      <c r="I13" s="180">
        <f t="shared" si="17"/>
        <v>226.72036045267481</v>
      </c>
      <c r="J13" s="180">
        <f t="shared" si="17"/>
        <v>231.6110863447266</v>
      </c>
      <c r="K13" s="180">
        <f t="shared" si="17"/>
        <v>236.51646598709431</v>
      </c>
      <c r="L13" s="180">
        <f t="shared" si="17"/>
        <v>239.38295377147446</v>
      </c>
      <c r="M13" s="180">
        <f t="shared" si="17"/>
        <v>243.61339951234834</v>
      </c>
      <c r="N13" s="180">
        <f t="shared" si="17"/>
        <v>246.03400274291914</v>
      </c>
      <c r="O13" s="180">
        <f t="shared" si="17"/>
        <v>250.30816295908917</v>
      </c>
      <c r="P13" s="180">
        <f t="shared" si="17"/>
        <v>253.61722272128236</v>
      </c>
      <c r="Q13" s="180">
        <f t="shared" si="17"/>
        <v>256.20842113083398</v>
      </c>
      <c r="R13" s="180">
        <f t="shared" si="17"/>
        <v>252.21066419854841</v>
      </c>
      <c r="S13" s="180">
        <f t="shared" si="17"/>
        <v>247.67055769417783</v>
      </c>
      <c r="T13" s="180">
        <f t="shared" si="17"/>
        <v>242.08335267354443</v>
      </c>
      <c r="U13" s="180">
        <f t="shared" si="17"/>
        <v>235.70921283818285</v>
      </c>
      <c r="V13" s="180">
        <f t="shared" si="17"/>
        <v>227.94078087593752</v>
      </c>
      <c r="W13" s="180">
        <f t="shared" si="17"/>
        <v>220.51952038397266</v>
      </c>
      <c r="X13" s="180">
        <f t="shared" ref="X13:Y13" si="18">X21*X53/1000</f>
        <v>214.83068656809382</v>
      </c>
      <c r="Y13" s="180">
        <f t="shared" si="18"/>
        <v>210.96246524004383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1352.0862164929681</v>
      </c>
      <c r="C14" s="180">
        <f t="shared" ref="C14:W14" si="19">C22*C54</f>
        <v>1363.1249440121537</v>
      </c>
      <c r="D14" s="180">
        <f t="shared" si="19"/>
        <v>1415.7849210415882</v>
      </c>
      <c r="E14" s="180">
        <f t="shared" si="19"/>
        <v>1420.0391396587902</v>
      </c>
      <c r="F14" s="180">
        <f t="shared" si="19"/>
        <v>1440.6412013864608</v>
      </c>
      <c r="G14" s="180">
        <f t="shared" si="19"/>
        <v>1446.6933043117997</v>
      </c>
      <c r="H14" s="180">
        <f t="shared" si="19"/>
        <v>1463.054222475454</v>
      </c>
      <c r="I14" s="180">
        <f t="shared" si="19"/>
        <v>1485.6759347183474</v>
      </c>
      <c r="J14" s="180">
        <f t="shared" si="19"/>
        <v>1502.4597888762894</v>
      </c>
      <c r="K14" s="180">
        <f t="shared" si="19"/>
        <v>1493.1664143042551</v>
      </c>
      <c r="L14" s="180">
        <f t="shared" si="19"/>
        <v>1526.9602460128299</v>
      </c>
      <c r="M14" s="180">
        <f t="shared" si="19"/>
        <v>1541.4507314284729</v>
      </c>
      <c r="N14" s="180">
        <f t="shared" si="19"/>
        <v>1545.1737038251367</v>
      </c>
      <c r="O14" s="180">
        <f t="shared" si="19"/>
        <v>1535.4475480334729</v>
      </c>
      <c r="P14" s="180">
        <f t="shared" si="19"/>
        <v>1525.568792772491</v>
      </c>
      <c r="Q14" s="180">
        <f t="shared" si="19"/>
        <v>1524.4573794863738</v>
      </c>
      <c r="R14" s="180">
        <f t="shared" si="19"/>
        <v>1478.1259440516351</v>
      </c>
      <c r="S14" s="180">
        <f t="shared" si="19"/>
        <v>1434.9900076404824</v>
      </c>
      <c r="T14" s="180">
        <f t="shared" si="19"/>
        <v>1380.3559073234469</v>
      </c>
      <c r="U14" s="180">
        <f t="shared" si="19"/>
        <v>1323.9524834826177</v>
      </c>
      <c r="V14" s="180">
        <f t="shared" si="19"/>
        <v>1244.3916029706136</v>
      </c>
      <c r="W14" s="180">
        <f t="shared" si="19"/>
        <v>1182.9300223372245</v>
      </c>
      <c r="X14" s="180">
        <f t="shared" ref="X14:Y14" si="20">X22*X54</f>
        <v>1115.4326371486632</v>
      </c>
      <c r="Y14" s="180">
        <f t="shared" si="20"/>
        <v>1052.8506969287296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138.41312922880323</v>
      </c>
      <c r="C15" s="180">
        <f t="shared" ref="C15:W15" si="21">C23*C55/1000</f>
        <v>140.27326841943295</v>
      </c>
      <c r="D15" s="180">
        <f t="shared" si="21"/>
        <v>142.98901950440225</v>
      </c>
      <c r="E15" s="180">
        <f t="shared" si="21"/>
        <v>147.19765388584537</v>
      </c>
      <c r="F15" s="180">
        <f t="shared" si="21"/>
        <v>155.58845336852326</v>
      </c>
      <c r="G15" s="180">
        <f t="shared" si="21"/>
        <v>172.03735674992646</v>
      </c>
      <c r="H15" s="180">
        <f t="shared" si="21"/>
        <v>194.06624767971357</v>
      </c>
      <c r="I15" s="180">
        <f t="shared" si="21"/>
        <v>207.75676994731035</v>
      </c>
      <c r="J15" s="180">
        <f t="shared" si="21"/>
        <v>216.21708115668955</v>
      </c>
      <c r="K15" s="180">
        <f t="shared" si="21"/>
        <v>225.34424556414214</v>
      </c>
      <c r="L15" s="180">
        <f t="shared" si="21"/>
        <v>230.92833310707755</v>
      </c>
      <c r="M15" s="180">
        <f t="shared" si="21"/>
        <v>234.1114051444234</v>
      </c>
      <c r="N15" s="180">
        <f t="shared" si="21"/>
        <v>236.28861415342524</v>
      </c>
      <c r="O15" s="180">
        <f t="shared" si="21"/>
        <v>238.3517209811117</v>
      </c>
      <c r="P15" s="180">
        <f t="shared" si="21"/>
        <v>240.62009453374452</v>
      </c>
      <c r="Q15" s="180">
        <f t="shared" si="21"/>
        <v>244.07601756701047</v>
      </c>
      <c r="R15" s="180">
        <f t="shared" si="21"/>
        <v>241.40618833258026</v>
      </c>
      <c r="S15" s="180">
        <f t="shared" si="21"/>
        <v>239.71378656384579</v>
      </c>
      <c r="T15" s="180">
        <f t="shared" si="21"/>
        <v>239.29071191651624</v>
      </c>
      <c r="U15" s="180">
        <f t="shared" si="21"/>
        <v>238.53947728877679</v>
      </c>
      <c r="V15" s="180">
        <f t="shared" si="21"/>
        <v>238.18760958906918</v>
      </c>
      <c r="W15" s="180">
        <f t="shared" si="21"/>
        <v>238.1397183679025</v>
      </c>
      <c r="X15" s="180">
        <f t="shared" ref="X15:Y15" si="22">X23*X55/1000</f>
        <v>237.87165116174131</v>
      </c>
      <c r="Y15" s="180">
        <f t="shared" si="22"/>
        <v>238.04199622367969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1178.8216503568801</v>
      </c>
      <c r="C16" s="55">
        <f t="shared" ref="C16:W16" si="23">C24*C56</f>
        <v>1249.1583316225024</v>
      </c>
      <c r="D16" s="55">
        <f t="shared" si="23"/>
        <v>1369.119742576411</v>
      </c>
      <c r="E16" s="55">
        <f t="shared" si="23"/>
        <v>1459.4934147972292</v>
      </c>
      <c r="F16" s="55">
        <f t="shared" si="23"/>
        <v>1575.110029769899</v>
      </c>
      <c r="G16" s="55">
        <f t="shared" si="23"/>
        <v>1694.8981150732332</v>
      </c>
      <c r="H16" s="55">
        <f t="shared" si="23"/>
        <v>1809.737224161036</v>
      </c>
      <c r="I16" s="55">
        <f t="shared" si="23"/>
        <v>1920.6900406643613</v>
      </c>
      <c r="J16" s="55">
        <f t="shared" si="23"/>
        <v>2003.8324379817091</v>
      </c>
      <c r="K16" s="55">
        <f t="shared" si="23"/>
        <v>2023.8470267609398</v>
      </c>
      <c r="L16" s="55">
        <f t="shared" si="23"/>
        <v>2088.2643835142571</v>
      </c>
      <c r="M16" s="55">
        <f t="shared" si="23"/>
        <v>2134.1539850638424</v>
      </c>
      <c r="N16" s="55">
        <f t="shared" si="23"/>
        <v>2160.966247524605</v>
      </c>
      <c r="O16" s="55">
        <f t="shared" si="23"/>
        <v>2180.2781371984229</v>
      </c>
      <c r="P16" s="55">
        <f t="shared" si="23"/>
        <v>2198.4888072683129</v>
      </c>
      <c r="Q16" s="55">
        <f t="shared" si="23"/>
        <v>2193.7348751369409</v>
      </c>
      <c r="R16" s="55">
        <f t="shared" si="23"/>
        <v>2219.0532476538883</v>
      </c>
      <c r="S16" s="55">
        <f t="shared" si="23"/>
        <v>2230.5610775783598</v>
      </c>
      <c r="T16" s="55">
        <f t="shared" si="23"/>
        <v>2250.197253990877</v>
      </c>
      <c r="U16" s="55">
        <f t="shared" si="23"/>
        <v>2261.7822274108539</v>
      </c>
      <c r="V16" s="55">
        <f t="shared" si="23"/>
        <v>2269.754599338803</v>
      </c>
      <c r="W16" s="55">
        <f t="shared" si="23"/>
        <v>2277.0530373086422</v>
      </c>
      <c r="X16" s="55">
        <f t="shared" ref="X16:Y16" si="24">X24*X56</f>
        <v>2277.5284541325263</v>
      </c>
      <c r="Y16" s="55">
        <f t="shared" si="24"/>
        <v>2277.8929239264044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380.92754932948696</v>
      </c>
      <c r="C17" s="63">
        <f t="shared" ref="C17:W17" si="25">C25*C57/1000</f>
        <v>427.82178860385062</v>
      </c>
      <c r="D17" s="63">
        <f t="shared" si="25"/>
        <v>460.62759056853508</v>
      </c>
      <c r="E17" s="63">
        <f t="shared" si="25"/>
        <v>491.32751512179038</v>
      </c>
      <c r="F17" s="63">
        <f t="shared" si="25"/>
        <v>533.39462833887944</v>
      </c>
      <c r="G17" s="63">
        <f t="shared" si="25"/>
        <v>572.97091872707256</v>
      </c>
      <c r="H17" s="63">
        <f t="shared" si="25"/>
        <v>611.32342949882332</v>
      </c>
      <c r="I17" s="63">
        <f t="shared" si="25"/>
        <v>663.92172570162654</v>
      </c>
      <c r="J17" s="63">
        <f t="shared" si="25"/>
        <v>708.11049247526876</v>
      </c>
      <c r="K17" s="63">
        <f t="shared" si="25"/>
        <v>735.03778216857927</v>
      </c>
      <c r="L17" s="63">
        <f t="shared" si="25"/>
        <v>757.40437608178286</v>
      </c>
      <c r="M17" s="63">
        <f t="shared" si="25"/>
        <v>774.91555546037148</v>
      </c>
      <c r="N17" s="63">
        <f t="shared" si="25"/>
        <v>789.65137891688062</v>
      </c>
      <c r="O17" s="63">
        <f t="shared" si="25"/>
        <v>810.25390792687267</v>
      </c>
      <c r="P17" s="63">
        <f t="shared" si="25"/>
        <v>844.53805163022969</v>
      </c>
      <c r="Q17" s="63">
        <f t="shared" si="25"/>
        <v>895.63083533919917</v>
      </c>
      <c r="R17" s="63">
        <f t="shared" si="25"/>
        <v>893.9026057975625</v>
      </c>
      <c r="S17" s="63">
        <f t="shared" si="25"/>
        <v>893.47894427013318</v>
      </c>
      <c r="T17" s="63">
        <f t="shared" si="25"/>
        <v>900.02241298841193</v>
      </c>
      <c r="U17" s="63">
        <f t="shared" si="25"/>
        <v>906.37023027411112</v>
      </c>
      <c r="V17" s="63">
        <f t="shared" si="25"/>
        <v>913.64148881675112</v>
      </c>
      <c r="W17" s="63">
        <f t="shared" si="25"/>
        <v>922.2823078822438</v>
      </c>
      <c r="X17" s="63">
        <f t="shared" ref="X17:Y17" si="26">X25*X57/1000</f>
        <v>928.58416604298031</v>
      </c>
      <c r="Y17" s="63">
        <f t="shared" si="26"/>
        <v>934.48905555443082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101.80483774004398</v>
      </c>
      <c r="C20" s="181">
        <v>106.0660034674236</v>
      </c>
      <c r="D20" s="181">
        <v>113.27218073994258</v>
      </c>
      <c r="E20" s="181">
        <v>116.66949832491746</v>
      </c>
      <c r="F20" s="181">
        <v>121.44612929075561</v>
      </c>
      <c r="G20" s="181">
        <v>125.86653797253706</v>
      </c>
      <c r="H20" s="181">
        <v>132.06616323102074</v>
      </c>
      <c r="I20" s="181">
        <v>138.37480187332054</v>
      </c>
      <c r="J20" s="181">
        <v>144.30558636786688</v>
      </c>
      <c r="K20" s="181">
        <v>146.11831492358249</v>
      </c>
      <c r="L20" s="181">
        <v>151.78157367433249</v>
      </c>
      <c r="M20" s="181">
        <v>156.98180193945748</v>
      </c>
      <c r="N20" s="181">
        <v>161.04780104162495</v>
      </c>
      <c r="O20" s="181">
        <v>165.6152993461063</v>
      </c>
      <c r="P20" s="181">
        <v>170.42848394802638</v>
      </c>
      <c r="Q20" s="181">
        <v>175.51500304651123</v>
      </c>
      <c r="R20" s="181">
        <v>178.08185724907486</v>
      </c>
      <c r="S20" s="181">
        <v>180.51366554151519</v>
      </c>
      <c r="T20" s="181">
        <v>183.31812701649767</v>
      </c>
      <c r="U20" s="181">
        <v>186.10706719235242</v>
      </c>
      <c r="V20" s="181">
        <v>188.8777091704705</v>
      </c>
      <c r="W20" s="181">
        <v>191.62617465130739</v>
      </c>
      <c r="X20" s="181">
        <v>193.79209567663887</v>
      </c>
      <c r="Y20" s="181">
        <v>195.65579720515092</v>
      </c>
      <c r="DA20" s="190" t="s">
        <v>922</v>
      </c>
    </row>
    <row r="21" spans="1:105" ht="12" customHeight="1" x14ac:dyDescent="0.25">
      <c r="A21" s="131" t="s">
        <v>156</v>
      </c>
      <c r="B21" s="181">
        <v>1133.7262748417306</v>
      </c>
      <c r="C21" s="181">
        <v>1157.627728576625</v>
      </c>
      <c r="D21" s="181">
        <v>1193.639082112594</v>
      </c>
      <c r="E21" s="181">
        <v>1223.9918188531897</v>
      </c>
      <c r="F21" s="181">
        <v>1259.4522046095801</v>
      </c>
      <c r="G21" s="181">
        <v>1306.6676477598937</v>
      </c>
      <c r="H21" s="181">
        <v>1354.9626015486187</v>
      </c>
      <c r="I21" s="181">
        <v>1412.5411994722031</v>
      </c>
      <c r="J21" s="181">
        <v>1467.2117022146094</v>
      </c>
      <c r="K21" s="181">
        <v>1526.7932844151135</v>
      </c>
      <c r="L21" s="181">
        <v>1576.2851698081931</v>
      </c>
      <c r="M21" s="181">
        <v>1641.7140455963722</v>
      </c>
      <c r="N21" s="181">
        <v>1704.6320559209507</v>
      </c>
      <c r="O21" s="181">
        <v>1789.3974971770524</v>
      </c>
      <c r="P21" s="181">
        <v>1884.0735729647645</v>
      </c>
      <c r="Q21" s="181">
        <v>1980.286343740521</v>
      </c>
      <c r="R21" s="181">
        <v>2033.6773031511595</v>
      </c>
      <c r="S21" s="181">
        <v>2083.4608412903863</v>
      </c>
      <c r="T21" s="181">
        <v>2137.1301135389303</v>
      </c>
      <c r="U21" s="181">
        <v>2189.7454867916185</v>
      </c>
      <c r="V21" s="181">
        <v>2240.0553961859018</v>
      </c>
      <c r="W21" s="181">
        <v>2286.7293962663257</v>
      </c>
      <c r="X21" s="181">
        <v>2328.0288441781236</v>
      </c>
      <c r="Y21" s="181">
        <v>2373.7492509343629</v>
      </c>
      <c r="DA21" s="190" t="s">
        <v>923</v>
      </c>
    </row>
    <row r="22" spans="1:105" ht="12" customHeight="1" x14ac:dyDescent="0.25">
      <c r="A22" s="131" t="s">
        <v>160</v>
      </c>
      <c r="B22" s="181">
        <v>33.119639535147023</v>
      </c>
      <c r="C22" s="181">
        <v>33.793433798693009</v>
      </c>
      <c r="D22" s="181">
        <v>35.864569412315689</v>
      </c>
      <c r="E22" s="181">
        <v>36.817925724711074</v>
      </c>
      <c r="F22" s="181">
        <v>38.345404364408616</v>
      </c>
      <c r="G22" s="181">
        <v>39.584791896909756</v>
      </c>
      <c r="H22" s="181">
        <v>41.331620745392236</v>
      </c>
      <c r="I22" s="181">
        <v>42.954576677150037</v>
      </c>
      <c r="J22" s="181">
        <v>44.539829662719974</v>
      </c>
      <c r="K22" s="181">
        <v>45.236333746580442</v>
      </c>
      <c r="L22" s="181">
        <v>47.726960448749203</v>
      </c>
      <c r="M22" s="181">
        <v>49.740973933107405</v>
      </c>
      <c r="N22" s="181">
        <v>51.753123556605665</v>
      </c>
      <c r="O22" s="181">
        <v>53.389137961161516</v>
      </c>
      <c r="P22" s="181">
        <v>55.705262377300279</v>
      </c>
      <c r="Q22" s="181">
        <v>57.982823812738431</v>
      </c>
      <c r="R22" s="181">
        <v>59.65918336716971</v>
      </c>
      <c r="S22" s="181">
        <v>61.32005830137701</v>
      </c>
      <c r="T22" s="181">
        <v>63.067740744743702</v>
      </c>
      <c r="U22" s="181">
        <v>64.726507962336115</v>
      </c>
      <c r="V22" s="181">
        <v>66.210158318848514</v>
      </c>
      <c r="W22" s="181">
        <v>67.404110465939326</v>
      </c>
      <c r="X22" s="181">
        <v>68.282816566622728</v>
      </c>
      <c r="Y22" s="181">
        <v>68.998555057428604</v>
      </c>
      <c r="DA22" s="190" t="s">
        <v>924</v>
      </c>
    </row>
    <row r="23" spans="1:105" ht="12" customHeight="1" x14ac:dyDescent="0.25">
      <c r="A23" s="131" t="s">
        <v>172</v>
      </c>
      <c r="B23" s="181">
        <v>218.13324103817703</v>
      </c>
      <c r="C23" s="181">
        <v>223.23079898053834</v>
      </c>
      <c r="D23" s="181">
        <v>230.52441964687983</v>
      </c>
      <c r="E23" s="181">
        <v>240.89802067786218</v>
      </c>
      <c r="F23" s="181">
        <v>259.37441284330373</v>
      </c>
      <c r="G23" s="181">
        <v>293.43472093338113</v>
      </c>
      <c r="H23" s="181">
        <v>338.7308148815373</v>
      </c>
      <c r="I23" s="181">
        <v>369.45213159744469</v>
      </c>
      <c r="J23" s="181">
        <v>391.19559725480144</v>
      </c>
      <c r="K23" s="181">
        <v>415.31148966520817</v>
      </c>
      <c r="L23" s="181">
        <v>433.55115385477012</v>
      </c>
      <c r="M23" s="181">
        <v>445.58119045680706</v>
      </c>
      <c r="N23" s="181">
        <v>455.89661044728115</v>
      </c>
      <c r="O23" s="181">
        <v>467.35377522411954</v>
      </c>
      <c r="P23" s="181">
        <v>481.79636854836434</v>
      </c>
      <c r="Q23" s="181">
        <v>502.22845308702261</v>
      </c>
      <c r="R23" s="181">
        <v>511.54817344106533</v>
      </c>
      <c r="S23" s="181">
        <v>519.91185750040154</v>
      </c>
      <c r="T23" s="181">
        <v>529.21311179695272</v>
      </c>
      <c r="U23" s="181">
        <v>538.22082376153253</v>
      </c>
      <c r="V23" s="181">
        <v>546.64127427877395</v>
      </c>
      <c r="W23" s="181">
        <v>554.13320619366777</v>
      </c>
      <c r="X23" s="181">
        <v>561.37979253897197</v>
      </c>
      <c r="Y23" s="181">
        <v>570.44210242377687</v>
      </c>
      <c r="DA23" s="190" t="s">
        <v>925</v>
      </c>
    </row>
    <row r="24" spans="1:105" ht="12" customHeight="1" x14ac:dyDescent="0.25">
      <c r="A24" s="60" t="s">
        <v>159</v>
      </c>
      <c r="B24" s="36">
        <v>25.700204123573894</v>
      </c>
      <c r="C24" s="36">
        <v>27.378013433955157</v>
      </c>
      <c r="D24" s="36">
        <v>30.245769281412962</v>
      </c>
      <c r="E24" s="36">
        <v>32.448394819000022</v>
      </c>
      <c r="F24" s="36">
        <v>35.282082322056667</v>
      </c>
      <c r="G24" s="36">
        <v>38.257456478728194</v>
      </c>
      <c r="H24" s="36">
        <v>41.158897592584431</v>
      </c>
      <c r="I24" s="36">
        <v>44.017467208375052</v>
      </c>
      <c r="J24" s="36">
        <v>46.256482257097829</v>
      </c>
      <c r="K24" s="36">
        <v>46.996775449591219</v>
      </c>
      <c r="L24" s="36">
        <v>48.921968102198356</v>
      </c>
      <c r="M24" s="36">
        <v>50.500881206903607</v>
      </c>
      <c r="N24" s="36">
        <v>51.716317694418542</v>
      </c>
      <c r="O24" s="36">
        <v>52.895640727137994</v>
      </c>
      <c r="P24" s="36">
        <v>54.237317281009844</v>
      </c>
      <c r="Q24" s="36">
        <v>55.159541599452901</v>
      </c>
      <c r="R24" s="36">
        <v>56.532253526544046</v>
      </c>
      <c r="S24" s="36">
        <v>57.871080871503459</v>
      </c>
      <c r="T24" s="36">
        <v>59.338534243733896</v>
      </c>
      <c r="U24" s="36">
        <v>60.810792609662521</v>
      </c>
      <c r="V24" s="36">
        <v>62.286128155220091</v>
      </c>
      <c r="W24" s="36">
        <v>63.770680948330217</v>
      </c>
      <c r="X24" s="36">
        <v>65.079721936254913</v>
      </c>
      <c r="Y24" s="36">
        <v>66.243998398513597</v>
      </c>
      <c r="DA24" s="89" t="s">
        <v>926</v>
      </c>
    </row>
    <row r="25" spans="1:105" ht="12" customHeight="1" x14ac:dyDescent="0.25">
      <c r="A25" s="62" t="s">
        <v>157</v>
      </c>
      <c r="B25" s="38">
        <v>1083.4190903652318</v>
      </c>
      <c r="C25" s="38">
        <v>1247.2976237728392</v>
      </c>
      <c r="D25" s="38">
        <v>1382.9647818305273</v>
      </c>
      <c r="E25" s="38">
        <v>1524.8336947743946</v>
      </c>
      <c r="F25" s="38">
        <v>1719.6219518768935</v>
      </c>
      <c r="G25" s="38">
        <v>1922.3948976209999</v>
      </c>
      <c r="H25" s="38">
        <v>2152.8087301799264</v>
      </c>
      <c r="I25" s="38">
        <v>2445.7464746642154</v>
      </c>
      <c r="J25" s="38">
        <v>2726.7848589007572</v>
      </c>
      <c r="K25" s="38">
        <v>2971.5911560558093</v>
      </c>
      <c r="L25" s="38">
        <v>3228.3419276112691</v>
      </c>
      <c r="M25" s="38">
        <v>3575.7517001656174</v>
      </c>
      <c r="N25" s="38">
        <v>3946.7625119535564</v>
      </c>
      <c r="O25" s="38">
        <v>4383.460046833512</v>
      </c>
      <c r="P25" s="38">
        <v>4910.4491090463562</v>
      </c>
      <c r="Q25" s="38">
        <v>5565.4141810560304</v>
      </c>
      <c r="R25" s="38">
        <v>5882.4546787438103</v>
      </c>
      <c r="S25" s="38">
        <v>6166.9313392922513</v>
      </c>
      <c r="T25" s="38">
        <v>6444.7316452026898</v>
      </c>
      <c r="U25" s="38">
        <v>6711.1316174796002</v>
      </c>
      <c r="V25" s="38">
        <v>6954.7806122155116</v>
      </c>
      <c r="W25" s="38">
        <v>7196.2322930018818</v>
      </c>
      <c r="X25" s="38">
        <v>7410.291733289474</v>
      </c>
      <c r="Y25" s="38">
        <v>7616.140849658671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8.6767802597489805</v>
      </c>
      <c r="D28" s="182">
        <v>11.746690086126819</v>
      </c>
      <c r="E28" s="182">
        <v>8.0662615019327859</v>
      </c>
      <c r="F28" s="182">
        <v>9.5776387362307389</v>
      </c>
      <c r="G28" s="182">
        <v>9.3572158101883787</v>
      </c>
      <c r="H28" s="182">
        <v>11.276072910451646</v>
      </c>
      <c r="I28" s="182">
        <v>11.52867663302581</v>
      </c>
      <c r="J28" s="182">
        <v>11.298474362097608</v>
      </c>
      <c r="K28" s="182">
        <v>7.332246721177313</v>
      </c>
      <c r="L28" s="182">
        <v>11.338899767759784</v>
      </c>
      <c r="M28" s="182">
        <v>11.036408161322385</v>
      </c>
      <c r="N28" s="182">
        <v>10.067258815158198</v>
      </c>
      <c r="O28" s="182">
        <v>10.738507214989994</v>
      </c>
      <c r="P28" s="182">
        <v>11.158744166880041</v>
      </c>
      <c r="Q28" s="182">
        <v>11.611566586892337</v>
      </c>
      <c r="R28" s="182">
        <v>9.2764665370027046</v>
      </c>
      <c r="S28" s="182">
        <v>9.3312059992674676</v>
      </c>
      <c r="T28" s="182">
        <v>9.8990127462446935</v>
      </c>
      <c r="U28" s="182">
        <v>11.465720435603714</v>
      </c>
      <c r="V28" s="182">
        <v>14.517332064244897</v>
      </c>
      <c r="W28" s="182">
        <v>10.814726982769685</v>
      </c>
      <c r="X28" s="182">
        <v>11.74355976156221</v>
      </c>
      <c r="Y28" s="182">
        <v>11.220917338700417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166.12109955737981</v>
      </c>
      <c r="D29" s="182">
        <v>184.35282716136737</v>
      </c>
      <c r="E29" s="182">
        <v>185.07955152131194</v>
      </c>
      <c r="F29" s="182">
        <v>196.84739794586017</v>
      </c>
      <c r="G29" s="182">
        <v>215.54934015683421</v>
      </c>
      <c r="H29" s="182">
        <v>223.87476344611423</v>
      </c>
      <c r="I29" s="182">
        <v>240.71621968333534</v>
      </c>
      <c r="J29" s="182">
        <v>220.79160229978606</v>
      </c>
      <c r="K29" s="182">
        <v>243.9344093618713</v>
      </c>
      <c r="L29" s="182">
        <v>234.5714369143916</v>
      </c>
      <c r="M29" s="182">
        <v>262.27627373403925</v>
      </c>
      <c r="N29" s="182">
        <v>278.46735048141272</v>
      </c>
      <c r="O29" s="182">
        <v>308.6402047022159</v>
      </c>
      <c r="P29" s="182">
        <v>335.39229547104742</v>
      </c>
      <c r="Q29" s="182">
        <v>317.00437307554262</v>
      </c>
      <c r="R29" s="182">
        <v>297.32536877250982</v>
      </c>
      <c r="S29" s="182">
        <v>284.35497505361832</v>
      </c>
      <c r="T29" s="182">
        <v>315.94554598258333</v>
      </c>
      <c r="U29" s="182">
        <v>331.08272373410091</v>
      </c>
      <c r="V29" s="182">
        <v>358.95011409649919</v>
      </c>
      <c r="W29" s="182">
        <v>382.06629555147128</v>
      </c>
      <c r="X29" s="182">
        <v>358.30382098734049</v>
      </c>
      <c r="Y29" s="182">
        <v>343.04577552874912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5.8459591117812622</v>
      </c>
      <c r="D30" s="182">
        <v>7.3776647813278693</v>
      </c>
      <c r="E30" s="182">
        <v>6.3977403631693619</v>
      </c>
      <c r="F30" s="182">
        <v>7.1132988162293209</v>
      </c>
      <c r="G30" s="182">
        <v>6.9703181122632216</v>
      </c>
      <c r="H30" s="182">
        <v>7.6266395606212001</v>
      </c>
      <c r="I30" s="182">
        <v>7.468915043539063</v>
      </c>
      <c r="J30" s="182">
        <v>8.9629177668978102</v>
      </c>
      <c r="K30" s="182">
        <v>7.0942444470298298</v>
      </c>
      <c r="L30" s="182">
        <v>9.6039255183980785</v>
      </c>
      <c r="M30" s="182">
        <v>8.9843315966214234</v>
      </c>
      <c r="N30" s="182">
        <v>9.6387891841194602</v>
      </c>
      <c r="O30" s="182">
        <v>9.1049294480949143</v>
      </c>
      <c r="P30" s="182">
        <v>11.279042183036573</v>
      </c>
      <c r="Q30" s="182">
        <v>9.3718058824679815</v>
      </c>
      <c r="R30" s="182">
        <v>11.280285072829358</v>
      </c>
      <c r="S30" s="182">
        <v>10.645206530828723</v>
      </c>
      <c r="T30" s="182">
        <v>11.386471627486152</v>
      </c>
      <c r="U30" s="182">
        <v>10.763696665687327</v>
      </c>
      <c r="V30" s="182">
        <v>12.762692539548972</v>
      </c>
      <c r="W30" s="182">
        <v>10.565758029558793</v>
      </c>
      <c r="X30" s="182">
        <v>12.15899117351276</v>
      </c>
      <c r="Y30" s="182">
        <v>11.360945021634599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24.922183620278247</v>
      </c>
      <c r="D31" s="182">
        <v>27.535835930934837</v>
      </c>
      <c r="E31" s="182">
        <v>31.042202066640812</v>
      </c>
      <c r="F31" s="182">
        <v>39.580360441010811</v>
      </c>
      <c r="G31" s="182">
        <v>55.608814261726252</v>
      </c>
      <c r="H31" s="182">
        <v>67.298501844453256</v>
      </c>
      <c r="I31" s="182">
        <v>53.187187406840508</v>
      </c>
      <c r="J31" s="182">
        <v>44.682561609062475</v>
      </c>
      <c r="K31" s="182">
        <v>47.538181727416315</v>
      </c>
      <c r="L31" s="182">
        <v>42.155324946406608</v>
      </c>
      <c r="M31" s="182">
        <v>36.952220222315191</v>
      </c>
      <c r="N31" s="182">
        <v>37.851255921408949</v>
      </c>
      <c r="O31" s="182">
        <v>42.499366843479208</v>
      </c>
      <c r="P31" s="182">
        <v>54.022953765255636</v>
      </c>
      <c r="Q31" s="182">
        <v>76.040898800384525</v>
      </c>
      <c r="R31" s="182">
        <v>76.618222198495971</v>
      </c>
      <c r="S31" s="182">
        <v>61.550871466176716</v>
      </c>
      <c r="T31" s="182">
        <v>53.983815905613653</v>
      </c>
      <c r="U31" s="182">
        <v>56.545893691996127</v>
      </c>
      <c r="V31" s="182">
        <v>50.575775463648029</v>
      </c>
      <c r="W31" s="182">
        <v>44.444152137209016</v>
      </c>
      <c r="X31" s="182">
        <v>45.097842266713087</v>
      </c>
      <c r="Y31" s="182">
        <v>51.561676728284169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2.4098142061283916</v>
      </c>
      <c r="D32" s="41">
        <v>3.6821343346332114</v>
      </c>
      <c r="E32" s="41">
        <v>3.1086472380255401</v>
      </c>
      <c r="F32" s="41">
        <v>3.8416651628209166</v>
      </c>
      <c r="G32" s="41">
        <v>4.0967810303613561</v>
      </c>
      <c r="H32" s="41">
        <v>4.149041558347129</v>
      </c>
      <c r="I32" s="41">
        <v>4.2465643798787056</v>
      </c>
      <c r="J32" s="41">
        <v>3.783202912427889</v>
      </c>
      <c r="K32" s="41">
        <v>2.4582507958715141</v>
      </c>
      <c r="L32" s="41">
        <v>3.8364745609645894</v>
      </c>
      <c r="M32" s="41">
        <v>3.7052743874466714</v>
      </c>
      <c r="N32" s="41">
        <v>3.5810803441176731</v>
      </c>
      <c r="O32" s="41">
        <v>3.8111762844242776</v>
      </c>
      <c r="P32" s="41">
        <v>4.269696136860361</v>
      </c>
      <c r="Q32" s="41">
        <v>4.1797382671446854</v>
      </c>
      <c r="R32" s="41">
        <v>3.782526133219541</v>
      </c>
      <c r="S32" s="41">
        <v>5.0209616795926237</v>
      </c>
      <c r="T32" s="41">
        <v>4.5761006102559776</v>
      </c>
      <c r="U32" s="41">
        <v>5.313923528749541</v>
      </c>
      <c r="V32" s="41">
        <v>5.5721165759189262</v>
      </c>
      <c r="W32" s="41">
        <v>5.6335943514572548</v>
      </c>
      <c r="X32" s="41">
        <v>5.5556053678034019</v>
      </c>
      <c r="Y32" s="41">
        <v>4.9474793746865728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380.56235148065377</v>
      </c>
      <c r="D33" s="42">
        <v>352.35097613073435</v>
      </c>
      <c r="E33" s="42">
        <v>358.55273101691364</v>
      </c>
      <c r="F33" s="42">
        <v>411.47207517554534</v>
      </c>
      <c r="G33" s="42">
        <v>419.45676381715293</v>
      </c>
      <c r="H33" s="42">
        <v>610.9761840395804</v>
      </c>
      <c r="I33" s="42">
        <v>645.28872061502329</v>
      </c>
      <c r="J33" s="42">
        <v>639.59111525345543</v>
      </c>
      <c r="K33" s="42">
        <v>656.27837233059745</v>
      </c>
      <c r="L33" s="42">
        <v>676.20753537261271</v>
      </c>
      <c r="M33" s="42">
        <v>958.38595659392877</v>
      </c>
      <c r="N33" s="42">
        <v>1016.2995324029621</v>
      </c>
      <c r="O33" s="42">
        <v>1076.288650133411</v>
      </c>
      <c r="P33" s="42">
        <v>1183.2674345434416</v>
      </c>
      <c r="Q33" s="42">
        <v>1331.1726073822865</v>
      </c>
      <c r="R33" s="42">
        <v>1275.4264542817091</v>
      </c>
      <c r="S33" s="42">
        <v>1300.7761929514027</v>
      </c>
      <c r="T33" s="42">
        <v>1354.08895604385</v>
      </c>
      <c r="U33" s="42">
        <v>1449.667406820352</v>
      </c>
      <c r="V33" s="42">
        <v>1574.8216021181979</v>
      </c>
      <c r="W33" s="42">
        <v>1516.8781350680792</v>
      </c>
      <c r="X33" s="42">
        <v>1514.8356332389949</v>
      </c>
      <c r="Y33" s="42">
        <v>1559.9380724130469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4.4156145323693607</v>
      </c>
      <c r="D36" s="182">
        <v>4.5405128136078332</v>
      </c>
      <c r="E36" s="182">
        <v>4.6689439169579146</v>
      </c>
      <c r="F36" s="182">
        <v>4.8010077703925873</v>
      </c>
      <c r="G36" s="182">
        <v>4.9368071284069401</v>
      </c>
      <c r="H36" s="182">
        <v>5.0764476519679818</v>
      </c>
      <c r="I36" s="182">
        <v>5.2200379907260128</v>
      </c>
      <c r="J36" s="182">
        <v>5.3676898675512632</v>
      </c>
      <c r="K36" s="182">
        <v>5.5195181654617045</v>
      </c>
      <c r="L36" s="182">
        <v>5.6756410170097809</v>
      </c>
      <c r="M36" s="182">
        <v>5.8361798961973932</v>
      </c>
      <c r="N36" s="182">
        <v>6.0012597129907306</v>
      </c>
      <c r="O36" s="182">
        <v>6.1710089105086467</v>
      </c>
      <c r="P36" s="182">
        <v>6.3455595649599559</v>
      </c>
      <c r="Q36" s="182">
        <v>6.5250474884074947</v>
      </c>
      <c r="R36" s="182">
        <v>6.7096123344390719</v>
      </c>
      <c r="S36" s="182">
        <v>6.8993977068271306</v>
      </c>
      <c r="T36" s="182">
        <v>7.094551271262219</v>
      </c>
      <c r="U36" s="182">
        <v>8.6767802597489663</v>
      </c>
      <c r="V36" s="182">
        <v>11.746690086126819</v>
      </c>
      <c r="W36" s="182">
        <v>8.0662615019327859</v>
      </c>
      <c r="X36" s="182">
        <v>9.5776387362307389</v>
      </c>
      <c r="Y36" s="182">
        <v>9.3572158101883645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142.21964582248529</v>
      </c>
      <c r="D37" s="182">
        <v>148.34147362539829</v>
      </c>
      <c r="E37" s="182">
        <v>154.72681478071627</v>
      </c>
      <c r="F37" s="182">
        <v>161.38701218946971</v>
      </c>
      <c r="G37" s="182">
        <v>168.3338970065206</v>
      </c>
      <c r="H37" s="182">
        <v>175.57980965738921</v>
      </c>
      <c r="I37" s="182">
        <v>183.13762175975103</v>
      </c>
      <c r="J37" s="182">
        <v>166.12109955737969</v>
      </c>
      <c r="K37" s="182">
        <v>184.35282716136726</v>
      </c>
      <c r="L37" s="182">
        <v>185.07955152131194</v>
      </c>
      <c r="M37" s="182">
        <v>196.84739794586017</v>
      </c>
      <c r="N37" s="182">
        <v>215.54934015683421</v>
      </c>
      <c r="O37" s="182">
        <v>223.87476344611423</v>
      </c>
      <c r="P37" s="182">
        <v>240.71621968333557</v>
      </c>
      <c r="Q37" s="182">
        <v>220.79160229978629</v>
      </c>
      <c r="R37" s="182">
        <v>243.9344093618713</v>
      </c>
      <c r="S37" s="182">
        <v>234.5714369143916</v>
      </c>
      <c r="T37" s="182">
        <v>262.27627373403902</v>
      </c>
      <c r="U37" s="182">
        <v>278.46735048141272</v>
      </c>
      <c r="V37" s="182">
        <v>308.64020470221612</v>
      </c>
      <c r="W37" s="182">
        <v>335.39229547104742</v>
      </c>
      <c r="X37" s="182">
        <v>317.00437307554284</v>
      </c>
      <c r="Y37" s="182">
        <v>297.32536877251005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5.1721648482352762</v>
      </c>
      <c r="D38" s="182">
        <v>5.3065291677051931</v>
      </c>
      <c r="E38" s="182">
        <v>5.4443840507739765</v>
      </c>
      <c r="F38" s="182">
        <v>5.5858201765317759</v>
      </c>
      <c r="G38" s="182">
        <v>5.7309305797620809</v>
      </c>
      <c r="H38" s="182">
        <v>5.8798107121387204</v>
      </c>
      <c r="I38" s="182">
        <v>5.8459591117812622</v>
      </c>
      <c r="J38" s="182">
        <v>7.3776647813278728</v>
      </c>
      <c r="K38" s="182">
        <v>6.3977403631693619</v>
      </c>
      <c r="L38" s="182">
        <v>7.1132988162293174</v>
      </c>
      <c r="M38" s="182">
        <v>6.9703181122632216</v>
      </c>
      <c r="N38" s="182">
        <v>7.6266395606212001</v>
      </c>
      <c r="O38" s="182">
        <v>7.468915043539063</v>
      </c>
      <c r="P38" s="182">
        <v>8.9629177668978102</v>
      </c>
      <c r="Q38" s="182">
        <v>7.0942444470298227</v>
      </c>
      <c r="R38" s="182">
        <v>9.6039255183980785</v>
      </c>
      <c r="S38" s="182">
        <v>8.9843315966214234</v>
      </c>
      <c r="T38" s="182">
        <v>9.6387891841194602</v>
      </c>
      <c r="U38" s="182">
        <v>9.1049294480949072</v>
      </c>
      <c r="V38" s="182">
        <v>11.279042183036566</v>
      </c>
      <c r="W38" s="182">
        <v>9.3718058824679815</v>
      </c>
      <c r="X38" s="182">
        <v>11.280285072829358</v>
      </c>
      <c r="Y38" s="182">
        <v>10.645206530828716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19.824625677916941</v>
      </c>
      <c r="D39" s="182">
        <v>20.242215264593341</v>
      </c>
      <c r="E39" s="182">
        <v>20.668601035658469</v>
      </c>
      <c r="F39" s="182">
        <v>21.103968275569287</v>
      </c>
      <c r="G39" s="182">
        <v>21.548506171648853</v>
      </c>
      <c r="H39" s="182">
        <v>22.002407896297086</v>
      </c>
      <c r="I39" s="182">
        <v>22.465870690933116</v>
      </c>
      <c r="J39" s="182">
        <v>22.939095951705724</v>
      </c>
      <c r="K39" s="182">
        <v>23.422289317009586</v>
      </c>
      <c r="L39" s="182">
        <v>23.915660756844659</v>
      </c>
      <c r="M39" s="182">
        <v>24.922183620278247</v>
      </c>
      <c r="N39" s="182">
        <v>27.535835930934866</v>
      </c>
      <c r="O39" s="182">
        <v>31.042202066640812</v>
      </c>
      <c r="P39" s="182">
        <v>39.580360441010782</v>
      </c>
      <c r="Q39" s="182">
        <v>55.608814261726195</v>
      </c>
      <c r="R39" s="182">
        <v>67.298501844453256</v>
      </c>
      <c r="S39" s="182">
        <v>53.187187406840508</v>
      </c>
      <c r="T39" s="182">
        <v>44.682561609062532</v>
      </c>
      <c r="U39" s="182">
        <v>47.538181727416259</v>
      </c>
      <c r="V39" s="182">
        <v>42.155324946406608</v>
      </c>
      <c r="W39" s="182">
        <v>36.952220222315191</v>
      </c>
      <c r="X39" s="182">
        <v>37.851255921408892</v>
      </c>
      <c r="Y39" s="182">
        <v>42.499366843479265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0.7320048957471279</v>
      </c>
      <c r="D40" s="41">
        <v>0.81437848717540717</v>
      </c>
      <c r="E40" s="41">
        <v>0.90602170043847963</v>
      </c>
      <c r="F40" s="41">
        <v>1.007977659764272</v>
      </c>
      <c r="G40" s="41">
        <v>1.1214068736898284</v>
      </c>
      <c r="H40" s="41">
        <v>1.2476004444908924</v>
      </c>
      <c r="I40" s="41">
        <v>1.3879947640880843</v>
      </c>
      <c r="J40" s="41">
        <v>1.5441878637051119</v>
      </c>
      <c r="K40" s="41">
        <v>1.7179576033781245</v>
      </c>
      <c r="L40" s="41">
        <v>1.9112819083574522</v>
      </c>
      <c r="M40" s="41">
        <v>2.1263612827414207</v>
      </c>
      <c r="N40" s="41">
        <v>2.3656438566027376</v>
      </c>
      <c r="O40" s="41">
        <v>2.6318532517048254</v>
      </c>
      <c r="P40" s="41">
        <v>2.9280195829885116</v>
      </c>
      <c r="Q40" s="41">
        <v>3.2575139487016287</v>
      </c>
      <c r="R40" s="41">
        <v>2.4098142061283951</v>
      </c>
      <c r="S40" s="41">
        <v>3.6821343346332114</v>
      </c>
      <c r="T40" s="41">
        <v>3.1086472380255401</v>
      </c>
      <c r="U40" s="41">
        <v>3.8416651628209237</v>
      </c>
      <c r="V40" s="41">
        <v>4.096781030361349</v>
      </c>
      <c r="W40" s="41">
        <v>4.149041558347129</v>
      </c>
      <c r="X40" s="41">
        <v>4.2465643798787056</v>
      </c>
      <c r="Y40" s="41">
        <v>3.7832029124278819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216.68381807304627</v>
      </c>
      <c r="D41" s="42">
        <v>216.68381807304627</v>
      </c>
      <c r="E41" s="42">
        <v>216.68381807304627</v>
      </c>
      <c r="F41" s="42">
        <v>216.6838180730465</v>
      </c>
      <c r="G41" s="42">
        <v>216.6838180730465</v>
      </c>
      <c r="H41" s="42">
        <v>380.56235148065389</v>
      </c>
      <c r="I41" s="42">
        <v>352.35097613073413</v>
      </c>
      <c r="J41" s="42">
        <v>358.55273101691364</v>
      </c>
      <c r="K41" s="42">
        <v>411.47207517554534</v>
      </c>
      <c r="L41" s="42">
        <v>419.45676381715293</v>
      </c>
      <c r="M41" s="42">
        <v>610.97618403958086</v>
      </c>
      <c r="N41" s="42">
        <v>645.28872061502307</v>
      </c>
      <c r="O41" s="42">
        <v>639.59111525345543</v>
      </c>
      <c r="P41" s="42">
        <v>656.27837233059745</v>
      </c>
      <c r="Q41" s="42">
        <v>676.20753537261226</v>
      </c>
      <c r="R41" s="42">
        <v>958.38595659392922</v>
      </c>
      <c r="S41" s="42">
        <v>1016.2995324029616</v>
      </c>
      <c r="T41" s="42">
        <v>1076.2886501334115</v>
      </c>
      <c r="U41" s="42">
        <v>1183.2674345434416</v>
      </c>
      <c r="V41" s="42">
        <v>1331.1726073822874</v>
      </c>
      <c r="W41" s="42">
        <v>1275.4264542817091</v>
      </c>
      <c r="X41" s="42">
        <v>1300.7761929514036</v>
      </c>
      <c r="Y41" s="42">
        <v>1354.0889560438509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8760</v>
      </c>
      <c r="C44" s="184">
        <v>8759.9999999999964</v>
      </c>
      <c r="D44" s="184">
        <v>8759.9999999999982</v>
      </c>
      <c r="E44" s="184">
        <v>8759.9999999999982</v>
      </c>
      <c r="F44" s="184">
        <v>8759.9999999999964</v>
      </c>
      <c r="G44" s="184">
        <v>8759.9999999999982</v>
      </c>
      <c r="H44" s="184">
        <v>8759.9999999999982</v>
      </c>
      <c r="I44" s="184">
        <v>8760</v>
      </c>
      <c r="J44" s="184">
        <v>8760.0000000000055</v>
      </c>
      <c r="K44" s="184">
        <v>8759.9999999999982</v>
      </c>
      <c r="L44" s="184">
        <v>8760</v>
      </c>
      <c r="M44" s="184">
        <v>8760.0000000000018</v>
      </c>
      <c r="N44" s="184">
        <v>8759.9999999999964</v>
      </c>
      <c r="O44" s="184">
        <v>8759.9999999999982</v>
      </c>
      <c r="P44" s="184">
        <v>8759.9999999999945</v>
      </c>
      <c r="Q44" s="184">
        <v>8759.9999999999982</v>
      </c>
      <c r="R44" s="184">
        <v>8760</v>
      </c>
      <c r="S44" s="184">
        <v>8759.9999999999982</v>
      </c>
      <c r="T44" s="184">
        <v>8760</v>
      </c>
      <c r="U44" s="184">
        <v>8760</v>
      </c>
      <c r="V44" s="184">
        <v>8760</v>
      </c>
      <c r="W44" s="184">
        <v>8759.9999999999982</v>
      </c>
      <c r="X44" s="184">
        <v>8759.9999999999982</v>
      </c>
      <c r="Y44" s="184">
        <v>8759.9999999999982</v>
      </c>
      <c r="DA44" s="193" t="s">
        <v>940</v>
      </c>
    </row>
    <row r="45" spans="1:105" ht="12" customHeight="1" x14ac:dyDescent="0.25">
      <c r="A45" s="131" t="s">
        <v>6</v>
      </c>
      <c r="B45" s="184">
        <v>4137.3700455926364</v>
      </c>
      <c r="C45" s="184">
        <v>4121.9570559666763</v>
      </c>
      <c r="D45" s="184">
        <v>4110.2284597332946</v>
      </c>
      <c r="E45" s="184">
        <v>4095.0680171365057</v>
      </c>
      <c r="F45" s="184">
        <v>4091.9385241654963</v>
      </c>
      <c r="G45" s="184">
        <v>4082.8224551609646</v>
      </c>
      <c r="H45" s="184">
        <v>4080.0603395967778</v>
      </c>
      <c r="I45" s="184">
        <v>4075.8847194555842</v>
      </c>
      <c r="J45" s="184">
        <v>4071.1248587287159</v>
      </c>
      <c r="K45" s="184">
        <v>4059.1298353948278</v>
      </c>
      <c r="L45" s="184">
        <v>4042.4826098726076</v>
      </c>
      <c r="M45" s="184">
        <v>4017.1610971548807</v>
      </c>
      <c r="N45" s="184">
        <v>3988.0205527884809</v>
      </c>
      <c r="O45" s="184">
        <v>3949.3906677331852</v>
      </c>
      <c r="P45" s="184">
        <v>3898.7304347712443</v>
      </c>
      <c r="Q45" s="184">
        <v>3848.9721180619081</v>
      </c>
      <c r="R45" s="184">
        <v>3865.7817749065466</v>
      </c>
      <c r="S45" s="184">
        <v>3911.7658999616938</v>
      </c>
      <c r="T45" s="184">
        <v>3877.8195767366155</v>
      </c>
      <c r="U45" s="184">
        <v>3839.6406622342301</v>
      </c>
      <c r="V45" s="184">
        <v>3811.7299392630612</v>
      </c>
      <c r="W45" s="184">
        <v>3811.0330619679335</v>
      </c>
      <c r="X45" s="184">
        <v>3789.9297557711402</v>
      </c>
      <c r="Y45" s="184">
        <v>3768.826449574347</v>
      </c>
      <c r="DA45" s="193" t="s">
        <v>941</v>
      </c>
    </row>
    <row r="46" spans="1:105" ht="12" customHeight="1" x14ac:dyDescent="0.25">
      <c r="A46" s="131" t="s">
        <v>5</v>
      </c>
      <c r="B46" s="184">
        <v>2441.7185525541759</v>
      </c>
      <c r="C46" s="184">
        <v>2456.6318904583554</v>
      </c>
      <c r="D46" s="184">
        <v>2471.4119927440665</v>
      </c>
      <c r="E46" s="184">
        <v>2483.6243878903315</v>
      </c>
      <c r="F46" s="184">
        <v>2500.6051812128871</v>
      </c>
      <c r="G46" s="184">
        <v>2514.5977647092263</v>
      </c>
      <c r="H46" s="184">
        <v>2528.7451549833595</v>
      </c>
      <c r="I46" s="184">
        <v>2544.9310299059935</v>
      </c>
      <c r="J46" s="184">
        <v>2555.381643305438</v>
      </c>
      <c r="K46" s="184">
        <v>2561.3743429136543</v>
      </c>
      <c r="L46" s="184">
        <v>2569.3020399345769</v>
      </c>
      <c r="M46" s="184">
        <v>2580.4737061782603</v>
      </c>
      <c r="N46" s="184">
        <v>2586.1573469057221</v>
      </c>
      <c r="O46" s="184">
        <v>2589.0280995376729</v>
      </c>
      <c r="P46" s="184">
        <v>2600.3320572337748</v>
      </c>
      <c r="Q46" s="184">
        <v>2607.1619601262892</v>
      </c>
      <c r="R46" s="184">
        <v>2623.5344034366099</v>
      </c>
      <c r="S46" s="184">
        <v>2703.7173723226083</v>
      </c>
      <c r="T46" s="184">
        <v>2658.3210605381228</v>
      </c>
      <c r="U46" s="184">
        <v>2615.6802770552581</v>
      </c>
      <c r="V46" s="184">
        <v>2475.6950848570732</v>
      </c>
      <c r="W46" s="184">
        <v>2474.7720521825054</v>
      </c>
      <c r="X46" s="184">
        <v>2533.2265514741403</v>
      </c>
      <c r="Y46" s="184">
        <v>2562.4538011199575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8759.9999999999982</v>
      </c>
      <c r="C47" s="184">
        <v>8760</v>
      </c>
      <c r="D47" s="184">
        <v>8759.9999999999982</v>
      </c>
      <c r="E47" s="184">
        <v>8760</v>
      </c>
      <c r="F47" s="184">
        <v>8759.9999999999964</v>
      </c>
      <c r="G47" s="184">
        <v>8760.0000000000018</v>
      </c>
      <c r="H47" s="184">
        <v>8759.9999999999982</v>
      </c>
      <c r="I47" s="184">
        <v>8759.9999999999964</v>
      </c>
      <c r="J47" s="184">
        <v>8759.9999999999982</v>
      </c>
      <c r="K47" s="184">
        <v>8759.9999999999982</v>
      </c>
      <c r="L47" s="184">
        <v>8760.0000000000018</v>
      </c>
      <c r="M47" s="184">
        <v>8760</v>
      </c>
      <c r="N47" s="184">
        <v>8760</v>
      </c>
      <c r="O47" s="184">
        <v>8760.0000000000036</v>
      </c>
      <c r="P47" s="184">
        <v>8759.9999999999964</v>
      </c>
      <c r="Q47" s="184">
        <v>8760</v>
      </c>
      <c r="R47" s="184">
        <v>8760</v>
      </c>
      <c r="S47" s="184">
        <v>8760</v>
      </c>
      <c r="T47" s="184">
        <v>8760</v>
      </c>
      <c r="U47" s="184">
        <v>8760</v>
      </c>
      <c r="V47" s="184">
        <v>8760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859.10496170640135</v>
      </c>
      <c r="C48" s="44">
        <v>863.20880480900655</v>
      </c>
      <c r="D48" s="44">
        <v>866.97243517600009</v>
      </c>
      <c r="E48" s="44">
        <v>870.44912869402197</v>
      </c>
      <c r="F48" s="44">
        <v>873.68047269513875</v>
      </c>
      <c r="G48" s="44">
        <v>876.69956332315587</v>
      </c>
      <c r="H48" s="44">
        <v>879.5331774608652</v>
      </c>
      <c r="I48" s="44">
        <v>882.20329059427013</v>
      </c>
      <c r="J48" s="44">
        <v>884.72816385824456</v>
      </c>
      <c r="K48" s="44">
        <v>887.12313931133474</v>
      </c>
      <c r="L48" s="44">
        <v>889.40123275272754</v>
      </c>
      <c r="M48" s="44">
        <v>890.84887735255643</v>
      </c>
      <c r="N48" s="44">
        <v>892.23135908348809</v>
      </c>
      <c r="O48" s="44">
        <v>893.55438090336736</v>
      </c>
      <c r="P48" s="44">
        <v>894.82292483340461</v>
      </c>
      <c r="Q48" s="44">
        <v>896.04136885178889</v>
      </c>
      <c r="R48" s="44">
        <v>902.54993973640887</v>
      </c>
      <c r="S48" s="44">
        <v>918.10263211315657</v>
      </c>
      <c r="T48" s="44">
        <v>915.11551142696283</v>
      </c>
      <c r="U48" s="44">
        <v>908.13591925128605</v>
      </c>
      <c r="V48" s="44">
        <v>859.53457362291863</v>
      </c>
      <c r="W48" s="44">
        <v>859.21410665538804</v>
      </c>
      <c r="X48" s="44">
        <v>877.10802150829977</v>
      </c>
      <c r="Y48" s="44">
        <v>886.05497893475558</v>
      </c>
      <c r="DA48" s="95" t="s">
        <v>944</v>
      </c>
    </row>
    <row r="49" spans="1:105" ht="12" customHeight="1" x14ac:dyDescent="0.25">
      <c r="A49" s="62" t="s">
        <v>3</v>
      </c>
      <c r="B49" s="185">
        <v>2530.1313345248141</v>
      </c>
      <c r="C49" s="185">
        <v>2614.5832694231699</v>
      </c>
      <c r="D49" s="185">
        <v>2719.7961166915975</v>
      </c>
      <c r="E49" s="185">
        <v>2812.7390704710688</v>
      </c>
      <c r="F49" s="185">
        <v>2870.3072571637199</v>
      </c>
      <c r="G49" s="185">
        <v>2916.9959316347868</v>
      </c>
      <c r="H49" s="185">
        <v>2947.4377135094001</v>
      </c>
      <c r="I49" s="185">
        <v>2941.9936742718401</v>
      </c>
      <c r="J49" s="185">
        <v>2943.7452534433737</v>
      </c>
      <c r="K49" s="185">
        <v>2973.2170968171226</v>
      </c>
      <c r="L49" s="185">
        <v>3012.1677567051051</v>
      </c>
      <c r="M49" s="185">
        <v>3078.7403032470147</v>
      </c>
      <c r="N49" s="185">
        <v>3095.6478526930709</v>
      </c>
      <c r="O49" s="185">
        <v>3104.875831917213</v>
      </c>
      <c r="P49" s="185">
        <v>3098.3009230354828</v>
      </c>
      <c r="Q49" s="185">
        <v>3074.5353114718814</v>
      </c>
      <c r="R49" s="185">
        <v>3118.9424344452109</v>
      </c>
      <c r="S49" s="185">
        <v>3172.6693469290522</v>
      </c>
      <c r="T49" s="185">
        <v>3184.6682548990843</v>
      </c>
      <c r="U49" s="185">
        <v>3194.7993847840926</v>
      </c>
      <c r="V49" s="185">
        <v>3157.131429639905</v>
      </c>
      <c r="W49" s="185">
        <v>3167.1751476600475</v>
      </c>
      <c r="X49" s="185">
        <v>3201.0599921529329</v>
      </c>
      <c r="Y49" s="185">
        <v>3218.6158558184566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0.64762967465426513</v>
      </c>
      <c r="C52" s="180">
        <v>0.6418978237967381</v>
      </c>
      <c r="D52" s="180">
        <v>0.63432784593245839</v>
      </c>
      <c r="E52" s="180">
        <v>0.62895723975074214</v>
      </c>
      <c r="F52" s="180">
        <v>0.62268687895559038</v>
      </c>
      <c r="G52" s="180">
        <v>0.61648742003642076</v>
      </c>
      <c r="H52" s="180">
        <v>0.60923430521502209</v>
      </c>
      <c r="I52" s="180">
        <v>0.60199591888076975</v>
      </c>
      <c r="J52" s="180">
        <v>0.59491703233659177</v>
      </c>
      <c r="K52" s="180">
        <v>0.58948718854226778</v>
      </c>
      <c r="L52" s="180">
        <v>0.5820038691069247</v>
      </c>
      <c r="M52" s="180">
        <v>0.57454562016354727</v>
      </c>
      <c r="N52" s="180">
        <v>0.56719122915172249</v>
      </c>
      <c r="O52" s="180">
        <v>0.55924634386229222</v>
      </c>
      <c r="P52" s="180">
        <v>0.5508046042326884</v>
      </c>
      <c r="Q52" s="180">
        <v>0.54191948067804463</v>
      </c>
      <c r="R52" s="180">
        <v>0.53406811424718581</v>
      </c>
      <c r="S52" s="180">
        <v>0.52604737165791104</v>
      </c>
      <c r="T52" s="180">
        <v>0.51769236947678432</v>
      </c>
      <c r="U52" s="180">
        <v>0.51100115406211688</v>
      </c>
      <c r="V52" s="180">
        <v>0.50260290570447119</v>
      </c>
      <c r="W52" s="180">
        <v>0.49690396498493994</v>
      </c>
      <c r="X52" s="180">
        <v>0.4906976276371548</v>
      </c>
      <c r="Y52" s="180">
        <v>0.48496679518904107</v>
      </c>
      <c r="DA52" s="189" t="s">
        <v>946</v>
      </c>
    </row>
    <row r="53" spans="1:105" ht="12" customHeight="1" x14ac:dyDescent="0.25">
      <c r="A53" s="131" t="s">
        <v>100</v>
      </c>
      <c r="B53" s="180">
        <v>179.67451238890882</v>
      </c>
      <c r="C53" s="180">
        <v>177.99444562992156</v>
      </c>
      <c r="D53" s="180">
        <v>175.97821201718369</v>
      </c>
      <c r="E53" s="180">
        <v>173.82547674136109</v>
      </c>
      <c r="F53" s="180">
        <v>171.22988518307096</v>
      </c>
      <c r="G53" s="180">
        <v>168.20860845513062</v>
      </c>
      <c r="H53" s="180">
        <v>164.60137429113598</v>
      </c>
      <c r="I53" s="180">
        <v>160.50530811942974</v>
      </c>
      <c r="J53" s="180">
        <v>157.85798736142357</v>
      </c>
      <c r="K53" s="180">
        <v>154.91060145558566</v>
      </c>
      <c r="L53" s="180">
        <v>151.86525785851506</v>
      </c>
      <c r="M53" s="180">
        <v>148.38966637691942</v>
      </c>
      <c r="N53" s="180">
        <v>144.33261529274475</v>
      </c>
      <c r="O53" s="180">
        <v>139.8840466436186</v>
      </c>
      <c r="P53" s="180">
        <v>134.61110349432488</v>
      </c>
      <c r="Q53" s="180">
        <v>129.37948188184103</v>
      </c>
      <c r="R53" s="180">
        <v>124.01705216838035</v>
      </c>
      <c r="S53" s="180">
        <v>118.8745921141401</v>
      </c>
      <c r="T53" s="180">
        <v>113.27497148625743</v>
      </c>
      <c r="U53" s="180">
        <v>107.64228731602061</v>
      </c>
      <c r="V53" s="180">
        <v>101.75676068727934</v>
      </c>
      <c r="W53" s="180">
        <v>96.434462575251601</v>
      </c>
      <c r="X53" s="180">
        <v>92.28007939220214</v>
      </c>
      <c r="Y53" s="180">
        <v>88.873104502088452</v>
      </c>
      <c r="DA53" s="189" t="s">
        <v>947</v>
      </c>
    </row>
    <row r="54" spans="1:105" ht="12" customHeight="1" x14ac:dyDescent="0.25">
      <c r="A54" s="131" t="s">
        <v>140</v>
      </c>
      <c r="B54" s="180">
        <v>40.824303509043794</v>
      </c>
      <c r="C54" s="180">
        <v>40.336976470999339</v>
      </c>
      <c r="D54" s="180">
        <v>39.475865575439357</v>
      </c>
      <c r="E54" s="180">
        <v>38.569232560152159</v>
      </c>
      <c r="F54" s="180">
        <v>37.570113688086003</v>
      </c>
      <c r="G54" s="180">
        <v>36.546694702334356</v>
      </c>
      <c r="H54" s="180">
        <v>35.39793978774857</v>
      </c>
      <c r="I54" s="180">
        <v>34.587139477239042</v>
      </c>
      <c r="J54" s="180">
        <v>33.732948694544618</v>
      </c>
      <c r="K54" s="180">
        <v>33.008121804679369</v>
      </c>
      <c r="L54" s="180">
        <v>31.993662107448273</v>
      </c>
      <c r="M54" s="180">
        <v>30.989556688243471</v>
      </c>
      <c r="N54" s="180">
        <v>29.856626955763986</v>
      </c>
      <c r="O54" s="180">
        <v>28.759549351601258</v>
      </c>
      <c r="P54" s="180">
        <v>27.386439407458127</v>
      </c>
      <c r="Q54" s="180">
        <v>26.291533927525983</v>
      </c>
      <c r="R54" s="180">
        <v>24.776167902845344</v>
      </c>
      <c r="S54" s="180">
        <v>23.401641280048459</v>
      </c>
      <c r="T54" s="180">
        <v>21.886877364296435</v>
      </c>
      <c r="U54" s="180">
        <v>20.454563750805406</v>
      </c>
      <c r="V54" s="180">
        <v>18.794572231318224</v>
      </c>
      <c r="W54" s="180">
        <v>17.549820243306723</v>
      </c>
      <c r="X54" s="180">
        <v>16.335480772975274</v>
      </c>
      <c r="Y54" s="180">
        <v>15.259025294840233</v>
      </c>
      <c r="DA54" s="189" t="s">
        <v>948</v>
      </c>
    </row>
    <row r="55" spans="1:105" ht="12" customHeight="1" x14ac:dyDescent="0.25">
      <c r="A55" s="131" t="s">
        <v>173</v>
      </c>
      <c r="B55" s="180">
        <v>634.53478511594017</v>
      </c>
      <c r="C55" s="180">
        <v>628.37775548911702</v>
      </c>
      <c r="D55" s="180">
        <v>620.27710436679376</v>
      </c>
      <c r="E55" s="180">
        <v>611.03720766009758</v>
      </c>
      <c r="F55" s="180">
        <v>599.86045525053066</v>
      </c>
      <c r="G55" s="180">
        <v>586.28834448321584</v>
      </c>
      <c r="H55" s="180">
        <v>572.92173948680579</v>
      </c>
      <c r="I55" s="180">
        <v>562.3374509953627</v>
      </c>
      <c r="J55" s="180">
        <v>552.70837063091653</v>
      </c>
      <c r="K55" s="180">
        <v>542.59092553831624</v>
      </c>
      <c r="L55" s="180">
        <v>532.64379774764325</v>
      </c>
      <c r="M55" s="180">
        <v>525.40683978247341</v>
      </c>
      <c r="N55" s="180">
        <v>518.29429905522215</v>
      </c>
      <c r="O55" s="180">
        <v>510.00277223995914</v>
      </c>
      <c r="P55" s="180">
        <v>499.42280648300544</v>
      </c>
      <c r="Q55" s="180">
        <v>485.98604094762169</v>
      </c>
      <c r="R55" s="180">
        <v>471.91291234351809</v>
      </c>
      <c r="S55" s="180">
        <v>461.06620402220898</v>
      </c>
      <c r="T55" s="180">
        <v>452.16323364324876</v>
      </c>
      <c r="U55" s="180">
        <v>443.20001523104503</v>
      </c>
      <c r="V55" s="180">
        <v>435.72928133414092</v>
      </c>
      <c r="W55" s="180">
        <v>429.75175590663565</v>
      </c>
      <c r="X55" s="180">
        <v>423.72677877468817</v>
      </c>
      <c r="Y55" s="180">
        <v>417.29387647274359</v>
      </c>
      <c r="DA55" s="189" t="s">
        <v>949</v>
      </c>
    </row>
    <row r="56" spans="1:105" ht="12" customHeight="1" x14ac:dyDescent="0.25">
      <c r="A56" s="60" t="s">
        <v>99</v>
      </c>
      <c r="B56" s="55">
        <v>45.868182396091882</v>
      </c>
      <c r="C56" s="55">
        <v>45.626332043261151</v>
      </c>
      <c r="D56" s="55">
        <v>45.266487680899587</v>
      </c>
      <c r="E56" s="55">
        <v>44.978909525060047</v>
      </c>
      <c r="F56" s="55">
        <v>44.643340928469399</v>
      </c>
      <c r="G56" s="55">
        <v>44.30242548967221</v>
      </c>
      <c r="H56" s="55">
        <v>43.969526153856343</v>
      </c>
      <c r="I56" s="55">
        <v>43.634724178289801</v>
      </c>
      <c r="J56" s="55">
        <v>43.320035164892609</v>
      </c>
      <c r="K56" s="55">
        <v>43.063529516652046</v>
      </c>
      <c r="L56" s="55">
        <v>42.685616800040776</v>
      </c>
      <c r="M56" s="55">
        <v>42.259737534482817</v>
      </c>
      <c r="N56" s="55">
        <v>41.784998311235647</v>
      </c>
      <c r="O56" s="55">
        <v>41.218484306587406</v>
      </c>
      <c r="P56" s="55">
        <v>40.534615601979112</v>
      </c>
      <c r="Q56" s="55">
        <v>39.770723460085819</v>
      </c>
      <c r="R56" s="55">
        <v>39.252870869758596</v>
      </c>
      <c r="S56" s="55">
        <v>38.543622202790402</v>
      </c>
      <c r="T56" s="55">
        <v>37.921348794160622</v>
      </c>
      <c r="U56" s="55">
        <v>37.193763316472022</v>
      </c>
      <c r="V56" s="55">
        <v>36.440772071792026</v>
      </c>
      <c r="W56" s="55">
        <v>35.70689544860921</v>
      </c>
      <c r="X56" s="55">
        <v>34.995977032036919</v>
      </c>
      <c r="Y56" s="55">
        <v>34.386404489399247</v>
      </c>
      <c r="DA56" s="101" t="s">
        <v>950</v>
      </c>
    </row>
    <row r="57" spans="1:105" ht="12" customHeight="1" x14ac:dyDescent="0.25">
      <c r="A57" s="62" t="s">
        <v>98</v>
      </c>
      <c r="B57" s="63">
        <v>351.59759756593576</v>
      </c>
      <c r="C57" s="63">
        <v>342.99896067289114</v>
      </c>
      <c r="D57" s="63">
        <v>333.07253852034955</v>
      </c>
      <c r="E57" s="63">
        <v>322.21711574552023</v>
      </c>
      <c r="F57" s="63">
        <v>310.18133244734526</v>
      </c>
      <c r="G57" s="63">
        <v>298.05058234191887</v>
      </c>
      <c r="H57" s="63">
        <v>283.96551023263942</v>
      </c>
      <c r="I57" s="63">
        <v>271.4597496426029</v>
      </c>
      <c r="J57" s="63">
        <v>259.6869680289804</v>
      </c>
      <c r="K57" s="63">
        <v>247.35495011507385</v>
      </c>
      <c r="L57" s="63">
        <v>234.61095294890441</v>
      </c>
      <c r="M57" s="63">
        <v>216.71402838862659</v>
      </c>
      <c r="N57" s="63">
        <v>200.07572701049634</v>
      </c>
      <c r="O57" s="63">
        <v>184.84345682862499</v>
      </c>
      <c r="P57" s="63">
        <v>171.98794506888697</v>
      </c>
      <c r="Q57" s="63">
        <v>160.92797520583713</v>
      </c>
      <c r="R57" s="63">
        <v>151.96081476456936</v>
      </c>
      <c r="S57" s="63">
        <v>144.88225911927753</v>
      </c>
      <c r="T57" s="63">
        <v>139.65242659224887</v>
      </c>
      <c r="U57" s="63">
        <v>135.05475409145726</v>
      </c>
      <c r="V57" s="63">
        <v>131.36884393046324</v>
      </c>
      <c r="W57" s="63">
        <v>128.16183112642645</v>
      </c>
      <c r="X57" s="63">
        <v>125.31006868076111</v>
      </c>
      <c r="Y57" s="63">
        <v>122.69849967340237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0.57756284171284833</v>
      </c>
      <c r="D60" s="180">
        <v>0.57111683336627295</v>
      </c>
      <c r="E60" s="180">
        <v>0.56434741739177841</v>
      </c>
      <c r="F60" s="180">
        <v>0.55880795126044125</v>
      </c>
      <c r="G60" s="180">
        <v>0.55245587507773808</v>
      </c>
      <c r="H60" s="180">
        <v>0.54555855792671448</v>
      </c>
      <c r="I60" s="180">
        <v>0.53973933946598029</v>
      </c>
      <c r="J60" s="180">
        <v>0.53326318557381513</v>
      </c>
      <c r="K60" s="180">
        <v>0.52639080049938303</v>
      </c>
      <c r="L60" s="180">
        <v>0.51841908337326748</v>
      </c>
      <c r="M60" s="180">
        <v>0.5106214646215399</v>
      </c>
      <c r="N60" s="180">
        <v>0.50046268236775326</v>
      </c>
      <c r="O60" s="180">
        <v>0.49088563330577462</v>
      </c>
      <c r="P60" s="180">
        <v>0.48057519738391724</v>
      </c>
      <c r="Q60" s="180">
        <v>0.47091148229684637</v>
      </c>
      <c r="R60" s="180">
        <v>0.46765505124000378</v>
      </c>
      <c r="S60" s="180">
        <v>0.46287182131883797</v>
      </c>
      <c r="T60" s="180">
        <v>0.4584596751948532</v>
      </c>
      <c r="U60" s="180">
        <v>0.45439067385175336</v>
      </c>
      <c r="V60" s="180">
        <v>0.45037833074725708</v>
      </c>
      <c r="W60" s="180">
        <v>0.44767606076277355</v>
      </c>
      <c r="X60" s="180">
        <v>0.44497379077828997</v>
      </c>
      <c r="Y60" s="180">
        <v>0.44227152079380644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167.96683725766076</v>
      </c>
      <c r="D61" s="180">
        <v>166.29171400797932</v>
      </c>
      <c r="E61" s="180">
        <v>164.8315803886961</v>
      </c>
      <c r="F61" s="180">
        <v>162.01396616377906</v>
      </c>
      <c r="G61" s="180">
        <v>159.50965654694789</v>
      </c>
      <c r="H61" s="180">
        <v>155.36890239469102</v>
      </c>
      <c r="I61" s="180">
        <v>152.03303318143844</v>
      </c>
      <c r="J61" s="180">
        <v>148.52721410093957</v>
      </c>
      <c r="K61" s="180">
        <v>145.78397261082276</v>
      </c>
      <c r="L61" s="180">
        <v>142.27411145308795</v>
      </c>
      <c r="M61" s="180">
        <v>137.72680577173497</v>
      </c>
      <c r="N61" s="180">
        <v>132.16200888285167</v>
      </c>
      <c r="O61" s="180">
        <v>126.54649618427861</v>
      </c>
      <c r="P61" s="180">
        <v>118.98268778229868</v>
      </c>
      <c r="Q61" s="180">
        <v>111.62230871682394</v>
      </c>
      <c r="R61" s="180">
        <v>106.1596945167265</v>
      </c>
      <c r="S61" s="180">
        <v>101.39909192537168</v>
      </c>
      <c r="T61" s="180">
        <v>96.647250701082086</v>
      </c>
      <c r="U61" s="180">
        <v>91.906531000345666</v>
      </c>
      <c r="V61" s="180">
        <v>87.167835572847906</v>
      </c>
      <c r="W61" s="180">
        <v>85.023506817755845</v>
      </c>
      <c r="X61" s="180">
        <v>82.879178062663797</v>
      </c>
      <c r="Y61" s="180">
        <v>80.734849307571736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38.007237278580433</v>
      </c>
      <c r="D62" s="180">
        <v>36.501432680024202</v>
      </c>
      <c r="E62" s="180">
        <v>35.405845293412654</v>
      </c>
      <c r="F62" s="180">
        <v>34.954145240470275</v>
      </c>
      <c r="G62" s="180">
        <v>34.433629633135276</v>
      </c>
      <c r="H62" s="180">
        <v>33.619013093998625</v>
      </c>
      <c r="I62" s="180">
        <v>32.777246212890702</v>
      </c>
      <c r="J62" s="180">
        <v>31.918086938823137</v>
      </c>
      <c r="K62" s="180">
        <v>30.619755574493571</v>
      </c>
      <c r="L62" s="180">
        <v>29.408090590547321</v>
      </c>
      <c r="M62" s="180">
        <v>28.327520526307822</v>
      </c>
      <c r="N62" s="180">
        <v>26.987110380727685</v>
      </c>
      <c r="O62" s="180">
        <v>25.819454491519171</v>
      </c>
      <c r="P62" s="180">
        <v>24.487933351626637</v>
      </c>
      <c r="Q62" s="180">
        <v>23.059869184009738</v>
      </c>
      <c r="R62" s="180">
        <v>20.930470702719681</v>
      </c>
      <c r="S62" s="180">
        <v>19.855688163040455</v>
      </c>
      <c r="T62" s="180">
        <v>18.046764094622997</v>
      </c>
      <c r="U62" s="180">
        <v>16.600327307843191</v>
      </c>
      <c r="V62" s="180">
        <v>15.40737208289201</v>
      </c>
      <c r="W62" s="180">
        <v>14.63700347874741</v>
      </c>
      <c r="X62" s="180">
        <v>13.866634874602807</v>
      </c>
      <c r="Y62" s="180">
        <v>13.096266270458207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579.38557893545726</v>
      </c>
      <c r="D63" s="180">
        <v>565.08692298960716</v>
      </c>
      <c r="E63" s="180">
        <v>558.0654575040079</v>
      </c>
      <c r="F63" s="180">
        <v>550.32347393533712</v>
      </c>
      <c r="G63" s="180">
        <v>541.67995693682724</v>
      </c>
      <c r="H63" s="180">
        <v>534.78432817837768</v>
      </c>
      <c r="I63" s="180">
        <v>525.4253902381829</v>
      </c>
      <c r="J63" s="180">
        <v>515.09950864546306</v>
      </c>
      <c r="K63" s="180">
        <v>504.63481888516259</v>
      </c>
      <c r="L63" s="180">
        <v>492.45038980431514</v>
      </c>
      <c r="M63" s="180">
        <v>476.90303090027476</v>
      </c>
      <c r="N63" s="180">
        <v>468.60663868033407</v>
      </c>
      <c r="O63" s="180">
        <v>456.16414939397441</v>
      </c>
      <c r="P63" s="180">
        <v>445.18807902744635</v>
      </c>
      <c r="Q63" s="180">
        <v>441.57951415082488</v>
      </c>
      <c r="R63" s="180">
        <v>434.88812329191802</v>
      </c>
      <c r="S63" s="180">
        <v>426.53330984278296</v>
      </c>
      <c r="T63" s="180">
        <v>418.51229861225511</v>
      </c>
      <c r="U63" s="180">
        <v>410.96153197229467</v>
      </c>
      <c r="V63" s="180">
        <v>403.50421353689501</v>
      </c>
      <c r="W63" s="180">
        <v>395.43412926615713</v>
      </c>
      <c r="X63" s="180">
        <v>387.36404499541919</v>
      </c>
      <c r="Y63" s="180">
        <v>379.29396072468131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43.120509072576773</v>
      </c>
      <c r="D64" s="55">
        <v>42.723990394227251</v>
      </c>
      <c r="E64" s="55">
        <v>42.440081080136963</v>
      </c>
      <c r="F64" s="55">
        <v>42.130355265807907</v>
      </c>
      <c r="G64" s="55">
        <v>41.795004189146908</v>
      </c>
      <c r="H64" s="55">
        <v>41.470848487162968</v>
      </c>
      <c r="I64" s="55">
        <v>41.119737718971145</v>
      </c>
      <c r="J64" s="55">
        <v>40.698712563845362</v>
      </c>
      <c r="K64" s="55">
        <v>40.196948840892937</v>
      </c>
      <c r="L64" s="55">
        <v>39.641702693310577</v>
      </c>
      <c r="M64" s="55">
        <v>38.707505493321761</v>
      </c>
      <c r="N64" s="55">
        <v>37.787492420238351</v>
      </c>
      <c r="O64" s="55">
        <v>36.741993603141779</v>
      </c>
      <c r="P64" s="55">
        <v>35.72001413521749</v>
      </c>
      <c r="Q64" s="55">
        <v>34.610375717212392</v>
      </c>
      <c r="R64" s="55">
        <v>34.165206876055343</v>
      </c>
      <c r="S64" s="55">
        <v>33.623698534439271</v>
      </c>
      <c r="T64" s="55">
        <v>33.121522045247815</v>
      </c>
      <c r="U64" s="55">
        <v>32.637972790457553</v>
      </c>
      <c r="V64" s="55">
        <v>32.159655996494919</v>
      </c>
      <c r="W64" s="55">
        <v>31.838059436529971</v>
      </c>
      <c r="X64" s="55">
        <v>31.516462876565022</v>
      </c>
      <c r="Y64" s="55">
        <v>31.19486631660007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323.41546309401008</v>
      </c>
      <c r="D65" s="63">
        <v>309.32598236975616</v>
      </c>
      <c r="E65" s="63">
        <v>298.10241332148928</v>
      </c>
      <c r="F65" s="63">
        <v>287.38918195733368</v>
      </c>
      <c r="G65" s="63">
        <v>275.98029222519034</v>
      </c>
      <c r="H65" s="63">
        <v>264.22021697257162</v>
      </c>
      <c r="I65" s="63">
        <v>250.41443135620648</v>
      </c>
      <c r="J65" s="63">
        <v>236.2043461672036</v>
      </c>
      <c r="K65" s="63">
        <v>221.21696965379073</v>
      </c>
      <c r="L65" s="63">
        <v>204.26923236100993</v>
      </c>
      <c r="M65" s="63">
        <v>186.71333616631782</v>
      </c>
      <c r="N65" s="63">
        <v>173.49750331281405</v>
      </c>
      <c r="O65" s="63">
        <v>159.50807451282432</v>
      </c>
      <c r="P65" s="63">
        <v>151.66821230814924</v>
      </c>
      <c r="Q65" s="63">
        <v>142.14623770568843</v>
      </c>
      <c r="R65" s="63">
        <v>138.94584760574625</v>
      </c>
      <c r="S65" s="63">
        <v>135.22831284554158</v>
      </c>
      <c r="T65" s="63">
        <v>131.61631525432421</v>
      </c>
      <c r="U65" s="63">
        <v>128.17552004766821</v>
      </c>
      <c r="V65" s="63">
        <v>124.77123513838865</v>
      </c>
      <c r="W65" s="63">
        <v>122.52535290589765</v>
      </c>
      <c r="X65" s="63">
        <v>120.27947067340665</v>
      </c>
      <c r="Y65" s="63">
        <v>118.03358844091565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523.19600975375863</v>
      </c>
      <c r="C68" s="187">
        <f>1000000*C20/SER_summary!C$8</f>
        <v>538.69156211650386</v>
      </c>
      <c r="D68" s="187">
        <f>1000000*D20/SER_summary!D$8</f>
        <v>549.13269950112726</v>
      </c>
      <c r="E68" s="187">
        <f>1000000*E20/SER_summary!E$8</f>
        <v>559.32686579755398</v>
      </c>
      <c r="F68" s="187">
        <f>1000000*F20/SER_summary!F$8</f>
        <v>568.10839838806623</v>
      </c>
      <c r="G68" s="187">
        <f>1000000*G20/SER_summary!G$8</f>
        <v>578.55806729197627</v>
      </c>
      <c r="H68" s="187">
        <f>1000000*H20/SER_summary!H$8</f>
        <v>594.06242643370967</v>
      </c>
      <c r="I68" s="187">
        <f>1000000*I20/SER_summary!I$8</f>
        <v>607.76324734293087</v>
      </c>
      <c r="J68" s="187">
        <f>1000000*J20/SER_summary!J$8</f>
        <v>624.34661859316202</v>
      </c>
      <c r="K68" s="187">
        <f>1000000*K20/SER_summary!K$8</f>
        <v>636.14959780466768</v>
      </c>
      <c r="L68" s="187">
        <f>1000000*L20/SER_summary!L$8</f>
        <v>647.39599082805012</v>
      </c>
      <c r="M68" s="187">
        <f>1000000*M20/SER_summary!M$8</f>
        <v>659.09511329266422</v>
      </c>
      <c r="N68" s="187">
        <f>1000000*N20/SER_summary!N$8</f>
        <v>671.03501845180779</v>
      </c>
      <c r="O68" s="187">
        <f>1000000*O20/SER_summary!O$8</f>
        <v>686.25302599981865</v>
      </c>
      <c r="P68" s="187">
        <f>1000000*P20/SER_summary!P$8</f>
        <v>701.3808162579694</v>
      </c>
      <c r="Q68" s="187">
        <f>1000000*Q20/SER_summary!Q$8</f>
        <v>719.90410515905671</v>
      </c>
      <c r="R68" s="187">
        <f>1000000*R20/SER_summary!R$8</f>
        <v>724.33555132540766</v>
      </c>
      <c r="S68" s="187">
        <f>1000000*S20/SER_summary!S$8</f>
        <v>728.76685667930076</v>
      </c>
      <c r="T68" s="187">
        <f>1000000*T20/SER_summary!T$8</f>
        <v>733.19876593929837</v>
      </c>
      <c r="U68" s="187">
        <f>1000000*U20/SER_summary!U$8</f>
        <v>737.63173078751151</v>
      </c>
      <c r="V68" s="187">
        <f>1000000*V20/SER_summary!V$8</f>
        <v>742.06659196621558</v>
      </c>
      <c r="W68" s="187">
        <f>1000000*W20/SER_summary!W$8</f>
        <v>746.51632132209738</v>
      </c>
      <c r="X68" s="187">
        <f>1000000*X20/SER_summary!X$8</f>
        <v>748.75118190928424</v>
      </c>
      <c r="Y68" s="187">
        <f>1000000*Y20/SER_summary!Y$8</f>
        <v>749.87111990720837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0.11072535044310412</v>
      </c>
      <c r="C69" s="187">
        <f>1000*C21/SER_summary!C$3</f>
        <v>0.11279168204426178</v>
      </c>
      <c r="D69" s="187">
        <f>1000*D21/SER_summary!D$3</f>
        <v>0.11577797488415977</v>
      </c>
      <c r="E69" s="187">
        <f>1000*E21/SER_summary!E$3</f>
        <v>0.11819334270129887</v>
      </c>
      <c r="F69" s="187">
        <f>1000*F21/SER_summary!F$3</f>
        <v>0.12114286297270764</v>
      </c>
      <c r="G69" s="187">
        <f>1000*G21/SER_summary!G$3</f>
        <v>0.12508961909089786</v>
      </c>
      <c r="H69" s="187">
        <f>1000*H21/SER_summary!H$3</f>
        <v>0.12890432500204241</v>
      </c>
      <c r="I69" s="187">
        <f>1000*I21/SER_summary!I$3</f>
        <v>0.13345331967115445</v>
      </c>
      <c r="J69" s="187">
        <f>1000*J21/SER_summary!J$3</f>
        <v>0.13754852664452796</v>
      </c>
      <c r="K69" s="187">
        <f>1000*K21/SER_summary!K$3</f>
        <v>0.14198660145884839</v>
      </c>
      <c r="L69" s="187">
        <f>1000*L21/SER_summary!L$3</f>
        <v>0.14541503544617718</v>
      </c>
      <c r="M69" s="187">
        <f>1000*M21/SER_summary!M$3</f>
        <v>0.14923807560946667</v>
      </c>
      <c r="N69" s="187">
        <f>1000*N21/SER_summary!N$3</f>
        <v>0.15390476158807215</v>
      </c>
      <c r="O69" s="187">
        <f>1000*O21/SER_summary!O$3</f>
        <v>0.16065735987326352</v>
      </c>
      <c r="P69" s="187">
        <f>1000*P21/SER_summary!P$3</f>
        <v>0.16850912569760093</v>
      </c>
      <c r="Q69" s="187">
        <f>1000*Q21/SER_summary!Q$3</f>
        <v>0.1762247982687368</v>
      </c>
      <c r="R69" s="187">
        <f>1000*R21/SER_summary!R$3</f>
        <v>0.17979455991403498</v>
      </c>
      <c r="S69" s="187">
        <f>1000*S21/SER_summary!S$3</f>
        <v>0.18353690511500023</v>
      </c>
      <c r="T69" s="187">
        <f>1000*T21/SER_summary!T$3</f>
        <v>0.18749075991238304</v>
      </c>
      <c r="U69" s="187">
        <f>1000*U21/SER_summary!U$3</f>
        <v>0.19115201037959245</v>
      </c>
      <c r="V69" s="187">
        <f>1000*V21/SER_summary!V$3</f>
        <v>0.19440807643050448</v>
      </c>
      <c r="W69" s="187">
        <f>1000*W21/SER_summary!W$3</f>
        <v>0.19790354892195799</v>
      </c>
      <c r="X69" s="187">
        <f>1000*X21/SER_summary!X$3</f>
        <v>0.20038770789671204</v>
      </c>
      <c r="Y69" s="187">
        <f>1000*Y21/SER_summary!Y$3</f>
        <v>0.20214514932681815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170.2086426729397</v>
      </c>
      <c r="C70" s="187">
        <f>1000000*C22/SER_summary!C$8</f>
        <v>171.63122062848086</v>
      </c>
      <c r="D70" s="187">
        <f>1000000*D22/SER_summary!D$8</f>
        <v>173.86800262145684</v>
      </c>
      <c r="E70" s="187">
        <f>1000000*E22/SER_summary!E$8</f>
        <v>176.50933017144567</v>
      </c>
      <c r="F70" s="187">
        <f>1000000*F22/SER_summary!F$8</f>
        <v>179.37456208960586</v>
      </c>
      <c r="G70" s="187">
        <f>1000000*G22/SER_summary!G$8</f>
        <v>181.95543520096044</v>
      </c>
      <c r="H70" s="187">
        <f>1000000*H22/SER_summary!H$8</f>
        <v>185.91865098325374</v>
      </c>
      <c r="I70" s="187">
        <f>1000000*I22/SER_summary!I$8</f>
        <v>188.66305610645324</v>
      </c>
      <c r="J70" s="187">
        <f>1000000*J22/SER_summary!J$8</f>
        <v>192.70419630010124</v>
      </c>
      <c r="K70" s="187">
        <f>1000000*K22/SER_summary!K$8</f>
        <v>196.94365852832897</v>
      </c>
      <c r="L70" s="187">
        <f>1000000*L22/SER_summary!L$8</f>
        <v>203.57044732732464</v>
      </c>
      <c r="M70" s="187">
        <f>1000000*M22/SER_summary!M$8</f>
        <v>208.83970272154582</v>
      </c>
      <c r="N70" s="187">
        <f>1000000*N22/SER_summary!N$8</f>
        <v>215.63882273542879</v>
      </c>
      <c r="O70" s="187">
        <f>1000000*O22/SER_summary!O$8</f>
        <v>221.22628540978616</v>
      </c>
      <c r="P70" s="187">
        <f>1000000*P22/SER_summary!P$8</f>
        <v>229.24925159793202</v>
      </c>
      <c r="Q70" s="187">
        <f>1000000*Q22/SER_summary!Q$8</f>
        <v>237.82623802503716</v>
      </c>
      <c r="R70" s="187">
        <f>1000000*R22/SER_summary!R$8</f>
        <v>242.65957320650617</v>
      </c>
      <c r="S70" s="187">
        <f>1000000*S22/SER_summary!S$8</f>
        <v>247.56034954820899</v>
      </c>
      <c r="T70" s="187">
        <f>1000000*T22/SER_summary!T$8</f>
        <v>252.24559315110298</v>
      </c>
      <c r="U70" s="187">
        <f>1000000*U22/SER_summary!U$8</f>
        <v>256.54225181434464</v>
      </c>
      <c r="V70" s="187">
        <f>1000000*V22/SER_summary!V$8</f>
        <v>260.12781896283678</v>
      </c>
      <c r="W70" s="187">
        <f>1000000*W22/SER_summary!W$8</f>
        <v>262.58557150964867</v>
      </c>
      <c r="X70" s="187">
        <f>1000000*X22/SER_summary!X$8</f>
        <v>263.82314216604465</v>
      </c>
      <c r="Y70" s="187">
        <f>1000000*Y22/SER_summary!Y$8</f>
        <v>264.44411303919713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2.1303977947070177E-2</v>
      </c>
      <c r="C71" s="187">
        <f>1000*C23/SER_summary!C$3</f>
        <v>2.1750150484092168E-2</v>
      </c>
      <c r="D71" s="187">
        <f>1000*D23/SER_summary!D$3</f>
        <v>2.2359899963081444E-2</v>
      </c>
      <c r="E71" s="187">
        <f>1000*E23/SER_summary!E$3</f>
        <v>2.3262036457662182E-2</v>
      </c>
      <c r="F71" s="187">
        <f>1000*F23/SER_summary!F$3</f>
        <v>2.4948433008176923E-2</v>
      </c>
      <c r="G71" s="187">
        <f>1000*G23/SER_summary!G$3</f>
        <v>2.8091027992104532E-2</v>
      </c>
      <c r="H71" s="187">
        <f>1000*H23/SER_summary!H$3</f>
        <v>3.2225145549989266E-2</v>
      </c>
      <c r="I71" s="187">
        <f>1000*I23/SER_summary!I$3</f>
        <v>3.490490290809635E-2</v>
      </c>
      <c r="J71" s="187">
        <f>1000*J23/SER_summary!J$3</f>
        <v>3.6673901899095897E-2</v>
      </c>
      <c r="K71" s="187">
        <f>1000*K23/SER_summary!K$3</f>
        <v>3.8622561132736682E-2</v>
      </c>
      <c r="L71" s="187">
        <f>1000*L23/SER_summary!L$3</f>
        <v>3.9995844415128191E-2</v>
      </c>
      <c r="M71" s="187">
        <f>1000*M23/SER_summary!M$3</f>
        <v>4.0505031658782616E-2</v>
      </c>
      <c r="N71" s="187">
        <f>1000*N23/SER_summary!N$3</f>
        <v>4.1161175454835379E-2</v>
      </c>
      <c r="O71" s="187">
        <f>1000*O23/SER_summary!O$3</f>
        <v>4.1960393804485407E-2</v>
      </c>
      <c r="P71" s="187">
        <f>1000*P23/SER_summary!P$3</f>
        <v>4.3091249722593677E-2</v>
      </c>
      <c r="Q71" s="187">
        <f>1000*Q23/SER_summary!Q$3</f>
        <v>4.4693085982153907E-2</v>
      </c>
      <c r="R71" s="187">
        <f>1000*R23/SER_summary!R$3</f>
        <v>4.5225257014056643E-2</v>
      </c>
      <c r="S71" s="187">
        <f>1000*S23/SER_summary!S$3</f>
        <v>4.580024321412958E-2</v>
      </c>
      <c r="T71" s="187">
        <f>1000*T23/SER_summary!T$3</f>
        <v>4.6427949266084838E-2</v>
      </c>
      <c r="U71" s="187">
        <f>1000*U23/SER_summary!U$3</f>
        <v>4.6983539005219455E-2</v>
      </c>
      <c r="V71" s="187">
        <f>1000*V23/SER_summary!V$3</f>
        <v>4.7441451140450626E-2</v>
      </c>
      <c r="W71" s="187">
        <f>1000*W23/SER_summary!W$3</f>
        <v>4.7957107762853869E-2</v>
      </c>
      <c r="X71" s="187">
        <f>1000*X23/SER_summary!X$3</f>
        <v>4.8321398666402927E-2</v>
      </c>
      <c r="Y71" s="187">
        <f>1000*Y23/SER_summary!Y$3</f>
        <v>4.857804754708988E-2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132.07863737915471</v>
      </c>
      <c r="C72" s="187">
        <f>1000000*C24/SER_summary!C$8</f>
        <v>139.04836933837737</v>
      </c>
      <c r="D72" s="187">
        <f>1000000*D24/SER_summary!D$8</f>
        <v>146.62859693786973</v>
      </c>
      <c r="E72" s="187">
        <f>1000000*E24/SER_summary!E$8</f>
        <v>155.56130123854896</v>
      </c>
      <c r="F72" s="187">
        <f>1000000*F24/SER_summary!F$8</f>
        <v>165.0447601486897</v>
      </c>
      <c r="G72" s="187">
        <f>1000000*G24/SER_summary!G$8</f>
        <v>175.85420586263646</v>
      </c>
      <c r="H72" s="187">
        <f>1000000*H24/SER_summary!H$8</f>
        <v>185.14170454407542</v>
      </c>
      <c r="I72" s="187">
        <f>1000000*I24/SER_summary!I$8</f>
        <v>193.33143352836825</v>
      </c>
      <c r="J72" s="187">
        <f>1000000*J24/SER_summary!J$8</f>
        <v>200.13139485544181</v>
      </c>
      <c r="K72" s="187">
        <f>1000000*K24/SER_summary!K$8</f>
        <v>204.60802477779302</v>
      </c>
      <c r="L72" s="187">
        <f>1000000*L24/SER_summary!L$8</f>
        <v>208.667529569414</v>
      </c>
      <c r="M72" s="187">
        <f>1000000*M24/SER_summary!M$8</f>
        <v>212.03020738212928</v>
      </c>
      <c r="N72" s="187">
        <f>1000000*N24/SER_summary!N$8</f>
        <v>215.48546440174073</v>
      </c>
      <c r="O72" s="187">
        <f>1000000*O24/SER_summary!O$8</f>
        <v>219.18140204751035</v>
      </c>
      <c r="P72" s="187">
        <f>1000000*P24/SER_summary!P$8</f>
        <v>223.20807522877504</v>
      </c>
      <c r="Q72" s="187">
        <f>1000000*Q24/SER_summary!Q$8</f>
        <v>226.24607439179951</v>
      </c>
      <c r="R72" s="187">
        <f>1000000*R24/SER_summary!R$8</f>
        <v>229.94100386399546</v>
      </c>
      <c r="S72" s="187">
        <f>1000000*S24/SER_summary!S$8</f>
        <v>233.63619354158942</v>
      </c>
      <c r="T72" s="187">
        <f>1000000*T24/SER_summary!T$8</f>
        <v>237.33026726940702</v>
      </c>
      <c r="U72" s="187">
        <f>1000000*U24/SER_summary!U$8</f>
        <v>241.02239039028291</v>
      </c>
      <c r="V72" s="187">
        <f>1000000*V24/SER_summary!V$8</f>
        <v>244.71100930813975</v>
      </c>
      <c r="W72" s="187">
        <f>1000000*W24/SER_summary!W$8</f>
        <v>248.43085364710032</v>
      </c>
      <c r="X72" s="187">
        <f>1000000*X24/SER_summary!X$8</f>
        <v>251.44740061744702</v>
      </c>
      <c r="Y72" s="187">
        <f>1000000*Y24/SER_summary!Y$8</f>
        <v>253.88698917078119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0.10581210043331331</v>
      </c>
      <c r="C73" s="52">
        <f>1000*C25/SER_summary!C$3</f>
        <v>0.12152853073770961</v>
      </c>
      <c r="D73" s="52">
        <f>1000*D25/SER_summary!D$3</f>
        <v>0.13414177214528297</v>
      </c>
      <c r="E73" s="52">
        <f>1000*E25/SER_summary!E$3</f>
        <v>0.14724378764052401</v>
      </c>
      <c r="F73" s="52">
        <f>1000*F25/SER_summary!F$3</f>
        <v>0.16540518625370149</v>
      </c>
      <c r="G73" s="52">
        <f>1000*G25/SER_summary!G$3</f>
        <v>0.18403428438589786</v>
      </c>
      <c r="H73" s="52">
        <f>1000*H25/SER_summary!H$3</f>
        <v>0.20480739166171741</v>
      </c>
      <c r="I73" s="52">
        <f>1000*I25/SER_summary!I$3</f>
        <v>0.23106794070142489</v>
      </c>
      <c r="J73" s="52">
        <f>1000*J25/SER_summary!J$3</f>
        <v>0.25563130341196344</v>
      </c>
      <c r="K73" s="52">
        <f>1000*K25/SER_summary!K$3</f>
        <v>0.27634790739544479</v>
      </c>
      <c r="L73" s="52">
        <f>1000*L25/SER_summary!L$3</f>
        <v>0.29782013104462346</v>
      </c>
      <c r="M73" s="52">
        <f>1000*M25/SER_summary!M$3</f>
        <v>0.32504948350864898</v>
      </c>
      <c r="N73" s="52">
        <f>1000*N25/SER_summary!N$3</f>
        <v>0.35633821465288756</v>
      </c>
      <c r="O73" s="52">
        <f>1000*O25/SER_summary!O$3</f>
        <v>0.39355991016261238</v>
      </c>
      <c r="P73" s="52">
        <f>1000*P25/SER_summary!P$3</f>
        <v>0.43918427497811935</v>
      </c>
      <c r="Q73" s="52">
        <f>1000*Q25/SER_summary!Q$3</f>
        <v>0.49526372508635369</v>
      </c>
      <c r="R73" s="52">
        <f>1000*R25/SER_summary!R$3</f>
        <v>0.52005957313886952</v>
      </c>
      <c r="S73" s="52">
        <f>1000*S25/SER_summary!S$3</f>
        <v>0.54325930664930999</v>
      </c>
      <c r="T73" s="52">
        <f>1000*T25/SER_summary!T$3</f>
        <v>0.56539731761560053</v>
      </c>
      <c r="U73" s="52">
        <f>1000*U25/SER_summary!U$3</f>
        <v>0.58584265082006326</v>
      </c>
      <c r="V73" s="52">
        <f>1000*V25/SER_summary!V$3</f>
        <v>0.60358575199484754</v>
      </c>
      <c r="W73" s="52">
        <f>1000*W25/SER_summary!W$3</f>
        <v>0.62279337116896272</v>
      </c>
      <c r="X73" s="52">
        <f>1000*X25/SER_summary!X$3</f>
        <v>0.63784921694304197</v>
      </c>
      <c r="Y73" s="52">
        <f>1000*Y25/SER_summary!Y$3</f>
        <v>0.6485798484158859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49.661467355788375</v>
      </c>
      <c r="C3" s="198">
        <f>'SER_se-appl'!C4</f>
        <v>51.282182494231698</v>
      </c>
      <c r="D3" s="198">
        <f>'SER_se-appl'!D4</f>
        <v>54.120453834606813</v>
      </c>
      <c r="E3" s="198">
        <f>'SER_se-appl'!E4</f>
        <v>55.271702537816381</v>
      </c>
      <c r="F3" s="198">
        <f>'SER_se-appl'!F4</f>
        <v>56.961023404423706</v>
      </c>
      <c r="G3" s="198">
        <f>'SER_se-appl'!G4</f>
        <v>58.446552229508569</v>
      </c>
      <c r="H3" s="198">
        <f>'SER_se-appl'!H4</f>
        <v>60.603862240631983</v>
      </c>
      <c r="I3" s="198">
        <f>'SER_se-appl'!I4</f>
        <v>62.744397093051134</v>
      </c>
      <c r="J3" s="198">
        <f>'SER_se-appl'!J4</f>
        <v>64.664204336895367</v>
      </c>
      <c r="K3" s="198">
        <f>'SER_se-appl'!K4</f>
        <v>64.878890972605845</v>
      </c>
      <c r="L3" s="198">
        <f>'SER_se-appl'!L4</f>
        <v>66.53793440114957</v>
      </c>
      <c r="M3" s="198">
        <f>'SER_se-appl'!M4</f>
        <v>67.935725806306422</v>
      </c>
      <c r="N3" s="198">
        <f>'SER_se-appl'!N4</f>
        <v>68.80320945578984</v>
      </c>
      <c r="O3" s="198">
        <f>'SER_se-appl'!O4</f>
        <v>69.763457924974077</v>
      </c>
      <c r="P3" s="198">
        <f>'SER_se-appl'!P4</f>
        <v>70.707280514401944</v>
      </c>
      <c r="Q3" s="198">
        <f>'SER_se-appl'!Q4</f>
        <v>71.642940145057253</v>
      </c>
      <c r="R3" s="198">
        <f>'SER_se-appl'!R4</f>
        <v>71.637548851247942</v>
      </c>
      <c r="S3" s="198">
        <f>'SER_se-appl'!S4</f>
        <v>71.52524130047253</v>
      </c>
      <c r="T3" s="198">
        <f>'SER_se-appl'!T4</f>
        <v>71.482801802113414</v>
      </c>
      <c r="U3" s="198">
        <f>'SER_se-appl'!U4</f>
        <v>71.632339876372669</v>
      </c>
      <c r="V3" s="198">
        <f>'SER_se-appl'!V4</f>
        <v>71.503959807264906</v>
      </c>
      <c r="W3" s="198">
        <f>'SER_se-appl'!W4</f>
        <v>71.721883093481466</v>
      </c>
      <c r="X3" s="198">
        <f>'SER_se-appl'!X4</f>
        <v>71.626611972951551</v>
      </c>
      <c r="Y3" s="198">
        <f>'SER_se-appl'!Y4</f>
        <v>71.470877798217828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65.931833943814937</v>
      </c>
      <c r="C5" s="59">
        <f>'SER_se-appl'!C12</f>
        <v>68.083536804556488</v>
      </c>
      <c r="D5" s="59">
        <f>'SER_se-appl'!D12</f>
        <v>71.85169841283988</v>
      </c>
      <c r="E5" s="59">
        <f>'SER_se-appl'!E12</f>
        <v>73.380125629543912</v>
      </c>
      <c r="F5" s="59">
        <f>'SER_se-appl'!F12</f>
        <v>75.622911209297712</v>
      </c>
      <c r="G5" s="59">
        <f>'SER_se-appl'!G12</f>
        <v>77.595137263605565</v>
      </c>
      <c r="H5" s="59">
        <f>'SER_se-appl'!H12</f>
        <v>80.459237198464621</v>
      </c>
      <c r="I5" s="59">
        <f>'SER_se-appl'!I12</f>
        <v>83.301066003674052</v>
      </c>
      <c r="J5" s="59">
        <f>'SER_se-appl'!J12</f>
        <v>85.84985119156309</v>
      </c>
      <c r="K5" s="59">
        <f>'SER_se-appl'!K12</f>
        <v>86.134874658836324</v>
      </c>
      <c r="L5" s="59">
        <f>'SER_se-appl'!L12</f>
        <v>88.337463137599258</v>
      </c>
      <c r="M5" s="59">
        <f>'SER_se-appl'!M12</f>
        <v>90.193206749696742</v>
      </c>
      <c r="N5" s="59">
        <f>'SER_se-appl'!N12</f>
        <v>91.344900224981302</v>
      </c>
      <c r="O5" s="59">
        <f>'SER_se-appl'!O12</f>
        <v>92.619750646969024</v>
      </c>
      <c r="P5" s="59">
        <f>'SER_se-appl'!P12</f>
        <v>93.872793650969754</v>
      </c>
      <c r="Q5" s="59">
        <f>'SER_se-appl'!Q12</f>
        <v>95.114999302170787</v>
      </c>
      <c r="R5" s="59">
        <f>'SER_se-appl'!R12</f>
        <v>95.107841682649948</v>
      </c>
      <c r="S5" s="59">
        <f>'SER_se-appl'!S12</f>
        <v>94.958739306449289</v>
      </c>
      <c r="T5" s="59">
        <f>'SER_se-appl'!T12</f>
        <v>94.902395543216784</v>
      </c>
      <c r="U5" s="59">
        <f>'SER_se-appl'!U12</f>
        <v>95.100926114408011</v>
      </c>
      <c r="V5" s="59">
        <f>'SER_se-appl'!V12</f>
        <v>94.930485451882518</v>
      </c>
      <c r="W5" s="59">
        <f>'SER_se-appl'!W12</f>
        <v>95.219805979131237</v>
      </c>
      <c r="X5" s="59">
        <f>'SER_se-appl'!X12</f>
        <v>95.093321603359215</v>
      </c>
      <c r="Y5" s="59">
        <f>'SER_se-appl'!Y12</f>
        <v>94.886564930738984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523.19600975375863</v>
      </c>
      <c r="C6" s="201">
        <f>'SER_se-appl'!C68</f>
        <v>538.69156211650386</v>
      </c>
      <c r="D6" s="201">
        <f>'SER_se-appl'!D68</f>
        <v>549.13269950112726</v>
      </c>
      <c r="E6" s="201">
        <f>'SER_se-appl'!E68</f>
        <v>559.32686579755398</v>
      </c>
      <c r="F6" s="201">
        <f>'SER_se-appl'!F68</f>
        <v>568.10839838806623</v>
      </c>
      <c r="G6" s="201">
        <f>'SER_se-appl'!G68</f>
        <v>578.55806729197627</v>
      </c>
      <c r="H6" s="201">
        <f>'SER_se-appl'!H68</f>
        <v>594.06242643370967</v>
      </c>
      <c r="I6" s="201">
        <f>'SER_se-appl'!I68</f>
        <v>607.76324734293087</v>
      </c>
      <c r="J6" s="201">
        <f>'SER_se-appl'!J68</f>
        <v>624.34661859316202</v>
      </c>
      <c r="K6" s="201">
        <f>'SER_se-appl'!K68</f>
        <v>636.14959780466768</v>
      </c>
      <c r="L6" s="201">
        <f>'SER_se-appl'!L68</f>
        <v>647.39599082805012</v>
      </c>
      <c r="M6" s="201">
        <f>'SER_se-appl'!M68</f>
        <v>659.09511329266422</v>
      </c>
      <c r="N6" s="201">
        <f>'SER_se-appl'!N68</f>
        <v>671.03501845180779</v>
      </c>
      <c r="O6" s="201">
        <f>'SER_se-appl'!O68</f>
        <v>686.25302599981865</v>
      </c>
      <c r="P6" s="201">
        <f>'SER_se-appl'!P68</f>
        <v>701.3808162579694</v>
      </c>
      <c r="Q6" s="201">
        <f>'SER_se-appl'!Q68</f>
        <v>719.90410515905671</v>
      </c>
      <c r="R6" s="201">
        <f>'SER_se-appl'!R68</f>
        <v>724.33555132540766</v>
      </c>
      <c r="S6" s="201">
        <f>'SER_se-appl'!S68</f>
        <v>728.76685667930076</v>
      </c>
      <c r="T6" s="201">
        <f>'SER_se-appl'!T68</f>
        <v>733.19876593929837</v>
      </c>
      <c r="U6" s="201">
        <f>'SER_se-appl'!U68</f>
        <v>737.63173078751151</v>
      </c>
      <c r="V6" s="201">
        <f>'SER_se-appl'!V68</f>
        <v>742.06659196621558</v>
      </c>
      <c r="W6" s="201">
        <f>'SER_se-appl'!W68</f>
        <v>746.51632132209738</v>
      </c>
      <c r="X6" s="201">
        <f>'SER_se-appl'!X68</f>
        <v>748.75118190928424</v>
      </c>
      <c r="Y6" s="201">
        <f>'SER_se-appl'!Y68</f>
        <v>749.87111990720837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101.80483774004398</v>
      </c>
      <c r="C8" s="34">
        <f>'SER_se-appl'!C20</f>
        <v>106.0660034674236</v>
      </c>
      <c r="D8" s="34">
        <f>'SER_se-appl'!D20</f>
        <v>113.27218073994258</v>
      </c>
      <c r="E8" s="34">
        <f>'SER_se-appl'!E20</f>
        <v>116.66949832491746</v>
      </c>
      <c r="F8" s="34">
        <f>'SER_se-appl'!F20</f>
        <v>121.44612929075561</v>
      </c>
      <c r="G8" s="34">
        <f>'SER_se-appl'!G20</f>
        <v>125.86653797253706</v>
      </c>
      <c r="H8" s="34">
        <f>'SER_se-appl'!H20</f>
        <v>132.06616323102074</v>
      </c>
      <c r="I8" s="34">
        <f>'SER_se-appl'!I20</f>
        <v>138.37480187332054</v>
      </c>
      <c r="J8" s="34">
        <f>'SER_se-appl'!J20</f>
        <v>144.30558636786688</v>
      </c>
      <c r="K8" s="34">
        <f>'SER_se-appl'!K20</f>
        <v>146.11831492358249</v>
      </c>
      <c r="L8" s="34">
        <f>'SER_se-appl'!L20</f>
        <v>151.78157367433249</v>
      </c>
      <c r="M8" s="34">
        <f>'SER_se-appl'!M20</f>
        <v>156.98180193945748</v>
      </c>
      <c r="N8" s="34">
        <f>'SER_se-appl'!N20</f>
        <v>161.04780104162495</v>
      </c>
      <c r="O8" s="34">
        <f>'SER_se-appl'!O20</f>
        <v>165.6152993461063</v>
      </c>
      <c r="P8" s="34">
        <f>'SER_se-appl'!P20</f>
        <v>170.42848394802638</v>
      </c>
      <c r="Q8" s="34">
        <f>'SER_se-appl'!Q20</f>
        <v>175.51500304651123</v>
      </c>
      <c r="R8" s="34">
        <f>'SER_se-appl'!R20</f>
        <v>178.08185724907486</v>
      </c>
      <c r="S8" s="34">
        <f>'SER_se-appl'!S20</f>
        <v>180.51366554151519</v>
      </c>
      <c r="T8" s="34">
        <f>'SER_se-appl'!T20</f>
        <v>183.31812701649767</v>
      </c>
      <c r="U8" s="34">
        <f>'SER_se-appl'!U20</f>
        <v>186.10706719235242</v>
      </c>
      <c r="V8" s="34">
        <f>'SER_se-appl'!V20</f>
        <v>188.8777091704705</v>
      </c>
      <c r="W8" s="34">
        <f>'SER_se-appl'!W20</f>
        <v>191.62617465130739</v>
      </c>
      <c r="X8" s="34">
        <f>'SER_se-appl'!X20</f>
        <v>193.79209567663887</v>
      </c>
      <c r="Y8" s="34">
        <f>'SER_se-appl'!Y20</f>
        <v>195.65579720515092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8.6767802597489805</v>
      </c>
      <c r="D9" s="36">
        <f>'SER_se-appl'!D28</f>
        <v>11.746690086126819</v>
      </c>
      <c r="E9" s="36">
        <f>'SER_se-appl'!E28</f>
        <v>8.0662615019327859</v>
      </c>
      <c r="F9" s="36">
        <f>'SER_se-appl'!F28</f>
        <v>9.5776387362307389</v>
      </c>
      <c r="G9" s="36">
        <f>'SER_se-appl'!G28</f>
        <v>9.3572158101883787</v>
      </c>
      <c r="H9" s="36">
        <f>'SER_se-appl'!H28</f>
        <v>11.276072910451646</v>
      </c>
      <c r="I9" s="36">
        <f>'SER_se-appl'!I28</f>
        <v>11.52867663302581</v>
      </c>
      <c r="J9" s="36">
        <f>'SER_se-appl'!J28</f>
        <v>11.298474362097608</v>
      </c>
      <c r="K9" s="36">
        <f>'SER_se-appl'!K28</f>
        <v>7.332246721177313</v>
      </c>
      <c r="L9" s="36">
        <f>'SER_se-appl'!L28</f>
        <v>11.338899767759784</v>
      </c>
      <c r="M9" s="36">
        <f>'SER_se-appl'!M28</f>
        <v>11.036408161322385</v>
      </c>
      <c r="N9" s="36">
        <f>'SER_se-appl'!N28</f>
        <v>10.067258815158198</v>
      </c>
      <c r="O9" s="36">
        <f>'SER_se-appl'!O28</f>
        <v>10.738507214989994</v>
      </c>
      <c r="P9" s="36">
        <f>'SER_se-appl'!P28</f>
        <v>11.158744166880041</v>
      </c>
      <c r="Q9" s="36">
        <f>'SER_se-appl'!Q28</f>
        <v>11.611566586892337</v>
      </c>
      <c r="R9" s="36">
        <f>'SER_se-appl'!R28</f>
        <v>9.2764665370027046</v>
      </c>
      <c r="S9" s="36">
        <f>'SER_se-appl'!S28</f>
        <v>9.3312059992674676</v>
      </c>
      <c r="T9" s="36">
        <f>'SER_se-appl'!T28</f>
        <v>9.8990127462446935</v>
      </c>
      <c r="U9" s="36">
        <f>'SER_se-appl'!U28</f>
        <v>11.465720435603714</v>
      </c>
      <c r="V9" s="36">
        <f>'SER_se-appl'!V28</f>
        <v>14.517332064244897</v>
      </c>
      <c r="W9" s="36">
        <f>'SER_se-appl'!W28</f>
        <v>10.814726982769685</v>
      </c>
      <c r="X9" s="36">
        <f>'SER_se-appl'!X28</f>
        <v>11.74355976156221</v>
      </c>
      <c r="Y9" s="36">
        <f>'SER_se-appl'!Y28</f>
        <v>11.220917338700417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4.4156145323693607</v>
      </c>
      <c r="D10" s="38">
        <f>'SER_se-appl'!D36</f>
        <v>4.5405128136078332</v>
      </c>
      <c r="E10" s="38">
        <f>'SER_se-appl'!E36</f>
        <v>4.6689439169579146</v>
      </c>
      <c r="F10" s="38">
        <f>'SER_se-appl'!F36</f>
        <v>4.8010077703925873</v>
      </c>
      <c r="G10" s="38">
        <f>'SER_se-appl'!G36</f>
        <v>4.9368071284069401</v>
      </c>
      <c r="H10" s="38">
        <f>'SER_se-appl'!H36</f>
        <v>5.0764476519679818</v>
      </c>
      <c r="I10" s="38">
        <f>'SER_se-appl'!I36</f>
        <v>5.2200379907260128</v>
      </c>
      <c r="J10" s="38">
        <f>'SER_se-appl'!J36</f>
        <v>5.3676898675512632</v>
      </c>
      <c r="K10" s="38">
        <f>'SER_se-appl'!K36</f>
        <v>5.5195181654617045</v>
      </c>
      <c r="L10" s="38">
        <f>'SER_se-appl'!L36</f>
        <v>5.6756410170097809</v>
      </c>
      <c r="M10" s="38">
        <f>'SER_se-appl'!M36</f>
        <v>5.8361798961973932</v>
      </c>
      <c r="N10" s="38">
        <f>'SER_se-appl'!N36</f>
        <v>6.0012597129907306</v>
      </c>
      <c r="O10" s="38">
        <f>'SER_se-appl'!O36</f>
        <v>6.1710089105086467</v>
      </c>
      <c r="P10" s="38">
        <f>'SER_se-appl'!P36</f>
        <v>6.3455595649599559</v>
      </c>
      <c r="Q10" s="38">
        <f>'SER_se-appl'!Q36</f>
        <v>6.5250474884074947</v>
      </c>
      <c r="R10" s="38">
        <f>'SER_se-appl'!R36</f>
        <v>6.7096123344390719</v>
      </c>
      <c r="S10" s="38">
        <f>'SER_se-appl'!S36</f>
        <v>6.8993977068271306</v>
      </c>
      <c r="T10" s="38">
        <f>'SER_se-appl'!T36</f>
        <v>7.094551271262219</v>
      </c>
      <c r="U10" s="38">
        <f>'SER_se-appl'!U36</f>
        <v>8.6767802597489663</v>
      </c>
      <c r="V10" s="38">
        <f>'SER_se-appl'!V36</f>
        <v>11.746690086126819</v>
      </c>
      <c r="W10" s="38">
        <f>'SER_se-appl'!W36</f>
        <v>8.0662615019327859</v>
      </c>
      <c r="X10" s="38">
        <f>'SER_se-appl'!X36</f>
        <v>9.5776387362307389</v>
      </c>
      <c r="Y10" s="38">
        <f>'SER_se-appl'!Y36</f>
        <v>9.3572158101883645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8760</v>
      </c>
      <c r="C12" s="204">
        <f>'SER_se-appl'!C44</f>
        <v>8759.9999999999964</v>
      </c>
      <c r="D12" s="204">
        <f>'SER_se-appl'!D44</f>
        <v>8759.9999999999982</v>
      </c>
      <c r="E12" s="204">
        <f>'SER_se-appl'!E44</f>
        <v>8759.9999999999982</v>
      </c>
      <c r="F12" s="204">
        <f>'SER_se-appl'!F44</f>
        <v>8759.9999999999964</v>
      </c>
      <c r="G12" s="204">
        <f>'SER_se-appl'!G44</f>
        <v>8759.9999999999982</v>
      </c>
      <c r="H12" s="204">
        <f>'SER_se-appl'!H44</f>
        <v>8759.9999999999982</v>
      </c>
      <c r="I12" s="204">
        <f>'SER_se-appl'!I44</f>
        <v>8760</v>
      </c>
      <c r="J12" s="204">
        <f>'SER_se-appl'!J44</f>
        <v>8760.0000000000055</v>
      </c>
      <c r="K12" s="204">
        <f>'SER_se-appl'!K44</f>
        <v>8759.9999999999982</v>
      </c>
      <c r="L12" s="204">
        <f>'SER_se-appl'!L44</f>
        <v>8760</v>
      </c>
      <c r="M12" s="204">
        <f>'SER_se-appl'!M44</f>
        <v>8760.0000000000018</v>
      </c>
      <c r="N12" s="204">
        <f>'SER_se-appl'!N44</f>
        <v>8759.9999999999964</v>
      </c>
      <c r="O12" s="204">
        <f>'SER_se-appl'!O44</f>
        <v>8759.9999999999982</v>
      </c>
      <c r="P12" s="204">
        <f>'SER_se-appl'!P44</f>
        <v>8759.9999999999945</v>
      </c>
      <c r="Q12" s="204">
        <f>'SER_se-appl'!Q44</f>
        <v>8759.9999999999982</v>
      </c>
      <c r="R12" s="204">
        <f>'SER_se-appl'!R44</f>
        <v>8760</v>
      </c>
      <c r="S12" s="204">
        <f>'SER_se-appl'!S44</f>
        <v>8759.9999999999982</v>
      </c>
      <c r="T12" s="204">
        <f>'SER_se-appl'!T44</f>
        <v>8760</v>
      </c>
      <c r="U12" s="204">
        <f>'SER_se-appl'!U44</f>
        <v>8760</v>
      </c>
      <c r="V12" s="204">
        <f>'SER_se-appl'!V44</f>
        <v>8760</v>
      </c>
      <c r="W12" s="204">
        <f>'SER_se-appl'!W44</f>
        <v>8759.9999999999982</v>
      </c>
      <c r="X12" s="204">
        <f>'SER_se-appl'!X44</f>
        <v>8759.9999999999982</v>
      </c>
      <c r="Y12" s="204">
        <f>'SER_se-appl'!Y44</f>
        <v>8759.9999999999982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0.64762967465426513</v>
      </c>
      <c r="C14" s="59">
        <f>'SER_se-appl'!C52</f>
        <v>0.6418978237967381</v>
      </c>
      <c r="D14" s="59">
        <f>'SER_se-appl'!D52</f>
        <v>0.63432784593245839</v>
      </c>
      <c r="E14" s="59">
        <f>'SER_se-appl'!E52</f>
        <v>0.62895723975074214</v>
      </c>
      <c r="F14" s="59">
        <f>'SER_se-appl'!F52</f>
        <v>0.62268687895559038</v>
      </c>
      <c r="G14" s="59">
        <f>'SER_se-appl'!G52</f>
        <v>0.61648742003642076</v>
      </c>
      <c r="H14" s="59">
        <f>'SER_se-appl'!H52</f>
        <v>0.60923430521502209</v>
      </c>
      <c r="I14" s="59">
        <f>'SER_se-appl'!I52</f>
        <v>0.60199591888076975</v>
      </c>
      <c r="J14" s="59">
        <f>'SER_se-appl'!J52</f>
        <v>0.59491703233659177</v>
      </c>
      <c r="K14" s="59">
        <f>'SER_se-appl'!K52</f>
        <v>0.58948718854226778</v>
      </c>
      <c r="L14" s="59">
        <f>'SER_se-appl'!L52</f>
        <v>0.5820038691069247</v>
      </c>
      <c r="M14" s="59">
        <f>'SER_se-appl'!M52</f>
        <v>0.57454562016354727</v>
      </c>
      <c r="N14" s="59">
        <f>'SER_se-appl'!N52</f>
        <v>0.56719122915172249</v>
      </c>
      <c r="O14" s="59">
        <f>'SER_se-appl'!O52</f>
        <v>0.55924634386229222</v>
      </c>
      <c r="P14" s="59">
        <f>'SER_se-appl'!P52</f>
        <v>0.5508046042326884</v>
      </c>
      <c r="Q14" s="59">
        <f>'SER_se-appl'!Q52</f>
        <v>0.54191948067804463</v>
      </c>
      <c r="R14" s="59">
        <f>'SER_se-appl'!R52</f>
        <v>0.53406811424718581</v>
      </c>
      <c r="S14" s="59">
        <f>'SER_se-appl'!S52</f>
        <v>0.52604737165791104</v>
      </c>
      <c r="T14" s="59">
        <f>'SER_se-appl'!T52</f>
        <v>0.51769236947678432</v>
      </c>
      <c r="U14" s="59">
        <f>'SER_se-appl'!U52</f>
        <v>0.51100115406211688</v>
      </c>
      <c r="V14" s="59">
        <f>'SER_se-appl'!V52</f>
        <v>0.50260290570447119</v>
      </c>
      <c r="W14" s="59">
        <f>'SER_se-appl'!W52</f>
        <v>0.49690396498493994</v>
      </c>
      <c r="X14" s="59">
        <f>'SER_se-appl'!X52</f>
        <v>0.4906976276371548</v>
      </c>
      <c r="Y14" s="59">
        <f>'SER_se-appl'!Y52</f>
        <v>0.48496679518904107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0.57756284171284833</v>
      </c>
      <c r="D15" s="63">
        <f>'SER_se-appl'!D60</f>
        <v>0.57111683336627295</v>
      </c>
      <c r="E15" s="63">
        <f>'SER_se-appl'!E60</f>
        <v>0.56434741739177841</v>
      </c>
      <c r="F15" s="63">
        <f>'SER_se-appl'!F60</f>
        <v>0.55880795126044125</v>
      </c>
      <c r="G15" s="63">
        <f>'SER_se-appl'!G60</f>
        <v>0.55245587507773808</v>
      </c>
      <c r="H15" s="63">
        <f>'SER_se-appl'!H60</f>
        <v>0.54555855792671448</v>
      </c>
      <c r="I15" s="63">
        <f>'SER_se-appl'!I60</f>
        <v>0.53973933946598029</v>
      </c>
      <c r="J15" s="63">
        <f>'SER_se-appl'!J60</f>
        <v>0.53326318557381513</v>
      </c>
      <c r="K15" s="63">
        <f>'SER_se-appl'!K60</f>
        <v>0.52639080049938303</v>
      </c>
      <c r="L15" s="63">
        <f>'SER_se-appl'!L60</f>
        <v>0.51841908337326748</v>
      </c>
      <c r="M15" s="63">
        <f>'SER_se-appl'!M60</f>
        <v>0.5106214646215399</v>
      </c>
      <c r="N15" s="63">
        <f>'SER_se-appl'!N60</f>
        <v>0.50046268236775326</v>
      </c>
      <c r="O15" s="63">
        <f>'SER_se-appl'!O60</f>
        <v>0.49088563330577462</v>
      </c>
      <c r="P15" s="63">
        <f>'SER_se-appl'!P60</f>
        <v>0.48057519738391724</v>
      </c>
      <c r="Q15" s="63">
        <f>'SER_se-appl'!Q60</f>
        <v>0.47091148229684637</v>
      </c>
      <c r="R15" s="63">
        <f>'SER_se-appl'!R60</f>
        <v>0.46765505124000378</v>
      </c>
      <c r="S15" s="63">
        <f>'SER_se-appl'!S60</f>
        <v>0.46287182131883797</v>
      </c>
      <c r="T15" s="63">
        <f>'SER_se-appl'!T60</f>
        <v>0.4584596751948532</v>
      </c>
      <c r="U15" s="63">
        <f>'SER_se-appl'!U60</f>
        <v>0.45439067385175336</v>
      </c>
      <c r="V15" s="63">
        <f>'SER_se-appl'!V60</f>
        <v>0.45037833074725708</v>
      </c>
      <c r="W15" s="63">
        <f>'SER_se-appl'!W60</f>
        <v>0.44767606076277355</v>
      </c>
      <c r="X15" s="63">
        <f>'SER_se-appl'!X60</f>
        <v>0.44497379077828997</v>
      </c>
      <c r="Y15" s="63">
        <f>'SER_se-appl'!Y60</f>
        <v>0.44227152079380644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72.466842340499994</v>
      </c>
      <c r="C3" s="198">
        <f>'SER_se-appl'!C5</f>
        <v>73.029633173515947</v>
      </c>
      <c r="D3" s="198">
        <f>'SER_se-appl'!D5</f>
        <v>74.236617945451002</v>
      </c>
      <c r="E3" s="198">
        <f>'SER_se-appl'!E5</f>
        <v>74.915787488121467</v>
      </c>
      <c r="F3" s="198">
        <f>'SER_se-appl'!F5</f>
        <v>75.877085702450074</v>
      </c>
      <c r="G3" s="198">
        <f>'SER_se-appl'!G5</f>
        <v>77.160340660700939</v>
      </c>
      <c r="H3" s="198">
        <f>'SER_se-appl'!H5</f>
        <v>78.243386008635554</v>
      </c>
      <c r="I3" s="198">
        <f>'SER_se-appl'!I5</f>
        <v>79.457098259545958</v>
      </c>
      <c r="J3" s="198">
        <f>'SER_se-appl'!J5</f>
        <v>81.076324262698151</v>
      </c>
      <c r="K3" s="198">
        <f>'SER_se-appl'!K5</f>
        <v>82.549530838380093</v>
      </c>
      <c r="L3" s="198">
        <f>'SER_se-appl'!L5</f>
        <v>83.207345461833512</v>
      </c>
      <c r="M3" s="198">
        <f>'SER_se-appl'!M5</f>
        <v>84.147400796788958</v>
      </c>
      <c r="N3" s="198">
        <f>'SER_se-appl'!N5</f>
        <v>84.367038660668868</v>
      </c>
      <c r="O3" s="198">
        <f>'SER_se-appl'!O5</f>
        <v>85.001265937064844</v>
      </c>
      <c r="P3" s="198">
        <f>'SER_se-appl'!P5</f>
        <v>85.02022227047469</v>
      </c>
      <c r="Q3" s="198">
        <f>'SER_se-appl'!Q5</f>
        <v>84.792697278180853</v>
      </c>
      <c r="R3" s="198">
        <f>'SER_se-appl'!R5</f>
        <v>83.834169311764711</v>
      </c>
      <c r="S3" s="198">
        <f>'SER_se-appl'!S5</f>
        <v>83.304320035475513</v>
      </c>
      <c r="T3" s="198">
        <f>'SER_se-appl'!T5</f>
        <v>80.718449200301364</v>
      </c>
      <c r="U3" s="198">
        <f>'SER_se-appl'!U5</f>
        <v>77.819318837206325</v>
      </c>
      <c r="V3" s="198">
        <f>'SER_se-appl'!V5</f>
        <v>74.707540743234063</v>
      </c>
      <c r="W3" s="198">
        <f>'SER_se-appl'!W5</f>
        <v>72.262010575462725</v>
      </c>
      <c r="X3" s="198">
        <f>'SER_se-appl'!X5</f>
        <v>70.008014744381967</v>
      </c>
      <c r="Y3" s="198">
        <f>'SER_se-appl'!Y5</f>
        <v>68.364653384702137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203.70171561468197</v>
      </c>
      <c r="C5" s="59">
        <f>'SER_se-appl'!C13</f>
        <v>206.05130579382165</v>
      </c>
      <c r="D5" s="59">
        <f>'SER_se-appl'!D13</f>
        <v>210.05447146400661</v>
      </c>
      <c r="E5" s="59">
        <f>'SER_se-appl'!E13</f>
        <v>212.76096143968138</v>
      </c>
      <c r="F5" s="59">
        <f>'SER_se-appl'!F13</f>
        <v>215.65585638886398</v>
      </c>
      <c r="G5" s="59">
        <f>'SER_se-appl'!G13</f>
        <v>219.79274674303051</v>
      </c>
      <c r="H5" s="59">
        <f>'SER_se-appl'!H13</f>
        <v>223.02870632799554</v>
      </c>
      <c r="I5" s="59">
        <f>'SER_se-appl'!I13</f>
        <v>226.72036045267481</v>
      </c>
      <c r="J5" s="59">
        <f>'SER_se-appl'!J13</f>
        <v>231.6110863447266</v>
      </c>
      <c r="K5" s="59">
        <f>'SER_se-appl'!K13</f>
        <v>236.51646598709431</v>
      </c>
      <c r="L5" s="59">
        <f>'SER_se-appl'!L13</f>
        <v>239.38295377147446</v>
      </c>
      <c r="M5" s="59">
        <f>'SER_se-appl'!M13</f>
        <v>243.61339951234834</v>
      </c>
      <c r="N5" s="59">
        <f>'SER_se-appl'!N13</f>
        <v>246.03400274291914</v>
      </c>
      <c r="O5" s="59">
        <f>'SER_se-appl'!O13</f>
        <v>250.30816295908917</v>
      </c>
      <c r="P5" s="59">
        <f>'SER_se-appl'!P13</f>
        <v>253.61722272128236</v>
      </c>
      <c r="Q5" s="59">
        <f>'SER_se-appl'!Q13</f>
        <v>256.20842113083398</v>
      </c>
      <c r="R5" s="59">
        <f>'SER_se-appl'!R13</f>
        <v>252.21066419854841</v>
      </c>
      <c r="S5" s="59">
        <f>'SER_se-appl'!S13</f>
        <v>247.67055769417783</v>
      </c>
      <c r="T5" s="59">
        <f>'SER_se-appl'!T13</f>
        <v>242.08335267354443</v>
      </c>
      <c r="U5" s="59">
        <f>'SER_se-appl'!U13</f>
        <v>235.70921283818285</v>
      </c>
      <c r="V5" s="59">
        <f>'SER_se-appl'!V13</f>
        <v>227.94078087593752</v>
      </c>
      <c r="W5" s="59">
        <f>'SER_se-appl'!W13</f>
        <v>220.51952038397266</v>
      </c>
      <c r="X5" s="59">
        <f>'SER_se-appl'!X13</f>
        <v>214.83068656809382</v>
      </c>
      <c r="Y5" s="59">
        <f>'SER_se-appl'!Y13</f>
        <v>210.96246524004383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0.11072535044310412</v>
      </c>
      <c r="C6" s="201">
        <f>'SER_se-appl'!C69</f>
        <v>0.11279168204426178</v>
      </c>
      <c r="D6" s="201">
        <f>'SER_se-appl'!D69</f>
        <v>0.11577797488415977</v>
      </c>
      <c r="E6" s="201">
        <f>'SER_se-appl'!E69</f>
        <v>0.11819334270129887</v>
      </c>
      <c r="F6" s="201">
        <f>'SER_se-appl'!F69</f>
        <v>0.12114286297270764</v>
      </c>
      <c r="G6" s="201">
        <f>'SER_se-appl'!G69</f>
        <v>0.12508961909089786</v>
      </c>
      <c r="H6" s="201">
        <f>'SER_se-appl'!H69</f>
        <v>0.12890432500204241</v>
      </c>
      <c r="I6" s="201">
        <f>'SER_se-appl'!I69</f>
        <v>0.13345331967115445</v>
      </c>
      <c r="J6" s="201">
        <f>'SER_se-appl'!J69</f>
        <v>0.13754852664452796</v>
      </c>
      <c r="K6" s="201">
        <f>'SER_se-appl'!K69</f>
        <v>0.14198660145884839</v>
      </c>
      <c r="L6" s="201">
        <f>'SER_se-appl'!L69</f>
        <v>0.14541503544617718</v>
      </c>
      <c r="M6" s="201">
        <f>'SER_se-appl'!M69</f>
        <v>0.14923807560946667</v>
      </c>
      <c r="N6" s="201">
        <f>'SER_se-appl'!N69</f>
        <v>0.15390476158807215</v>
      </c>
      <c r="O6" s="201">
        <f>'SER_se-appl'!O69</f>
        <v>0.16065735987326352</v>
      </c>
      <c r="P6" s="201">
        <f>'SER_se-appl'!P69</f>
        <v>0.16850912569760093</v>
      </c>
      <c r="Q6" s="201">
        <f>'SER_se-appl'!Q69</f>
        <v>0.1762247982687368</v>
      </c>
      <c r="R6" s="201">
        <f>'SER_se-appl'!R69</f>
        <v>0.17979455991403498</v>
      </c>
      <c r="S6" s="201">
        <f>'SER_se-appl'!S69</f>
        <v>0.18353690511500023</v>
      </c>
      <c r="T6" s="201">
        <f>'SER_se-appl'!T69</f>
        <v>0.18749075991238304</v>
      </c>
      <c r="U6" s="201">
        <f>'SER_se-appl'!U69</f>
        <v>0.19115201037959245</v>
      </c>
      <c r="V6" s="201">
        <f>'SER_se-appl'!V69</f>
        <v>0.19440807643050448</v>
      </c>
      <c r="W6" s="201">
        <f>'SER_se-appl'!W69</f>
        <v>0.19790354892195799</v>
      </c>
      <c r="X6" s="201">
        <f>'SER_se-appl'!X69</f>
        <v>0.20038770789671204</v>
      </c>
      <c r="Y6" s="201">
        <f>'SER_se-appl'!Y69</f>
        <v>0.20214514932681815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1133.7262748417306</v>
      </c>
      <c r="C8" s="34">
        <f>'SER_se-appl'!C21</f>
        <v>1157.627728576625</v>
      </c>
      <c r="D8" s="34">
        <f>'SER_se-appl'!D21</f>
        <v>1193.639082112594</v>
      </c>
      <c r="E8" s="34">
        <f>'SER_se-appl'!E21</f>
        <v>1223.9918188531897</v>
      </c>
      <c r="F8" s="34">
        <f>'SER_se-appl'!F21</f>
        <v>1259.4522046095801</v>
      </c>
      <c r="G8" s="34">
        <f>'SER_se-appl'!G21</f>
        <v>1306.6676477598937</v>
      </c>
      <c r="H8" s="34">
        <f>'SER_se-appl'!H21</f>
        <v>1354.9626015486187</v>
      </c>
      <c r="I8" s="34">
        <f>'SER_se-appl'!I21</f>
        <v>1412.5411994722031</v>
      </c>
      <c r="J8" s="34">
        <f>'SER_se-appl'!J21</f>
        <v>1467.2117022146094</v>
      </c>
      <c r="K8" s="34">
        <f>'SER_se-appl'!K21</f>
        <v>1526.7932844151135</v>
      </c>
      <c r="L8" s="34">
        <f>'SER_se-appl'!L21</f>
        <v>1576.2851698081931</v>
      </c>
      <c r="M8" s="34">
        <f>'SER_se-appl'!M21</f>
        <v>1641.7140455963722</v>
      </c>
      <c r="N8" s="34">
        <f>'SER_se-appl'!N21</f>
        <v>1704.6320559209507</v>
      </c>
      <c r="O8" s="34">
        <f>'SER_se-appl'!O21</f>
        <v>1789.3974971770524</v>
      </c>
      <c r="P8" s="34">
        <f>'SER_se-appl'!P21</f>
        <v>1884.0735729647645</v>
      </c>
      <c r="Q8" s="34">
        <f>'SER_se-appl'!Q21</f>
        <v>1980.286343740521</v>
      </c>
      <c r="R8" s="34">
        <f>'SER_se-appl'!R21</f>
        <v>2033.6773031511595</v>
      </c>
      <c r="S8" s="34">
        <f>'SER_se-appl'!S21</f>
        <v>2083.4608412903863</v>
      </c>
      <c r="T8" s="34">
        <f>'SER_se-appl'!T21</f>
        <v>2137.1301135389303</v>
      </c>
      <c r="U8" s="34">
        <f>'SER_se-appl'!U21</f>
        <v>2189.7454867916185</v>
      </c>
      <c r="V8" s="34">
        <f>'SER_se-appl'!V21</f>
        <v>2240.0553961859018</v>
      </c>
      <c r="W8" s="34">
        <f>'SER_se-appl'!W21</f>
        <v>2286.7293962663257</v>
      </c>
      <c r="X8" s="34">
        <f>'SER_se-appl'!X21</f>
        <v>2328.0288441781236</v>
      </c>
      <c r="Y8" s="34">
        <f>'SER_se-appl'!Y21</f>
        <v>2373.7492509343629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166.12109955737981</v>
      </c>
      <c r="D9" s="36">
        <f>'SER_se-appl'!D29</f>
        <v>184.35282716136737</v>
      </c>
      <c r="E9" s="36">
        <f>'SER_se-appl'!E29</f>
        <v>185.07955152131194</v>
      </c>
      <c r="F9" s="36">
        <f>'SER_se-appl'!F29</f>
        <v>196.84739794586017</v>
      </c>
      <c r="G9" s="36">
        <f>'SER_se-appl'!G29</f>
        <v>215.54934015683421</v>
      </c>
      <c r="H9" s="36">
        <f>'SER_se-appl'!H29</f>
        <v>223.87476344611423</v>
      </c>
      <c r="I9" s="36">
        <f>'SER_se-appl'!I29</f>
        <v>240.71621968333534</v>
      </c>
      <c r="J9" s="36">
        <f>'SER_se-appl'!J29</f>
        <v>220.79160229978606</v>
      </c>
      <c r="K9" s="36">
        <f>'SER_se-appl'!K29</f>
        <v>243.9344093618713</v>
      </c>
      <c r="L9" s="36">
        <f>'SER_se-appl'!L29</f>
        <v>234.5714369143916</v>
      </c>
      <c r="M9" s="36">
        <f>'SER_se-appl'!M29</f>
        <v>262.27627373403925</v>
      </c>
      <c r="N9" s="36">
        <f>'SER_se-appl'!N29</f>
        <v>278.46735048141272</v>
      </c>
      <c r="O9" s="36">
        <f>'SER_se-appl'!O29</f>
        <v>308.6402047022159</v>
      </c>
      <c r="P9" s="36">
        <f>'SER_se-appl'!P29</f>
        <v>335.39229547104742</v>
      </c>
      <c r="Q9" s="36">
        <f>'SER_se-appl'!Q29</f>
        <v>317.00437307554262</v>
      </c>
      <c r="R9" s="36">
        <f>'SER_se-appl'!R29</f>
        <v>297.32536877250982</v>
      </c>
      <c r="S9" s="36">
        <f>'SER_se-appl'!S29</f>
        <v>284.35497505361832</v>
      </c>
      <c r="T9" s="36">
        <f>'SER_se-appl'!T29</f>
        <v>315.94554598258333</v>
      </c>
      <c r="U9" s="36">
        <f>'SER_se-appl'!U29</f>
        <v>331.08272373410091</v>
      </c>
      <c r="V9" s="36">
        <f>'SER_se-appl'!V29</f>
        <v>358.95011409649919</v>
      </c>
      <c r="W9" s="36">
        <f>'SER_se-appl'!W29</f>
        <v>382.06629555147128</v>
      </c>
      <c r="X9" s="36">
        <f>'SER_se-appl'!X29</f>
        <v>358.30382098734049</v>
      </c>
      <c r="Y9" s="36">
        <f>'SER_se-appl'!Y29</f>
        <v>343.04577552874912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142.21964582248529</v>
      </c>
      <c r="D10" s="38">
        <f>'SER_se-appl'!D37</f>
        <v>148.34147362539829</v>
      </c>
      <c r="E10" s="38">
        <f>'SER_se-appl'!E37</f>
        <v>154.72681478071627</v>
      </c>
      <c r="F10" s="38">
        <f>'SER_se-appl'!F37</f>
        <v>161.38701218946971</v>
      </c>
      <c r="G10" s="38">
        <f>'SER_se-appl'!G37</f>
        <v>168.3338970065206</v>
      </c>
      <c r="H10" s="38">
        <f>'SER_se-appl'!H37</f>
        <v>175.57980965738921</v>
      </c>
      <c r="I10" s="38">
        <f>'SER_se-appl'!I37</f>
        <v>183.13762175975103</v>
      </c>
      <c r="J10" s="38">
        <f>'SER_se-appl'!J37</f>
        <v>166.12109955737969</v>
      </c>
      <c r="K10" s="38">
        <f>'SER_se-appl'!K37</f>
        <v>184.35282716136726</v>
      </c>
      <c r="L10" s="38">
        <f>'SER_se-appl'!L37</f>
        <v>185.07955152131194</v>
      </c>
      <c r="M10" s="38">
        <f>'SER_se-appl'!M37</f>
        <v>196.84739794586017</v>
      </c>
      <c r="N10" s="38">
        <f>'SER_se-appl'!N37</f>
        <v>215.54934015683421</v>
      </c>
      <c r="O10" s="38">
        <f>'SER_se-appl'!O37</f>
        <v>223.87476344611423</v>
      </c>
      <c r="P10" s="38">
        <f>'SER_se-appl'!P37</f>
        <v>240.71621968333557</v>
      </c>
      <c r="Q10" s="38">
        <f>'SER_se-appl'!Q37</f>
        <v>220.79160229978629</v>
      </c>
      <c r="R10" s="38">
        <f>'SER_se-appl'!R37</f>
        <v>243.9344093618713</v>
      </c>
      <c r="S10" s="38">
        <f>'SER_se-appl'!S37</f>
        <v>234.5714369143916</v>
      </c>
      <c r="T10" s="38">
        <f>'SER_se-appl'!T37</f>
        <v>262.27627373403902</v>
      </c>
      <c r="U10" s="38">
        <f>'SER_se-appl'!U37</f>
        <v>278.46735048141272</v>
      </c>
      <c r="V10" s="38">
        <f>'SER_se-appl'!V37</f>
        <v>308.64020470221612</v>
      </c>
      <c r="W10" s="38">
        <f>'SER_se-appl'!W37</f>
        <v>335.39229547104742</v>
      </c>
      <c r="X10" s="38">
        <f>'SER_se-appl'!X37</f>
        <v>317.00437307554284</v>
      </c>
      <c r="Y10" s="38">
        <f>'SER_se-appl'!Y37</f>
        <v>297.32536877251005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4137.3700455926364</v>
      </c>
      <c r="C12" s="204">
        <f>'SER_se-appl'!C45</f>
        <v>4121.9570559666763</v>
      </c>
      <c r="D12" s="204">
        <f>'SER_se-appl'!D45</f>
        <v>4110.2284597332946</v>
      </c>
      <c r="E12" s="204">
        <f>'SER_se-appl'!E45</f>
        <v>4095.0680171365057</v>
      </c>
      <c r="F12" s="204">
        <f>'SER_se-appl'!F45</f>
        <v>4091.9385241654963</v>
      </c>
      <c r="G12" s="204">
        <f>'SER_se-appl'!G45</f>
        <v>4082.8224551609646</v>
      </c>
      <c r="H12" s="204">
        <f>'SER_se-appl'!H45</f>
        <v>4080.0603395967778</v>
      </c>
      <c r="I12" s="204">
        <f>'SER_se-appl'!I45</f>
        <v>4075.8847194555842</v>
      </c>
      <c r="J12" s="204">
        <f>'SER_se-appl'!J45</f>
        <v>4071.1248587287159</v>
      </c>
      <c r="K12" s="204">
        <f>'SER_se-appl'!K45</f>
        <v>4059.1298353948278</v>
      </c>
      <c r="L12" s="204">
        <f>'SER_se-appl'!L45</f>
        <v>4042.4826098726076</v>
      </c>
      <c r="M12" s="204">
        <f>'SER_se-appl'!M45</f>
        <v>4017.1610971548807</v>
      </c>
      <c r="N12" s="204">
        <f>'SER_se-appl'!N45</f>
        <v>3988.0205527884809</v>
      </c>
      <c r="O12" s="204">
        <f>'SER_se-appl'!O45</f>
        <v>3949.3906677331852</v>
      </c>
      <c r="P12" s="204">
        <f>'SER_se-appl'!P45</f>
        <v>3898.7304347712443</v>
      </c>
      <c r="Q12" s="204">
        <f>'SER_se-appl'!Q45</f>
        <v>3848.9721180619081</v>
      </c>
      <c r="R12" s="204">
        <f>'SER_se-appl'!R45</f>
        <v>3865.7817749065466</v>
      </c>
      <c r="S12" s="204">
        <f>'SER_se-appl'!S45</f>
        <v>3911.7658999616938</v>
      </c>
      <c r="T12" s="204">
        <f>'SER_se-appl'!T45</f>
        <v>3877.8195767366155</v>
      </c>
      <c r="U12" s="204">
        <f>'SER_se-appl'!U45</f>
        <v>3839.6406622342301</v>
      </c>
      <c r="V12" s="204">
        <f>'SER_se-appl'!V45</f>
        <v>3811.7299392630612</v>
      </c>
      <c r="W12" s="204">
        <f>'SER_se-appl'!W45</f>
        <v>3811.0330619679335</v>
      </c>
      <c r="X12" s="204">
        <f>'SER_se-appl'!X45</f>
        <v>3789.9297557711402</v>
      </c>
      <c r="Y12" s="204">
        <f>'SER_se-appl'!Y45</f>
        <v>3768.826449574347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179.67451238890882</v>
      </c>
      <c r="C14" s="59">
        <f>'SER_se-appl'!C53</f>
        <v>177.99444562992156</v>
      </c>
      <c r="D14" s="59">
        <f>'SER_se-appl'!D53</f>
        <v>175.97821201718369</v>
      </c>
      <c r="E14" s="59">
        <f>'SER_se-appl'!E53</f>
        <v>173.82547674136109</v>
      </c>
      <c r="F14" s="59">
        <f>'SER_se-appl'!F53</f>
        <v>171.22988518307096</v>
      </c>
      <c r="G14" s="59">
        <f>'SER_se-appl'!G53</f>
        <v>168.20860845513062</v>
      </c>
      <c r="H14" s="59">
        <f>'SER_se-appl'!H53</f>
        <v>164.60137429113598</v>
      </c>
      <c r="I14" s="59">
        <f>'SER_se-appl'!I53</f>
        <v>160.50530811942974</v>
      </c>
      <c r="J14" s="59">
        <f>'SER_se-appl'!J53</f>
        <v>157.85798736142357</v>
      </c>
      <c r="K14" s="59">
        <f>'SER_se-appl'!K53</f>
        <v>154.91060145558566</v>
      </c>
      <c r="L14" s="59">
        <f>'SER_se-appl'!L53</f>
        <v>151.86525785851506</v>
      </c>
      <c r="M14" s="59">
        <f>'SER_se-appl'!M53</f>
        <v>148.38966637691942</v>
      </c>
      <c r="N14" s="59">
        <f>'SER_se-appl'!N53</f>
        <v>144.33261529274475</v>
      </c>
      <c r="O14" s="59">
        <f>'SER_se-appl'!O53</f>
        <v>139.8840466436186</v>
      </c>
      <c r="P14" s="59">
        <f>'SER_se-appl'!P53</f>
        <v>134.61110349432488</v>
      </c>
      <c r="Q14" s="59">
        <f>'SER_se-appl'!Q53</f>
        <v>129.37948188184103</v>
      </c>
      <c r="R14" s="59">
        <f>'SER_se-appl'!R53</f>
        <v>124.01705216838035</v>
      </c>
      <c r="S14" s="59">
        <f>'SER_se-appl'!S53</f>
        <v>118.8745921141401</v>
      </c>
      <c r="T14" s="59">
        <f>'SER_se-appl'!T53</f>
        <v>113.27497148625743</v>
      </c>
      <c r="U14" s="59">
        <f>'SER_se-appl'!U53</f>
        <v>107.64228731602061</v>
      </c>
      <c r="V14" s="59">
        <f>'SER_se-appl'!V53</f>
        <v>101.75676068727934</v>
      </c>
      <c r="W14" s="59">
        <f>'SER_se-appl'!W53</f>
        <v>96.434462575251601</v>
      </c>
      <c r="X14" s="59">
        <f>'SER_se-appl'!X53</f>
        <v>92.28007939220214</v>
      </c>
      <c r="Y14" s="59">
        <f>'SER_se-appl'!Y53</f>
        <v>88.873104502088452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167.96683725766076</v>
      </c>
      <c r="D15" s="63">
        <f>'SER_se-appl'!D61</f>
        <v>166.29171400797932</v>
      </c>
      <c r="E15" s="63">
        <f>'SER_se-appl'!E61</f>
        <v>164.8315803886961</v>
      </c>
      <c r="F15" s="63">
        <f>'SER_se-appl'!F61</f>
        <v>162.01396616377906</v>
      </c>
      <c r="G15" s="63">
        <f>'SER_se-appl'!G61</f>
        <v>159.50965654694789</v>
      </c>
      <c r="H15" s="63">
        <f>'SER_se-appl'!H61</f>
        <v>155.36890239469102</v>
      </c>
      <c r="I15" s="63">
        <f>'SER_se-appl'!I61</f>
        <v>152.03303318143844</v>
      </c>
      <c r="J15" s="63">
        <f>'SER_se-appl'!J61</f>
        <v>148.52721410093957</v>
      </c>
      <c r="K15" s="63">
        <f>'SER_se-appl'!K61</f>
        <v>145.78397261082276</v>
      </c>
      <c r="L15" s="63">
        <f>'SER_se-appl'!L61</f>
        <v>142.27411145308795</v>
      </c>
      <c r="M15" s="63">
        <f>'SER_se-appl'!M61</f>
        <v>137.72680577173497</v>
      </c>
      <c r="N15" s="63">
        <f>'SER_se-appl'!N61</f>
        <v>132.16200888285167</v>
      </c>
      <c r="O15" s="63">
        <f>'SER_se-appl'!O61</f>
        <v>126.54649618427861</v>
      </c>
      <c r="P15" s="63">
        <f>'SER_se-appl'!P61</f>
        <v>118.98268778229868</v>
      </c>
      <c r="Q15" s="63">
        <f>'SER_se-appl'!Q61</f>
        <v>111.62230871682394</v>
      </c>
      <c r="R15" s="63">
        <f>'SER_se-appl'!R61</f>
        <v>106.1596945167265</v>
      </c>
      <c r="S15" s="63">
        <f>'SER_se-appl'!S61</f>
        <v>101.39909192537168</v>
      </c>
      <c r="T15" s="63">
        <f>'SER_se-appl'!T61</f>
        <v>96.647250701082086</v>
      </c>
      <c r="U15" s="63">
        <f>'SER_se-appl'!U61</f>
        <v>91.906531000345666</v>
      </c>
      <c r="V15" s="63">
        <f>'SER_se-appl'!V61</f>
        <v>87.167835572847906</v>
      </c>
      <c r="W15" s="63">
        <f>'SER_se-appl'!W61</f>
        <v>85.023506817755845</v>
      </c>
      <c r="X15" s="63">
        <f>'SER_se-appl'!X61</f>
        <v>82.879178062663797</v>
      </c>
      <c r="Y15" s="63">
        <f>'SER_se-appl'!Y61</f>
        <v>80.734849307571736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283.87050726256768</v>
      </c>
      <c r="C3" s="198">
        <f>'SER_se-appl'!C6</f>
        <v>287.9360454118243</v>
      </c>
      <c r="D3" s="198">
        <f>'SER_se-appl'!D6</f>
        <v>300.85879905489185</v>
      </c>
      <c r="E3" s="198">
        <f>'SER_se-appl'!E6</f>
        <v>303.25398443812344</v>
      </c>
      <c r="F3" s="198">
        <f>'SER_se-appl'!F6</f>
        <v>309.75708103660725</v>
      </c>
      <c r="G3" s="198">
        <f>'SER_se-appl'!G6</f>
        <v>312.79894662444161</v>
      </c>
      <c r="H3" s="198">
        <f>'SER_se-appl'!H6</f>
        <v>318.11618887039987</v>
      </c>
      <c r="I3" s="198">
        <f>'SER_se-appl'!I6</f>
        <v>325.10256119082658</v>
      </c>
      <c r="J3" s="198">
        <f>'SER_se-appl'!J6</f>
        <v>330.1253795613959</v>
      </c>
      <c r="K3" s="198">
        <f>'SER_se-appl'!K6</f>
        <v>328.85280681851236</v>
      </c>
      <c r="L3" s="198">
        <f>'SER_se-appl'!L6</f>
        <v>337.33637790023795</v>
      </c>
      <c r="M3" s="198">
        <f>'SER_se-appl'!M6</f>
        <v>342.01832173864329</v>
      </c>
      <c r="N3" s="198">
        <f>'SER_se-appl'!N6</f>
        <v>343.59951215760134</v>
      </c>
      <c r="O3" s="198">
        <f>'SER_se-appl'!O6</f>
        <v>341.81572203137421</v>
      </c>
      <c r="P3" s="198">
        <f>'SER_se-appl'!P6</f>
        <v>341.099349730158</v>
      </c>
      <c r="Q3" s="198">
        <f>'SER_se-appl'!Q6</f>
        <v>341.74611260796911</v>
      </c>
      <c r="R3" s="198">
        <f>'SER_se-appl'!R6</f>
        <v>333.4406076381498</v>
      </c>
      <c r="S3" s="198">
        <f>'SER_se-appl'!S6</f>
        <v>333.6033888879557</v>
      </c>
      <c r="T3" s="198">
        <f>'SER_se-appl'!T6</f>
        <v>315.51411689390608</v>
      </c>
      <c r="U3" s="198">
        <f>'SER_se-appl'!U6</f>
        <v>297.76753214134226</v>
      </c>
      <c r="V3" s="198">
        <f>'SER_se-appl'!V6</f>
        <v>264.89545787719368</v>
      </c>
      <c r="W3" s="198">
        <f>'SER_se-appl'!W6</f>
        <v>251.71815640307742</v>
      </c>
      <c r="X3" s="198">
        <f>'SER_se-appl'!X6</f>
        <v>242.96161417074927</v>
      </c>
      <c r="Y3" s="198">
        <f>'SER_se-appl'!Y6</f>
        <v>231.97603356464484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1352.0862164929681</v>
      </c>
      <c r="C5" s="59">
        <f>'SER_se-appl'!C14</f>
        <v>1363.1249440121537</v>
      </c>
      <c r="D5" s="59">
        <f>'SER_se-appl'!D14</f>
        <v>1415.7849210415882</v>
      </c>
      <c r="E5" s="59">
        <f>'SER_se-appl'!E14</f>
        <v>1420.0391396587902</v>
      </c>
      <c r="F5" s="59">
        <f>'SER_se-appl'!F14</f>
        <v>1440.6412013864608</v>
      </c>
      <c r="G5" s="59">
        <f>'SER_se-appl'!G14</f>
        <v>1446.6933043117997</v>
      </c>
      <c r="H5" s="59">
        <f>'SER_se-appl'!H14</f>
        <v>1463.054222475454</v>
      </c>
      <c r="I5" s="59">
        <f>'SER_se-appl'!I14</f>
        <v>1485.6759347183474</v>
      </c>
      <c r="J5" s="59">
        <f>'SER_se-appl'!J14</f>
        <v>1502.4597888762894</v>
      </c>
      <c r="K5" s="59">
        <f>'SER_se-appl'!K14</f>
        <v>1493.1664143042551</v>
      </c>
      <c r="L5" s="59">
        <f>'SER_se-appl'!L14</f>
        <v>1526.9602460128299</v>
      </c>
      <c r="M5" s="59">
        <f>'SER_se-appl'!M14</f>
        <v>1541.4507314284729</v>
      </c>
      <c r="N5" s="59">
        <f>'SER_se-appl'!N14</f>
        <v>1545.1737038251367</v>
      </c>
      <c r="O5" s="59">
        <f>'SER_se-appl'!O14</f>
        <v>1535.4475480334729</v>
      </c>
      <c r="P5" s="59">
        <f>'SER_se-appl'!P14</f>
        <v>1525.568792772491</v>
      </c>
      <c r="Q5" s="59">
        <f>'SER_se-appl'!Q14</f>
        <v>1524.4573794863738</v>
      </c>
      <c r="R5" s="59">
        <f>'SER_se-appl'!R14</f>
        <v>1478.1259440516351</v>
      </c>
      <c r="S5" s="59">
        <f>'SER_se-appl'!S14</f>
        <v>1434.9900076404824</v>
      </c>
      <c r="T5" s="59">
        <f>'SER_se-appl'!T14</f>
        <v>1380.3559073234469</v>
      </c>
      <c r="U5" s="59">
        <f>'SER_se-appl'!U14</f>
        <v>1323.9524834826177</v>
      </c>
      <c r="V5" s="59">
        <f>'SER_se-appl'!V14</f>
        <v>1244.3916029706136</v>
      </c>
      <c r="W5" s="59">
        <f>'SER_se-appl'!W14</f>
        <v>1182.9300223372245</v>
      </c>
      <c r="X5" s="59">
        <f>'SER_se-appl'!X14</f>
        <v>1115.4326371486632</v>
      </c>
      <c r="Y5" s="59">
        <f>'SER_se-appl'!Y14</f>
        <v>1052.8506969287296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170.2086426729397</v>
      </c>
      <c r="C6" s="201">
        <f>'SER_se-appl'!C70</f>
        <v>171.63122062848086</v>
      </c>
      <c r="D6" s="201">
        <f>'SER_se-appl'!D70</f>
        <v>173.86800262145684</v>
      </c>
      <c r="E6" s="201">
        <f>'SER_se-appl'!E70</f>
        <v>176.50933017144567</v>
      </c>
      <c r="F6" s="201">
        <f>'SER_se-appl'!F70</f>
        <v>179.37456208960586</v>
      </c>
      <c r="G6" s="201">
        <f>'SER_se-appl'!G70</f>
        <v>181.95543520096044</v>
      </c>
      <c r="H6" s="201">
        <f>'SER_se-appl'!H70</f>
        <v>185.91865098325374</v>
      </c>
      <c r="I6" s="201">
        <f>'SER_se-appl'!I70</f>
        <v>188.66305610645324</v>
      </c>
      <c r="J6" s="201">
        <f>'SER_se-appl'!J70</f>
        <v>192.70419630010124</v>
      </c>
      <c r="K6" s="201">
        <f>'SER_se-appl'!K70</f>
        <v>196.94365852832897</v>
      </c>
      <c r="L6" s="201">
        <f>'SER_se-appl'!L70</f>
        <v>203.57044732732464</v>
      </c>
      <c r="M6" s="201">
        <f>'SER_se-appl'!M70</f>
        <v>208.83970272154582</v>
      </c>
      <c r="N6" s="201">
        <f>'SER_se-appl'!N70</f>
        <v>215.63882273542879</v>
      </c>
      <c r="O6" s="201">
        <f>'SER_se-appl'!O70</f>
        <v>221.22628540978616</v>
      </c>
      <c r="P6" s="201">
        <f>'SER_se-appl'!P70</f>
        <v>229.24925159793202</v>
      </c>
      <c r="Q6" s="201">
        <f>'SER_se-appl'!Q70</f>
        <v>237.82623802503716</v>
      </c>
      <c r="R6" s="201">
        <f>'SER_se-appl'!R70</f>
        <v>242.65957320650617</v>
      </c>
      <c r="S6" s="201">
        <f>'SER_se-appl'!S70</f>
        <v>247.56034954820899</v>
      </c>
      <c r="T6" s="201">
        <f>'SER_se-appl'!T70</f>
        <v>252.24559315110298</v>
      </c>
      <c r="U6" s="201">
        <f>'SER_se-appl'!U70</f>
        <v>256.54225181434464</v>
      </c>
      <c r="V6" s="201">
        <f>'SER_se-appl'!V70</f>
        <v>260.12781896283678</v>
      </c>
      <c r="W6" s="201">
        <f>'SER_se-appl'!W70</f>
        <v>262.58557150964867</v>
      </c>
      <c r="X6" s="201">
        <f>'SER_se-appl'!X70</f>
        <v>263.82314216604465</v>
      </c>
      <c r="Y6" s="201">
        <f>'SER_se-appl'!Y70</f>
        <v>264.44411303919713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33.119639535147023</v>
      </c>
      <c r="C8" s="34">
        <f>'SER_se-appl'!C22</f>
        <v>33.793433798693009</v>
      </c>
      <c r="D8" s="34">
        <f>'SER_se-appl'!D22</f>
        <v>35.864569412315689</v>
      </c>
      <c r="E8" s="34">
        <f>'SER_se-appl'!E22</f>
        <v>36.817925724711074</v>
      </c>
      <c r="F8" s="34">
        <f>'SER_se-appl'!F22</f>
        <v>38.345404364408616</v>
      </c>
      <c r="G8" s="34">
        <f>'SER_se-appl'!G22</f>
        <v>39.584791896909756</v>
      </c>
      <c r="H8" s="34">
        <f>'SER_se-appl'!H22</f>
        <v>41.331620745392236</v>
      </c>
      <c r="I8" s="34">
        <f>'SER_se-appl'!I22</f>
        <v>42.954576677150037</v>
      </c>
      <c r="J8" s="34">
        <f>'SER_se-appl'!J22</f>
        <v>44.539829662719974</v>
      </c>
      <c r="K8" s="34">
        <f>'SER_se-appl'!K22</f>
        <v>45.236333746580442</v>
      </c>
      <c r="L8" s="34">
        <f>'SER_se-appl'!L22</f>
        <v>47.726960448749203</v>
      </c>
      <c r="M8" s="34">
        <f>'SER_se-appl'!M22</f>
        <v>49.740973933107405</v>
      </c>
      <c r="N8" s="34">
        <f>'SER_se-appl'!N22</f>
        <v>51.753123556605665</v>
      </c>
      <c r="O8" s="34">
        <f>'SER_se-appl'!O22</f>
        <v>53.389137961161516</v>
      </c>
      <c r="P8" s="34">
        <f>'SER_se-appl'!P22</f>
        <v>55.705262377300279</v>
      </c>
      <c r="Q8" s="34">
        <f>'SER_se-appl'!Q22</f>
        <v>57.982823812738431</v>
      </c>
      <c r="R8" s="34">
        <f>'SER_se-appl'!R22</f>
        <v>59.65918336716971</v>
      </c>
      <c r="S8" s="34">
        <f>'SER_se-appl'!S22</f>
        <v>61.32005830137701</v>
      </c>
      <c r="T8" s="34">
        <f>'SER_se-appl'!T22</f>
        <v>63.067740744743702</v>
      </c>
      <c r="U8" s="34">
        <f>'SER_se-appl'!U22</f>
        <v>64.726507962336115</v>
      </c>
      <c r="V8" s="34">
        <f>'SER_se-appl'!V22</f>
        <v>66.210158318848514</v>
      </c>
      <c r="W8" s="34">
        <f>'SER_se-appl'!W22</f>
        <v>67.404110465939326</v>
      </c>
      <c r="X8" s="34">
        <f>'SER_se-appl'!X22</f>
        <v>68.282816566622728</v>
      </c>
      <c r="Y8" s="34">
        <f>'SER_se-appl'!Y22</f>
        <v>68.998555057428604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5.8459591117812622</v>
      </c>
      <c r="D9" s="36">
        <f>'SER_se-appl'!D30</f>
        <v>7.3776647813278693</v>
      </c>
      <c r="E9" s="36">
        <f>'SER_se-appl'!E30</f>
        <v>6.3977403631693619</v>
      </c>
      <c r="F9" s="36">
        <f>'SER_se-appl'!F30</f>
        <v>7.1132988162293209</v>
      </c>
      <c r="G9" s="36">
        <f>'SER_se-appl'!G30</f>
        <v>6.9703181122632216</v>
      </c>
      <c r="H9" s="36">
        <f>'SER_se-appl'!H30</f>
        <v>7.6266395606212001</v>
      </c>
      <c r="I9" s="36">
        <f>'SER_se-appl'!I30</f>
        <v>7.468915043539063</v>
      </c>
      <c r="J9" s="36">
        <f>'SER_se-appl'!J30</f>
        <v>8.9629177668978102</v>
      </c>
      <c r="K9" s="36">
        <f>'SER_se-appl'!K30</f>
        <v>7.0942444470298298</v>
      </c>
      <c r="L9" s="36">
        <f>'SER_se-appl'!L30</f>
        <v>9.6039255183980785</v>
      </c>
      <c r="M9" s="36">
        <f>'SER_se-appl'!M30</f>
        <v>8.9843315966214234</v>
      </c>
      <c r="N9" s="36">
        <f>'SER_se-appl'!N30</f>
        <v>9.6387891841194602</v>
      </c>
      <c r="O9" s="36">
        <f>'SER_se-appl'!O30</f>
        <v>9.1049294480949143</v>
      </c>
      <c r="P9" s="36">
        <f>'SER_se-appl'!P30</f>
        <v>11.279042183036573</v>
      </c>
      <c r="Q9" s="36">
        <f>'SER_se-appl'!Q30</f>
        <v>9.3718058824679815</v>
      </c>
      <c r="R9" s="36">
        <f>'SER_se-appl'!R30</f>
        <v>11.280285072829358</v>
      </c>
      <c r="S9" s="36">
        <f>'SER_se-appl'!S30</f>
        <v>10.645206530828723</v>
      </c>
      <c r="T9" s="36">
        <f>'SER_se-appl'!T30</f>
        <v>11.386471627486152</v>
      </c>
      <c r="U9" s="36">
        <f>'SER_se-appl'!U30</f>
        <v>10.763696665687327</v>
      </c>
      <c r="V9" s="36">
        <f>'SER_se-appl'!V30</f>
        <v>12.762692539548972</v>
      </c>
      <c r="W9" s="36">
        <f>'SER_se-appl'!W30</f>
        <v>10.565758029558793</v>
      </c>
      <c r="X9" s="36">
        <f>'SER_se-appl'!X30</f>
        <v>12.15899117351276</v>
      </c>
      <c r="Y9" s="36">
        <f>'SER_se-appl'!Y30</f>
        <v>11.360945021634599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5.1721648482352762</v>
      </c>
      <c r="D10" s="38">
        <f>'SER_se-appl'!D38</f>
        <v>5.3065291677051931</v>
      </c>
      <c r="E10" s="38">
        <f>'SER_se-appl'!E38</f>
        <v>5.4443840507739765</v>
      </c>
      <c r="F10" s="38">
        <f>'SER_se-appl'!F38</f>
        <v>5.5858201765317759</v>
      </c>
      <c r="G10" s="38">
        <f>'SER_se-appl'!G38</f>
        <v>5.7309305797620809</v>
      </c>
      <c r="H10" s="38">
        <f>'SER_se-appl'!H38</f>
        <v>5.8798107121387204</v>
      </c>
      <c r="I10" s="38">
        <f>'SER_se-appl'!I38</f>
        <v>5.8459591117812622</v>
      </c>
      <c r="J10" s="38">
        <f>'SER_se-appl'!J38</f>
        <v>7.3776647813278728</v>
      </c>
      <c r="K10" s="38">
        <f>'SER_se-appl'!K38</f>
        <v>6.3977403631693619</v>
      </c>
      <c r="L10" s="38">
        <f>'SER_se-appl'!L38</f>
        <v>7.1132988162293174</v>
      </c>
      <c r="M10" s="38">
        <f>'SER_se-appl'!M38</f>
        <v>6.9703181122632216</v>
      </c>
      <c r="N10" s="38">
        <f>'SER_se-appl'!N38</f>
        <v>7.6266395606212001</v>
      </c>
      <c r="O10" s="38">
        <f>'SER_se-appl'!O38</f>
        <v>7.468915043539063</v>
      </c>
      <c r="P10" s="38">
        <f>'SER_se-appl'!P38</f>
        <v>8.9629177668978102</v>
      </c>
      <c r="Q10" s="38">
        <f>'SER_se-appl'!Q38</f>
        <v>7.0942444470298227</v>
      </c>
      <c r="R10" s="38">
        <f>'SER_se-appl'!R38</f>
        <v>9.6039255183980785</v>
      </c>
      <c r="S10" s="38">
        <f>'SER_se-appl'!S38</f>
        <v>8.9843315966214234</v>
      </c>
      <c r="T10" s="38">
        <f>'SER_se-appl'!T38</f>
        <v>9.6387891841194602</v>
      </c>
      <c r="U10" s="38">
        <f>'SER_se-appl'!U38</f>
        <v>9.1049294480949072</v>
      </c>
      <c r="V10" s="38">
        <f>'SER_se-appl'!V38</f>
        <v>11.279042183036566</v>
      </c>
      <c r="W10" s="38">
        <f>'SER_se-appl'!W38</f>
        <v>9.3718058824679815</v>
      </c>
      <c r="X10" s="38">
        <f>'SER_se-appl'!X38</f>
        <v>11.280285072829358</v>
      </c>
      <c r="Y10" s="38">
        <f>'SER_se-appl'!Y38</f>
        <v>10.645206530828716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2441.7185525541759</v>
      </c>
      <c r="C12" s="204">
        <f>'SER_se-appl'!C46</f>
        <v>2456.6318904583554</v>
      </c>
      <c r="D12" s="204">
        <f>'SER_se-appl'!D46</f>
        <v>2471.4119927440665</v>
      </c>
      <c r="E12" s="204">
        <f>'SER_se-appl'!E46</f>
        <v>2483.6243878903315</v>
      </c>
      <c r="F12" s="204">
        <f>'SER_se-appl'!F46</f>
        <v>2500.6051812128871</v>
      </c>
      <c r="G12" s="204">
        <f>'SER_se-appl'!G46</f>
        <v>2514.5977647092263</v>
      </c>
      <c r="H12" s="204">
        <f>'SER_se-appl'!H46</f>
        <v>2528.7451549833595</v>
      </c>
      <c r="I12" s="204">
        <f>'SER_se-appl'!I46</f>
        <v>2544.9310299059935</v>
      </c>
      <c r="J12" s="204">
        <f>'SER_se-appl'!J46</f>
        <v>2555.381643305438</v>
      </c>
      <c r="K12" s="204">
        <f>'SER_se-appl'!K46</f>
        <v>2561.3743429136543</v>
      </c>
      <c r="L12" s="204">
        <f>'SER_se-appl'!L46</f>
        <v>2569.3020399345769</v>
      </c>
      <c r="M12" s="204">
        <f>'SER_se-appl'!M46</f>
        <v>2580.4737061782603</v>
      </c>
      <c r="N12" s="204">
        <f>'SER_se-appl'!N46</f>
        <v>2586.1573469057221</v>
      </c>
      <c r="O12" s="204">
        <f>'SER_se-appl'!O46</f>
        <v>2589.0280995376729</v>
      </c>
      <c r="P12" s="204">
        <f>'SER_se-appl'!P46</f>
        <v>2600.3320572337748</v>
      </c>
      <c r="Q12" s="204">
        <f>'SER_se-appl'!Q46</f>
        <v>2607.1619601262892</v>
      </c>
      <c r="R12" s="204">
        <f>'SER_se-appl'!R46</f>
        <v>2623.5344034366099</v>
      </c>
      <c r="S12" s="204">
        <f>'SER_se-appl'!S46</f>
        <v>2703.7173723226083</v>
      </c>
      <c r="T12" s="204">
        <f>'SER_se-appl'!T46</f>
        <v>2658.3210605381228</v>
      </c>
      <c r="U12" s="204">
        <f>'SER_se-appl'!U46</f>
        <v>2615.6802770552581</v>
      </c>
      <c r="V12" s="204">
        <f>'SER_se-appl'!V46</f>
        <v>2475.6950848570732</v>
      </c>
      <c r="W12" s="204">
        <f>'SER_se-appl'!W46</f>
        <v>2474.7720521825054</v>
      </c>
      <c r="X12" s="204">
        <f>'SER_se-appl'!X46</f>
        <v>2533.2265514741403</v>
      </c>
      <c r="Y12" s="204">
        <f>'SER_se-appl'!Y46</f>
        <v>2562.4538011199575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40.824303509043794</v>
      </c>
      <c r="C14" s="59">
        <f>'SER_se-appl'!C54</f>
        <v>40.336976470999339</v>
      </c>
      <c r="D14" s="59">
        <f>'SER_se-appl'!D54</f>
        <v>39.475865575439357</v>
      </c>
      <c r="E14" s="59">
        <f>'SER_se-appl'!E54</f>
        <v>38.569232560152159</v>
      </c>
      <c r="F14" s="59">
        <f>'SER_se-appl'!F54</f>
        <v>37.570113688086003</v>
      </c>
      <c r="G14" s="59">
        <f>'SER_se-appl'!G54</f>
        <v>36.546694702334356</v>
      </c>
      <c r="H14" s="59">
        <f>'SER_se-appl'!H54</f>
        <v>35.39793978774857</v>
      </c>
      <c r="I14" s="59">
        <f>'SER_se-appl'!I54</f>
        <v>34.587139477239042</v>
      </c>
      <c r="J14" s="59">
        <f>'SER_se-appl'!J54</f>
        <v>33.732948694544618</v>
      </c>
      <c r="K14" s="59">
        <f>'SER_se-appl'!K54</f>
        <v>33.008121804679369</v>
      </c>
      <c r="L14" s="59">
        <f>'SER_se-appl'!L54</f>
        <v>31.993662107448273</v>
      </c>
      <c r="M14" s="59">
        <f>'SER_se-appl'!M54</f>
        <v>30.989556688243471</v>
      </c>
      <c r="N14" s="59">
        <f>'SER_se-appl'!N54</f>
        <v>29.856626955763986</v>
      </c>
      <c r="O14" s="59">
        <f>'SER_se-appl'!O54</f>
        <v>28.759549351601258</v>
      </c>
      <c r="P14" s="59">
        <f>'SER_se-appl'!P54</f>
        <v>27.386439407458127</v>
      </c>
      <c r="Q14" s="59">
        <f>'SER_se-appl'!Q54</f>
        <v>26.291533927525983</v>
      </c>
      <c r="R14" s="59">
        <f>'SER_se-appl'!R54</f>
        <v>24.776167902845344</v>
      </c>
      <c r="S14" s="59">
        <f>'SER_se-appl'!S54</f>
        <v>23.401641280048459</v>
      </c>
      <c r="T14" s="59">
        <f>'SER_se-appl'!T54</f>
        <v>21.886877364296435</v>
      </c>
      <c r="U14" s="59">
        <f>'SER_se-appl'!U54</f>
        <v>20.454563750805406</v>
      </c>
      <c r="V14" s="59">
        <f>'SER_se-appl'!V54</f>
        <v>18.794572231318224</v>
      </c>
      <c r="W14" s="59">
        <f>'SER_se-appl'!W54</f>
        <v>17.549820243306723</v>
      </c>
      <c r="X14" s="59">
        <f>'SER_se-appl'!X54</f>
        <v>16.335480772975274</v>
      </c>
      <c r="Y14" s="59">
        <f>'SER_se-appl'!Y54</f>
        <v>15.259025294840233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38.007237278580433</v>
      </c>
      <c r="D15" s="63">
        <f>'SER_se-appl'!D62</f>
        <v>36.501432680024202</v>
      </c>
      <c r="E15" s="63">
        <f>'SER_se-appl'!E62</f>
        <v>35.405845293412654</v>
      </c>
      <c r="F15" s="63">
        <f>'SER_se-appl'!F62</f>
        <v>34.954145240470275</v>
      </c>
      <c r="G15" s="63">
        <f>'SER_se-appl'!G62</f>
        <v>34.433629633135276</v>
      </c>
      <c r="H15" s="63">
        <f>'SER_se-appl'!H62</f>
        <v>33.619013093998625</v>
      </c>
      <c r="I15" s="63">
        <f>'SER_se-appl'!I62</f>
        <v>32.777246212890702</v>
      </c>
      <c r="J15" s="63">
        <f>'SER_se-appl'!J62</f>
        <v>31.918086938823137</v>
      </c>
      <c r="K15" s="63">
        <f>'SER_se-appl'!K62</f>
        <v>30.619755574493571</v>
      </c>
      <c r="L15" s="63">
        <f>'SER_se-appl'!L62</f>
        <v>29.408090590547321</v>
      </c>
      <c r="M15" s="63">
        <f>'SER_se-appl'!M62</f>
        <v>28.327520526307822</v>
      </c>
      <c r="N15" s="63">
        <f>'SER_se-appl'!N62</f>
        <v>26.987110380727685</v>
      </c>
      <c r="O15" s="63">
        <f>'SER_se-appl'!O62</f>
        <v>25.819454491519171</v>
      </c>
      <c r="P15" s="63">
        <f>'SER_se-appl'!P62</f>
        <v>24.487933351626637</v>
      </c>
      <c r="Q15" s="63">
        <f>'SER_se-appl'!Q62</f>
        <v>23.059869184009738</v>
      </c>
      <c r="R15" s="63">
        <f>'SER_se-appl'!R62</f>
        <v>20.930470702719681</v>
      </c>
      <c r="S15" s="63">
        <f>'SER_se-appl'!S62</f>
        <v>19.855688163040455</v>
      </c>
      <c r="T15" s="63">
        <f>'SER_se-appl'!T62</f>
        <v>18.046764094622997</v>
      </c>
      <c r="U15" s="63">
        <f>'SER_se-appl'!U62</f>
        <v>16.600327307843191</v>
      </c>
      <c r="V15" s="63">
        <f>'SER_se-appl'!V62</f>
        <v>15.40737208289201</v>
      </c>
      <c r="W15" s="63">
        <f>'SER_se-appl'!W62</f>
        <v>14.63700347874741</v>
      </c>
      <c r="X15" s="63">
        <f>'SER_se-appl'!X62</f>
        <v>13.866634874602807</v>
      </c>
      <c r="Y15" s="63">
        <f>'SER_se-appl'!Y62</f>
        <v>13.096266270458207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104.25614892900394</v>
      </c>
      <c r="C3" s="198">
        <f>'SER_se-appl'!C7</f>
        <v>105.65725119124959</v>
      </c>
      <c r="D3" s="198">
        <f>'SER_se-appl'!D7</f>
        <v>107.70282122601579</v>
      </c>
      <c r="E3" s="198">
        <f>'SER_se-appl'!E7</f>
        <v>110.87286741530572</v>
      </c>
      <c r="F3" s="198">
        <f>'SER_se-appl'!F7</f>
        <v>117.19302248566322</v>
      </c>
      <c r="G3" s="198">
        <f>'SER_se-appl'!G7</f>
        <v>129.58273818825074</v>
      </c>
      <c r="H3" s="198">
        <f>'SER_se-appl'!H7</f>
        <v>146.17543677336977</v>
      </c>
      <c r="I3" s="198">
        <f>'SER_se-appl'!I7</f>
        <v>156.48747246246242</v>
      </c>
      <c r="J3" s="198">
        <f>'SER_se-appl'!J7</f>
        <v>162.8599854628203</v>
      </c>
      <c r="K3" s="198">
        <f>'SER_se-appl'!K7</f>
        <v>169.73478857625835</v>
      </c>
      <c r="L3" s="198">
        <f>'SER_se-appl'!L7</f>
        <v>173.94085967480652</v>
      </c>
      <c r="M3" s="198">
        <f>'SER_se-appl'!M7</f>
        <v>176.33842726269552</v>
      </c>
      <c r="N3" s="198">
        <f>'SER_se-appl'!N7</f>
        <v>177.97835425485857</v>
      </c>
      <c r="O3" s="198">
        <f>'SER_se-appl'!O7</f>
        <v>179.53233669772479</v>
      </c>
      <c r="P3" s="198">
        <f>'SER_se-appl'!P7</f>
        <v>181.24093105035266</v>
      </c>
      <c r="Q3" s="198">
        <f>'SER_se-appl'!Q7</f>
        <v>183.84401667128219</v>
      </c>
      <c r="R3" s="198">
        <f>'SER_se-appl'!R7</f>
        <v>181.83303609573545</v>
      </c>
      <c r="S3" s="198">
        <f>'SER_se-appl'!S7</f>
        <v>180.55827775574281</v>
      </c>
      <c r="T3" s="198">
        <f>'SER_se-appl'!T7</f>
        <v>180.23960760005866</v>
      </c>
      <c r="U3" s="198">
        <f>'SER_se-appl'!U7</f>
        <v>179.67375933359284</v>
      </c>
      <c r="V3" s="198">
        <f>'SER_se-appl'!V7</f>
        <v>179.40872398970302</v>
      </c>
      <c r="W3" s="198">
        <f>'SER_se-appl'!W7</f>
        <v>179.37265115243559</v>
      </c>
      <c r="X3" s="198">
        <f>'SER_se-appl'!X7</f>
        <v>179.17073638665983</v>
      </c>
      <c r="Y3" s="198">
        <f>'SER_se-appl'!Y7</f>
        <v>179.29904444707086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138.41312922880323</v>
      </c>
      <c r="C5" s="59">
        <f>'SER_se-appl'!C15</f>
        <v>140.27326841943295</v>
      </c>
      <c r="D5" s="59">
        <f>'SER_se-appl'!D15</f>
        <v>142.98901950440225</v>
      </c>
      <c r="E5" s="59">
        <f>'SER_se-appl'!E15</f>
        <v>147.19765388584537</v>
      </c>
      <c r="F5" s="59">
        <f>'SER_se-appl'!F15</f>
        <v>155.58845336852326</v>
      </c>
      <c r="G5" s="59">
        <f>'SER_se-appl'!G15</f>
        <v>172.03735674992646</v>
      </c>
      <c r="H5" s="59">
        <f>'SER_se-appl'!H15</f>
        <v>194.06624767971357</v>
      </c>
      <c r="I5" s="59">
        <f>'SER_se-appl'!I15</f>
        <v>207.75676994731035</v>
      </c>
      <c r="J5" s="59">
        <f>'SER_se-appl'!J15</f>
        <v>216.21708115668955</v>
      </c>
      <c r="K5" s="59">
        <f>'SER_se-appl'!K15</f>
        <v>225.34424556414214</v>
      </c>
      <c r="L5" s="59">
        <f>'SER_se-appl'!L15</f>
        <v>230.92833310707755</v>
      </c>
      <c r="M5" s="59">
        <f>'SER_se-appl'!M15</f>
        <v>234.1114051444234</v>
      </c>
      <c r="N5" s="59">
        <f>'SER_se-appl'!N15</f>
        <v>236.28861415342524</v>
      </c>
      <c r="O5" s="59">
        <f>'SER_se-appl'!O15</f>
        <v>238.3517209811117</v>
      </c>
      <c r="P5" s="59">
        <f>'SER_se-appl'!P15</f>
        <v>240.62009453374452</v>
      </c>
      <c r="Q5" s="59">
        <f>'SER_se-appl'!Q15</f>
        <v>244.07601756701047</v>
      </c>
      <c r="R5" s="59">
        <f>'SER_se-appl'!R15</f>
        <v>241.40618833258026</v>
      </c>
      <c r="S5" s="59">
        <f>'SER_se-appl'!S15</f>
        <v>239.71378656384579</v>
      </c>
      <c r="T5" s="59">
        <f>'SER_se-appl'!T15</f>
        <v>239.29071191651624</v>
      </c>
      <c r="U5" s="59">
        <f>'SER_se-appl'!U15</f>
        <v>238.53947728877679</v>
      </c>
      <c r="V5" s="59">
        <f>'SER_se-appl'!V15</f>
        <v>238.18760958906918</v>
      </c>
      <c r="W5" s="59">
        <f>'SER_se-appl'!W15</f>
        <v>238.1397183679025</v>
      </c>
      <c r="X5" s="59">
        <f>'SER_se-appl'!X15</f>
        <v>237.87165116174131</v>
      </c>
      <c r="Y5" s="59">
        <f>'SER_se-appl'!Y15</f>
        <v>238.04199622367969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2.1303977947070177E-2</v>
      </c>
      <c r="C6" s="201">
        <f>'SER_se-appl'!C71</f>
        <v>2.1750150484092168E-2</v>
      </c>
      <c r="D6" s="201">
        <f>'SER_se-appl'!D71</f>
        <v>2.2359899963081444E-2</v>
      </c>
      <c r="E6" s="201">
        <f>'SER_se-appl'!E71</f>
        <v>2.3262036457662182E-2</v>
      </c>
      <c r="F6" s="201">
        <f>'SER_se-appl'!F71</f>
        <v>2.4948433008176923E-2</v>
      </c>
      <c r="G6" s="201">
        <f>'SER_se-appl'!G71</f>
        <v>2.8091027992104532E-2</v>
      </c>
      <c r="H6" s="201">
        <f>'SER_se-appl'!H71</f>
        <v>3.2225145549989266E-2</v>
      </c>
      <c r="I6" s="201">
        <f>'SER_se-appl'!I71</f>
        <v>3.490490290809635E-2</v>
      </c>
      <c r="J6" s="201">
        <f>'SER_se-appl'!J71</f>
        <v>3.6673901899095897E-2</v>
      </c>
      <c r="K6" s="201">
        <f>'SER_se-appl'!K71</f>
        <v>3.8622561132736682E-2</v>
      </c>
      <c r="L6" s="201">
        <f>'SER_se-appl'!L71</f>
        <v>3.9995844415128191E-2</v>
      </c>
      <c r="M6" s="201">
        <f>'SER_se-appl'!M71</f>
        <v>4.0505031658782616E-2</v>
      </c>
      <c r="N6" s="201">
        <f>'SER_se-appl'!N71</f>
        <v>4.1161175454835379E-2</v>
      </c>
      <c r="O6" s="201">
        <f>'SER_se-appl'!O71</f>
        <v>4.1960393804485407E-2</v>
      </c>
      <c r="P6" s="201">
        <f>'SER_se-appl'!P71</f>
        <v>4.3091249722593677E-2</v>
      </c>
      <c r="Q6" s="201">
        <f>'SER_se-appl'!Q71</f>
        <v>4.4693085982153907E-2</v>
      </c>
      <c r="R6" s="201">
        <f>'SER_se-appl'!R71</f>
        <v>4.5225257014056643E-2</v>
      </c>
      <c r="S6" s="201">
        <f>'SER_se-appl'!S71</f>
        <v>4.580024321412958E-2</v>
      </c>
      <c r="T6" s="201">
        <f>'SER_se-appl'!T71</f>
        <v>4.6427949266084838E-2</v>
      </c>
      <c r="U6" s="201">
        <f>'SER_se-appl'!U71</f>
        <v>4.6983539005219455E-2</v>
      </c>
      <c r="V6" s="201">
        <f>'SER_se-appl'!V71</f>
        <v>4.7441451140450626E-2</v>
      </c>
      <c r="W6" s="201">
        <f>'SER_se-appl'!W71</f>
        <v>4.7957107762853869E-2</v>
      </c>
      <c r="X6" s="201">
        <f>'SER_se-appl'!X71</f>
        <v>4.8321398666402927E-2</v>
      </c>
      <c r="Y6" s="201">
        <f>'SER_se-appl'!Y71</f>
        <v>4.857804754708988E-2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218.13324103817703</v>
      </c>
      <c r="C8" s="34">
        <f>'SER_se-appl'!C23</f>
        <v>223.23079898053834</v>
      </c>
      <c r="D8" s="34">
        <f>'SER_se-appl'!D23</f>
        <v>230.52441964687983</v>
      </c>
      <c r="E8" s="34">
        <f>'SER_se-appl'!E23</f>
        <v>240.89802067786218</v>
      </c>
      <c r="F8" s="34">
        <f>'SER_se-appl'!F23</f>
        <v>259.37441284330373</v>
      </c>
      <c r="G8" s="34">
        <f>'SER_se-appl'!G23</f>
        <v>293.43472093338113</v>
      </c>
      <c r="H8" s="34">
        <f>'SER_se-appl'!H23</f>
        <v>338.7308148815373</v>
      </c>
      <c r="I8" s="34">
        <f>'SER_se-appl'!I23</f>
        <v>369.45213159744469</v>
      </c>
      <c r="J8" s="34">
        <f>'SER_se-appl'!J23</f>
        <v>391.19559725480144</v>
      </c>
      <c r="K8" s="34">
        <f>'SER_se-appl'!K23</f>
        <v>415.31148966520817</v>
      </c>
      <c r="L8" s="34">
        <f>'SER_se-appl'!L23</f>
        <v>433.55115385477012</v>
      </c>
      <c r="M8" s="34">
        <f>'SER_se-appl'!M23</f>
        <v>445.58119045680706</v>
      </c>
      <c r="N8" s="34">
        <f>'SER_se-appl'!N23</f>
        <v>455.89661044728115</v>
      </c>
      <c r="O8" s="34">
        <f>'SER_se-appl'!O23</f>
        <v>467.35377522411954</v>
      </c>
      <c r="P8" s="34">
        <f>'SER_se-appl'!P23</f>
        <v>481.79636854836434</v>
      </c>
      <c r="Q8" s="34">
        <f>'SER_se-appl'!Q23</f>
        <v>502.22845308702261</v>
      </c>
      <c r="R8" s="34">
        <f>'SER_se-appl'!R23</f>
        <v>511.54817344106533</v>
      </c>
      <c r="S8" s="34">
        <f>'SER_se-appl'!S23</f>
        <v>519.91185750040154</v>
      </c>
      <c r="T8" s="34">
        <f>'SER_se-appl'!T23</f>
        <v>529.21311179695272</v>
      </c>
      <c r="U8" s="34">
        <f>'SER_se-appl'!U23</f>
        <v>538.22082376153253</v>
      </c>
      <c r="V8" s="34">
        <f>'SER_se-appl'!V23</f>
        <v>546.64127427877395</v>
      </c>
      <c r="W8" s="34">
        <f>'SER_se-appl'!W23</f>
        <v>554.13320619366777</v>
      </c>
      <c r="X8" s="34">
        <f>'SER_se-appl'!X23</f>
        <v>561.37979253897197</v>
      </c>
      <c r="Y8" s="34">
        <f>'SER_se-appl'!Y23</f>
        <v>570.44210242377687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24.922183620278247</v>
      </c>
      <c r="D9" s="36">
        <f>'SER_se-appl'!D31</f>
        <v>27.535835930934837</v>
      </c>
      <c r="E9" s="36">
        <f>'SER_se-appl'!E31</f>
        <v>31.042202066640812</v>
      </c>
      <c r="F9" s="36">
        <f>'SER_se-appl'!F31</f>
        <v>39.580360441010811</v>
      </c>
      <c r="G9" s="36">
        <f>'SER_se-appl'!G31</f>
        <v>55.608814261726252</v>
      </c>
      <c r="H9" s="36">
        <f>'SER_se-appl'!H31</f>
        <v>67.298501844453256</v>
      </c>
      <c r="I9" s="36">
        <f>'SER_se-appl'!I31</f>
        <v>53.187187406840508</v>
      </c>
      <c r="J9" s="36">
        <f>'SER_se-appl'!J31</f>
        <v>44.682561609062475</v>
      </c>
      <c r="K9" s="36">
        <f>'SER_se-appl'!K31</f>
        <v>47.538181727416315</v>
      </c>
      <c r="L9" s="36">
        <f>'SER_se-appl'!L31</f>
        <v>42.155324946406608</v>
      </c>
      <c r="M9" s="36">
        <f>'SER_se-appl'!M31</f>
        <v>36.952220222315191</v>
      </c>
      <c r="N9" s="36">
        <f>'SER_se-appl'!N31</f>
        <v>37.851255921408949</v>
      </c>
      <c r="O9" s="36">
        <f>'SER_se-appl'!O31</f>
        <v>42.499366843479208</v>
      </c>
      <c r="P9" s="36">
        <f>'SER_se-appl'!P31</f>
        <v>54.022953765255636</v>
      </c>
      <c r="Q9" s="36">
        <f>'SER_se-appl'!Q31</f>
        <v>76.040898800384525</v>
      </c>
      <c r="R9" s="36">
        <f>'SER_se-appl'!R31</f>
        <v>76.618222198495971</v>
      </c>
      <c r="S9" s="36">
        <f>'SER_se-appl'!S31</f>
        <v>61.550871466176716</v>
      </c>
      <c r="T9" s="36">
        <f>'SER_se-appl'!T31</f>
        <v>53.983815905613653</v>
      </c>
      <c r="U9" s="36">
        <f>'SER_se-appl'!U31</f>
        <v>56.545893691996127</v>
      </c>
      <c r="V9" s="36">
        <f>'SER_se-appl'!V31</f>
        <v>50.575775463648029</v>
      </c>
      <c r="W9" s="36">
        <f>'SER_se-appl'!W31</f>
        <v>44.444152137209016</v>
      </c>
      <c r="X9" s="36">
        <f>'SER_se-appl'!X31</f>
        <v>45.097842266713087</v>
      </c>
      <c r="Y9" s="36">
        <f>'SER_se-appl'!Y31</f>
        <v>51.561676728284169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19.824625677916941</v>
      </c>
      <c r="D10" s="38">
        <f>'SER_se-appl'!D39</f>
        <v>20.242215264593341</v>
      </c>
      <c r="E10" s="38">
        <f>'SER_se-appl'!E39</f>
        <v>20.668601035658469</v>
      </c>
      <c r="F10" s="38">
        <f>'SER_se-appl'!F39</f>
        <v>21.103968275569287</v>
      </c>
      <c r="G10" s="38">
        <f>'SER_se-appl'!G39</f>
        <v>21.548506171648853</v>
      </c>
      <c r="H10" s="38">
        <f>'SER_se-appl'!H39</f>
        <v>22.002407896297086</v>
      </c>
      <c r="I10" s="38">
        <f>'SER_se-appl'!I39</f>
        <v>22.465870690933116</v>
      </c>
      <c r="J10" s="38">
        <f>'SER_se-appl'!J39</f>
        <v>22.939095951705724</v>
      </c>
      <c r="K10" s="38">
        <f>'SER_se-appl'!K39</f>
        <v>23.422289317009586</v>
      </c>
      <c r="L10" s="38">
        <f>'SER_se-appl'!L39</f>
        <v>23.915660756844659</v>
      </c>
      <c r="M10" s="38">
        <f>'SER_se-appl'!M39</f>
        <v>24.922183620278247</v>
      </c>
      <c r="N10" s="38">
        <f>'SER_se-appl'!N39</f>
        <v>27.535835930934866</v>
      </c>
      <c r="O10" s="38">
        <f>'SER_se-appl'!O39</f>
        <v>31.042202066640812</v>
      </c>
      <c r="P10" s="38">
        <f>'SER_se-appl'!P39</f>
        <v>39.580360441010782</v>
      </c>
      <c r="Q10" s="38">
        <f>'SER_se-appl'!Q39</f>
        <v>55.608814261726195</v>
      </c>
      <c r="R10" s="38">
        <f>'SER_se-appl'!R39</f>
        <v>67.298501844453256</v>
      </c>
      <c r="S10" s="38">
        <f>'SER_se-appl'!S39</f>
        <v>53.187187406840508</v>
      </c>
      <c r="T10" s="38">
        <f>'SER_se-appl'!T39</f>
        <v>44.682561609062532</v>
      </c>
      <c r="U10" s="38">
        <f>'SER_se-appl'!U39</f>
        <v>47.538181727416259</v>
      </c>
      <c r="V10" s="38">
        <f>'SER_se-appl'!V39</f>
        <v>42.155324946406608</v>
      </c>
      <c r="W10" s="38">
        <f>'SER_se-appl'!W39</f>
        <v>36.952220222315191</v>
      </c>
      <c r="X10" s="38">
        <f>'SER_se-appl'!X39</f>
        <v>37.851255921408892</v>
      </c>
      <c r="Y10" s="38">
        <f>'SER_se-appl'!Y39</f>
        <v>42.499366843479265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8759.9999999999982</v>
      </c>
      <c r="C12" s="204">
        <f>'SER_se-appl'!C47</f>
        <v>8760</v>
      </c>
      <c r="D12" s="204">
        <f>'SER_se-appl'!D47</f>
        <v>8759.9999999999982</v>
      </c>
      <c r="E12" s="204">
        <f>'SER_se-appl'!E47</f>
        <v>8760</v>
      </c>
      <c r="F12" s="204">
        <f>'SER_se-appl'!F47</f>
        <v>8759.9999999999964</v>
      </c>
      <c r="G12" s="204">
        <f>'SER_se-appl'!G47</f>
        <v>8760.0000000000018</v>
      </c>
      <c r="H12" s="204">
        <f>'SER_se-appl'!H47</f>
        <v>8759.9999999999982</v>
      </c>
      <c r="I12" s="204">
        <f>'SER_se-appl'!I47</f>
        <v>8759.9999999999964</v>
      </c>
      <c r="J12" s="204">
        <f>'SER_se-appl'!J47</f>
        <v>8759.9999999999982</v>
      </c>
      <c r="K12" s="204">
        <f>'SER_se-appl'!K47</f>
        <v>8759.9999999999982</v>
      </c>
      <c r="L12" s="204">
        <f>'SER_se-appl'!L47</f>
        <v>8760.0000000000018</v>
      </c>
      <c r="M12" s="204">
        <f>'SER_se-appl'!M47</f>
        <v>8760</v>
      </c>
      <c r="N12" s="204">
        <f>'SER_se-appl'!N47</f>
        <v>8760</v>
      </c>
      <c r="O12" s="204">
        <f>'SER_se-appl'!O47</f>
        <v>8760.0000000000036</v>
      </c>
      <c r="P12" s="204">
        <f>'SER_se-appl'!P47</f>
        <v>8759.9999999999964</v>
      </c>
      <c r="Q12" s="204">
        <f>'SER_se-appl'!Q47</f>
        <v>8760</v>
      </c>
      <c r="R12" s="204">
        <f>'SER_se-appl'!R47</f>
        <v>8760</v>
      </c>
      <c r="S12" s="204">
        <f>'SER_se-appl'!S47</f>
        <v>8760</v>
      </c>
      <c r="T12" s="204">
        <f>'SER_se-appl'!T47</f>
        <v>8760</v>
      </c>
      <c r="U12" s="204">
        <f>'SER_se-appl'!U47</f>
        <v>8760</v>
      </c>
      <c r="V12" s="204">
        <f>'SER_se-appl'!V47</f>
        <v>8760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634.53478511594017</v>
      </c>
      <c r="C14" s="59">
        <f>'SER_se-appl'!C55</f>
        <v>628.37775548911702</v>
      </c>
      <c r="D14" s="59">
        <f>'SER_se-appl'!D55</f>
        <v>620.27710436679376</v>
      </c>
      <c r="E14" s="59">
        <f>'SER_se-appl'!E55</f>
        <v>611.03720766009758</v>
      </c>
      <c r="F14" s="59">
        <f>'SER_se-appl'!F55</f>
        <v>599.86045525053066</v>
      </c>
      <c r="G14" s="59">
        <f>'SER_se-appl'!G55</f>
        <v>586.28834448321584</v>
      </c>
      <c r="H14" s="59">
        <f>'SER_se-appl'!H55</f>
        <v>572.92173948680579</v>
      </c>
      <c r="I14" s="59">
        <f>'SER_se-appl'!I55</f>
        <v>562.3374509953627</v>
      </c>
      <c r="J14" s="59">
        <f>'SER_se-appl'!J55</f>
        <v>552.70837063091653</v>
      </c>
      <c r="K14" s="59">
        <f>'SER_se-appl'!K55</f>
        <v>542.59092553831624</v>
      </c>
      <c r="L14" s="59">
        <f>'SER_se-appl'!L55</f>
        <v>532.64379774764325</v>
      </c>
      <c r="M14" s="59">
        <f>'SER_se-appl'!M55</f>
        <v>525.40683978247341</v>
      </c>
      <c r="N14" s="59">
        <f>'SER_se-appl'!N55</f>
        <v>518.29429905522215</v>
      </c>
      <c r="O14" s="59">
        <f>'SER_se-appl'!O55</f>
        <v>510.00277223995914</v>
      </c>
      <c r="P14" s="59">
        <f>'SER_se-appl'!P55</f>
        <v>499.42280648300544</v>
      </c>
      <c r="Q14" s="59">
        <f>'SER_se-appl'!Q55</f>
        <v>485.98604094762169</v>
      </c>
      <c r="R14" s="59">
        <f>'SER_se-appl'!R55</f>
        <v>471.91291234351809</v>
      </c>
      <c r="S14" s="59">
        <f>'SER_se-appl'!S55</f>
        <v>461.06620402220898</v>
      </c>
      <c r="T14" s="59">
        <f>'SER_se-appl'!T55</f>
        <v>452.16323364324876</v>
      </c>
      <c r="U14" s="59">
        <f>'SER_se-appl'!U55</f>
        <v>443.20001523104503</v>
      </c>
      <c r="V14" s="59">
        <f>'SER_se-appl'!V55</f>
        <v>435.72928133414092</v>
      </c>
      <c r="W14" s="59">
        <f>'SER_se-appl'!W55</f>
        <v>429.75175590663565</v>
      </c>
      <c r="X14" s="59">
        <f>'SER_se-appl'!X55</f>
        <v>423.72677877468817</v>
      </c>
      <c r="Y14" s="59">
        <f>'SER_se-appl'!Y55</f>
        <v>417.29387647274359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579.38557893545726</v>
      </c>
      <c r="D15" s="63">
        <f>'SER_se-appl'!D63</f>
        <v>565.08692298960716</v>
      </c>
      <c r="E15" s="63">
        <f>'SER_se-appl'!E63</f>
        <v>558.0654575040079</v>
      </c>
      <c r="F15" s="63">
        <f>'SER_se-appl'!F63</f>
        <v>550.32347393533712</v>
      </c>
      <c r="G15" s="63">
        <f>'SER_se-appl'!G63</f>
        <v>541.67995693682724</v>
      </c>
      <c r="H15" s="63">
        <f>'SER_se-appl'!H63</f>
        <v>534.78432817837768</v>
      </c>
      <c r="I15" s="63">
        <f>'SER_se-appl'!I63</f>
        <v>525.4253902381829</v>
      </c>
      <c r="J15" s="63">
        <f>'SER_se-appl'!J63</f>
        <v>515.09950864546306</v>
      </c>
      <c r="K15" s="63">
        <f>'SER_se-appl'!K63</f>
        <v>504.63481888516259</v>
      </c>
      <c r="L15" s="63">
        <f>'SER_se-appl'!L63</f>
        <v>492.45038980431514</v>
      </c>
      <c r="M15" s="63">
        <f>'SER_se-appl'!M63</f>
        <v>476.90303090027476</v>
      </c>
      <c r="N15" s="63">
        <f>'SER_se-appl'!N63</f>
        <v>468.60663868033407</v>
      </c>
      <c r="O15" s="63">
        <f>'SER_se-appl'!O63</f>
        <v>456.16414939397441</v>
      </c>
      <c r="P15" s="63">
        <f>'SER_se-appl'!P63</f>
        <v>445.18807902744635</v>
      </c>
      <c r="Q15" s="63">
        <f>'SER_se-appl'!Q63</f>
        <v>441.57951415082488</v>
      </c>
      <c r="R15" s="63">
        <f>'SER_se-appl'!R63</f>
        <v>434.88812329191802</v>
      </c>
      <c r="S15" s="63">
        <f>'SER_se-appl'!S63</f>
        <v>426.53330984278296</v>
      </c>
      <c r="T15" s="63">
        <f>'SER_se-appl'!T63</f>
        <v>418.51229861225511</v>
      </c>
      <c r="U15" s="63">
        <f>'SER_se-appl'!U63</f>
        <v>410.96153197229467</v>
      </c>
      <c r="V15" s="63">
        <f>'SER_se-appl'!V63</f>
        <v>403.50421353689501</v>
      </c>
      <c r="W15" s="63">
        <f>'SER_se-appl'!W63</f>
        <v>395.43412926615713</v>
      </c>
      <c r="X15" s="63">
        <f>'SER_se-appl'!X63</f>
        <v>387.36404499541919</v>
      </c>
      <c r="Y15" s="63">
        <f>'SER_se-appl'!Y63</f>
        <v>379.29396072468131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87.079237213114737</v>
      </c>
      <c r="C3" s="198">
        <f>'SER_se-appl'!C8</f>
        <v>92.715775619696714</v>
      </c>
      <c r="D3" s="198">
        <f>'SER_se-appl'!D8</f>
        <v>102.06268936104981</v>
      </c>
      <c r="E3" s="198">
        <f>'SER_se-appl'!E8</f>
        <v>109.23600784565014</v>
      </c>
      <c r="F3" s="198">
        <f>'SER_se-appl'!F8</f>
        <v>118.32698842271878</v>
      </c>
      <c r="G3" s="198">
        <f>'SER_se-appl'!G8</f>
        <v>127.76581576628921</v>
      </c>
      <c r="H3" s="198">
        <f>'SER_se-appl'!H8</f>
        <v>136.86362262558572</v>
      </c>
      <c r="I3" s="198">
        <f>'SER_se-appl'!I8</f>
        <v>145.69553517504229</v>
      </c>
      <c r="J3" s="198">
        <f>'SER_se-appl'!J8</f>
        <v>152.43740271153459</v>
      </c>
      <c r="K3" s="198">
        <f>'SER_se-appl'!K8</f>
        <v>154.37674358263763</v>
      </c>
      <c r="L3" s="198">
        <f>'SER_se-appl'!L8</f>
        <v>159.69947695711048</v>
      </c>
      <c r="M3" s="198">
        <f>'SER_se-appl'!M8</f>
        <v>163.47452121166023</v>
      </c>
      <c r="N3" s="198">
        <f>'SER_se-appl'!N8</f>
        <v>165.78519793314047</v>
      </c>
      <c r="O3" s="198">
        <f>'SER_se-appl'!O8</f>
        <v>167.51479630967185</v>
      </c>
      <c r="P3" s="198">
        <f>'SER_se-appl'!P8</f>
        <v>169.15375621094884</v>
      </c>
      <c r="Q3" s="198">
        <f>'SER_se-appl'!Q8</f>
        <v>169.01781602885748</v>
      </c>
      <c r="R3" s="198">
        <f>'SER_se-appl'!R8</f>
        <v>172.21035038193457</v>
      </c>
      <c r="S3" s="198">
        <f>'SER_se-appl'!S8</f>
        <v>176.08632815252372</v>
      </c>
      <c r="T3" s="198">
        <f>'SER_se-appl'!T8</f>
        <v>177.05850480631202</v>
      </c>
      <c r="U3" s="198">
        <f>'SER_se-appl'!U8</f>
        <v>176.61269838658444</v>
      </c>
      <c r="V3" s="198">
        <f>'SER_se-appl'!V8</f>
        <v>167.75000445153367</v>
      </c>
      <c r="W3" s="198">
        <f>'SER_se-appl'!W8</f>
        <v>168.22666304884635</v>
      </c>
      <c r="X3" s="198">
        <f>'SER_se-appl'!X8</f>
        <v>171.76599108624561</v>
      </c>
      <c r="Y3" s="198">
        <f>'SER_se-appl'!Y8</f>
        <v>173.54586128333955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1178.8216503568801</v>
      </c>
      <c r="C5" s="59">
        <f>'SER_se-appl'!C16</f>
        <v>1249.1583316225024</v>
      </c>
      <c r="D5" s="59">
        <f>'SER_se-appl'!D16</f>
        <v>1369.119742576411</v>
      </c>
      <c r="E5" s="59">
        <f>'SER_se-appl'!E16</f>
        <v>1459.4934147972292</v>
      </c>
      <c r="F5" s="59">
        <f>'SER_se-appl'!F16</f>
        <v>1575.110029769899</v>
      </c>
      <c r="G5" s="59">
        <f>'SER_se-appl'!G16</f>
        <v>1694.8981150732332</v>
      </c>
      <c r="H5" s="59">
        <f>'SER_se-appl'!H16</f>
        <v>1809.737224161036</v>
      </c>
      <c r="I5" s="59">
        <f>'SER_se-appl'!I16</f>
        <v>1920.6900406643613</v>
      </c>
      <c r="J5" s="59">
        <f>'SER_se-appl'!J16</f>
        <v>2003.8324379817091</v>
      </c>
      <c r="K5" s="59">
        <f>'SER_se-appl'!K16</f>
        <v>2023.8470267609398</v>
      </c>
      <c r="L5" s="59">
        <f>'SER_se-appl'!L16</f>
        <v>2088.2643835142571</v>
      </c>
      <c r="M5" s="59">
        <f>'SER_se-appl'!M16</f>
        <v>2134.1539850638424</v>
      </c>
      <c r="N5" s="59">
        <f>'SER_se-appl'!N16</f>
        <v>2160.966247524605</v>
      </c>
      <c r="O5" s="59">
        <f>'SER_se-appl'!O16</f>
        <v>2180.2781371984229</v>
      </c>
      <c r="P5" s="59">
        <f>'SER_se-appl'!P16</f>
        <v>2198.4888072683129</v>
      </c>
      <c r="Q5" s="59">
        <f>'SER_se-appl'!Q16</f>
        <v>2193.7348751369409</v>
      </c>
      <c r="R5" s="59">
        <f>'SER_se-appl'!R16</f>
        <v>2219.0532476538883</v>
      </c>
      <c r="S5" s="59">
        <f>'SER_se-appl'!S16</f>
        <v>2230.5610775783598</v>
      </c>
      <c r="T5" s="59">
        <f>'SER_se-appl'!T16</f>
        <v>2250.197253990877</v>
      </c>
      <c r="U5" s="59">
        <f>'SER_se-appl'!U16</f>
        <v>2261.7822274108539</v>
      </c>
      <c r="V5" s="59">
        <f>'SER_se-appl'!V16</f>
        <v>2269.754599338803</v>
      </c>
      <c r="W5" s="59">
        <f>'SER_se-appl'!W16</f>
        <v>2277.0530373086422</v>
      </c>
      <c r="X5" s="59">
        <f>'SER_se-appl'!X16</f>
        <v>2277.5284541325263</v>
      </c>
      <c r="Y5" s="59">
        <f>'SER_se-appl'!Y16</f>
        <v>2277.8929239264044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132.07863737915471</v>
      </c>
      <c r="C6" s="201">
        <f>'SER_se-appl'!C72</f>
        <v>139.04836933837737</v>
      </c>
      <c r="D6" s="201">
        <f>'SER_se-appl'!D72</f>
        <v>146.62859693786973</v>
      </c>
      <c r="E6" s="201">
        <f>'SER_se-appl'!E72</f>
        <v>155.56130123854896</v>
      </c>
      <c r="F6" s="201">
        <f>'SER_se-appl'!F72</f>
        <v>165.0447601486897</v>
      </c>
      <c r="G6" s="201">
        <f>'SER_se-appl'!G72</f>
        <v>175.85420586263646</v>
      </c>
      <c r="H6" s="201">
        <f>'SER_se-appl'!H72</f>
        <v>185.14170454407542</v>
      </c>
      <c r="I6" s="201">
        <f>'SER_se-appl'!I72</f>
        <v>193.33143352836825</v>
      </c>
      <c r="J6" s="201">
        <f>'SER_se-appl'!J72</f>
        <v>200.13139485544181</v>
      </c>
      <c r="K6" s="201">
        <f>'SER_se-appl'!K72</f>
        <v>204.60802477779302</v>
      </c>
      <c r="L6" s="201">
        <f>'SER_se-appl'!L72</f>
        <v>208.667529569414</v>
      </c>
      <c r="M6" s="201">
        <f>'SER_se-appl'!M72</f>
        <v>212.03020738212928</v>
      </c>
      <c r="N6" s="201">
        <f>'SER_se-appl'!N72</f>
        <v>215.48546440174073</v>
      </c>
      <c r="O6" s="201">
        <f>'SER_se-appl'!O72</f>
        <v>219.18140204751035</v>
      </c>
      <c r="P6" s="201">
        <f>'SER_se-appl'!P72</f>
        <v>223.20807522877504</v>
      </c>
      <c r="Q6" s="201">
        <f>'SER_se-appl'!Q72</f>
        <v>226.24607439179951</v>
      </c>
      <c r="R6" s="201">
        <f>'SER_se-appl'!R72</f>
        <v>229.94100386399546</v>
      </c>
      <c r="S6" s="201">
        <f>'SER_se-appl'!S72</f>
        <v>233.63619354158942</v>
      </c>
      <c r="T6" s="201">
        <f>'SER_se-appl'!T72</f>
        <v>237.33026726940702</v>
      </c>
      <c r="U6" s="201">
        <f>'SER_se-appl'!U72</f>
        <v>241.02239039028291</v>
      </c>
      <c r="V6" s="201">
        <f>'SER_se-appl'!V72</f>
        <v>244.71100930813975</v>
      </c>
      <c r="W6" s="201">
        <f>'SER_se-appl'!W72</f>
        <v>248.43085364710032</v>
      </c>
      <c r="X6" s="201">
        <f>'SER_se-appl'!X72</f>
        <v>251.44740061744702</v>
      </c>
      <c r="Y6" s="201">
        <f>'SER_se-appl'!Y72</f>
        <v>253.88698917078119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25.700204123573894</v>
      </c>
      <c r="C8" s="34">
        <f>'SER_se-appl'!C24</f>
        <v>27.378013433955157</v>
      </c>
      <c r="D8" s="34">
        <f>'SER_se-appl'!D24</f>
        <v>30.245769281412962</v>
      </c>
      <c r="E8" s="34">
        <f>'SER_se-appl'!E24</f>
        <v>32.448394819000022</v>
      </c>
      <c r="F8" s="34">
        <f>'SER_se-appl'!F24</f>
        <v>35.282082322056667</v>
      </c>
      <c r="G8" s="34">
        <f>'SER_se-appl'!G24</f>
        <v>38.257456478728194</v>
      </c>
      <c r="H8" s="34">
        <f>'SER_se-appl'!H24</f>
        <v>41.158897592584431</v>
      </c>
      <c r="I8" s="34">
        <f>'SER_se-appl'!I24</f>
        <v>44.017467208375052</v>
      </c>
      <c r="J8" s="34">
        <f>'SER_se-appl'!J24</f>
        <v>46.256482257097829</v>
      </c>
      <c r="K8" s="34">
        <f>'SER_se-appl'!K24</f>
        <v>46.996775449591219</v>
      </c>
      <c r="L8" s="34">
        <f>'SER_se-appl'!L24</f>
        <v>48.921968102198356</v>
      </c>
      <c r="M8" s="34">
        <f>'SER_se-appl'!M24</f>
        <v>50.500881206903607</v>
      </c>
      <c r="N8" s="34">
        <f>'SER_se-appl'!N24</f>
        <v>51.716317694418542</v>
      </c>
      <c r="O8" s="34">
        <f>'SER_se-appl'!O24</f>
        <v>52.895640727137994</v>
      </c>
      <c r="P8" s="34">
        <f>'SER_se-appl'!P24</f>
        <v>54.237317281009844</v>
      </c>
      <c r="Q8" s="34">
        <f>'SER_se-appl'!Q24</f>
        <v>55.159541599452901</v>
      </c>
      <c r="R8" s="34">
        <f>'SER_se-appl'!R24</f>
        <v>56.532253526544046</v>
      </c>
      <c r="S8" s="34">
        <f>'SER_se-appl'!S24</f>
        <v>57.871080871503459</v>
      </c>
      <c r="T8" s="34">
        <f>'SER_se-appl'!T24</f>
        <v>59.338534243733896</v>
      </c>
      <c r="U8" s="34">
        <f>'SER_se-appl'!U24</f>
        <v>60.810792609662521</v>
      </c>
      <c r="V8" s="34">
        <f>'SER_se-appl'!V24</f>
        <v>62.286128155220091</v>
      </c>
      <c r="W8" s="34">
        <f>'SER_se-appl'!W24</f>
        <v>63.770680948330217</v>
      </c>
      <c r="X8" s="34">
        <f>'SER_se-appl'!X24</f>
        <v>65.079721936254913</v>
      </c>
      <c r="Y8" s="34">
        <f>'SER_se-appl'!Y24</f>
        <v>66.243998398513597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2.4098142061283916</v>
      </c>
      <c r="D9" s="36">
        <f>'SER_se-appl'!D32</f>
        <v>3.6821343346332114</v>
      </c>
      <c r="E9" s="36">
        <f>'SER_se-appl'!E32</f>
        <v>3.1086472380255401</v>
      </c>
      <c r="F9" s="36">
        <f>'SER_se-appl'!F32</f>
        <v>3.8416651628209166</v>
      </c>
      <c r="G9" s="36">
        <f>'SER_se-appl'!G32</f>
        <v>4.0967810303613561</v>
      </c>
      <c r="H9" s="36">
        <f>'SER_se-appl'!H32</f>
        <v>4.149041558347129</v>
      </c>
      <c r="I9" s="36">
        <f>'SER_se-appl'!I32</f>
        <v>4.2465643798787056</v>
      </c>
      <c r="J9" s="36">
        <f>'SER_se-appl'!J32</f>
        <v>3.783202912427889</v>
      </c>
      <c r="K9" s="36">
        <f>'SER_se-appl'!K32</f>
        <v>2.4582507958715141</v>
      </c>
      <c r="L9" s="36">
        <f>'SER_se-appl'!L32</f>
        <v>3.8364745609645894</v>
      </c>
      <c r="M9" s="36">
        <f>'SER_se-appl'!M32</f>
        <v>3.7052743874466714</v>
      </c>
      <c r="N9" s="36">
        <f>'SER_se-appl'!N32</f>
        <v>3.5810803441176731</v>
      </c>
      <c r="O9" s="36">
        <f>'SER_se-appl'!O32</f>
        <v>3.8111762844242776</v>
      </c>
      <c r="P9" s="36">
        <f>'SER_se-appl'!P32</f>
        <v>4.269696136860361</v>
      </c>
      <c r="Q9" s="36">
        <f>'SER_se-appl'!Q32</f>
        <v>4.1797382671446854</v>
      </c>
      <c r="R9" s="36">
        <f>'SER_se-appl'!R32</f>
        <v>3.782526133219541</v>
      </c>
      <c r="S9" s="36">
        <f>'SER_se-appl'!S32</f>
        <v>5.0209616795926237</v>
      </c>
      <c r="T9" s="36">
        <f>'SER_se-appl'!T32</f>
        <v>4.5761006102559776</v>
      </c>
      <c r="U9" s="36">
        <f>'SER_se-appl'!U32</f>
        <v>5.313923528749541</v>
      </c>
      <c r="V9" s="36">
        <f>'SER_se-appl'!V32</f>
        <v>5.5721165759189262</v>
      </c>
      <c r="W9" s="36">
        <f>'SER_se-appl'!W32</f>
        <v>5.6335943514572548</v>
      </c>
      <c r="X9" s="36">
        <f>'SER_se-appl'!X32</f>
        <v>5.5556053678034019</v>
      </c>
      <c r="Y9" s="36">
        <f>'SER_se-appl'!Y32</f>
        <v>4.9474793746865728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0.7320048957471279</v>
      </c>
      <c r="D10" s="38">
        <f>'SER_se-appl'!D40</f>
        <v>0.81437848717540717</v>
      </c>
      <c r="E10" s="38">
        <f>'SER_se-appl'!E40</f>
        <v>0.90602170043847963</v>
      </c>
      <c r="F10" s="38">
        <f>'SER_se-appl'!F40</f>
        <v>1.007977659764272</v>
      </c>
      <c r="G10" s="38">
        <f>'SER_se-appl'!G40</f>
        <v>1.1214068736898284</v>
      </c>
      <c r="H10" s="38">
        <f>'SER_se-appl'!H40</f>
        <v>1.2476004444908924</v>
      </c>
      <c r="I10" s="38">
        <f>'SER_se-appl'!I40</f>
        <v>1.3879947640880843</v>
      </c>
      <c r="J10" s="38">
        <f>'SER_se-appl'!J40</f>
        <v>1.5441878637051119</v>
      </c>
      <c r="K10" s="38">
        <f>'SER_se-appl'!K40</f>
        <v>1.7179576033781245</v>
      </c>
      <c r="L10" s="38">
        <f>'SER_se-appl'!L40</f>
        <v>1.9112819083574522</v>
      </c>
      <c r="M10" s="38">
        <f>'SER_se-appl'!M40</f>
        <v>2.1263612827414207</v>
      </c>
      <c r="N10" s="38">
        <f>'SER_se-appl'!N40</f>
        <v>2.3656438566027376</v>
      </c>
      <c r="O10" s="38">
        <f>'SER_se-appl'!O40</f>
        <v>2.6318532517048254</v>
      </c>
      <c r="P10" s="38">
        <f>'SER_se-appl'!P40</f>
        <v>2.9280195829885116</v>
      </c>
      <c r="Q10" s="38">
        <f>'SER_se-appl'!Q40</f>
        <v>3.2575139487016287</v>
      </c>
      <c r="R10" s="38">
        <f>'SER_se-appl'!R40</f>
        <v>2.4098142061283951</v>
      </c>
      <c r="S10" s="38">
        <f>'SER_se-appl'!S40</f>
        <v>3.6821343346332114</v>
      </c>
      <c r="T10" s="38">
        <f>'SER_se-appl'!T40</f>
        <v>3.1086472380255401</v>
      </c>
      <c r="U10" s="38">
        <f>'SER_se-appl'!U40</f>
        <v>3.8416651628209237</v>
      </c>
      <c r="V10" s="38">
        <f>'SER_se-appl'!V40</f>
        <v>4.096781030361349</v>
      </c>
      <c r="W10" s="38">
        <f>'SER_se-appl'!W40</f>
        <v>4.149041558347129</v>
      </c>
      <c r="X10" s="38">
        <f>'SER_se-appl'!X40</f>
        <v>4.2465643798787056</v>
      </c>
      <c r="Y10" s="38">
        <f>'SER_se-appl'!Y40</f>
        <v>3.7832029124278819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859.10496170640135</v>
      </c>
      <c r="C12" s="204">
        <f>'SER_se-appl'!C48</f>
        <v>863.20880480900655</v>
      </c>
      <c r="D12" s="204">
        <f>'SER_se-appl'!D48</f>
        <v>866.97243517600009</v>
      </c>
      <c r="E12" s="204">
        <f>'SER_se-appl'!E48</f>
        <v>870.44912869402197</v>
      </c>
      <c r="F12" s="204">
        <f>'SER_se-appl'!F48</f>
        <v>873.68047269513875</v>
      </c>
      <c r="G12" s="204">
        <f>'SER_se-appl'!G48</f>
        <v>876.69956332315587</v>
      </c>
      <c r="H12" s="204">
        <f>'SER_se-appl'!H48</f>
        <v>879.5331774608652</v>
      </c>
      <c r="I12" s="204">
        <f>'SER_se-appl'!I48</f>
        <v>882.20329059427013</v>
      </c>
      <c r="J12" s="204">
        <f>'SER_se-appl'!J48</f>
        <v>884.72816385824456</v>
      </c>
      <c r="K12" s="204">
        <f>'SER_se-appl'!K48</f>
        <v>887.12313931133474</v>
      </c>
      <c r="L12" s="204">
        <f>'SER_se-appl'!L48</f>
        <v>889.40123275272754</v>
      </c>
      <c r="M12" s="204">
        <f>'SER_se-appl'!M48</f>
        <v>890.84887735255643</v>
      </c>
      <c r="N12" s="204">
        <f>'SER_se-appl'!N48</f>
        <v>892.23135908348809</v>
      </c>
      <c r="O12" s="204">
        <f>'SER_se-appl'!O48</f>
        <v>893.55438090336736</v>
      </c>
      <c r="P12" s="204">
        <f>'SER_se-appl'!P48</f>
        <v>894.82292483340461</v>
      </c>
      <c r="Q12" s="204">
        <f>'SER_se-appl'!Q48</f>
        <v>896.04136885178889</v>
      </c>
      <c r="R12" s="204">
        <f>'SER_se-appl'!R48</f>
        <v>902.54993973640887</v>
      </c>
      <c r="S12" s="204">
        <f>'SER_se-appl'!S48</f>
        <v>918.10263211315657</v>
      </c>
      <c r="T12" s="204">
        <f>'SER_se-appl'!T48</f>
        <v>915.11551142696283</v>
      </c>
      <c r="U12" s="204">
        <f>'SER_se-appl'!U48</f>
        <v>908.13591925128605</v>
      </c>
      <c r="V12" s="204">
        <f>'SER_se-appl'!V48</f>
        <v>859.53457362291863</v>
      </c>
      <c r="W12" s="204">
        <f>'SER_se-appl'!W48</f>
        <v>859.21410665538804</v>
      </c>
      <c r="X12" s="204">
        <f>'SER_se-appl'!X48</f>
        <v>877.10802150829977</v>
      </c>
      <c r="Y12" s="204">
        <f>'SER_se-appl'!Y48</f>
        <v>886.05497893475558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45.868182396091882</v>
      </c>
      <c r="C14" s="59">
        <f>'SER_se-appl'!C56</f>
        <v>45.626332043261151</v>
      </c>
      <c r="D14" s="59">
        <f>'SER_se-appl'!D56</f>
        <v>45.266487680899587</v>
      </c>
      <c r="E14" s="59">
        <f>'SER_se-appl'!E56</f>
        <v>44.978909525060047</v>
      </c>
      <c r="F14" s="59">
        <f>'SER_se-appl'!F56</f>
        <v>44.643340928469399</v>
      </c>
      <c r="G14" s="59">
        <f>'SER_se-appl'!G56</f>
        <v>44.30242548967221</v>
      </c>
      <c r="H14" s="59">
        <f>'SER_se-appl'!H56</f>
        <v>43.969526153856343</v>
      </c>
      <c r="I14" s="59">
        <f>'SER_se-appl'!I56</f>
        <v>43.634724178289801</v>
      </c>
      <c r="J14" s="59">
        <f>'SER_se-appl'!J56</f>
        <v>43.320035164892609</v>
      </c>
      <c r="K14" s="59">
        <f>'SER_se-appl'!K56</f>
        <v>43.063529516652046</v>
      </c>
      <c r="L14" s="59">
        <f>'SER_se-appl'!L56</f>
        <v>42.685616800040776</v>
      </c>
      <c r="M14" s="59">
        <f>'SER_se-appl'!M56</f>
        <v>42.259737534482817</v>
      </c>
      <c r="N14" s="59">
        <f>'SER_se-appl'!N56</f>
        <v>41.784998311235647</v>
      </c>
      <c r="O14" s="59">
        <f>'SER_se-appl'!O56</f>
        <v>41.218484306587406</v>
      </c>
      <c r="P14" s="59">
        <f>'SER_se-appl'!P56</f>
        <v>40.534615601979112</v>
      </c>
      <c r="Q14" s="59">
        <f>'SER_se-appl'!Q56</f>
        <v>39.770723460085819</v>
      </c>
      <c r="R14" s="59">
        <f>'SER_se-appl'!R56</f>
        <v>39.252870869758596</v>
      </c>
      <c r="S14" s="59">
        <f>'SER_se-appl'!S56</f>
        <v>38.543622202790402</v>
      </c>
      <c r="T14" s="59">
        <f>'SER_se-appl'!T56</f>
        <v>37.921348794160622</v>
      </c>
      <c r="U14" s="59">
        <f>'SER_se-appl'!U56</f>
        <v>37.193763316472022</v>
      </c>
      <c r="V14" s="59">
        <f>'SER_se-appl'!V56</f>
        <v>36.440772071792026</v>
      </c>
      <c r="W14" s="59">
        <f>'SER_se-appl'!W56</f>
        <v>35.70689544860921</v>
      </c>
      <c r="X14" s="59">
        <f>'SER_se-appl'!X56</f>
        <v>34.995977032036919</v>
      </c>
      <c r="Y14" s="59">
        <f>'SER_se-appl'!Y56</f>
        <v>34.386404489399247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43.120509072576773</v>
      </c>
      <c r="D15" s="63">
        <f>'SER_se-appl'!D64</f>
        <v>42.723990394227251</v>
      </c>
      <c r="E15" s="63">
        <f>'SER_se-appl'!E64</f>
        <v>42.440081080136963</v>
      </c>
      <c r="F15" s="63">
        <f>'SER_se-appl'!F64</f>
        <v>42.130355265807907</v>
      </c>
      <c r="G15" s="63">
        <f>'SER_se-appl'!G64</f>
        <v>41.795004189146908</v>
      </c>
      <c r="H15" s="63">
        <f>'SER_se-appl'!H64</f>
        <v>41.470848487162968</v>
      </c>
      <c r="I15" s="63">
        <f>'SER_se-appl'!I64</f>
        <v>41.119737718971145</v>
      </c>
      <c r="J15" s="63">
        <f>'SER_se-appl'!J64</f>
        <v>40.698712563845362</v>
      </c>
      <c r="K15" s="63">
        <f>'SER_se-appl'!K64</f>
        <v>40.196948840892937</v>
      </c>
      <c r="L15" s="63">
        <f>'SER_se-appl'!L64</f>
        <v>39.641702693310577</v>
      </c>
      <c r="M15" s="63">
        <f>'SER_se-appl'!M64</f>
        <v>38.707505493321761</v>
      </c>
      <c r="N15" s="63">
        <f>'SER_se-appl'!N64</f>
        <v>37.787492420238351</v>
      </c>
      <c r="O15" s="63">
        <f>'SER_se-appl'!O64</f>
        <v>36.741993603141779</v>
      </c>
      <c r="P15" s="63">
        <f>'SER_se-appl'!P64</f>
        <v>35.72001413521749</v>
      </c>
      <c r="Q15" s="63">
        <f>'SER_se-appl'!Q64</f>
        <v>34.610375717212392</v>
      </c>
      <c r="R15" s="63">
        <f>'SER_se-appl'!R64</f>
        <v>34.165206876055343</v>
      </c>
      <c r="S15" s="63">
        <f>'SER_se-appl'!S64</f>
        <v>33.623698534439271</v>
      </c>
      <c r="T15" s="63">
        <f>'SER_se-appl'!T64</f>
        <v>33.121522045247815</v>
      </c>
      <c r="U15" s="63">
        <f>'SER_se-appl'!U64</f>
        <v>32.637972790457553</v>
      </c>
      <c r="V15" s="63">
        <f>'SER_se-appl'!V64</f>
        <v>32.159655996494919</v>
      </c>
      <c r="W15" s="63">
        <f>'SER_se-appl'!W64</f>
        <v>31.838059436529971</v>
      </c>
      <c r="X15" s="63">
        <f>'SER_se-appl'!X64</f>
        <v>31.516462876565022</v>
      </c>
      <c r="Y15" s="63">
        <f>'SER_se-appl'!Y64</f>
        <v>31.19486631660007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82.871601783515203</v>
      </c>
      <c r="C3" s="198">
        <f>'SER_se-appl'!C9</f>
        <v>96.180196971480996</v>
      </c>
      <c r="D3" s="198">
        <f>'SER_se-appl'!D9</f>
        <v>107.7225393008864</v>
      </c>
      <c r="E3" s="198">
        <f>'SER_se-appl'!E9</f>
        <v>118.82855530357048</v>
      </c>
      <c r="F3" s="198">
        <f>'SER_se-appl'!F9</f>
        <v>131.64286093320987</v>
      </c>
      <c r="G3" s="198">
        <f>'SER_se-appl'!G9</f>
        <v>143.71056224178133</v>
      </c>
      <c r="H3" s="198">
        <f>'SER_se-appl'!H9</f>
        <v>154.93015745973659</v>
      </c>
      <c r="I3" s="198">
        <f>'SER_se-appl'!I9</f>
        <v>167.94957155854075</v>
      </c>
      <c r="J3" s="198">
        <f>'SER_se-appl'!J9</f>
        <v>179.23447129299416</v>
      </c>
      <c r="K3" s="198">
        <f>'SER_se-appl'!K9</f>
        <v>187.91288914446773</v>
      </c>
      <c r="L3" s="198">
        <f>'SER_se-appl'!L9</f>
        <v>196.16758731048097</v>
      </c>
      <c r="M3" s="198">
        <f>'SER_se-appl'!M9</f>
        <v>205.13875771357633</v>
      </c>
      <c r="N3" s="198">
        <f>'SER_se-appl'!N9</f>
        <v>210.18766943423594</v>
      </c>
      <c r="O3" s="198">
        <f>'SER_se-appl'!O9</f>
        <v>216.31451216153241</v>
      </c>
      <c r="P3" s="198">
        <f>'SER_se-appl'!P9</f>
        <v>224.9899419522381</v>
      </c>
      <c r="Q3" s="198">
        <f>'SER_se-appl'!Q9</f>
        <v>236.77116330983887</v>
      </c>
      <c r="R3" s="198">
        <f>'SER_se-appl'!R9</f>
        <v>239.72749522641163</v>
      </c>
      <c r="S3" s="198">
        <f>'SER_se-appl'!S9</f>
        <v>243.74146677664507</v>
      </c>
      <c r="T3" s="198">
        <f>'SER_se-appl'!T9</f>
        <v>246.45509951348831</v>
      </c>
      <c r="U3" s="198">
        <f>'SER_se-appl'!U9</f>
        <v>248.9828937288346</v>
      </c>
      <c r="V3" s="198">
        <f>'SER_se-appl'!V9</f>
        <v>248.02117452849188</v>
      </c>
      <c r="W3" s="198">
        <f>'SER_se-appl'!W9</f>
        <v>251.16333659941486</v>
      </c>
      <c r="X3" s="198">
        <f>'SER_se-appl'!X9</f>
        <v>255.58500629981773</v>
      </c>
      <c r="Y3" s="198">
        <f>'SER_se-appl'!Y9</f>
        <v>258.6209192860108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380.92754932948696</v>
      </c>
      <c r="C5" s="59">
        <f>'SER_se-appl'!C17</f>
        <v>427.82178860385062</v>
      </c>
      <c r="D5" s="59">
        <f>'SER_se-appl'!D17</f>
        <v>460.62759056853508</v>
      </c>
      <c r="E5" s="59">
        <f>'SER_se-appl'!E17</f>
        <v>491.32751512179038</v>
      </c>
      <c r="F5" s="59">
        <f>'SER_se-appl'!F17</f>
        <v>533.39462833887944</v>
      </c>
      <c r="G5" s="59">
        <f>'SER_se-appl'!G17</f>
        <v>572.97091872707256</v>
      </c>
      <c r="H5" s="59">
        <f>'SER_se-appl'!H17</f>
        <v>611.32342949882332</v>
      </c>
      <c r="I5" s="59">
        <f>'SER_se-appl'!I17</f>
        <v>663.92172570162654</v>
      </c>
      <c r="J5" s="59">
        <f>'SER_se-appl'!J17</f>
        <v>708.11049247526876</v>
      </c>
      <c r="K5" s="59">
        <f>'SER_se-appl'!K17</f>
        <v>735.03778216857927</v>
      </c>
      <c r="L5" s="59">
        <f>'SER_se-appl'!L17</f>
        <v>757.40437608178286</v>
      </c>
      <c r="M5" s="59">
        <f>'SER_se-appl'!M17</f>
        <v>774.91555546037148</v>
      </c>
      <c r="N5" s="59">
        <f>'SER_se-appl'!N17</f>
        <v>789.65137891688062</v>
      </c>
      <c r="O5" s="59">
        <f>'SER_se-appl'!O17</f>
        <v>810.25390792687267</v>
      </c>
      <c r="P5" s="59">
        <f>'SER_se-appl'!P17</f>
        <v>844.53805163022969</v>
      </c>
      <c r="Q5" s="59">
        <f>'SER_se-appl'!Q17</f>
        <v>895.63083533919917</v>
      </c>
      <c r="R5" s="59">
        <f>'SER_se-appl'!R17</f>
        <v>893.9026057975625</v>
      </c>
      <c r="S5" s="59">
        <f>'SER_se-appl'!S17</f>
        <v>893.47894427013318</v>
      </c>
      <c r="T5" s="59">
        <f>'SER_se-appl'!T17</f>
        <v>900.02241298841193</v>
      </c>
      <c r="U5" s="59">
        <f>'SER_se-appl'!U17</f>
        <v>906.37023027411112</v>
      </c>
      <c r="V5" s="59">
        <f>'SER_se-appl'!V17</f>
        <v>913.64148881675112</v>
      </c>
      <c r="W5" s="59">
        <f>'SER_se-appl'!W17</f>
        <v>922.2823078822438</v>
      </c>
      <c r="X5" s="59">
        <f>'SER_se-appl'!X17</f>
        <v>928.58416604298031</v>
      </c>
      <c r="Y5" s="59">
        <f>'SER_se-appl'!Y17</f>
        <v>934.48905555443082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0.10581210043331331</v>
      </c>
      <c r="C6" s="201">
        <f>'SER_se-appl'!C73</f>
        <v>0.12152853073770961</v>
      </c>
      <c r="D6" s="201">
        <f>'SER_se-appl'!D73</f>
        <v>0.13414177214528297</v>
      </c>
      <c r="E6" s="201">
        <f>'SER_se-appl'!E73</f>
        <v>0.14724378764052401</v>
      </c>
      <c r="F6" s="201">
        <f>'SER_se-appl'!F73</f>
        <v>0.16540518625370149</v>
      </c>
      <c r="G6" s="201">
        <f>'SER_se-appl'!G73</f>
        <v>0.18403428438589786</v>
      </c>
      <c r="H6" s="201">
        <f>'SER_se-appl'!H73</f>
        <v>0.20480739166171741</v>
      </c>
      <c r="I6" s="201">
        <f>'SER_se-appl'!I73</f>
        <v>0.23106794070142489</v>
      </c>
      <c r="J6" s="201">
        <f>'SER_se-appl'!J73</f>
        <v>0.25563130341196344</v>
      </c>
      <c r="K6" s="201">
        <f>'SER_se-appl'!K73</f>
        <v>0.27634790739544479</v>
      </c>
      <c r="L6" s="201">
        <f>'SER_se-appl'!L73</f>
        <v>0.29782013104462346</v>
      </c>
      <c r="M6" s="201">
        <f>'SER_se-appl'!M73</f>
        <v>0.32504948350864898</v>
      </c>
      <c r="N6" s="201">
        <f>'SER_se-appl'!N73</f>
        <v>0.35633821465288756</v>
      </c>
      <c r="O6" s="201">
        <f>'SER_se-appl'!O73</f>
        <v>0.39355991016261238</v>
      </c>
      <c r="P6" s="201">
        <f>'SER_se-appl'!P73</f>
        <v>0.43918427497811935</v>
      </c>
      <c r="Q6" s="201">
        <f>'SER_se-appl'!Q73</f>
        <v>0.49526372508635369</v>
      </c>
      <c r="R6" s="201">
        <f>'SER_se-appl'!R73</f>
        <v>0.52005957313886952</v>
      </c>
      <c r="S6" s="201">
        <f>'SER_se-appl'!S73</f>
        <v>0.54325930664930999</v>
      </c>
      <c r="T6" s="201">
        <f>'SER_se-appl'!T73</f>
        <v>0.56539731761560053</v>
      </c>
      <c r="U6" s="201">
        <f>'SER_se-appl'!U73</f>
        <v>0.58584265082006326</v>
      </c>
      <c r="V6" s="201">
        <f>'SER_se-appl'!V73</f>
        <v>0.60358575199484754</v>
      </c>
      <c r="W6" s="201">
        <f>'SER_se-appl'!W73</f>
        <v>0.62279337116896272</v>
      </c>
      <c r="X6" s="201">
        <f>'SER_se-appl'!X73</f>
        <v>0.63784921694304197</v>
      </c>
      <c r="Y6" s="201">
        <f>'SER_se-appl'!Y73</f>
        <v>0.6485798484158859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1083.4190903652318</v>
      </c>
      <c r="C8" s="34">
        <f>'SER_se-appl'!C25</f>
        <v>1247.2976237728392</v>
      </c>
      <c r="D8" s="34">
        <f>'SER_se-appl'!D25</f>
        <v>1382.9647818305273</v>
      </c>
      <c r="E8" s="34">
        <f>'SER_se-appl'!E25</f>
        <v>1524.8336947743946</v>
      </c>
      <c r="F8" s="34">
        <f>'SER_se-appl'!F25</f>
        <v>1719.6219518768935</v>
      </c>
      <c r="G8" s="34">
        <f>'SER_se-appl'!G25</f>
        <v>1922.3948976209999</v>
      </c>
      <c r="H8" s="34">
        <f>'SER_se-appl'!H25</f>
        <v>2152.8087301799264</v>
      </c>
      <c r="I8" s="34">
        <f>'SER_se-appl'!I25</f>
        <v>2445.7464746642154</v>
      </c>
      <c r="J8" s="34">
        <f>'SER_se-appl'!J25</f>
        <v>2726.7848589007572</v>
      </c>
      <c r="K8" s="34">
        <f>'SER_se-appl'!K25</f>
        <v>2971.5911560558093</v>
      </c>
      <c r="L8" s="34">
        <f>'SER_se-appl'!L25</f>
        <v>3228.3419276112691</v>
      </c>
      <c r="M8" s="34">
        <f>'SER_se-appl'!M25</f>
        <v>3575.7517001656174</v>
      </c>
      <c r="N8" s="34">
        <f>'SER_se-appl'!N25</f>
        <v>3946.7625119535564</v>
      </c>
      <c r="O8" s="34">
        <f>'SER_se-appl'!O25</f>
        <v>4383.460046833512</v>
      </c>
      <c r="P8" s="34">
        <f>'SER_se-appl'!P25</f>
        <v>4910.4491090463562</v>
      </c>
      <c r="Q8" s="34">
        <f>'SER_se-appl'!Q25</f>
        <v>5565.4141810560304</v>
      </c>
      <c r="R8" s="34">
        <f>'SER_se-appl'!R25</f>
        <v>5882.4546787438103</v>
      </c>
      <c r="S8" s="34">
        <f>'SER_se-appl'!S25</f>
        <v>6166.9313392922513</v>
      </c>
      <c r="T8" s="34">
        <f>'SER_se-appl'!T25</f>
        <v>6444.7316452026898</v>
      </c>
      <c r="U8" s="34">
        <f>'SER_se-appl'!U25</f>
        <v>6711.1316174796002</v>
      </c>
      <c r="V8" s="34">
        <f>'SER_se-appl'!V25</f>
        <v>6954.7806122155116</v>
      </c>
      <c r="W8" s="34">
        <f>'SER_se-appl'!W25</f>
        <v>7196.2322930018818</v>
      </c>
      <c r="X8" s="34">
        <f>'SER_se-appl'!X25</f>
        <v>7410.291733289474</v>
      </c>
      <c r="Y8" s="34">
        <f>'SER_se-appl'!Y25</f>
        <v>7616.140849658671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380.56235148065377</v>
      </c>
      <c r="D9" s="36">
        <f>'SER_se-appl'!D33</f>
        <v>352.35097613073435</v>
      </c>
      <c r="E9" s="36">
        <f>'SER_se-appl'!E33</f>
        <v>358.55273101691364</v>
      </c>
      <c r="F9" s="36">
        <f>'SER_se-appl'!F33</f>
        <v>411.47207517554534</v>
      </c>
      <c r="G9" s="36">
        <f>'SER_se-appl'!G33</f>
        <v>419.45676381715293</v>
      </c>
      <c r="H9" s="36">
        <f>'SER_se-appl'!H33</f>
        <v>610.9761840395804</v>
      </c>
      <c r="I9" s="36">
        <f>'SER_se-appl'!I33</f>
        <v>645.28872061502329</v>
      </c>
      <c r="J9" s="36">
        <f>'SER_se-appl'!J33</f>
        <v>639.59111525345543</v>
      </c>
      <c r="K9" s="36">
        <f>'SER_se-appl'!K33</f>
        <v>656.27837233059745</v>
      </c>
      <c r="L9" s="36">
        <f>'SER_se-appl'!L33</f>
        <v>676.20753537261271</v>
      </c>
      <c r="M9" s="36">
        <f>'SER_se-appl'!M33</f>
        <v>958.38595659392877</v>
      </c>
      <c r="N9" s="36">
        <f>'SER_se-appl'!N33</f>
        <v>1016.2995324029621</v>
      </c>
      <c r="O9" s="36">
        <f>'SER_se-appl'!O33</f>
        <v>1076.288650133411</v>
      </c>
      <c r="P9" s="36">
        <f>'SER_se-appl'!P33</f>
        <v>1183.2674345434416</v>
      </c>
      <c r="Q9" s="36">
        <f>'SER_se-appl'!Q33</f>
        <v>1331.1726073822865</v>
      </c>
      <c r="R9" s="36">
        <f>'SER_se-appl'!R33</f>
        <v>1275.4264542817091</v>
      </c>
      <c r="S9" s="36">
        <f>'SER_se-appl'!S33</f>
        <v>1300.7761929514027</v>
      </c>
      <c r="T9" s="36">
        <f>'SER_se-appl'!T33</f>
        <v>1354.08895604385</v>
      </c>
      <c r="U9" s="36">
        <f>'SER_se-appl'!U33</f>
        <v>1449.667406820352</v>
      </c>
      <c r="V9" s="36">
        <f>'SER_se-appl'!V33</f>
        <v>1574.8216021181979</v>
      </c>
      <c r="W9" s="36">
        <f>'SER_se-appl'!W33</f>
        <v>1516.8781350680792</v>
      </c>
      <c r="X9" s="36">
        <f>'SER_se-appl'!X33</f>
        <v>1514.8356332389949</v>
      </c>
      <c r="Y9" s="36">
        <f>'SER_se-appl'!Y33</f>
        <v>1559.9380724130469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216.68381807304627</v>
      </c>
      <c r="D10" s="38">
        <f>'SER_se-appl'!D41</f>
        <v>216.68381807304627</v>
      </c>
      <c r="E10" s="38">
        <f>'SER_se-appl'!E41</f>
        <v>216.68381807304627</v>
      </c>
      <c r="F10" s="38">
        <f>'SER_se-appl'!F41</f>
        <v>216.6838180730465</v>
      </c>
      <c r="G10" s="38">
        <f>'SER_se-appl'!G41</f>
        <v>216.6838180730465</v>
      </c>
      <c r="H10" s="38">
        <f>'SER_se-appl'!H41</f>
        <v>380.56235148065389</v>
      </c>
      <c r="I10" s="38">
        <f>'SER_se-appl'!I41</f>
        <v>352.35097613073413</v>
      </c>
      <c r="J10" s="38">
        <f>'SER_se-appl'!J41</f>
        <v>358.55273101691364</v>
      </c>
      <c r="K10" s="38">
        <f>'SER_se-appl'!K41</f>
        <v>411.47207517554534</v>
      </c>
      <c r="L10" s="38">
        <f>'SER_se-appl'!L41</f>
        <v>419.45676381715293</v>
      </c>
      <c r="M10" s="38">
        <f>'SER_se-appl'!M41</f>
        <v>610.97618403958086</v>
      </c>
      <c r="N10" s="38">
        <f>'SER_se-appl'!N41</f>
        <v>645.28872061502307</v>
      </c>
      <c r="O10" s="38">
        <f>'SER_se-appl'!O41</f>
        <v>639.59111525345543</v>
      </c>
      <c r="P10" s="38">
        <f>'SER_se-appl'!P41</f>
        <v>656.27837233059745</v>
      </c>
      <c r="Q10" s="38">
        <f>'SER_se-appl'!Q41</f>
        <v>676.20753537261226</v>
      </c>
      <c r="R10" s="38">
        <f>'SER_se-appl'!R41</f>
        <v>958.38595659392922</v>
      </c>
      <c r="S10" s="38">
        <f>'SER_se-appl'!S41</f>
        <v>1016.2995324029616</v>
      </c>
      <c r="T10" s="38">
        <f>'SER_se-appl'!T41</f>
        <v>1076.2886501334115</v>
      </c>
      <c r="U10" s="38">
        <f>'SER_se-appl'!U41</f>
        <v>1183.2674345434416</v>
      </c>
      <c r="V10" s="38">
        <f>'SER_se-appl'!V41</f>
        <v>1331.1726073822874</v>
      </c>
      <c r="W10" s="38">
        <f>'SER_se-appl'!W41</f>
        <v>1275.4264542817091</v>
      </c>
      <c r="X10" s="38">
        <f>'SER_se-appl'!X41</f>
        <v>1300.7761929514036</v>
      </c>
      <c r="Y10" s="38">
        <f>'SER_se-appl'!Y41</f>
        <v>1354.0889560438509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2530.1313345248141</v>
      </c>
      <c r="C12" s="204">
        <f>'SER_se-appl'!C49</f>
        <v>2614.5832694231699</v>
      </c>
      <c r="D12" s="204">
        <f>'SER_se-appl'!D49</f>
        <v>2719.7961166915975</v>
      </c>
      <c r="E12" s="204">
        <f>'SER_se-appl'!E49</f>
        <v>2812.7390704710688</v>
      </c>
      <c r="F12" s="204">
        <f>'SER_se-appl'!F49</f>
        <v>2870.3072571637199</v>
      </c>
      <c r="G12" s="204">
        <f>'SER_se-appl'!G49</f>
        <v>2916.9959316347868</v>
      </c>
      <c r="H12" s="204">
        <f>'SER_se-appl'!H49</f>
        <v>2947.4377135094001</v>
      </c>
      <c r="I12" s="204">
        <f>'SER_se-appl'!I49</f>
        <v>2941.9936742718401</v>
      </c>
      <c r="J12" s="204">
        <f>'SER_se-appl'!J49</f>
        <v>2943.7452534433737</v>
      </c>
      <c r="K12" s="204">
        <f>'SER_se-appl'!K49</f>
        <v>2973.2170968171226</v>
      </c>
      <c r="L12" s="204">
        <f>'SER_se-appl'!L49</f>
        <v>3012.1677567051051</v>
      </c>
      <c r="M12" s="204">
        <f>'SER_se-appl'!M49</f>
        <v>3078.7403032470147</v>
      </c>
      <c r="N12" s="204">
        <f>'SER_se-appl'!N49</f>
        <v>3095.6478526930709</v>
      </c>
      <c r="O12" s="204">
        <f>'SER_se-appl'!O49</f>
        <v>3104.875831917213</v>
      </c>
      <c r="P12" s="204">
        <f>'SER_se-appl'!P49</f>
        <v>3098.3009230354828</v>
      </c>
      <c r="Q12" s="204">
        <f>'SER_se-appl'!Q49</f>
        <v>3074.5353114718814</v>
      </c>
      <c r="R12" s="204">
        <f>'SER_se-appl'!R49</f>
        <v>3118.9424344452109</v>
      </c>
      <c r="S12" s="204">
        <f>'SER_se-appl'!S49</f>
        <v>3172.6693469290522</v>
      </c>
      <c r="T12" s="204">
        <f>'SER_se-appl'!T49</f>
        <v>3184.6682548990843</v>
      </c>
      <c r="U12" s="204">
        <f>'SER_se-appl'!U49</f>
        <v>3194.7993847840926</v>
      </c>
      <c r="V12" s="204">
        <f>'SER_se-appl'!V49</f>
        <v>3157.131429639905</v>
      </c>
      <c r="W12" s="204">
        <f>'SER_se-appl'!W49</f>
        <v>3167.1751476600475</v>
      </c>
      <c r="X12" s="204">
        <f>'SER_se-appl'!X49</f>
        <v>3201.0599921529329</v>
      </c>
      <c r="Y12" s="204">
        <f>'SER_se-appl'!Y49</f>
        <v>3218.6158558184566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351.59759756593576</v>
      </c>
      <c r="C14" s="59">
        <f>'SER_se-appl'!C57</f>
        <v>342.99896067289114</v>
      </c>
      <c r="D14" s="59">
        <f>'SER_se-appl'!D57</f>
        <v>333.07253852034955</v>
      </c>
      <c r="E14" s="59">
        <f>'SER_se-appl'!E57</f>
        <v>322.21711574552023</v>
      </c>
      <c r="F14" s="59">
        <f>'SER_se-appl'!F57</f>
        <v>310.18133244734526</v>
      </c>
      <c r="G14" s="59">
        <f>'SER_se-appl'!G57</f>
        <v>298.05058234191887</v>
      </c>
      <c r="H14" s="59">
        <f>'SER_se-appl'!H57</f>
        <v>283.96551023263942</v>
      </c>
      <c r="I14" s="59">
        <f>'SER_se-appl'!I57</f>
        <v>271.4597496426029</v>
      </c>
      <c r="J14" s="59">
        <f>'SER_se-appl'!J57</f>
        <v>259.6869680289804</v>
      </c>
      <c r="K14" s="59">
        <f>'SER_se-appl'!K57</f>
        <v>247.35495011507385</v>
      </c>
      <c r="L14" s="59">
        <f>'SER_se-appl'!L57</f>
        <v>234.61095294890441</v>
      </c>
      <c r="M14" s="59">
        <f>'SER_se-appl'!M57</f>
        <v>216.71402838862659</v>
      </c>
      <c r="N14" s="59">
        <f>'SER_se-appl'!N57</f>
        <v>200.07572701049634</v>
      </c>
      <c r="O14" s="59">
        <f>'SER_se-appl'!O57</f>
        <v>184.84345682862499</v>
      </c>
      <c r="P14" s="59">
        <f>'SER_se-appl'!P57</f>
        <v>171.98794506888697</v>
      </c>
      <c r="Q14" s="59">
        <f>'SER_se-appl'!Q57</f>
        <v>160.92797520583713</v>
      </c>
      <c r="R14" s="59">
        <f>'SER_se-appl'!R57</f>
        <v>151.96081476456936</v>
      </c>
      <c r="S14" s="59">
        <f>'SER_se-appl'!S57</f>
        <v>144.88225911927753</v>
      </c>
      <c r="T14" s="59">
        <f>'SER_se-appl'!T57</f>
        <v>139.65242659224887</v>
      </c>
      <c r="U14" s="59">
        <f>'SER_se-appl'!U57</f>
        <v>135.05475409145726</v>
      </c>
      <c r="V14" s="59">
        <f>'SER_se-appl'!V57</f>
        <v>131.36884393046324</v>
      </c>
      <c r="W14" s="59">
        <f>'SER_se-appl'!W57</f>
        <v>128.16183112642645</v>
      </c>
      <c r="X14" s="59">
        <f>'SER_se-appl'!X57</f>
        <v>125.31006868076111</v>
      </c>
      <c r="Y14" s="59">
        <f>'SER_se-appl'!Y57</f>
        <v>122.69849967340237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323.41546309401008</v>
      </c>
      <c r="D15" s="63">
        <f>'SER_se-appl'!D65</f>
        <v>309.32598236975616</v>
      </c>
      <c r="E15" s="63">
        <f>'SER_se-appl'!E65</f>
        <v>298.10241332148928</v>
      </c>
      <c r="F15" s="63">
        <f>'SER_se-appl'!F65</f>
        <v>287.38918195733368</v>
      </c>
      <c r="G15" s="63">
        <f>'SER_se-appl'!G65</f>
        <v>275.98029222519034</v>
      </c>
      <c r="H15" s="63">
        <f>'SER_se-appl'!H65</f>
        <v>264.22021697257162</v>
      </c>
      <c r="I15" s="63">
        <f>'SER_se-appl'!I65</f>
        <v>250.41443135620648</v>
      </c>
      <c r="J15" s="63">
        <f>'SER_se-appl'!J65</f>
        <v>236.2043461672036</v>
      </c>
      <c r="K15" s="63">
        <f>'SER_se-appl'!K65</f>
        <v>221.21696965379073</v>
      </c>
      <c r="L15" s="63">
        <f>'SER_se-appl'!L65</f>
        <v>204.26923236100993</v>
      </c>
      <c r="M15" s="63">
        <f>'SER_se-appl'!M65</f>
        <v>186.71333616631782</v>
      </c>
      <c r="N15" s="63">
        <f>'SER_se-appl'!N65</f>
        <v>173.49750331281405</v>
      </c>
      <c r="O15" s="63">
        <f>'SER_se-appl'!O65</f>
        <v>159.50807451282432</v>
      </c>
      <c r="P15" s="63">
        <f>'SER_se-appl'!P65</f>
        <v>151.66821230814924</v>
      </c>
      <c r="Q15" s="63">
        <f>'SER_se-appl'!Q65</f>
        <v>142.14623770568843</v>
      </c>
      <c r="R15" s="63">
        <f>'SER_se-appl'!R65</f>
        <v>138.94584760574625</v>
      </c>
      <c r="S15" s="63">
        <f>'SER_se-appl'!S65</f>
        <v>135.22831284554158</v>
      </c>
      <c r="T15" s="63">
        <f>'SER_se-appl'!T65</f>
        <v>131.61631525432421</v>
      </c>
      <c r="U15" s="63">
        <f>'SER_se-appl'!U65</f>
        <v>128.17552004766821</v>
      </c>
      <c r="V15" s="63">
        <f>'SER_se-appl'!V65</f>
        <v>124.77123513838865</v>
      </c>
      <c r="W15" s="63">
        <f>'SER_se-appl'!W65</f>
        <v>122.52535290589765</v>
      </c>
      <c r="X15" s="63">
        <f>'SER_se-appl'!X65</f>
        <v>120.27947067340665</v>
      </c>
      <c r="Y15" s="63">
        <f>'SER_se-appl'!Y65</f>
        <v>118.03358844091565</v>
      </c>
      <c r="DA15" s="105" t="s">
        <v>957</v>
      </c>
    </row>
    <row r="17" spans="1:105" ht="12" customHeight="1" x14ac:dyDescent="0.25">
      <c r="A17" s="197" t="s">
        <v>184</v>
      </c>
      <c r="B17" s="198">
        <v>37.827678709513229</v>
      </c>
      <c r="C17" s="198">
        <v>45.689855562522368</v>
      </c>
      <c r="D17" s="198">
        <v>53.591768867983454</v>
      </c>
      <c r="E17" s="198">
        <v>61.32326339914782</v>
      </c>
      <c r="F17" s="198">
        <v>68.756877102221623</v>
      </c>
      <c r="G17" s="198">
        <v>75.655357419026529</v>
      </c>
      <c r="H17" s="198">
        <v>81.344636461097352</v>
      </c>
      <c r="I17" s="198">
        <v>86.45872386914462</v>
      </c>
      <c r="J17" s="198">
        <v>91.270878315269286</v>
      </c>
      <c r="K17" s="198">
        <v>95.967053105108491</v>
      </c>
      <c r="L17" s="198">
        <v>100.8738098920351</v>
      </c>
      <c r="M17" s="198">
        <v>108.14731848925202</v>
      </c>
      <c r="N17" s="198">
        <v>110.61668908523049</v>
      </c>
      <c r="O17" s="198">
        <v>113.08605968120885</v>
      </c>
      <c r="P17" s="198">
        <v>115.5554302771874</v>
      </c>
      <c r="Q17" s="198">
        <v>118.02480087316586</v>
      </c>
      <c r="R17" s="198">
        <v>120.49417146914421</v>
      </c>
      <c r="S17" s="198">
        <v>122.96354206512275</v>
      </c>
      <c r="T17" s="198">
        <v>125.43291266110103</v>
      </c>
      <c r="U17" s="198">
        <v>127.90228325707945</v>
      </c>
      <c r="V17" s="198">
        <v>130.37165385305809</v>
      </c>
      <c r="W17" s="198">
        <v>132.84102444903652</v>
      </c>
      <c r="X17" s="198">
        <v>135.31039504501501</v>
      </c>
      <c r="Y17" s="198">
        <v>137.03995905305479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4906.3924515181952</v>
      </c>
      <c r="C3" s="219">
        <v>4677.2355517411124</v>
      </c>
      <c r="D3" s="219">
        <v>4431.2557444852937</v>
      </c>
      <c r="E3" s="219">
        <v>4461.1825177127675</v>
      </c>
      <c r="F3" s="219">
        <v>4590.9183636842226</v>
      </c>
      <c r="G3" s="219">
        <v>3862.5039578300539</v>
      </c>
      <c r="H3" s="219">
        <v>4275.2520039907804</v>
      </c>
      <c r="I3" s="219">
        <v>4336.8348280595937</v>
      </c>
      <c r="J3" s="219">
        <v>3506.5913621262462</v>
      </c>
      <c r="K3" s="219">
        <v>3465.031515370943</v>
      </c>
      <c r="L3" s="219">
        <v>4201.3600302228942</v>
      </c>
      <c r="M3" s="219">
        <v>3672.9403529163142</v>
      </c>
      <c r="N3" s="219">
        <v>4283.5348947880238</v>
      </c>
      <c r="O3" s="219">
        <v>3888.1740564738989</v>
      </c>
      <c r="P3" s="219">
        <v>3706.7070335402218</v>
      </c>
      <c r="Q3" s="219">
        <v>3941.7626249999998</v>
      </c>
      <c r="R3" s="219">
        <v>3577.6853542194222</v>
      </c>
      <c r="S3" s="219">
        <v>3934.9483583440019</v>
      </c>
      <c r="T3" s="219">
        <v>3653.5956196985758</v>
      </c>
      <c r="U3" s="219">
        <v>4045.944194645213</v>
      </c>
      <c r="V3" s="219">
        <v>3816.464503663371</v>
      </c>
      <c r="W3" s="219">
        <v>3736.389639760197</v>
      </c>
      <c r="X3" s="219">
        <v>4121.2796309822224</v>
      </c>
      <c r="Y3" s="219">
        <v>4586.1000000000004</v>
      </c>
      <c r="DA3" s="210" t="s">
        <v>974</v>
      </c>
    </row>
    <row r="5" spans="1:105" x14ac:dyDescent="0.25">
      <c r="A5" s="218" t="s">
        <v>120</v>
      </c>
      <c r="B5" s="219">
        <v>7050.0830431160202</v>
      </c>
      <c r="C5" s="219">
        <v>6923.1746457510981</v>
      </c>
      <c r="D5" s="219">
        <v>5584.2929374757277</v>
      </c>
      <c r="E5" s="219">
        <v>6903.2098750367086</v>
      </c>
      <c r="F5" s="219">
        <v>8881.6746286904418</v>
      </c>
      <c r="G5" s="219">
        <v>7499.0920152777653</v>
      </c>
      <c r="H5" s="219">
        <v>6672.4030057495584</v>
      </c>
      <c r="I5" s="219">
        <v>6461.64474017049</v>
      </c>
      <c r="J5" s="219">
        <v>6475.8493897420549</v>
      </c>
      <c r="K5" s="219">
        <v>5731.0694999644429</v>
      </c>
      <c r="L5" s="219">
        <v>6802.354731106755</v>
      </c>
      <c r="M5" s="219">
        <v>6790.4208195117317</v>
      </c>
      <c r="N5" s="219">
        <v>6824.2951937323978</v>
      </c>
      <c r="O5" s="219">
        <v>7329.2068987765433</v>
      </c>
      <c r="P5" s="219">
        <v>6587.0165446305919</v>
      </c>
      <c r="Q5" s="219">
        <v>6605.9528715704237</v>
      </c>
      <c r="R5" s="219">
        <v>6969.4021204116543</v>
      </c>
      <c r="S5" s="219">
        <v>7727.8354180094411</v>
      </c>
      <c r="T5" s="219">
        <v>7393.523104442932</v>
      </c>
      <c r="U5" s="219">
        <v>8074.6692308309421</v>
      </c>
      <c r="V5" s="219">
        <v>7375.9418720946342</v>
      </c>
      <c r="W5" s="219">
        <v>7855.1879006075033</v>
      </c>
      <c r="X5" s="219">
        <v>8298.3569618634192</v>
      </c>
      <c r="Y5" s="219">
        <v>8420.2631707421588</v>
      </c>
      <c r="DA5" s="210" t="s">
        <v>975</v>
      </c>
    </row>
    <row r="6" spans="1:105" x14ac:dyDescent="0.25">
      <c r="A6" s="220" t="s">
        <v>119</v>
      </c>
      <c r="B6" s="221">
        <v>8812.6038038950246</v>
      </c>
      <c r="C6" s="221">
        <v>8371.9736137002728</v>
      </c>
      <c r="D6" s="221">
        <v>7931.343423505522</v>
      </c>
      <c r="E6" s="221">
        <v>7931.343423505522</v>
      </c>
      <c r="F6" s="221">
        <v>9693.8641842845263</v>
      </c>
      <c r="G6" s="221">
        <v>9693.8641842845263</v>
      </c>
      <c r="H6" s="221">
        <v>9253.2339940897746</v>
      </c>
      <c r="I6" s="221">
        <v>8812.6038038950228</v>
      </c>
      <c r="J6" s="221">
        <v>8812.6038038950228</v>
      </c>
      <c r="K6" s="221">
        <v>8371.973613700271</v>
      </c>
      <c r="L6" s="221">
        <v>7931.3434235055201</v>
      </c>
      <c r="M6" s="221">
        <v>7931.3434235055201</v>
      </c>
      <c r="N6" s="221">
        <v>7490.7132333107693</v>
      </c>
      <c r="O6" s="221">
        <v>7931.3434235055201</v>
      </c>
      <c r="P6" s="221">
        <v>7931.3434235055201</v>
      </c>
      <c r="Q6" s="221">
        <v>7490.7132333107693</v>
      </c>
      <c r="R6" s="221">
        <v>7490.7132333107693</v>
      </c>
      <c r="S6" s="221">
        <v>8371.973613700271</v>
      </c>
      <c r="T6" s="221">
        <v>7931.3434235055201</v>
      </c>
      <c r="U6" s="221">
        <v>8812.6038038950228</v>
      </c>
      <c r="V6" s="221">
        <v>8812.6038038950228</v>
      </c>
      <c r="W6" s="221">
        <v>8371.973613700271</v>
      </c>
      <c r="X6" s="221">
        <v>8812.6038038950228</v>
      </c>
      <c r="Y6" s="221">
        <v>9253.2339940897746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2203.1509509737562</v>
      </c>
      <c r="G7" s="225">
        <v>0</v>
      </c>
      <c r="H7" s="225">
        <v>0</v>
      </c>
      <c r="I7" s="225">
        <v>0</v>
      </c>
      <c r="J7" s="225">
        <v>0</v>
      </c>
      <c r="K7" s="225">
        <v>0</v>
      </c>
      <c r="L7" s="225">
        <v>0</v>
      </c>
      <c r="M7" s="225">
        <v>0</v>
      </c>
      <c r="N7" s="225">
        <v>0</v>
      </c>
      <c r="O7" s="225">
        <v>881.26038038950253</v>
      </c>
      <c r="P7" s="225">
        <v>0</v>
      </c>
      <c r="Q7" s="225">
        <v>0</v>
      </c>
      <c r="R7" s="225">
        <v>440.63019019475132</v>
      </c>
      <c r="S7" s="225">
        <v>881.26038038950253</v>
      </c>
      <c r="T7" s="225">
        <v>0</v>
      </c>
      <c r="U7" s="225">
        <v>1321.890570584254</v>
      </c>
      <c r="V7" s="225">
        <v>0</v>
      </c>
      <c r="W7" s="225">
        <v>0</v>
      </c>
      <c r="X7" s="225">
        <v>881.26038038950253</v>
      </c>
      <c r="Y7" s="225">
        <v>440.63019019475178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440.63019019475178</v>
      </c>
      <c r="D8" s="227">
        <f t="shared" ref="D8" si="1">IF(C6=0,0,C6+D7-D6)</f>
        <v>440.63019019475087</v>
      </c>
      <c r="E8" s="227">
        <f t="shared" ref="E8" si="2">IF(D6=0,0,D6+E7-E6)</f>
        <v>0</v>
      </c>
      <c r="F8" s="227">
        <f t="shared" ref="F8" si="3">IF(E6=0,0,E6+F7-F6)</f>
        <v>440.63019019475178</v>
      </c>
      <c r="G8" s="227">
        <f t="shared" ref="G8" si="4">IF(F6=0,0,F6+G7-G6)</f>
        <v>0</v>
      </c>
      <c r="H8" s="227">
        <f t="shared" ref="H8" si="5">IF(G6=0,0,G6+H7-H6)</f>
        <v>440.63019019475178</v>
      </c>
      <c r="I8" s="227">
        <f t="shared" ref="I8" si="6">IF(H6=0,0,H6+I7-I6)</f>
        <v>440.63019019475178</v>
      </c>
      <c r="J8" s="227">
        <f t="shared" ref="J8" si="7">IF(I6=0,0,I6+J7-J6)</f>
        <v>0</v>
      </c>
      <c r="K8" s="227">
        <f t="shared" ref="K8" si="8">IF(J6=0,0,J6+K7-K6)</f>
        <v>440.63019019475178</v>
      </c>
      <c r="L8" s="227">
        <f t="shared" ref="L8" si="9">IF(K6=0,0,K6+L7-L6)</f>
        <v>440.63019019475087</v>
      </c>
      <c r="M8" s="227">
        <f t="shared" ref="M8" si="10">IF(L6=0,0,L6+M7-M6)</f>
        <v>0</v>
      </c>
      <c r="N8" s="227">
        <f t="shared" ref="N8" si="11">IF(M6=0,0,M6+N7-N6)</f>
        <v>440.63019019475087</v>
      </c>
      <c r="O8" s="227">
        <f t="shared" ref="O8" si="12">IF(N6=0,0,N6+O7-O6)</f>
        <v>440.63019019475087</v>
      </c>
      <c r="P8" s="227">
        <f t="shared" ref="P8" si="13">IF(O6=0,0,O6+P7-P6)</f>
        <v>0</v>
      </c>
      <c r="Q8" s="227">
        <f t="shared" ref="Q8" si="14">IF(P6=0,0,P6+Q7-Q6)</f>
        <v>440.63019019475087</v>
      </c>
      <c r="R8" s="227">
        <f t="shared" ref="R8" si="15">IF(Q6=0,0,Q6+R7-R6)</f>
        <v>440.63019019475178</v>
      </c>
      <c r="S8" s="227">
        <f t="shared" ref="S8" si="16">IF(R6=0,0,R6+S7-S6)</f>
        <v>0</v>
      </c>
      <c r="T8" s="227">
        <f t="shared" ref="T8" si="17">IF(S6=0,0,S6+T7-T6)</f>
        <v>440.63019019475087</v>
      </c>
      <c r="U8" s="227">
        <f t="shared" ref="U8" si="18">IF(T6=0,0,T6+U7-U6)</f>
        <v>440.63019019475178</v>
      </c>
      <c r="V8" s="227">
        <f t="shared" ref="V8" si="19">IF(U6=0,0,U6+V7-V6)</f>
        <v>0</v>
      </c>
      <c r="W8" s="227">
        <f t="shared" ref="W8" si="20">IF(V6=0,0,V6+W7-W6)</f>
        <v>440.63019019475178</v>
      </c>
      <c r="X8" s="227">
        <f t="shared" ref="X8" si="21">IF(W6=0,0,W6+X7-X6)</f>
        <v>440.63019019474996</v>
      </c>
      <c r="Y8" s="227">
        <f t="shared" ref="Y8" si="22">IF(X6=0,0,X6+Y7-Y6)</f>
        <v>0</v>
      </c>
      <c r="DA8" s="213" t="s">
        <v>978</v>
      </c>
    </row>
    <row r="9" spans="1:105" x14ac:dyDescent="0.25">
      <c r="A9" s="222" t="s">
        <v>116</v>
      </c>
      <c r="B9" s="223">
        <f>B6-B5</f>
        <v>1762.5207607790044</v>
      </c>
      <c r="C9" s="223">
        <f t="shared" ref="C9:W9" si="23">C6-C5</f>
        <v>1448.7989679491748</v>
      </c>
      <c r="D9" s="223">
        <f t="shared" si="23"/>
        <v>2347.0504860297942</v>
      </c>
      <c r="E9" s="223">
        <f t="shared" si="23"/>
        <v>1028.1335484688134</v>
      </c>
      <c r="F9" s="223">
        <f t="shared" si="23"/>
        <v>812.1895555940846</v>
      </c>
      <c r="G9" s="223">
        <f t="shared" si="23"/>
        <v>2194.772169006761</v>
      </c>
      <c r="H9" s="223">
        <f t="shared" si="23"/>
        <v>2580.8309883402162</v>
      </c>
      <c r="I9" s="223">
        <f t="shared" si="23"/>
        <v>2350.9590637245328</v>
      </c>
      <c r="J9" s="223">
        <f t="shared" si="23"/>
        <v>2336.7544141529679</v>
      </c>
      <c r="K9" s="223">
        <f t="shared" si="23"/>
        <v>2640.9041137358281</v>
      </c>
      <c r="L9" s="223">
        <f t="shared" si="23"/>
        <v>1128.9886923987651</v>
      </c>
      <c r="M9" s="223">
        <f t="shared" si="23"/>
        <v>1140.9226039937885</v>
      </c>
      <c r="N9" s="223">
        <f t="shared" si="23"/>
        <v>666.41803957837146</v>
      </c>
      <c r="O9" s="223">
        <f t="shared" si="23"/>
        <v>602.13652472897684</v>
      </c>
      <c r="P9" s="223">
        <f t="shared" si="23"/>
        <v>1344.3268788749283</v>
      </c>
      <c r="Q9" s="223">
        <f t="shared" si="23"/>
        <v>884.76036174034562</v>
      </c>
      <c r="R9" s="223">
        <f t="shared" si="23"/>
        <v>521.31111289911496</v>
      </c>
      <c r="S9" s="223">
        <f t="shared" si="23"/>
        <v>644.13819569082989</v>
      </c>
      <c r="T9" s="223">
        <f t="shared" si="23"/>
        <v>537.82031906258817</v>
      </c>
      <c r="U9" s="223">
        <f t="shared" si="23"/>
        <v>737.93457306408072</v>
      </c>
      <c r="V9" s="223">
        <f t="shared" si="23"/>
        <v>1436.6619318003886</v>
      </c>
      <c r="W9" s="223">
        <f t="shared" si="23"/>
        <v>516.78571309276776</v>
      </c>
      <c r="X9" s="223">
        <f t="shared" ref="X9:Y9" si="24">X6-X5</f>
        <v>514.24684203160359</v>
      </c>
      <c r="Y9" s="223">
        <f t="shared" si="24"/>
        <v>832.97082334761581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792.93490971625101</v>
      </c>
      <c r="C12" s="229">
        <f t="shared" ref="C12:W12" si="25">SUM(C13,C14,C18,C19,C26,C27)</f>
        <v>760.29905417024929</v>
      </c>
      <c r="D12" s="229">
        <f t="shared" si="25"/>
        <v>635.54316423043861</v>
      </c>
      <c r="E12" s="229">
        <f t="shared" si="25"/>
        <v>825.19501289767834</v>
      </c>
      <c r="F12" s="229">
        <f t="shared" si="25"/>
        <v>1041.8751504729148</v>
      </c>
      <c r="G12" s="229">
        <f t="shared" si="25"/>
        <v>1007.0833190025794</v>
      </c>
      <c r="H12" s="229">
        <f t="shared" si="25"/>
        <v>867.79423903697352</v>
      </c>
      <c r="I12" s="229">
        <f t="shared" si="25"/>
        <v>761.27669819432492</v>
      </c>
      <c r="J12" s="229">
        <f t="shared" si="25"/>
        <v>799.74273430782455</v>
      </c>
      <c r="K12" s="229">
        <f t="shared" si="25"/>
        <v>789.93396388650024</v>
      </c>
      <c r="L12" s="229">
        <f t="shared" si="25"/>
        <v>873.94049871023219</v>
      </c>
      <c r="M12" s="229">
        <f t="shared" si="25"/>
        <v>787.83353396388645</v>
      </c>
      <c r="N12" s="229">
        <f t="shared" si="25"/>
        <v>807.39716251074788</v>
      </c>
      <c r="O12" s="229">
        <f t="shared" si="25"/>
        <v>864.07558039552885</v>
      </c>
      <c r="P12" s="229">
        <f t="shared" si="25"/>
        <v>752.32063628546859</v>
      </c>
      <c r="Q12" s="229">
        <f t="shared" si="25"/>
        <v>770.76466036113493</v>
      </c>
      <c r="R12" s="229">
        <f t="shared" si="25"/>
        <v>825.26431642304385</v>
      </c>
      <c r="S12" s="229">
        <f t="shared" si="25"/>
        <v>844.34221840068778</v>
      </c>
      <c r="T12" s="229">
        <f t="shared" si="25"/>
        <v>850.5473774720549</v>
      </c>
      <c r="U12" s="229">
        <f t="shared" si="25"/>
        <v>923.01977644024078</v>
      </c>
      <c r="V12" s="229">
        <f t="shared" si="25"/>
        <v>892.65700773860681</v>
      </c>
      <c r="W12" s="229">
        <f t="shared" si="25"/>
        <v>908.16130696474636</v>
      </c>
      <c r="X12" s="229">
        <f t="shared" ref="X12:Y12" si="26">SUM(X13,X14,X18,X19,X26,X27)</f>
        <v>820.92751504729131</v>
      </c>
      <c r="Y12" s="229">
        <f t="shared" si="26"/>
        <v>853.63714531384346</v>
      </c>
      <c r="DA12" s="210" t="s">
        <v>980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17.28099742046432</v>
      </c>
      <c r="E13" s="59">
        <v>16.806792777300089</v>
      </c>
      <c r="F13" s="59">
        <v>16.84230438521066</v>
      </c>
      <c r="G13" s="59">
        <v>16.84230438521066</v>
      </c>
      <c r="H13" s="59">
        <v>16.84230438521066</v>
      </c>
      <c r="I13" s="59">
        <v>24.661908856405841</v>
      </c>
      <c r="J13" s="59">
        <v>31.879965606190879</v>
      </c>
      <c r="K13" s="59">
        <v>21.05279449699054</v>
      </c>
      <c r="L13" s="59">
        <v>12.030180567497849</v>
      </c>
      <c r="M13" s="59">
        <v>5.4135855546001714</v>
      </c>
      <c r="N13" s="59">
        <v>6.3798796216680991</v>
      </c>
      <c r="O13" s="59">
        <v>8.1470335339638851</v>
      </c>
      <c r="P13" s="59">
        <v>8.4393809114359417</v>
      </c>
      <c r="Q13" s="59">
        <v>13.632846087704211</v>
      </c>
      <c r="R13" s="59">
        <v>15.580395528804811</v>
      </c>
      <c r="S13" s="59">
        <v>15.840068787618231</v>
      </c>
      <c r="T13" s="59">
        <v>15.27747205503009</v>
      </c>
      <c r="U13" s="59">
        <v>12.464144453998276</v>
      </c>
      <c r="V13" s="59">
        <v>9.8026655202063626</v>
      </c>
      <c r="W13" s="59">
        <v>6.0157351676698188</v>
      </c>
      <c r="X13" s="59">
        <v>6.0590713671539111</v>
      </c>
      <c r="Y13" s="59">
        <v>2.401977644024075</v>
      </c>
      <c r="DA13" s="9" t="s">
        <v>981</v>
      </c>
    </row>
    <row r="14" spans="1:105" x14ac:dyDescent="0.25">
      <c r="A14" s="60" t="s">
        <v>28</v>
      </c>
      <c r="B14" s="55">
        <f>SUM(B15:B17)</f>
        <v>770.83688736027511</v>
      </c>
      <c r="C14" s="55">
        <f t="shared" ref="C14:W14" si="27">SUM(C15:C17)</f>
        <v>737.59914015477204</v>
      </c>
      <c r="D14" s="55">
        <f t="shared" si="27"/>
        <v>594.27248495270851</v>
      </c>
      <c r="E14" s="55">
        <f t="shared" si="27"/>
        <v>784.31255374032662</v>
      </c>
      <c r="F14" s="55">
        <f t="shared" si="27"/>
        <v>775.82407566638005</v>
      </c>
      <c r="G14" s="55">
        <f t="shared" si="27"/>
        <v>746.17850386930343</v>
      </c>
      <c r="H14" s="55">
        <f t="shared" si="27"/>
        <v>633.08495270851245</v>
      </c>
      <c r="I14" s="55">
        <f t="shared" si="27"/>
        <v>526.97050730868443</v>
      </c>
      <c r="J14" s="55">
        <f t="shared" si="27"/>
        <v>544.84092863284604</v>
      </c>
      <c r="K14" s="55">
        <f t="shared" si="27"/>
        <v>476.85296646603604</v>
      </c>
      <c r="L14" s="55">
        <f t="shared" si="27"/>
        <v>484.52519346517624</v>
      </c>
      <c r="M14" s="55">
        <f t="shared" si="27"/>
        <v>423.84445399828036</v>
      </c>
      <c r="N14" s="55">
        <f t="shared" si="27"/>
        <v>408.80567497850376</v>
      </c>
      <c r="O14" s="55">
        <f t="shared" si="27"/>
        <v>439.32502149613066</v>
      </c>
      <c r="P14" s="55">
        <f t="shared" si="27"/>
        <v>367.07652622527945</v>
      </c>
      <c r="Q14" s="55">
        <f t="shared" si="27"/>
        <v>333.91229578675831</v>
      </c>
      <c r="R14" s="55">
        <f t="shared" si="27"/>
        <v>362.18736027515047</v>
      </c>
      <c r="S14" s="55">
        <f t="shared" si="27"/>
        <v>359.67024935511597</v>
      </c>
      <c r="T14" s="55">
        <f t="shared" si="27"/>
        <v>344.92545141874461</v>
      </c>
      <c r="U14" s="55">
        <f t="shared" si="27"/>
        <v>381.92321582115216</v>
      </c>
      <c r="V14" s="55">
        <f t="shared" si="27"/>
        <v>342.94720550300946</v>
      </c>
      <c r="W14" s="55">
        <f t="shared" si="27"/>
        <v>326.34591573516769</v>
      </c>
      <c r="X14" s="55">
        <f t="shared" ref="X14:Y14" si="28">SUM(X15:X17)</f>
        <v>369.46569217540832</v>
      </c>
      <c r="Y14" s="55">
        <f t="shared" si="28"/>
        <v>351.69587274290632</v>
      </c>
      <c r="DA14" s="10"/>
    </row>
    <row r="15" spans="1:105" x14ac:dyDescent="0.25">
      <c r="A15" s="61" t="s">
        <v>52</v>
      </c>
      <c r="B15" s="55">
        <v>0</v>
      </c>
      <c r="C15" s="55">
        <v>1.098710232158211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1.098710232158211</v>
      </c>
      <c r="O15" s="55">
        <v>1.098710232158211</v>
      </c>
      <c r="P15" s="55">
        <v>1.098710232158211</v>
      </c>
      <c r="Q15" s="55">
        <v>1.098710232158211</v>
      </c>
      <c r="R15" s="55">
        <v>1.098710232158211</v>
      </c>
      <c r="S15" s="55">
        <v>0.98882201203783315</v>
      </c>
      <c r="T15" s="55">
        <v>1.20859845227859</v>
      </c>
      <c r="U15" s="55">
        <v>2.3072226999140151</v>
      </c>
      <c r="V15" s="55">
        <v>2.3724849527085121</v>
      </c>
      <c r="W15" s="55">
        <v>3.1632846087704212</v>
      </c>
      <c r="X15" s="55">
        <v>2.0335339638865002</v>
      </c>
      <c r="Y15" s="55">
        <v>2.1465176268271708</v>
      </c>
      <c r="DA15" s="10" t="s">
        <v>982</v>
      </c>
    </row>
    <row r="16" spans="1:105" x14ac:dyDescent="0.25">
      <c r="A16" s="61" t="s">
        <v>165</v>
      </c>
      <c r="B16" s="55">
        <v>482.28718830610489</v>
      </c>
      <c r="C16" s="55">
        <v>490.42708512467749</v>
      </c>
      <c r="D16" s="55">
        <v>431.41298366294058</v>
      </c>
      <c r="E16" s="55">
        <v>498.56689595872729</v>
      </c>
      <c r="F16" s="55">
        <v>514.8466895958727</v>
      </c>
      <c r="G16" s="55">
        <v>517.89914015477211</v>
      </c>
      <c r="H16" s="55">
        <v>451.76268271711092</v>
      </c>
      <c r="I16" s="55">
        <v>372.39896818572652</v>
      </c>
      <c r="J16" s="55">
        <v>476.18228718830608</v>
      </c>
      <c r="K16" s="55">
        <v>403.73748925193462</v>
      </c>
      <c r="L16" s="55">
        <v>459.39380911435939</v>
      </c>
      <c r="M16" s="55">
        <v>398.03955288048155</v>
      </c>
      <c r="N16" s="55">
        <v>391.52760103181413</v>
      </c>
      <c r="O16" s="55">
        <v>421.84866723989677</v>
      </c>
      <c r="P16" s="55">
        <v>350.11607910576095</v>
      </c>
      <c r="Q16" s="55">
        <v>316.33568357695606</v>
      </c>
      <c r="R16" s="55">
        <v>344.51994840928631</v>
      </c>
      <c r="S16" s="55">
        <v>342.68839208942381</v>
      </c>
      <c r="T16" s="55">
        <v>328.54539982803095</v>
      </c>
      <c r="U16" s="55">
        <v>364.86964746345654</v>
      </c>
      <c r="V16" s="55">
        <v>327.52226999140152</v>
      </c>
      <c r="W16" s="55">
        <v>310.98693035253655</v>
      </c>
      <c r="X16" s="55">
        <v>356.58736027515039</v>
      </c>
      <c r="Y16" s="55">
        <v>338.51152192605332</v>
      </c>
      <c r="DA16" s="10" t="s">
        <v>983</v>
      </c>
    </row>
    <row r="17" spans="1:105" x14ac:dyDescent="0.25">
      <c r="A17" s="61" t="s">
        <v>113</v>
      </c>
      <c r="B17" s="55">
        <v>288.54969905417028</v>
      </c>
      <c r="C17" s="55">
        <v>246.07334479793633</v>
      </c>
      <c r="D17" s="55">
        <v>162.85950128976788</v>
      </c>
      <c r="E17" s="55">
        <v>285.74565778159939</v>
      </c>
      <c r="F17" s="55">
        <v>260.97738607050735</v>
      </c>
      <c r="G17" s="55">
        <v>228.27936371453131</v>
      </c>
      <c r="H17" s="55">
        <v>181.3222699914015</v>
      </c>
      <c r="I17" s="55">
        <v>154.57153912295789</v>
      </c>
      <c r="J17" s="55">
        <v>68.658641444539981</v>
      </c>
      <c r="K17" s="55">
        <v>73.115477214101446</v>
      </c>
      <c r="L17" s="55">
        <v>25.131384350816845</v>
      </c>
      <c r="M17" s="55">
        <v>25.804901117798792</v>
      </c>
      <c r="N17" s="55">
        <v>16.17936371453138</v>
      </c>
      <c r="O17" s="55">
        <v>16.377644024075668</v>
      </c>
      <c r="P17" s="55">
        <v>15.861736887360273</v>
      </c>
      <c r="Q17" s="55">
        <v>16.477901977644024</v>
      </c>
      <c r="R17" s="55">
        <v>16.568701633705931</v>
      </c>
      <c r="S17" s="55">
        <v>15.993035253654341</v>
      </c>
      <c r="T17" s="55">
        <v>15.17145313843508</v>
      </c>
      <c r="U17" s="55">
        <v>14.7463456577816</v>
      </c>
      <c r="V17" s="55">
        <v>13.052450558899398</v>
      </c>
      <c r="W17" s="55">
        <v>12.195700773860704</v>
      </c>
      <c r="X17" s="55">
        <v>10.844797936371453</v>
      </c>
      <c r="Y17" s="55">
        <v>11.037833190025797</v>
      </c>
      <c r="DA17" s="10" t="s">
        <v>984</v>
      </c>
    </row>
    <row r="18" spans="1:105" x14ac:dyDescent="0.25">
      <c r="A18" s="60" t="s">
        <v>149</v>
      </c>
      <c r="B18" s="55">
        <v>0</v>
      </c>
      <c r="C18" s="55">
        <v>0</v>
      </c>
      <c r="D18" s="55">
        <v>0</v>
      </c>
      <c r="E18" s="55">
        <v>0</v>
      </c>
      <c r="F18" s="55">
        <v>159.64918314703351</v>
      </c>
      <c r="G18" s="55">
        <v>153.55382631126389</v>
      </c>
      <c r="H18" s="55">
        <v>138.42433361994841</v>
      </c>
      <c r="I18" s="55">
        <v>105.5720550300946</v>
      </c>
      <c r="J18" s="55">
        <v>93.705588993981081</v>
      </c>
      <c r="K18" s="55">
        <v>126.56844368013761</v>
      </c>
      <c r="L18" s="55">
        <v>185.373086844368</v>
      </c>
      <c r="M18" s="55">
        <v>184.64170249355109</v>
      </c>
      <c r="N18" s="55">
        <v>204.93680137575231</v>
      </c>
      <c r="O18" s="55">
        <v>226.9360275150473</v>
      </c>
      <c r="P18" s="55">
        <v>190.3421324161651</v>
      </c>
      <c r="Q18" s="55">
        <v>221.92605331040409</v>
      </c>
      <c r="R18" s="55">
        <v>240.0082545141874</v>
      </c>
      <c r="S18" s="55">
        <v>274.05975924333626</v>
      </c>
      <c r="T18" s="55">
        <v>286.94774764161758</v>
      </c>
      <c r="U18" s="55">
        <v>320.75221843298914</v>
      </c>
      <c r="V18" s="55">
        <v>328.36547964232841</v>
      </c>
      <c r="W18" s="55">
        <v>390.225908675114</v>
      </c>
      <c r="X18" s="55">
        <v>306.66657125338867</v>
      </c>
      <c r="Y18" s="55">
        <v>343.9297811275253</v>
      </c>
      <c r="DA18" s="10" t="s">
        <v>985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9">SUM(C20:C25)</f>
        <v>0</v>
      </c>
      <c r="D19" s="55">
        <f t="shared" si="29"/>
        <v>0</v>
      </c>
      <c r="E19" s="55">
        <f t="shared" si="29"/>
        <v>0</v>
      </c>
      <c r="F19" s="55">
        <f t="shared" si="29"/>
        <v>1.1703353396388649</v>
      </c>
      <c r="G19" s="55">
        <f t="shared" si="29"/>
        <v>1.5524505588993975</v>
      </c>
      <c r="H19" s="55">
        <f t="shared" si="29"/>
        <v>3.3865004299226134</v>
      </c>
      <c r="I19" s="55">
        <f t="shared" si="29"/>
        <v>15.022871883061045</v>
      </c>
      <c r="J19" s="55">
        <f t="shared" si="29"/>
        <v>19.01771281169389</v>
      </c>
      <c r="K19" s="55">
        <f t="shared" si="29"/>
        <v>35.253396388650039</v>
      </c>
      <c r="L19" s="55">
        <f t="shared" si="29"/>
        <v>36.180395528804823</v>
      </c>
      <c r="M19" s="55">
        <f t="shared" si="29"/>
        <v>27.362166809974198</v>
      </c>
      <c r="N19" s="55">
        <f t="shared" si="29"/>
        <v>34.869131556319857</v>
      </c>
      <c r="O19" s="55">
        <f t="shared" si="29"/>
        <v>47.076526225279459</v>
      </c>
      <c r="P19" s="55">
        <f t="shared" si="29"/>
        <v>46.634565778159931</v>
      </c>
      <c r="Q19" s="55">
        <f t="shared" si="29"/>
        <v>49.751504729148756</v>
      </c>
      <c r="R19" s="55">
        <f t="shared" si="29"/>
        <v>47.793035253654345</v>
      </c>
      <c r="S19" s="55">
        <f t="shared" si="29"/>
        <v>44.153052450558896</v>
      </c>
      <c r="T19" s="55">
        <f t="shared" si="29"/>
        <v>42.376843931899181</v>
      </c>
      <c r="U19" s="55">
        <f t="shared" si="29"/>
        <v>39.609432469848343</v>
      </c>
      <c r="V19" s="55">
        <f t="shared" si="29"/>
        <v>42.138733599288045</v>
      </c>
      <c r="W19" s="55">
        <f t="shared" si="29"/>
        <v>35.461021677422544</v>
      </c>
      <c r="X19" s="55">
        <f t="shared" ref="X19:Y19" si="30">SUM(X20:X25)</f>
        <v>34.605139838614654</v>
      </c>
      <c r="Y19" s="55">
        <f t="shared" si="30"/>
        <v>30.044423515638893</v>
      </c>
      <c r="DA19" s="10"/>
    </row>
    <row r="20" spans="1:105" x14ac:dyDescent="0.25">
      <c r="A20" s="61" t="s">
        <v>164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11.27351676698194</v>
      </c>
      <c r="J20" s="55">
        <v>14.688993981083399</v>
      </c>
      <c r="K20" s="55">
        <v>17.12527944969905</v>
      </c>
      <c r="L20" s="55">
        <v>13.738435081685299</v>
      </c>
      <c r="M20" s="55">
        <v>8.615133276010317</v>
      </c>
      <c r="N20" s="55">
        <v>10.72656921754084</v>
      </c>
      <c r="O20" s="55">
        <v>12.00679277730009</v>
      </c>
      <c r="P20" s="55">
        <v>10.227343078245919</v>
      </c>
      <c r="Q20" s="55">
        <v>11.283061049011179</v>
      </c>
      <c r="R20" s="55">
        <v>10.518744625967329</v>
      </c>
      <c r="S20" s="55">
        <v>10.045829750644881</v>
      </c>
      <c r="T20" s="55">
        <v>8.6104041272570928</v>
      </c>
      <c r="U20" s="55">
        <v>8.2473774720550299</v>
      </c>
      <c r="V20" s="55">
        <v>8.2831470335339628</v>
      </c>
      <c r="W20" s="55">
        <v>6.6112639724849531</v>
      </c>
      <c r="X20" s="55">
        <v>4.9178847807394668</v>
      </c>
      <c r="Y20" s="55">
        <v>3.2459157351676691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1.1703353396388649</v>
      </c>
      <c r="G21" s="55">
        <v>1.5047291487532239</v>
      </c>
      <c r="H21" s="55">
        <v>2.6750644883920889</v>
      </c>
      <c r="I21" s="55">
        <v>0.62098022355975924</v>
      </c>
      <c r="J21" s="55">
        <v>1.098710232158211</v>
      </c>
      <c r="K21" s="55">
        <v>12.56328460877042</v>
      </c>
      <c r="L21" s="55">
        <v>22.44196044711952</v>
      </c>
      <c r="M21" s="55">
        <v>18.747033533963879</v>
      </c>
      <c r="N21" s="55">
        <v>24.142562338779019</v>
      </c>
      <c r="O21" s="55">
        <v>35.055374032674123</v>
      </c>
      <c r="P21" s="55">
        <v>36.388134135855537</v>
      </c>
      <c r="Q21" s="55">
        <v>38.430266552020633</v>
      </c>
      <c r="R21" s="55">
        <v>37.195442820292349</v>
      </c>
      <c r="S21" s="55">
        <v>34.030782459157351</v>
      </c>
      <c r="T21" s="55">
        <v>33.685270415132202</v>
      </c>
      <c r="U21" s="55">
        <v>31.280885608283423</v>
      </c>
      <c r="V21" s="55">
        <v>33.776738758359414</v>
      </c>
      <c r="W21" s="55">
        <v>28.773317464180927</v>
      </c>
      <c r="X21" s="55">
        <v>29.610814817118523</v>
      </c>
      <c r="Y21" s="55">
        <v>26.726882672990573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4.772141014617369E-2</v>
      </c>
      <c r="H22" s="55">
        <v>0.71143594153052436</v>
      </c>
      <c r="I22" s="55">
        <v>3.128374892519346</v>
      </c>
      <c r="J22" s="55">
        <v>3.2300085984522782</v>
      </c>
      <c r="K22" s="55">
        <v>5.5648323301805656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1.4359415305245061E-2</v>
      </c>
      <c r="P23" s="55">
        <v>1.9088564058469471E-2</v>
      </c>
      <c r="Q23" s="55">
        <v>3.8177128116938949E-2</v>
      </c>
      <c r="R23" s="55">
        <v>7.8847807394668956E-2</v>
      </c>
      <c r="S23" s="55">
        <v>7.6440240756663794E-2</v>
      </c>
      <c r="T23" s="55">
        <v>8.116938950988821E-2</v>
      </c>
      <c r="U23" s="55">
        <v>8.116938950988821E-2</v>
      </c>
      <c r="V23" s="55">
        <v>7.8847807394668956E-2</v>
      </c>
      <c r="W23" s="55">
        <v>7.6440240756663794E-2</v>
      </c>
      <c r="X23" s="55">
        <v>7.6440240756663794E-2</v>
      </c>
      <c r="Y23" s="55">
        <v>7.1625107480653469E-2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0</v>
      </c>
      <c r="C26" s="55">
        <v>0</v>
      </c>
      <c r="D26" s="55">
        <v>0</v>
      </c>
      <c r="E26" s="55">
        <v>0</v>
      </c>
      <c r="F26" s="55">
        <v>4.184608770421324</v>
      </c>
      <c r="G26" s="55">
        <v>1.320808254514187</v>
      </c>
      <c r="H26" s="55">
        <v>4.9297506448839208</v>
      </c>
      <c r="I26" s="55">
        <v>5.3262252794496989</v>
      </c>
      <c r="J26" s="55">
        <v>3.2220120378331898</v>
      </c>
      <c r="K26" s="55">
        <v>1.5047291487532239</v>
      </c>
      <c r="L26" s="55">
        <v>4.8772141014617363</v>
      </c>
      <c r="M26" s="55">
        <v>4.688564058469475</v>
      </c>
      <c r="N26" s="55">
        <v>2.0875322441960451</v>
      </c>
      <c r="O26" s="55">
        <v>2.9950988822012028</v>
      </c>
      <c r="P26" s="55">
        <v>2.2355975924333622</v>
      </c>
      <c r="Q26" s="55">
        <v>4.4998280309544274</v>
      </c>
      <c r="R26" s="55">
        <v>4.7769561478933786</v>
      </c>
      <c r="S26" s="55">
        <v>4.3852106620808264</v>
      </c>
      <c r="T26" s="55">
        <v>4.8891659501289766</v>
      </c>
      <c r="U26" s="55">
        <v>5.7514187446259664</v>
      </c>
      <c r="V26" s="55">
        <v>0.90765262252794487</v>
      </c>
      <c r="W26" s="55">
        <v>1.084350816852967</v>
      </c>
      <c r="X26" s="55">
        <v>0.81203783319002576</v>
      </c>
      <c r="Y26" s="55">
        <v>0.83594153052450548</v>
      </c>
      <c r="DA26" s="10" t="s">
        <v>992</v>
      </c>
    </row>
    <row r="27" spans="1:105" x14ac:dyDescent="0.25">
      <c r="A27" s="62" t="s">
        <v>24</v>
      </c>
      <c r="B27" s="63">
        <v>22.098022355975921</v>
      </c>
      <c r="C27" s="63">
        <v>22.699914015477209</v>
      </c>
      <c r="D27" s="63">
        <v>23.98968185726569</v>
      </c>
      <c r="E27" s="63">
        <v>24.07566638005159</v>
      </c>
      <c r="F27" s="63">
        <v>84.204643164230433</v>
      </c>
      <c r="G27" s="63">
        <v>87.635425623387789</v>
      </c>
      <c r="H27" s="63">
        <v>71.126397248495266</v>
      </c>
      <c r="I27" s="63">
        <v>83.723129836629411</v>
      </c>
      <c r="J27" s="63">
        <v>107.07652622527939</v>
      </c>
      <c r="K27" s="63">
        <v>128.70163370593289</v>
      </c>
      <c r="L27" s="63">
        <v>150.95442820292351</v>
      </c>
      <c r="M27" s="63">
        <v>141.88306104901119</v>
      </c>
      <c r="N27" s="63">
        <v>150.3181427343078</v>
      </c>
      <c r="O27" s="63">
        <v>139.59587274290629</v>
      </c>
      <c r="P27" s="63">
        <v>137.59243336199481</v>
      </c>
      <c r="Q27" s="63">
        <v>147.04213241616509</v>
      </c>
      <c r="R27" s="63">
        <v>154.91831470335339</v>
      </c>
      <c r="S27" s="63">
        <v>146.23387790197759</v>
      </c>
      <c r="T27" s="63">
        <v>156.13069647463459</v>
      </c>
      <c r="U27" s="63">
        <v>162.51934651762679</v>
      </c>
      <c r="V27" s="63">
        <v>168.49527085124669</v>
      </c>
      <c r="W27" s="63">
        <v>149.02837489251931</v>
      </c>
      <c r="X27" s="63">
        <v>103.31900257953571</v>
      </c>
      <c r="Y27" s="63">
        <v>124.72914875322439</v>
      </c>
      <c r="DA27" s="11" t="s">
        <v>993</v>
      </c>
    </row>
    <row r="29" spans="1:105" x14ac:dyDescent="0.25">
      <c r="A29" s="218" t="s">
        <v>84</v>
      </c>
      <c r="B29" s="219">
        <v>2419.8330672000002</v>
      </c>
      <c r="C29" s="219">
        <v>2308.3143454800002</v>
      </c>
      <c r="D29" s="219">
        <v>1930.3838223600003</v>
      </c>
      <c r="E29" s="219">
        <v>2536.1777255999996</v>
      </c>
      <c r="F29" s="219">
        <v>2881.3135813200001</v>
      </c>
      <c r="G29" s="219">
        <v>2771.2156503599995</v>
      </c>
      <c r="H29" s="219">
        <v>2378.8012208400005</v>
      </c>
      <c r="I29" s="219">
        <v>2000.9021525999999</v>
      </c>
      <c r="J29" s="219">
        <v>2046.0619317600001</v>
      </c>
      <c r="K29" s="219">
        <v>1867.5411621599999</v>
      </c>
      <c r="L29" s="219">
        <v>1986.4223654399998</v>
      </c>
      <c r="M29" s="219">
        <v>1769.6260844399999</v>
      </c>
      <c r="N29" s="219">
        <v>1773.0146668799994</v>
      </c>
      <c r="O29" s="219">
        <v>1926.6566549999998</v>
      </c>
      <c r="P29" s="219">
        <v>1617.8217657600001</v>
      </c>
      <c r="Q29" s="219">
        <v>1610.4269321999996</v>
      </c>
      <c r="R29" s="219">
        <v>1748.6809034399998</v>
      </c>
      <c r="S29" s="219">
        <v>1821.9031881599999</v>
      </c>
      <c r="T29" s="219">
        <v>1804.081720852344</v>
      </c>
      <c r="U29" s="219">
        <v>1986.281615223869</v>
      </c>
      <c r="V29" s="219">
        <v>1872.422423883407</v>
      </c>
      <c r="W29" s="219">
        <v>1951.861258561383</v>
      </c>
      <c r="X29" s="219">
        <v>1889.5077415737887</v>
      </c>
      <c r="Y29" s="219">
        <v>1906.83246499747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161.61261406451322</v>
      </c>
      <c r="C31" s="59">
        <f t="shared" si="31"/>
        <v>162.55308199887989</v>
      </c>
      <c r="D31" s="59">
        <f t="shared" si="31"/>
        <v>143.42281305279508</v>
      </c>
      <c r="E31" s="59">
        <f t="shared" si="31"/>
        <v>184.97226007259459</v>
      </c>
      <c r="F31" s="59">
        <f t="shared" si="31"/>
        <v>226.94264370164223</v>
      </c>
      <c r="G31" s="59">
        <f t="shared" si="31"/>
        <v>260.73327820442069</v>
      </c>
      <c r="H31" s="59">
        <f t="shared" si="31"/>
        <v>202.98083907730387</v>
      </c>
      <c r="I31" s="59">
        <f t="shared" si="31"/>
        <v>175.53739729002749</v>
      </c>
      <c r="J31" s="59">
        <f t="shared" si="31"/>
        <v>228.06841508412745</v>
      </c>
      <c r="K31" s="59">
        <f t="shared" si="31"/>
        <v>227.97309645881683</v>
      </c>
      <c r="L31" s="59">
        <f t="shared" si="31"/>
        <v>208.01371280334362</v>
      </c>
      <c r="M31" s="59">
        <f t="shared" si="31"/>
        <v>214.49668610554667</v>
      </c>
      <c r="N31" s="59">
        <f t="shared" si="31"/>
        <v>188.48852229338567</v>
      </c>
      <c r="O31" s="59">
        <f t="shared" si="31"/>
        <v>222.23171284135884</v>
      </c>
      <c r="P31" s="59">
        <f t="shared" si="31"/>
        <v>202.96199011092014</v>
      </c>
      <c r="Q31" s="59">
        <f t="shared" si="31"/>
        <v>195.53807108339888</v>
      </c>
      <c r="R31" s="59">
        <f t="shared" si="31"/>
        <v>230.66989819262616</v>
      </c>
      <c r="S31" s="59">
        <f t="shared" si="31"/>
        <v>214.57517138954876</v>
      </c>
      <c r="T31" s="59">
        <f t="shared" si="31"/>
        <v>232.79734979051284</v>
      </c>
      <c r="U31" s="59">
        <f t="shared" si="31"/>
        <v>228.13457923167917</v>
      </c>
      <c r="V31" s="59">
        <f t="shared" si="31"/>
        <v>233.89632128944416</v>
      </c>
      <c r="W31" s="59">
        <f t="shared" si="31"/>
        <v>243.05851223349191</v>
      </c>
      <c r="X31" s="59">
        <f t="shared" si="31"/>
        <v>199.19238405369742</v>
      </c>
      <c r="Y31" s="59">
        <f t="shared" si="31"/>
        <v>186.13574612717633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112.47171201628667</v>
      </c>
      <c r="C32" s="55">
        <f t="shared" si="32"/>
        <v>109.81942433546166</v>
      </c>
      <c r="D32" s="55">
        <f t="shared" si="32"/>
        <v>113.80906613357638</v>
      </c>
      <c r="E32" s="55">
        <f t="shared" si="32"/>
        <v>119.53787119840251</v>
      </c>
      <c r="F32" s="55">
        <f t="shared" si="32"/>
        <v>117.30616060932351</v>
      </c>
      <c r="G32" s="55">
        <f t="shared" si="32"/>
        <v>134.29403412451359</v>
      </c>
      <c r="H32" s="55">
        <f t="shared" si="32"/>
        <v>130.05722800154635</v>
      </c>
      <c r="I32" s="55">
        <f t="shared" si="32"/>
        <v>117.81469406104161</v>
      </c>
      <c r="J32" s="55">
        <f t="shared" si="32"/>
        <v>123.49619118298854</v>
      </c>
      <c r="K32" s="55">
        <f t="shared" si="32"/>
        <v>137.83360398812144</v>
      </c>
      <c r="L32" s="55">
        <f t="shared" si="32"/>
        <v>128.47617233393538</v>
      </c>
      <c r="M32" s="55">
        <f t="shared" si="32"/>
        <v>116.02131221383361</v>
      </c>
      <c r="N32" s="55">
        <f t="shared" si="32"/>
        <v>118.31216844961243</v>
      </c>
      <c r="O32" s="55">
        <f t="shared" si="32"/>
        <v>117.89482713876832</v>
      </c>
      <c r="P32" s="55">
        <f t="shared" si="32"/>
        <v>114.21265320772922</v>
      </c>
      <c r="Q32" s="55">
        <f t="shared" si="32"/>
        <v>116.67728719019792</v>
      </c>
      <c r="R32" s="55">
        <f t="shared" si="32"/>
        <v>118.41249825520167</v>
      </c>
      <c r="S32" s="55">
        <f t="shared" si="32"/>
        <v>109.25986032686187</v>
      </c>
      <c r="T32" s="55">
        <f t="shared" si="32"/>
        <v>115.03952384499104</v>
      </c>
      <c r="U32" s="55">
        <f t="shared" si="32"/>
        <v>114.31053707016743</v>
      </c>
      <c r="V32" s="55">
        <f t="shared" si="32"/>
        <v>121.02278233994656</v>
      </c>
      <c r="W32" s="55">
        <f t="shared" si="32"/>
        <v>115.6129323010225</v>
      </c>
      <c r="X32" s="55">
        <f t="shared" si="32"/>
        <v>98.926512660278448</v>
      </c>
      <c r="Y32" s="55">
        <f t="shared" si="32"/>
        <v>101.37891512464499</v>
      </c>
      <c r="DA32" s="216"/>
    </row>
    <row r="33" spans="1:105" x14ac:dyDescent="0.25">
      <c r="A33" s="35" t="s">
        <v>111</v>
      </c>
      <c r="B33" s="55">
        <f>IF(AGR_ued!B$5=0,"",AGR_ued!B$5/B$5*1000)</f>
        <v>37.135785719882698</v>
      </c>
      <c r="C33" s="55">
        <f>IF(AGR_ued!C$5=0,"",AGR_ued!C$5/C$5*1000)</f>
        <v>36.622771638815813</v>
      </c>
      <c r="D33" s="55">
        <f>IF(AGR_ued!D$5=0,"",AGR_ued!D$5/D$5*1000)</f>
        <v>38.369685852414371</v>
      </c>
      <c r="E33" s="55">
        <f>IF(AGR_ued!E$5=0,"",AGR_ued!E$5/E$5*1000)</f>
        <v>39.439251904545181</v>
      </c>
      <c r="F33" s="55">
        <f>IF(AGR_ued!F$5=0,"",AGR_ued!F$5/F$5*1000)</f>
        <v>41.410075007969247</v>
      </c>
      <c r="G33" s="55">
        <f>IF(AGR_ued!G$5=0,"",AGR_ued!G$5/G$5*1000)</f>
        <v>47.642602965165949</v>
      </c>
      <c r="H33" s="55">
        <f>IF(AGR_ued!H$5=0,"",AGR_ued!H$5/H$5*1000)</f>
        <v>46.298372932030169</v>
      </c>
      <c r="I33" s="55">
        <f>IF(AGR_ued!I$5=0,"",AGR_ued!I$5/I$5*1000)</f>
        <v>42.17121122346299</v>
      </c>
      <c r="J33" s="55">
        <f>IF(AGR_ued!J$5=0,"",AGR_ued!J$5/J$5*1000)</f>
        <v>45.197711562320315</v>
      </c>
      <c r="K33" s="55">
        <f>IF(AGR_ued!K$5=0,"",AGR_ued!K$5/K$5*1000)</f>
        <v>51.580202023989415</v>
      </c>
      <c r="L33" s="55">
        <f>IF(AGR_ued!L$5=0,"",AGR_ued!L$5/L$5*1000)</f>
        <v>49.210503211187451</v>
      </c>
      <c r="M33" s="55">
        <f>IF(AGR_ued!M$5=0,"",AGR_ued!M$5/M$5*1000)</f>
        <v>44.774992466762576</v>
      </c>
      <c r="N33" s="55">
        <f>IF(AGR_ued!N$5=0,"",AGR_ued!N$5/N$5*1000)</f>
        <v>45.908159401441537</v>
      </c>
      <c r="O33" s="55">
        <f>IF(AGR_ued!O$5=0,"",AGR_ued!O$5/O$5*1000)</f>
        <v>45.272266236872703</v>
      </c>
      <c r="P33" s="55">
        <f>IF(AGR_ued!P$5=0,"",AGR_ued!P$5/P$5*1000)</f>
        <v>44.31903413954781</v>
      </c>
      <c r="Q33" s="55">
        <f>IF(AGR_ued!Q$5=0,"",AGR_ued!Q$5/Q$5*1000)</f>
        <v>45.694766212162357</v>
      </c>
      <c r="R33" s="55">
        <f>IF(AGR_ued!R$5=0,"",AGR_ued!R$5/R$5*1000)</f>
        <v>46.294252188003682</v>
      </c>
      <c r="S33" s="55">
        <f>IF(AGR_ued!S$5=0,"",AGR_ued!S$5/S$5*1000)</f>
        <v>42.538633209642249</v>
      </c>
      <c r="T33" s="55">
        <f>IF(AGR_ued!T$5=0,"",AGR_ued!T$5/T$5*1000)</f>
        <v>45.129927173160574</v>
      </c>
      <c r="U33" s="55">
        <f>IF(AGR_ued!U$5=0,"",AGR_ued!U$5/U$5*1000)</f>
        <v>44.729698435379767</v>
      </c>
      <c r="V33" s="55">
        <f>IF(AGR_ued!V$5=0,"",AGR_ued!V$5/V$5*1000)</f>
        <v>47.72797563741733</v>
      </c>
      <c r="W33" s="55">
        <f>IF(AGR_ued!W$5=0,"",AGR_ued!W$5/W$5*1000)</f>
        <v>45.384942872180751</v>
      </c>
      <c r="X33" s="55">
        <f>IF(AGR_ued!X$5=0,"",AGR_ued!X$5/X$5*1000)</f>
        <v>37.869338433570498</v>
      </c>
      <c r="Y33" s="55">
        <f>IF(AGR_ued!Y$5=0,"",AGR_ued!Y$5/Y$5*1000)</f>
        <v>39.325037979747634</v>
      </c>
      <c r="DA33" s="216"/>
    </row>
    <row r="34" spans="1:105" x14ac:dyDescent="0.25">
      <c r="A34" s="37" t="s">
        <v>110</v>
      </c>
      <c r="B34" s="217">
        <f t="shared" ref="B34:Y34" si="33">IF(B$12=0,"",B$29/B$12)</f>
        <v>3.0517423782816286</v>
      </c>
      <c r="C34" s="217">
        <f t="shared" si="33"/>
        <v>3.0360610510020614</v>
      </c>
      <c r="D34" s="217">
        <f t="shared" si="33"/>
        <v>3.0373764222567763</v>
      </c>
      <c r="E34" s="217">
        <f t="shared" si="33"/>
        <v>3.0734283241656937</v>
      </c>
      <c r="F34" s="217">
        <f t="shared" si="33"/>
        <v>2.7655075370711653</v>
      </c>
      <c r="G34" s="217">
        <f t="shared" si="33"/>
        <v>2.7517243092702857</v>
      </c>
      <c r="H34" s="217">
        <f t="shared" si="33"/>
        <v>2.741204209283358</v>
      </c>
      <c r="I34" s="217">
        <f t="shared" si="33"/>
        <v>2.6283507131453612</v>
      </c>
      <c r="J34" s="217">
        <f t="shared" si="33"/>
        <v>2.5584001504319533</v>
      </c>
      <c r="K34" s="217">
        <f t="shared" si="33"/>
        <v>2.3641737759592436</v>
      </c>
      <c r="L34" s="217">
        <f t="shared" si="33"/>
        <v>2.2729492092099823</v>
      </c>
      <c r="M34" s="217">
        <f t="shared" si="33"/>
        <v>2.2461928924710102</v>
      </c>
      <c r="N34" s="217">
        <f t="shared" si="33"/>
        <v>2.1959634603699731</v>
      </c>
      <c r="O34" s="217">
        <f t="shared" si="33"/>
        <v>2.2297316331032948</v>
      </c>
      <c r="P34" s="217">
        <f t="shared" si="33"/>
        <v>2.1504418298930146</v>
      </c>
      <c r="Q34" s="217">
        <f t="shared" si="33"/>
        <v>2.0893886487289755</v>
      </c>
      <c r="R34" s="217">
        <f t="shared" si="33"/>
        <v>2.1189343445980255</v>
      </c>
      <c r="S34" s="217">
        <f t="shared" si="33"/>
        <v>2.1577781478355553</v>
      </c>
      <c r="T34" s="217">
        <f t="shared" si="33"/>
        <v>2.121083162015414</v>
      </c>
      <c r="U34" s="217">
        <f t="shared" si="33"/>
        <v>2.1519383071988458</v>
      </c>
      <c r="V34" s="217">
        <f t="shared" si="33"/>
        <v>2.0975832908396335</v>
      </c>
      <c r="W34" s="217">
        <f t="shared" si="33"/>
        <v>2.1492451215356083</v>
      </c>
      <c r="X34" s="217">
        <f t="shared" si="33"/>
        <v>2.3016742732334166</v>
      </c>
      <c r="Y34" s="217">
        <f t="shared" si="33"/>
        <v>2.2337740051089443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792.93490971625113</v>
      </c>
      <c r="C5" s="80">
        <f t="shared" ref="C5:W5" si="1">SUM(C6:C9,C16:C17,C25:C27)</f>
        <v>760.29905417024929</v>
      </c>
      <c r="D5" s="80">
        <f t="shared" si="1"/>
        <v>635.54316423043838</v>
      </c>
      <c r="E5" s="80">
        <f t="shared" si="1"/>
        <v>825.195012897678</v>
      </c>
      <c r="F5" s="80">
        <f t="shared" si="1"/>
        <v>1041.8751504729144</v>
      </c>
      <c r="G5" s="80">
        <f t="shared" si="1"/>
        <v>1007.0833190025794</v>
      </c>
      <c r="H5" s="80">
        <f t="shared" si="1"/>
        <v>867.79423903697329</v>
      </c>
      <c r="I5" s="80">
        <f t="shared" si="1"/>
        <v>761.27669819432481</v>
      </c>
      <c r="J5" s="80">
        <f t="shared" si="1"/>
        <v>799.74273430782455</v>
      </c>
      <c r="K5" s="80">
        <f t="shared" si="1"/>
        <v>789.93396388650024</v>
      </c>
      <c r="L5" s="80">
        <f t="shared" si="1"/>
        <v>873.94049871023219</v>
      </c>
      <c r="M5" s="80">
        <f t="shared" si="1"/>
        <v>787.83353396388634</v>
      </c>
      <c r="N5" s="80">
        <f t="shared" si="1"/>
        <v>807.39716251074788</v>
      </c>
      <c r="O5" s="80">
        <f t="shared" si="1"/>
        <v>864.07558039552896</v>
      </c>
      <c r="P5" s="80">
        <f t="shared" si="1"/>
        <v>752.32063628546859</v>
      </c>
      <c r="Q5" s="80">
        <f t="shared" si="1"/>
        <v>770.76466036113493</v>
      </c>
      <c r="R5" s="80">
        <f t="shared" si="1"/>
        <v>825.26431642304351</v>
      </c>
      <c r="S5" s="80">
        <f t="shared" si="1"/>
        <v>844.34221840068744</v>
      </c>
      <c r="T5" s="80">
        <f t="shared" si="1"/>
        <v>850.54737747205502</v>
      </c>
      <c r="U5" s="80">
        <f t="shared" si="1"/>
        <v>923.01977644024043</v>
      </c>
      <c r="V5" s="80">
        <f t="shared" si="1"/>
        <v>892.65700773860669</v>
      </c>
      <c r="W5" s="80">
        <f t="shared" si="1"/>
        <v>908.1613069647459</v>
      </c>
      <c r="X5" s="80">
        <f t="shared" ref="X5:Y5" si="2">SUM(X6:X9,X16:X17,X25:X27)</f>
        <v>820.92751504729131</v>
      </c>
      <c r="Y5" s="80">
        <f t="shared" si="2"/>
        <v>853.63714531384312</v>
      </c>
      <c r="DA5" s="103"/>
    </row>
    <row r="6" spans="1:105" x14ac:dyDescent="0.25">
      <c r="A6" s="238" t="s">
        <v>125</v>
      </c>
      <c r="B6" s="239">
        <v>4.3674167560465396</v>
      </c>
      <c r="C6" s="239">
        <v>4.4837608308399206</v>
      </c>
      <c r="D6" s="239">
        <v>4.7111401376644091</v>
      </c>
      <c r="E6" s="239">
        <v>4.7523923644158748</v>
      </c>
      <c r="F6" s="239">
        <v>15.631438435088871</v>
      </c>
      <c r="G6" s="239">
        <v>16.137186129368349</v>
      </c>
      <c r="H6" s="239">
        <v>13.24406531887549</v>
      </c>
      <c r="I6" s="239">
        <v>14.752035505567919</v>
      </c>
      <c r="J6" s="239">
        <v>18.35867830859015</v>
      </c>
      <c r="K6" s="239">
        <v>20.90725794318832</v>
      </c>
      <c r="L6" s="239">
        <v>24.59221480842184</v>
      </c>
      <c r="M6" s="239">
        <v>22.865628586785501</v>
      </c>
      <c r="N6" s="239">
        <v>24.005904557991101</v>
      </c>
      <c r="O6" s="239">
        <v>23.31514543985692</v>
      </c>
      <c r="P6" s="239">
        <v>22.104050725819409</v>
      </c>
      <c r="Q6" s="239">
        <v>23.326713349254369</v>
      </c>
      <c r="R6" s="239">
        <v>24.715629599056321</v>
      </c>
      <c r="S6" s="239">
        <v>23.982461092170979</v>
      </c>
      <c r="T6" s="239">
        <v>25.181633250245302</v>
      </c>
      <c r="U6" s="239">
        <v>26.595696554761371</v>
      </c>
      <c r="V6" s="239">
        <v>26.992766883403881</v>
      </c>
      <c r="W6" s="239">
        <v>25.02767600172546</v>
      </c>
      <c r="X6" s="239">
        <v>18.438195231723309</v>
      </c>
      <c r="Y6" s="239">
        <v>21.576249298635439</v>
      </c>
      <c r="DA6" s="267" t="s">
        <v>995</v>
      </c>
    </row>
    <row r="7" spans="1:105" x14ac:dyDescent="0.25">
      <c r="A7" s="240" t="s">
        <v>124</v>
      </c>
      <c r="B7" s="241">
        <v>2.8388208914302488</v>
      </c>
      <c r="C7" s="241">
        <v>2.9144445400459471</v>
      </c>
      <c r="D7" s="241">
        <v>3.0622410894818648</v>
      </c>
      <c r="E7" s="241">
        <v>3.089055036870318</v>
      </c>
      <c r="F7" s="241">
        <v>10.160434982807759</v>
      </c>
      <c r="G7" s="241">
        <v>10.489170984089419</v>
      </c>
      <c r="H7" s="241">
        <v>8.6086424572690632</v>
      </c>
      <c r="I7" s="241">
        <v>9.5888230786191446</v>
      </c>
      <c r="J7" s="241">
        <v>11.9331409005836</v>
      </c>
      <c r="K7" s="241">
        <v>13.589717663072401</v>
      </c>
      <c r="L7" s="241">
        <v>15.98493962547419</v>
      </c>
      <c r="M7" s="241">
        <v>14.862658581410569</v>
      </c>
      <c r="N7" s="241">
        <v>15.603837962694209</v>
      </c>
      <c r="O7" s="241">
        <v>15.154844535906999</v>
      </c>
      <c r="P7" s="241">
        <v>14.36763297178261</v>
      </c>
      <c r="Q7" s="241">
        <v>15.162363677015341</v>
      </c>
      <c r="R7" s="241">
        <v>16.06515923938661</v>
      </c>
      <c r="S7" s="241">
        <v>15.588599709911129</v>
      </c>
      <c r="T7" s="241">
        <v>16.368061612659432</v>
      </c>
      <c r="U7" s="241">
        <v>17.28720276059488</v>
      </c>
      <c r="V7" s="241">
        <v>17.545298474212519</v>
      </c>
      <c r="W7" s="241">
        <v>16.26798940112155</v>
      </c>
      <c r="X7" s="241">
        <v>11.984826900620151</v>
      </c>
      <c r="Y7" s="241">
        <v>14.024562044113029</v>
      </c>
      <c r="DA7" s="268" t="s">
        <v>996</v>
      </c>
    </row>
    <row r="8" spans="1:105" x14ac:dyDescent="0.25">
      <c r="A8" s="240" t="s">
        <v>123</v>
      </c>
      <c r="B8" s="241">
        <v>3.9306750804418851</v>
      </c>
      <c r="C8" s="241">
        <v>4.0353847477559279</v>
      </c>
      <c r="D8" s="241">
        <v>4.2400261238979677</v>
      </c>
      <c r="E8" s="241">
        <v>4.2771531279742874</v>
      </c>
      <c r="F8" s="241">
        <v>14.06829459157998</v>
      </c>
      <c r="G8" s="241">
        <v>14.523467516431509</v>
      </c>
      <c r="H8" s="241">
        <v>11.91965878698794</v>
      </c>
      <c r="I8" s="241">
        <v>13.276831955011129</v>
      </c>
      <c r="J8" s="241">
        <v>16.522810477731131</v>
      </c>
      <c r="K8" s="241">
        <v>18.816532148869481</v>
      </c>
      <c r="L8" s="241">
        <v>22.132993327579651</v>
      </c>
      <c r="M8" s="241">
        <v>20.579065728106951</v>
      </c>
      <c r="N8" s="241">
        <v>21.60531410219199</v>
      </c>
      <c r="O8" s="241">
        <v>20.983630895871229</v>
      </c>
      <c r="P8" s="241">
        <v>19.89364565323746</v>
      </c>
      <c r="Q8" s="241">
        <v>20.994042014328929</v>
      </c>
      <c r="R8" s="241">
        <v>22.244066639150699</v>
      </c>
      <c r="S8" s="241">
        <v>21.584214982953881</v>
      </c>
      <c r="T8" s="241">
        <v>22.66346992522076</v>
      </c>
      <c r="U8" s="241">
        <v>23.936126899285231</v>
      </c>
      <c r="V8" s="241">
        <v>24.29349019506348</v>
      </c>
      <c r="W8" s="241">
        <v>22.52490840155291</v>
      </c>
      <c r="X8" s="241">
        <v>16.59437570855097</v>
      </c>
      <c r="Y8" s="241">
        <v>19.418624368771891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143.51261414894628</v>
      </c>
      <c r="C9" s="243">
        <f t="shared" ref="C9:W9" si="4">SUM(C10:C15)</f>
        <v>141.77386161689986</v>
      </c>
      <c r="D9" s="243">
        <f t="shared" si="4"/>
        <v>120.72524833349287</v>
      </c>
      <c r="E9" s="243">
        <f t="shared" si="4"/>
        <v>148.61591468031807</v>
      </c>
      <c r="F9" s="243">
        <f t="shared" si="4"/>
        <v>199.53758659375941</v>
      </c>
      <c r="G9" s="243">
        <f t="shared" si="4"/>
        <v>193.12432760977583</v>
      </c>
      <c r="H9" s="243">
        <f t="shared" si="4"/>
        <v>170.17391224926453</v>
      </c>
      <c r="I9" s="243">
        <f t="shared" si="4"/>
        <v>143.57816341013202</v>
      </c>
      <c r="J9" s="243">
        <f t="shared" si="4"/>
        <v>154.58581156550116</v>
      </c>
      <c r="K9" s="243">
        <f t="shared" si="4"/>
        <v>153.72112074319253</v>
      </c>
      <c r="L9" s="243">
        <f t="shared" si="4"/>
        <v>177.56322638115481</v>
      </c>
      <c r="M9" s="243">
        <f t="shared" si="4"/>
        <v>161.28136630295052</v>
      </c>
      <c r="N9" s="243">
        <f t="shared" si="4"/>
        <v>165.79426270090809</v>
      </c>
      <c r="O9" s="243">
        <f t="shared" si="4"/>
        <v>178.73706891255588</v>
      </c>
      <c r="P9" s="243">
        <f t="shared" si="4"/>
        <v>155.26359819701997</v>
      </c>
      <c r="Q9" s="243">
        <f t="shared" si="4"/>
        <v>161.90016533028711</v>
      </c>
      <c r="R9" s="243">
        <f t="shared" si="4"/>
        <v>173.14306652426228</v>
      </c>
      <c r="S9" s="243">
        <f t="shared" si="4"/>
        <v>178.65780841660569</v>
      </c>
      <c r="T9" s="243">
        <f t="shared" si="4"/>
        <v>181.16673954086971</v>
      </c>
      <c r="U9" s="243">
        <f t="shared" si="4"/>
        <v>196.98103239266834</v>
      </c>
      <c r="V9" s="243">
        <f t="shared" si="4"/>
        <v>190.96390611663637</v>
      </c>
      <c r="W9" s="243">
        <f t="shared" si="4"/>
        <v>198.93573210125592</v>
      </c>
      <c r="X9" s="243">
        <f t="shared" ref="X9:Y9" si="5">SUM(X10:X15)</f>
        <v>177.45540246321642</v>
      </c>
      <c r="Y9" s="243">
        <f t="shared" si="5"/>
        <v>185.0022729279151</v>
      </c>
      <c r="DA9" s="269"/>
    </row>
    <row r="10" spans="1:105" x14ac:dyDescent="0.25">
      <c r="A10" s="253" t="s">
        <v>166</v>
      </c>
      <c r="B10" s="254">
        <v>143.2516755725643</v>
      </c>
      <c r="C10" s="254">
        <v>141.49275175500981</v>
      </c>
      <c r="D10" s="254">
        <v>120.29126716364669</v>
      </c>
      <c r="E10" s="254">
        <v>148.30221012169929</v>
      </c>
      <c r="F10" s="254">
        <v>110.9834773171046</v>
      </c>
      <c r="G10" s="254">
        <v>111.578653976833</v>
      </c>
      <c r="H10" s="254">
        <v>95.373989739403683</v>
      </c>
      <c r="I10" s="254">
        <v>78.63423253182934</v>
      </c>
      <c r="J10" s="254">
        <v>98.259059840312531</v>
      </c>
      <c r="K10" s="254">
        <v>74.188396372042789</v>
      </c>
      <c r="L10" s="254">
        <v>73.867605067933525</v>
      </c>
      <c r="M10" s="254">
        <v>61.061576975423932</v>
      </c>
      <c r="N10" s="254">
        <v>57.619192957764078</v>
      </c>
      <c r="O10" s="254">
        <v>63.403729435353483</v>
      </c>
      <c r="P10" s="254">
        <v>50.187854461393712</v>
      </c>
      <c r="Q10" s="254">
        <v>40.488386196070323</v>
      </c>
      <c r="R10" s="254">
        <v>44.77873711962777</v>
      </c>
      <c r="S10" s="254">
        <v>43.641604537984158</v>
      </c>
      <c r="T10" s="254">
        <v>39.406644895754198</v>
      </c>
      <c r="U10" s="254">
        <v>44.547116686839587</v>
      </c>
      <c r="V10" s="254">
        <v>36.984263833100258</v>
      </c>
      <c r="W10" s="254">
        <v>32.583449187341493</v>
      </c>
      <c r="X10" s="254">
        <v>48.123833182496263</v>
      </c>
      <c r="Y10" s="254">
        <v>41.258303957904268</v>
      </c>
      <c r="DA10" s="270" t="s">
        <v>998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78.322049516500272</v>
      </c>
      <c r="G11" s="255">
        <v>73.275370401207994</v>
      </c>
      <c r="H11" s="255">
        <v>64.96410121001567</v>
      </c>
      <c r="I11" s="255">
        <v>49.654753289479643</v>
      </c>
      <c r="J11" s="255">
        <v>37.821605004597401</v>
      </c>
      <c r="K11" s="255">
        <v>53.862651231571903</v>
      </c>
      <c r="L11" s="255">
        <v>70.825053050329956</v>
      </c>
      <c r="M11" s="255">
        <v>67.976307154790462</v>
      </c>
      <c r="N11" s="255">
        <v>75.798917555121079</v>
      </c>
      <c r="O11" s="255">
        <v>89.313199907609032</v>
      </c>
      <c r="P11" s="255">
        <v>75.761587995410153</v>
      </c>
      <c r="Q11" s="255">
        <v>86.490702943411534</v>
      </c>
      <c r="R11" s="255">
        <v>92.220975219413816</v>
      </c>
      <c r="S11" s="255">
        <v>104.2835470200487</v>
      </c>
      <c r="T11" s="255">
        <v>106.6214068839983</v>
      </c>
      <c r="U11" s="255">
        <v>117.1146297262372</v>
      </c>
      <c r="V11" s="255">
        <v>119.51453179626959</v>
      </c>
      <c r="W11" s="255">
        <v>141.3521495938173</v>
      </c>
      <c r="X11" s="255">
        <v>117.3648264685479</v>
      </c>
      <c r="Y11" s="255">
        <v>126.03577022588431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4.895142825823348E-3</v>
      </c>
      <c r="P12" s="255">
        <v>6.3784158489927452E-3</v>
      </c>
      <c r="Q12" s="255">
        <v>1.268249086075394E-2</v>
      </c>
      <c r="R12" s="255">
        <v>2.62313301076754E-2</v>
      </c>
      <c r="S12" s="255">
        <v>2.587375580282824E-2</v>
      </c>
      <c r="T12" s="255">
        <v>2.6991588570356669E-2</v>
      </c>
      <c r="U12" s="255">
        <v>2.7003491684238809E-2</v>
      </c>
      <c r="V12" s="255">
        <v>2.6021431098402981E-2</v>
      </c>
      <c r="W12" s="255">
        <v>2.5787618860258401E-2</v>
      </c>
      <c r="X12" s="255">
        <v>2.6678557533865319E-2</v>
      </c>
      <c r="Y12" s="255">
        <v>2.4354952899738869E-2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4.1846087704188548</v>
      </c>
      <c r="G14" s="254">
        <v>1.3208082545136379</v>
      </c>
      <c r="H14" s="254">
        <v>4.9297506448805883</v>
      </c>
      <c r="I14" s="254">
        <v>5.3262252794484333</v>
      </c>
      <c r="J14" s="254">
        <v>3.222012037832735</v>
      </c>
      <c r="K14" s="254">
        <v>1.5047291487533521</v>
      </c>
      <c r="L14" s="254">
        <v>4.8772141014616679</v>
      </c>
      <c r="M14" s="254">
        <v>4.6885640584692556</v>
      </c>
      <c r="N14" s="254">
        <v>2.0875322441959279</v>
      </c>
      <c r="O14" s="254">
        <v>2.995098882200566</v>
      </c>
      <c r="P14" s="254">
        <v>2.2355975924332041</v>
      </c>
      <c r="Q14" s="254">
        <v>4.499828030953557</v>
      </c>
      <c r="R14" s="254">
        <v>4.7769561478927702</v>
      </c>
      <c r="S14" s="254">
        <v>4.3852106620809508</v>
      </c>
      <c r="T14" s="254">
        <v>4.8891659501286489</v>
      </c>
      <c r="U14" s="254">
        <v>5.7514187446261156</v>
      </c>
      <c r="V14" s="254">
        <v>0.90765262252789058</v>
      </c>
      <c r="W14" s="254">
        <v>1.0843508168528451</v>
      </c>
      <c r="X14" s="254">
        <v>0.81203783318972123</v>
      </c>
      <c r="Y14" s="254">
        <v>0.83594153052424269</v>
      </c>
      <c r="DA14" s="270" t="s">
        <v>1002</v>
      </c>
    </row>
    <row r="15" spans="1:105" x14ac:dyDescent="0.25">
      <c r="A15" s="253" t="s">
        <v>24</v>
      </c>
      <c r="B15" s="255">
        <v>0.26093857638197532</v>
      </c>
      <c r="C15" s="255">
        <v>0.28110986189006082</v>
      </c>
      <c r="D15" s="255">
        <v>0.43398116984617707</v>
      </c>
      <c r="E15" s="255">
        <v>0.31370455861879237</v>
      </c>
      <c r="F15" s="255">
        <v>6.0474509897356956</v>
      </c>
      <c r="G15" s="255">
        <v>6.9494949772211658</v>
      </c>
      <c r="H15" s="255">
        <v>4.9060706549645872</v>
      </c>
      <c r="I15" s="255">
        <v>9.9629523093745878</v>
      </c>
      <c r="J15" s="255">
        <v>15.283134682758501</v>
      </c>
      <c r="K15" s="255">
        <v>24.1653439908245</v>
      </c>
      <c r="L15" s="255">
        <v>27.993354161429661</v>
      </c>
      <c r="M15" s="255">
        <v>27.554918114266869</v>
      </c>
      <c r="N15" s="255">
        <v>30.288619943827001</v>
      </c>
      <c r="O15" s="255">
        <v>23.020145544566969</v>
      </c>
      <c r="P15" s="255">
        <v>27.072179731933922</v>
      </c>
      <c r="Q15" s="255">
        <v>30.408565668990949</v>
      </c>
      <c r="R15" s="255">
        <v>31.340166707220241</v>
      </c>
      <c r="S15" s="255">
        <v>26.32157244068906</v>
      </c>
      <c r="T15" s="255">
        <v>30.222530222418211</v>
      </c>
      <c r="U15" s="255">
        <v>29.540863743281189</v>
      </c>
      <c r="V15" s="255">
        <v>33.531436433640231</v>
      </c>
      <c r="W15" s="255">
        <v>23.889994884384048</v>
      </c>
      <c r="X15" s="255">
        <v>11.12802642144864</v>
      </c>
      <c r="Y15" s="255">
        <v>16.847902260702529</v>
      </c>
      <c r="DA15" s="271" t="s">
        <v>1003</v>
      </c>
    </row>
    <row r="16" spans="1:105" x14ac:dyDescent="0.25">
      <c r="A16" s="256" t="s">
        <v>168</v>
      </c>
      <c r="B16" s="257">
        <v>194.6929946972501</v>
      </c>
      <c r="C16" s="257">
        <v>192.36121588132829</v>
      </c>
      <c r="D16" s="257">
        <v>164.39719574465121</v>
      </c>
      <c r="E16" s="257">
        <v>201.82467507211601</v>
      </c>
      <c r="F16" s="257">
        <v>240.70888662032729</v>
      </c>
      <c r="G16" s="257">
        <v>236.40688934635011</v>
      </c>
      <c r="H16" s="257">
        <v>205.78279470417019</v>
      </c>
      <c r="I16" s="257">
        <v>173.934939959297</v>
      </c>
      <c r="J16" s="257">
        <v>195.53980745182719</v>
      </c>
      <c r="K16" s="257">
        <v>182.5827067148486</v>
      </c>
      <c r="L16" s="257">
        <v>203.5394890429298</v>
      </c>
      <c r="M16" s="257">
        <v>180.6304181289409</v>
      </c>
      <c r="N16" s="257">
        <v>182.35075399358479</v>
      </c>
      <c r="O16" s="257">
        <v>197.84295204832941</v>
      </c>
      <c r="P16" s="257">
        <v>167.69571112710059</v>
      </c>
      <c r="Q16" s="257">
        <v>163.11306892418941</v>
      </c>
      <c r="R16" s="257">
        <v>176.0849666390761</v>
      </c>
      <c r="S16" s="257">
        <v>179.30137770329091</v>
      </c>
      <c r="T16" s="257">
        <v>176.18576006238581</v>
      </c>
      <c r="U16" s="257">
        <v>193.73780553142939</v>
      </c>
      <c r="V16" s="257">
        <v>180.72756251660721</v>
      </c>
      <c r="W16" s="257">
        <v>179.84384303799351</v>
      </c>
      <c r="X16" s="257">
        <v>183.4499966641396</v>
      </c>
      <c r="Y16" s="257">
        <v>182.17010475916911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395.48033564082772</v>
      </c>
      <c r="C17" s="257">
        <f t="shared" ref="C17:W17" si="7">SUM(C18:C24)</f>
        <v>366.78136180071039</v>
      </c>
      <c r="D17" s="257">
        <f t="shared" si="7"/>
        <v>295.27472826058323</v>
      </c>
      <c r="E17" s="257">
        <f t="shared" si="7"/>
        <v>412.21016805667529</v>
      </c>
      <c r="F17" s="257">
        <f t="shared" si="7"/>
        <v>477.21726651757115</v>
      </c>
      <c r="G17" s="257">
        <f t="shared" si="7"/>
        <v>451.43861746165737</v>
      </c>
      <c r="H17" s="257">
        <f t="shared" si="7"/>
        <v>386.0743265494911</v>
      </c>
      <c r="I17" s="257">
        <f t="shared" si="7"/>
        <v>336.58036905788356</v>
      </c>
      <c r="J17" s="257">
        <f t="shared" si="7"/>
        <v>320.24912017065429</v>
      </c>
      <c r="K17" s="257">
        <f t="shared" si="7"/>
        <v>314.00905802315378</v>
      </c>
      <c r="L17" s="257">
        <f t="shared" si="7"/>
        <v>330.76490018226872</v>
      </c>
      <c r="M17" s="257">
        <f t="shared" si="7"/>
        <v>296.88396643032252</v>
      </c>
      <c r="N17" s="257">
        <f t="shared" si="7"/>
        <v>304.18240598535698</v>
      </c>
      <c r="O17" s="257">
        <f t="shared" si="7"/>
        <v>332.90266023047576</v>
      </c>
      <c r="P17" s="257">
        <f t="shared" si="7"/>
        <v>286.61694490920337</v>
      </c>
      <c r="Q17" s="257">
        <f t="shared" si="7"/>
        <v>297.77432382710919</v>
      </c>
      <c r="R17" s="257">
        <f t="shared" si="7"/>
        <v>318.62194148099974</v>
      </c>
      <c r="S17" s="257">
        <f t="shared" si="7"/>
        <v>332.01647284583743</v>
      </c>
      <c r="T17" s="257">
        <f t="shared" si="7"/>
        <v>333.43114953787568</v>
      </c>
      <c r="U17" s="257">
        <f t="shared" si="7"/>
        <v>362.09412185183794</v>
      </c>
      <c r="V17" s="257">
        <f t="shared" si="7"/>
        <v>351.27339741693413</v>
      </c>
      <c r="W17" s="257">
        <f t="shared" si="7"/>
        <v>369.68485860795039</v>
      </c>
      <c r="X17" s="257">
        <f t="shared" ref="X17:Y17" si="8">SUM(X18:X24)</f>
        <v>332.57969408044266</v>
      </c>
      <c r="Y17" s="257">
        <f t="shared" si="8"/>
        <v>343.57801734851324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17.28099742043792</v>
      </c>
      <c r="E18" s="55">
        <v>16.806792777286081</v>
      </c>
      <c r="F18" s="55">
        <v>16.84230438519171</v>
      </c>
      <c r="G18" s="55">
        <v>16.842304385196559</v>
      </c>
      <c r="H18" s="55">
        <v>16.84230438519069</v>
      </c>
      <c r="I18" s="55">
        <v>24.661908856379529</v>
      </c>
      <c r="J18" s="55">
        <v>31.879965606166699</v>
      </c>
      <c r="K18" s="55">
        <v>21.052794496956849</v>
      </c>
      <c r="L18" s="55">
        <v>12.03018056748548</v>
      </c>
      <c r="M18" s="55">
        <v>5.4135855546084173</v>
      </c>
      <c r="N18" s="55">
        <v>6.3798796216741742</v>
      </c>
      <c r="O18" s="55">
        <v>8.1470335339515678</v>
      </c>
      <c r="P18" s="55">
        <v>8.439380911451547</v>
      </c>
      <c r="Q18" s="55">
        <v>13.632846087727019</v>
      </c>
      <c r="R18" s="55">
        <v>15.580395528827729</v>
      </c>
      <c r="S18" s="55">
        <v>15.840068787629329</v>
      </c>
      <c r="T18" s="55">
        <v>15.27747205505446</v>
      </c>
      <c r="U18" s="55">
        <v>12.464144454008149</v>
      </c>
      <c r="V18" s="55">
        <v>9.8026655202149779</v>
      </c>
      <c r="W18" s="55">
        <v>6.0157351676657171</v>
      </c>
      <c r="X18" s="55">
        <v>6.0590713671490803</v>
      </c>
      <c r="Y18" s="55">
        <v>2.4019776440217422</v>
      </c>
      <c r="DA18" s="101" t="s">
        <v>1005</v>
      </c>
    </row>
    <row r="19" spans="1:105" x14ac:dyDescent="0.25">
      <c r="A19" s="61" t="s">
        <v>27</v>
      </c>
      <c r="B19" s="55">
        <v>0</v>
      </c>
      <c r="C19" s="55">
        <v>1.098710232157275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1.098710232159257</v>
      </c>
      <c r="O19" s="55">
        <v>1.0987102321565501</v>
      </c>
      <c r="P19" s="55">
        <v>1.098710232160242</v>
      </c>
      <c r="Q19" s="55">
        <v>1.098710232160049</v>
      </c>
      <c r="R19" s="55">
        <v>1.098710232159827</v>
      </c>
      <c r="S19" s="55">
        <v>0.9888220120385256</v>
      </c>
      <c r="T19" s="55">
        <v>1.208598452280518</v>
      </c>
      <c r="U19" s="55">
        <v>2.3072226999158429</v>
      </c>
      <c r="V19" s="55">
        <v>2.3724849527105971</v>
      </c>
      <c r="W19" s="55">
        <v>3.1632846087682638</v>
      </c>
      <c r="X19" s="55">
        <v>2.0335339638848788</v>
      </c>
      <c r="Y19" s="55">
        <v>2.1465176268250858</v>
      </c>
      <c r="DA19" s="101" t="s">
        <v>1006</v>
      </c>
    </row>
    <row r="20" spans="1:105" x14ac:dyDescent="0.25">
      <c r="A20" s="61" t="s">
        <v>166</v>
      </c>
      <c r="B20" s="55">
        <v>106.9306365869034</v>
      </c>
      <c r="C20" s="55">
        <v>119.60930677082661</v>
      </c>
      <c r="D20" s="55">
        <v>115.1342295506262</v>
      </c>
      <c r="E20" s="55">
        <v>109.65771749802801</v>
      </c>
      <c r="F20" s="55">
        <v>116.9001070921327</v>
      </c>
      <c r="G20" s="55">
        <v>124.53376430341029</v>
      </c>
      <c r="H20" s="55">
        <v>111.7744552749233</v>
      </c>
      <c r="I20" s="55">
        <v>89.535122347638662</v>
      </c>
      <c r="J20" s="55">
        <v>148.03882491743411</v>
      </c>
      <c r="K20" s="55">
        <v>117.44642980533651</v>
      </c>
      <c r="L20" s="55">
        <v>142.8749059413052</v>
      </c>
      <c r="M20" s="55">
        <v>121.63791760892499</v>
      </c>
      <c r="N20" s="55">
        <v>116.5174370398737</v>
      </c>
      <c r="O20" s="55">
        <v>122.584813750723</v>
      </c>
      <c r="P20" s="55">
        <v>100.00838509484331</v>
      </c>
      <c r="Q20" s="55">
        <v>81.390692923976971</v>
      </c>
      <c r="R20" s="55">
        <v>89.82005086768585</v>
      </c>
      <c r="S20" s="55">
        <v>85.291155874307577</v>
      </c>
      <c r="T20" s="55">
        <v>79.097432790785177</v>
      </c>
      <c r="U20" s="55">
        <v>89.356391355009094</v>
      </c>
      <c r="V20" s="55">
        <v>75.082136370635737</v>
      </c>
      <c r="W20" s="55">
        <v>64.001144918014703</v>
      </c>
      <c r="X20" s="55">
        <v>89.76208474734679</v>
      </c>
      <c r="Y20" s="55">
        <v>80.077609423551621</v>
      </c>
      <c r="DA20" s="101" t="s">
        <v>1007</v>
      </c>
    </row>
    <row r="21" spans="1:105" x14ac:dyDescent="0.25">
      <c r="A21" s="61" t="s">
        <v>129</v>
      </c>
      <c r="B21" s="55">
        <v>288.54969905392431</v>
      </c>
      <c r="C21" s="55">
        <v>246.07334479772649</v>
      </c>
      <c r="D21" s="55">
        <v>162.8595012895191</v>
      </c>
      <c r="E21" s="55">
        <v>285.74565778136122</v>
      </c>
      <c r="F21" s="55">
        <v>260.9773860702137</v>
      </c>
      <c r="G21" s="55">
        <v>228.27936371434029</v>
      </c>
      <c r="H21" s="55">
        <v>181.32226999118649</v>
      </c>
      <c r="I21" s="55">
        <v>154.5715391227929</v>
      </c>
      <c r="J21" s="55">
        <v>68.658641444487913</v>
      </c>
      <c r="K21" s="55">
        <v>73.115477213984448</v>
      </c>
      <c r="L21" s="55">
        <v>25.13138435079102</v>
      </c>
      <c r="M21" s="55">
        <v>25.804901117838089</v>
      </c>
      <c r="N21" s="55">
        <v>16.179363714546781</v>
      </c>
      <c r="O21" s="55">
        <v>16.377644024050909</v>
      </c>
      <c r="P21" s="55">
        <v>15.861736887389601</v>
      </c>
      <c r="Q21" s="55">
        <v>16.477901977671589</v>
      </c>
      <c r="R21" s="55">
        <v>16.568701633730299</v>
      </c>
      <c r="S21" s="55">
        <v>15.993035253665539</v>
      </c>
      <c r="T21" s="55">
        <v>15.17145313845929</v>
      </c>
      <c r="U21" s="55">
        <v>14.746345657793279</v>
      </c>
      <c r="V21" s="55">
        <v>13.05245055891087</v>
      </c>
      <c r="W21" s="55">
        <v>12.195700773852391</v>
      </c>
      <c r="X21" s="55">
        <v>10.844797936362809</v>
      </c>
      <c r="Y21" s="55">
        <v>11.037833190015069</v>
      </c>
      <c r="DA21" s="101" t="s">
        <v>1008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82.497468970033054</v>
      </c>
      <c r="G22" s="55">
        <v>81.783185058710202</v>
      </c>
      <c r="H22" s="55">
        <v>76.135296898190632</v>
      </c>
      <c r="I22" s="55">
        <v>56.53828196410258</v>
      </c>
      <c r="J22" s="55">
        <v>56.982694221493333</v>
      </c>
      <c r="K22" s="55">
        <v>85.269077057204271</v>
      </c>
      <c r="L22" s="55">
        <v>136.98999424101581</v>
      </c>
      <c r="M22" s="55">
        <v>135.41242887292759</v>
      </c>
      <c r="N22" s="55">
        <v>153.28044615955201</v>
      </c>
      <c r="O22" s="55">
        <v>172.67820163983239</v>
      </c>
      <c r="P22" s="55">
        <v>150.9686785568843</v>
      </c>
      <c r="Q22" s="55">
        <v>173.86561691928731</v>
      </c>
      <c r="R22" s="55">
        <v>184.9827221153262</v>
      </c>
      <c r="S22" s="55">
        <v>203.80699468259061</v>
      </c>
      <c r="T22" s="55">
        <v>214.01161117308581</v>
      </c>
      <c r="U22" s="55">
        <v>234.91847431522439</v>
      </c>
      <c r="V22" s="55">
        <v>242.62768660462439</v>
      </c>
      <c r="W22" s="55">
        <v>277.64707654527251</v>
      </c>
      <c r="X22" s="55">
        <v>218.91255960174081</v>
      </c>
      <c r="Y22" s="55">
        <v>244.62089357435431</v>
      </c>
      <c r="DA22" s="101" t="s">
        <v>1009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11.273516766969911</v>
      </c>
      <c r="J23" s="55">
        <v>14.68899398107226</v>
      </c>
      <c r="K23" s="55">
        <v>17.125279449671648</v>
      </c>
      <c r="L23" s="55">
        <v>13.738435081671181</v>
      </c>
      <c r="M23" s="55">
        <v>8.6151332760234389</v>
      </c>
      <c r="N23" s="55">
        <v>10.726569217551051</v>
      </c>
      <c r="O23" s="55">
        <v>12.006792777281939</v>
      </c>
      <c r="P23" s="55">
        <v>10.22734307826483</v>
      </c>
      <c r="Q23" s="55">
        <v>11.28306104903006</v>
      </c>
      <c r="R23" s="55">
        <v>10.5187446259828</v>
      </c>
      <c r="S23" s="55">
        <v>10.045829750651921</v>
      </c>
      <c r="T23" s="55">
        <v>8.6104041272708294</v>
      </c>
      <c r="U23" s="55">
        <v>8.2473774720615651</v>
      </c>
      <c r="V23" s="55">
        <v>8.2831470335412405</v>
      </c>
      <c r="W23" s="55">
        <v>6.6112639724804447</v>
      </c>
      <c r="X23" s="55">
        <v>4.9178847807355446</v>
      </c>
      <c r="Y23" s="55">
        <v>3.2459157351645169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9.4642724794063663E-3</v>
      </c>
      <c r="P24" s="55">
        <v>1.2710148209499769E-2</v>
      </c>
      <c r="Q24" s="55">
        <v>2.5494637256225201E-2</v>
      </c>
      <c r="R24" s="55">
        <v>5.2616477287067587E-2</v>
      </c>
      <c r="S24" s="55">
        <v>5.0566484953871713E-2</v>
      </c>
      <c r="T24" s="55">
        <v>5.4177800939616168E-2</v>
      </c>
      <c r="U24" s="55">
        <v>5.4165897825693012E-2</v>
      </c>
      <c r="V24" s="55">
        <v>5.2826376296310838E-2</v>
      </c>
      <c r="W24" s="55">
        <v>5.0652621896367968E-2</v>
      </c>
      <c r="X24" s="55">
        <v>4.97616832227488E-2</v>
      </c>
      <c r="Y24" s="55">
        <v>4.7270154580861021E-2</v>
      </c>
      <c r="DA24" s="101" t="s">
        <v>1011</v>
      </c>
    </row>
    <row r="25" spans="1:105" x14ac:dyDescent="0.25">
      <c r="A25" s="256" t="s">
        <v>167</v>
      </c>
      <c r="B25" s="257">
        <v>37.411881448994379</v>
      </c>
      <c r="C25" s="257">
        <v>36.963810717111087</v>
      </c>
      <c r="D25" s="257">
        <v>31.590291203389061</v>
      </c>
      <c r="E25" s="257">
        <v>38.782293266489361</v>
      </c>
      <c r="F25" s="257">
        <v>46.254218565812138</v>
      </c>
      <c r="G25" s="257">
        <v>45.427553937954272</v>
      </c>
      <c r="H25" s="257">
        <v>39.542878939669947</v>
      </c>
      <c r="I25" s="257">
        <v>33.42304823917263</v>
      </c>
      <c r="J25" s="257">
        <v>37.574603576891157</v>
      </c>
      <c r="K25" s="257">
        <v>35.084788689363677</v>
      </c>
      <c r="L25" s="257">
        <v>39.111809061769662</v>
      </c>
      <c r="M25" s="257">
        <v>34.709640167744922</v>
      </c>
      <c r="N25" s="257">
        <v>35.040217040942608</v>
      </c>
      <c r="O25" s="257">
        <v>38.017172004883228</v>
      </c>
      <c r="P25" s="257">
        <v>32.224128423047503</v>
      </c>
      <c r="Q25" s="257">
        <v>31.343535533277262</v>
      </c>
      <c r="R25" s="257">
        <v>33.836193783423738</v>
      </c>
      <c r="S25" s="257">
        <v>34.454253974098563</v>
      </c>
      <c r="T25" s="257">
        <v>33.855562079697393</v>
      </c>
      <c r="U25" s="257">
        <v>37.228333890497893</v>
      </c>
      <c r="V25" s="257">
        <v>34.728307271409641</v>
      </c>
      <c r="W25" s="257">
        <v>34.558493208918733</v>
      </c>
      <c r="X25" s="257">
        <v>35.25144568087606</v>
      </c>
      <c r="Y25" s="257">
        <v>35.005503785068548</v>
      </c>
      <c r="DA25" s="272" t="s">
        <v>1012</v>
      </c>
    </row>
    <row r="26" spans="1:105" x14ac:dyDescent="0.25">
      <c r="A26" s="256" t="s">
        <v>170</v>
      </c>
      <c r="B26" s="257">
        <v>4.3674167560465396</v>
      </c>
      <c r="C26" s="257">
        <v>4.4837608308399206</v>
      </c>
      <c r="D26" s="257">
        <v>4.7111401376644091</v>
      </c>
      <c r="E26" s="257">
        <v>4.7523923644158748</v>
      </c>
      <c r="F26" s="257">
        <v>15.631438435088871</v>
      </c>
      <c r="G26" s="257">
        <v>16.137186129368349</v>
      </c>
      <c r="H26" s="257">
        <v>13.24406531887549</v>
      </c>
      <c r="I26" s="257">
        <v>14.752035505567919</v>
      </c>
      <c r="J26" s="257">
        <v>18.35867830859015</v>
      </c>
      <c r="K26" s="257">
        <v>20.90725794318832</v>
      </c>
      <c r="L26" s="257">
        <v>24.59221480842184</v>
      </c>
      <c r="M26" s="257">
        <v>22.865628586785501</v>
      </c>
      <c r="N26" s="257">
        <v>24.005904557991101</v>
      </c>
      <c r="O26" s="257">
        <v>23.31514543985692</v>
      </c>
      <c r="P26" s="257">
        <v>22.104050725819409</v>
      </c>
      <c r="Q26" s="257">
        <v>23.326713349254369</v>
      </c>
      <c r="R26" s="257">
        <v>24.715629599056321</v>
      </c>
      <c r="S26" s="257">
        <v>23.982461092170979</v>
      </c>
      <c r="T26" s="257">
        <v>25.181633250245302</v>
      </c>
      <c r="U26" s="257">
        <v>26.595696554761371</v>
      </c>
      <c r="V26" s="257">
        <v>26.992766883403881</v>
      </c>
      <c r="W26" s="257">
        <v>25.02767600172546</v>
      </c>
      <c r="X26" s="257">
        <v>18.438195231723309</v>
      </c>
      <c r="Y26" s="257">
        <v>21.576249298635439</v>
      </c>
      <c r="DA26" s="272" t="s">
        <v>1013</v>
      </c>
    </row>
    <row r="27" spans="1:105" x14ac:dyDescent="0.25">
      <c r="A27" s="128" t="s">
        <v>33</v>
      </c>
      <c r="B27" s="258">
        <v>6.3327542962674821</v>
      </c>
      <c r="C27" s="258">
        <v>6.5014532047178832</v>
      </c>
      <c r="D27" s="258">
        <v>6.8311531996133921</v>
      </c>
      <c r="E27" s="258">
        <v>6.8909689284030193</v>
      </c>
      <c r="F27" s="258">
        <v>22.66558573087886</v>
      </c>
      <c r="G27" s="258">
        <v>23.39891988758411</v>
      </c>
      <c r="H27" s="258">
        <v>19.203894712369461</v>
      </c>
      <c r="I27" s="258">
        <v>21.390451483073491</v>
      </c>
      <c r="J27" s="258">
        <v>26.620083547455721</v>
      </c>
      <c r="K27" s="258">
        <v>30.315524017623058</v>
      </c>
      <c r="L27" s="258">
        <v>35.658711472211671</v>
      </c>
      <c r="M27" s="258">
        <v>33.155161450838989</v>
      </c>
      <c r="N27" s="258">
        <v>34.8085616090871</v>
      </c>
      <c r="O27" s="258">
        <v>33.806960887792542</v>
      </c>
      <c r="P27" s="258">
        <v>32.050873552438141</v>
      </c>
      <c r="Q27" s="258">
        <v>33.823734356418854</v>
      </c>
      <c r="R27" s="258">
        <v>35.837662918631679</v>
      </c>
      <c r="S27" s="258">
        <v>34.77456858364792</v>
      </c>
      <c r="T27" s="258">
        <v>36.513368212855667</v>
      </c>
      <c r="U27" s="258">
        <v>38.563760004403981</v>
      </c>
      <c r="V27" s="258">
        <v>39.139511980935623</v>
      </c>
      <c r="W27" s="258">
        <v>36.290130202501913</v>
      </c>
      <c r="X27" s="258">
        <v>26.735383085998802</v>
      </c>
      <c r="Y27" s="258">
        <v>31.285561483021379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0.99999999999999978</v>
      </c>
      <c r="D31" s="235">
        <f t="shared" si="9"/>
        <v>1</v>
      </c>
      <c r="E31" s="235">
        <f t="shared" si="9"/>
        <v>1.0000000000000002</v>
      </c>
      <c r="F31" s="235">
        <f t="shared" si="9"/>
        <v>1</v>
      </c>
      <c r="G31" s="235">
        <f t="shared" si="9"/>
        <v>0.99999999999999989</v>
      </c>
      <c r="H31" s="235">
        <f t="shared" si="9"/>
        <v>1</v>
      </c>
      <c r="I31" s="235">
        <f t="shared" si="9"/>
        <v>1</v>
      </c>
      <c r="J31" s="235">
        <f t="shared" si="9"/>
        <v>1</v>
      </c>
      <c r="K31" s="235">
        <f t="shared" si="9"/>
        <v>0.99999999999999989</v>
      </c>
      <c r="L31" s="235">
        <f t="shared" si="9"/>
        <v>1</v>
      </c>
      <c r="M31" s="235">
        <f t="shared" si="9"/>
        <v>1</v>
      </c>
      <c r="N31" s="235">
        <f t="shared" si="9"/>
        <v>1</v>
      </c>
      <c r="O31" s="235">
        <f t="shared" si="9"/>
        <v>0.99999999999999989</v>
      </c>
      <c r="P31" s="235">
        <f t="shared" si="9"/>
        <v>0.99999999999999978</v>
      </c>
      <c r="Q31" s="235">
        <f t="shared" si="9"/>
        <v>0.99999999999999978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1</v>
      </c>
      <c r="U31" s="235">
        <f t="shared" si="10"/>
        <v>0.99999999999999989</v>
      </c>
      <c r="V31" s="235">
        <f t="shared" si="10"/>
        <v>1</v>
      </c>
      <c r="W31" s="235">
        <f t="shared" si="10"/>
        <v>0.99999999999999989</v>
      </c>
      <c r="X31" s="235">
        <f t="shared" ref="X31:Y31" si="11">SUM(X32:X40)</f>
        <v>1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5.5079133262141327E-3</v>
      </c>
      <c r="C32" s="244">
        <f t="shared" si="12"/>
        <v>5.8973647359502022E-3</v>
      </c>
      <c r="D32" s="244">
        <f t="shared" si="12"/>
        <v>7.4127776094783399E-3</v>
      </c>
      <c r="E32" s="244">
        <f t="shared" si="12"/>
        <v>5.7591142580077116E-3</v>
      </c>
      <c r="F32" s="244">
        <f t="shared" si="12"/>
        <v>1.5003178094797301E-2</v>
      </c>
      <c r="G32" s="244">
        <f t="shared" si="12"/>
        <v>1.6023685255109481E-2</v>
      </c>
      <c r="H32" s="244">
        <f t="shared" si="12"/>
        <v>1.526175759540991E-2</v>
      </c>
      <c r="I32" s="244">
        <f t="shared" si="12"/>
        <v>1.9378020554889346E-2</v>
      </c>
      <c r="J32" s="244">
        <f t="shared" si="12"/>
        <v>2.2955730037959698E-2</v>
      </c>
      <c r="K32" s="244">
        <f t="shared" si="12"/>
        <v>2.6467095857385273E-2</v>
      </c>
      <c r="L32" s="244">
        <f t="shared" si="12"/>
        <v>2.8139461261625032E-2</v>
      </c>
      <c r="M32" s="244">
        <f t="shared" si="12"/>
        <v>2.9023426397883748E-2</v>
      </c>
      <c r="N32" s="244">
        <f t="shared" si="12"/>
        <v>2.9732460891168343E-2</v>
      </c>
      <c r="O32" s="244">
        <f t="shared" si="12"/>
        <v>2.6982761657474982E-2</v>
      </c>
      <c r="P32" s="244">
        <f t="shared" si="12"/>
        <v>2.9381156995714804E-2</v>
      </c>
      <c r="Q32" s="244">
        <f t="shared" si="12"/>
        <v>3.0264378413930971E-2</v>
      </c>
      <c r="R32" s="244">
        <f t="shared" si="12"/>
        <v>2.9948743823290064E-2</v>
      </c>
      <c r="S32" s="244">
        <f t="shared" si="12"/>
        <v>2.8403721346064403E-2</v>
      </c>
      <c r="T32" s="244">
        <f t="shared" si="12"/>
        <v>2.9606385155273317E-2</v>
      </c>
      <c r="U32" s="244">
        <f t="shared" si="12"/>
        <v>2.8813788429681898E-2</v>
      </c>
      <c r="V32" s="244">
        <f t="shared" si="12"/>
        <v>3.0238676949151413E-2</v>
      </c>
      <c r="W32" s="244">
        <f t="shared" si="12"/>
        <v>2.7558624012922205E-2</v>
      </c>
      <c r="X32" s="244">
        <f t="shared" si="12"/>
        <v>2.2460198852831893E-2</v>
      </c>
      <c r="Y32" s="244">
        <f t="shared" si="12"/>
        <v>2.5275668259144048E-2</v>
      </c>
      <c r="DA32" s="275"/>
    </row>
    <row r="33" spans="1:105" x14ac:dyDescent="0.25">
      <c r="A33" s="240" t="s">
        <v>124</v>
      </c>
      <c r="B33" s="245">
        <f t="shared" ref="B33:Y33" si="13">IF(B$7=0,0,B$7/B$5)</f>
        <v>3.5801436620391839E-3</v>
      </c>
      <c r="C33" s="245">
        <f t="shared" si="13"/>
        <v>3.8332870783676296E-3</v>
      </c>
      <c r="D33" s="245">
        <f t="shared" si="13"/>
        <v>4.8183054461609191E-3</v>
      </c>
      <c r="E33" s="245">
        <f t="shared" si="13"/>
        <v>3.7434242677050118E-3</v>
      </c>
      <c r="F33" s="245">
        <f t="shared" si="13"/>
        <v>9.7520657616182397E-3</v>
      </c>
      <c r="G33" s="245">
        <f t="shared" si="13"/>
        <v>1.0415395415821154E-2</v>
      </c>
      <c r="H33" s="245">
        <f t="shared" si="13"/>
        <v>9.920142437016435E-3</v>
      </c>
      <c r="I33" s="245">
        <f t="shared" si="13"/>
        <v>1.259571336067807E-2</v>
      </c>
      <c r="J33" s="245">
        <f t="shared" si="13"/>
        <v>1.4921224524673808E-2</v>
      </c>
      <c r="K33" s="245">
        <f t="shared" si="13"/>
        <v>1.7203612307300421E-2</v>
      </c>
      <c r="L33" s="245">
        <f t="shared" si="13"/>
        <v>1.8290649820056265E-2</v>
      </c>
      <c r="M33" s="245">
        <f t="shared" si="13"/>
        <v>1.8865227158624428E-2</v>
      </c>
      <c r="N33" s="245">
        <f t="shared" si="13"/>
        <v>1.9326099579259414E-2</v>
      </c>
      <c r="O33" s="245">
        <f t="shared" si="13"/>
        <v>1.753879507735874E-2</v>
      </c>
      <c r="P33" s="245">
        <f t="shared" si="13"/>
        <v>1.9097752047214617E-2</v>
      </c>
      <c r="Q33" s="245">
        <f t="shared" si="13"/>
        <v>1.9671845969055132E-2</v>
      </c>
      <c r="R33" s="245">
        <f t="shared" si="13"/>
        <v>1.9466683485138542E-2</v>
      </c>
      <c r="S33" s="245">
        <f t="shared" si="13"/>
        <v>1.8462418874941853E-2</v>
      </c>
      <c r="T33" s="245">
        <f t="shared" si="13"/>
        <v>1.9244150350927639E-2</v>
      </c>
      <c r="U33" s="245">
        <f t="shared" si="13"/>
        <v>1.8728962479293221E-2</v>
      </c>
      <c r="V33" s="245">
        <f t="shared" si="13"/>
        <v>1.9655140016948413E-2</v>
      </c>
      <c r="W33" s="245">
        <f t="shared" si="13"/>
        <v>1.7913105608399434E-2</v>
      </c>
      <c r="X33" s="245">
        <f t="shared" si="13"/>
        <v>1.4599129254340731E-2</v>
      </c>
      <c r="Y33" s="245">
        <f t="shared" si="13"/>
        <v>1.6429184368443622E-2</v>
      </c>
      <c r="DA33" s="276"/>
    </row>
    <row r="34" spans="1:105" x14ac:dyDescent="0.25">
      <c r="A34" s="240" t="s">
        <v>123</v>
      </c>
      <c r="B34" s="245">
        <f t="shared" ref="B34:Y34" si="14">IF(B$8=0,0,B$8/B$5)</f>
        <v>4.9571219935927186E-3</v>
      </c>
      <c r="C34" s="245">
        <f t="shared" si="14"/>
        <v>5.307628262355181E-3</v>
      </c>
      <c r="D34" s="245">
        <f t="shared" si="14"/>
        <v>6.6714998485305054E-3</v>
      </c>
      <c r="E34" s="245">
        <f t="shared" si="14"/>
        <v>5.1832028322069401E-3</v>
      </c>
      <c r="F34" s="245">
        <f t="shared" si="14"/>
        <v>1.3502860285317567E-2</v>
      </c>
      <c r="G34" s="245">
        <f t="shared" si="14"/>
        <v>1.4421316729598527E-2</v>
      </c>
      <c r="H34" s="245">
        <f t="shared" si="14"/>
        <v>1.3735581835868918E-2</v>
      </c>
      <c r="I34" s="245">
        <f t="shared" si="14"/>
        <v>1.7440218499400414E-2</v>
      </c>
      <c r="J34" s="245">
        <f t="shared" si="14"/>
        <v>2.0660157034163722E-2</v>
      </c>
      <c r="K34" s="245">
        <f t="shared" si="14"/>
        <v>2.3820386271646739E-2</v>
      </c>
      <c r="L34" s="245">
        <f t="shared" si="14"/>
        <v>2.5325515135462523E-2</v>
      </c>
      <c r="M34" s="245">
        <f t="shared" si="14"/>
        <v>2.6121083758095374E-2</v>
      </c>
      <c r="N34" s="245">
        <f t="shared" si="14"/>
        <v>2.6759214802051505E-2</v>
      </c>
      <c r="O34" s="245">
        <f t="shared" si="14"/>
        <v>2.4284485491727487E-2</v>
      </c>
      <c r="P34" s="245">
        <f t="shared" si="14"/>
        <v>2.6443041296143315E-2</v>
      </c>
      <c r="Q34" s="245">
        <f t="shared" si="14"/>
        <v>2.723794057253787E-2</v>
      </c>
      <c r="R34" s="245">
        <f t="shared" si="14"/>
        <v>2.6953869440961068E-2</v>
      </c>
      <c r="S34" s="245">
        <f t="shared" si="14"/>
        <v>2.5563349211457965E-2</v>
      </c>
      <c r="T34" s="245">
        <f t="shared" si="14"/>
        <v>2.6645746639745973E-2</v>
      </c>
      <c r="U34" s="245">
        <f t="shared" si="14"/>
        <v>2.5932409586713705E-2</v>
      </c>
      <c r="V34" s="245">
        <f t="shared" si="14"/>
        <v>2.7214809254236257E-2</v>
      </c>
      <c r="W34" s="245">
        <f t="shared" si="14"/>
        <v>2.4802761611629979E-2</v>
      </c>
      <c r="X34" s="245">
        <f t="shared" si="14"/>
        <v>2.0214178967548693E-2</v>
      </c>
      <c r="Y34" s="245">
        <f t="shared" si="14"/>
        <v>2.2748101433229636E-2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0.18098914852960851</v>
      </c>
      <c r="C35" s="246">
        <f t="shared" si="15"/>
        <v>0.18647117978020433</v>
      </c>
      <c r="D35" s="246">
        <f t="shared" si="15"/>
        <v>0.18995601735355888</v>
      </c>
      <c r="E35" s="246">
        <f t="shared" si="15"/>
        <v>0.18009793122531395</v>
      </c>
      <c r="F35" s="246">
        <f t="shared" si="15"/>
        <v>0.19151775191412129</v>
      </c>
      <c r="G35" s="246">
        <f t="shared" si="15"/>
        <v>0.19176598794332844</v>
      </c>
      <c r="H35" s="246">
        <f t="shared" si="15"/>
        <v>0.19609938000753896</v>
      </c>
      <c r="I35" s="246">
        <f t="shared" si="15"/>
        <v>0.18860181028880252</v>
      </c>
      <c r="J35" s="246">
        <f t="shared" si="15"/>
        <v>0.19329442448676301</v>
      </c>
      <c r="K35" s="246">
        <f t="shared" si="15"/>
        <v>0.19459996375757757</v>
      </c>
      <c r="L35" s="246">
        <f t="shared" si="15"/>
        <v>0.20317541828443003</v>
      </c>
      <c r="M35" s="246">
        <f t="shared" si="15"/>
        <v>0.20471503096787896</v>
      </c>
      <c r="N35" s="246">
        <f t="shared" si="15"/>
        <v>0.20534412356038106</v>
      </c>
      <c r="O35" s="246">
        <f t="shared" si="15"/>
        <v>0.20685351254891307</v>
      </c>
      <c r="P35" s="246">
        <f t="shared" si="15"/>
        <v>0.20637955508388459</v>
      </c>
      <c r="Q35" s="246">
        <f t="shared" si="15"/>
        <v>0.21005136023547086</v>
      </c>
      <c r="R35" s="246">
        <f t="shared" si="15"/>
        <v>0.20980316618404038</v>
      </c>
      <c r="S35" s="246">
        <f t="shared" si="15"/>
        <v>0.21159407231230334</v>
      </c>
      <c r="T35" s="246">
        <f t="shared" si="15"/>
        <v>0.21300017416939482</v>
      </c>
      <c r="U35" s="246">
        <f t="shared" si="15"/>
        <v>0.21340933035297927</v>
      </c>
      <c r="V35" s="246">
        <f t="shared" si="15"/>
        <v>0.21392752699092191</v>
      </c>
      <c r="W35" s="246">
        <f t="shared" si="15"/>
        <v>0.21905330096713585</v>
      </c>
      <c r="X35" s="246">
        <f t="shared" si="15"/>
        <v>0.21616452026582847</v>
      </c>
      <c r="Y35" s="246">
        <f t="shared" si="15"/>
        <v>0.21672237899148386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0.24553464894983659</v>
      </c>
      <c r="C36" s="259">
        <f t="shared" si="16"/>
        <v>0.25300730656736287</v>
      </c>
      <c r="D36" s="259">
        <f t="shared" si="16"/>
        <v>0.25867195966731105</v>
      </c>
      <c r="E36" s="259">
        <f t="shared" si="16"/>
        <v>0.24457815657829446</v>
      </c>
      <c r="F36" s="259">
        <f t="shared" si="16"/>
        <v>0.23103429092350256</v>
      </c>
      <c r="G36" s="259">
        <f t="shared" si="16"/>
        <v>0.23474412184732513</v>
      </c>
      <c r="H36" s="259">
        <f t="shared" si="16"/>
        <v>0.23713316526799688</v>
      </c>
      <c r="I36" s="259">
        <f t="shared" si="16"/>
        <v>0.22847795075279984</v>
      </c>
      <c r="J36" s="259">
        <f t="shared" si="16"/>
        <v>0.24450338723122808</v>
      </c>
      <c r="K36" s="259">
        <f t="shared" si="16"/>
        <v>0.23113667099023805</v>
      </c>
      <c r="L36" s="259">
        <f t="shared" si="16"/>
        <v>0.23289856614187679</v>
      </c>
      <c r="M36" s="259">
        <f t="shared" si="16"/>
        <v>0.22927485355963645</v>
      </c>
      <c r="N36" s="259">
        <f t="shared" si="16"/>
        <v>0.2258501298500134</v>
      </c>
      <c r="O36" s="259">
        <f t="shared" si="16"/>
        <v>0.22896486897334509</v>
      </c>
      <c r="P36" s="259">
        <f t="shared" si="16"/>
        <v>0.22290457424521362</v>
      </c>
      <c r="Q36" s="259">
        <f t="shared" si="16"/>
        <v>0.21162499698385787</v>
      </c>
      <c r="R36" s="259">
        <f t="shared" si="16"/>
        <v>0.21336796361471683</v>
      </c>
      <c r="S36" s="259">
        <f t="shared" si="16"/>
        <v>0.21235628610744467</v>
      </c>
      <c r="T36" s="259">
        <f t="shared" si="16"/>
        <v>0.20714396955291822</v>
      </c>
      <c r="U36" s="259">
        <f t="shared" si="16"/>
        <v>0.20989561705666515</v>
      </c>
      <c r="V36" s="259">
        <f t="shared" si="16"/>
        <v>0.20246025175386173</v>
      </c>
      <c r="W36" s="259">
        <f t="shared" si="16"/>
        <v>0.1980307261042282</v>
      </c>
      <c r="X36" s="259">
        <f t="shared" si="16"/>
        <v>0.22346674134021635</v>
      </c>
      <c r="Y36" s="259">
        <f t="shared" si="16"/>
        <v>0.21340461314179754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0.49875510687547975</v>
      </c>
      <c r="C37" s="259">
        <f t="shared" si="17"/>
        <v>0.48241722752239435</v>
      </c>
      <c r="D37" s="259">
        <f t="shared" si="17"/>
        <v>0.46460216218063366</v>
      </c>
      <c r="E37" s="259">
        <f t="shared" si="17"/>
        <v>0.49953060987268505</v>
      </c>
      <c r="F37" s="259">
        <f t="shared" si="17"/>
        <v>0.45803690231114441</v>
      </c>
      <c r="G37" s="259">
        <f t="shared" si="17"/>
        <v>0.44826342462782975</v>
      </c>
      <c r="H37" s="259">
        <f t="shared" si="17"/>
        <v>0.44489155283853182</v>
      </c>
      <c r="I37" s="259">
        <f t="shared" si="17"/>
        <v>0.44212619387434277</v>
      </c>
      <c r="J37" s="259">
        <f t="shared" si="17"/>
        <v>0.40044017461168829</v>
      </c>
      <c r="K37" s="259">
        <f t="shared" si="17"/>
        <v>0.39751304840498214</v>
      </c>
      <c r="L37" s="259">
        <f t="shared" si="17"/>
        <v>0.3784753088687548</v>
      </c>
      <c r="M37" s="259">
        <f t="shared" si="17"/>
        <v>0.37683590965795505</v>
      </c>
      <c r="N37" s="259">
        <f t="shared" si="17"/>
        <v>0.37674445751016344</v>
      </c>
      <c r="O37" s="259">
        <f t="shared" si="17"/>
        <v>0.38527030248683825</v>
      </c>
      <c r="P37" s="259">
        <f t="shared" si="17"/>
        <v>0.38097711412564039</v>
      </c>
      <c r="Q37" s="259">
        <f t="shared" si="17"/>
        <v>0.38633624391599591</v>
      </c>
      <c r="R37" s="259">
        <f t="shared" si="17"/>
        <v>0.38608471872624756</v>
      </c>
      <c r="S37" s="259">
        <f t="shared" si="17"/>
        <v>0.39322500475544991</v>
      </c>
      <c r="T37" s="259">
        <f t="shared" si="17"/>
        <v>0.39201949047080642</v>
      </c>
      <c r="U37" s="259">
        <f t="shared" si="17"/>
        <v>0.39229291841211289</v>
      </c>
      <c r="V37" s="259">
        <f t="shared" si="17"/>
        <v>0.39351441188685116</v>
      </c>
      <c r="W37" s="259">
        <f t="shared" si="17"/>
        <v>0.4070695985094433</v>
      </c>
      <c r="X37" s="259">
        <f t="shared" si="17"/>
        <v>0.40512674747085764</v>
      </c>
      <c r="Y37" s="259">
        <f t="shared" si="17"/>
        <v>0.40248719170039793</v>
      </c>
      <c r="DA37" s="278"/>
    </row>
    <row r="38" spans="1:105" x14ac:dyDescent="0.25">
      <c r="A38" s="127" t="s">
        <v>167</v>
      </c>
      <c r="B38" s="259">
        <f t="shared" ref="B38:Y38" si="18">IF(B$25=0,0,B$25/B$5)</f>
        <v>4.7181529014004547E-2</v>
      </c>
      <c r="C38" s="259">
        <f t="shared" si="18"/>
        <v>4.8617462450287356E-2</v>
      </c>
      <c r="D38" s="259">
        <f t="shared" si="18"/>
        <v>4.9705972751104749E-2</v>
      </c>
      <c r="E38" s="259">
        <f t="shared" si="18"/>
        <v>4.6997731033668118E-2</v>
      </c>
      <c r="F38" s="259">
        <f t="shared" si="18"/>
        <v>4.4395164377245229E-2</v>
      </c>
      <c r="G38" s="259">
        <f t="shared" si="18"/>
        <v>4.5108039305969204E-2</v>
      </c>
      <c r="H38" s="259">
        <f t="shared" si="18"/>
        <v>4.5567113908882705E-2</v>
      </c>
      <c r="I38" s="259">
        <f t="shared" si="18"/>
        <v>4.3903942309608174E-2</v>
      </c>
      <c r="J38" s="259">
        <f t="shared" si="18"/>
        <v>4.6983363480522129E-2</v>
      </c>
      <c r="K38" s="259">
        <f t="shared" si="18"/>
        <v>4.4414837560275797E-2</v>
      </c>
      <c r="L38" s="259">
        <f t="shared" si="18"/>
        <v>4.4753400396813234E-2</v>
      </c>
      <c r="M38" s="259">
        <f t="shared" si="18"/>
        <v>4.4057073825110857E-2</v>
      </c>
      <c r="N38" s="259">
        <f t="shared" si="18"/>
        <v>4.3398984623600485E-2</v>
      </c>
      <c r="O38" s="259">
        <f t="shared" si="18"/>
        <v>4.3997507703528595E-2</v>
      </c>
      <c r="P38" s="259">
        <f t="shared" si="18"/>
        <v>4.2832971566687209E-2</v>
      </c>
      <c r="Q38" s="259">
        <f t="shared" si="18"/>
        <v>4.0665506795020318E-2</v>
      </c>
      <c r="R38" s="259">
        <f t="shared" si="18"/>
        <v>4.1000432358544836E-2</v>
      </c>
      <c r="S38" s="259">
        <f t="shared" si="18"/>
        <v>4.0806030094480125E-2</v>
      </c>
      <c r="T38" s="259">
        <f t="shared" si="18"/>
        <v>3.9804440030514025E-2</v>
      </c>
      <c r="U38" s="259">
        <f t="shared" si="18"/>
        <v>4.0333192029833161E-2</v>
      </c>
      <c r="V38" s="259">
        <f t="shared" si="18"/>
        <v>3.8904424622608236E-2</v>
      </c>
      <c r="W38" s="259">
        <f t="shared" si="18"/>
        <v>3.8053254354581602E-2</v>
      </c>
      <c r="X38" s="259">
        <f t="shared" si="18"/>
        <v>4.2940996658938059E-2</v>
      </c>
      <c r="Y38" s="259">
        <f t="shared" si="18"/>
        <v>4.1007474870600476E-2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5.5079133262141327E-3</v>
      </c>
      <c r="C39" s="259">
        <f t="shared" si="19"/>
        <v>5.8973647359502022E-3</v>
      </c>
      <c r="D39" s="259">
        <f t="shared" si="19"/>
        <v>7.4127776094783399E-3</v>
      </c>
      <c r="E39" s="259">
        <f t="shared" si="19"/>
        <v>5.7591142580077116E-3</v>
      </c>
      <c r="F39" s="259">
        <f t="shared" si="19"/>
        <v>1.5003178094797301E-2</v>
      </c>
      <c r="G39" s="259">
        <f t="shared" si="19"/>
        <v>1.6023685255109481E-2</v>
      </c>
      <c r="H39" s="259">
        <f t="shared" si="19"/>
        <v>1.526175759540991E-2</v>
      </c>
      <c r="I39" s="259">
        <f t="shared" si="19"/>
        <v>1.9378020554889346E-2</v>
      </c>
      <c r="J39" s="259">
        <f t="shared" si="19"/>
        <v>2.2955730037959698E-2</v>
      </c>
      <c r="K39" s="259">
        <f t="shared" si="19"/>
        <v>2.6467095857385273E-2</v>
      </c>
      <c r="L39" s="259">
        <f t="shared" si="19"/>
        <v>2.8139461261625032E-2</v>
      </c>
      <c r="M39" s="259">
        <f t="shared" si="19"/>
        <v>2.9023426397883748E-2</v>
      </c>
      <c r="N39" s="259">
        <f t="shared" si="19"/>
        <v>2.9732460891168343E-2</v>
      </c>
      <c r="O39" s="259">
        <f t="shared" si="19"/>
        <v>2.6982761657474982E-2</v>
      </c>
      <c r="P39" s="259">
        <f t="shared" si="19"/>
        <v>2.9381156995714804E-2</v>
      </c>
      <c r="Q39" s="259">
        <f t="shared" si="19"/>
        <v>3.0264378413930971E-2</v>
      </c>
      <c r="R39" s="259">
        <f t="shared" si="19"/>
        <v>2.9948743823290064E-2</v>
      </c>
      <c r="S39" s="259">
        <f t="shared" si="19"/>
        <v>2.8403721346064403E-2</v>
      </c>
      <c r="T39" s="259">
        <f t="shared" si="19"/>
        <v>2.9606385155273317E-2</v>
      </c>
      <c r="U39" s="259">
        <f t="shared" si="19"/>
        <v>2.8813788429681898E-2</v>
      </c>
      <c r="V39" s="259">
        <f t="shared" si="19"/>
        <v>3.0238676949151413E-2</v>
      </c>
      <c r="W39" s="259">
        <f t="shared" si="19"/>
        <v>2.7558624012922205E-2</v>
      </c>
      <c r="X39" s="259">
        <f t="shared" si="19"/>
        <v>2.2460198852831893E-2</v>
      </c>
      <c r="Y39" s="259">
        <f t="shared" si="19"/>
        <v>2.5275668259144048E-2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7.986474323010492E-3</v>
      </c>
      <c r="C40" s="261">
        <f t="shared" si="20"/>
        <v>8.551178867127791E-3</v>
      </c>
      <c r="D40" s="261">
        <f t="shared" si="20"/>
        <v>1.0748527533743592E-2</v>
      </c>
      <c r="E40" s="261">
        <f t="shared" si="20"/>
        <v>8.3507156741111834E-3</v>
      </c>
      <c r="F40" s="261">
        <f t="shared" si="20"/>
        <v>2.1754608237456084E-2</v>
      </c>
      <c r="G40" s="261">
        <f t="shared" si="20"/>
        <v>2.323434361990875E-2</v>
      </c>
      <c r="H40" s="261">
        <f t="shared" si="20"/>
        <v>2.2129548513344369E-2</v>
      </c>
      <c r="I40" s="261">
        <f t="shared" si="20"/>
        <v>2.8098129804589561E-2</v>
      </c>
      <c r="J40" s="261">
        <f t="shared" si="20"/>
        <v>3.3285808555041568E-2</v>
      </c>
      <c r="K40" s="261">
        <f t="shared" si="20"/>
        <v>3.8377288993208643E-2</v>
      </c>
      <c r="L40" s="261">
        <f t="shared" si="20"/>
        <v>4.08022188293563E-2</v>
      </c>
      <c r="M40" s="261">
        <f t="shared" si="20"/>
        <v>4.2083968276931449E-2</v>
      </c>
      <c r="N40" s="261">
        <f t="shared" si="20"/>
        <v>4.3112068292194099E-2</v>
      </c>
      <c r="O40" s="261">
        <f t="shared" si="20"/>
        <v>3.9125004403338735E-2</v>
      </c>
      <c r="P40" s="261">
        <f t="shared" si="20"/>
        <v>4.2602677643786467E-2</v>
      </c>
      <c r="Q40" s="261">
        <f t="shared" si="20"/>
        <v>4.3883348700199935E-2</v>
      </c>
      <c r="R40" s="261">
        <f t="shared" si="20"/>
        <v>4.3425678543770607E-2</v>
      </c>
      <c r="S40" s="261">
        <f t="shared" si="20"/>
        <v>4.1185395951793387E-2</v>
      </c>
      <c r="T40" s="261">
        <f t="shared" si="20"/>
        <v>4.2929258475146288E-2</v>
      </c>
      <c r="U40" s="261">
        <f t="shared" si="20"/>
        <v>4.1779993223038742E-2</v>
      </c>
      <c r="V40" s="261">
        <f t="shared" si="20"/>
        <v>4.3846081576269541E-2</v>
      </c>
      <c r="W40" s="261">
        <f t="shared" si="20"/>
        <v>3.9960004818737196E-2</v>
      </c>
      <c r="X40" s="261">
        <f t="shared" si="20"/>
        <v>3.256728833660625E-2</v>
      </c>
      <c r="Y40" s="261">
        <f t="shared" si="20"/>
        <v>3.664971897575886E-2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112.47171201628669</v>
      </c>
      <c r="C44" s="236">
        <f t="shared" si="21"/>
        <v>109.81942433546165</v>
      </c>
      <c r="D44" s="236">
        <f t="shared" si="21"/>
        <v>113.80906613357634</v>
      </c>
      <c r="E44" s="236">
        <f t="shared" si="21"/>
        <v>119.53787119840246</v>
      </c>
      <c r="F44" s="236">
        <f t="shared" si="21"/>
        <v>117.30616060932347</v>
      </c>
      <c r="G44" s="236">
        <f t="shared" si="21"/>
        <v>134.29403412451353</v>
      </c>
      <c r="H44" s="236">
        <f t="shared" si="21"/>
        <v>130.05722800154632</v>
      </c>
      <c r="I44" s="236">
        <f t="shared" si="21"/>
        <v>117.81469406104158</v>
      </c>
      <c r="J44" s="236">
        <f t="shared" si="21"/>
        <v>123.49619118298855</v>
      </c>
      <c r="K44" s="236">
        <f t="shared" si="21"/>
        <v>137.83360398812144</v>
      </c>
      <c r="L44" s="236">
        <f t="shared" si="21"/>
        <v>128.47617233393538</v>
      </c>
      <c r="M44" s="236">
        <f t="shared" si="21"/>
        <v>116.0213122138336</v>
      </c>
      <c r="N44" s="236">
        <f t="shared" si="21"/>
        <v>118.31216844961246</v>
      </c>
      <c r="O44" s="236">
        <f t="shared" si="21"/>
        <v>117.89482713876835</v>
      </c>
      <c r="P44" s="236">
        <f t="shared" si="21"/>
        <v>114.21265320772919</v>
      </c>
      <c r="Q44" s="236">
        <f t="shared" si="21"/>
        <v>116.6772871901979</v>
      </c>
      <c r="R44" s="236">
        <f t="shared" si="21"/>
        <v>118.41249825520163</v>
      </c>
      <c r="S44" s="236">
        <f t="shared" si="21"/>
        <v>109.25986032686184</v>
      </c>
      <c r="T44" s="236">
        <f t="shared" si="21"/>
        <v>115.03952384499107</v>
      </c>
      <c r="U44" s="236">
        <f t="shared" si="21"/>
        <v>114.3105370701674</v>
      </c>
      <c r="V44" s="236">
        <f t="shared" si="21"/>
        <v>121.02278233994654</v>
      </c>
      <c r="W44" s="236">
        <f t="shared" si="21"/>
        <v>115.61293230102244</v>
      </c>
      <c r="X44" s="236">
        <f t="shared" si="21"/>
        <v>98.926512660278448</v>
      </c>
      <c r="Y44" s="236">
        <f t="shared" si="21"/>
        <v>101.37891512464496</v>
      </c>
      <c r="DA44" s="280"/>
    </row>
    <row r="45" spans="1:105" x14ac:dyDescent="0.25">
      <c r="A45" s="238" t="s">
        <v>125</v>
      </c>
      <c r="B45" s="247">
        <f>IF(B$6=0,0,B$6/AGR!B$5*1000)</f>
        <v>0.61948444143662362</v>
      </c>
      <c r="C45" s="247">
        <f>IF(C$6=0,0,C$6/AGR!C$5*1000)</f>
        <v>0.64764520039830309</v>
      </c>
      <c r="D45" s="247">
        <f>IF(D$6=0,0,D$6/AGR!D$5*1000)</f>
        <v>0.84364129719061431</v>
      </c>
      <c r="E45" s="247">
        <f>IF(E$6=0,0,E$6/AGR!E$5*1000)</f>
        <v>0.68843225839060895</v>
      </c>
      <c r="F45" s="247">
        <f>IF(F$6=0,0,F$6/AGR!F$5*1000)</f>
        <v>1.759965219238576</v>
      </c>
      <c r="G45" s="247">
        <f>IF(G$6=0,0,G$6/AGR!G$5*1000)</f>
        <v>2.1518853344501374</v>
      </c>
      <c r="H45" s="247">
        <f>IF(H$6=0,0,H$6/AGR!H$5*1000)</f>
        <v>1.9849018872905582</v>
      </c>
      <c r="I45" s="247">
        <f>IF(I$6=0,0,I$6/AGR!I$5*1000)</f>
        <v>2.2830155631828633</v>
      </c>
      <c r="J45" s="247">
        <f>IF(J$6=0,0,J$6/AGR!J$5*1000)</f>
        <v>2.8349452255129441</v>
      </c>
      <c r="K45" s="247">
        <f>IF(K$6=0,0,K$6/AGR!K$5*1000)</f>
        <v>3.6480552091224916</v>
      </c>
      <c r="L45" s="247">
        <f>IF(L$6=0,0,L$6/AGR!L$5*1000)</f>
        <v>3.6152502744326367</v>
      </c>
      <c r="M45" s="247">
        <f>IF(M$6=0,0,M$6/AGR!M$5*1000)</f>
        <v>3.3673360156240899</v>
      </c>
      <c r="N45" s="247">
        <f>IF(N$6=0,0,N$6/AGR!N$5*1000)</f>
        <v>3.5177119213774226</v>
      </c>
      <c r="O45" s="247">
        <f>IF(O$6=0,0,O$6/AGR!O$5*1000)</f>
        <v>3.1811280213345992</v>
      </c>
      <c r="P45" s="247">
        <f>IF(P$6=0,0,P$6/AGR!P$5*1000)</f>
        <v>3.3556998947934225</v>
      </c>
      <c r="Q45" s="247">
        <f>IF(Q$6=0,0,Q$6/AGR!Q$5*1000)</f>
        <v>3.5311655718350505</v>
      </c>
      <c r="R45" s="247">
        <f>IF(R$6=0,0,R$6/AGR!R$5*1000)</f>
        <v>3.5463055757208153</v>
      </c>
      <c r="S45" s="247">
        <f>IF(S$6=0,0,S$6/AGR!S$5*1000)</f>
        <v>3.1033866270341006</v>
      </c>
      <c r="T45" s="247">
        <f>IF(T$6=0,0,T$6/AGR!T$5*1000)</f>
        <v>3.4059044510340541</v>
      </c>
      <c r="U45" s="247">
        <f>IF(U$6=0,0,U$6/AGR!U$5*1000)</f>
        <v>3.2937196304231127</v>
      </c>
      <c r="V45" s="247">
        <f>IF(V$6=0,0,V$6/AGR!V$5*1000)</f>
        <v>3.6595688186651101</v>
      </c>
      <c r="W45" s="247">
        <f>IF(W$6=0,0,W$6/AGR!W$5*1000)</f>
        <v>3.1861333323153063</v>
      </c>
      <c r="X45" s="247">
        <f>IF(X$6=0,0,X$6/AGR!X$5*1000)</f>
        <v>2.2219091461670457</v>
      </c>
      <c r="Y45" s="247">
        <f>IF(Y$6=0,0,Y$6/AGR!Y$5*1000)</f>
        <v>2.5624198271624468</v>
      </c>
      <c r="DA45" s="281"/>
    </row>
    <row r="46" spans="1:105" x14ac:dyDescent="0.25">
      <c r="A46" s="240" t="s">
        <v>124</v>
      </c>
      <c r="B46" s="248">
        <f>IF(B$7=0,0,B$7/AGR!B$5*1000)</f>
        <v>0.40266488693380509</v>
      </c>
      <c r="C46" s="248">
        <f>IF(C$7=0,0,C$7/AGR!C$5*1000)</f>
        <v>0.4209693802588968</v>
      </c>
      <c r="D46" s="248">
        <f>IF(D$7=0,0,D$7/AGR!D$5*1000)</f>
        <v>0.54836684317389905</v>
      </c>
      <c r="E46" s="248">
        <f>IF(E$7=0,0,E$7/AGR!E$5*1000)</f>
        <v>0.44748096795389575</v>
      </c>
      <c r="F46" s="248">
        <f>IF(F$7=0,0,F$7/AGR!F$5*1000)</f>
        <v>1.1439773925050736</v>
      </c>
      <c r="G46" s="248">
        <f>IF(G$7=0,0,G$7/AGR!G$5*1000)</f>
        <v>1.3987254673925884</v>
      </c>
      <c r="H46" s="248">
        <f>IF(H$7=0,0,H$7/AGR!H$5*1000)</f>
        <v>1.290186226738862</v>
      </c>
      <c r="I46" s="248">
        <f>IF(I$7=0,0,I$7/AGR!I$5*1000)</f>
        <v>1.4839601160688607</v>
      </c>
      <c r="J46" s="248">
        <f>IF(J$7=0,0,J$7/AGR!J$5*1000)</f>
        <v>1.8427143965834141</v>
      </c>
      <c r="K46" s="248">
        <f>IF(K$7=0,0,K$7/AGR!K$5*1000)</f>
        <v>2.3712358859296185</v>
      </c>
      <c r="L46" s="248">
        <f>IF(L$7=0,0,L$7/AGR!L$5*1000)</f>
        <v>2.3499126783812128</v>
      </c>
      <c r="M46" s="248">
        <f>IF(M$7=0,0,M$7/AGR!M$5*1000)</f>
        <v>2.1887684101556575</v>
      </c>
      <c r="N46" s="248">
        <f>IF(N$7=0,0,N$7/AGR!N$5*1000)</f>
        <v>2.2865127488953236</v>
      </c>
      <c r="O46" s="248">
        <f>IF(O$7=0,0,O$7/AGR!O$5*1000)</f>
        <v>2.0677332138674895</v>
      </c>
      <c r="P46" s="248">
        <f>IF(P$7=0,0,P$7/AGR!P$5*1000)</f>
        <v>2.1812049316157238</v>
      </c>
      <c r="Q46" s="248">
        <f>IF(Q$7=0,0,Q$7/AGR!Q$5*1000)</f>
        <v>2.2952576216927829</v>
      </c>
      <c r="R46" s="248">
        <f>IF(R$7=0,0,R$7/AGR!R$5*1000)</f>
        <v>2.3050986242185298</v>
      </c>
      <c r="S46" s="248">
        <f>IF(S$7=0,0,S$7/AGR!S$5*1000)</f>
        <v>2.0172013075721646</v>
      </c>
      <c r="T46" s="248">
        <f>IF(T$7=0,0,T$7/AGR!T$5*1000)</f>
        <v>2.2138378931721334</v>
      </c>
      <c r="U46" s="248">
        <f>IF(U$7=0,0,U$7/AGR!U$5*1000)</f>
        <v>2.140917759775022</v>
      </c>
      <c r="V46" s="248">
        <f>IF(V$7=0,0,V$7/AGR!V$5*1000)</f>
        <v>2.3787197321323208</v>
      </c>
      <c r="W46" s="248">
        <f>IF(W$7=0,0,W$7/AGR!W$5*1000)</f>
        <v>2.0709866660049494</v>
      </c>
      <c r="X46" s="248">
        <f>IF(X$7=0,0,X$7/AGR!X$5*1000)</f>
        <v>1.4442409450085798</v>
      </c>
      <c r="Y46" s="248">
        <f>IF(Y$7=0,0,Y$7/AGR!Y$5*1000)</f>
        <v>1.6655728876555898</v>
      </c>
      <c r="DA46" s="282"/>
    </row>
    <row r="47" spans="1:105" x14ac:dyDescent="0.25">
      <c r="A47" s="240" t="s">
        <v>123</v>
      </c>
      <c r="B47" s="248">
        <f>IF(B$8=0,0,B$8/AGR!B$5*1000)</f>
        <v>0.55753599729296122</v>
      </c>
      <c r="C47" s="248">
        <f>IF(C$8=0,0,C$8/AGR!C$5*1000)</f>
        <v>0.58288068035847262</v>
      </c>
      <c r="D47" s="248">
        <f>IF(D$8=0,0,D$8/AGR!D$5*1000)</f>
        <v>0.75927716747155283</v>
      </c>
      <c r="E47" s="248">
        <f>IF(E$8=0,0,E$8/AGR!E$5*1000)</f>
        <v>0.61958903255154807</v>
      </c>
      <c r="F47" s="248">
        <f>IF(F$8=0,0,F$8/AGR!F$5*1000)</f>
        <v>1.583968697314718</v>
      </c>
      <c r="G47" s="248">
        <f>IF(G$8=0,0,G$8/AGR!G$5*1000)</f>
        <v>1.9366968010051231</v>
      </c>
      <c r="H47" s="248">
        <f>IF(H$8=0,0,H$8/AGR!H$5*1000)</f>
        <v>1.7864116985615019</v>
      </c>
      <c r="I47" s="248">
        <f>IF(I$8=0,0,I$8/AGR!I$5*1000)</f>
        <v>2.0547140068645775</v>
      </c>
      <c r="J47" s="248">
        <f>IF(J$8=0,0,J$8/AGR!J$5*1000)</f>
        <v>2.5514507029616489</v>
      </c>
      <c r="K47" s="248">
        <f>IF(K$8=0,0,K$8/AGR!K$5*1000)</f>
        <v>3.2832496882102413</v>
      </c>
      <c r="L47" s="248">
        <f>IF(L$8=0,0,L$8/AGR!L$5*1000)</f>
        <v>3.2537252469893723</v>
      </c>
      <c r="M47" s="248">
        <f>IF(M$8=0,0,M$8/AGR!M$5*1000)</f>
        <v>3.0306024140616805</v>
      </c>
      <c r="N47" s="248">
        <f>IF(N$8=0,0,N$8/AGR!N$5*1000)</f>
        <v>3.1659407292396797</v>
      </c>
      <c r="O47" s="248">
        <f>IF(O$8=0,0,O$8/AGR!O$5*1000)</f>
        <v>2.8630152192011393</v>
      </c>
      <c r="P47" s="248">
        <f>IF(P$8=0,0,P$8/AGR!P$5*1000)</f>
        <v>3.0201299053140787</v>
      </c>
      <c r="Q47" s="248">
        <f>IF(Q$8=0,0,Q$8/AGR!Q$5*1000)</f>
        <v>3.1780490146515454</v>
      </c>
      <c r="R47" s="248">
        <f>IF(R$8=0,0,R$8/AGR!R$5*1000)</f>
        <v>3.191675018148735</v>
      </c>
      <c r="S47" s="248">
        <f>IF(S$8=0,0,S$8/AGR!S$5*1000)</f>
        <v>2.7930479643306909</v>
      </c>
      <c r="T47" s="248">
        <f>IF(T$8=0,0,T$8/AGR!T$5*1000)</f>
        <v>3.0653140059306474</v>
      </c>
      <c r="U47" s="248">
        <f>IF(U$8=0,0,U$8/AGR!U$5*1000)</f>
        <v>2.9643476673808014</v>
      </c>
      <c r="V47" s="248">
        <f>IF(V$8=0,0,V$8/AGR!V$5*1000)</f>
        <v>3.2936119367985977</v>
      </c>
      <c r="W47" s="248">
        <f>IF(W$8=0,0,W$8/AGR!W$5*1000)</f>
        <v>2.867519999083775</v>
      </c>
      <c r="X47" s="248">
        <f>IF(X$8=0,0,X$8/AGR!X$5*1000)</f>
        <v>1.9997182315503403</v>
      </c>
      <c r="Y47" s="248">
        <f>IF(Y$8=0,0,Y$8/AGR!Y$5*1000)</f>
        <v>2.3061778444462018</v>
      </c>
      <c r="DA47" s="282"/>
    </row>
    <row r="48" spans="1:105" x14ac:dyDescent="0.25">
      <c r="A48" s="242" t="s">
        <v>122</v>
      </c>
      <c r="B48" s="249">
        <f>IF(B$9=0,0,B$9/AGR!B$5*1000)</f>
        <v>20.356159391495066</v>
      </c>
      <c r="C48" s="249">
        <f>IF(C$9=0,0,C$9/AGR!C$5*1000)</f>
        <v>20.478157618616418</v>
      </c>
      <c r="D48" s="249">
        <f>IF(D$9=0,0,D$9/AGR!D$5*1000)</f>
        <v>21.618716941461958</v>
      </c>
      <c r="E48" s="249">
        <f>IF(E$9=0,0,E$9/AGR!E$5*1000)</f>
        <v>21.528523305910323</v>
      </c>
      <c r="F48" s="249">
        <f>IF(F$9=0,0,F$9/AGR!F$5*1000)</f>
        <v>22.466212165574479</v>
      </c>
      <c r="G48" s="249">
        <f>IF(G$9=0,0,G$9/AGR!G$5*1000)</f>
        <v>25.753028128782404</v>
      </c>
      <c r="H48" s="249">
        <f>IF(H$9=0,0,H$9/AGR!H$5*1000)</f>
        <v>25.504141776602371</v>
      </c>
      <c r="I48" s="249">
        <f>IF(I$9=0,0,I$9/AGR!I$5*1000)</f>
        <v>22.220064578533876</v>
      </c>
      <c r="J48" s="249">
        <f>IF(J$9=0,0,J$9/AGR!J$5*1000)</f>
        <v>23.871125201023027</v>
      </c>
      <c r="K48" s="249">
        <f>IF(K$9=0,0,K$9/AGR!K$5*1000)</f>
        <v>26.822414340664732</v>
      </c>
      <c r="L48" s="249">
        <f>IF(L$9=0,0,L$9/AGR!L$5*1000)</f>
        <v>26.103200053529839</v>
      </c>
      <c r="M48" s="249">
        <f>IF(M$9=0,0,M$9/AGR!M$5*1000)</f>
        <v>23.751306522788894</v>
      </c>
      <c r="N48" s="249">
        <f>IF(N$9=0,0,N$9/AGR!N$5*1000)</f>
        <v>24.294708536813832</v>
      </c>
      <c r="O48" s="249">
        <f>IF(O$9=0,0,O$9/AGR!O$5*1000)</f>
        <v>24.386959105001154</v>
      </c>
      <c r="P48" s="249">
        <f>IF(P$9=0,0,P$9/AGR!P$5*1000)</f>
        <v>23.57115655396116</v>
      </c>
      <c r="Q48" s="249">
        <f>IF(Q$9=0,0,Q$9/AGR!Q$5*1000)</f>
        <v>24.508222882885754</v>
      </c>
      <c r="R48" s="249">
        <f>IF(R$9=0,0,R$9/AGR!R$5*1000)</f>
        <v>24.843317049703458</v>
      </c>
      <c r="S48" s="249">
        <f>IF(S$9=0,0,S$9/AGR!S$5*1000)</f>
        <v>23.118738786834168</v>
      </c>
      <c r="T48" s="249">
        <f>IF(T$9=0,0,T$9/AGR!T$5*1000)</f>
        <v>24.503438615347346</v>
      </c>
      <c r="U48" s="249">
        <f>IF(U$9=0,0,U$9/AGR!U$5*1000)</f>
        <v>24.394935168433836</v>
      </c>
      <c r="V48" s="249">
        <f>IF(V$9=0,0,V$9/AGR!V$5*1000)</f>
        <v>25.89010453554538</v>
      </c>
      <c r="W48" s="249">
        <f>IF(W$9=0,0,W$9/AGR!W$5*1000)</f>
        <v>25.32539445502897</v>
      </c>
      <c r="X48" s="249">
        <f>IF(X$9=0,0,X$9/AGR!X$5*1000)</f>
        <v>21.384402150780495</v>
      </c>
      <c r="Y48" s="249">
        <f>IF(Y$9=0,0,Y$9/AGR!Y$5*1000)</f>
        <v>21.971079665388778</v>
      </c>
      <c r="DA48" s="283"/>
    </row>
    <row r="49" spans="1:105" x14ac:dyDescent="0.25">
      <c r="A49" s="127" t="s">
        <v>168</v>
      </c>
      <c r="B49" s="262">
        <f>IF(B$16=0,0,B$16/AGR!B$5*1000)</f>
        <v>27.615702326706071</v>
      </c>
      <c r="C49" s="262">
        <f>IF(C$16=0,0,C$16/AGR!C$5*1000)</f>
        <v>27.785116759893459</v>
      </c>
      <c r="D49" s="262">
        <f>IF(D$16=0,0,D$16/AGR!D$5*1000)</f>
        <v>29.439214164678798</v>
      </c>
      <c r="E49" s="262">
        <f>IF(E$16=0,0,E$16/AGR!E$5*1000)</f>
        <v>29.236352178998871</v>
      </c>
      <c r="F49" s="262">
        <f>IF(F$16=0,0,F$16/AGR!F$5*1000)</f>
        <v>27.101745637333554</v>
      </c>
      <c r="G49" s="262">
        <f>IF(G$16=0,0,G$16/AGR!G$5*1000)</f>
        <v>31.524735109893655</v>
      </c>
      <c r="H49" s="262">
        <f>IF(H$16=0,0,H$16/AGR!H$5*1000)</f>
        <v>30.840882141988239</v>
      </c>
      <c r="I49" s="262">
        <f>IF(I$16=0,0,I$16/AGR!I$5*1000)</f>
        <v>26.918059867634838</v>
      </c>
      <c r="J49" s="262">
        <f>IF(J$16=0,0,J$16/AGR!J$5*1000)</f>
        <v>30.195237054396024</v>
      </c>
      <c r="K49" s="262">
        <f>IF(K$16=0,0,K$16/AGR!K$5*1000)</f>
        <v>31.858400376401189</v>
      </c>
      <c r="L49" s="262">
        <f>IF(L$16=0,0,L$16/AGR!L$5*1000)</f>
        <v>29.921916319970212</v>
      </c>
      <c r="M49" s="262">
        <f>IF(M$16=0,0,M$16/AGR!M$5*1000)</f>
        <v>26.600769367623553</v>
      </c>
      <c r="N49" s="262">
        <f>IF(N$16=0,0,N$16/AGR!N$5*1000)</f>
        <v>26.720818607181624</v>
      </c>
      <c r="O49" s="262">
        <f>IF(O$16=0,0,O$16/AGR!O$5*1000)</f>
        <v>26.993773648463264</v>
      </c>
      <c r="P49" s="262">
        <f>IF(P$16=0,0,P$16/AGR!P$5*1000)</f>
        <v>25.458522836685113</v>
      </c>
      <c r="Q49" s="262">
        <f>IF(Q$16=0,0,Q$16/AGR!Q$5*1000)</f>
        <v>24.691830549710353</v>
      </c>
      <c r="R49" s="262">
        <f>IF(R$16=0,0,R$16/AGR!R$5*1000)</f>
        <v>25.265433619243581</v>
      </c>
      <c r="S49" s="262">
        <f>IF(S$16=0,0,S$16/AGR!S$5*1000)</f>
        <v>23.202018159630512</v>
      </c>
      <c r="T49" s="262">
        <f>IF(T$16=0,0,T$16/AGR!T$5*1000)</f>
        <v>23.829743624729041</v>
      </c>
      <c r="U49" s="262">
        <f>IF(U$16=0,0,U$16/AGR!U$5*1000)</f>
        <v>23.993280714421584</v>
      </c>
      <c r="V49" s="262">
        <f>IF(V$16=0,0,V$16/AGR!V$5*1000)</f>
        <v>24.502302980498389</v>
      </c>
      <c r="W49" s="262">
        <f>IF(W$16=0,0,W$16/AGR!W$5*1000)</f>
        <v>22.894912930610452</v>
      </c>
      <c r="X49" s="262">
        <f>IF(X$16=0,0,X$16/AGR!X$5*1000)</f>
        <v>22.106785416344081</v>
      </c>
      <c r="Y49" s="262">
        <f>IF(Y$16=0,0,Y$16/AGR!Y$5*1000)</f>
        <v>21.634728162909983</v>
      </c>
      <c r="DA49" s="284"/>
    </row>
    <row r="50" spans="1:105" x14ac:dyDescent="0.25">
      <c r="A50" s="127" t="s">
        <v>121</v>
      </c>
      <c r="B50" s="262">
        <f>IF(B$17=0,0,B$17/AGR!B$5*1000)</f>
        <v>56.09584074715125</v>
      </c>
      <c r="C50" s="262">
        <f>IF(C$17=0,0,C$17/AGR!C$5*1000)</f>
        <v>52.978782216018779</v>
      </c>
      <c r="D50" s="262">
        <f>IF(D$17=0,0,D$17/AGR!D$5*1000)</f>
        <v>52.875938201418293</v>
      </c>
      <c r="E50" s="262">
        <f>IF(E$17=0,0,E$17/AGR!E$5*1000)</f>
        <v>59.712825702620449</v>
      </c>
      <c r="F50" s="262">
        <f>IF(F$17=0,0,F$17/AGR!F$5*1000)</f>
        <v>53.730550427508106</v>
      </c>
      <c r="G50" s="262">
        <f>IF(G$17=0,0,G$17/AGR!G$5*1000)</f>
        <v>60.199103643741076</v>
      </c>
      <c r="H50" s="262">
        <f>IF(H$17=0,0,H$17/AGR!H$5*1000)</f>
        <v>57.861362123482927</v>
      </c>
      <c r="I50" s="262">
        <f>IF(I$17=0,0,I$17/AGR!I$5*1000)</f>
        <v>52.088962267678447</v>
      </c>
      <c r="J50" s="262">
        <f>IF(J$17=0,0,J$17/AGR!J$5*1000)</f>
        <v>49.452836361194372</v>
      </c>
      <c r="K50" s="262">
        <f>IF(K$17=0,0,K$17/AGR!K$5*1000)</f>
        <v>54.790656093963264</v>
      </c>
      <c r="L50" s="262">
        <f>IF(L$17=0,0,L$17/AGR!L$5*1000)</f>
        <v>48.62505900636156</v>
      </c>
      <c r="M50" s="262">
        <f>IF(M$17=0,0,M$17/AGR!M$5*1000)</f>
        <v>43.720996727809592</v>
      </c>
      <c r="N50" s="262">
        <f>IF(N$17=0,0,N$17/AGR!N$5*1000)</f>
        <v>44.573453719400312</v>
      </c>
      <c r="O50" s="262">
        <f>IF(O$17=0,0,O$17/AGR!O$5*1000)</f>
        <v>45.421375713386787</v>
      </c>
      <c r="P50" s="262">
        <f>IF(P$17=0,0,P$17/AGR!P$5*1000)</f>
        <v>43.512407015713244</v>
      </c>
      <c r="Q50" s="262">
        <f>IF(Q$17=0,0,Q$17/AGR!Q$5*1000)</f>
        <v>45.076664883369013</v>
      </c>
      <c r="R50" s="262">
        <f>IF(R$17=0,0,R$17/AGR!R$5*1000)</f>
        <v>45.717256082531797</v>
      </c>
      <c r="S50" s="262">
        <f>IF(S$17=0,0,S$17/AGR!S$5*1000)</f>
        <v>42.963709096610032</v>
      </c>
      <c r="T50" s="262">
        <f>IF(T$17=0,0,T$17/AGR!T$5*1000)</f>
        <v>45.097735521717588</v>
      </c>
      <c r="U50" s="262">
        <f>IF(U$17=0,0,U$17/AGR!U$5*1000)</f>
        <v>44.843214192511986</v>
      </c>
      <c r="V50" s="262">
        <f>IF(V$17=0,0,V$17/AGR!V$5*1000)</f>
        <v>47.624209017414451</v>
      </c>
      <c r="W50" s="262">
        <f>IF(W$17=0,0,W$17/AGR!W$5*1000)</f>
        <v>47.062509934276655</v>
      </c>
      <c r="X50" s="262">
        <f>IF(X$17=0,0,X$17/AGR!X$5*1000)</f>
        <v>40.077776312693231</v>
      </c>
      <c r="Y50" s="262">
        <f>IF(Y$17=0,0,Y$17/AGR!Y$5*1000)</f>
        <v>40.803714846151351</v>
      </c>
      <c r="DA50" s="284"/>
    </row>
    <row r="51" spans="1:105" x14ac:dyDescent="0.25">
      <c r="A51" s="127" t="s">
        <v>167</v>
      </c>
      <c r="B51" s="262">
        <f>IF(B$25=0,0,B$25/AGR!B$5*1000)</f>
        <v>5.3065873437511941</v>
      </c>
      <c r="C51" s="262">
        <f>IF(C$25=0,0,C$25/AGR!C$5*1000)</f>
        <v>5.3391417389414801</v>
      </c>
      <c r="D51" s="262">
        <f>IF(D$25=0,0,D$25/AGR!D$5*1000)</f>
        <v>5.6569903400642243</v>
      </c>
      <c r="E51" s="262">
        <f>IF(E$25=0,0,E$25/AGR!E$5*1000)</f>
        <v>5.6180087189197812</v>
      </c>
      <c r="F51" s="262">
        <f>IF(F$25=0,0,F$25/AGR!F$5*1000)</f>
        <v>5.2078262827144446</v>
      </c>
      <c r="G51" s="262">
        <f>IF(G$25=0,0,G$25/AGR!G$5*1000)</f>
        <v>6.057740569845727</v>
      </c>
      <c r="H51" s="262">
        <f>IF(H$25=0,0,H$25/AGR!H$5*1000)</f>
        <v>5.9263325230199904</v>
      </c>
      <c r="I51" s="262">
        <f>IF(I$25=0,0,I$25/AGR!I$5*1000)</f>
        <v>5.1725295312801061</v>
      </c>
      <c r="J51" s="262">
        <f>IF(J$25=0,0,J$25/AGR!J$5*1000)</f>
        <v>5.8022664388104035</v>
      </c>
      <c r="K51" s="262">
        <f>IF(K$25=0,0,K$25/AGR!K$5*1000)</f>
        <v>6.1218571314797963</v>
      </c>
      <c r="L51" s="262">
        <f>IF(L$25=0,0,L$25/AGR!L$5*1000)</f>
        <v>5.7497455819105898</v>
      </c>
      <c r="M51" s="262">
        <f>IF(M$25=0,0,M$25/AGR!M$5*1000)</f>
        <v>5.1115595174911022</v>
      </c>
      <c r="N51" s="262">
        <f>IF(N$25=0,0,N$25/AGR!N$5*1000)</f>
        <v>5.1346279793295597</v>
      </c>
      <c r="O51" s="262">
        <f>IF(O$25=0,0,O$25/AGR!O$5*1000)</f>
        <v>5.187078565244132</v>
      </c>
      <c r="P51" s="262">
        <f>IF(P$25=0,0,P$25/AGR!P$5*1000)</f>
        <v>4.8920673274025717</v>
      </c>
      <c r="Q51" s="262">
        <f>IF(Q$25=0,0,Q$25/AGR!Q$5*1000)</f>
        <v>4.7447410150575307</v>
      </c>
      <c r="R51" s="262">
        <f>IF(R$25=0,0,R$25/AGR!R$5*1000)</f>
        <v>4.8549636251187032</v>
      </c>
      <c r="S51" s="262">
        <f>IF(S$25=0,0,S$25/AGR!S$5*1000)</f>
        <v>4.4584611486166192</v>
      </c>
      <c r="T51" s="262">
        <f>IF(T$25=0,0,T$25/AGR!T$5*1000)</f>
        <v>4.5790838280268353</v>
      </c>
      <c r="U51" s="262">
        <f>IF(U$25=0,0,U$25/AGR!U$5*1000)</f>
        <v>4.6105088426844238</v>
      </c>
      <c r="V51" s="262">
        <f>IF(V$25=0,0,V$25/AGR!V$5*1000)</f>
        <v>4.708321713162773</v>
      </c>
      <c r="W51" s="262">
        <f>IF(W$25=0,0,W$25/AGR!W$5*1000)</f>
        <v>4.3994483195298297</v>
      </c>
      <c r="X51" s="262">
        <f>IF(X$25=0,0,X$25/AGR!X$5*1000)</f>
        <v>4.2480030496254111</v>
      </c>
      <c r="Y51" s="262">
        <f>IF(Y$25=0,0,Y$25/AGR!Y$5*1000)</f>
        <v>4.157293314382617</v>
      </c>
      <c r="DA51" s="284"/>
    </row>
    <row r="52" spans="1:105" x14ac:dyDescent="0.25">
      <c r="A52" s="127" t="s">
        <v>170</v>
      </c>
      <c r="B52" s="262">
        <f>IF(B$26=0,0,B$26/AGR!B$5*1000)</f>
        <v>0.61948444143662362</v>
      </c>
      <c r="C52" s="262">
        <f>IF(C$26=0,0,C$26/AGR!C$5*1000)</f>
        <v>0.64764520039830309</v>
      </c>
      <c r="D52" s="262">
        <f>IF(D$26=0,0,D$26/AGR!D$5*1000)</f>
        <v>0.84364129719061431</v>
      </c>
      <c r="E52" s="262">
        <f>IF(E$26=0,0,E$26/AGR!E$5*1000)</f>
        <v>0.68843225839060895</v>
      </c>
      <c r="F52" s="262">
        <f>IF(F$26=0,0,F$26/AGR!F$5*1000)</f>
        <v>1.759965219238576</v>
      </c>
      <c r="G52" s="262">
        <f>IF(G$26=0,0,G$26/AGR!G$5*1000)</f>
        <v>2.1518853344501374</v>
      </c>
      <c r="H52" s="262">
        <f>IF(H$26=0,0,H$26/AGR!H$5*1000)</f>
        <v>1.9849018872905582</v>
      </c>
      <c r="I52" s="262">
        <f>IF(I$26=0,0,I$26/AGR!I$5*1000)</f>
        <v>2.2830155631828633</v>
      </c>
      <c r="J52" s="262">
        <f>IF(J$26=0,0,J$26/AGR!J$5*1000)</f>
        <v>2.8349452255129441</v>
      </c>
      <c r="K52" s="262">
        <f>IF(K$26=0,0,K$26/AGR!K$5*1000)</f>
        <v>3.6480552091224916</v>
      </c>
      <c r="L52" s="262">
        <f>IF(L$26=0,0,L$26/AGR!L$5*1000)</f>
        <v>3.6152502744326367</v>
      </c>
      <c r="M52" s="262">
        <f>IF(M$26=0,0,M$26/AGR!M$5*1000)</f>
        <v>3.3673360156240899</v>
      </c>
      <c r="N52" s="262">
        <f>IF(N$26=0,0,N$26/AGR!N$5*1000)</f>
        <v>3.5177119213774226</v>
      </c>
      <c r="O52" s="262">
        <f>IF(O$26=0,0,O$26/AGR!O$5*1000)</f>
        <v>3.1811280213345992</v>
      </c>
      <c r="P52" s="262">
        <f>IF(P$26=0,0,P$26/AGR!P$5*1000)</f>
        <v>3.3556998947934225</v>
      </c>
      <c r="Q52" s="262">
        <f>IF(Q$26=0,0,Q$26/AGR!Q$5*1000)</f>
        <v>3.5311655718350505</v>
      </c>
      <c r="R52" s="262">
        <f>IF(R$26=0,0,R$26/AGR!R$5*1000)</f>
        <v>3.5463055757208153</v>
      </c>
      <c r="S52" s="262">
        <f>IF(S$26=0,0,S$26/AGR!S$5*1000)</f>
        <v>3.1033866270341006</v>
      </c>
      <c r="T52" s="262">
        <f>IF(T$26=0,0,T$26/AGR!T$5*1000)</f>
        <v>3.4059044510340541</v>
      </c>
      <c r="U52" s="262">
        <f>IF(U$26=0,0,U$26/AGR!U$5*1000)</f>
        <v>3.2937196304231127</v>
      </c>
      <c r="V52" s="262">
        <f>IF(V$26=0,0,V$26/AGR!V$5*1000)</f>
        <v>3.6595688186651101</v>
      </c>
      <c r="W52" s="262">
        <f>IF(W$26=0,0,W$26/AGR!W$5*1000)</f>
        <v>3.1861333323153063</v>
      </c>
      <c r="X52" s="262">
        <f>IF(X$26=0,0,X$26/AGR!X$5*1000)</f>
        <v>2.2219091461670457</v>
      </c>
      <c r="Y52" s="262">
        <f>IF(Y$26=0,0,Y$26/AGR!Y$5*1000)</f>
        <v>2.5624198271624468</v>
      </c>
      <c r="DA52" s="284"/>
    </row>
    <row r="53" spans="1:105" x14ac:dyDescent="0.25">
      <c r="A53" s="260" t="s">
        <v>33</v>
      </c>
      <c r="B53" s="263">
        <f>IF(B$27=0,0,B$27/AGR!B$5*1000)</f>
        <v>0.89825244008310423</v>
      </c>
      <c r="C53" s="263">
        <f>IF(C$27=0,0,C$27/AGR!C$5*1000)</f>
        <v>0.93908554057753924</v>
      </c>
      <c r="D53" s="263">
        <f>IF(D$27=0,0,D$27/AGR!D$5*1000)</f>
        <v>1.2232798809263905</v>
      </c>
      <c r="E53" s="263">
        <f>IF(E$27=0,0,E$27/AGR!E$5*1000)</f>
        <v>0.99822677466638321</v>
      </c>
      <c r="F53" s="263">
        <f>IF(F$27=0,0,F$27/AGR!F$5*1000)</f>
        <v>2.5519495678959347</v>
      </c>
      <c r="G53" s="263">
        <f>IF(G$27=0,0,G$27/AGR!G$5*1000)</f>
        <v>3.1202337349526998</v>
      </c>
      <c r="H53" s="263">
        <f>IF(H$27=0,0,H$27/AGR!H$5*1000)</f>
        <v>2.8781077365713092</v>
      </c>
      <c r="I53" s="263">
        <f>IF(I$27=0,0,I$27/AGR!I$5*1000)</f>
        <v>3.3103725666151536</v>
      </c>
      <c r="J53" s="263">
        <f>IF(J$27=0,0,J$27/AGR!J$5*1000)</f>
        <v>4.110670576993769</v>
      </c>
      <c r="K53" s="263">
        <f>IF(K$27=0,0,K$27/AGR!K$5*1000)</f>
        <v>5.2896800532276123</v>
      </c>
      <c r="L53" s="263">
        <f>IF(L$27=0,0,L$27/AGR!L$5*1000)</f>
        <v>5.2421128979273242</v>
      </c>
      <c r="M53" s="263">
        <f>IF(M$27=0,0,M$27/AGR!M$5*1000)</f>
        <v>4.8826372226549326</v>
      </c>
      <c r="N53" s="263">
        <f>IF(N$27=0,0,N$27/AGR!N$5*1000)</f>
        <v>5.1006822859972631</v>
      </c>
      <c r="O53" s="263">
        <f>IF(O$27=0,0,O$27/AGR!O$5*1000)</f>
        <v>4.6126356309351699</v>
      </c>
      <c r="P53" s="263">
        <f>IF(P$27=0,0,P$27/AGR!P$5*1000)</f>
        <v>4.8657648474504622</v>
      </c>
      <c r="Q53" s="263">
        <f>IF(Q$27=0,0,Q$27/AGR!Q$5*1000)</f>
        <v>5.1201900791608255</v>
      </c>
      <c r="R53" s="263">
        <f>IF(R$27=0,0,R$27/AGR!R$5*1000)</f>
        <v>5.1421430847951841</v>
      </c>
      <c r="S53" s="263">
        <f>IF(S$27=0,0,S$27/AGR!S$5*1000)</f>
        <v>4.4999106091994463</v>
      </c>
      <c r="T53" s="263">
        <f>IF(T$27=0,0,T$27/AGR!T$5*1000)</f>
        <v>4.9385614539993767</v>
      </c>
      <c r="U53" s="263">
        <f>IF(U$27=0,0,U$27/AGR!U$5*1000)</f>
        <v>4.7758934641135129</v>
      </c>
      <c r="V53" s="263">
        <f>IF(V$27=0,0,V$27/AGR!V$5*1000)</f>
        <v>5.3063747870644091</v>
      </c>
      <c r="W53" s="263">
        <f>IF(W$27=0,0,W$27/AGR!W$5*1000)</f>
        <v>4.6198933318571935</v>
      </c>
      <c r="X53" s="263">
        <f>IF(X$27=0,0,X$27/AGR!X$5*1000)</f>
        <v>3.2217682619422163</v>
      </c>
      <c r="Y53" s="263">
        <f>IF(Y$27=0,0,Y$27/AGR!Y$5*1000)</f>
        <v>3.7155087493855468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261.81037319653507</v>
      </c>
      <c r="C5" s="80">
        <f t="shared" ref="C5:W5" si="1">SUM(C6:C9,C16:C17,C25:C27)</f>
        <v>253.54584406698203</v>
      </c>
      <c r="D5" s="80">
        <f t="shared" si="1"/>
        <v>214.26756571879991</v>
      </c>
      <c r="E5" s="80">
        <f t="shared" si="1"/>
        <v>272.25743321151663</v>
      </c>
      <c r="F5" s="80">
        <f t="shared" si="1"/>
        <v>367.79081257044862</v>
      </c>
      <c r="G5" s="80">
        <f t="shared" si="1"/>
        <v>357.27626348312475</v>
      </c>
      <c r="H5" s="80">
        <f t="shared" si="1"/>
        <v>308.92140271299212</v>
      </c>
      <c r="I5" s="80">
        <f t="shared" si="1"/>
        <v>272.49538518870838</v>
      </c>
      <c r="J5" s="80">
        <f t="shared" si="1"/>
        <v>292.69357283858943</v>
      </c>
      <c r="K5" s="80">
        <f t="shared" si="1"/>
        <v>295.60972262168997</v>
      </c>
      <c r="L5" s="80">
        <f t="shared" si="1"/>
        <v>334.74729933876512</v>
      </c>
      <c r="M5" s="80">
        <f t="shared" si="1"/>
        <v>304.04104103978557</v>
      </c>
      <c r="N5" s="80">
        <f t="shared" si="1"/>
        <v>313.29083155635828</v>
      </c>
      <c r="O5" s="80">
        <f t="shared" si="1"/>
        <v>331.8098060265358</v>
      </c>
      <c r="P5" s="80">
        <f t="shared" si="1"/>
        <v>291.93021111924946</v>
      </c>
      <c r="Q5" s="80">
        <f t="shared" si="1"/>
        <v>301.85747207497309</v>
      </c>
      <c r="R5" s="80">
        <f t="shared" si="1"/>
        <v>322.64325936194473</v>
      </c>
      <c r="S5" s="80">
        <f t="shared" si="1"/>
        <v>328.73155635118599</v>
      </c>
      <c r="T5" s="80">
        <f t="shared" si="1"/>
        <v>333.66915925658964</v>
      </c>
      <c r="U5" s="80">
        <f t="shared" si="1"/>
        <v>361.17751966050793</v>
      </c>
      <c r="V5" s="80">
        <f t="shared" si="1"/>
        <v>352.03877397433911</v>
      </c>
      <c r="W5" s="80">
        <f t="shared" si="1"/>
        <v>356.50725411931694</v>
      </c>
      <c r="X5" s="80">
        <f t="shared" ref="X5:Y5" si="2">SUM(X6:X9,X16:X17,X25:X27)</f>
        <v>314.25328823138165</v>
      </c>
      <c r="Y5" s="80">
        <f t="shared" si="2"/>
        <v>331.12716898890568</v>
      </c>
      <c r="DA5" s="103"/>
    </row>
    <row r="6" spans="1:105" x14ac:dyDescent="0.25">
      <c r="A6" s="238" t="s">
        <v>125</v>
      </c>
      <c r="B6" s="239">
        <v>1.957931845262123</v>
      </c>
      <c r="C6" s="239">
        <v>2.0100893978314192</v>
      </c>
      <c r="D6" s="239">
        <v>2.1120245257692192</v>
      </c>
      <c r="E6" s="239">
        <v>2.1305180776687132</v>
      </c>
      <c r="F6" s="239">
        <v>7.007641543927047</v>
      </c>
      <c r="G6" s="239">
        <v>7.2343704254625134</v>
      </c>
      <c r="H6" s="239">
        <v>5.9373718371752426</v>
      </c>
      <c r="I6" s="239">
        <v>6.613401402282201</v>
      </c>
      <c r="J6" s="239">
        <v>8.2302749897973335</v>
      </c>
      <c r="K6" s="239">
        <v>9.3728142768616713</v>
      </c>
      <c r="L6" s="239">
        <v>11.02479639761285</v>
      </c>
      <c r="M6" s="239">
        <v>10.250760317302371</v>
      </c>
      <c r="N6" s="239">
        <v>10.76195097327073</v>
      </c>
      <c r="O6" s="239">
        <v>10.45228066921109</v>
      </c>
      <c r="P6" s="239">
        <v>9.9093416641436729</v>
      </c>
      <c r="Q6" s="239">
        <v>10.457466613089929</v>
      </c>
      <c r="R6" s="239">
        <v>11.080123782714139</v>
      </c>
      <c r="S6" s="239">
        <v>10.75144116601934</v>
      </c>
      <c r="T6" s="239">
        <v>11.289035237616661</v>
      </c>
      <c r="U6" s="239">
        <v>11.92296594077099</v>
      </c>
      <c r="V6" s="239">
        <v>12.10097428865342</v>
      </c>
      <c r="W6" s="239">
        <v>11.220015536378259</v>
      </c>
      <c r="X6" s="239">
        <v>8.2659227707937593</v>
      </c>
      <c r="Y6" s="239">
        <v>9.6727259986412708</v>
      </c>
      <c r="DA6" s="267" t="s">
        <v>1016</v>
      </c>
    </row>
    <row r="7" spans="1:105" x14ac:dyDescent="0.25">
      <c r="A7" s="240" t="s">
        <v>124</v>
      </c>
      <c r="B7" s="241">
        <v>1.2620009161611909</v>
      </c>
      <c r="C7" s="241">
        <v>1.29561949143819</v>
      </c>
      <c r="D7" s="241">
        <v>1.3613226083050021</v>
      </c>
      <c r="E7" s="241">
        <v>1.373242777792369</v>
      </c>
      <c r="F7" s="241">
        <v>4.5168324270149407</v>
      </c>
      <c r="G7" s="241">
        <v>4.6629723740771194</v>
      </c>
      <c r="H7" s="241">
        <v>3.8269813713059402</v>
      </c>
      <c r="I7" s="241">
        <v>4.2627217330460683</v>
      </c>
      <c r="J7" s="241">
        <v>5.3048907716153124</v>
      </c>
      <c r="K7" s="241">
        <v>6.041323773874546</v>
      </c>
      <c r="L7" s="241">
        <v>7.1061223034631942</v>
      </c>
      <c r="M7" s="241">
        <v>6.6072110441885501</v>
      </c>
      <c r="N7" s="241">
        <v>6.9367031446036949</v>
      </c>
      <c r="O7" s="241">
        <v>6.7371026281828286</v>
      </c>
      <c r="P7" s="241">
        <v>6.3871468707989454</v>
      </c>
      <c r="Q7" s="241">
        <v>6.7404452705440017</v>
      </c>
      <c r="R7" s="241">
        <v>7.1417840201136471</v>
      </c>
      <c r="S7" s="241">
        <v>6.929928962748475</v>
      </c>
      <c r="T7" s="241">
        <v>7.2764395997353351</v>
      </c>
      <c r="U7" s="241">
        <v>7.6850447971529086</v>
      </c>
      <c r="V7" s="241">
        <v>7.7997815274714721</v>
      </c>
      <c r="W7" s="241">
        <v>7.2319523892091873</v>
      </c>
      <c r="X7" s="241">
        <v>5.3278678391702758</v>
      </c>
      <c r="Y7" s="241">
        <v>6.2346343166134144</v>
      </c>
      <c r="DA7" s="268" t="s">
        <v>1017</v>
      </c>
    </row>
    <row r="8" spans="1:105" x14ac:dyDescent="0.25">
      <c r="A8" s="240" t="s">
        <v>123</v>
      </c>
      <c r="B8" s="241">
        <v>2.5078888979578302</v>
      </c>
      <c r="C8" s="241">
        <v>2.574696814356817</v>
      </c>
      <c r="D8" s="241">
        <v>2.705264165965982</v>
      </c>
      <c r="E8" s="241">
        <v>2.728952310987363</v>
      </c>
      <c r="F8" s="241">
        <v>8.9759949874710223</v>
      </c>
      <c r="G8" s="241">
        <v>9.266409000719305</v>
      </c>
      <c r="H8" s="241">
        <v>7.6051007339868884</v>
      </c>
      <c r="I8" s="241">
        <v>8.4710180258096894</v>
      </c>
      <c r="J8" s="241">
        <v>10.542049930900131</v>
      </c>
      <c r="K8" s="241">
        <v>12.00551333001844</v>
      </c>
      <c r="L8" s="241">
        <v>14.121515289066229</v>
      </c>
      <c r="M8" s="241">
        <v>13.130062753511011</v>
      </c>
      <c r="N8" s="241">
        <v>13.78484007578864</v>
      </c>
      <c r="O8" s="241">
        <v>13.388187495946459</v>
      </c>
      <c r="P8" s="241">
        <v>12.69274413494705</v>
      </c>
      <c r="Q8" s="241">
        <v>13.39483010258807</v>
      </c>
      <c r="R8" s="241">
        <v>14.192383401857979</v>
      </c>
      <c r="S8" s="241">
        <v>13.771378203257569</v>
      </c>
      <c r="T8" s="241">
        <v>14.4599753099594</v>
      </c>
      <c r="U8" s="241">
        <v>15.271968728608</v>
      </c>
      <c r="V8" s="241">
        <v>15.49997725734122</v>
      </c>
      <c r="W8" s="241">
        <v>14.37156889127071</v>
      </c>
      <c r="X8" s="241">
        <v>10.587710700152179</v>
      </c>
      <c r="Y8" s="241">
        <v>12.3896662714186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82.517469021190209</v>
      </c>
      <c r="C9" s="243">
        <f t="shared" ref="C9:W9" si="4">SUM(C10:C15)</f>
        <v>81.522839987344739</v>
      </c>
      <c r="D9" s="243">
        <f t="shared" si="4"/>
        <v>69.46221469326602</v>
      </c>
      <c r="E9" s="243">
        <f t="shared" si="4"/>
        <v>85.461339323967778</v>
      </c>
      <c r="F9" s="243">
        <f t="shared" si="4"/>
        <v>121.23979280891459</v>
      </c>
      <c r="G9" s="243">
        <f t="shared" si="4"/>
        <v>117.20584480765925</v>
      </c>
      <c r="H9" s="243">
        <f t="shared" si="4"/>
        <v>103.33712556810779</v>
      </c>
      <c r="I9" s="243">
        <f t="shared" si="4"/>
        <v>88.235898604989231</v>
      </c>
      <c r="J9" s="243">
        <f t="shared" si="4"/>
        <v>94.81667020193845</v>
      </c>
      <c r="K9" s="243">
        <f t="shared" si="4"/>
        <v>97.141828834754008</v>
      </c>
      <c r="L9" s="243">
        <f t="shared" si="4"/>
        <v>113.01924720173454</v>
      </c>
      <c r="M9" s="243">
        <f t="shared" si="4"/>
        <v>103.37337702150124</v>
      </c>
      <c r="N9" s="243">
        <f t="shared" si="4"/>
        <v>106.85001152085417</v>
      </c>
      <c r="O9" s="243">
        <f t="shared" si="4"/>
        <v>113.61317896194289</v>
      </c>
      <c r="P9" s="243">
        <f t="shared" si="4"/>
        <v>100.10315827193821</v>
      </c>
      <c r="Q9" s="243">
        <f t="shared" si="4"/>
        <v>105.50666749328019</v>
      </c>
      <c r="R9" s="243">
        <f t="shared" si="4"/>
        <v>112.55594050900424</v>
      </c>
      <c r="S9" s="243">
        <f t="shared" si="4"/>
        <v>115.34895602908844</v>
      </c>
      <c r="T9" s="243">
        <f t="shared" si="4"/>
        <v>117.83516236442622</v>
      </c>
      <c r="U9" s="243">
        <f t="shared" si="4"/>
        <v>127.50097720507819</v>
      </c>
      <c r="V9" s="243">
        <f t="shared" si="4"/>
        <v>124.68224608594605</v>
      </c>
      <c r="W9" s="243">
        <f t="shared" si="4"/>
        <v>128.53166824554035</v>
      </c>
      <c r="X9" s="243">
        <f t="shared" ref="X9:Y9" si="5">SUM(X10:X15)</f>
        <v>111.85590867315521</v>
      </c>
      <c r="Y9" s="243">
        <f t="shared" si="5"/>
        <v>117.99553003666077</v>
      </c>
      <c r="DA9" s="269"/>
    </row>
    <row r="10" spans="1:105" x14ac:dyDescent="0.25">
      <c r="A10" s="253" t="s">
        <v>166</v>
      </c>
      <c r="B10" s="254">
        <v>82.310211789143565</v>
      </c>
      <c r="C10" s="254">
        <v>81.299561188616792</v>
      </c>
      <c r="D10" s="254">
        <v>69.117513893293008</v>
      </c>
      <c r="E10" s="254">
        <v>85.212171341980437</v>
      </c>
      <c r="F10" s="254">
        <v>63.769400857298237</v>
      </c>
      <c r="G10" s="254">
        <v>64.111380221367796</v>
      </c>
      <c r="H10" s="254">
        <v>54.800429127611643</v>
      </c>
      <c r="I10" s="254">
        <v>45.182021834662827</v>
      </c>
      <c r="J10" s="254">
        <v>56.458146079844013</v>
      </c>
      <c r="K10" s="254">
        <v>42.627512685438283</v>
      </c>
      <c r="L10" s="254">
        <v>42.443190930905118</v>
      </c>
      <c r="M10" s="254">
        <v>35.085043947568458</v>
      </c>
      <c r="N10" s="254">
        <v>33.107102981638057</v>
      </c>
      <c r="O10" s="254">
        <v>36.430808764969207</v>
      </c>
      <c r="P10" s="254">
        <v>28.837170060656511</v>
      </c>
      <c r="Q10" s="254">
        <v>23.264004623185361</v>
      </c>
      <c r="R10" s="254">
        <v>25.729174344630461</v>
      </c>
      <c r="S10" s="254">
        <v>25.07579543472718</v>
      </c>
      <c r="T10" s="254">
        <v>22.642452692471782</v>
      </c>
      <c r="U10" s="254">
        <v>25.59608880268976</v>
      </c>
      <c r="V10" s="254">
        <v>21.25058975262046</v>
      </c>
      <c r="W10" s="254">
        <v>18.721949273621799</v>
      </c>
      <c r="X10" s="254">
        <v>27.651215146521562</v>
      </c>
      <c r="Y10" s="254">
        <v>23.70638753970961</v>
      </c>
      <c r="DA10" s="270" t="s">
        <v>1019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49.926739538246181</v>
      </c>
      <c r="G11" s="255">
        <v>46.709711443632507</v>
      </c>
      <c r="H11" s="255">
        <v>41.411655855167737</v>
      </c>
      <c r="I11" s="255">
        <v>31.652643790909039</v>
      </c>
      <c r="J11" s="255">
        <v>24.10955067749023</v>
      </c>
      <c r="K11" s="255">
        <v>34.334987088298149</v>
      </c>
      <c r="L11" s="255">
        <v>45.147745727483063</v>
      </c>
      <c r="M11" s="255">
        <v>43.331799959780888</v>
      </c>
      <c r="N11" s="255">
        <v>48.31835782410495</v>
      </c>
      <c r="O11" s="255">
        <v>56.933097341574253</v>
      </c>
      <c r="P11" s="255">
        <v>48.294561929892907</v>
      </c>
      <c r="Q11" s="255">
        <v>55.133884072145051</v>
      </c>
      <c r="R11" s="255">
        <v>58.786671673763252</v>
      </c>
      <c r="S11" s="255">
        <v>66.476011829817466</v>
      </c>
      <c r="T11" s="255">
        <v>67.966291019712031</v>
      </c>
      <c r="U11" s="255">
        <v>74.655242687797099</v>
      </c>
      <c r="V11" s="255">
        <v>76.185070958475336</v>
      </c>
      <c r="W11" s="255">
        <v>90.105557751715395</v>
      </c>
      <c r="X11" s="255">
        <v>74.81473171628619</v>
      </c>
      <c r="Y11" s="255">
        <v>80.342063459975009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3.572843273723317E-3</v>
      </c>
      <c r="P12" s="255">
        <v>4.6554474453461671E-3</v>
      </c>
      <c r="Q12" s="255">
        <v>9.2566353583933905E-3</v>
      </c>
      <c r="R12" s="255">
        <v>1.9145596905083249E-2</v>
      </c>
      <c r="S12" s="255">
        <v>1.8884612293318719E-2</v>
      </c>
      <c r="T12" s="255">
        <v>1.9700490690889201E-2</v>
      </c>
      <c r="U12" s="255">
        <v>1.9709178478331452E-2</v>
      </c>
      <c r="V12" s="255">
        <v>1.8992396826939661E-2</v>
      </c>
      <c r="W12" s="255">
        <v>1.882174307645822E-2</v>
      </c>
      <c r="X12" s="255">
        <v>1.9472017105339301E-2</v>
      </c>
      <c r="Y12" s="255">
        <v>1.7776075744029861E-2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2.7403076168705258</v>
      </c>
      <c r="G14" s="254">
        <v>0.86493651350515699</v>
      </c>
      <c r="H14" s="254">
        <v>3.2282667227900701</v>
      </c>
      <c r="I14" s="254">
        <v>3.4878997065668251</v>
      </c>
      <c r="J14" s="254">
        <v>2.1099473363761572</v>
      </c>
      <c r="K14" s="254">
        <v>0.98537783909562049</v>
      </c>
      <c r="L14" s="254">
        <v>3.1938629593815002</v>
      </c>
      <c r="M14" s="254">
        <v>3.0703247320113669</v>
      </c>
      <c r="N14" s="254">
        <v>1.3670287530034351</v>
      </c>
      <c r="O14" s="254">
        <v>1.9613523582404311</v>
      </c>
      <c r="P14" s="254">
        <v>1.463989932370408</v>
      </c>
      <c r="Q14" s="254">
        <v>2.946730197335814</v>
      </c>
      <c r="R14" s="254">
        <v>3.128208641644838</v>
      </c>
      <c r="S14" s="254">
        <v>2.871672559649932</v>
      </c>
      <c r="T14" s="254">
        <v>3.2016896747890029</v>
      </c>
      <c r="U14" s="254">
        <v>3.7663393302436039</v>
      </c>
      <c r="V14" s="254">
        <v>0.59437991254239231</v>
      </c>
      <c r="W14" s="254">
        <v>0.71009142450471019</v>
      </c>
      <c r="X14" s="254">
        <v>0.53176618928084352</v>
      </c>
      <c r="Y14" s="254">
        <v>0.54741962009621703</v>
      </c>
      <c r="DA14" s="270" t="s">
        <v>1023</v>
      </c>
    </row>
    <row r="15" spans="1:105" x14ac:dyDescent="0.25">
      <c r="A15" s="253" t="s">
        <v>24</v>
      </c>
      <c r="B15" s="255">
        <v>0.20725723204664839</v>
      </c>
      <c r="C15" s="255">
        <v>0.22327879872795281</v>
      </c>
      <c r="D15" s="255">
        <v>0.34470079997300918</v>
      </c>
      <c r="E15" s="255">
        <v>0.24916798198734119</v>
      </c>
      <c r="F15" s="255">
        <v>4.8033447964996379</v>
      </c>
      <c r="G15" s="255">
        <v>5.5198166291537936</v>
      </c>
      <c r="H15" s="255">
        <v>3.8967738625383479</v>
      </c>
      <c r="I15" s="255">
        <v>7.9133332728505534</v>
      </c>
      <c r="J15" s="255">
        <v>12.13902610822805</v>
      </c>
      <c r="K15" s="255">
        <v>19.19395122192196</v>
      </c>
      <c r="L15" s="255">
        <v>22.234447583964851</v>
      </c>
      <c r="M15" s="255">
        <v>21.88620838214052</v>
      </c>
      <c r="N15" s="255">
        <v>24.057521962107721</v>
      </c>
      <c r="O15" s="255">
        <v>18.28434765388528</v>
      </c>
      <c r="P15" s="255">
        <v>21.50278090157305</v>
      </c>
      <c r="Q15" s="255">
        <v>24.152791965255581</v>
      </c>
      <c r="R15" s="255">
        <v>24.892740252060619</v>
      </c>
      <c r="S15" s="255">
        <v>20.906591592600531</v>
      </c>
      <c r="T15" s="255">
        <v>24.005028486762519</v>
      </c>
      <c r="U15" s="255">
        <v>23.46359720586938</v>
      </c>
      <c r="V15" s="255">
        <v>26.633213065480909</v>
      </c>
      <c r="W15" s="255">
        <v>18.975248052621971</v>
      </c>
      <c r="X15" s="255">
        <v>8.8387236039612684</v>
      </c>
      <c r="Y15" s="255">
        <v>13.381883341135911</v>
      </c>
      <c r="DA15" s="271" t="s">
        <v>1024</v>
      </c>
    </row>
    <row r="16" spans="1:105" x14ac:dyDescent="0.25">
      <c r="A16" s="256" t="s">
        <v>168</v>
      </c>
      <c r="B16" s="257">
        <v>62.457022646109202</v>
      </c>
      <c r="C16" s="257">
        <v>61.708993871174521</v>
      </c>
      <c r="D16" s="257">
        <v>52.738206598275468</v>
      </c>
      <c r="E16" s="257">
        <v>64.744847759541997</v>
      </c>
      <c r="F16" s="257">
        <v>77.218804950550464</v>
      </c>
      <c r="G16" s="257">
        <v>75.838735053417736</v>
      </c>
      <c r="H16" s="257">
        <v>66.014602574704398</v>
      </c>
      <c r="I16" s="257">
        <v>55.797890935317213</v>
      </c>
      <c r="J16" s="257">
        <v>62.728678046304182</v>
      </c>
      <c r="K16" s="257">
        <v>58.572072743602817</v>
      </c>
      <c r="L16" s="257">
        <v>65.294955765099843</v>
      </c>
      <c r="M16" s="257">
        <v>57.945783479259312</v>
      </c>
      <c r="N16" s="257">
        <v>58.497662894458912</v>
      </c>
      <c r="O16" s="257">
        <v>63.467521035722868</v>
      </c>
      <c r="P16" s="257">
        <v>53.796362030424113</v>
      </c>
      <c r="Q16" s="257">
        <v>52.32626194648779</v>
      </c>
      <c r="R16" s="257">
        <v>56.487614082457249</v>
      </c>
      <c r="S16" s="257">
        <v>57.51943065597721</v>
      </c>
      <c r="T16" s="257">
        <v>56.51994835895249</v>
      </c>
      <c r="U16" s="257">
        <v>62.150600365976558</v>
      </c>
      <c r="V16" s="257">
        <v>57.976947154305002</v>
      </c>
      <c r="W16" s="257">
        <v>57.69345216993532</v>
      </c>
      <c r="X16" s="257">
        <v>58.850297176319799</v>
      </c>
      <c r="Y16" s="257">
        <v>58.439711074762229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97.806341342722533</v>
      </c>
      <c r="C17" s="257">
        <f t="shared" ref="C17:W17" si="7">SUM(C18:C24)</f>
        <v>91.101957089085801</v>
      </c>
      <c r="D17" s="257">
        <f t="shared" si="7"/>
        <v>73.508416983887059</v>
      </c>
      <c r="E17" s="257">
        <f t="shared" si="7"/>
        <v>101.77710538433604</v>
      </c>
      <c r="F17" s="257">
        <f t="shared" si="7"/>
        <v>120.9053223297673</v>
      </c>
      <c r="G17" s="257">
        <f t="shared" si="7"/>
        <v>114.75965543784625</v>
      </c>
      <c r="H17" s="257">
        <f t="shared" si="7"/>
        <v>98.4596971394229</v>
      </c>
      <c r="I17" s="257">
        <f t="shared" si="7"/>
        <v>85.056132649715309</v>
      </c>
      <c r="J17" s="257">
        <f t="shared" si="7"/>
        <v>82.033494751260136</v>
      </c>
      <c r="K17" s="257">
        <f t="shared" si="7"/>
        <v>81.138064605162057</v>
      </c>
      <c r="L17" s="257">
        <f t="shared" si="7"/>
        <v>87.803456058980842</v>
      </c>
      <c r="M17" s="257">
        <f t="shared" si="7"/>
        <v>79.282543887391967</v>
      </c>
      <c r="N17" s="257">
        <f t="shared" si="7"/>
        <v>81.654650657352718</v>
      </c>
      <c r="O17" s="257">
        <f t="shared" si="7"/>
        <v>89.45310722599416</v>
      </c>
      <c r="P17" s="257">
        <f t="shared" si="7"/>
        <v>77.002845783012503</v>
      </c>
      <c r="Q17" s="257">
        <f t="shared" si="7"/>
        <v>80.219012616593503</v>
      </c>
      <c r="R17" s="257">
        <f t="shared" si="7"/>
        <v>85.854409373250334</v>
      </c>
      <c r="S17" s="257">
        <f t="shared" si="7"/>
        <v>89.763297221957913</v>
      </c>
      <c r="T17" s="257">
        <f t="shared" si="7"/>
        <v>90.430353495605999</v>
      </c>
      <c r="U17" s="257">
        <f t="shared" si="7"/>
        <v>98.443647922210104</v>
      </c>
      <c r="V17" s="257">
        <f t="shared" si="7"/>
        <v>95.892391553583863</v>
      </c>
      <c r="W17" s="257">
        <f t="shared" si="7"/>
        <v>101.61525471291047</v>
      </c>
      <c r="X17" s="257">
        <f t="shared" ref="X17:Y17" si="8">SUM(X18:X24)</f>
        <v>90.760527159284976</v>
      </c>
      <c r="Y17" s="257">
        <f t="shared" si="8"/>
        <v>94.323941348034793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4.052519864931897</v>
      </c>
      <c r="E18" s="55">
        <v>3.941315419397811</v>
      </c>
      <c r="F18" s="55">
        <v>3.9496431503135638</v>
      </c>
      <c r="G18" s="55">
        <v>3.949643150314702</v>
      </c>
      <c r="H18" s="55">
        <v>3.9496431503133249</v>
      </c>
      <c r="I18" s="55">
        <v>5.7833973998177512</v>
      </c>
      <c r="J18" s="55">
        <v>7.4760843236710732</v>
      </c>
      <c r="K18" s="55">
        <v>4.9370337738922334</v>
      </c>
      <c r="L18" s="55">
        <v>2.8211650370825159</v>
      </c>
      <c r="M18" s="55">
        <v>1.269525274890239</v>
      </c>
      <c r="N18" s="55">
        <v>1.496128277418237</v>
      </c>
      <c r="O18" s="55">
        <v>1.9105387515165999</v>
      </c>
      <c r="P18" s="55">
        <v>1.979096342606697</v>
      </c>
      <c r="Q18" s="55">
        <v>3.1970017842102552</v>
      </c>
      <c r="R18" s="55">
        <v>3.653716324810981</v>
      </c>
      <c r="S18" s="55">
        <v>3.7146115968883038</v>
      </c>
      <c r="T18" s="55">
        <v>3.5826785620503379</v>
      </c>
      <c r="U18" s="55">
        <v>2.9229327318520459</v>
      </c>
      <c r="V18" s="55">
        <v>2.2987965210255492</v>
      </c>
      <c r="W18" s="55">
        <v>1.410733748522077</v>
      </c>
      <c r="X18" s="55">
        <v>1.4208964032001741</v>
      </c>
      <c r="Y18" s="55">
        <v>0.56328126674031731</v>
      </c>
      <c r="DA18" s="101" t="s">
        <v>1026</v>
      </c>
    </row>
    <row r="19" spans="1:105" x14ac:dyDescent="0.25">
      <c r="A19" s="61" t="s">
        <v>27</v>
      </c>
      <c r="B19" s="55">
        <v>0</v>
      </c>
      <c r="C19" s="55">
        <v>0.29904828741882389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0.2990482874193634</v>
      </c>
      <c r="O19" s="55">
        <v>0.2990482874186266</v>
      </c>
      <c r="P19" s="55">
        <v>0.29904828741963169</v>
      </c>
      <c r="Q19" s="55">
        <v>0.29904828741957901</v>
      </c>
      <c r="R19" s="55">
        <v>0.29904828741951861</v>
      </c>
      <c r="S19" s="55">
        <v>0.26913877800295938</v>
      </c>
      <c r="T19" s="55">
        <v>0.32895779683591181</v>
      </c>
      <c r="U19" s="55">
        <v>0.62798268088296305</v>
      </c>
      <c r="V19" s="55">
        <v>0.64574584023121562</v>
      </c>
      <c r="W19" s="55">
        <v>0.86098665251627737</v>
      </c>
      <c r="X19" s="55">
        <v>0.55348974780525717</v>
      </c>
      <c r="Y19" s="55">
        <v>0.58424177861344762</v>
      </c>
      <c r="DA19" s="101" t="s">
        <v>1027</v>
      </c>
    </row>
    <row r="20" spans="1:105" x14ac:dyDescent="0.25">
      <c r="A20" s="61" t="s">
        <v>166</v>
      </c>
      <c r="B20" s="55">
        <v>27.821543620476941</v>
      </c>
      <c r="C20" s="55">
        <v>31.120319227082302</v>
      </c>
      <c r="D20" s="55">
        <v>29.955979800508111</v>
      </c>
      <c r="E20" s="55">
        <v>28.531083963143491</v>
      </c>
      <c r="F20" s="55">
        <v>30.41543127875228</v>
      </c>
      <c r="G20" s="55">
        <v>32.401579812664032</v>
      </c>
      <c r="H20" s="55">
        <v>29.081823342172068</v>
      </c>
      <c r="I20" s="55">
        <v>23.295524944669229</v>
      </c>
      <c r="J20" s="55">
        <v>38.5171991529038</v>
      </c>
      <c r="K20" s="55">
        <v>30.557575211318369</v>
      </c>
      <c r="L20" s="55">
        <v>37.17363474860683</v>
      </c>
      <c r="M20" s="55">
        <v>31.648129466716082</v>
      </c>
      <c r="N20" s="55">
        <v>30.315867001469389</v>
      </c>
      <c r="O20" s="55">
        <v>31.89449583237111</v>
      </c>
      <c r="P20" s="55">
        <v>26.02049082601663</v>
      </c>
      <c r="Q20" s="55">
        <v>21.17648211740477</v>
      </c>
      <c r="R20" s="55">
        <v>23.36965852791754</v>
      </c>
      <c r="S20" s="55">
        <v>22.19131662673162</v>
      </c>
      <c r="T20" s="55">
        <v>20.579814605967631</v>
      </c>
      <c r="U20" s="55">
        <v>23.249022162431199</v>
      </c>
      <c r="V20" s="55">
        <v>19.535102369437151</v>
      </c>
      <c r="W20" s="55">
        <v>16.652015754623271</v>
      </c>
      <c r="X20" s="55">
        <v>23.354576723516121</v>
      </c>
      <c r="Y20" s="55">
        <v>20.834839992654839</v>
      </c>
      <c r="DA20" s="101" t="s">
        <v>1028</v>
      </c>
    </row>
    <row r="21" spans="1:105" x14ac:dyDescent="0.25">
      <c r="A21" s="61" t="s">
        <v>129</v>
      </c>
      <c r="B21" s="55">
        <v>69.984797722245588</v>
      </c>
      <c r="C21" s="55">
        <v>59.682589574584682</v>
      </c>
      <c r="D21" s="55">
        <v>39.499917318447046</v>
      </c>
      <c r="E21" s="55">
        <v>69.304706001794742</v>
      </c>
      <c r="F21" s="55">
        <v>63.297413354054591</v>
      </c>
      <c r="G21" s="55">
        <v>55.366840256954887</v>
      </c>
      <c r="H21" s="55">
        <v>43.977874277734443</v>
      </c>
      <c r="I21" s="55">
        <v>37.489756304002327</v>
      </c>
      <c r="J21" s="55">
        <v>16.652455882404858</v>
      </c>
      <c r="K21" s="55">
        <v>17.733416115016968</v>
      </c>
      <c r="L21" s="55">
        <v>6.0953619291123564</v>
      </c>
      <c r="M21" s="55">
        <v>6.2587165777530442</v>
      </c>
      <c r="N21" s="55">
        <v>3.924140279992427</v>
      </c>
      <c r="O21" s="55">
        <v>3.9722311544533881</v>
      </c>
      <c r="P21" s="55">
        <v>3.8471031202842818</v>
      </c>
      <c r="Q21" s="55">
        <v>3.996547702442157</v>
      </c>
      <c r="R21" s="55">
        <v>4.0185702364574514</v>
      </c>
      <c r="S21" s="55">
        <v>3.878948204979261</v>
      </c>
      <c r="T21" s="55">
        <v>3.6796818105472262</v>
      </c>
      <c r="U21" s="55">
        <v>3.5765763103780381</v>
      </c>
      <c r="V21" s="55">
        <v>3.1657392648130198</v>
      </c>
      <c r="W21" s="55">
        <v>2.9579433093762768</v>
      </c>
      <c r="X21" s="55">
        <v>2.6302955518700459</v>
      </c>
      <c r="Y21" s="55">
        <v>2.677114291326057</v>
      </c>
      <c r="DA21" s="101" t="s">
        <v>1029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23.242834546646861</v>
      </c>
      <c r="G22" s="55">
        <v>23.04159221791264</v>
      </c>
      <c r="H22" s="55">
        <v>21.450356369203071</v>
      </c>
      <c r="I22" s="55">
        <v>15.92909394251418</v>
      </c>
      <c r="J22" s="55">
        <v>16.05430263919294</v>
      </c>
      <c r="K22" s="55">
        <v>24.023707329806669</v>
      </c>
      <c r="L22" s="55">
        <v>38.595557056988348</v>
      </c>
      <c r="M22" s="55">
        <v>38.151093835331039</v>
      </c>
      <c r="N22" s="55">
        <v>43.185228514305187</v>
      </c>
      <c r="O22" s="55">
        <v>48.650351588180861</v>
      </c>
      <c r="P22" s="55">
        <v>42.533911176089383</v>
      </c>
      <c r="Q22" s="55">
        <v>48.984893935032197</v>
      </c>
      <c r="R22" s="55">
        <v>52.11702683480712</v>
      </c>
      <c r="S22" s="55">
        <v>57.420576849181998</v>
      </c>
      <c r="T22" s="55">
        <v>60.295625207171277</v>
      </c>
      <c r="U22" s="55">
        <v>66.185924230510182</v>
      </c>
      <c r="V22" s="55">
        <v>68.357917480298084</v>
      </c>
      <c r="W22" s="55">
        <v>78.224279399966889</v>
      </c>
      <c r="X22" s="55">
        <v>61.676418277201748</v>
      </c>
      <c r="Y22" s="55">
        <v>68.919483554906805</v>
      </c>
      <c r="DA22" s="101" t="s">
        <v>1030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2.5583600587118118</v>
      </c>
      <c r="J23" s="55">
        <v>3.333452753087458</v>
      </c>
      <c r="K23" s="55">
        <v>3.886332175127821</v>
      </c>
      <c r="L23" s="55">
        <v>3.117737287190792</v>
      </c>
      <c r="M23" s="55">
        <v>1.9550787327015671</v>
      </c>
      <c r="N23" s="55">
        <v>2.4342382967481209</v>
      </c>
      <c r="O23" s="55">
        <v>2.724766344839868</v>
      </c>
      <c r="P23" s="55">
        <v>2.3209462121736939</v>
      </c>
      <c r="Q23" s="55">
        <v>2.5605259941972931</v>
      </c>
      <c r="R23" s="55">
        <v>2.3870755395289982</v>
      </c>
      <c r="S23" s="55">
        <v>2.2797544122156448</v>
      </c>
      <c r="T23" s="55">
        <v>1.954005521428593</v>
      </c>
      <c r="U23" s="55">
        <v>1.8716219215162511</v>
      </c>
      <c r="V23" s="55">
        <v>1.879739301327612</v>
      </c>
      <c r="W23" s="55">
        <v>1.500329846880645</v>
      </c>
      <c r="X23" s="55">
        <v>1.1160421593768759</v>
      </c>
      <c r="Y23" s="55">
        <v>0.73661319200051978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1.6752672137123679E-3</v>
      </c>
      <c r="P24" s="55">
        <v>2.2498184221905978E-3</v>
      </c>
      <c r="Q24" s="55">
        <v>4.5127958872463571E-3</v>
      </c>
      <c r="R24" s="55">
        <v>9.3136223087265449E-3</v>
      </c>
      <c r="S24" s="55">
        <v>8.9507539581335591E-3</v>
      </c>
      <c r="T24" s="55">
        <v>9.5899916050247794E-3</v>
      </c>
      <c r="U24" s="55">
        <v>9.5878846394297015E-3</v>
      </c>
      <c r="V24" s="55">
        <v>9.3507764512283671E-3</v>
      </c>
      <c r="W24" s="55">
        <v>8.9660010250335685E-3</v>
      </c>
      <c r="X24" s="55">
        <v>8.808296314757073E-3</v>
      </c>
      <c r="Y24" s="55">
        <v>8.3672717928128665E-3</v>
      </c>
      <c r="DA24" s="101" t="s">
        <v>1032</v>
      </c>
    </row>
    <row r="25" spans="1:105" x14ac:dyDescent="0.25">
      <c r="A25" s="256" t="s">
        <v>167</v>
      </c>
      <c r="B25" s="257">
        <v>8.4011461807797563</v>
      </c>
      <c r="C25" s="257">
        <v>8.3005282067007844</v>
      </c>
      <c r="D25" s="257">
        <v>7.0938601325062747</v>
      </c>
      <c r="E25" s="257">
        <v>8.7088834439361094</v>
      </c>
      <c r="F25" s="257">
        <v>10.38676582408474</v>
      </c>
      <c r="G25" s="257">
        <v>10.201131471784599</v>
      </c>
      <c r="H25" s="257">
        <v>8.8796792226009273</v>
      </c>
      <c r="I25" s="257">
        <v>7.5054208232580173</v>
      </c>
      <c r="J25" s="257">
        <v>8.437686775113999</v>
      </c>
      <c r="K25" s="257">
        <v>7.8785783308696811</v>
      </c>
      <c r="L25" s="257">
        <v>8.7828789303379313</v>
      </c>
      <c r="M25" s="257">
        <v>7.7943356398433163</v>
      </c>
      <c r="N25" s="257">
        <v>7.8685694000327162</v>
      </c>
      <c r="O25" s="257">
        <v>8.5370691615258743</v>
      </c>
      <c r="P25" s="257">
        <v>7.2361935017710479</v>
      </c>
      <c r="Q25" s="257">
        <v>7.0384491139941021</v>
      </c>
      <c r="R25" s="257">
        <v>7.5981960587383126</v>
      </c>
      <c r="S25" s="257">
        <v>7.7369865661726651</v>
      </c>
      <c r="T25" s="257">
        <v>7.6025453692237912</v>
      </c>
      <c r="U25" s="257">
        <v>8.3599290644431576</v>
      </c>
      <c r="V25" s="257">
        <v>7.7985274917519911</v>
      </c>
      <c r="W25" s="257">
        <v>7.7603943450808393</v>
      </c>
      <c r="X25" s="257">
        <v>7.9160025312444544</v>
      </c>
      <c r="Y25" s="257">
        <v>7.8607742524562321</v>
      </c>
      <c r="DA25" s="272" t="s">
        <v>1033</v>
      </c>
    </row>
    <row r="26" spans="1:105" x14ac:dyDescent="0.25">
      <c r="A26" s="256" t="s">
        <v>170</v>
      </c>
      <c r="B26" s="257">
        <v>1.941539871017218</v>
      </c>
      <c r="C26" s="257">
        <v>1.9932607560587541</v>
      </c>
      <c r="D26" s="257">
        <v>2.094342474315388</v>
      </c>
      <c r="E26" s="257">
        <v>2.1126811966036438</v>
      </c>
      <c r="F26" s="257">
        <v>6.948972964638374</v>
      </c>
      <c r="G26" s="257">
        <v>7.17380365242634</v>
      </c>
      <c r="H26" s="257">
        <v>5.8876636481629889</v>
      </c>
      <c r="I26" s="257">
        <v>6.558033435455493</v>
      </c>
      <c r="J26" s="257">
        <v>8.161370417869712</v>
      </c>
      <c r="K26" s="257">
        <v>9.2943442674993051</v>
      </c>
      <c r="L26" s="257">
        <v>10.932495851481841</v>
      </c>
      <c r="M26" s="257">
        <v>10.164940067982389</v>
      </c>
      <c r="N26" s="257">
        <v>10.67185099169799</v>
      </c>
      <c r="O26" s="257">
        <v>10.36477327412743</v>
      </c>
      <c r="P26" s="257">
        <v>9.8263798012291534</v>
      </c>
      <c r="Q26" s="257">
        <v>10.36991580083693</v>
      </c>
      <c r="R26" s="257">
        <v>10.987360030944069</v>
      </c>
      <c r="S26" s="257">
        <v>10.661429173459201</v>
      </c>
      <c r="T26" s="257">
        <v>11.194522461131291</v>
      </c>
      <c r="U26" s="257">
        <v>11.823145841773711</v>
      </c>
      <c r="V26" s="257">
        <v>11.999663888417651</v>
      </c>
      <c r="W26" s="257">
        <v>11.12608059878337</v>
      </c>
      <c r="X26" s="257">
        <v>8.196719752569658</v>
      </c>
      <c r="Y26" s="257">
        <v>9.5917451024821787</v>
      </c>
      <c r="DA26" s="272" t="s">
        <v>1034</v>
      </c>
    </row>
    <row r="27" spans="1:105" x14ac:dyDescent="0.25">
      <c r="A27" s="128" t="s">
        <v>33</v>
      </c>
      <c r="B27" s="258">
        <v>2.959032475335027</v>
      </c>
      <c r="C27" s="258">
        <v>3.037858452990994</v>
      </c>
      <c r="D27" s="258">
        <v>3.1919135365094902</v>
      </c>
      <c r="E27" s="258">
        <v>3.2198629366825968</v>
      </c>
      <c r="F27" s="258">
        <v>10.59068473408019</v>
      </c>
      <c r="G27" s="258">
        <v>10.93334125973163</v>
      </c>
      <c r="H27" s="258">
        <v>8.973180617525049</v>
      </c>
      <c r="I27" s="258">
        <v>9.994867578835132</v>
      </c>
      <c r="J27" s="258">
        <v>12.438456953790221</v>
      </c>
      <c r="K27" s="258">
        <v>14.16518245904747</v>
      </c>
      <c r="L27" s="258">
        <v>16.66183154098788</v>
      </c>
      <c r="M27" s="258">
        <v>15.492026828805409</v>
      </c>
      <c r="N27" s="258">
        <v>16.264591898298772</v>
      </c>
      <c r="O27" s="258">
        <v>15.796585573882171</v>
      </c>
      <c r="P27" s="258">
        <v>14.97603906098478</v>
      </c>
      <c r="Q27" s="258">
        <v>15.804423117558621</v>
      </c>
      <c r="R27" s="258">
        <v>16.745448102864771</v>
      </c>
      <c r="S27" s="258">
        <v>16.248708372505149</v>
      </c>
      <c r="T27" s="258">
        <v>17.06117705993848</v>
      </c>
      <c r="U27" s="258">
        <v>18.019239794494251</v>
      </c>
      <c r="V27" s="258">
        <v>18.288264726868402</v>
      </c>
      <c r="W27" s="258">
        <v>16.95686723020842</v>
      </c>
      <c r="X27" s="258">
        <v>12.492331628691341</v>
      </c>
      <c r="Y27" s="258">
        <v>14.61844058783625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</v>
      </c>
      <c r="D31" s="235">
        <f t="shared" si="9"/>
        <v>1</v>
      </c>
      <c r="E31" s="235">
        <f t="shared" si="9"/>
        <v>0.99999999999999978</v>
      </c>
      <c r="F31" s="235">
        <f t="shared" si="9"/>
        <v>1.0000000000000002</v>
      </c>
      <c r="G31" s="235">
        <f t="shared" si="9"/>
        <v>1</v>
      </c>
      <c r="H31" s="235">
        <f t="shared" si="9"/>
        <v>1.0000000000000002</v>
      </c>
      <c r="I31" s="235">
        <f t="shared" si="9"/>
        <v>1</v>
      </c>
      <c r="J31" s="235">
        <f t="shared" si="9"/>
        <v>1.0000000000000002</v>
      </c>
      <c r="K31" s="235">
        <f t="shared" si="9"/>
        <v>1.0000000000000002</v>
      </c>
      <c r="L31" s="235">
        <f t="shared" si="9"/>
        <v>1</v>
      </c>
      <c r="M31" s="235">
        <f t="shared" si="9"/>
        <v>0.99999999999999989</v>
      </c>
      <c r="N31" s="235">
        <f t="shared" si="9"/>
        <v>1.0000000000000002</v>
      </c>
      <c r="O31" s="235">
        <f t="shared" si="9"/>
        <v>0.99999999999999989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0.99999999999999989</v>
      </c>
      <c r="T31" s="235">
        <f t="shared" si="10"/>
        <v>1</v>
      </c>
      <c r="U31" s="235">
        <f t="shared" si="10"/>
        <v>0.99999999999999978</v>
      </c>
      <c r="V31" s="235">
        <f t="shared" si="10"/>
        <v>0.99999999999999978</v>
      </c>
      <c r="W31" s="235">
        <f t="shared" si="10"/>
        <v>0.99999999999999989</v>
      </c>
      <c r="X31" s="235">
        <f t="shared" ref="X31:Y31" si="11">SUM(X32:X40)</f>
        <v>1</v>
      </c>
      <c r="Y31" s="235">
        <f t="shared" si="11"/>
        <v>1.0000000000000002</v>
      </c>
      <c r="DA31" s="274"/>
    </row>
    <row r="32" spans="1:105" x14ac:dyDescent="0.25">
      <c r="A32" s="238" t="s">
        <v>125</v>
      </c>
      <c r="B32" s="244">
        <f t="shared" ref="B32:Y32" si="12">IF(B$6=0,0,B$6/B$5)</f>
        <v>7.4784349502926241E-3</v>
      </c>
      <c r="C32" s="244">
        <f t="shared" si="12"/>
        <v>7.9279130179723684E-3</v>
      </c>
      <c r="D32" s="244">
        <f t="shared" si="12"/>
        <v>9.8569492712723226E-3</v>
      </c>
      <c r="E32" s="244">
        <f t="shared" si="12"/>
        <v>7.8253807528315122E-3</v>
      </c>
      <c r="F32" s="244">
        <f t="shared" si="12"/>
        <v>1.9053334951331245E-2</v>
      </c>
      <c r="G32" s="244">
        <f t="shared" si="12"/>
        <v>2.024867354728203E-2</v>
      </c>
      <c r="H32" s="244">
        <f t="shared" si="12"/>
        <v>1.921968431138921E-2</v>
      </c>
      <c r="I32" s="244">
        <f t="shared" si="12"/>
        <v>2.4269773954895754E-2</v>
      </c>
      <c r="J32" s="244">
        <f t="shared" si="12"/>
        <v>2.8119083415391738E-2</v>
      </c>
      <c r="K32" s="244">
        <f t="shared" si="12"/>
        <v>3.1706718553559353E-2</v>
      </c>
      <c r="L32" s="244">
        <f t="shared" si="12"/>
        <v>3.2934683623707828E-2</v>
      </c>
      <c r="M32" s="244">
        <f t="shared" si="12"/>
        <v>3.3715054659219507E-2</v>
      </c>
      <c r="N32" s="244">
        <f t="shared" si="12"/>
        <v>3.4351311590600279E-2</v>
      </c>
      <c r="O32" s="244">
        <f t="shared" si="12"/>
        <v>3.1500819081806131E-2</v>
      </c>
      <c r="P32" s="244">
        <f t="shared" si="12"/>
        <v>3.3944214359149842E-2</v>
      </c>
      <c r="Q32" s="244">
        <f t="shared" si="12"/>
        <v>3.4643722884198085E-2</v>
      </c>
      <c r="R32" s="244">
        <f t="shared" si="12"/>
        <v>3.4341717860853667E-2</v>
      </c>
      <c r="S32" s="244">
        <f t="shared" si="12"/>
        <v>3.2705838421345557E-2</v>
      </c>
      <c r="T32" s="244">
        <f t="shared" si="12"/>
        <v>3.3833019697620474E-2</v>
      </c>
      <c r="U32" s="244">
        <f t="shared" si="12"/>
        <v>3.3011373332366006E-2</v>
      </c>
      <c r="V32" s="244">
        <f t="shared" si="12"/>
        <v>3.4373981456757054E-2</v>
      </c>
      <c r="W32" s="244">
        <f t="shared" si="12"/>
        <v>3.1472053953278352E-2</v>
      </c>
      <c r="X32" s="244">
        <f t="shared" si="12"/>
        <v>2.6303377181236178E-2</v>
      </c>
      <c r="Y32" s="244">
        <f t="shared" si="12"/>
        <v>2.9211514199142485E-2</v>
      </c>
      <c r="DA32" s="275"/>
    </row>
    <row r="33" spans="1:105" x14ac:dyDescent="0.25">
      <c r="A33" s="240" t="s">
        <v>124</v>
      </c>
      <c r="B33" s="245">
        <f t="shared" ref="B33:Y33" si="13">IF(B$7=0,0,B$7/B$5)</f>
        <v>4.8202861512054588E-3</v>
      </c>
      <c r="C33" s="245">
        <f t="shared" si="13"/>
        <v>5.110000900254992E-3</v>
      </c>
      <c r="D33" s="245">
        <f t="shared" si="13"/>
        <v>6.3533769272927296E-3</v>
      </c>
      <c r="E33" s="245">
        <f t="shared" si="13"/>
        <v>5.043912893740894E-3</v>
      </c>
      <c r="F33" s="245">
        <f t="shared" si="13"/>
        <v>1.2280982212272534E-2</v>
      </c>
      <c r="G33" s="245">
        <f t="shared" si="13"/>
        <v>1.3051447439069419E-2</v>
      </c>
      <c r="H33" s="245">
        <f t="shared" si="13"/>
        <v>1.2388204047038633E-2</v>
      </c>
      <c r="I33" s="245">
        <f t="shared" si="13"/>
        <v>1.5643280454434302E-2</v>
      </c>
      <c r="J33" s="245">
        <f t="shared" si="13"/>
        <v>1.8124384215777705E-2</v>
      </c>
      <c r="K33" s="245">
        <f t="shared" si="13"/>
        <v>2.0436823661601961E-2</v>
      </c>
      <c r="L33" s="245">
        <f t="shared" si="13"/>
        <v>2.1228318548051319E-2</v>
      </c>
      <c r="M33" s="245">
        <f t="shared" si="13"/>
        <v>2.1731313054292423E-2</v>
      </c>
      <c r="N33" s="245">
        <f t="shared" si="13"/>
        <v>2.2141417641058043E-2</v>
      </c>
      <c r="O33" s="245">
        <f t="shared" si="13"/>
        <v>2.0304109480248581E-2</v>
      </c>
      <c r="P33" s="245">
        <f t="shared" si="13"/>
        <v>2.1879019805147483E-2</v>
      </c>
      <c r="Q33" s="245">
        <f t="shared" si="13"/>
        <v>2.2329893721729242E-2</v>
      </c>
      <c r="R33" s="245">
        <f t="shared" si="13"/>
        <v>2.2135233924419032E-2</v>
      </c>
      <c r="S33" s="245">
        <f t="shared" si="13"/>
        <v>2.1080814509165005E-2</v>
      </c>
      <c r="T33" s="245">
        <f t="shared" si="13"/>
        <v>2.1807348380495049E-2</v>
      </c>
      <c r="U33" s="245">
        <f t="shared" si="13"/>
        <v>2.1277749524324038E-2</v>
      </c>
      <c r="V33" s="245">
        <f t="shared" si="13"/>
        <v>2.2156029687911638E-2</v>
      </c>
      <c r="W33" s="245">
        <f t="shared" si="13"/>
        <v>2.028556868239426E-2</v>
      </c>
      <c r="X33" s="245">
        <f t="shared" si="13"/>
        <v>1.69540559755334E-2</v>
      </c>
      <c r="Y33" s="245">
        <f t="shared" si="13"/>
        <v>1.8828519374145057E-2</v>
      </c>
      <c r="DA33" s="276"/>
    </row>
    <row r="34" spans="1:105" x14ac:dyDescent="0.25">
      <c r="A34" s="240" t="s">
        <v>123</v>
      </c>
      <c r="B34" s="245">
        <f t="shared" ref="B34:Y34" si="14">IF(B$8=0,0,B$8/B$5)</f>
        <v>9.5790280092348194E-3</v>
      </c>
      <c r="C34" s="245">
        <f t="shared" si="14"/>
        <v>1.0154758496757812E-2</v>
      </c>
      <c r="D34" s="245">
        <f t="shared" si="14"/>
        <v>1.2625635414723998E-2</v>
      </c>
      <c r="E34" s="245">
        <f t="shared" si="14"/>
        <v>1.0023426280035637E-2</v>
      </c>
      <c r="F34" s="245">
        <f t="shared" si="14"/>
        <v>2.440516369818703E-2</v>
      </c>
      <c r="G34" s="245">
        <f t="shared" si="14"/>
        <v>2.5936257030848023E-2</v>
      </c>
      <c r="H34" s="245">
        <f t="shared" si="14"/>
        <v>2.4618238384255028E-2</v>
      </c>
      <c r="I34" s="245">
        <f t="shared" si="14"/>
        <v>3.1086831140069927E-2</v>
      </c>
      <c r="J34" s="245">
        <f t="shared" si="14"/>
        <v>3.6017360506626885E-2</v>
      </c>
      <c r="K34" s="245">
        <f t="shared" si="14"/>
        <v>4.0612714708922609E-2</v>
      </c>
      <c r="L34" s="245">
        <f t="shared" si="14"/>
        <v>4.2185598859082116E-2</v>
      </c>
      <c r="M34" s="245">
        <f t="shared" si="14"/>
        <v>4.3185165754622133E-2</v>
      </c>
      <c r="N34" s="245">
        <f t="shared" si="14"/>
        <v>4.4000138808112127E-2</v>
      </c>
      <c r="O34" s="245">
        <f t="shared" si="14"/>
        <v>4.0348980810035996E-2</v>
      </c>
      <c r="P34" s="245">
        <f t="shared" si="14"/>
        <v>4.3478693370869514E-2</v>
      </c>
      <c r="Q34" s="245">
        <f t="shared" si="14"/>
        <v>4.43746845506649E-2</v>
      </c>
      <c r="R34" s="245">
        <f t="shared" si="14"/>
        <v>4.3987850327090849E-2</v>
      </c>
      <c r="S34" s="245">
        <f t="shared" si="14"/>
        <v>4.189247407859293E-2</v>
      </c>
      <c r="T34" s="245">
        <f t="shared" si="14"/>
        <v>4.3336265605655705E-2</v>
      </c>
      <c r="U34" s="245">
        <f t="shared" si="14"/>
        <v>4.2283829688412017E-2</v>
      </c>
      <c r="V34" s="245">
        <f t="shared" si="14"/>
        <v>4.4029176338601407E-2</v>
      </c>
      <c r="W34" s="245">
        <f t="shared" si="14"/>
        <v>4.0312135938924791E-2</v>
      </c>
      <c r="X34" s="245">
        <f t="shared" si="14"/>
        <v>3.3691646505084619E-2</v>
      </c>
      <c r="Y34" s="245">
        <f t="shared" si="14"/>
        <v>3.7416640589325097E-2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0.31518028874755938</v>
      </c>
      <c r="C35" s="246">
        <f t="shared" si="15"/>
        <v>0.32153096528692438</v>
      </c>
      <c r="D35" s="246">
        <f t="shared" si="15"/>
        <v>0.32418445815745495</v>
      </c>
      <c r="E35" s="246">
        <f t="shared" si="15"/>
        <v>0.31389901210731286</v>
      </c>
      <c r="F35" s="246">
        <f t="shared" si="15"/>
        <v>0.32964334253371724</v>
      </c>
      <c r="G35" s="246">
        <f t="shared" si="15"/>
        <v>0.32805382497288471</v>
      </c>
      <c r="H35" s="246">
        <f t="shared" si="15"/>
        <v>0.33450944046150999</v>
      </c>
      <c r="I35" s="246">
        <f t="shared" si="15"/>
        <v>0.3238069464695123</v>
      </c>
      <c r="J35" s="246">
        <f t="shared" si="15"/>
        <v>0.3239451733852271</v>
      </c>
      <c r="K35" s="246">
        <f t="shared" si="15"/>
        <v>0.32861513475682397</v>
      </c>
      <c r="L35" s="246">
        <f t="shared" si="15"/>
        <v>0.33762556837645696</v>
      </c>
      <c r="M35" s="246">
        <f t="shared" si="15"/>
        <v>0.33999810245345863</v>
      </c>
      <c r="N35" s="246">
        <f t="shared" si="15"/>
        <v>0.34105693738322113</v>
      </c>
      <c r="O35" s="246">
        <f t="shared" si="15"/>
        <v>0.3424045248164152</v>
      </c>
      <c r="P35" s="246">
        <f t="shared" si="15"/>
        <v>0.34290098954865433</v>
      </c>
      <c r="Q35" s="246">
        <f t="shared" si="15"/>
        <v>0.34952478322973313</v>
      </c>
      <c r="R35" s="246">
        <f t="shared" si="15"/>
        <v>0.34885570128318644</v>
      </c>
      <c r="S35" s="246">
        <f t="shared" si="15"/>
        <v>0.35089103495090207</v>
      </c>
      <c r="T35" s="246">
        <f t="shared" si="15"/>
        <v>0.35314969662452883</v>
      </c>
      <c r="U35" s="246">
        <f t="shared" si="15"/>
        <v>0.35301470956698489</v>
      </c>
      <c r="V35" s="246">
        <f t="shared" si="15"/>
        <v>0.35417191316270863</v>
      </c>
      <c r="W35" s="246">
        <f t="shared" si="15"/>
        <v>0.36053030270885589</v>
      </c>
      <c r="X35" s="246">
        <f t="shared" si="15"/>
        <v>0.35594188784047598</v>
      </c>
      <c r="Y35" s="246">
        <f t="shared" si="15"/>
        <v>0.35634505738976124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0.23855824306557991</v>
      </c>
      <c r="C36" s="259">
        <f t="shared" si="16"/>
        <v>0.24338396907374341</v>
      </c>
      <c r="D36" s="259">
        <f t="shared" si="16"/>
        <v>0.24613247656664911</v>
      </c>
      <c r="E36" s="259">
        <f t="shared" si="16"/>
        <v>0.23780745669941641</v>
      </c>
      <c r="F36" s="259">
        <f t="shared" si="16"/>
        <v>0.2099530556809642</v>
      </c>
      <c r="G36" s="259">
        <f t="shared" si="16"/>
        <v>0.21226916760172573</v>
      </c>
      <c r="H36" s="259">
        <f t="shared" si="16"/>
        <v>0.2136938457321334</v>
      </c>
      <c r="I36" s="259">
        <f t="shared" si="16"/>
        <v>0.20476637025128364</v>
      </c>
      <c r="J36" s="259">
        <f t="shared" si="16"/>
        <v>0.21431518785312351</v>
      </c>
      <c r="K36" s="259">
        <f t="shared" si="16"/>
        <v>0.19813987247828488</v>
      </c>
      <c r="L36" s="259">
        <f t="shared" si="16"/>
        <v>0.19505745347035999</v>
      </c>
      <c r="M36" s="259">
        <f t="shared" si="16"/>
        <v>0.19058540018509135</v>
      </c>
      <c r="N36" s="259">
        <f t="shared" si="16"/>
        <v>0.18671999625349933</v>
      </c>
      <c r="O36" s="259">
        <f t="shared" si="16"/>
        <v>0.19127680943415876</v>
      </c>
      <c r="P36" s="259">
        <f t="shared" si="16"/>
        <v>0.18427815957852009</v>
      </c>
      <c r="Q36" s="259">
        <f t="shared" si="16"/>
        <v>0.1733475788649399</v>
      </c>
      <c r="R36" s="259">
        <f t="shared" si="16"/>
        <v>0.17507762038533348</v>
      </c>
      <c r="S36" s="259">
        <f t="shared" si="16"/>
        <v>0.17497386406837329</v>
      </c>
      <c r="T36" s="259">
        <f t="shared" si="16"/>
        <v>0.16938918923426477</v>
      </c>
      <c r="U36" s="259">
        <f t="shared" si="16"/>
        <v>0.17207770966586064</v>
      </c>
      <c r="V36" s="259">
        <f t="shared" si="16"/>
        <v>0.16468909518055266</v>
      </c>
      <c r="W36" s="259">
        <f t="shared" si="16"/>
        <v>0.16182967247736929</v>
      </c>
      <c r="X36" s="259">
        <f t="shared" si="16"/>
        <v>0.18727026694781598</v>
      </c>
      <c r="Y36" s="259">
        <f t="shared" si="16"/>
        <v>0.17648721261141889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0.37357702885707111</v>
      </c>
      <c r="C37" s="259">
        <f t="shared" si="17"/>
        <v>0.35931157706145789</v>
      </c>
      <c r="D37" s="259">
        <f t="shared" si="17"/>
        <v>0.34306833485175214</v>
      </c>
      <c r="E37" s="259">
        <f t="shared" si="17"/>
        <v>0.37382672782809007</v>
      </c>
      <c r="F37" s="259">
        <f t="shared" si="17"/>
        <v>0.32873393841671467</v>
      </c>
      <c r="G37" s="259">
        <f t="shared" si="17"/>
        <v>0.321207052265499</v>
      </c>
      <c r="H37" s="259">
        <f t="shared" si="17"/>
        <v>0.31872086645579006</v>
      </c>
      <c r="I37" s="259">
        <f t="shared" si="17"/>
        <v>0.31213788296198952</v>
      </c>
      <c r="J37" s="259">
        <f t="shared" si="17"/>
        <v>0.28027091253041903</v>
      </c>
      <c r="K37" s="259">
        <f t="shared" si="17"/>
        <v>0.27447698230480549</v>
      </c>
      <c r="L37" s="259">
        <f t="shared" si="17"/>
        <v>0.262297727965009</v>
      </c>
      <c r="M37" s="259">
        <f t="shared" si="17"/>
        <v>0.26076263788682852</v>
      </c>
      <c r="N37" s="259">
        <f t="shared" si="17"/>
        <v>0.26063530251335731</v>
      </c>
      <c r="O37" s="259">
        <f t="shared" si="17"/>
        <v>0.26959151176755858</v>
      </c>
      <c r="P37" s="259">
        <f t="shared" si="17"/>
        <v>0.26377141813376043</v>
      </c>
      <c r="Q37" s="259">
        <f t="shared" si="17"/>
        <v>0.26575129005476233</v>
      </c>
      <c r="R37" s="259">
        <f t="shared" si="17"/>
        <v>0.26609701855552459</v>
      </c>
      <c r="S37" s="259">
        <f t="shared" si="17"/>
        <v>0.27305956938938719</v>
      </c>
      <c r="T37" s="259">
        <f t="shared" si="17"/>
        <v>0.27101801586063151</v>
      </c>
      <c r="U37" s="259">
        <f t="shared" si="17"/>
        <v>0.27256305435272687</v>
      </c>
      <c r="V37" s="259">
        <f t="shared" si="17"/>
        <v>0.27239156207427784</v>
      </c>
      <c r="W37" s="259">
        <f t="shared" si="17"/>
        <v>0.2850299777600081</v>
      </c>
      <c r="X37" s="259">
        <f t="shared" si="17"/>
        <v>0.28881329347446283</v>
      </c>
      <c r="Y37" s="259">
        <f t="shared" si="17"/>
        <v>0.28485714910090959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3.2088668138726524E-2</v>
      </c>
      <c r="C38" s="259">
        <f t="shared" si="18"/>
        <v>3.2737780566846689E-2</v>
      </c>
      <c r="D38" s="259">
        <f t="shared" si="18"/>
        <v>3.3107484600894299E-2</v>
      </c>
      <c r="E38" s="259">
        <f t="shared" si="18"/>
        <v>3.198767923875262E-2</v>
      </c>
      <c r="F38" s="259">
        <f t="shared" si="18"/>
        <v>2.8240960538118944E-2</v>
      </c>
      <c r="G38" s="259">
        <f t="shared" si="18"/>
        <v>2.8552502683309187E-2</v>
      </c>
      <c r="H38" s="259">
        <f t="shared" si="18"/>
        <v>2.874413732625292E-2</v>
      </c>
      <c r="I38" s="259">
        <f t="shared" si="18"/>
        <v>2.7543295157311992E-2</v>
      </c>
      <c r="J38" s="259">
        <f t="shared" si="18"/>
        <v>2.8827714572902823E-2</v>
      </c>
      <c r="K38" s="259">
        <f t="shared" si="18"/>
        <v>2.6651959417966723E-2</v>
      </c>
      <c r="L38" s="259">
        <f t="shared" si="18"/>
        <v>2.6237340667682685E-2</v>
      </c>
      <c r="M38" s="259">
        <f t="shared" si="18"/>
        <v>2.5635801052343397E-2</v>
      </c>
      <c r="N38" s="259">
        <f t="shared" si="18"/>
        <v>2.5115862347274691E-2</v>
      </c>
      <c r="O38" s="259">
        <f t="shared" si="18"/>
        <v>2.5728803086799489E-2</v>
      </c>
      <c r="P38" s="259">
        <f t="shared" si="18"/>
        <v>2.4787408860589503E-2</v>
      </c>
      <c r="Q38" s="259">
        <f t="shared" si="18"/>
        <v>2.3317127336990172E-2</v>
      </c>
      <c r="R38" s="259">
        <f t="shared" si="18"/>
        <v>2.3549836664074154E-2</v>
      </c>
      <c r="S38" s="259">
        <f t="shared" si="18"/>
        <v>2.3535880315387774E-2</v>
      </c>
      <c r="T38" s="259">
        <f t="shared" si="18"/>
        <v>2.2784681048024214E-2</v>
      </c>
      <c r="U38" s="259">
        <f t="shared" si="18"/>
        <v>2.314631617244935E-2</v>
      </c>
      <c r="V38" s="259">
        <f t="shared" si="18"/>
        <v>2.2152467478825055E-2</v>
      </c>
      <c r="W38" s="259">
        <f t="shared" si="18"/>
        <v>2.1767844147383229E-2</v>
      </c>
      <c r="X38" s="259">
        <f t="shared" si="18"/>
        <v>2.518987971707707E-2</v>
      </c>
      <c r="Y38" s="259">
        <f t="shared" si="18"/>
        <v>2.3739442089451758E-2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7.4158248480084036E-3</v>
      </c>
      <c r="C39" s="259">
        <f t="shared" si="19"/>
        <v>7.8615398465461429E-3</v>
      </c>
      <c r="D39" s="259">
        <f t="shared" si="19"/>
        <v>9.7744260419888162E-3</v>
      </c>
      <c r="E39" s="259">
        <f t="shared" si="19"/>
        <v>7.7598659903706036E-3</v>
      </c>
      <c r="F39" s="259">
        <f t="shared" si="19"/>
        <v>1.88938187881116E-2</v>
      </c>
      <c r="G39" s="259">
        <f t="shared" si="19"/>
        <v>2.0079149906260651E-2</v>
      </c>
      <c r="H39" s="259">
        <f t="shared" si="19"/>
        <v>1.9058775456982525E-2</v>
      </c>
      <c r="I39" s="259">
        <f t="shared" si="19"/>
        <v>2.4066585314514322E-2</v>
      </c>
      <c r="J39" s="259">
        <f t="shared" si="19"/>
        <v>2.7883668024273396E-2</v>
      </c>
      <c r="K39" s="259">
        <f t="shared" si="19"/>
        <v>3.1441267171695333E-2</v>
      </c>
      <c r="L39" s="259">
        <f t="shared" si="19"/>
        <v>3.2658951612386654E-2</v>
      </c>
      <c r="M39" s="259">
        <f t="shared" si="19"/>
        <v>3.3432789314296045E-2</v>
      </c>
      <c r="N39" s="259">
        <f t="shared" si="19"/>
        <v>3.4063719447781596E-2</v>
      </c>
      <c r="O39" s="259">
        <f t="shared" si="19"/>
        <v>3.1237091508074744E-2</v>
      </c>
      <c r="P39" s="259">
        <f t="shared" si="19"/>
        <v>3.3660030469457689E-2</v>
      </c>
      <c r="Q39" s="259">
        <f t="shared" si="19"/>
        <v>3.4353682648814235E-2</v>
      </c>
      <c r="R39" s="259">
        <f t="shared" si="19"/>
        <v>3.405420603756773E-2</v>
      </c>
      <c r="S39" s="259">
        <f t="shared" si="19"/>
        <v>3.2432022321792341E-2</v>
      </c>
      <c r="T39" s="259">
        <f t="shared" si="19"/>
        <v>3.354976673922317E-2</v>
      </c>
      <c r="U39" s="259">
        <f t="shared" si="19"/>
        <v>3.2734999268190845E-2</v>
      </c>
      <c r="V39" s="259">
        <f t="shared" si="19"/>
        <v>3.4086199519864059E-2</v>
      </c>
      <c r="W39" s="259">
        <f t="shared" si="19"/>
        <v>3.1208567203683486E-2</v>
      </c>
      <c r="X39" s="259">
        <f t="shared" si="19"/>
        <v>2.6083163039282164E-2</v>
      </c>
      <c r="Y39" s="259">
        <f t="shared" si="19"/>
        <v>2.8966952883300093E-2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1.1302197232321841E-2</v>
      </c>
      <c r="C40" s="261">
        <f t="shared" si="20"/>
        <v>1.1981495749496288E-2</v>
      </c>
      <c r="D40" s="261">
        <f t="shared" si="20"/>
        <v>1.4896858167971573E-2</v>
      </c>
      <c r="E40" s="261">
        <f t="shared" si="20"/>
        <v>1.1826538209449317E-2</v>
      </c>
      <c r="F40" s="261">
        <f t="shared" si="20"/>
        <v>2.8795403180582695E-2</v>
      </c>
      <c r="G40" s="261">
        <f t="shared" si="20"/>
        <v>3.0601924553121187E-2</v>
      </c>
      <c r="H40" s="261">
        <f t="shared" si="20"/>
        <v>2.9046807824648239E-2</v>
      </c>
      <c r="I40" s="261">
        <f t="shared" si="20"/>
        <v>3.6679034295988136E-2</v>
      </c>
      <c r="J40" s="261">
        <f t="shared" si="20"/>
        <v>4.249651549625795E-2</v>
      </c>
      <c r="K40" s="261">
        <f t="shared" si="20"/>
        <v>4.7918526946339753E-2</v>
      </c>
      <c r="L40" s="261">
        <f t="shared" si="20"/>
        <v>4.9774356877263601E-2</v>
      </c>
      <c r="M40" s="261">
        <f t="shared" si="20"/>
        <v>5.0953735639847994E-2</v>
      </c>
      <c r="N40" s="261">
        <f t="shared" si="20"/>
        <v>5.191531401509563E-2</v>
      </c>
      <c r="O40" s="261">
        <f t="shared" si="20"/>
        <v>4.7607350014902426E-2</v>
      </c>
      <c r="P40" s="261">
        <f t="shared" si="20"/>
        <v>5.1300065873851178E-2</v>
      </c>
      <c r="Q40" s="261">
        <f t="shared" si="20"/>
        <v>5.2357236708168144E-2</v>
      </c>
      <c r="R40" s="261">
        <f t="shared" si="20"/>
        <v>5.1900814961950106E-2</v>
      </c>
      <c r="S40" s="261">
        <f t="shared" si="20"/>
        <v>4.9428501945053771E-2</v>
      </c>
      <c r="T40" s="261">
        <f t="shared" si="20"/>
        <v>5.1132016809556362E-2</v>
      </c>
      <c r="U40" s="261">
        <f t="shared" si="20"/>
        <v>4.9890258428685143E-2</v>
      </c>
      <c r="V40" s="261">
        <f t="shared" si="20"/>
        <v>5.1949575100501501E-2</v>
      </c>
      <c r="W40" s="261">
        <f t="shared" si="20"/>
        <v>4.756387712810254E-2</v>
      </c>
      <c r="X40" s="261">
        <f t="shared" si="20"/>
        <v>3.9752429319031848E-2</v>
      </c>
      <c r="Y40" s="261">
        <f t="shared" si="20"/>
        <v>4.4147511762545937E-2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0.33017889613439133</v>
      </c>
      <c r="C44" s="237">
        <f>IF(C$5=0,0,C$5/AGR_fec!C$5)</f>
        <v>0.33348173021691935</v>
      </c>
      <c r="D44" s="237">
        <f>IF(D$5=0,0,D$5/AGR_fec!D$5)</f>
        <v>0.33714085490676399</v>
      </c>
      <c r="E44" s="237">
        <f>IF(E$5=0,0,E$5/AGR_fec!E$5)</f>
        <v>0.32993102109946443</v>
      </c>
      <c r="F44" s="237">
        <f>IF(F$5=0,0,F$5/AGR_fec!F$5)</f>
        <v>0.35300852736866389</v>
      </c>
      <c r="G44" s="237">
        <f>IF(G$5=0,0,G$5/AGR_fec!G$5)</f>
        <v>0.3547633614237331</v>
      </c>
      <c r="H44" s="237">
        <f>IF(H$5=0,0,H$5/AGR_fec!H$5)</f>
        <v>0.35598462033559342</v>
      </c>
      <c r="I44" s="237">
        <f>IF(I$5=0,0,I$5/AGR_fec!I$5)</f>
        <v>0.357945259371581</v>
      </c>
      <c r="J44" s="237">
        <f>IF(J$5=0,0,J$5/AGR_fec!J$5)</f>
        <v>0.36598466016939191</v>
      </c>
      <c r="K44" s="237">
        <f>IF(K$5=0,0,K$5/AGR_fec!K$5)</f>
        <v>0.37422080342929015</v>
      </c>
      <c r="L44" s="237">
        <f>IF(L$5=0,0,L$5/AGR_fec!L$5)</f>
        <v>0.38303213986854673</v>
      </c>
      <c r="M44" s="237">
        <f>IF(M$5=0,0,M$5/AGR_fec!M$5)</f>
        <v>0.38592041076246264</v>
      </c>
      <c r="N44" s="237">
        <f>IF(N$5=0,0,N$5/AGR_fec!N$5)</f>
        <v>0.38802567819550371</v>
      </c>
      <c r="O44" s="237">
        <f>IF(O$5=0,0,O$5/AGR_fec!O$5)</f>
        <v>0.3840055355743886</v>
      </c>
      <c r="P44" s="237">
        <f>IF(P$5=0,0,P$5/AGR_fec!P$5)</f>
        <v>0.38803961640695489</v>
      </c>
      <c r="Q44" s="237">
        <f>IF(Q$5=0,0,Q$5/AGR_fec!Q$5)</f>
        <v>0.39163377305537134</v>
      </c>
      <c r="R44" s="237">
        <f>IF(R$5=0,0,R$5/AGR_fec!R$5)</f>
        <v>0.39095748227717225</v>
      </c>
      <c r="S44" s="237">
        <f>IF(S$5=0,0,S$5/AGR_fec!S$5)</f>
        <v>0.38933450109110207</v>
      </c>
      <c r="T44" s="237">
        <f>IF(T$5=0,0,T$5/AGR_fec!T$5)</f>
        <v>0.39229932170069204</v>
      </c>
      <c r="U44" s="237">
        <f>IF(U$5=0,0,U$5/AGR_fec!U$5)</f>
        <v>0.39129987122642312</v>
      </c>
      <c r="V44" s="237">
        <f>IF(V$5=0,0,V$5/AGR_fec!V$5)</f>
        <v>0.39437182582162089</v>
      </c>
      <c r="W44" s="237">
        <f>IF(W$5=0,0,W$5/AGR_fec!W$5)</f>
        <v>0.39255939598531725</v>
      </c>
      <c r="X44" s="237">
        <f>IF(X$5=0,0,X$5/AGR_fec!X$5)</f>
        <v>0.38280272310433938</v>
      </c>
      <c r="Y44" s="237">
        <f>IF(Y$5=0,0,Y$5/AGR_fec!Y$5)</f>
        <v>0.38790154670128074</v>
      </c>
      <c r="DA44" s="286"/>
    </row>
    <row r="45" spans="1:105" x14ac:dyDescent="0.25">
      <c r="A45" s="238" t="s">
        <v>125</v>
      </c>
      <c r="B45" s="250">
        <f>IF(B$6=0,0,B$6/AGR_fec!B$6)</f>
        <v>0.44830433059804359</v>
      </c>
      <c r="C45" s="250">
        <f>IF(C$6=0,0,C$6/AGR_fec!C$6)</f>
        <v>0.44830433059804375</v>
      </c>
      <c r="D45" s="250">
        <f>IF(D$6=0,0,D$6/AGR_fec!D$6)</f>
        <v>0.44830433059804387</v>
      </c>
      <c r="E45" s="250">
        <f>IF(E$6=0,0,E$6/AGR_fec!E$6)</f>
        <v>0.44830433059804375</v>
      </c>
      <c r="F45" s="250">
        <f>IF(F$6=0,0,F$6/AGR_fec!F$6)</f>
        <v>0.44830433059804364</v>
      </c>
      <c r="G45" s="250">
        <f>IF(G$6=0,0,G$6/AGR_fec!G$6)</f>
        <v>0.4483043305980437</v>
      </c>
      <c r="H45" s="250">
        <f>IF(H$6=0,0,H$6/AGR_fec!H$6)</f>
        <v>0.4483043305980437</v>
      </c>
      <c r="I45" s="250">
        <f>IF(I$6=0,0,I$6/AGR_fec!I$6)</f>
        <v>0.44830433059804381</v>
      </c>
      <c r="J45" s="250">
        <f>IF(J$6=0,0,J$6/AGR_fec!J$6)</f>
        <v>0.44830433059804375</v>
      </c>
      <c r="K45" s="250">
        <f>IF(K$6=0,0,K$6/AGR_fec!K$6)</f>
        <v>0.4483043305980437</v>
      </c>
      <c r="L45" s="250">
        <f>IF(L$6=0,0,L$6/AGR_fec!L$6)</f>
        <v>0.44830433059804364</v>
      </c>
      <c r="M45" s="250">
        <f>IF(M$6=0,0,M$6/AGR_fec!M$6)</f>
        <v>0.44830433059804392</v>
      </c>
      <c r="N45" s="250">
        <f>IF(N$6=0,0,N$6/AGR_fec!N$6)</f>
        <v>0.44830433059804387</v>
      </c>
      <c r="O45" s="250">
        <f>IF(O$6=0,0,O$6/AGR_fec!O$6)</f>
        <v>0.44830433059804381</v>
      </c>
      <c r="P45" s="250">
        <f>IF(P$6=0,0,P$6/AGR_fec!P$6)</f>
        <v>0.44830433059804375</v>
      </c>
      <c r="Q45" s="250">
        <f>IF(Q$6=0,0,Q$6/AGR_fec!Q$6)</f>
        <v>0.44830433059804364</v>
      </c>
      <c r="R45" s="250">
        <f>IF(R$6=0,0,R$6/AGR_fec!R$6)</f>
        <v>0.4483043305980437</v>
      </c>
      <c r="S45" s="250">
        <f>IF(S$6=0,0,S$6/AGR_fec!S$6)</f>
        <v>0.44830433059804375</v>
      </c>
      <c r="T45" s="250">
        <f>IF(T$6=0,0,T$6/AGR_fec!T$6)</f>
        <v>0.44830433059804375</v>
      </c>
      <c r="U45" s="250">
        <f>IF(U$6=0,0,U$6/AGR_fec!U$6)</f>
        <v>0.44830433059804353</v>
      </c>
      <c r="V45" s="250">
        <f>IF(V$6=0,0,V$6/AGR_fec!V$6)</f>
        <v>0.44830433059804375</v>
      </c>
      <c r="W45" s="250">
        <f>IF(W$6=0,0,W$6/AGR_fec!W$6)</f>
        <v>0.44830433059804387</v>
      </c>
      <c r="X45" s="250">
        <f>IF(X$6=0,0,X$6/AGR_fec!X$6)</f>
        <v>0.4483043305980437</v>
      </c>
      <c r="Y45" s="250">
        <f>IF(Y$6=0,0,Y$6/AGR_fec!Y$6)</f>
        <v>0.4483043305980437</v>
      </c>
      <c r="DA45" s="287"/>
    </row>
    <row r="46" spans="1:105" x14ac:dyDescent="0.25">
      <c r="A46" s="240" t="s">
        <v>124</v>
      </c>
      <c r="B46" s="251">
        <f>IF(B$7=0,0,B$7/AGR_fec!B$7)</f>
        <v>0.44455108808409965</v>
      </c>
      <c r="C46" s="251">
        <f>IF(C$7=0,0,C$7/AGR_fec!C$7)</f>
        <v>0.44455108808409993</v>
      </c>
      <c r="D46" s="251">
        <f>IF(D$7=0,0,D$7/AGR_fec!D$7)</f>
        <v>0.44455108808409977</v>
      </c>
      <c r="E46" s="251">
        <f>IF(E$7=0,0,E$7/AGR_fec!E$7)</f>
        <v>0.44455108808409982</v>
      </c>
      <c r="F46" s="251">
        <f>IF(F$7=0,0,F$7/AGR_fec!F$7)</f>
        <v>0.44455108808409977</v>
      </c>
      <c r="G46" s="251">
        <f>IF(G$7=0,0,G$7/AGR_fec!G$7)</f>
        <v>0.44455108808409982</v>
      </c>
      <c r="H46" s="251">
        <f>IF(H$7=0,0,H$7/AGR_fec!H$7)</f>
        <v>0.44455108808409977</v>
      </c>
      <c r="I46" s="251">
        <f>IF(I$7=0,0,I$7/AGR_fec!I$7)</f>
        <v>0.44455108808409977</v>
      </c>
      <c r="J46" s="251">
        <f>IF(J$7=0,0,J$7/AGR_fec!J$7)</f>
        <v>0.44455108808409965</v>
      </c>
      <c r="K46" s="251">
        <f>IF(K$7=0,0,K$7/AGR_fec!K$7)</f>
        <v>0.44455108808409982</v>
      </c>
      <c r="L46" s="251">
        <f>IF(L$7=0,0,L$7/AGR_fec!L$7)</f>
        <v>0.44455108808409982</v>
      </c>
      <c r="M46" s="251">
        <f>IF(M$7=0,0,M$7/AGR_fec!M$7)</f>
        <v>0.44455108808409971</v>
      </c>
      <c r="N46" s="251">
        <f>IF(N$7=0,0,N$7/AGR_fec!N$7)</f>
        <v>0.44455108808409988</v>
      </c>
      <c r="O46" s="251">
        <f>IF(O$7=0,0,O$7/AGR_fec!O$7)</f>
        <v>0.44455108808409965</v>
      </c>
      <c r="P46" s="251">
        <f>IF(P$7=0,0,P$7/AGR_fec!P$7)</f>
        <v>0.44455108808409965</v>
      </c>
      <c r="Q46" s="251">
        <f>IF(Q$7=0,0,Q$7/AGR_fec!Q$7)</f>
        <v>0.44455108808409977</v>
      </c>
      <c r="R46" s="251">
        <f>IF(R$7=0,0,R$7/AGR_fec!R$7)</f>
        <v>0.44455108808409982</v>
      </c>
      <c r="S46" s="251">
        <f>IF(S$7=0,0,S$7/AGR_fec!S$7)</f>
        <v>0.44455108808409982</v>
      </c>
      <c r="T46" s="251">
        <f>IF(T$7=0,0,T$7/AGR_fec!T$7)</f>
        <v>0.44455108808409977</v>
      </c>
      <c r="U46" s="251">
        <f>IF(U$7=0,0,U$7/AGR_fec!U$7)</f>
        <v>0.44455108808409982</v>
      </c>
      <c r="V46" s="251">
        <f>IF(V$7=0,0,V$7/AGR_fec!V$7)</f>
        <v>0.44455108808409982</v>
      </c>
      <c r="W46" s="251">
        <f>IF(W$7=0,0,W$7/AGR_fec!W$7)</f>
        <v>0.44455108808409977</v>
      </c>
      <c r="X46" s="251">
        <f>IF(X$7=0,0,X$7/AGR_fec!X$7)</f>
        <v>0.44455108808409965</v>
      </c>
      <c r="Y46" s="251">
        <f>IF(Y$7=0,0,Y$7/AGR_fec!Y$7)</f>
        <v>0.44455108808409982</v>
      </c>
      <c r="DA46" s="288"/>
    </row>
    <row r="47" spans="1:105" x14ac:dyDescent="0.25">
      <c r="A47" s="240" t="s">
        <v>123</v>
      </c>
      <c r="B47" s="251">
        <f>IF(B$8=0,0,B$8/AGR_fec!B$8)</f>
        <v>0.63803007031451053</v>
      </c>
      <c r="C47" s="251">
        <f>IF(C$8=0,0,C$8/AGR_fec!C$8)</f>
        <v>0.63803007031451031</v>
      </c>
      <c r="D47" s="251">
        <f>IF(D$8=0,0,D$8/AGR_fec!D$8)</f>
        <v>0.63803007031451053</v>
      </c>
      <c r="E47" s="251">
        <f>IF(E$8=0,0,E$8/AGR_fec!E$8)</f>
        <v>0.63803007031451053</v>
      </c>
      <c r="F47" s="251">
        <f>IF(F$8=0,0,F$8/AGR_fec!F$8)</f>
        <v>0.63803007031451053</v>
      </c>
      <c r="G47" s="251">
        <f>IF(G$8=0,0,G$8/AGR_fec!G$8)</f>
        <v>0.63803007031451053</v>
      </c>
      <c r="H47" s="251">
        <f>IF(H$8=0,0,H$8/AGR_fec!H$8)</f>
        <v>0.63803007031451053</v>
      </c>
      <c r="I47" s="251">
        <f>IF(I$8=0,0,I$8/AGR_fec!I$8)</f>
        <v>0.63803007031451042</v>
      </c>
      <c r="J47" s="251">
        <f>IF(J$8=0,0,J$8/AGR_fec!J$8)</f>
        <v>0.63803007031451087</v>
      </c>
      <c r="K47" s="251">
        <f>IF(K$8=0,0,K$8/AGR_fec!K$8)</f>
        <v>0.63803007031451042</v>
      </c>
      <c r="L47" s="251">
        <f>IF(L$8=0,0,L$8/AGR_fec!L$8)</f>
        <v>0.6380300703145102</v>
      </c>
      <c r="M47" s="251">
        <f>IF(M$8=0,0,M$8/AGR_fec!M$8)</f>
        <v>0.63803007031451053</v>
      </c>
      <c r="N47" s="251">
        <f>IF(N$8=0,0,N$8/AGR_fec!N$8)</f>
        <v>0.63803007031451053</v>
      </c>
      <c r="O47" s="251">
        <f>IF(O$8=0,0,O$8/AGR_fec!O$8)</f>
        <v>0.63803007031451064</v>
      </c>
      <c r="P47" s="251">
        <f>IF(P$8=0,0,P$8/AGR_fec!P$8)</f>
        <v>0.63803007031451042</v>
      </c>
      <c r="Q47" s="251">
        <f>IF(Q$8=0,0,Q$8/AGR_fec!Q$8)</f>
        <v>0.63803007031451031</v>
      </c>
      <c r="R47" s="251">
        <f>IF(R$8=0,0,R$8/AGR_fec!R$8)</f>
        <v>0.63803007031451053</v>
      </c>
      <c r="S47" s="251">
        <f>IF(S$8=0,0,S$8/AGR_fec!S$8)</f>
        <v>0.6380300703145102</v>
      </c>
      <c r="T47" s="251">
        <f>IF(T$8=0,0,T$8/AGR_fec!T$8)</f>
        <v>0.63803007031451076</v>
      </c>
      <c r="U47" s="251">
        <f>IF(U$8=0,0,U$8/AGR_fec!U$8)</f>
        <v>0.63803007031451042</v>
      </c>
      <c r="V47" s="251">
        <f>IF(V$8=0,0,V$8/AGR_fec!V$8)</f>
        <v>0.63803007031451031</v>
      </c>
      <c r="W47" s="251">
        <f>IF(W$8=0,0,W$8/AGR_fec!W$8)</f>
        <v>0.63803007031451042</v>
      </c>
      <c r="X47" s="251">
        <f>IF(X$8=0,0,X$8/AGR_fec!X$8)</f>
        <v>0.63803007031451042</v>
      </c>
      <c r="Y47" s="251">
        <f>IF(Y$8=0,0,Y$8/AGR_fec!Y$8)</f>
        <v>0.63803007031451064</v>
      </c>
      <c r="DA47" s="288"/>
    </row>
    <row r="48" spans="1:105" x14ac:dyDescent="0.25">
      <c r="A48" s="242" t="s">
        <v>122</v>
      </c>
      <c r="B48" s="252">
        <f>IF(B$9=0,0,B$9/AGR_fec!B$9)</f>
        <v>0.57498408422515712</v>
      </c>
      <c r="C48" s="252">
        <f>IF(C$9=0,0,C$9/AGR_fec!C$9)</f>
        <v>0.57502024038560129</v>
      </c>
      <c r="D48" s="252">
        <f>IF(D$9=0,0,D$9/AGR_fec!D$9)</f>
        <v>0.57537437820283266</v>
      </c>
      <c r="E48" s="252">
        <f>IF(E$9=0,0,E$9/AGR_fec!E$9)</f>
        <v>0.57504836886278532</v>
      </c>
      <c r="F48" s="252">
        <f>IF(F$9=0,0,F$9/AGR_fec!F$9)</f>
        <v>0.60760378472326571</v>
      </c>
      <c r="G48" s="252">
        <f>IF(G$9=0,0,G$9/AGR_fec!G$9)</f>
        <v>0.60689321877916724</v>
      </c>
      <c r="H48" s="252">
        <f>IF(H$9=0,0,H$9/AGR_fec!H$9)</f>
        <v>0.60724422564102154</v>
      </c>
      <c r="I48" s="252">
        <f>IF(I$9=0,0,I$9/AGR_fec!I$9)</f>
        <v>0.61454957013862044</v>
      </c>
      <c r="J48" s="252">
        <f>IF(J$9=0,0,J$9/AGR_fec!J$9)</f>
        <v>0.61335946191777568</v>
      </c>
      <c r="K48" s="252">
        <f>IF(K$9=0,0,K$9/AGR_fec!K$9)</f>
        <v>0.63193547096914393</v>
      </c>
      <c r="L48" s="252">
        <f>IF(L$9=0,0,L$9/AGR_fec!L$9)</f>
        <v>0.63650142828070133</v>
      </c>
      <c r="M48" s="252">
        <f>IF(M$9=0,0,M$9/AGR_fec!M$9)</f>
        <v>0.64095052882504078</v>
      </c>
      <c r="N48" s="252">
        <f>IF(N$9=0,0,N$9/AGR_fec!N$9)</f>
        <v>0.64447351663556041</v>
      </c>
      <c r="O48" s="252">
        <f>IF(O$9=0,0,O$9/AGR_fec!O$9)</f>
        <v>0.63564418759449526</v>
      </c>
      <c r="P48" s="252">
        <f>IF(P$9=0,0,P$9/AGR_fec!P$9)</f>
        <v>0.6447303774637082</v>
      </c>
      <c r="Q48" s="252">
        <f>IF(Q$9=0,0,Q$9/AGR_fec!Q$9)</f>
        <v>0.65167733014996965</v>
      </c>
      <c r="R48" s="252">
        <f>IF(R$9=0,0,R$9/AGR_fec!R$9)</f>
        <v>0.65007477786141643</v>
      </c>
      <c r="S48" s="252">
        <f>IF(S$9=0,0,S$9/AGR_fec!S$9)</f>
        <v>0.64564183928703733</v>
      </c>
      <c r="T48" s="252">
        <f>IF(T$9=0,0,T$9/AGR_fec!T$9)</f>
        <v>0.65042381765579871</v>
      </c>
      <c r="U48" s="252">
        <f>IF(U$9=0,0,U$9/AGR_fec!U$9)</f>
        <v>0.64727540340490053</v>
      </c>
      <c r="V48" s="252">
        <f>IF(V$9=0,0,V$9/AGR_fec!V$9)</f>
        <v>0.65291001122375969</v>
      </c>
      <c r="W48" s="252">
        <f>IF(W$9=0,0,W$9/AGR_fec!W$9)</f>
        <v>0.64609643972918473</v>
      </c>
      <c r="X48" s="252">
        <f>IF(X$9=0,0,X$9/AGR_fec!X$9)</f>
        <v>0.63033250676231789</v>
      </c>
      <c r="Y48" s="252">
        <f>IF(Y$9=0,0,Y$9/AGR_fec!Y$9)</f>
        <v>0.63780583972953098</v>
      </c>
      <c r="DA48" s="289"/>
    </row>
    <row r="49" spans="1:105" x14ac:dyDescent="0.25">
      <c r="A49" s="127" t="s">
        <v>168</v>
      </c>
      <c r="B49" s="264">
        <f>IF(B$16=0,0,B$16/AGR_fec!B$16)</f>
        <v>0.32079748294606392</v>
      </c>
      <c r="C49" s="264">
        <f>IF(C$16=0,0,C$16/AGR_fec!C$16)</f>
        <v>0.32079748294606386</v>
      </c>
      <c r="D49" s="264">
        <f>IF(D$16=0,0,D$16/AGR_fec!D$16)</f>
        <v>0.32079748294606386</v>
      </c>
      <c r="E49" s="264">
        <f>IF(E$16=0,0,E$16/AGR_fec!E$16)</f>
        <v>0.32079748294606375</v>
      </c>
      <c r="F49" s="264">
        <f>IF(F$16=0,0,F$16/AGR_fec!F$16)</f>
        <v>0.32079748294606386</v>
      </c>
      <c r="G49" s="264">
        <f>IF(G$16=0,0,G$16/AGR_fec!G$16)</f>
        <v>0.32079748294606375</v>
      </c>
      <c r="H49" s="264">
        <f>IF(H$16=0,0,H$16/AGR_fec!H$16)</f>
        <v>0.32079748294606386</v>
      </c>
      <c r="I49" s="264">
        <f>IF(I$16=0,0,I$16/AGR_fec!I$16)</f>
        <v>0.32079748294606381</v>
      </c>
      <c r="J49" s="264">
        <f>IF(J$16=0,0,J$16/AGR_fec!J$16)</f>
        <v>0.32079748294606408</v>
      </c>
      <c r="K49" s="264">
        <f>IF(K$16=0,0,K$16/AGR_fec!K$16)</f>
        <v>0.32079748294606381</v>
      </c>
      <c r="L49" s="264">
        <f>IF(L$16=0,0,L$16/AGR_fec!L$16)</f>
        <v>0.32079748294606397</v>
      </c>
      <c r="M49" s="264">
        <f>IF(M$16=0,0,M$16/AGR_fec!M$16)</f>
        <v>0.32079748294606392</v>
      </c>
      <c r="N49" s="264">
        <f>IF(N$16=0,0,N$16/AGR_fec!N$16)</f>
        <v>0.32079748294606392</v>
      </c>
      <c r="O49" s="264">
        <f>IF(O$16=0,0,O$16/AGR_fec!O$16)</f>
        <v>0.32079748294606381</v>
      </c>
      <c r="P49" s="264">
        <f>IF(P$16=0,0,P$16/AGR_fec!P$16)</f>
        <v>0.32079748294606392</v>
      </c>
      <c r="Q49" s="264">
        <f>IF(Q$16=0,0,Q$16/AGR_fec!Q$16)</f>
        <v>0.32079748294606386</v>
      </c>
      <c r="R49" s="264">
        <f>IF(R$16=0,0,R$16/AGR_fec!R$16)</f>
        <v>0.32079748294606392</v>
      </c>
      <c r="S49" s="264">
        <f>IF(S$16=0,0,S$16/AGR_fec!S$16)</f>
        <v>0.32079748294606381</v>
      </c>
      <c r="T49" s="264">
        <f>IF(T$16=0,0,T$16/AGR_fec!T$16)</f>
        <v>0.32079748294606375</v>
      </c>
      <c r="U49" s="264">
        <f>IF(U$16=0,0,U$16/AGR_fec!U$16)</f>
        <v>0.32079748294606386</v>
      </c>
      <c r="V49" s="264">
        <f>IF(V$16=0,0,V$16/AGR_fec!V$16)</f>
        <v>0.32079748294606392</v>
      </c>
      <c r="W49" s="264">
        <f>IF(W$16=0,0,W$16/AGR_fec!W$16)</f>
        <v>0.32079748294606392</v>
      </c>
      <c r="X49" s="264">
        <f>IF(X$16=0,0,X$16/AGR_fec!X$16)</f>
        <v>0.32079748294606386</v>
      </c>
      <c r="Y49" s="264">
        <f>IF(Y$16=0,0,Y$16/AGR_fec!Y$16)</f>
        <v>0.32079748294606392</v>
      </c>
      <c r="DA49" s="290"/>
    </row>
    <row r="50" spans="1:105" x14ac:dyDescent="0.25">
      <c r="A50" s="127" t="s">
        <v>121</v>
      </c>
      <c r="B50" s="264">
        <f>IF(B$17=0,0,B$17/AGR_fec!B$17)</f>
        <v>0.24731025168227205</v>
      </c>
      <c r="C50" s="264">
        <f>IF(C$17=0,0,C$17/AGR_fec!C$17)</f>
        <v>0.24838218780207755</v>
      </c>
      <c r="D50" s="264">
        <f>IF(D$17=0,0,D$17/AGR_fec!D$17)</f>
        <v>0.24894923252292375</v>
      </c>
      <c r="E50" s="264">
        <f>IF(E$17=0,0,E$17/AGR_fec!E$17)</f>
        <v>0.24690585839780299</v>
      </c>
      <c r="F50" s="264">
        <f>IF(F$17=0,0,F$17/AGR_fec!F$17)</f>
        <v>0.25335487798263806</v>
      </c>
      <c r="G50" s="264">
        <f>IF(G$17=0,0,G$17/AGR_fec!G$17)</f>
        <v>0.25420876947372206</v>
      </c>
      <c r="H50" s="264">
        <f>IF(H$17=0,0,H$17/AGR_fec!H$17)</f>
        <v>0.25502782849975725</v>
      </c>
      <c r="I50" s="264">
        <f>IF(I$17=0,0,I$17/AGR_fec!I$17)</f>
        <v>0.25270675437130957</v>
      </c>
      <c r="J50" s="264">
        <f>IF(J$17=0,0,J$17/AGR_fec!J$17)</f>
        <v>0.25615525409576811</v>
      </c>
      <c r="K50" s="264">
        <f>IF(K$17=0,0,K$17/AGR_fec!K$17)</f>
        <v>0.2583940256881993</v>
      </c>
      <c r="L50" s="264">
        <f>IF(L$17=0,0,L$17/AGR_fec!L$17)</f>
        <v>0.26545578448800511</v>
      </c>
      <c r="M50" s="264">
        <f>IF(M$17=0,0,M$17/AGR_fec!M$17)</f>
        <v>0.26704892433454896</v>
      </c>
      <c r="N50" s="264">
        <f>IF(N$17=0,0,N$17/AGR_fec!N$17)</f>
        <v>0.26843975539230724</v>
      </c>
      <c r="O50" s="264">
        <f>IF(O$17=0,0,O$17/AGR_fec!O$17)</f>
        <v>0.26870649565871246</v>
      </c>
      <c r="P50" s="264">
        <f>IF(P$17=0,0,P$17/AGR_fec!P$17)</f>
        <v>0.26866117705429465</v>
      </c>
      <c r="Q50" s="264">
        <f>IF(Q$17=0,0,Q$17/AGR_fec!Q$17)</f>
        <v>0.26939533128843401</v>
      </c>
      <c r="R50" s="264">
        <f>IF(R$17=0,0,R$17/AGR_fec!R$17)</f>
        <v>0.26945542097379399</v>
      </c>
      <c r="S50" s="264">
        <f>IF(S$17=0,0,S$17/AGR_fec!S$17)</f>
        <v>0.27035796282203439</v>
      </c>
      <c r="T50" s="264">
        <f>IF(T$17=0,0,T$17/AGR_fec!T$17)</f>
        <v>0.27121147385581523</v>
      </c>
      <c r="U50" s="264">
        <f>IF(U$17=0,0,U$17/AGR_fec!U$17)</f>
        <v>0.27187309039634555</v>
      </c>
      <c r="V50" s="264">
        <f>IF(V$17=0,0,V$17/AGR_fec!V$17)</f>
        <v>0.27298506593076011</v>
      </c>
      <c r="W50" s="264">
        <f>IF(W$17=0,0,W$17/AGR_fec!W$17)</f>
        <v>0.27486993948181448</v>
      </c>
      <c r="X50" s="264">
        <f>IF(X$17=0,0,X$17/AGR_fec!X$17)</f>
        <v>0.27289858272986528</v>
      </c>
      <c r="Y50" s="264">
        <f>IF(Y$17=0,0,Y$17/AGR_fec!Y$17)</f>
        <v>0.27453427339722952</v>
      </c>
      <c r="DA50" s="290"/>
    </row>
    <row r="51" spans="1:105" x14ac:dyDescent="0.25">
      <c r="A51" s="127" t="s">
        <v>167</v>
      </c>
      <c r="B51" s="264">
        <f>IF(B$25=0,0,B$25/AGR_fec!B$25)</f>
        <v>0.2245582380622447</v>
      </c>
      <c r="C51" s="264">
        <f>IF(C$25=0,0,C$25/AGR_fec!C$25)</f>
        <v>0.22455823806224473</v>
      </c>
      <c r="D51" s="264">
        <f>IF(D$25=0,0,D$25/AGR_fec!D$25)</f>
        <v>0.22455823806224467</v>
      </c>
      <c r="E51" s="264">
        <f>IF(E$25=0,0,E$25/AGR_fec!E$25)</f>
        <v>0.22455823806224473</v>
      </c>
      <c r="F51" s="264">
        <f>IF(F$25=0,0,F$25/AGR_fec!F$25)</f>
        <v>0.2245582380622447</v>
      </c>
      <c r="G51" s="264">
        <f>IF(G$25=0,0,G$25/AGR_fec!G$25)</f>
        <v>0.22455823806224473</v>
      </c>
      <c r="H51" s="264">
        <f>IF(H$25=0,0,H$25/AGR_fec!H$25)</f>
        <v>0.22455823806224473</v>
      </c>
      <c r="I51" s="264">
        <f>IF(I$25=0,0,I$25/AGR_fec!I$25)</f>
        <v>0.22455823806224473</v>
      </c>
      <c r="J51" s="264">
        <f>IF(J$25=0,0,J$25/AGR_fec!J$25)</f>
        <v>0.22455823806224479</v>
      </c>
      <c r="K51" s="264">
        <f>IF(K$25=0,0,K$25/AGR_fec!K$25)</f>
        <v>0.22455823806224476</v>
      </c>
      <c r="L51" s="264">
        <f>IF(L$25=0,0,L$25/AGR_fec!L$25)</f>
        <v>0.2245582380622447</v>
      </c>
      <c r="M51" s="264">
        <f>IF(M$25=0,0,M$25/AGR_fec!M$25)</f>
        <v>0.22455823806224473</v>
      </c>
      <c r="N51" s="264">
        <f>IF(N$25=0,0,N$25/AGR_fec!N$25)</f>
        <v>0.22455823806224479</v>
      </c>
      <c r="O51" s="264">
        <f>IF(O$25=0,0,O$25/AGR_fec!O$25)</f>
        <v>0.22455823806224473</v>
      </c>
      <c r="P51" s="264">
        <f>IF(P$25=0,0,P$25/AGR_fec!P$25)</f>
        <v>0.22455823806224473</v>
      </c>
      <c r="Q51" s="264">
        <f>IF(Q$25=0,0,Q$25/AGR_fec!Q$25)</f>
        <v>0.22455823806224473</v>
      </c>
      <c r="R51" s="264">
        <f>IF(R$25=0,0,R$25/AGR_fec!R$25)</f>
        <v>0.22455823806224473</v>
      </c>
      <c r="S51" s="264">
        <f>IF(S$25=0,0,S$25/AGR_fec!S$25)</f>
        <v>0.22455823806224467</v>
      </c>
      <c r="T51" s="264">
        <f>IF(T$25=0,0,T$25/AGR_fec!T$25)</f>
        <v>0.2245582380622447</v>
      </c>
      <c r="U51" s="264">
        <f>IF(U$25=0,0,U$25/AGR_fec!U$25)</f>
        <v>0.22455823806224467</v>
      </c>
      <c r="V51" s="264">
        <f>IF(V$25=0,0,V$25/AGR_fec!V$25)</f>
        <v>0.22455823806224473</v>
      </c>
      <c r="W51" s="264">
        <f>IF(W$25=0,0,W$25/AGR_fec!W$25)</f>
        <v>0.22455823806224467</v>
      </c>
      <c r="X51" s="264">
        <f>IF(X$25=0,0,X$25/AGR_fec!X$25)</f>
        <v>0.2245582380622447</v>
      </c>
      <c r="Y51" s="264">
        <f>IF(Y$25=0,0,Y$25/AGR_fec!Y$25)</f>
        <v>0.22455823806224473</v>
      </c>
      <c r="DA51" s="290"/>
    </row>
    <row r="52" spans="1:105" x14ac:dyDescent="0.25">
      <c r="A52" s="127" t="s">
        <v>170</v>
      </c>
      <c r="B52" s="264">
        <f>IF(B$26=0,0,B$26/AGR_fec!B$26)</f>
        <v>0.44455108808409965</v>
      </c>
      <c r="C52" s="264">
        <f>IF(C$26=0,0,C$26/AGR_fec!C$26)</f>
        <v>0.44455108808409982</v>
      </c>
      <c r="D52" s="264">
        <f>IF(D$26=0,0,D$26/AGR_fec!D$26)</f>
        <v>0.44455108808409965</v>
      </c>
      <c r="E52" s="264">
        <f>IF(E$26=0,0,E$26/AGR_fec!E$26)</f>
        <v>0.4445510880840996</v>
      </c>
      <c r="F52" s="264">
        <f>IF(F$26=0,0,F$26/AGR_fec!F$26)</f>
        <v>0.44455108808409971</v>
      </c>
      <c r="G52" s="264">
        <f>IF(G$26=0,0,G$26/AGR_fec!G$26)</f>
        <v>0.44455108808409965</v>
      </c>
      <c r="H52" s="264">
        <f>IF(H$26=0,0,H$26/AGR_fec!H$26)</f>
        <v>0.44455108808409977</v>
      </c>
      <c r="I52" s="264">
        <f>IF(I$26=0,0,I$26/AGR_fec!I$26)</f>
        <v>0.44455108808409988</v>
      </c>
      <c r="J52" s="264">
        <f>IF(J$26=0,0,J$26/AGR_fec!J$26)</f>
        <v>0.44455108808409977</v>
      </c>
      <c r="K52" s="264">
        <f>IF(K$26=0,0,K$26/AGR_fec!K$26)</f>
        <v>0.44455108808409977</v>
      </c>
      <c r="L52" s="264">
        <f>IF(L$26=0,0,L$26/AGR_fec!L$26)</f>
        <v>0.44455108808409982</v>
      </c>
      <c r="M52" s="264">
        <f>IF(M$26=0,0,M$26/AGR_fec!M$26)</f>
        <v>0.44455108808409971</v>
      </c>
      <c r="N52" s="264">
        <f>IF(N$26=0,0,N$26/AGR_fec!N$26)</f>
        <v>0.4445510880840996</v>
      </c>
      <c r="O52" s="264">
        <f>IF(O$26=0,0,O$26/AGR_fec!O$26)</f>
        <v>0.44455108808409971</v>
      </c>
      <c r="P52" s="264">
        <f>IF(P$26=0,0,P$26/AGR_fec!P$26)</f>
        <v>0.44455108808409977</v>
      </c>
      <c r="Q52" s="264">
        <f>IF(Q$26=0,0,Q$26/AGR_fec!Q$26)</f>
        <v>0.44455108808409999</v>
      </c>
      <c r="R52" s="264">
        <f>IF(R$26=0,0,R$26/AGR_fec!R$26)</f>
        <v>0.44455108808409977</v>
      </c>
      <c r="S52" s="264">
        <f>IF(S$26=0,0,S$26/AGR_fec!S$26)</f>
        <v>0.44455108808409993</v>
      </c>
      <c r="T52" s="264">
        <f>IF(T$26=0,0,T$26/AGR_fec!T$26)</f>
        <v>0.4445510880840996</v>
      </c>
      <c r="U52" s="264">
        <f>IF(U$26=0,0,U$26/AGR_fec!U$26)</f>
        <v>0.44455108808409977</v>
      </c>
      <c r="V52" s="264">
        <f>IF(V$26=0,0,V$26/AGR_fec!V$26)</f>
        <v>0.44455108808409977</v>
      </c>
      <c r="W52" s="264">
        <f>IF(W$26=0,0,W$26/AGR_fec!W$26)</f>
        <v>0.44455108808409993</v>
      </c>
      <c r="X52" s="264">
        <f>IF(X$26=0,0,X$26/AGR_fec!X$26)</f>
        <v>0.44455108808409982</v>
      </c>
      <c r="Y52" s="264">
        <f>IF(Y$26=0,0,Y$26/AGR_fec!Y$26)</f>
        <v>0.44455108808409977</v>
      </c>
      <c r="DA52" s="290"/>
    </row>
    <row r="53" spans="1:105" x14ac:dyDescent="0.25">
      <c r="A53" s="260" t="s">
        <v>33</v>
      </c>
      <c r="B53" s="265">
        <f>IF(B$27=0,0,B$27/AGR_fec!B$27)</f>
        <v>0.46725837398729919</v>
      </c>
      <c r="C53" s="265">
        <f>IF(C$27=0,0,C$27/AGR_fec!C$27)</f>
        <v>0.46725837398729925</v>
      </c>
      <c r="D53" s="265">
        <f>IF(D$27=0,0,D$27/AGR_fec!D$27)</f>
        <v>0.46725837398729925</v>
      </c>
      <c r="E53" s="265">
        <f>IF(E$27=0,0,E$27/AGR_fec!E$27)</f>
        <v>0.46725837398729925</v>
      </c>
      <c r="F53" s="265">
        <f>IF(F$27=0,0,F$27/AGR_fec!F$27)</f>
        <v>0.46725837398729936</v>
      </c>
      <c r="G53" s="265">
        <f>IF(G$27=0,0,G$27/AGR_fec!G$27)</f>
        <v>0.46725837398729925</v>
      </c>
      <c r="H53" s="265">
        <f>IF(H$27=0,0,H$27/AGR_fec!H$27)</f>
        <v>0.4672583739872993</v>
      </c>
      <c r="I53" s="265">
        <f>IF(I$27=0,0,I$27/AGR_fec!I$27)</f>
        <v>0.46725837398729919</v>
      </c>
      <c r="J53" s="265">
        <f>IF(J$27=0,0,J$27/AGR_fec!J$27)</f>
        <v>0.46725837398729936</v>
      </c>
      <c r="K53" s="265">
        <f>IF(K$27=0,0,K$27/AGR_fec!K$27)</f>
        <v>0.4672583739872993</v>
      </c>
      <c r="L53" s="265">
        <f>IF(L$27=0,0,L$27/AGR_fec!L$27)</f>
        <v>0.46725837398729925</v>
      </c>
      <c r="M53" s="265">
        <f>IF(M$27=0,0,M$27/AGR_fec!M$27)</f>
        <v>0.46725837398729919</v>
      </c>
      <c r="N53" s="265">
        <f>IF(N$27=0,0,N$27/AGR_fec!N$27)</f>
        <v>0.46725837398729936</v>
      </c>
      <c r="O53" s="265">
        <f>IF(O$27=0,0,O$27/AGR_fec!O$27)</f>
        <v>0.46725837398729941</v>
      </c>
      <c r="P53" s="265">
        <f>IF(P$27=0,0,P$27/AGR_fec!P$27)</f>
        <v>0.46725837398729925</v>
      </c>
      <c r="Q53" s="265">
        <f>IF(Q$27=0,0,Q$27/AGR_fec!Q$27)</f>
        <v>0.46725837398729919</v>
      </c>
      <c r="R53" s="265">
        <f>IF(R$27=0,0,R$27/AGR_fec!R$27)</f>
        <v>0.46725837398729936</v>
      </c>
      <c r="S53" s="265">
        <f>IF(S$27=0,0,S$27/AGR_fec!S$27)</f>
        <v>0.4672583739872993</v>
      </c>
      <c r="T53" s="265">
        <f>IF(T$27=0,0,T$27/AGR_fec!T$27)</f>
        <v>0.4672583739872993</v>
      </c>
      <c r="U53" s="265">
        <f>IF(U$27=0,0,U$27/AGR_fec!U$27)</f>
        <v>0.4672583739872993</v>
      </c>
      <c r="V53" s="265">
        <f>IF(V$27=0,0,V$27/AGR_fec!V$27)</f>
        <v>0.46725837398729936</v>
      </c>
      <c r="W53" s="265">
        <f>IF(W$27=0,0,W$27/AGR_fec!W$27)</f>
        <v>0.46725837398729919</v>
      </c>
      <c r="X53" s="265">
        <f>IF(X$27=0,0,X$27/AGR_fec!X$27)</f>
        <v>0.46725837398729919</v>
      </c>
      <c r="Y53" s="265">
        <f>IF(Y$27=0,0,Y$27/AGR_fec!Y$27)</f>
        <v>0.4672583739872993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2419.8330671979943</v>
      </c>
      <c r="C5" s="80">
        <f t="shared" ref="C5:W5" si="0">SUM(C6:C9,C16:C17,C25:C27)</f>
        <v>2308.3143454780834</v>
      </c>
      <c r="D5" s="80">
        <f t="shared" si="0"/>
        <v>1930.3838223571495</v>
      </c>
      <c r="E5" s="80">
        <f t="shared" si="0"/>
        <v>2536.1777255979505</v>
      </c>
      <c r="F5" s="80">
        <f t="shared" si="0"/>
        <v>2881.3135813171143</v>
      </c>
      <c r="G5" s="80">
        <f t="shared" si="0"/>
        <v>2771.2156503579472</v>
      </c>
      <c r="H5" s="80">
        <f t="shared" si="0"/>
        <v>2378.8012208374485</v>
      </c>
      <c r="I5" s="80">
        <f t="shared" si="0"/>
        <v>2000.9021525982455</v>
      </c>
      <c r="J5" s="80">
        <f t="shared" si="0"/>
        <v>2046.0619317587191</v>
      </c>
      <c r="K5" s="80">
        <f t="shared" si="0"/>
        <v>1867.5411621576075</v>
      </c>
      <c r="L5" s="80">
        <f t="shared" si="0"/>
        <v>1986.4223654382665</v>
      </c>
      <c r="M5" s="80">
        <f t="shared" si="0"/>
        <v>1769.6260844423032</v>
      </c>
      <c r="N5" s="80">
        <f t="shared" si="0"/>
        <v>1773.01466688146</v>
      </c>
      <c r="O5" s="80">
        <f t="shared" si="0"/>
        <v>1926.6566549974168</v>
      </c>
      <c r="P5" s="80">
        <f t="shared" si="0"/>
        <v>1617.8217657626328</v>
      </c>
      <c r="Q5" s="80">
        <f t="shared" si="0"/>
        <v>1610.4269322024595</v>
      </c>
      <c r="R5" s="80">
        <f t="shared" si="0"/>
        <v>1748.6809034423356</v>
      </c>
      <c r="S5" s="80">
        <f t="shared" si="0"/>
        <v>1821.9031881611836</v>
      </c>
      <c r="T5" s="80">
        <f t="shared" si="0"/>
        <v>1804.0817208550588</v>
      </c>
      <c r="U5" s="80">
        <f t="shared" si="0"/>
        <v>1986.2816152253447</v>
      </c>
      <c r="V5" s="80">
        <f t="shared" si="0"/>
        <v>1872.4224238850109</v>
      </c>
      <c r="W5" s="80">
        <f t="shared" si="0"/>
        <v>1951.8612585600545</v>
      </c>
      <c r="X5" s="80">
        <f t="shared" ref="X5:Y5" si="1">SUM(X6:X9,X16:X17,X25:X27)</f>
        <v>1889.5077415723654</v>
      </c>
      <c r="Y5" s="80">
        <f t="shared" si="1"/>
        <v>1906.8324649957017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444.42669142782421</v>
      </c>
      <c r="C9" s="243">
        <f t="shared" ref="C9:W9" si="2">SUM(C10:C15)</f>
        <v>438.96977310847541</v>
      </c>
      <c r="D9" s="243">
        <f t="shared" si="2"/>
        <v>373.1938887243204</v>
      </c>
      <c r="E9" s="243">
        <f t="shared" si="2"/>
        <v>460.09556476311019</v>
      </c>
      <c r="F9" s="243">
        <f t="shared" si="2"/>
        <v>526.94089545410634</v>
      </c>
      <c r="G9" s="243">
        <f t="shared" si="2"/>
        <v>516.57043938868253</v>
      </c>
      <c r="H9" s="243">
        <f t="shared" si="2"/>
        <v>445.11930558753249</v>
      </c>
      <c r="I9" s="243">
        <f t="shared" si="2"/>
        <v>357.87083557016069</v>
      </c>
      <c r="J9" s="243">
        <f t="shared" si="2"/>
        <v>390.59256652853139</v>
      </c>
      <c r="K9" s="243">
        <f t="shared" si="2"/>
        <v>342.12273203662971</v>
      </c>
      <c r="L9" s="243">
        <f t="shared" si="2"/>
        <v>377.55723596260907</v>
      </c>
      <c r="M9" s="243">
        <f t="shared" si="2"/>
        <v>334.3843534353673</v>
      </c>
      <c r="N9" s="243">
        <f t="shared" si="2"/>
        <v>338.03183282609018</v>
      </c>
      <c r="O9" s="243">
        <f t="shared" si="2"/>
        <v>378.41421426748252</v>
      </c>
      <c r="P9" s="243">
        <f t="shared" si="2"/>
        <v>305.09307258966351</v>
      </c>
      <c r="Q9" s="243">
        <f t="shared" si="2"/>
        <v>298.77475825809148</v>
      </c>
      <c r="R9" s="243">
        <f t="shared" si="2"/>
        <v>326.46586584842362</v>
      </c>
      <c r="S9" s="243">
        <f t="shared" si="2"/>
        <v>353.27975737365472</v>
      </c>
      <c r="T9" s="243">
        <f t="shared" si="2"/>
        <v>346.37769582125151</v>
      </c>
      <c r="U9" s="243">
        <f t="shared" si="2"/>
        <v>388.83920016707111</v>
      </c>
      <c r="V9" s="243">
        <f t="shared" si="2"/>
        <v>369.27369399547922</v>
      </c>
      <c r="W9" s="243">
        <f t="shared" si="2"/>
        <v>410.29525765128949</v>
      </c>
      <c r="X9" s="243">
        <f t="shared" ref="X9:Y9" si="3">SUM(X10:X15)</f>
        <v>400.69249271660874</v>
      </c>
      <c r="Y9" s="243">
        <f t="shared" si="3"/>
        <v>402.68675432107267</v>
      </c>
      <c r="DA9" s="269"/>
    </row>
    <row r="10" spans="1:105" x14ac:dyDescent="0.25">
      <c r="A10" s="253" t="s">
        <v>166</v>
      </c>
      <c r="B10" s="254">
        <v>444.42669142782421</v>
      </c>
      <c r="C10" s="254">
        <v>438.96977310847541</v>
      </c>
      <c r="D10" s="254">
        <v>373.1938887243204</v>
      </c>
      <c r="E10" s="254">
        <v>460.09556476311019</v>
      </c>
      <c r="F10" s="254">
        <v>344.31722651795877</v>
      </c>
      <c r="G10" s="254">
        <v>346.13181973132009</v>
      </c>
      <c r="H10" s="254">
        <v>295.42482374112268</v>
      </c>
      <c r="I10" s="254">
        <v>241.9240143769419</v>
      </c>
      <c r="J10" s="254">
        <v>302.78691012044999</v>
      </c>
      <c r="K10" s="254">
        <v>227.0341966686465</v>
      </c>
      <c r="L10" s="254">
        <v>229.1682466737322</v>
      </c>
      <c r="M10" s="254">
        <v>189.43858436620229</v>
      </c>
      <c r="N10" s="254">
        <v>178.75886747299489</v>
      </c>
      <c r="O10" s="254">
        <v>196.70492219035401</v>
      </c>
      <c r="P10" s="254">
        <v>155.70374321269171</v>
      </c>
      <c r="Q10" s="254">
        <v>125.61193051634901</v>
      </c>
      <c r="R10" s="254">
        <v>138.922395880191</v>
      </c>
      <c r="S10" s="254">
        <v>135.39453438080741</v>
      </c>
      <c r="T10" s="254">
        <v>122.2559159695119</v>
      </c>
      <c r="U10" s="254">
        <v>138.20381229504491</v>
      </c>
      <c r="V10" s="254">
        <v>114.7406754199703</v>
      </c>
      <c r="W10" s="254">
        <v>101.08750532765301</v>
      </c>
      <c r="X10" s="254">
        <v>149.3002847934402</v>
      </c>
      <c r="Y10" s="254">
        <v>128.00053785511659</v>
      </c>
      <c r="DA10" s="270" t="s">
        <v>1040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182.62366893614751</v>
      </c>
      <c r="G11" s="255">
        <v>170.43861965736241</v>
      </c>
      <c r="H11" s="255">
        <v>149.69448184640979</v>
      </c>
      <c r="I11" s="255">
        <v>115.9468211932188</v>
      </c>
      <c r="J11" s="255">
        <v>87.805656408081404</v>
      </c>
      <c r="K11" s="255">
        <v>115.0885353679832</v>
      </c>
      <c r="L11" s="255">
        <v>148.3889892888769</v>
      </c>
      <c r="M11" s="255">
        <v>144.94576906916501</v>
      </c>
      <c r="N11" s="255">
        <v>159.27296535309529</v>
      </c>
      <c r="O11" s="255">
        <v>181.70929207712851</v>
      </c>
      <c r="P11" s="255">
        <v>149.3893293769718</v>
      </c>
      <c r="Q11" s="255">
        <v>173.16282774174249</v>
      </c>
      <c r="R11" s="255">
        <v>187.54346996823261</v>
      </c>
      <c r="S11" s="255">
        <v>217.8852229928473</v>
      </c>
      <c r="T11" s="255">
        <v>224.1217798517396</v>
      </c>
      <c r="U11" s="255">
        <v>250.6353878720262</v>
      </c>
      <c r="V11" s="255">
        <v>254.53301857550889</v>
      </c>
      <c r="W11" s="255">
        <v>309.2077523236365</v>
      </c>
      <c r="X11" s="255">
        <v>251.39220792316851</v>
      </c>
      <c r="Y11" s="255">
        <v>274.68621646595608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604.01920697704895</v>
      </c>
      <c r="C16" s="257">
        <v>596.78505254109155</v>
      </c>
      <c r="D16" s="257">
        <v>510.02895074548599</v>
      </c>
      <c r="E16" s="257">
        <v>626.14466624762395</v>
      </c>
      <c r="F16" s="257">
        <v>746.77977517797194</v>
      </c>
      <c r="G16" s="257">
        <v>733.36560255927498</v>
      </c>
      <c r="H16" s="257">
        <v>637.42060094732938</v>
      </c>
      <c r="I16" s="257">
        <v>535.12366765114473</v>
      </c>
      <c r="J16" s="257">
        <v>602.55913500605106</v>
      </c>
      <c r="K16" s="257">
        <v>558.74665273414303</v>
      </c>
      <c r="L16" s="257">
        <v>631.46473734917925</v>
      </c>
      <c r="M16" s="257">
        <v>560.39120505508708</v>
      </c>
      <c r="N16" s="257">
        <v>565.72840738387265</v>
      </c>
      <c r="O16" s="257">
        <v>613.79169388223556</v>
      </c>
      <c r="P16" s="257">
        <v>520.26232688008622</v>
      </c>
      <c r="Q16" s="257">
        <v>506.04505155610099</v>
      </c>
      <c r="R16" s="257">
        <v>546.28931089844252</v>
      </c>
      <c r="S16" s="257">
        <v>556.2679650525904</v>
      </c>
      <c r="T16" s="257">
        <v>546.60201430983477</v>
      </c>
      <c r="U16" s="257">
        <v>601.0558101514506</v>
      </c>
      <c r="V16" s="257">
        <v>560.69258762969764</v>
      </c>
      <c r="W16" s="257">
        <v>557.9509197053203</v>
      </c>
      <c r="X16" s="257">
        <v>569.13871851076397</v>
      </c>
      <c r="Y16" s="257">
        <v>565.16795780281552</v>
      </c>
      <c r="DA16" s="272" t="s">
        <v>1046</v>
      </c>
    </row>
    <row r="17" spans="1:105" x14ac:dyDescent="0.25">
      <c r="A17" s="256" t="s">
        <v>121</v>
      </c>
      <c r="B17" s="257">
        <f>SUM(B18:B24)</f>
        <v>1255.3198444423897</v>
      </c>
      <c r="C17" s="257">
        <f t="shared" ref="C17:W17" si="4">SUM(C18:C24)</f>
        <v>1157.8822985401093</v>
      </c>
      <c r="D17" s="257">
        <f t="shared" si="4"/>
        <v>949.15466956047442</v>
      </c>
      <c r="E17" s="257">
        <f t="shared" si="4"/>
        <v>1329.6185788501466</v>
      </c>
      <c r="F17" s="257">
        <f t="shared" si="4"/>
        <v>1464.0929534271515</v>
      </c>
      <c r="G17" s="257">
        <f t="shared" si="4"/>
        <v>1380.3572962108162</v>
      </c>
      <c r="H17" s="257">
        <f t="shared" si="4"/>
        <v>1173.7756337424266</v>
      </c>
      <c r="I17" s="257">
        <f t="shared" si="4"/>
        <v>1005.0791770641741</v>
      </c>
      <c r="J17" s="257">
        <f t="shared" si="4"/>
        <v>937.12347087047112</v>
      </c>
      <c r="K17" s="257">
        <f t="shared" si="4"/>
        <v>859.30395162290415</v>
      </c>
      <c r="L17" s="257">
        <f t="shared" si="4"/>
        <v>856.05918039123367</v>
      </c>
      <c r="M17" s="257">
        <f t="shared" si="4"/>
        <v>767.16668575420169</v>
      </c>
      <c r="N17" s="257">
        <f t="shared" si="4"/>
        <v>760.54499856759628</v>
      </c>
      <c r="O17" s="257">
        <f t="shared" si="4"/>
        <v>816.50555769691528</v>
      </c>
      <c r="P17" s="257">
        <f t="shared" si="4"/>
        <v>692.49362445960605</v>
      </c>
      <c r="Q17" s="257">
        <f t="shared" si="4"/>
        <v>708.36634849135964</v>
      </c>
      <c r="R17" s="257">
        <f t="shared" si="4"/>
        <v>770.9516829813324</v>
      </c>
      <c r="S17" s="257">
        <f t="shared" si="4"/>
        <v>805.46394046572027</v>
      </c>
      <c r="T17" s="257">
        <f t="shared" si="4"/>
        <v>806.06787844335236</v>
      </c>
      <c r="U17" s="257">
        <f t="shared" si="4"/>
        <v>880.88872195226531</v>
      </c>
      <c r="V17" s="257">
        <f t="shared" si="4"/>
        <v>834.71438888883597</v>
      </c>
      <c r="W17" s="257">
        <f t="shared" si="4"/>
        <v>876.40016217242294</v>
      </c>
      <c r="X17" s="257">
        <f t="shared" ref="X17:Y17" si="5">SUM(X18:X24)</f>
        <v>810.31178253746418</v>
      </c>
      <c r="Y17" s="257">
        <f t="shared" si="5"/>
        <v>830.37601982554554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71.09797727989141</v>
      </c>
      <c r="E18" s="55">
        <v>69.146990879942379</v>
      </c>
      <c r="F18" s="55">
        <v>69.29309375992203</v>
      </c>
      <c r="G18" s="55">
        <v>69.293093759941996</v>
      </c>
      <c r="H18" s="55">
        <v>69.293093759917838</v>
      </c>
      <c r="I18" s="55">
        <v>101.4647356798917</v>
      </c>
      <c r="J18" s="55">
        <v>131.1614726399005</v>
      </c>
      <c r="K18" s="55">
        <v>86.616013439861391</v>
      </c>
      <c r="L18" s="55">
        <v>49.494915359949118</v>
      </c>
      <c r="M18" s="55">
        <v>22.272729600033919</v>
      </c>
      <c r="N18" s="55">
        <v>26.248284480024989</v>
      </c>
      <c r="O18" s="55">
        <v>33.518759999949317</v>
      </c>
      <c r="P18" s="55">
        <v>34.721544000064213</v>
      </c>
      <c r="Q18" s="55">
        <v>56.088648000093833</v>
      </c>
      <c r="R18" s="55">
        <v>64.101312000094282</v>
      </c>
      <c r="S18" s="55">
        <v>65.169667200045666</v>
      </c>
      <c r="T18" s="55">
        <v>62.847040080100243</v>
      </c>
      <c r="U18" s="55">
        <v>51.250459920040598</v>
      </c>
      <c r="V18" s="55">
        <v>40.318449600035443</v>
      </c>
      <c r="W18" s="55">
        <v>24.740147519983129</v>
      </c>
      <c r="X18" s="55">
        <v>24.92043047998013</v>
      </c>
      <c r="Y18" s="55">
        <v>9.8763059999904037</v>
      </c>
      <c r="DA18" s="101" t="s">
        <v>1047</v>
      </c>
    </row>
    <row r="19" spans="1:105" x14ac:dyDescent="0.25">
      <c r="A19" s="61" t="s">
        <v>27</v>
      </c>
      <c r="B19" s="55">
        <v>0</v>
      </c>
      <c r="C19" s="55">
        <v>2.9026504799975248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2.9026504800027619</v>
      </c>
      <c r="O19" s="55">
        <v>2.9026504799956099</v>
      </c>
      <c r="P19" s="55">
        <v>2.9026504800053661</v>
      </c>
      <c r="Q19" s="55">
        <v>2.9026504800048549</v>
      </c>
      <c r="R19" s="55">
        <v>2.9026504800042678</v>
      </c>
      <c r="S19" s="55">
        <v>2.6123400000018302</v>
      </c>
      <c r="T19" s="55">
        <v>3.1929609600050961</v>
      </c>
      <c r="U19" s="55">
        <v>6.0953842800048301</v>
      </c>
      <c r="V19" s="55">
        <v>6.2677987200055094</v>
      </c>
      <c r="W19" s="55">
        <v>8.3569892399943022</v>
      </c>
      <c r="X19" s="55">
        <v>5.3723339999957167</v>
      </c>
      <c r="Y19" s="55">
        <v>5.6708222399944921</v>
      </c>
      <c r="DA19" s="101" t="s">
        <v>1048</v>
      </c>
    </row>
    <row r="20" spans="1:105" x14ac:dyDescent="0.25">
      <c r="A20" s="61" t="s">
        <v>166</v>
      </c>
      <c r="B20" s="55">
        <v>331.74361724317708</v>
      </c>
      <c r="C20" s="55">
        <v>371.07816198078001</v>
      </c>
      <c r="D20" s="55">
        <v>357.19459828137838</v>
      </c>
      <c r="E20" s="55">
        <v>340.2041643309712</v>
      </c>
      <c r="F20" s="55">
        <v>362.67308996464578</v>
      </c>
      <c r="G20" s="55">
        <v>386.32029442908151</v>
      </c>
      <c r="H20" s="55">
        <v>346.22593474991891</v>
      </c>
      <c r="I20" s="55">
        <v>275.46140565819888</v>
      </c>
      <c r="J20" s="55">
        <v>456.1840755189296</v>
      </c>
      <c r="K20" s="55">
        <v>359.41410175167738</v>
      </c>
      <c r="L20" s="55">
        <v>443.2577942405369</v>
      </c>
      <c r="M20" s="55">
        <v>377.37176238277999</v>
      </c>
      <c r="N20" s="55">
        <v>361.48588720032052</v>
      </c>
      <c r="O20" s="55">
        <v>380.3094307747416</v>
      </c>
      <c r="P20" s="55">
        <v>310.2678940758816</v>
      </c>
      <c r="Q20" s="55">
        <v>252.50801587237311</v>
      </c>
      <c r="R20" s="55">
        <v>278.65941442886492</v>
      </c>
      <c r="S20" s="55">
        <v>264.60888545818221</v>
      </c>
      <c r="T20" s="55">
        <v>245.3933625218684</v>
      </c>
      <c r="U20" s="55">
        <v>277.22094843993767</v>
      </c>
      <c r="V20" s="55">
        <v>232.93623142042409</v>
      </c>
      <c r="W20" s="55">
        <v>198.55835521517329</v>
      </c>
      <c r="X20" s="55">
        <v>278.47957924736193</v>
      </c>
      <c r="Y20" s="55">
        <v>248.4342809346837</v>
      </c>
      <c r="DA20" s="101" t="s">
        <v>1049</v>
      </c>
    </row>
    <row r="21" spans="1:105" x14ac:dyDescent="0.25">
      <c r="A21" s="61" t="s">
        <v>129</v>
      </c>
      <c r="B21" s="55">
        <v>923.57622719921267</v>
      </c>
      <c r="C21" s="55">
        <v>783.90148607933179</v>
      </c>
      <c r="D21" s="55">
        <v>520.8620939992046</v>
      </c>
      <c r="E21" s="55">
        <v>920.26742363923313</v>
      </c>
      <c r="F21" s="55">
        <v>839.76726743905522</v>
      </c>
      <c r="G21" s="55">
        <v>734.51609891938529</v>
      </c>
      <c r="H21" s="55">
        <v>582.82073207930887</v>
      </c>
      <c r="I21" s="55">
        <v>496.1327630394706</v>
      </c>
      <c r="J21" s="55">
        <v>217.4883789598351</v>
      </c>
      <c r="K21" s="55">
        <v>231.07906943963019</v>
      </c>
      <c r="L21" s="55">
        <v>76.292117639921585</v>
      </c>
      <c r="M21" s="55">
        <v>78.782492160119986</v>
      </c>
      <c r="N21" s="55">
        <v>47.826648360045532</v>
      </c>
      <c r="O21" s="55">
        <v>48.45784715992675</v>
      </c>
      <c r="P21" s="55">
        <v>46.916254440086753</v>
      </c>
      <c r="Q21" s="55">
        <v>48.771101880081588</v>
      </c>
      <c r="R21" s="55">
        <v>49.101635880072223</v>
      </c>
      <c r="S21" s="55">
        <v>47.248133400033083</v>
      </c>
      <c r="T21" s="55">
        <v>44.774917200071442</v>
      </c>
      <c r="U21" s="55">
        <v>43.576174440034528</v>
      </c>
      <c r="V21" s="55">
        <v>38.461796640033803</v>
      </c>
      <c r="W21" s="55">
        <v>35.961722999975493</v>
      </c>
      <c r="X21" s="55">
        <v>31.91974163997455</v>
      </c>
      <c r="Y21" s="55">
        <v>32.545288439968381</v>
      </c>
      <c r="DA21" s="101" t="s">
        <v>1050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192.35950226352841</v>
      </c>
      <c r="G22" s="55">
        <v>190.22780910240741</v>
      </c>
      <c r="H22" s="55">
        <v>175.43587315328099</v>
      </c>
      <c r="I22" s="55">
        <v>132.02027268661291</v>
      </c>
      <c r="J22" s="55">
        <v>132.28954375180589</v>
      </c>
      <c r="K22" s="55">
        <v>182.19476699173521</v>
      </c>
      <c r="L22" s="55">
        <v>287.01435315082608</v>
      </c>
      <c r="M22" s="55">
        <v>288.73970161126778</v>
      </c>
      <c r="N22" s="55">
        <v>322.08152804720248</v>
      </c>
      <c r="O22" s="55">
        <v>351.31686928230192</v>
      </c>
      <c r="P22" s="55">
        <v>297.68528146356817</v>
      </c>
      <c r="Q22" s="55">
        <v>348.09593225880627</v>
      </c>
      <c r="R22" s="55">
        <v>376.18667019229667</v>
      </c>
      <c r="S22" s="55">
        <v>425.82491440745741</v>
      </c>
      <c r="T22" s="55">
        <v>449.85959768130721</v>
      </c>
      <c r="U22" s="55">
        <v>502.74575487224769</v>
      </c>
      <c r="V22" s="55">
        <v>516.73011250833713</v>
      </c>
      <c r="W22" s="55">
        <v>607.35283279729765</v>
      </c>
      <c r="X22" s="55">
        <v>468.9046399701524</v>
      </c>
      <c r="Y22" s="55">
        <v>533.1342650109093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1.4301143999990249</v>
      </c>
      <c r="X23" s="55">
        <v>0.71505719999942996</v>
      </c>
      <c r="Y23" s="55">
        <v>0.71505719999930573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116.0673243507314</v>
      </c>
      <c r="C25" s="257">
        <v>114.677221288407</v>
      </c>
      <c r="D25" s="257">
        <v>98.006313326868863</v>
      </c>
      <c r="E25" s="257">
        <v>120.31891573707</v>
      </c>
      <c r="F25" s="257">
        <v>143.4999572578846</v>
      </c>
      <c r="G25" s="257">
        <v>140.92231219917349</v>
      </c>
      <c r="H25" s="257">
        <v>122.48568056015969</v>
      </c>
      <c r="I25" s="257">
        <v>102.8284723127661</v>
      </c>
      <c r="J25" s="257">
        <v>115.7867593536655</v>
      </c>
      <c r="K25" s="257">
        <v>107.3678257639305</v>
      </c>
      <c r="L25" s="257">
        <v>121.3412117352445</v>
      </c>
      <c r="M25" s="257">
        <v>107.683840197647</v>
      </c>
      <c r="N25" s="257">
        <v>108.70942810390071</v>
      </c>
      <c r="O25" s="257">
        <v>117.94518915078341</v>
      </c>
      <c r="P25" s="257">
        <v>99.972741833276928</v>
      </c>
      <c r="Q25" s="257">
        <v>97.240773896907413</v>
      </c>
      <c r="R25" s="257">
        <v>104.9740437141369</v>
      </c>
      <c r="S25" s="257">
        <v>106.89152526921811</v>
      </c>
      <c r="T25" s="257">
        <v>105.0341322806203</v>
      </c>
      <c r="U25" s="257">
        <v>115.4978829545578</v>
      </c>
      <c r="V25" s="257">
        <v>107.741753370998</v>
      </c>
      <c r="W25" s="257">
        <v>107.21491903102179</v>
      </c>
      <c r="X25" s="257">
        <v>109.3647478075287</v>
      </c>
      <c r="Y25" s="257">
        <v>108.6017330462678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0.99999999999999989</v>
      </c>
      <c r="D31" s="235">
        <f t="shared" si="6"/>
        <v>1</v>
      </c>
      <c r="E31" s="235">
        <f t="shared" si="6"/>
        <v>1</v>
      </c>
      <c r="F31" s="235">
        <f t="shared" si="6"/>
        <v>1</v>
      </c>
      <c r="G31" s="235">
        <f t="shared" si="6"/>
        <v>1</v>
      </c>
      <c r="H31" s="235">
        <f t="shared" si="6"/>
        <v>1</v>
      </c>
      <c r="I31" s="235">
        <f t="shared" si="6"/>
        <v>1</v>
      </c>
      <c r="J31" s="235">
        <f t="shared" si="6"/>
        <v>1</v>
      </c>
      <c r="K31" s="235">
        <f t="shared" si="6"/>
        <v>0.99999999999999989</v>
      </c>
      <c r="L31" s="235">
        <f t="shared" si="6"/>
        <v>1</v>
      </c>
      <c r="M31" s="235">
        <f t="shared" si="6"/>
        <v>1</v>
      </c>
      <c r="N31" s="235">
        <f t="shared" si="6"/>
        <v>0.99999999999999978</v>
      </c>
      <c r="O31" s="235">
        <f t="shared" si="6"/>
        <v>0.99999999999999989</v>
      </c>
      <c r="P31" s="235">
        <f t="shared" si="6"/>
        <v>1</v>
      </c>
      <c r="Q31" s="235">
        <f t="shared" si="6"/>
        <v>1</v>
      </c>
      <c r="R31" s="235">
        <f t="shared" ref="R31:W31" si="7">SUM(R32:R40)</f>
        <v>0.99999999999999989</v>
      </c>
      <c r="S31" s="235">
        <f t="shared" si="7"/>
        <v>1</v>
      </c>
      <c r="T31" s="235">
        <f t="shared" si="7"/>
        <v>1</v>
      </c>
      <c r="U31" s="235">
        <f t="shared" si="7"/>
        <v>1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0.18366006211430144</v>
      </c>
      <c r="C35" s="246">
        <f t="shared" si="12"/>
        <v>0.19016897502214275</v>
      </c>
      <c r="D35" s="246">
        <f t="shared" si="12"/>
        <v>0.19332626206358355</v>
      </c>
      <c r="E35" s="246">
        <f t="shared" si="12"/>
        <v>0.18141298226828098</v>
      </c>
      <c r="F35" s="246">
        <f t="shared" si="12"/>
        <v>0.18288217529354428</v>
      </c>
      <c r="G35" s="246">
        <f t="shared" si="12"/>
        <v>0.18640571668320333</v>
      </c>
      <c r="H35" s="246">
        <f t="shared" si="12"/>
        <v>0.18711916812907547</v>
      </c>
      <c r="I35" s="246">
        <f t="shared" si="12"/>
        <v>0.17885474065058712</v>
      </c>
      <c r="J35" s="246">
        <f t="shared" si="12"/>
        <v>0.1908996792647388</v>
      </c>
      <c r="K35" s="246">
        <f t="shared" si="12"/>
        <v>0.18319421224502946</v>
      </c>
      <c r="L35" s="246">
        <f t="shared" si="12"/>
        <v>0.19006896143122523</v>
      </c>
      <c r="M35" s="246">
        <f t="shared" si="12"/>
        <v>0.18895763143135877</v>
      </c>
      <c r="N35" s="246">
        <f t="shared" si="12"/>
        <v>0.19065371490730609</v>
      </c>
      <c r="O35" s="246">
        <f t="shared" si="12"/>
        <v>0.19640978234805925</v>
      </c>
      <c r="P35" s="246">
        <f t="shared" si="12"/>
        <v>0.18858262328164699</v>
      </c>
      <c r="Q35" s="246">
        <f t="shared" si="12"/>
        <v>0.18552518731755174</v>
      </c>
      <c r="R35" s="246">
        <f t="shared" si="12"/>
        <v>0.1866926465576223</v>
      </c>
      <c r="S35" s="246">
        <f t="shared" si="12"/>
        <v>0.19390698675389775</v>
      </c>
      <c r="T35" s="246">
        <f t="shared" si="12"/>
        <v>0.19199667721098745</v>
      </c>
      <c r="U35" s="246">
        <f t="shared" si="12"/>
        <v>0.19576237185428366</v>
      </c>
      <c r="V35" s="246">
        <f t="shared" si="12"/>
        <v>0.19721708589095441</v>
      </c>
      <c r="W35" s="246">
        <f t="shared" si="12"/>
        <v>0.210207183452156</v>
      </c>
      <c r="X35" s="246">
        <f t="shared" si="12"/>
        <v>0.21206184229929115</v>
      </c>
      <c r="Y35" s="246">
        <f t="shared" si="12"/>
        <v>0.21118098297218807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0.24961193198192924</v>
      </c>
      <c r="C36" s="259">
        <f t="shared" si="13"/>
        <v>0.25853716748335209</v>
      </c>
      <c r="D36" s="259">
        <f t="shared" si="13"/>
        <v>0.26421116093000652</v>
      </c>
      <c r="E36" s="259">
        <f t="shared" si="13"/>
        <v>0.24688516894059498</v>
      </c>
      <c r="F36" s="259">
        <f t="shared" si="13"/>
        <v>0.25918031970563987</v>
      </c>
      <c r="G36" s="259">
        <f t="shared" si="13"/>
        <v>0.26463678583243744</v>
      </c>
      <c r="H36" s="259">
        <f t="shared" si="13"/>
        <v>0.26795874971130534</v>
      </c>
      <c r="I36" s="259">
        <f t="shared" si="13"/>
        <v>0.26744119743999817</v>
      </c>
      <c r="J36" s="259">
        <f t="shared" si="13"/>
        <v>0.29449701675848761</v>
      </c>
      <c r="K36" s="259">
        <f t="shared" si="13"/>
        <v>0.29918840026455529</v>
      </c>
      <c r="L36" s="259">
        <f t="shared" si="13"/>
        <v>0.31789046898385004</v>
      </c>
      <c r="M36" s="259">
        <f t="shared" si="13"/>
        <v>0.31667209812387803</v>
      </c>
      <c r="N36" s="259">
        <f t="shared" si="13"/>
        <v>0.31907711647920395</v>
      </c>
      <c r="O36" s="259">
        <f t="shared" si="13"/>
        <v>0.31857865919709422</v>
      </c>
      <c r="P36" s="259">
        <f t="shared" si="13"/>
        <v>0.32158198009830657</v>
      </c>
      <c r="Q36" s="259">
        <f t="shared" si="13"/>
        <v>0.31423037049189267</v>
      </c>
      <c r="R36" s="259">
        <f t="shared" si="13"/>
        <v>0.31240079869520743</v>
      </c>
      <c r="S36" s="259">
        <f t="shared" si="13"/>
        <v>0.30532246096677745</v>
      </c>
      <c r="T36" s="259">
        <f t="shared" si="13"/>
        <v>0.30298073972545347</v>
      </c>
      <c r="U36" s="259">
        <f t="shared" si="13"/>
        <v>0.30260352084226511</v>
      </c>
      <c r="V36" s="259">
        <f t="shared" si="13"/>
        <v>0.29944769966295326</v>
      </c>
      <c r="W36" s="259">
        <f t="shared" si="13"/>
        <v>0.28585582979239882</v>
      </c>
      <c r="X36" s="259">
        <f t="shared" si="13"/>
        <v>0.30121004851620864</v>
      </c>
      <c r="Y36" s="259">
        <f t="shared" si="13"/>
        <v>0.2963909877651939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0.51876299297619177</v>
      </c>
      <c r="C37" s="259">
        <f t="shared" si="14"/>
        <v>0.50161378618486907</v>
      </c>
      <c r="D37" s="259">
        <f t="shared" si="14"/>
        <v>0.49169220057049712</v>
      </c>
      <c r="E37" s="259">
        <f t="shared" si="14"/>
        <v>0.52426080610603287</v>
      </c>
      <c r="F37" s="259">
        <f t="shared" si="14"/>
        <v>0.50813384663181338</v>
      </c>
      <c r="G37" s="259">
        <f t="shared" si="14"/>
        <v>0.49810533367640331</v>
      </c>
      <c r="H37" s="259">
        <f t="shared" si="14"/>
        <v>0.49343157530800458</v>
      </c>
      <c r="I37" s="259">
        <f t="shared" si="14"/>
        <v>0.50231300703987025</v>
      </c>
      <c r="J37" s="259">
        <f t="shared" si="14"/>
        <v>0.45801324794941789</v>
      </c>
      <c r="K37" s="259">
        <f t="shared" si="14"/>
        <v>0.46012584302566761</v>
      </c>
      <c r="L37" s="259">
        <f t="shared" si="14"/>
        <v>0.43095526675786316</v>
      </c>
      <c r="M37" s="259">
        <f t="shared" si="14"/>
        <v>0.43351908773201314</v>
      </c>
      <c r="N37" s="259">
        <f t="shared" si="14"/>
        <v>0.42895584158100181</v>
      </c>
      <c r="O37" s="259">
        <f t="shared" si="14"/>
        <v>0.42379401414312196</v>
      </c>
      <c r="P37" s="259">
        <f t="shared" si="14"/>
        <v>0.42804073916830271</v>
      </c>
      <c r="Q37" s="259">
        <f t="shared" si="14"/>
        <v>0.43986245779097871</v>
      </c>
      <c r="R37" s="259">
        <f t="shared" si="14"/>
        <v>0.44087613781547497</v>
      </c>
      <c r="S37" s="259">
        <f t="shared" si="14"/>
        <v>0.44210029693106884</v>
      </c>
      <c r="T37" s="259">
        <f t="shared" si="14"/>
        <v>0.446802308967085</v>
      </c>
      <c r="U37" s="259">
        <f t="shared" si="14"/>
        <v>0.44348631895902035</v>
      </c>
      <c r="V37" s="259">
        <f t="shared" si="14"/>
        <v>0.44579384344101264</v>
      </c>
      <c r="W37" s="259">
        <f t="shared" si="14"/>
        <v>0.4490074068169011</v>
      </c>
      <c r="X37" s="259">
        <f t="shared" si="14"/>
        <v>0.42884808816033654</v>
      </c>
      <c r="Y37" s="259">
        <f t="shared" si="14"/>
        <v>0.43547403092248976</v>
      </c>
      <c r="DA37" s="278"/>
    </row>
    <row r="38" spans="1:105" x14ac:dyDescent="0.25">
      <c r="A38" s="127" t="s">
        <v>167</v>
      </c>
      <c r="B38" s="259">
        <f t="shared" ref="B38:Y38" si="15">IF(B$25=0,0,B$25/B$5)</f>
        <v>4.7965012927577537E-2</v>
      </c>
      <c r="C38" s="259">
        <f t="shared" si="15"/>
        <v>4.9680071309636031E-2</v>
      </c>
      <c r="D38" s="259">
        <f t="shared" si="15"/>
        <v>5.0770376435912881E-2</v>
      </c>
      <c r="E38" s="259">
        <f t="shared" si="15"/>
        <v>4.7441042685091243E-2</v>
      </c>
      <c r="F38" s="259">
        <f t="shared" si="15"/>
        <v>4.9803658369002475E-2</v>
      </c>
      <c r="G38" s="259">
        <f t="shared" si="15"/>
        <v>5.0852163807955944E-2</v>
      </c>
      <c r="H38" s="259">
        <f t="shared" si="15"/>
        <v>5.1490506851614548E-2</v>
      </c>
      <c r="I38" s="259">
        <f t="shared" si="15"/>
        <v>5.1391054869544477E-2</v>
      </c>
      <c r="J38" s="259">
        <f t="shared" si="15"/>
        <v>5.659005602735568E-2</v>
      </c>
      <c r="K38" s="259">
        <f t="shared" si="15"/>
        <v>5.74915444647476E-2</v>
      </c>
      <c r="L38" s="259">
        <f t="shared" si="15"/>
        <v>6.108530282706158E-2</v>
      </c>
      <c r="M38" s="259">
        <f t="shared" si="15"/>
        <v>6.0851182712750029E-2</v>
      </c>
      <c r="N38" s="259">
        <f t="shared" si="15"/>
        <v>6.1313327032487985E-2</v>
      </c>
      <c r="O38" s="259">
        <f t="shared" si="15"/>
        <v>6.1217544311724575E-2</v>
      </c>
      <c r="P38" s="259">
        <f t="shared" si="15"/>
        <v>6.1794657451743638E-2</v>
      </c>
      <c r="Q38" s="259">
        <f t="shared" si="15"/>
        <v>6.0381984399576913E-2</v>
      </c>
      <c r="R38" s="259">
        <f t="shared" si="15"/>
        <v>6.0030416931695231E-2</v>
      </c>
      <c r="S38" s="259">
        <f t="shared" si="15"/>
        <v>5.8670255348255873E-2</v>
      </c>
      <c r="T38" s="259">
        <f t="shared" si="15"/>
        <v>5.8220274096474157E-2</v>
      </c>
      <c r="U38" s="259">
        <f t="shared" si="15"/>
        <v>5.8147788344430955E-2</v>
      </c>
      <c r="V38" s="259">
        <f t="shared" si="15"/>
        <v>5.7541371005079688E-2</v>
      </c>
      <c r="W38" s="259">
        <f t="shared" si="15"/>
        <v>5.4929579938544096E-2</v>
      </c>
      <c r="X38" s="259">
        <f t="shared" si="15"/>
        <v>5.7880021024163765E-2</v>
      </c>
      <c r="Y38" s="259">
        <f t="shared" si="15"/>
        <v>5.6953998340128223E-2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3.0517423782790982</v>
      </c>
      <c r="C44" s="237">
        <f>IF(C$5=0,0,C$5/AGR_fec!C$5)</f>
        <v>3.0360610509995403</v>
      </c>
      <c r="D44" s="237">
        <f>IF(D$5=0,0,D$5/AGR_fec!D$5)</f>
        <v>3.0373764222522914</v>
      </c>
      <c r="E44" s="237">
        <f>IF(E$5=0,0,E$5/AGR_fec!E$5)</f>
        <v>3.0734283241632117</v>
      </c>
      <c r="F44" s="237">
        <f>IF(F$5=0,0,F$5/AGR_fec!F$5)</f>
        <v>2.7655075370683964</v>
      </c>
      <c r="G44" s="237">
        <f>IF(G$5=0,0,G$5/AGR_fec!G$5)</f>
        <v>2.7517243092682477</v>
      </c>
      <c r="H44" s="237">
        <f>IF(H$5=0,0,H$5/AGR_fec!H$5)</f>
        <v>2.7412042092804181</v>
      </c>
      <c r="I44" s="237">
        <f>IF(I$5=0,0,I$5/AGR_fec!I$5)</f>
        <v>2.6283507131430572</v>
      </c>
      <c r="J44" s="237">
        <f>IF(J$5=0,0,J$5/AGR_fec!J$5)</f>
        <v>2.5584001504303515</v>
      </c>
      <c r="K44" s="237">
        <f>IF(K$5=0,0,K$5/AGR_fec!K$5)</f>
        <v>2.3641737759562149</v>
      </c>
      <c r="L44" s="237">
        <f>IF(L$5=0,0,L$5/AGR_fec!L$5)</f>
        <v>2.272949209207999</v>
      </c>
      <c r="M44" s="237">
        <f>IF(M$5=0,0,M$5/AGR_fec!M$5)</f>
        <v>2.2461928924739341</v>
      </c>
      <c r="N44" s="237">
        <f>IF(N$5=0,0,N$5/AGR_fec!N$5)</f>
        <v>2.1959634603717819</v>
      </c>
      <c r="O44" s="237">
        <f>IF(O$5=0,0,O$5/AGR_fec!O$5)</f>
        <v>2.2297316331003052</v>
      </c>
      <c r="P44" s="237">
        <f>IF(P$5=0,0,P$5/AGR_fec!P$5)</f>
        <v>2.150441829896514</v>
      </c>
      <c r="Q44" s="237">
        <f>IF(Q$5=0,0,Q$5/AGR_fec!Q$5)</f>
        <v>2.0893886487321671</v>
      </c>
      <c r="R44" s="237">
        <f>IF(R$5=0,0,R$5/AGR_fec!R$5)</f>
        <v>2.1189343446008566</v>
      </c>
      <c r="S44" s="237">
        <f>IF(S$5=0,0,S$5/AGR_fec!S$5)</f>
        <v>2.1577781478369578</v>
      </c>
      <c r="T44" s="237">
        <f>IF(T$5=0,0,T$5/AGR_fec!T$5)</f>
        <v>2.1210831620186053</v>
      </c>
      <c r="U44" s="237">
        <f>IF(U$5=0,0,U$5/AGR_fec!U$5)</f>
        <v>2.1519383072004454</v>
      </c>
      <c r="V44" s="237">
        <f>IF(V$5=0,0,V$5/AGR_fec!V$5)</f>
        <v>2.0975832908414302</v>
      </c>
      <c r="W44" s="237">
        <f>IF(W$5=0,0,W$5/AGR_fec!W$5)</f>
        <v>2.1492451215341464</v>
      </c>
      <c r="X44" s="237">
        <f>IF(X$5=0,0,X$5/AGR_fec!X$5)</f>
        <v>2.3016742732316824</v>
      </c>
      <c r="Y44" s="237">
        <f>IF(Y$5=0,0,Y$5/AGR_fec!Y$5)</f>
        <v>2.2337740051068735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3.0967778969350435</v>
      </c>
      <c r="C48" s="252">
        <f>IF(C$9=0,0,C$9/AGR_fec!C$9)</f>
        <v>3.0962673097997135</v>
      </c>
      <c r="D48" s="252">
        <f>IF(D$9=0,0,D$9/AGR_fec!D$9)</f>
        <v>3.0912662750827824</v>
      </c>
      <c r="E48" s="252">
        <f>IF(E$9=0,0,E$9/AGR_fec!E$9)</f>
        <v>3.0958700873510345</v>
      </c>
      <c r="F48" s="252">
        <f>IF(F$9=0,0,F$9/AGR_fec!F$9)</f>
        <v>2.6408102074869264</v>
      </c>
      <c r="G48" s="252">
        <f>IF(G$9=0,0,G$9/AGR_fec!G$9)</f>
        <v>2.6748077043533178</v>
      </c>
      <c r="H48" s="252">
        <f>IF(H$9=0,0,H$9/AGR_fec!H$9)</f>
        <v>2.6156729883223111</v>
      </c>
      <c r="I48" s="252">
        <f>IF(I$9=0,0,I$9/AGR_fec!I$9)</f>
        <v>2.4925157633330368</v>
      </c>
      <c r="J48" s="252">
        <f>IF(J$9=0,0,J$9/AGR_fec!J$9)</f>
        <v>2.5267038583487937</v>
      </c>
      <c r="K48" s="252">
        <f>IF(K$9=0,0,K$9/AGR_fec!K$9)</f>
        <v>2.2256065424359095</v>
      </c>
      <c r="L48" s="252">
        <f>IF(L$9=0,0,L$9/AGR_fec!L$9)</f>
        <v>2.1263256117691274</v>
      </c>
      <c r="M48" s="252">
        <f>IF(M$9=0,0,M$9/AGR_fec!M$9)</f>
        <v>2.0732981193082192</v>
      </c>
      <c r="N48" s="252">
        <f>IF(N$9=0,0,N$9/AGR_fec!N$9)</f>
        <v>2.0388632713780797</v>
      </c>
      <c r="O48" s="252">
        <f>IF(O$9=0,0,O$9/AGR_fec!O$9)</f>
        <v>2.1171557560486534</v>
      </c>
      <c r="P48" s="252">
        <f>IF(P$9=0,0,P$9/AGR_fec!P$9)</f>
        <v>1.965000657800801</v>
      </c>
      <c r="Q48" s="252">
        <f>IF(Q$9=0,0,Q$9/AGR_fec!Q$9)</f>
        <v>1.8454258996497692</v>
      </c>
      <c r="R48" s="252">
        <f>IF(R$9=0,0,R$9/AGR_fec!R$9)</f>
        <v>1.8855266480028321</v>
      </c>
      <c r="S48" s="252">
        <f>IF(S$9=0,0,S$9/AGR_fec!S$9)</f>
        <v>1.9774101143670946</v>
      </c>
      <c r="T48" s="252">
        <f>IF(T$9=0,0,T$9/AGR_fec!T$9)</f>
        <v>1.9119276347252006</v>
      </c>
      <c r="U48" s="252">
        <f>IF(U$9=0,0,U$9/AGR_fec!U$9)</f>
        <v>1.9739931070720886</v>
      </c>
      <c r="V48" s="252">
        <f>IF(V$9=0,0,V$9/AGR_fec!V$9)</f>
        <v>1.9337355498474949</v>
      </c>
      <c r="W48" s="252">
        <f>IF(W$9=0,0,W$9/AGR_fec!W$9)</f>
        <v>2.0624512917692135</v>
      </c>
      <c r="X48" s="252">
        <f>IF(X$9=0,0,X$9/AGR_fec!X$9)</f>
        <v>2.2579898225395856</v>
      </c>
      <c r="Y48" s="252">
        <f>IF(Y$9=0,0,Y$9/AGR_fec!Y$9)</f>
        <v>2.1766584158562035</v>
      </c>
      <c r="DA48" s="289"/>
    </row>
    <row r="49" spans="1:105" x14ac:dyDescent="0.25">
      <c r="A49" s="127" t="s">
        <v>168</v>
      </c>
      <c r="B49" s="264">
        <f>IF(B$16=0,0,B$16/AGR_fec!B$16)</f>
        <v>3.1024187999999997</v>
      </c>
      <c r="C49" s="264">
        <f>IF(C$16=0,0,C$16/AGR_fec!C$16)</f>
        <v>3.1024188000000006</v>
      </c>
      <c r="D49" s="264">
        <f>IF(D$16=0,0,D$16/AGR_fec!D$16)</f>
        <v>3.1024188000000006</v>
      </c>
      <c r="E49" s="264">
        <f>IF(E$16=0,0,E$16/AGR_fec!E$16)</f>
        <v>3.1024187999999993</v>
      </c>
      <c r="F49" s="264">
        <f>IF(F$16=0,0,F$16/AGR_fec!F$16)</f>
        <v>3.1024188000000006</v>
      </c>
      <c r="G49" s="264">
        <f>IF(G$16=0,0,G$16/AGR_fec!G$16)</f>
        <v>3.1021329563913462</v>
      </c>
      <c r="H49" s="264">
        <f>IF(H$16=0,0,H$16/AGR_fec!H$16)</f>
        <v>3.0975407922886569</v>
      </c>
      <c r="I49" s="264">
        <f>IF(I$16=0,0,I$16/AGR_fec!I$16)</f>
        <v>3.0765737336981891</v>
      </c>
      <c r="J49" s="264">
        <f>IF(J$16=0,0,J$16/AGR_fec!J$16)</f>
        <v>3.0815164587624766</v>
      </c>
      <c r="K49" s="264">
        <f>IF(K$16=0,0,K$16/AGR_fec!K$16)</f>
        <v>3.0602386326037676</v>
      </c>
      <c r="L49" s="264">
        <f>IF(L$16=0,0,L$16/AGR_fec!L$16)</f>
        <v>3.1024187999999993</v>
      </c>
      <c r="M49" s="264">
        <f>IF(M$16=0,0,M$16/AGR_fec!M$16)</f>
        <v>3.1024188000000001</v>
      </c>
      <c r="N49" s="264">
        <f>IF(N$16=0,0,N$16/AGR_fec!N$16)</f>
        <v>3.1024188000000006</v>
      </c>
      <c r="O49" s="264">
        <f>IF(O$16=0,0,O$16/AGR_fec!O$16)</f>
        <v>3.1024187999999997</v>
      </c>
      <c r="P49" s="264">
        <f>IF(P$16=0,0,P$16/AGR_fec!P$16)</f>
        <v>3.102418800000001</v>
      </c>
      <c r="Q49" s="264">
        <f>IF(Q$16=0,0,Q$16/AGR_fec!Q$16)</f>
        <v>3.1024188000000001</v>
      </c>
      <c r="R49" s="264">
        <f>IF(R$16=0,0,R$16/AGR_fec!R$16)</f>
        <v>3.1024188000000001</v>
      </c>
      <c r="S49" s="264">
        <f>IF(S$16=0,0,S$16/AGR_fec!S$16)</f>
        <v>3.1024187999999993</v>
      </c>
      <c r="T49" s="264">
        <f>IF(T$16=0,0,T$16/AGR_fec!T$16)</f>
        <v>3.1024187999999993</v>
      </c>
      <c r="U49" s="264">
        <f>IF(U$16=0,0,U$16/AGR_fec!U$16)</f>
        <v>3.1024188000000006</v>
      </c>
      <c r="V49" s="264">
        <f>IF(V$16=0,0,V$16/AGR_fec!V$16)</f>
        <v>3.1024188000000006</v>
      </c>
      <c r="W49" s="264">
        <f>IF(W$16=0,0,W$16/AGR_fec!W$16)</f>
        <v>3.1024188000000006</v>
      </c>
      <c r="X49" s="264">
        <f>IF(X$16=0,0,X$16/AGR_fec!X$16)</f>
        <v>3.1024187999999997</v>
      </c>
      <c r="Y49" s="264">
        <f>IF(Y$16=0,0,Y$16/AGR_fec!Y$16)</f>
        <v>3.1024187999999988</v>
      </c>
      <c r="DA49" s="290"/>
    </row>
    <row r="50" spans="1:105" x14ac:dyDescent="0.25">
      <c r="A50" s="127" t="s">
        <v>121</v>
      </c>
      <c r="B50" s="264">
        <f>IF(B$17=0,0,B$17/AGR_fec!B$17)</f>
        <v>3.1741650122964944</v>
      </c>
      <c r="C50" s="264">
        <f>IF(C$17=0,0,C$17/AGR_fec!C$17)</f>
        <v>3.1568733287195805</v>
      </c>
      <c r="D50" s="264">
        <f>IF(D$17=0,0,D$17/AGR_fec!D$17)</f>
        <v>3.2144798681275386</v>
      </c>
      <c r="E50" s="264">
        <f>IF(E$17=0,0,E$17/AGR_fec!E$17)</f>
        <v>3.225584136166519</v>
      </c>
      <c r="F50" s="264">
        <f>IF(F$17=0,0,F$17/AGR_fec!F$17)</f>
        <v>3.067979840945767</v>
      </c>
      <c r="G50" s="264">
        <f>IF(G$17=0,0,G$17/AGR_fec!G$17)</f>
        <v>3.0576854589274385</v>
      </c>
      <c r="H50" s="264">
        <f>IF(H$17=0,0,H$17/AGR_fec!H$17)</f>
        <v>3.0402840930474553</v>
      </c>
      <c r="I50" s="264">
        <f>IF(I$17=0,0,I$17/AGR_fec!I$17)</f>
        <v>2.9861491324567573</v>
      </c>
      <c r="J50" s="264">
        <f>IF(J$17=0,0,J$17/AGR_fec!J$17)</f>
        <v>2.9262327726961339</v>
      </c>
      <c r="K50" s="264">
        <f>IF(K$17=0,0,K$17/AGR_fec!K$17)</f>
        <v>2.7365578465559501</v>
      </c>
      <c r="L50" s="264">
        <f>IF(L$17=0,0,L$17/AGR_fec!L$17)</f>
        <v>2.5881197790923416</v>
      </c>
      <c r="M50" s="264">
        <f>IF(M$17=0,0,M$17/AGR_fec!M$17)</f>
        <v>2.5840623694787932</v>
      </c>
      <c r="N50" s="264">
        <f>IF(N$17=0,0,N$17/AGR_fec!N$17)</f>
        <v>2.5002925336983761</v>
      </c>
      <c r="O50" s="264">
        <f>IF(O$17=0,0,O$17/AGR_fec!O$17)</f>
        <v>2.4526855902311824</v>
      </c>
      <c r="P50" s="264">
        <f>IF(P$17=0,0,P$17/AGR_fec!P$17)</f>
        <v>2.4160945008990287</v>
      </c>
      <c r="Q50" s="264">
        <f>IF(Q$17=0,0,Q$17/AGR_fec!Q$17)</f>
        <v>2.3788698078033228</v>
      </c>
      <c r="R50" s="264">
        <f>IF(R$17=0,0,R$17/AGR_fec!R$17)</f>
        <v>2.4196440439658367</v>
      </c>
      <c r="S50" s="264">
        <f>IF(S$17=0,0,S$17/AGR_fec!S$17)</f>
        <v>2.4259758365655397</v>
      </c>
      <c r="T50" s="264">
        <f>IF(T$17=0,0,T$17/AGR_fec!T$17)</f>
        <v>2.417494225001279</v>
      </c>
      <c r="U50" s="264">
        <f>IF(U$17=0,0,U$17/AGR_fec!U$17)</f>
        <v>2.4327617290421197</v>
      </c>
      <c r="V50" s="264">
        <f>IF(V$17=0,0,V$17/AGR_fec!V$17)</f>
        <v>2.3762527849443011</v>
      </c>
      <c r="W50" s="264">
        <f>IF(W$17=0,0,W$17/AGR_fec!W$17)</f>
        <v>2.3706682645118624</v>
      </c>
      <c r="X50" s="264">
        <f>IF(X$17=0,0,X$17/AGR_fec!X$17)</f>
        <v>2.436443947000174</v>
      </c>
      <c r="Y50" s="264">
        <f>IF(Y$17=0,0,Y$17/AGR_fec!Y$17)</f>
        <v>2.4168485115368772</v>
      </c>
      <c r="DA50" s="290"/>
    </row>
    <row r="51" spans="1:105" x14ac:dyDescent="0.25">
      <c r="A51" s="127" t="s">
        <v>167</v>
      </c>
      <c r="B51" s="264">
        <f>IF(B$25=0,0,B$25/AGR_fec!B$25)</f>
        <v>3.1024187999999997</v>
      </c>
      <c r="C51" s="264">
        <f>IF(C$25=0,0,C$25/AGR_fec!C$25)</f>
        <v>3.1024188000000019</v>
      </c>
      <c r="D51" s="264">
        <f>IF(D$25=0,0,D$25/AGR_fec!D$25)</f>
        <v>3.1024188000000006</v>
      </c>
      <c r="E51" s="264">
        <f>IF(E$25=0,0,E$25/AGR_fec!E$25)</f>
        <v>3.1024187999999997</v>
      </c>
      <c r="F51" s="264">
        <f>IF(F$25=0,0,F$25/AGR_fec!F$25)</f>
        <v>3.1024187999999997</v>
      </c>
      <c r="G51" s="264">
        <f>IF(G$25=0,0,G$25/AGR_fec!G$25)</f>
        <v>3.1021329563913476</v>
      </c>
      <c r="H51" s="264">
        <f>IF(H$25=0,0,H$25/AGR_fec!H$25)</f>
        <v>3.0975407922886569</v>
      </c>
      <c r="I51" s="264">
        <f>IF(I$25=0,0,I$25/AGR_fec!I$25)</f>
        <v>3.0765737336981913</v>
      </c>
      <c r="J51" s="264">
        <f>IF(J$25=0,0,J$25/AGR_fec!J$25)</f>
        <v>3.0815164587624762</v>
      </c>
      <c r="K51" s="264">
        <f>IF(K$25=0,0,K$25/AGR_fec!K$25)</f>
        <v>3.0602386326037694</v>
      </c>
      <c r="L51" s="264">
        <f>IF(L$25=0,0,L$25/AGR_fec!L$25)</f>
        <v>3.1024187999999984</v>
      </c>
      <c r="M51" s="264">
        <f>IF(M$25=0,0,M$25/AGR_fec!M$25)</f>
        <v>3.1024188000000001</v>
      </c>
      <c r="N51" s="264">
        <f>IF(N$25=0,0,N$25/AGR_fec!N$25)</f>
        <v>3.1024187999999997</v>
      </c>
      <c r="O51" s="264">
        <f>IF(O$25=0,0,O$25/AGR_fec!O$25)</f>
        <v>3.1024187999999997</v>
      </c>
      <c r="P51" s="264">
        <f>IF(P$25=0,0,P$25/AGR_fec!P$25)</f>
        <v>3.1024188000000001</v>
      </c>
      <c r="Q51" s="264">
        <f>IF(Q$25=0,0,Q$25/AGR_fec!Q$25)</f>
        <v>3.1024188000000001</v>
      </c>
      <c r="R51" s="264">
        <f>IF(R$25=0,0,R$25/AGR_fec!R$25)</f>
        <v>3.1024187999999988</v>
      </c>
      <c r="S51" s="264">
        <f>IF(S$25=0,0,S$25/AGR_fec!S$25)</f>
        <v>3.1024188000000001</v>
      </c>
      <c r="T51" s="264">
        <f>IF(T$25=0,0,T$25/AGR_fec!T$25)</f>
        <v>3.1024188000000001</v>
      </c>
      <c r="U51" s="264">
        <f>IF(U$25=0,0,U$25/AGR_fec!U$25)</f>
        <v>3.1024187999999997</v>
      </c>
      <c r="V51" s="264">
        <f>IF(V$25=0,0,V$25/AGR_fec!V$25)</f>
        <v>3.1024188000000006</v>
      </c>
      <c r="W51" s="264">
        <f>IF(W$25=0,0,W$25/AGR_fec!W$25)</f>
        <v>3.1024187999999997</v>
      </c>
      <c r="X51" s="264">
        <f>IF(X$25=0,0,X$25/AGR_fec!X$25)</f>
        <v>3.1024188000000001</v>
      </c>
      <c r="Y51" s="264">
        <f>IF(Y$25=0,0,Y$25/AGR_fec!Y$25)</f>
        <v>3.1024187999999993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2025-11-06T10:19:22Z</dcterms:created>
  <dcterms:modified xsi:type="dcterms:W3CDTF">2025-11-06T10:19:23Z</dcterms:modified>
</cp:coreProperties>
</file>