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BE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121" i="59" l="1"/>
  <c r="AA88" i="59"/>
  <c r="AA117" i="59"/>
  <c r="AA84" i="59"/>
  <c r="AA82" i="59"/>
  <c r="AA81" i="59"/>
  <c r="AA113" i="59"/>
  <c r="AA79" i="59"/>
  <c r="AA110" i="59"/>
  <c r="AA109" i="59"/>
  <c r="AA74" i="59"/>
  <c r="AA106" i="59"/>
  <c r="AA105" i="59"/>
  <c r="AA70" i="59"/>
  <c r="AA102" i="59"/>
  <c r="AA101" i="59"/>
  <c r="AA66" i="59"/>
  <c r="AA98" i="59"/>
  <c r="AA89" i="59"/>
  <c r="AA97" i="59"/>
  <c r="AA93" i="59"/>
  <c r="Z5" i="59"/>
  <c r="AA5" i="59"/>
  <c r="Z111" i="59"/>
  <c r="D75" i="57"/>
  <c r="Y75" i="57"/>
  <c r="V75" i="57"/>
  <c r="Q75" i="57"/>
  <c r="K75" i="57"/>
  <c r="F75" i="57"/>
  <c r="X54" i="57"/>
  <c r="H54" i="57"/>
  <c r="V54" i="57"/>
  <c r="S54" i="57"/>
  <c r="R54" i="57"/>
  <c r="N54" i="57"/>
  <c r="F54" i="57"/>
  <c r="T54" i="57"/>
  <c r="L54" i="57"/>
  <c r="D54" i="57"/>
  <c r="V39" i="57"/>
  <c r="N39" i="57"/>
  <c r="F39" i="57"/>
  <c r="T39" i="57"/>
  <c r="L39" i="57"/>
  <c r="I39" i="57"/>
  <c r="D39" i="57"/>
  <c r="U39" i="57"/>
  <c r="R39" i="57"/>
  <c r="J39" i="57"/>
  <c r="O16" i="57"/>
  <c r="Y16" i="57"/>
  <c r="V16" i="57"/>
  <c r="S16" i="57"/>
  <c r="T75" i="57"/>
  <c r="U75" i="57"/>
  <c r="O75" i="57"/>
  <c r="J75" i="57"/>
  <c r="P54" i="57"/>
  <c r="Q54" i="57"/>
  <c r="I54" i="57"/>
  <c r="O39" i="57"/>
  <c r="E39" i="57"/>
  <c r="M16" i="57"/>
  <c r="G16" i="57"/>
  <c r="F16" i="57" l="1"/>
  <c r="H16" i="57"/>
  <c r="X16" i="57"/>
  <c r="AA80" i="59"/>
  <c r="AA114" i="59"/>
  <c r="Z54" i="55"/>
  <c r="Z99" i="59"/>
  <c r="Z103" i="59"/>
  <c r="Z107" i="59"/>
  <c r="Z115" i="59"/>
  <c r="H39" i="57"/>
  <c r="J54" i="57"/>
  <c r="E16" i="57"/>
  <c r="Q39" i="57"/>
  <c r="K54" i="57"/>
  <c r="E75" i="57"/>
  <c r="AA94" i="59"/>
  <c r="N16" i="57"/>
  <c r="P16" i="57"/>
  <c r="J16" i="57"/>
  <c r="W16" i="57"/>
  <c r="I16" i="57"/>
  <c r="Q16" i="57"/>
  <c r="K16" i="57"/>
  <c r="U16" i="57"/>
  <c r="K39" i="57"/>
  <c r="S39" i="57"/>
  <c r="M39" i="57"/>
  <c r="G39" i="57"/>
  <c r="W39" i="57"/>
  <c r="Y39" i="57"/>
  <c r="E54" i="57"/>
  <c r="M54" i="57"/>
  <c r="U54" i="57"/>
  <c r="G54" i="57"/>
  <c r="O54" i="57"/>
  <c r="W54" i="57"/>
  <c r="Y54" i="57"/>
  <c r="G75" i="57"/>
  <c r="W75" i="57"/>
  <c r="I75" i="57"/>
  <c r="S75" i="57"/>
  <c r="M75" i="57"/>
  <c r="AA54" i="57"/>
  <c r="AA78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5" i="59" l="1"/>
  <c r="AA9" i="59"/>
  <c r="AA10" i="59" s="1"/>
  <c r="Z9" i="59"/>
  <c r="Z10" i="59" s="1"/>
  <c r="AA12" i="59"/>
  <c r="AA13" i="59" s="1"/>
  <c r="Z12" i="59"/>
  <c r="Z13" i="59" s="1"/>
  <c r="AA96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7" i="4"/>
  <c r="B4" i="4"/>
  <c r="B6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<sst xmlns="http://schemas.openxmlformats.org/spreadsheetml/2006/main" count="722" uniqueCount="281">
  <si>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</si>
  <si>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</si>
  <si>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</si>
  <si>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</si>
  <si>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</si>
  <si>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</si>
  <si>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</si>
  <si>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</si>
  <si>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</si>
  <si>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</si>
  <si>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</si>
  <si>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</si>
  <si>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</si>
  <si>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</si>
  <si>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</si>
  <si>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</si>
  <si>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</si>
  <si>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</si>
  <si>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</si>
  <si>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</si>
  <si>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</si>
  <si>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</si>
  <si>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</si>
  <si>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</si>
  <si>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</si>
  <si>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</si>
  <si>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</si>
  <si>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</si>
  <si>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</si>
  <si>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</si>
  <si>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</si>
  <si>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</si>
  <si>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</si>
  <si>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</si>
  <si>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</si>
  <si>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</si>
  <si>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</si>
  <si>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</si>
  <si>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</si>
  <si>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</si>
  <si>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</si>
  <si>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</si>
  <si>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</si>
  <si>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</si>
  <si>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</si>
  <si>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</si>
  <si>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</si>
  <si>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</si>
  <si>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</si>
  <si>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</si>
  <si>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</si>
  <si>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</si>
  <si>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</si>
  <si>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</si>
  <si>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</si>
  <si>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</si>
  <si>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</si>
  <si>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</si>
  <si>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</si>
  <si>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</si>
  <si>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</si>
  <si>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</si>
  <si>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</si>
  <si>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</si>
  <si>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</si>
  <si>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</si>
  <si>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</si>
  <si>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</si>
  <si>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</si>
  <si>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</si>
  <si>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</si>
  <si>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</si>
  <si>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</si>
  <si>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</si>
  <si>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</si>
  <si>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</si>
  <si>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</si>
  <si>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</si>
  <si>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</si>
  <si>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</si>
  <si>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</si>
  <si>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</si>
  <si>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</si>
  <si>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</si>
  <si>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</si>
  <si>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</si>
  <si>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</si>
  <si>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</si>
  <si>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</si>
  <si>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</si>
  <si>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</si>
  <si>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</si>
  <si>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</si>
  <si>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</si>
  <si>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</si>
  <si>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</si>
  <si>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</si>
  <si>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</si>
  <si>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</si>
  <si>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</si>
  <si>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</si>
  <si>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</si>
  <si>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</si>
  <si>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</si>
  <si>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</si>
  <si>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</si>
  <si>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</si>
  <si>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</si>
  <si>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</si>
  <si>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</si>
  <si>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</si>
  <si>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</si>
  <si>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</si>
  <si>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</si>
  <si>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</si>
  <si>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</si>
  <si>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</si>
  <si>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</si>
  <si>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</si>
  <si>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</si>
  <si>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</si>
  <si>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</si>
  <si>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</si>
  <si>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</si>
  <si>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</si>
  <si>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</si>
  <si>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</si>
  <si>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</si>
  <si>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</si>
  <si>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</si>
  <si>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</si>
  <si>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</si>
  <si>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</si>
  <si>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</si>
  <si>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</si>
  <si>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</si>
  <si>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</si>
  <si>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</si>
  <si>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</si>
  <si>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</si>
  <si>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</si>
  <si>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</si>
  <si>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</si>
  <si>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</si>
  <si>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</si>
  <si>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</si>
  <si>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</si>
  <si>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</si>
  <si>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</si>
  <si>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</si>
  <si>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</si>
  <si>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</si>
  <si>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</si>
  <si>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</si>
  <si>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</si>
  <si>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</si>
  <si>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</si>
  <si>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</si>
  <si>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</si>
  <si>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</si>
  <si>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</si>
  <si>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</si>
  <si>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</si>
  <si>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</si>
  <si>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</si>
  <si>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</si>
  <si>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</si>
  <si>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</si>
  <si>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</si>
  <si>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</si>
  <si>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</si>
  <si>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</si>
  <si>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</si>
  <si>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</si>
  <si>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</si>
  <si>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</si>
  <si>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</si>
  <si>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</si>
  <si>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</si>
  <si>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</si>
  <si>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</si>
  <si>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</si>
  <si>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</si>
  <si>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</si>
  <si>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</si>
  <si>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</si>
  <si>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</si>
  <si>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</si>
  <si>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</si>
  <si>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</si>
  <si>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</si>
  <si>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</si>
  <si>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</si>
  <si>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</si>
  <si>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</si>
  <si>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</si>
  <si>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</si>
  <si>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</si>
  <si>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</si>
  <si>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</si>
  <si>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</si>
  <si>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</si>
  <si>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</si>
  <si>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</si>
  <si>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</si>
  <si>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</si>
  <si>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</si>
  <si>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</si>
  <si>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</si>
  <si>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</si>
  <si>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</si>
  <si>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</si>
  <si>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</si>
  <si>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</si>
  <si>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</si>
  <si>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</si>
  <si>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</si>
  <si>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</si>
  <si>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</si>
  <si>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</si>
  <si>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</si>
  <si>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</si>
  <si>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</si>
  <si>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</si>
  <si>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</si>
  <si>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</si>
  <si>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</si>
  <si>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</si>
  <si>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</si>
  <si>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</si>
  <si>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</si>
  <si>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</si>
  <si>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</si>
  <si>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</si>
  <si>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</si>
  <si>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</si>
  <si>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</si>
  <si>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</si>
  <si>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</si>
  <si>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</si>
  <si>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</si>
  <si>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</si>
  <si>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</si>
  <si>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</si>
  <si>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</si>
  <si>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</si>
  <si>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</si>
  <si>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</si>
  <si>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</si>
  <si>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</si>
  <si>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</si>
  <si>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</si>
  <si>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</si>
  <si>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</si>
  <si>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</si>
  <si>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</si>
  <si>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</si>
  <si>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</si>
  <si>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</si>
  <si>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</si>
  <si>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</si>
  <si>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</si>
  <si>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</si>
  <si>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</si>
  <si>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</si>
  <si>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</si>
  <si>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</si>
  <si>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</si>
  <si>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</si>
  <si>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</si>
  <si>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</si>
  <si>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</si>
  <si>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</si>
  <si>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</si>
  <si>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</si>
  <si>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</si>
  <si>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</si>
  <si>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</si>
  <si>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</si>
  <si>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BE</t>
  </si>
  <si>
    <t>Belgium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</si>
</sst>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45967.471620370372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256376.4</v>
      </c>
      <c r="E2" s="19">
        <v>264334.90000000002</v>
      </c>
      <c r="F2" s="19">
        <v>273255.90000000002</v>
      </c>
      <c r="G2" s="19">
        <v>281200.2</v>
      </c>
      <c r="H2" s="19">
        <v>296819.7</v>
      </c>
      <c r="I2" s="19">
        <v>310037.59999999998</v>
      </c>
      <c r="J2" s="19">
        <v>325151.5</v>
      </c>
      <c r="K2" s="19">
        <v>343618.9</v>
      </c>
      <c r="L2" s="19">
        <v>351743.1</v>
      </c>
      <c r="M2" s="19">
        <v>347734.9</v>
      </c>
      <c r="N2" s="19">
        <v>363242.4</v>
      </c>
      <c r="O2" s="19">
        <v>378745.4</v>
      </c>
      <c r="P2" s="19">
        <v>387934.9</v>
      </c>
      <c r="Q2" s="19">
        <v>394616.3</v>
      </c>
      <c r="R2" s="19">
        <v>404958.3</v>
      </c>
      <c r="S2" s="19">
        <v>415538</v>
      </c>
      <c r="T2" s="19">
        <v>428467.1</v>
      </c>
      <c r="U2" s="19">
        <v>443407.2</v>
      </c>
      <c r="V2" s="19">
        <v>459491.8</v>
      </c>
      <c r="W2" s="19">
        <v>479444.9</v>
      </c>
      <c r="X2" s="19">
        <v>463750.9</v>
      </c>
      <c r="Y2" s="19">
        <v>506047.2</v>
      </c>
      <c r="Z2" s="19">
        <v>563710.5</v>
      </c>
      <c r="AA2" s="19">
        <v>596202.69999999995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134116.1</v>
      </c>
      <c r="E3" s="23">
        <v>138526</v>
      </c>
      <c r="F3" s="23">
        <v>140825.9</v>
      </c>
      <c r="G3" s="23">
        <v>143956.1</v>
      </c>
      <c r="H3" s="23">
        <v>149126.9</v>
      </c>
      <c r="I3" s="23">
        <v>155602.70000000001</v>
      </c>
      <c r="J3" s="23">
        <v>162732.4</v>
      </c>
      <c r="K3" s="23">
        <v>170591.9</v>
      </c>
      <c r="L3" s="23">
        <v>178419.20000000001</v>
      </c>
      <c r="M3" s="23">
        <v>180099.5</v>
      </c>
      <c r="N3" s="23">
        <v>190228.2</v>
      </c>
      <c r="O3" s="23">
        <v>196479.4</v>
      </c>
      <c r="P3" s="23">
        <v>203724.2</v>
      </c>
      <c r="Q3" s="23">
        <v>208504.6</v>
      </c>
      <c r="R3" s="23">
        <v>212249.3</v>
      </c>
      <c r="S3" s="23">
        <v>217398.6</v>
      </c>
      <c r="T3" s="23">
        <v>224178.4</v>
      </c>
      <c r="U3" s="23">
        <v>233086.8</v>
      </c>
      <c r="V3" s="23">
        <v>241730.6</v>
      </c>
      <c r="W3" s="23">
        <v>248825.60000000001</v>
      </c>
      <c r="X3" s="23">
        <v>233039</v>
      </c>
      <c r="Y3" s="23">
        <v>252630.3</v>
      </c>
      <c r="Z3" s="23">
        <v>288518.59999999998</v>
      </c>
      <c r="AA3" s="23">
        <v>307645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228625.4</v>
      </c>
      <c r="E4" s="27">
        <v>236804.2</v>
      </c>
      <c r="F4" s="27">
        <v>244560.7</v>
      </c>
      <c r="G4" s="27">
        <v>251865.8</v>
      </c>
      <c r="H4" s="27">
        <v>264845.40000000002</v>
      </c>
      <c r="I4" s="27">
        <v>276828.7</v>
      </c>
      <c r="J4" s="27">
        <v>290022.59999999998</v>
      </c>
      <c r="K4" s="27">
        <v>306588.90000000002</v>
      </c>
      <c r="L4" s="27">
        <v>313984</v>
      </c>
      <c r="M4" s="27">
        <v>311073.7</v>
      </c>
      <c r="N4" s="27">
        <v>324827</v>
      </c>
      <c r="O4" s="27">
        <v>339303.2</v>
      </c>
      <c r="P4" s="27">
        <v>347256.9</v>
      </c>
      <c r="Q4" s="27">
        <v>353107</v>
      </c>
      <c r="R4" s="27">
        <v>362940</v>
      </c>
      <c r="S4" s="27">
        <v>372548.9</v>
      </c>
      <c r="T4" s="27">
        <v>382874.7</v>
      </c>
      <c r="U4" s="27">
        <v>395972</v>
      </c>
      <c r="V4" s="27">
        <v>410351.2</v>
      </c>
      <c r="W4" s="27">
        <v>429083.2</v>
      </c>
      <c r="X4" s="27">
        <v>417994.9</v>
      </c>
      <c r="Y4" s="27">
        <v>452406.9</v>
      </c>
      <c r="Z4" s="27">
        <v>508390.3</v>
      </c>
      <c r="AA4" s="27">
        <v>538959.5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3015</v>
      </c>
      <c r="E6" s="19">
        <v>2932.4</v>
      </c>
      <c r="F6" s="19">
        <v>2823.1</v>
      </c>
      <c r="G6" s="19">
        <v>2894.8</v>
      </c>
      <c r="H6" s="19">
        <v>3036.2</v>
      </c>
      <c r="I6" s="19">
        <v>2606.3000000000002</v>
      </c>
      <c r="J6" s="19">
        <v>2950</v>
      </c>
      <c r="K6" s="19">
        <v>3049.7</v>
      </c>
      <c r="L6" s="19">
        <v>2505.6</v>
      </c>
      <c r="M6" s="19">
        <v>2499.1</v>
      </c>
      <c r="N6" s="19">
        <v>3080</v>
      </c>
      <c r="O6" s="19">
        <v>2750.6</v>
      </c>
      <c r="P6" s="19">
        <v>3276.4</v>
      </c>
      <c r="Q6" s="19">
        <v>3017.1</v>
      </c>
      <c r="R6" s="19">
        <v>2901.6</v>
      </c>
      <c r="S6" s="19">
        <v>3119.1</v>
      </c>
      <c r="T6" s="19">
        <v>2884.4</v>
      </c>
      <c r="U6" s="19">
        <v>3234.8</v>
      </c>
      <c r="V6" s="19">
        <v>3053.9</v>
      </c>
      <c r="W6" s="19">
        <v>3446.2</v>
      </c>
      <c r="X6" s="19">
        <v>3305.7</v>
      </c>
      <c r="Y6" s="19">
        <v>3314.1</v>
      </c>
      <c r="Z6" s="19">
        <v>3929.1</v>
      </c>
      <c r="AA6" s="19">
        <v>4586.1000000000004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52154.1</v>
      </c>
      <c r="E7" s="23">
        <v>52236.1</v>
      </c>
      <c r="F7" s="23">
        <v>52973.3</v>
      </c>
      <c r="G7" s="23">
        <v>52943.6</v>
      </c>
      <c r="H7" s="23">
        <v>55022.9</v>
      </c>
      <c r="I7" s="23">
        <v>56344.9</v>
      </c>
      <c r="J7" s="23">
        <v>56631.9</v>
      </c>
      <c r="K7" s="23">
        <v>59877.5</v>
      </c>
      <c r="L7" s="23">
        <v>57930.1</v>
      </c>
      <c r="M7" s="23">
        <v>53760.7</v>
      </c>
      <c r="N7" s="23">
        <v>57388.4</v>
      </c>
      <c r="O7" s="23">
        <v>59709.2</v>
      </c>
      <c r="P7" s="23">
        <v>58833.3</v>
      </c>
      <c r="Q7" s="23">
        <v>59987.5</v>
      </c>
      <c r="R7" s="23">
        <v>60613.7</v>
      </c>
      <c r="S7" s="23">
        <v>61915.5</v>
      </c>
      <c r="T7" s="23">
        <v>62442.1</v>
      </c>
      <c r="U7" s="23">
        <v>65238.9</v>
      </c>
      <c r="V7" s="23">
        <v>66074.399999999994</v>
      </c>
      <c r="W7" s="23">
        <v>70005.8</v>
      </c>
      <c r="X7" s="23">
        <v>66815.899999999994</v>
      </c>
      <c r="Y7" s="23">
        <v>66537.3</v>
      </c>
      <c r="Z7" s="23">
        <v>82821.100000000006</v>
      </c>
      <c r="AA7" s="23">
        <v>81470.2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11796</v>
      </c>
      <c r="E8" s="23">
        <v>12029.4</v>
      </c>
      <c r="F8" s="23">
        <v>12027</v>
      </c>
      <c r="G8" s="23">
        <v>12369.8</v>
      </c>
      <c r="H8" s="23">
        <v>13126.9</v>
      </c>
      <c r="I8" s="23">
        <v>13642.3</v>
      </c>
      <c r="J8" s="23">
        <v>15356.4</v>
      </c>
      <c r="K8" s="23">
        <v>16687.5</v>
      </c>
      <c r="L8" s="23">
        <v>18030.400000000001</v>
      </c>
      <c r="M8" s="23">
        <v>17486.900000000001</v>
      </c>
      <c r="N8" s="23">
        <v>17656</v>
      </c>
      <c r="O8" s="23">
        <v>18886</v>
      </c>
      <c r="P8" s="23">
        <v>18736.8</v>
      </c>
      <c r="Q8" s="23">
        <v>18601.099999999999</v>
      </c>
      <c r="R8" s="23">
        <v>18835.3</v>
      </c>
      <c r="S8" s="23">
        <v>19017.900000000001</v>
      </c>
      <c r="T8" s="23">
        <v>19387</v>
      </c>
      <c r="U8" s="23">
        <v>19693.8</v>
      </c>
      <c r="V8" s="23">
        <v>21064.2</v>
      </c>
      <c r="W8" s="23">
        <v>22247.599999999999</v>
      </c>
      <c r="X8" s="23">
        <v>21673.200000000001</v>
      </c>
      <c r="Y8" s="23">
        <v>24533.599999999999</v>
      </c>
      <c r="Z8" s="23">
        <v>27181.200000000001</v>
      </c>
      <c r="AA8" s="23">
        <v>29055.599999999999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43237.3</v>
      </c>
      <c r="E9" s="23">
        <v>45712.800000000003</v>
      </c>
      <c r="F9" s="23">
        <v>48758.6</v>
      </c>
      <c r="G9" s="23">
        <v>52516</v>
      </c>
      <c r="H9" s="23">
        <v>55549.2</v>
      </c>
      <c r="I9" s="23">
        <v>58684.6</v>
      </c>
      <c r="J9" s="23">
        <v>61135.1</v>
      </c>
      <c r="K9" s="23">
        <v>64616.6</v>
      </c>
      <c r="L9" s="23">
        <v>67039</v>
      </c>
      <c r="M9" s="23">
        <v>63818.6</v>
      </c>
      <c r="N9" s="23">
        <v>66204.5</v>
      </c>
      <c r="O9" s="23">
        <v>69038.899999999994</v>
      </c>
      <c r="P9" s="23">
        <v>69173</v>
      </c>
      <c r="Q9" s="23">
        <v>69201.100000000006</v>
      </c>
      <c r="R9" s="23">
        <v>70879.899999999994</v>
      </c>
      <c r="S9" s="23">
        <v>72632.600000000006</v>
      </c>
      <c r="T9" s="23">
        <v>75093.100000000006</v>
      </c>
      <c r="U9" s="23">
        <v>75020.899999999994</v>
      </c>
      <c r="V9" s="23">
        <v>77539.600000000006</v>
      </c>
      <c r="W9" s="23">
        <v>80443.3</v>
      </c>
      <c r="X9" s="23">
        <v>75066</v>
      </c>
      <c r="Y9" s="23">
        <v>86270</v>
      </c>
      <c r="Z9" s="23">
        <v>98819.5</v>
      </c>
      <c r="AA9" s="23">
        <v>104940.8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8940</v>
      </c>
      <c r="E10" s="23">
        <v>9950.4</v>
      </c>
      <c r="F10" s="23">
        <v>10334</v>
      </c>
      <c r="G10" s="23">
        <v>10460.700000000001</v>
      </c>
      <c r="H10" s="23">
        <v>11072.1</v>
      </c>
      <c r="I10" s="23">
        <v>11347.3</v>
      </c>
      <c r="J10" s="23">
        <v>11790.5</v>
      </c>
      <c r="K10" s="23">
        <v>12550.3</v>
      </c>
      <c r="L10" s="23">
        <v>12949.7</v>
      </c>
      <c r="M10" s="23">
        <v>13464.1</v>
      </c>
      <c r="N10" s="23">
        <v>13936.9</v>
      </c>
      <c r="O10" s="23">
        <v>14457.3</v>
      </c>
      <c r="P10" s="23">
        <v>14901.5</v>
      </c>
      <c r="Q10" s="23">
        <v>14504.8</v>
      </c>
      <c r="R10" s="23">
        <v>14555.4</v>
      </c>
      <c r="S10" s="23">
        <v>15198.5</v>
      </c>
      <c r="T10" s="23">
        <v>15764.1</v>
      </c>
      <c r="U10" s="23">
        <v>16676.5</v>
      </c>
      <c r="V10" s="23">
        <v>17259.099999999999</v>
      </c>
      <c r="W10" s="23">
        <v>18636.8</v>
      </c>
      <c r="X10" s="23">
        <v>18779.8</v>
      </c>
      <c r="Y10" s="23">
        <v>20397.900000000001</v>
      </c>
      <c r="Z10" s="23">
        <v>21990.400000000001</v>
      </c>
      <c r="AA10" s="23">
        <v>23351.5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14195.2</v>
      </c>
      <c r="E11" s="23">
        <v>13724.2</v>
      </c>
      <c r="F11" s="23">
        <v>14477.2</v>
      </c>
      <c r="G11" s="23">
        <v>13664.5</v>
      </c>
      <c r="H11" s="23">
        <v>15272.5</v>
      </c>
      <c r="I11" s="23">
        <v>15393.4</v>
      </c>
      <c r="J11" s="23">
        <v>16095.6</v>
      </c>
      <c r="K11" s="23">
        <v>15967.8</v>
      </c>
      <c r="L11" s="23">
        <v>14684.1</v>
      </c>
      <c r="M11" s="23">
        <v>17990.7</v>
      </c>
      <c r="N11" s="23">
        <v>19189.400000000001</v>
      </c>
      <c r="O11" s="23">
        <v>18816.599999999999</v>
      </c>
      <c r="P11" s="23">
        <v>21077.200000000001</v>
      </c>
      <c r="Q11" s="23">
        <v>20322.099999999999</v>
      </c>
      <c r="R11" s="23">
        <v>22359.3</v>
      </c>
      <c r="S11" s="23">
        <v>23793.599999999999</v>
      </c>
      <c r="T11" s="23">
        <v>24649.200000000001</v>
      </c>
      <c r="U11" s="23">
        <v>25627.5</v>
      </c>
      <c r="V11" s="23">
        <v>26514.7</v>
      </c>
      <c r="W11" s="23">
        <v>27592.7</v>
      </c>
      <c r="X11" s="23">
        <v>26747.3</v>
      </c>
      <c r="Y11" s="23">
        <v>28834.5</v>
      </c>
      <c r="Z11" s="23">
        <v>29482.6</v>
      </c>
      <c r="AA11" s="23">
        <v>32402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19379.099999999999</v>
      </c>
      <c r="E12" s="23">
        <v>20267.5</v>
      </c>
      <c r="F12" s="23">
        <v>20304.400000000001</v>
      </c>
      <c r="G12" s="23">
        <v>20684.8</v>
      </c>
      <c r="H12" s="23">
        <v>20844.5</v>
      </c>
      <c r="I12" s="23">
        <v>22975.3</v>
      </c>
      <c r="J12" s="23">
        <v>24762.6</v>
      </c>
      <c r="K12" s="23">
        <v>26238.7</v>
      </c>
      <c r="L12" s="23">
        <v>26997.7</v>
      </c>
      <c r="M12" s="23">
        <v>26909.5</v>
      </c>
      <c r="N12" s="23">
        <v>28796.400000000001</v>
      </c>
      <c r="O12" s="23">
        <v>30901.1</v>
      </c>
      <c r="P12" s="23">
        <v>31701</v>
      </c>
      <c r="Q12" s="23">
        <v>33008.6</v>
      </c>
      <c r="R12" s="23">
        <v>33746.5</v>
      </c>
      <c r="S12" s="23">
        <v>34645.4</v>
      </c>
      <c r="T12" s="23">
        <v>35844.199999999997</v>
      </c>
      <c r="U12" s="23">
        <v>37363.800000000003</v>
      </c>
      <c r="V12" s="23">
        <v>38814.400000000001</v>
      </c>
      <c r="W12" s="23">
        <v>40432</v>
      </c>
      <c r="X12" s="23">
        <v>41434.300000000003</v>
      </c>
      <c r="Y12" s="23">
        <v>43691.5</v>
      </c>
      <c r="Z12" s="23">
        <v>48669.4</v>
      </c>
      <c r="AA12" s="23">
        <v>53502.400000000001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26016.400000000001</v>
      </c>
      <c r="E13" s="23">
        <v>27898.799999999999</v>
      </c>
      <c r="F13" s="23">
        <v>27962.1</v>
      </c>
      <c r="G13" s="23">
        <v>29164.799999999999</v>
      </c>
      <c r="H13" s="23">
        <v>31475.5</v>
      </c>
      <c r="I13" s="23">
        <v>33482</v>
      </c>
      <c r="J13" s="23">
        <v>36154.800000000003</v>
      </c>
      <c r="K13" s="23">
        <v>39491.599999999999</v>
      </c>
      <c r="L13" s="23">
        <v>41583.9</v>
      </c>
      <c r="M13" s="23">
        <v>40768.699999999997</v>
      </c>
      <c r="N13" s="23">
        <v>41955.9</v>
      </c>
      <c r="O13" s="23">
        <v>44834.2</v>
      </c>
      <c r="P13" s="23">
        <v>46194.1</v>
      </c>
      <c r="Q13" s="23">
        <v>48770</v>
      </c>
      <c r="R13" s="23">
        <v>51451.6</v>
      </c>
      <c r="S13" s="23">
        <v>53910.7</v>
      </c>
      <c r="T13" s="23">
        <v>56051.6</v>
      </c>
      <c r="U13" s="23">
        <v>59680.7</v>
      </c>
      <c r="V13" s="23">
        <v>62913.7</v>
      </c>
      <c r="W13" s="23">
        <v>65861.399999999994</v>
      </c>
      <c r="X13" s="23">
        <v>64800.800000000003</v>
      </c>
      <c r="Y13" s="23">
        <v>71587.600000000006</v>
      </c>
      <c r="Z13" s="23">
        <v>77824.399999999994</v>
      </c>
      <c r="AA13" s="23">
        <v>82384.600000000006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44881.599999999977</v>
      </c>
      <c r="E14" s="23">
        <v>46968.900000000023</v>
      </c>
      <c r="F14" s="23">
        <v>49517.299999999988</v>
      </c>
      <c r="G14" s="23">
        <v>51626.100000000006</v>
      </c>
      <c r="H14" s="23">
        <v>53519.200000000041</v>
      </c>
      <c r="I14" s="23">
        <v>56154.700000000041</v>
      </c>
      <c r="J14" s="23">
        <v>58767.999999999942</v>
      </c>
      <c r="K14" s="23">
        <v>61493.300000000047</v>
      </c>
      <c r="L14" s="23">
        <v>65376.999999999971</v>
      </c>
      <c r="M14" s="23">
        <v>68109.400000000023</v>
      </c>
      <c r="N14" s="23">
        <v>70249.900000000023</v>
      </c>
      <c r="O14" s="23">
        <v>73304.70000000007</v>
      </c>
      <c r="P14" s="23">
        <v>76529.900000000023</v>
      </c>
      <c r="Q14" s="23">
        <v>78702.700000000012</v>
      </c>
      <c r="R14" s="23">
        <v>80356.200000000012</v>
      </c>
      <c r="S14" s="23">
        <v>80961.400000000023</v>
      </c>
      <c r="T14" s="23">
        <v>83221</v>
      </c>
      <c r="U14" s="23">
        <v>85759.099999999977</v>
      </c>
      <c r="V14" s="23">
        <v>89005.400000000023</v>
      </c>
      <c r="W14" s="23">
        <v>91944.299999999988</v>
      </c>
      <c r="X14" s="23">
        <v>92453.20000000007</v>
      </c>
      <c r="Y14" s="23">
        <v>99292.600000000035</v>
      </c>
      <c r="Z14" s="23">
        <v>108440.99999999994</v>
      </c>
      <c r="AA14" s="23">
        <v>117472.09999999992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5010.7</v>
      </c>
      <c r="E15" s="23">
        <v>5083.7</v>
      </c>
      <c r="F15" s="23">
        <v>5383.7</v>
      </c>
      <c r="G15" s="23">
        <v>5540.7</v>
      </c>
      <c r="H15" s="23">
        <v>5926.4</v>
      </c>
      <c r="I15" s="23">
        <v>6197.9</v>
      </c>
      <c r="J15" s="23">
        <v>6377.7</v>
      </c>
      <c r="K15" s="23">
        <v>6615.9</v>
      </c>
      <c r="L15" s="23">
        <v>6886.5</v>
      </c>
      <c r="M15" s="23">
        <v>6266</v>
      </c>
      <c r="N15" s="23">
        <v>6369.6</v>
      </c>
      <c r="O15" s="23">
        <v>6604.6</v>
      </c>
      <c r="P15" s="23">
        <v>6833.7</v>
      </c>
      <c r="Q15" s="23">
        <v>6992</v>
      </c>
      <c r="R15" s="23">
        <v>7240.5</v>
      </c>
      <c r="S15" s="23">
        <v>7354.2</v>
      </c>
      <c r="T15" s="23">
        <v>7538</v>
      </c>
      <c r="U15" s="23">
        <v>7676</v>
      </c>
      <c r="V15" s="23">
        <v>8111.8</v>
      </c>
      <c r="W15" s="23">
        <v>8473.1</v>
      </c>
      <c r="X15" s="23">
        <v>6918.7</v>
      </c>
      <c r="Y15" s="23">
        <v>7947.8</v>
      </c>
      <c r="Z15" s="23">
        <v>9231.6</v>
      </c>
      <c r="AA15" s="23">
        <v>9794.2000000000007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228625.4</v>
      </c>
      <c r="E16" s="30">
        <f t="shared" ref="E16:Y16" si="0">SUM(E6:E15)</f>
        <v>236804.2</v>
      </c>
      <c r="F16" s="30">
        <f t="shared" si="0"/>
        <v>244560.7</v>
      </c>
      <c r="G16" s="30">
        <f t="shared" si="0"/>
        <v>251865.8</v>
      </c>
      <c r="H16" s="30">
        <f t="shared" si="0"/>
        <v>264845.40000000002</v>
      </c>
      <c r="I16" s="30">
        <f t="shared" si="0"/>
        <v>276828.70000000007</v>
      </c>
      <c r="J16" s="30">
        <f t="shared" si="0"/>
        <v>290022.59999999998</v>
      </c>
      <c r="K16" s="30">
        <f t="shared" si="0"/>
        <v>306588.90000000002</v>
      </c>
      <c r="L16" s="30">
        <f t="shared" si="0"/>
        <v>313984</v>
      </c>
      <c r="M16" s="30">
        <f t="shared" si="0"/>
        <v>311073.7</v>
      </c>
      <c r="N16" s="30">
        <f t="shared" si="0"/>
        <v>324827</v>
      </c>
      <c r="O16" s="30">
        <f t="shared" si="0"/>
        <v>339303.2</v>
      </c>
      <c r="P16" s="30">
        <f t="shared" si="0"/>
        <v>347256.9</v>
      </c>
      <c r="Q16" s="30">
        <f t="shared" si="0"/>
        <v>353107</v>
      </c>
      <c r="R16" s="30">
        <f t="shared" si="0"/>
        <v>362940</v>
      </c>
      <c r="S16" s="30">
        <f t="shared" si="0"/>
        <v>372548.9</v>
      </c>
      <c r="T16" s="30">
        <f t="shared" si="0"/>
        <v>382874.7</v>
      </c>
      <c r="U16" s="30">
        <f t="shared" si="0"/>
        <v>395972</v>
      </c>
      <c r="V16" s="30">
        <f t="shared" si="0"/>
        <v>410351.2</v>
      </c>
      <c r="W16" s="30">
        <f t="shared" si="0"/>
        <v>429083.2</v>
      </c>
      <c r="X16" s="30">
        <f t="shared" si="0"/>
        <v>417994.9</v>
      </c>
      <c r="Y16" s="30">
        <f t="shared" si="0"/>
        <v>452406.9</v>
      </c>
      <c r="Z16" s="30">
        <f t="shared" ref="Z16:AA16" si="1">SUM(Z6:Z15)</f>
        <v>508390.3</v>
      </c>
      <c r="AA16" s="30">
        <f t="shared" si="1"/>
        <v>538959.5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3015</v>
      </c>
      <c r="E18" s="19">
        <v>2932.4</v>
      </c>
      <c r="F18" s="19">
        <v>2823.1</v>
      </c>
      <c r="G18" s="19">
        <v>2894.8</v>
      </c>
      <c r="H18" s="19">
        <v>3036.2</v>
      </c>
      <c r="I18" s="19">
        <v>2606.3000000000002</v>
      </c>
      <c r="J18" s="19">
        <v>2950</v>
      </c>
      <c r="K18" s="19">
        <v>3049.7</v>
      </c>
      <c r="L18" s="19">
        <v>2505.6</v>
      </c>
      <c r="M18" s="19">
        <v>2499.1</v>
      </c>
      <c r="N18" s="19">
        <v>3080</v>
      </c>
      <c r="O18" s="19">
        <v>2750.6</v>
      </c>
      <c r="P18" s="19">
        <v>3276.4</v>
      </c>
      <c r="Q18" s="19">
        <v>3017.1</v>
      </c>
      <c r="R18" s="19">
        <v>2901.6</v>
      </c>
      <c r="S18" s="19">
        <v>3119.1</v>
      </c>
      <c r="T18" s="19">
        <v>2884.4</v>
      </c>
      <c r="U18" s="19">
        <v>3234.8</v>
      </c>
      <c r="V18" s="19">
        <v>3053.9</v>
      </c>
      <c r="W18" s="19">
        <v>3446.2</v>
      </c>
      <c r="X18" s="19">
        <v>3305.7</v>
      </c>
      <c r="Y18" s="19">
        <v>3314.1</v>
      </c>
      <c r="Z18" s="19">
        <v>3929.1</v>
      </c>
      <c r="AA18" s="19">
        <v>4586.1000000000004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349.40000000000003</v>
      </c>
      <c r="E19" s="23">
        <v>302.8</v>
      </c>
      <c r="F19" s="23">
        <v>314.60000000000025</v>
      </c>
      <c r="G19" s="23">
        <v>322.8</v>
      </c>
      <c r="H19" s="23">
        <v>308.70000000000016</v>
      </c>
      <c r="I19" s="23">
        <v>322.7</v>
      </c>
      <c r="J19" s="23">
        <v>365.7000000000001</v>
      </c>
      <c r="K19" s="23">
        <v>330.8</v>
      </c>
      <c r="L19" s="23">
        <v>341.29999999999995</v>
      </c>
      <c r="M19" s="23">
        <v>304.2999999999999</v>
      </c>
      <c r="N19" s="23">
        <v>307.89999999999992</v>
      </c>
      <c r="O19" s="23">
        <v>324.0999999999998</v>
      </c>
      <c r="P19" s="23">
        <v>296.40000000000009</v>
      </c>
      <c r="Q19" s="23">
        <v>275.40000000000009</v>
      </c>
      <c r="R19" s="23">
        <v>281.2</v>
      </c>
      <c r="S19" s="23">
        <v>219.30000000000004</v>
      </c>
      <c r="T19" s="23">
        <v>238.09999999999991</v>
      </c>
      <c r="U19" s="23">
        <v>248.60000000000008</v>
      </c>
      <c r="V19" s="23">
        <v>246.59999999999974</v>
      </c>
      <c r="W19" s="23">
        <v>284.7000000000001</v>
      </c>
      <c r="X19" s="23">
        <v>265.0999999999998</v>
      </c>
      <c r="Y19" s="23">
        <v>297.1853404690853</v>
      </c>
      <c r="Z19" s="23">
        <v>283.33289721589938</v>
      </c>
      <c r="AA19" s="23">
        <v>290.00904457444045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44958.1</v>
      </c>
      <c r="E20" s="23">
        <v>45044.1</v>
      </c>
      <c r="F20" s="23">
        <v>45892.2</v>
      </c>
      <c r="G20" s="23">
        <v>45555.1</v>
      </c>
      <c r="H20" s="23">
        <v>47758.1</v>
      </c>
      <c r="I20" s="23">
        <v>49205.9</v>
      </c>
      <c r="J20" s="23">
        <v>48833</v>
      </c>
      <c r="K20" s="23">
        <v>51750.1</v>
      </c>
      <c r="L20" s="23">
        <v>49218.5</v>
      </c>
      <c r="M20" s="23">
        <v>44656.4</v>
      </c>
      <c r="N20" s="23">
        <v>47688.800000000003</v>
      </c>
      <c r="O20" s="23">
        <v>49047.3</v>
      </c>
      <c r="P20" s="23">
        <v>48963.5</v>
      </c>
      <c r="Q20" s="23">
        <v>49975.7</v>
      </c>
      <c r="R20" s="23">
        <v>50959.1</v>
      </c>
      <c r="S20" s="23">
        <v>52223.7</v>
      </c>
      <c r="T20" s="23">
        <v>52480.4</v>
      </c>
      <c r="U20" s="23">
        <v>55185.7</v>
      </c>
      <c r="V20" s="23">
        <v>56719.3</v>
      </c>
      <c r="W20" s="23">
        <v>59514.7</v>
      </c>
      <c r="X20" s="23">
        <v>55705.8</v>
      </c>
      <c r="Y20" s="23">
        <v>54373.8</v>
      </c>
      <c r="Z20" s="23">
        <v>68536.899999999994</v>
      </c>
      <c r="AA20" s="23">
        <v>67112.600000000006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5250.9000000000005</v>
      </c>
      <c r="E21" s="23">
        <v>5279.6</v>
      </c>
      <c r="F21" s="23">
        <v>5152.100000000004</v>
      </c>
      <c r="G21" s="23">
        <v>5202.8999999999996</v>
      </c>
      <c r="H21" s="23">
        <v>4924.5000000000018</v>
      </c>
      <c r="I21" s="23">
        <v>4716.7</v>
      </c>
      <c r="J21" s="23">
        <v>5253.9000000000005</v>
      </c>
      <c r="K21" s="23">
        <v>5459.3000000000011</v>
      </c>
      <c r="L21" s="23">
        <v>6048.3999999999987</v>
      </c>
      <c r="M21" s="23">
        <v>6109.9999999999982</v>
      </c>
      <c r="N21" s="23">
        <v>6381.5999999999995</v>
      </c>
      <c r="O21" s="23">
        <v>7184.2999999999947</v>
      </c>
      <c r="P21" s="23">
        <v>6149.2000000000016</v>
      </c>
      <c r="Q21" s="23">
        <v>6353.1000000000022</v>
      </c>
      <c r="R21" s="23">
        <v>5870.7</v>
      </c>
      <c r="S21" s="23">
        <v>5938.1000000000022</v>
      </c>
      <c r="T21" s="23">
        <v>6130.6999999999971</v>
      </c>
      <c r="U21" s="23">
        <v>5941.0000000000027</v>
      </c>
      <c r="V21" s="23">
        <v>5202.3999999999942</v>
      </c>
      <c r="W21" s="23">
        <v>6160.3000000000038</v>
      </c>
      <c r="X21" s="23">
        <v>6847.2999999999947</v>
      </c>
      <c r="Y21" s="23">
        <v>7746.1179002145664</v>
      </c>
      <c r="Z21" s="23">
        <v>9633.8187399754916</v>
      </c>
      <c r="AA21" s="23">
        <v>9556.5838561458004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1595.7000000000003</v>
      </c>
      <c r="E22" s="23">
        <v>1609.6</v>
      </c>
      <c r="F22" s="23">
        <v>1614.4000000000012</v>
      </c>
      <c r="G22" s="23">
        <v>1862.8</v>
      </c>
      <c r="H22" s="23">
        <v>2031.6000000000008</v>
      </c>
      <c r="I22" s="23">
        <v>2099.6</v>
      </c>
      <c r="J22" s="23">
        <v>2179.3000000000006</v>
      </c>
      <c r="K22" s="23">
        <v>2337.3000000000006</v>
      </c>
      <c r="L22" s="23">
        <v>2321.8999999999996</v>
      </c>
      <c r="M22" s="23">
        <v>2689.9999999999991</v>
      </c>
      <c r="N22" s="23">
        <v>3010.0999999999995</v>
      </c>
      <c r="O22" s="23">
        <v>3153.4999999999977</v>
      </c>
      <c r="P22" s="23">
        <v>3424.2000000000007</v>
      </c>
      <c r="Q22" s="23">
        <v>3383.3000000000015</v>
      </c>
      <c r="R22" s="23">
        <v>3502.7</v>
      </c>
      <c r="S22" s="23">
        <v>3534.400000000001</v>
      </c>
      <c r="T22" s="23">
        <v>3592.8999999999987</v>
      </c>
      <c r="U22" s="23">
        <v>3863.6000000000013</v>
      </c>
      <c r="V22" s="23">
        <v>3906.0999999999963</v>
      </c>
      <c r="W22" s="23">
        <v>4046.1000000000022</v>
      </c>
      <c r="X22" s="23">
        <v>3997.6999999999966</v>
      </c>
      <c r="Y22" s="23">
        <v>4120.196759316349</v>
      </c>
      <c r="Z22" s="23">
        <v>4367.0483628086185</v>
      </c>
      <c r="AA22" s="23">
        <v>4511.00709927975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11796</v>
      </c>
      <c r="E23" s="23">
        <v>12029.4</v>
      </c>
      <c r="F23" s="23">
        <v>12027</v>
      </c>
      <c r="G23" s="23">
        <v>12369.8</v>
      </c>
      <c r="H23" s="23">
        <v>13126.9</v>
      </c>
      <c r="I23" s="23">
        <v>13642.3</v>
      </c>
      <c r="J23" s="23">
        <v>15356.4</v>
      </c>
      <c r="K23" s="23">
        <v>16687.5</v>
      </c>
      <c r="L23" s="23">
        <v>18030.400000000001</v>
      </c>
      <c r="M23" s="23">
        <v>17486.900000000001</v>
      </c>
      <c r="N23" s="23">
        <v>17656</v>
      </c>
      <c r="O23" s="23">
        <v>18886</v>
      </c>
      <c r="P23" s="23">
        <v>18736.8</v>
      </c>
      <c r="Q23" s="23">
        <v>18601.099999999999</v>
      </c>
      <c r="R23" s="23">
        <v>18835.3</v>
      </c>
      <c r="S23" s="23">
        <v>19017.900000000001</v>
      </c>
      <c r="T23" s="23">
        <v>19387</v>
      </c>
      <c r="U23" s="23">
        <v>19693.8</v>
      </c>
      <c r="V23" s="23">
        <v>21064.2</v>
      </c>
      <c r="W23" s="23">
        <v>22247.599999999999</v>
      </c>
      <c r="X23" s="23">
        <v>21673.200000000001</v>
      </c>
      <c r="Y23" s="23">
        <v>24533.599999999999</v>
      </c>
      <c r="Z23" s="23">
        <v>27181.200000000001</v>
      </c>
      <c r="AA23" s="23">
        <v>29055.599999999999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25725.000000000004</v>
      </c>
      <c r="E24" s="23">
        <v>27636.9</v>
      </c>
      <c r="F24" s="23">
        <v>30519.3</v>
      </c>
      <c r="G24" s="23">
        <v>33078.1</v>
      </c>
      <c r="H24" s="23">
        <v>35422</v>
      </c>
      <c r="I24" s="23">
        <v>36825.899999999994</v>
      </c>
      <c r="J24" s="23">
        <v>38005.299999999996</v>
      </c>
      <c r="K24" s="23">
        <v>40547.800000000003</v>
      </c>
      <c r="L24" s="23">
        <v>41748.800000000003</v>
      </c>
      <c r="M24" s="23">
        <v>39349.199999999997</v>
      </c>
      <c r="N24" s="23">
        <v>40843.9</v>
      </c>
      <c r="O24" s="23">
        <v>43013.5</v>
      </c>
      <c r="P24" s="23">
        <v>42958.2</v>
      </c>
      <c r="Q24" s="23">
        <v>43045.700000000004</v>
      </c>
      <c r="R24" s="23">
        <v>43667.799999999996</v>
      </c>
      <c r="S24" s="23">
        <v>44218.100000000006</v>
      </c>
      <c r="T24" s="23">
        <v>46553.8</v>
      </c>
      <c r="U24" s="23">
        <v>45301.999999999993</v>
      </c>
      <c r="V24" s="23">
        <v>46453.8</v>
      </c>
      <c r="W24" s="23">
        <v>48164.5</v>
      </c>
      <c r="X24" s="23">
        <v>47595.100000000006</v>
      </c>
      <c r="Y24" s="23">
        <v>55030</v>
      </c>
      <c r="Z24" s="23">
        <v>62584.2</v>
      </c>
      <c r="AA24" s="23">
        <v>65382.100000000006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13774.7</v>
      </c>
      <c r="E25" s="23">
        <v>14262.9</v>
      </c>
      <c r="F25" s="23">
        <v>14043.5</v>
      </c>
      <c r="G25" s="23">
        <v>14906.6</v>
      </c>
      <c r="H25" s="23">
        <v>15372.3</v>
      </c>
      <c r="I25" s="23">
        <v>16823.900000000001</v>
      </c>
      <c r="J25" s="23">
        <v>17851.2</v>
      </c>
      <c r="K25" s="23">
        <v>18734.099999999999</v>
      </c>
      <c r="L25" s="23">
        <v>19589</v>
      </c>
      <c r="M25" s="23">
        <v>19140.099999999999</v>
      </c>
      <c r="N25" s="23">
        <v>19586.5</v>
      </c>
      <c r="O25" s="23">
        <v>19956.599999999999</v>
      </c>
      <c r="P25" s="23">
        <v>20113.3</v>
      </c>
      <c r="Q25" s="23">
        <v>19818.900000000001</v>
      </c>
      <c r="R25" s="23">
        <v>20532.5</v>
      </c>
      <c r="S25" s="23">
        <v>21537.3</v>
      </c>
      <c r="T25" s="23">
        <v>21498.6</v>
      </c>
      <c r="U25" s="23">
        <v>22280.7</v>
      </c>
      <c r="V25" s="23">
        <v>23315.7</v>
      </c>
      <c r="W25" s="23">
        <v>24045</v>
      </c>
      <c r="X25" s="23">
        <v>22570.1</v>
      </c>
      <c r="Y25" s="23">
        <v>24756.5</v>
      </c>
      <c r="Z25" s="23">
        <v>27394.6</v>
      </c>
      <c r="AA25" s="23">
        <v>29607.200000000001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3737.6</v>
      </c>
      <c r="E26" s="23">
        <v>3813</v>
      </c>
      <c r="F26" s="23">
        <v>4195.8</v>
      </c>
      <c r="G26" s="23">
        <v>4531.3</v>
      </c>
      <c r="H26" s="23">
        <v>4754.8999999999996</v>
      </c>
      <c r="I26" s="23">
        <v>5034.8</v>
      </c>
      <c r="J26" s="23">
        <v>5278.6</v>
      </c>
      <c r="K26" s="23">
        <v>5334.7</v>
      </c>
      <c r="L26" s="23">
        <v>5701.2</v>
      </c>
      <c r="M26" s="23">
        <v>5329.3</v>
      </c>
      <c r="N26" s="23">
        <v>5774.1</v>
      </c>
      <c r="O26" s="23">
        <v>6068.8</v>
      </c>
      <c r="P26" s="23">
        <v>6101.5</v>
      </c>
      <c r="Q26" s="23">
        <v>6336.5</v>
      </c>
      <c r="R26" s="23">
        <v>6679.6</v>
      </c>
      <c r="S26" s="23">
        <v>6877.2</v>
      </c>
      <c r="T26" s="23">
        <v>7040.7</v>
      </c>
      <c r="U26" s="23">
        <v>7438.2</v>
      </c>
      <c r="V26" s="23">
        <v>7770.1</v>
      </c>
      <c r="W26" s="23">
        <v>8233.7999999999993</v>
      </c>
      <c r="X26" s="23">
        <v>4900.8</v>
      </c>
      <c r="Y26" s="23">
        <v>6483.5</v>
      </c>
      <c r="Z26" s="23">
        <v>8840.7000000000007</v>
      </c>
      <c r="AA26" s="23">
        <v>9951.5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8940</v>
      </c>
      <c r="E27" s="23">
        <v>9950.4</v>
      </c>
      <c r="F27" s="23">
        <v>10334</v>
      </c>
      <c r="G27" s="23">
        <v>10460.700000000001</v>
      </c>
      <c r="H27" s="23">
        <v>11072.1</v>
      </c>
      <c r="I27" s="23">
        <v>11347.3</v>
      </c>
      <c r="J27" s="23">
        <v>11790.5</v>
      </c>
      <c r="K27" s="23">
        <v>12550.3</v>
      </c>
      <c r="L27" s="23">
        <v>12949.7</v>
      </c>
      <c r="M27" s="23">
        <v>13464.1</v>
      </c>
      <c r="N27" s="23">
        <v>13936.9</v>
      </c>
      <c r="O27" s="23">
        <v>14457.3</v>
      </c>
      <c r="P27" s="23">
        <v>14901.5</v>
      </c>
      <c r="Q27" s="23">
        <v>14504.8</v>
      </c>
      <c r="R27" s="23">
        <v>14555.4</v>
      </c>
      <c r="S27" s="23">
        <v>15198.5</v>
      </c>
      <c r="T27" s="23">
        <v>15764.1</v>
      </c>
      <c r="U27" s="23">
        <v>16676.5</v>
      </c>
      <c r="V27" s="23">
        <v>17259.099999999999</v>
      </c>
      <c r="W27" s="23">
        <v>18636.8</v>
      </c>
      <c r="X27" s="23">
        <v>18779.8</v>
      </c>
      <c r="Y27" s="23">
        <v>20397.900000000001</v>
      </c>
      <c r="Z27" s="23">
        <v>21990.400000000001</v>
      </c>
      <c r="AA27" s="23">
        <v>23351.5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14195.2</v>
      </c>
      <c r="E28" s="23">
        <v>13724.2</v>
      </c>
      <c r="F28" s="23">
        <v>14477.2</v>
      </c>
      <c r="G28" s="23">
        <v>13664.5</v>
      </c>
      <c r="H28" s="23">
        <v>15272.5</v>
      </c>
      <c r="I28" s="23">
        <v>15393.4</v>
      </c>
      <c r="J28" s="23">
        <v>16095.6</v>
      </c>
      <c r="K28" s="23">
        <v>15967.8</v>
      </c>
      <c r="L28" s="23">
        <v>14684.1</v>
      </c>
      <c r="M28" s="23">
        <v>17990.7</v>
      </c>
      <c r="N28" s="23">
        <v>19189.400000000001</v>
      </c>
      <c r="O28" s="23">
        <v>18816.599999999999</v>
      </c>
      <c r="P28" s="23">
        <v>21077.200000000001</v>
      </c>
      <c r="Q28" s="23">
        <v>20322.099999999999</v>
      </c>
      <c r="R28" s="23">
        <v>22359.3</v>
      </c>
      <c r="S28" s="23">
        <v>23793.599999999999</v>
      </c>
      <c r="T28" s="23">
        <v>24649.200000000001</v>
      </c>
      <c r="U28" s="23">
        <v>25627.5</v>
      </c>
      <c r="V28" s="23">
        <v>26514.7</v>
      </c>
      <c r="W28" s="23">
        <v>27592.7</v>
      </c>
      <c r="X28" s="23">
        <v>26747.3</v>
      </c>
      <c r="Y28" s="23">
        <v>28834.5</v>
      </c>
      <c r="Z28" s="23">
        <v>29482.6</v>
      </c>
      <c r="AA28" s="23">
        <v>32402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19379.099999999999</v>
      </c>
      <c r="E29" s="23">
        <v>20267.5</v>
      </c>
      <c r="F29" s="23">
        <v>20304.400000000001</v>
      </c>
      <c r="G29" s="23">
        <v>20684.8</v>
      </c>
      <c r="H29" s="23">
        <v>20844.5</v>
      </c>
      <c r="I29" s="23">
        <v>22975.3</v>
      </c>
      <c r="J29" s="23">
        <v>24762.6</v>
      </c>
      <c r="K29" s="23">
        <v>26238.7</v>
      </c>
      <c r="L29" s="23">
        <v>26997.7</v>
      </c>
      <c r="M29" s="23">
        <v>26909.5</v>
      </c>
      <c r="N29" s="23">
        <v>28796.400000000001</v>
      </c>
      <c r="O29" s="23">
        <v>30901.1</v>
      </c>
      <c r="P29" s="23">
        <v>31701</v>
      </c>
      <c r="Q29" s="23">
        <v>33008.6</v>
      </c>
      <c r="R29" s="23">
        <v>33746.5</v>
      </c>
      <c r="S29" s="23">
        <v>34645.4</v>
      </c>
      <c r="T29" s="23">
        <v>35844.199999999997</v>
      </c>
      <c r="U29" s="23">
        <v>37363.800000000003</v>
      </c>
      <c r="V29" s="23">
        <v>38814.400000000001</v>
      </c>
      <c r="W29" s="23">
        <v>40432</v>
      </c>
      <c r="X29" s="23">
        <v>41434.300000000003</v>
      </c>
      <c r="Y29" s="23">
        <v>43691.5</v>
      </c>
      <c r="Z29" s="23">
        <v>48669.4</v>
      </c>
      <c r="AA29" s="23">
        <v>53502.400000000001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17417.900000000001</v>
      </c>
      <c r="E30" s="23">
        <v>18842.699999999997</v>
      </c>
      <c r="F30" s="23">
        <v>18569.899999999998</v>
      </c>
      <c r="G30" s="23">
        <v>19723.3</v>
      </c>
      <c r="H30" s="23">
        <v>21159.1</v>
      </c>
      <c r="I30" s="23">
        <v>22650.799999999999</v>
      </c>
      <c r="J30" s="23">
        <v>24558.200000000004</v>
      </c>
      <c r="K30" s="23">
        <v>26649.5</v>
      </c>
      <c r="L30" s="23">
        <v>28184.300000000003</v>
      </c>
      <c r="M30" s="23">
        <v>29008.1</v>
      </c>
      <c r="N30" s="23">
        <v>29541.800000000003</v>
      </c>
      <c r="O30" s="23">
        <v>31234.6</v>
      </c>
      <c r="P30" s="23">
        <v>32181.599999999999</v>
      </c>
      <c r="Q30" s="23">
        <v>34134.300000000003</v>
      </c>
      <c r="R30" s="23">
        <v>35386.6</v>
      </c>
      <c r="S30" s="23">
        <v>36380.5</v>
      </c>
      <c r="T30" s="23">
        <v>37478.199999999997</v>
      </c>
      <c r="U30" s="23">
        <v>40066.399999999994</v>
      </c>
      <c r="V30" s="23">
        <v>42021.1</v>
      </c>
      <c r="W30" s="23">
        <v>43405.299999999996</v>
      </c>
      <c r="X30" s="23">
        <v>43544.700000000004</v>
      </c>
      <c r="Y30" s="23">
        <v>47906.3</v>
      </c>
      <c r="Z30" s="23">
        <v>52584.999999999993</v>
      </c>
      <c r="AA30" s="23">
        <v>56086.900000000009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8598.5</v>
      </c>
      <c r="E31" s="23">
        <v>9056.1</v>
      </c>
      <c r="F31" s="23">
        <v>9392.2000000000007</v>
      </c>
      <c r="G31" s="23">
        <v>9441.5</v>
      </c>
      <c r="H31" s="23">
        <v>10316.4</v>
      </c>
      <c r="I31" s="23">
        <v>10831.2</v>
      </c>
      <c r="J31" s="23">
        <v>11596.6</v>
      </c>
      <c r="K31" s="23">
        <v>12842.1</v>
      </c>
      <c r="L31" s="23">
        <v>13399.6</v>
      </c>
      <c r="M31" s="23">
        <v>11760.6</v>
      </c>
      <c r="N31" s="23">
        <v>12414.1</v>
      </c>
      <c r="O31" s="23">
        <v>13599.6</v>
      </c>
      <c r="P31" s="23">
        <v>14012.5</v>
      </c>
      <c r="Q31" s="23">
        <v>14635.7</v>
      </c>
      <c r="R31" s="23">
        <v>16065</v>
      </c>
      <c r="S31" s="23">
        <v>17530.2</v>
      </c>
      <c r="T31" s="23">
        <v>18573.400000000001</v>
      </c>
      <c r="U31" s="23">
        <v>19614.3</v>
      </c>
      <c r="V31" s="23">
        <v>20892.599999999999</v>
      </c>
      <c r="W31" s="23">
        <v>22456.1</v>
      </c>
      <c r="X31" s="23">
        <v>21256.1</v>
      </c>
      <c r="Y31" s="23">
        <v>23681.3</v>
      </c>
      <c r="Z31" s="23">
        <v>25239.4</v>
      </c>
      <c r="AA31" s="23">
        <v>26297.7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16443.89999999998</v>
      </c>
      <c r="E32" s="23">
        <v>16976.700000000023</v>
      </c>
      <c r="F32" s="23">
        <v>18217.599999999988</v>
      </c>
      <c r="G32" s="23">
        <v>18994.600000000006</v>
      </c>
      <c r="H32" s="23">
        <v>19610.700000000041</v>
      </c>
      <c r="I32" s="23">
        <v>20775.500000000044</v>
      </c>
      <c r="J32" s="23">
        <v>21831.59999999994</v>
      </c>
      <c r="K32" s="23">
        <v>22648.200000000048</v>
      </c>
      <c r="L32" s="23">
        <v>23750.099999999969</v>
      </c>
      <c r="M32" s="23">
        <v>24662.000000000029</v>
      </c>
      <c r="N32" s="23">
        <v>25356.10000000002</v>
      </c>
      <c r="O32" s="23">
        <v>26236.800000000068</v>
      </c>
      <c r="P32" s="23">
        <v>27247.900000000023</v>
      </c>
      <c r="Q32" s="23">
        <v>28206.000000000015</v>
      </c>
      <c r="R32" s="23">
        <v>28656.200000000012</v>
      </c>
      <c r="S32" s="23">
        <v>28401.000000000022</v>
      </c>
      <c r="T32" s="23">
        <v>29218.199999999997</v>
      </c>
      <c r="U32" s="23">
        <v>29788.199999999983</v>
      </c>
      <c r="V32" s="23">
        <v>30621.500000000022</v>
      </c>
      <c r="W32" s="23">
        <v>31669.899999999987</v>
      </c>
      <c r="X32" s="23">
        <v>32659.400000000067</v>
      </c>
      <c r="Y32" s="23">
        <v>34075.800000000032</v>
      </c>
      <c r="Z32" s="23">
        <v>37425.899999999936</v>
      </c>
      <c r="AA32" s="23">
        <v>40553.699999999924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14267.9</v>
      </c>
      <c r="E33" s="23">
        <v>15066.6</v>
      </c>
      <c r="F33" s="23">
        <v>15788.2</v>
      </c>
      <c r="G33" s="23">
        <v>16389.099999999999</v>
      </c>
      <c r="H33" s="23">
        <v>16799.400000000001</v>
      </c>
      <c r="I33" s="23">
        <v>17566</v>
      </c>
      <c r="J33" s="23">
        <v>18284.2</v>
      </c>
      <c r="K33" s="23">
        <v>19166.599999999999</v>
      </c>
      <c r="L33" s="23">
        <v>20478.2</v>
      </c>
      <c r="M33" s="23">
        <v>21053.599999999999</v>
      </c>
      <c r="N33" s="23">
        <v>21821.200000000001</v>
      </c>
      <c r="O33" s="23">
        <v>22996.2</v>
      </c>
      <c r="P33" s="23">
        <v>24113.200000000001</v>
      </c>
      <c r="Q33" s="23">
        <v>24832.400000000001</v>
      </c>
      <c r="R33" s="23">
        <v>25215.7</v>
      </c>
      <c r="S33" s="23">
        <v>25798.7</v>
      </c>
      <c r="T33" s="23">
        <v>26484.6</v>
      </c>
      <c r="U33" s="23">
        <v>27677.599999999999</v>
      </c>
      <c r="V33" s="23">
        <v>28601.5</v>
      </c>
      <c r="W33" s="23">
        <v>29538.5</v>
      </c>
      <c r="X33" s="23">
        <v>30358.2</v>
      </c>
      <c r="Y33" s="23">
        <v>31799.7</v>
      </c>
      <c r="Z33" s="23">
        <v>34567.4</v>
      </c>
      <c r="AA33" s="23">
        <v>37372.199999999997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14169.8</v>
      </c>
      <c r="E34" s="23">
        <v>14925.6</v>
      </c>
      <c r="F34" s="23">
        <v>15511.5</v>
      </c>
      <c r="G34" s="23">
        <v>16242.4</v>
      </c>
      <c r="H34" s="23">
        <v>17109.099999999999</v>
      </c>
      <c r="I34" s="23">
        <v>17813.2</v>
      </c>
      <c r="J34" s="23">
        <v>18652.2</v>
      </c>
      <c r="K34" s="23">
        <v>19678.5</v>
      </c>
      <c r="L34" s="23">
        <v>21148.7</v>
      </c>
      <c r="M34" s="23">
        <v>22393.8</v>
      </c>
      <c r="N34" s="23">
        <v>23072.6</v>
      </c>
      <c r="O34" s="23">
        <v>24071.7</v>
      </c>
      <c r="P34" s="23">
        <v>25168.799999999999</v>
      </c>
      <c r="Q34" s="23">
        <v>25664.3</v>
      </c>
      <c r="R34" s="23">
        <v>26484.3</v>
      </c>
      <c r="S34" s="23">
        <v>26761.7</v>
      </c>
      <c r="T34" s="23">
        <v>27518.2</v>
      </c>
      <c r="U34" s="23">
        <v>28293.3</v>
      </c>
      <c r="V34" s="23">
        <v>29782.400000000001</v>
      </c>
      <c r="W34" s="23">
        <v>30735.9</v>
      </c>
      <c r="X34" s="23">
        <v>29435.599999999999</v>
      </c>
      <c r="Y34" s="23">
        <v>33417.1</v>
      </c>
      <c r="Z34" s="23">
        <v>36447.699999999997</v>
      </c>
      <c r="AA34" s="23">
        <v>39546.199999999997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1369.9999999999995</v>
      </c>
      <c r="E35" s="23">
        <v>1278.5999999999999</v>
      </c>
      <c r="F35" s="23">
        <v>1325</v>
      </c>
      <c r="G35" s="23">
        <v>1482.2999999999997</v>
      </c>
      <c r="H35" s="23">
        <v>1697.8999999999996</v>
      </c>
      <c r="I35" s="23">
        <v>1806.0999999999995</v>
      </c>
      <c r="J35" s="23">
        <v>1938.3999999999996</v>
      </c>
      <c r="K35" s="23">
        <v>2048.6999999999998</v>
      </c>
      <c r="L35" s="23">
        <v>2144.7999999999993</v>
      </c>
      <c r="M35" s="23">
        <v>1763</v>
      </c>
      <c r="N35" s="23">
        <v>1711.1000000000004</v>
      </c>
      <c r="O35" s="23">
        <v>1843.1000000000004</v>
      </c>
      <c r="P35" s="23">
        <v>2013.1999999999998</v>
      </c>
      <c r="Q35" s="23">
        <v>2077.6999999999998</v>
      </c>
      <c r="R35" s="23">
        <v>2194.3000000000002</v>
      </c>
      <c r="S35" s="23">
        <v>2351.6999999999998</v>
      </c>
      <c r="T35" s="23">
        <v>2437.5</v>
      </c>
      <c r="U35" s="23">
        <v>2500</v>
      </c>
      <c r="V35" s="23">
        <v>2710.8</v>
      </c>
      <c r="W35" s="23">
        <v>2948.1000000000004</v>
      </c>
      <c r="X35" s="23">
        <v>1953.5999999999995</v>
      </c>
      <c r="Y35" s="23">
        <v>2373.3000000000002</v>
      </c>
      <c r="Z35" s="23">
        <v>3051.0000000000009</v>
      </c>
      <c r="AA35" s="23">
        <v>3262.6000000000013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3138.4</v>
      </c>
      <c r="E36" s="23">
        <v>3259.5</v>
      </c>
      <c r="F36" s="23">
        <v>3467.1</v>
      </c>
      <c r="G36" s="23">
        <v>3444.5</v>
      </c>
      <c r="H36" s="23">
        <v>3573.2</v>
      </c>
      <c r="I36" s="23">
        <v>3747.3</v>
      </c>
      <c r="J36" s="23">
        <v>3858.4</v>
      </c>
      <c r="K36" s="23">
        <v>4037.5</v>
      </c>
      <c r="L36" s="23">
        <v>4223.1000000000004</v>
      </c>
      <c r="M36" s="23">
        <v>3990.8</v>
      </c>
      <c r="N36" s="23">
        <v>4173.5</v>
      </c>
      <c r="O36" s="23">
        <v>4336.1000000000004</v>
      </c>
      <c r="P36" s="23">
        <v>4454.5</v>
      </c>
      <c r="Q36" s="23">
        <v>4578.7</v>
      </c>
      <c r="R36" s="23">
        <v>4725.8</v>
      </c>
      <c r="S36" s="23">
        <v>4696.3999999999996</v>
      </c>
      <c r="T36" s="23">
        <v>4794.2</v>
      </c>
      <c r="U36" s="23">
        <v>4863.8999999999996</v>
      </c>
      <c r="V36" s="23">
        <v>5083.8</v>
      </c>
      <c r="W36" s="23">
        <v>5229.7</v>
      </c>
      <c r="X36" s="23">
        <v>4754</v>
      </c>
      <c r="Y36" s="23">
        <v>5318.7</v>
      </c>
      <c r="Z36" s="23">
        <v>5910.4</v>
      </c>
      <c r="AA36" s="23">
        <v>6267.2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502.3</v>
      </c>
      <c r="E37" s="23">
        <v>545.6</v>
      </c>
      <c r="F37" s="23">
        <v>591.6</v>
      </c>
      <c r="G37" s="23">
        <v>613.9</v>
      </c>
      <c r="H37" s="23">
        <v>655.29999999999995</v>
      </c>
      <c r="I37" s="23">
        <v>644.5</v>
      </c>
      <c r="J37" s="23">
        <v>580.9</v>
      </c>
      <c r="K37" s="23">
        <v>529.70000000000005</v>
      </c>
      <c r="L37" s="23">
        <v>518.6</v>
      </c>
      <c r="M37" s="23">
        <v>512.20000000000005</v>
      </c>
      <c r="N37" s="23">
        <v>485</v>
      </c>
      <c r="O37" s="23">
        <v>425.4</v>
      </c>
      <c r="P37" s="23">
        <v>366</v>
      </c>
      <c r="Q37" s="23">
        <v>335.6</v>
      </c>
      <c r="R37" s="23">
        <v>320.39999999999998</v>
      </c>
      <c r="S37" s="23">
        <v>306.10000000000002</v>
      </c>
      <c r="T37" s="23">
        <v>306.3</v>
      </c>
      <c r="U37" s="23">
        <v>312.10000000000002</v>
      </c>
      <c r="V37" s="23">
        <v>317.2</v>
      </c>
      <c r="W37" s="23">
        <v>295.3</v>
      </c>
      <c r="X37" s="23">
        <v>211.1</v>
      </c>
      <c r="Y37" s="23">
        <v>255.8</v>
      </c>
      <c r="Z37" s="23">
        <v>270.2</v>
      </c>
      <c r="AA37" s="23">
        <v>264.39999999999998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228625.39999999997</v>
      </c>
      <c r="E39" s="30">
        <f t="shared" ref="E39:Y39" si="2">SUM(E18:E38)</f>
        <v>236804.20000000004</v>
      </c>
      <c r="F39" s="30">
        <f t="shared" si="2"/>
        <v>244560.7</v>
      </c>
      <c r="G39" s="30">
        <f t="shared" si="2"/>
        <v>251865.79999999996</v>
      </c>
      <c r="H39" s="30">
        <f t="shared" si="2"/>
        <v>264845.40000000002</v>
      </c>
      <c r="I39" s="30">
        <f t="shared" si="2"/>
        <v>276828.69999999995</v>
      </c>
      <c r="J39" s="30">
        <f t="shared" si="2"/>
        <v>290022.60000000003</v>
      </c>
      <c r="K39" s="30">
        <f t="shared" si="2"/>
        <v>306588.90000000008</v>
      </c>
      <c r="L39" s="30">
        <f t="shared" si="2"/>
        <v>313984</v>
      </c>
      <c r="M39" s="30">
        <f t="shared" si="2"/>
        <v>311073.7</v>
      </c>
      <c r="N39" s="30">
        <f t="shared" si="2"/>
        <v>324826.99999999994</v>
      </c>
      <c r="O39" s="30">
        <f t="shared" si="2"/>
        <v>339303.20000000007</v>
      </c>
      <c r="P39" s="30">
        <f t="shared" si="2"/>
        <v>347256.90000000008</v>
      </c>
      <c r="Q39" s="30">
        <f t="shared" si="2"/>
        <v>353107.00000000006</v>
      </c>
      <c r="R39" s="30">
        <f t="shared" si="2"/>
        <v>362940</v>
      </c>
      <c r="S39" s="30">
        <f t="shared" si="2"/>
        <v>372548.9</v>
      </c>
      <c r="T39" s="30">
        <f t="shared" si="2"/>
        <v>382874.70000000007</v>
      </c>
      <c r="U39" s="30">
        <f t="shared" si="2"/>
        <v>395971.99999999994</v>
      </c>
      <c r="V39" s="30">
        <f t="shared" si="2"/>
        <v>410351.2</v>
      </c>
      <c r="W39" s="30">
        <f t="shared" si="2"/>
        <v>429083.19999999995</v>
      </c>
      <c r="X39" s="30">
        <f t="shared" si="2"/>
        <v>417994.89999999997</v>
      </c>
      <c r="Y39" s="30">
        <f t="shared" si="2"/>
        <v>452406.9</v>
      </c>
      <c r="Z39" s="30">
        <f t="shared" ref="Z39:AA39" si="3">SUM(Z18:Z38)</f>
        <v>508390.30000000005</v>
      </c>
      <c r="AA39" s="30">
        <f t="shared" si="3"/>
        <v>538959.5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5484.6</v>
      </c>
      <c r="E41" s="19">
        <v>5635.8</v>
      </c>
      <c r="F41" s="19">
        <v>5836.9</v>
      </c>
      <c r="G41" s="19">
        <v>5982.8</v>
      </c>
      <c r="H41" s="19">
        <v>6398.4</v>
      </c>
      <c r="I41" s="19">
        <v>6375.5</v>
      </c>
      <c r="J41" s="19">
        <v>6335.3</v>
      </c>
      <c r="K41" s="19">
        <v>6560.9</v>
      </c>
      <c r="L41" s="19">
        <v>6658.6</v>
      </c>
      <c r="M41" s="19">
        <v>7220</v>
      </c>
      <c r="N41" s="19">
        <v>6950</v>
      </c>
      <c r="O41" s="19">
        <v>6971.8</v>
      </c>
      <c r="P41" s="19">
        <v>7133.5</v>
      </c>
      <c r="Q41" s="19">
        <v>7580.4</v>
      </c>
      <c r="R41" s="19">
        <v>7804.3</v>
      </c>
      <c r="S41" s="19">
        <v>7948.3</v>
      </c>
      <c r="T41" s="19">
        <v>8054</v>
      </c>
      <c r="U41" s="19">
        <v>8285.6</v>
      </c>
      <c r="V41" s="19">
        <v>8485.2000000000007</v>
      </c>
      <c r="W41" s="19">
        <v>8871.2000000000007</v>
      </c>
      <c r="X41" s="19">
        <v>8523</v>
      </c>
      <c r="Y41" s="19">
        <v>8697.7999999999993</v>
      </c>
      <c r="Z41" s="19">
        <v>9779.6</v>
      </c>
      <c r="AA41" s="19">
        <v>10621.4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2364.4</v>
      </c>
      <c r="E42" s="23">
        <v>2335.4</v>
      </c>
      <c r="F42" s="23">
        <v>2394.6999999999998</v>
      </c>
      <c r="G42" s="23">
        <v>2162</v>
      </c>
      <c r="H42" s="23">
        <v>2234.6</v>
      </c>
      <c r="I42" s="23">
        <v>2127.1</v>
      </c>
      <c r="J42" s="23">
        <v>2124.9</v>
      </c>
      <c r="K42" s="23">
        <v>2124.6</v>
      </c>
      <c r="L42" s="23">
        <v>1879.5</v>
      </c>
      <c r="M42" s="23">
        <v>1460.3</v>
      </c>
      <c r="N42" s="23">
        <v>1524.1</v>
      </c>
      <c r="O42" s="23">
        <v>1403.8</v>
      </c>
      <c r="P42" s="23">
        <v>1376</v>
      </c>
      <c r="Q42" s="23">
        <v>1292.5</v>
      </c>
      <c r="R42" s="23">
        <v>1366.3</v>
      </c>
      <c r="S42" s="23">
        <v>1382.7</v>
      </c>
      <c r="T42" s="23">
        <v>1340.8</v>
      </c>
      <c r="U42" s="23">
        <v>1281</v>
      </c>
      <c r="V42" s="23">
        <v>1289.5999999999999</v>
      </c>
      <c r="W42" s="23">
        <v>1241.5999999999999</v>
      </c>
      <c r="X42" s="23">
        <v>1123.0999999999999</v>
      </c>
      <c r="Y42" s="23">
        <v>1112.9000000000001</v>
      </c>
      <c r="Z42" s="23">
        <v>1261</v>
      </c>
      <c r="AA42" s="23">
        <v>1291.4000000000001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3236.3</v>
      </c>
      <c r="E43" s="23">
        <v>3251.9</v>
      </c>
      <c r="F43" s="23">
        <v>3228</v>
      </c>
      <c r="G43" s="23">
        <v>3210.3</v>
      </c>
      <c r="H43" s="23">
        <v>3282.4</v>
      </c>
      <c r="I43" s="23">
        <v>3222.1</v>
      </c>
      <c r="J43" s="23">
        <v>3302.1</v>
      </c>
      <c r="K43" s="23">
        <v>3429</v>
      </c>
      <c r="L43" s="23">
        <v>3260.2</v>
      </c>
      <c r="M43" s="23">
        <v>2965.2</v>
      </c>
      <c r="N43" s="23">
        <v>2854.2</v>
      </c>
      <c r="O43" s="23">
        <v>2984.5</v>
      </c>
      <c r="P43" s="23">
        <v>2961.3</v>
      </c>
      <c r="Q43" s="23">
        <v>2776.4</v>
      </c>
      <c r="R43" s="23">
        <v>2872.7</v>
      </c>
      <c r="S43" s="23">
        <v>2905.3</v>
      </c>
      <c r="T43" s="23">
        <v>2880.3</v>
      </c>
      <c r="U43" s="23">
        <v>2866.7</v>
      </c>
      <c r="V43" s="23">
        <v>2901</v>
      </c>
      <c r="W43" s="23">
        <v>2979.2</v>
      </c>
      <c r="X43" s="23">
        <v>2658.8</v>
      </c>
      <c r="Y43" s="23">
        <v>2808.4</v>
      </c>
      <c r="Z43" s="23">
        <v>3356.6</v>
      </c>
      <c r="AA43" s="23">
        <v>3209.7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1134.2</v>
      </c>
      <c r="E44" s="23">
        <v>1107.7</v>
      </c>
      <c r="F44" s="23">
        <v>1091.2</v>
      </c>
      <c r="G44" s="23">
        <v>1183.4000000000001</v>
      </c>
      <c r="H44" s="23">
        <v>1699.5</v>
      </c>
      <c r="I44" s="23">
        <v>2002.1</v>
      </c>
      <c r="J44" s="23">
        <v>1899.7</v>
      </c>
      <c r="K44" s="23">
        <v>2041.4</v>
      </c>
      <c r="L44" s="23">
        <v>1825.6</v>
      </c>
      <c r="M44" s="23">
        <v>562.4</v>
      </c>
      <c r="N44" s="23">
        <v>1204.0999999999999</v>
      </c>
      <c r="O44" s="23">
        <v>820.5</v>
      </c>
      <c r="P44" s="23">
        <v>1263.8</v>
      </c>
      <c r="Q44" s="23">
        <v>1039.4000000000001</v>
      </c>
      <c r="R44" s="23">
        <v>1005.4</v>
      </c>
      <c r="S44" s="23">
        <v>2259.8000000000002</v>
      </c>
      <c r="T44" s="23">
        <v>1873.8</v>
      </c>
      <c r="U44" s="23">
        <v>1885.3</v>
      </c>
      <c r="V44" s="23">
        <v>1330.4</v>
      </c>
      <c r="W44" s="23">
        <v>1795.5</v>
      </c>
      <c r="X44" s="23">
        <v>811.6</v>
      </c>
      <c r="Y44" s="23">
        <v>847.7</v>
      </c>
      <c r="Z44" s="23">
        <v>2129.1</v>
      </c>
      <c r="AA44" s="23">
        <v>1684.1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7112.7</v>
      </c>
      <c r="E45" s="23">
        <v>7127.5</v>
      </c>
      <c r="F45" s="23">
        <v>7280.4</v>
      </c>
      <c r="G45" s="23">
        <v>7050.2</v>
      </c>
      <c r="H45" s="23">
        <v>7257.3</v>
      </c>
      <c r="I45" s="23">
        <v>7484.7</v>
      </c>
      <c r="J45" s="23">
        <v>7247.1</v>
      </c>
      <c r="K45" s="23">
        <v>7289.9</v>
      </c>
      <c r="L45" s="23">
        <v>6868.9</v>
      </c>
      <c r="M45" s="23">
        <v>6616.9</v>
      </c>
      <c r="N45" s="23">
        <v>7162.5</v>
      </c>
      <c r="O45" s="23">
        <v>7657.9</v>
      </c>
      <c r="P45" s="23">
        <v>7567.4</v>
      </c>
      <c r="Q45" s="23">
        <v>7896.9</v>
      </c>
      <c r="R45" s="23">
        <v>8530</v>
      </c>
      <c r="S45" s="23">
        <v>8971.4</v>
      </c>
      <c r="T45" s="23">
        <v>8380.7000000000007</v>
      </c>
      <c r="U45" s="23">
        <v>9160.2999999999993</v>
      </c>
      <c r="V45" s="23">
        <v>9505.1</v>
      </c>
      <c r="W45" s="23">
        <v>8801.2000000000007</v>
      </c>
      <c r="X45" s="23">
        <v>8381.9</v>
      </c>
      <c r="Y45" s="23">
        <v>7741.4</v>
      </c>
      <c r="Z45" s="23">
        <v>10137.200000000001</v>
      </c>
      <c r="AA45" s="23">
        <v>7913.5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2860.8</v>
      </c>
      <c r="E46" s="23">
        <v>3245.1</v>
      </c>
      <c r="F46" s="23">
        <v>3459.8</v>
      </c>
      <c r="G46" s="23">
        <v>3717.2</v>
      </c>
      <c r="H46" s="23">
        <v>3554.9</v>
      </c>
      <c r="I46" s="23">
        <v>4394.3999999999996</v>
      </c>
      <c r="J46" s="23">
        <v>3521.7</v>
      </c>
      <c r="K46" s="23">
        <v>4468.8</v>
      </c>
      <c r="L46" s="23">
        <v>3901.6</v>
      </c>
      <c r="M46" s="23">
        <v>4776.8</v>
      </c>
      <c r="N46" s="23">
        <v>5843.4</v>
      </c>
      <c r="O46" s="23">
        <v>5048.7</v>
      </c>
      <c r="P46" s="23">
        <v>5494.4</v>
      </c>
      <c r="Q46" s="23">
        <v>6380.3</v>
      </c>
      <c r="R46" s="23">
        <v>6151.4</v>
      </c>
      <c r="S46" s="23">
        <v>5558.2</v>
      </c>
      <c r="T46" s="23">
        <v>6490.7</v>
      </c>
      <c r="U46" s="23">
        <v>6808.7</v>
      </c>
      <c r="V46" s="23">
        <v>8474.5</v>
      </c>
      <c r="W46" s="23">
        <v>10417</v>
      </c>
      <c r="X46" s="23">
        <v>11789.1</v>
      </c>
      <c r="Y46" s="23">
        <v>9613.4</v>
      </c>
      <c r="Z46" s="23">
        <v>14080</v>
      </c>
      <c r="AA46" s="23">
        <v>15084.9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3919.6</v>
      </c>
      <c r="E47" s="23">
        <v>4158.2</v>
      </c>
      <c r="F47" s="23">
        <v>4310.3</v>
      </c>
      <c r="G47" s="23">
        <v>4130.3</v>
      </c>
      <c r="H47" s="23">
        <v>4275</v>
      </c>
      <c r="I47" s="23">
        <v>4322.3</v>
      </c>
      <c r="J47" s="23">
        <v>4387.6000000000004</v>
      </c>
      <c r="K47" s="23">
        <v>4724.6000000000004</v>
      </c>
      <c r="L47" s="23">
        <v>4572.3</v>
      </c>
      <c r="M47" s="23">
        <v>4311.3999999999996</v>
      </c>
      <c r="N47" s="23">
        <v>4170</v>
      </c>
      <c r="O47" s="23">
        <v>4502.2</v>
      </c>
      <c r="P47" s="23">
        <v>4267.6000000000004</v>
      </c>
      <c r="Q47" s="23">
        <v>4171.3999999999996</v>
      </c>
      <c r="R47" s="23">
        <v>4263.1000000000004</v>
      </c>
      <c r="S47" s="23">
        <v>4447.1000000000004</v>
      </c>
      <c r="T47" s="23">
        <v>4841.5</v>
      </c>
      <c r="U47" s="23">
        <v>4852.8</v>
      </c>
      <c r="V47" s="23">
        <v>4920</v>
      </c>
      <c r="W47" s="23">
        <v>5104.1000000000004</v>
      </c>
      <c r="X47" s="23">
        <v>5025.2</v>
      </c>
      <c r="Y47" s="23">
        <v>5008.3</v>
      </c>
      <c r="Z47" s="23">
        <v>5646.6</v>
      </c>
      <c r="AA47" s="23">
        <v>5462.2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6631.5</v>
      </c>
      <c r="E48" s="23">
        <v>6218.7</v>
      </c>
      <c r="F48" s="23">
        <v>6525.1</v>
      </c>
      <c r="G48" s="23">
        <v>6550.8</v>
      </c>
      <c r="H48" s="23">
        <v>7430.6</v>
      </c>
      <c r="I48" s="23">
        <v>7463.4</v>
      </c>
      <c r="J48" s="23">
        <v>7739.7</v>
      </c>
      <c r="K48" s="23">
        <v>8785.4</v>
      </c>
      <c r="L48" s="23">
        <v>7982.7</v>
      </c>
      <c r="M48" s="23">
        <v>5734.1</v>
      </c>
      <c r="N48" s="23">
        <v>6196</v>
      </c>
      <c r="O48" s="23">
        <v>6853.4</v>
      </c>
      <c r="P48" s="23">
        <v>6301.3</v>
      </c>
      <c r="Q48" s="23">
        <v>6290.6</v>
      </c>
      <c r="R48" s="23">
        <v>6088.1</v>
      </c>
      <c r="S48" s="23">
        <v>6340.3</v>
      </c>
      <c r="T48" s="23">
        <v>6448.6</v>
      </c>
      <c r="U48" s="23">
        <v>7200.4</v>
      </c>
      <c r="V48" s="23">
        <v>7256.3</v>
      </c>
      <c r="W48" s="23">
        <v>7106.3</v>
      </c>
      <c r="X48" s="23">
        <v>5824.6</v>
      </c>
      <c r="Y48" s="23">
        <v>6853</v>
      </c>
      <c r="Z48" s="23">
        <v>8529.9</v>
      </c>
      <c r="AA48" s="23">
        <v>6868.6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2091.6</v>
      </c>
      <c r="E49" s="23">
        <v>1744.7</v>
      </c>
      <c r="F49" s="23">
        <v>1763.7</v>
      </c>
      <c r="G49" s="23">
        <v>1724.9</v>
      </c>
      <c r="H49" s="23">
        <v>1637.6</v>
      </c>
      <c r="I49" s="23">
        <v>1641.1</v>
      </c>
      <c r="J49" s="23">
        <v>1697.6</v>
      </c>
      <c r="K49" s="23">
        <v>1813.9</v>
      </c>
      <c r="L49" s="23">
        <v>1601</v>
      </c>
      <c r="M49" s="23">
        <v>1038.9000000000001</v>
      </c>
      <c r="N49" s="23">
        <v>1124.0999999999999</v>
      </c>
      <c r="O49" s="23">
        <v>1264.2</v>
      </c>
      <c r="P49" s="23">
        <v>1310.7</v>
      </c>
      <c r="Q49" s="23">
        <v>1270.7</v>
      </c>
      <c r="R49" s="23">
        <v>1315</v>
      </c>
      <c r="S49" s="23">
        <v>1269.3</v>
      </c>
      <c r="T49" s="23">
        <v>1458.8</v>
      </c>
      <c r="U49" s="23">
        <v>1533.9</v>
      </c>
      <c r="V49" s="23">
        <v>1446.4</v>
      </c>
      <c r="W49" s="23">
        <v>1536.6</v>
      </c>
      <c r="X49" s="23">
        <v>1335.3</v>
      </c>
      <c r="Y49" s="23">
        <v>1325.9</v>
      </c>
      <c r="Z49" s="23">
        <v>1509.8</v>
      </c>
      <c r="AA49" s="23">
        <v>1700.5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1707.2</v>
      </c>
      <c r="E50" s="23">
        <v>1701.5</v>
      </c>
      <c r="F50" s="23">
        <v>1586.4</v>
      </c>
      <c r="G50" s="23">
        <v>1562.3</v>
      </c>
      <c r="H50" s="23">
        <v>1634.8</v>
      </c>
      <c r="I50" s="23">
        <v>1692.5</v>
      </c>
      <c r="J50" s="23">
        <v>1742</v>
      </c>
      <c r="K50" s="23">
        <v>1432.8</v>
      </c>
      <c r="L50" s="23">
        <v>1596.3</v>
      </c>
      <c r="M50" s="23">
        <v>1703.1</v>
      </c>
      <c r="N50" s="23">
        <v>1751.6</v>
      </c>
      <c r="O50" s="23">
        <v>1718.3</v>
      </c>
      <c r="P50" s="23">
        <v>1493</v>
      </c>
      <c r="Q50" s="23">
        <v>1455.5</v>
      </c>
      <c r="R50" s="23">
        <v>1433.7</v>
      </c>
      <c r="S50" s="23">
        <v>1428</v>
      </c>
      <c r="T50" s="23">
        <v>1156.0999999999999</v>
      </c>
      <c r="U50" s="23">
        <v>1181.3</v>
      </c>
      <c r="V50" s="23">
        <v>1120.9000000000001</v>
      </c>
      <c r="W50" s="23">
        <v>1220.5</v>
      </c>
      <c r="X50" s="23">
        <v>1084.8</v>
      </c>
      <c r="Y50" s="23">
        <v>1103</v>
      </c>
      <c r="Z50" s="23">
        <v>1166.2</v>
      </c>
      <c r="AA50" s="23">
        <v>1196.9000000000001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2682.8</v>
      </c>
      <c r="E51" s="23">
        <v>2640.6</v>
      </c>
      <c r="F51" s="23">
        <v>2691.1</v>
      </c>
      <c r="G51" s="23">
        <v>2563.5</v>
      </c>
      <c r="H51" s="23">
        <v>2674.1</v>
      </c>
      <c r="I51" s="23">
        <v>2846.6</v>
      </c>
      <c r="J51" s="23">
        <v>3223.2</v>
      </c>
      <c r="K51" s="23">
        <v>3567.3</v>
      </c>
      <c r="L51" s="23">
        <v>3626.7</v>
      </c>
      <c r="M51" s="23">
        <v>2805</v>
      </c>
      <c r="N51" s="23">
        <v>3072.1</v>
      </c>
      <c r="O51" s="23">
        <v>3565.2</v>
      </c>
      <c r="P51" s="23">
        <v>3558.9</v>
      </c>
      <c r="Q51" s="23">
        <v>3358.9</v>
      </c>
      <c r="R51" s="23">
        <v>3599.4</v>
      </c>
      <c r="S51" s="23">
        <v>3489</v>
      </c>
      <c r="T51" s="23">
        <v>3425.1</v>
      </c>
      <c r="U51" s="23">
        <v>3623.7</v>
      </c>
      <c r="V51" s="23">
        <v>3513.7</v>
      </c>
      <c r="W51" s="23">
        <v>3513.9</v>
      </c>
      <c r="X51" s="23">
        <v>3419.3</v>
      </c>
      <c r="Y51" s="23">
        <v>3609.2</v>
      </c>
      <c r="Z51" s="23">
        <v>4179.7</v>
      </c>
      <c r="AA51" s="23">
        <v>4630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4076.8</v>
      </c>
      <c r="E52" s="23">
        <v>4151.3999999999996</v>
      </c>
      <c r="F52" s="23">
        <v>4122.3999999999996</v>
      </c>
      <c r="G52" s="23">
        <v>4077.5</v>
      </c>
      <c r="H52" s="23">
        <v>3920.2</v>
      </c>
      <c r="I52" s="23">
        <v>3871.8</v>
      </c>
      <c r="J52" s="23">
        <v>3826.1</v>
      </c>
      <c r="K52" s="23">
        <v>3679.2</v>
      </c>
      <c r="L52" s="23">
        <v>3567.1</v>
      </c>
      <c r="M52" s="23">
        <v>2900.1</v>
      </c>
      <c r="N52" s="23">
        <v>3251.4</v>
      </c>
      <c r="O52" s="23">
        <v>3457.5</v>
      </c>
      <c r="P52" s="23">
        <v>3502.3</v>
      </c>
      <c r="Q52" s="23">
        <v>3653.5</v>
      </c>
      <c r="R52" s="23">
        <v>3648.3</v>
      </c>
      <c r="S52" s="23">
        <v>3186.8</v>
      </c>
      <c r="T52" s="23">
        <v>3050.2</v>
      </c>
      <c r="U52" s="23">
        <v>3277.8</v>
      </c>
      <c r="V52" s="23">
        <v>3256.2</v>
      </c>
      <c r="W52" s="23">
        <v>3313</v>
      </c>
      <c r="X52" s="23">
        <v>2663.5</v>
      </c>
      <c r="Y52" s="23">
        <v>2564.6</v>
      </c>
      <c r="Z52" s="23">
        <v>2971.3</v>
      </c>
      <c r="AA52" s="23">
        <v>3404.4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1655.5999999999985</v>
      </c>
      <c r="E53" s="23">
        <v>1725.5999999999985</v>
      </c>
      <c r="F53" s="23">
        <v>1602.2000000000044</v>
      </c>
      <c r="G53" s="23">
        <v>1639.8999999999942</v>
      </c>
      <c r="H53" s="23">
        <v>1758.6999999999971</v>
      </c>
      <c r="I53" s="23">
        <v>1762.3000000000029</v>
      </c>
      <c r="J53" s="23">
        <v>1786.0000000000073</v>
      </c>
      <c r="K53" s="23">
        <v>1832.2999999999956</v>
      </c>
      <c r="L53" s="23">
        <v>1878.0000000000073</v>
      </c>
      <c r="M53" s="23">
        <v>2562.2000000000044</v>
      </c>
      <c r="N53" s="23">
        <v>2585.3000000000029</v>
      </c>
      <c r="O53" s="23">
        <v>2799.3000000000029</v>
      </c>
      <c r="P53" s="23">
        <v>2733.2999999999956</v>
      </c>
      <c r="Q53" s="23">
        <v>2809.2000000000044</v>
      </c>
      <c r="R53" s="23">
        <v>2881.4000000000015</v>
      </c>
      <c r="S53" s="23">
        <v>3037.4999999999854</v>
      </c>
      <c r="T53" s="23">
        <v>3079.8000000000029</v>
      </c>
      <c r="U53" s="23">
        <v>3228.1999999999898</v>
      </c>
      <c r="V53" s="23">
        <v>3220</v>
      </c>
      <c r="W53" s="23">
        <v>3614.5999999999985</v>
      </c>
      <c r="X53" s="23">
        <v>3065.5999999999985</v>
      </c>
      <c r="Y53" s="23">
        <v>3088.2000000000044</v>
      </c>
      <c r="Z53" s="23">
        <v>3789.8999999999942</v>
      </c>
      <c r="AA53" s="23">
        <v>4045.0000000000073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44958.1</v>
      </c>
      <c r="E54" s="30">
        <f t="shared" ref="E54:Y54" si="4">SUM(E41:E53)</f>
        <v>45044.1</v>
      </c>
      <c r="F54" s="30">
        <f t="shared" si="4"/>
        <v>45892.2</v>
      </c>
      <c r="G54" s="30">
        <f t="shared" si="4"/>
        <v>45555.1</v>
      </c>
      <c r="H54" s="30">
        <f t="shared" si="4"/>
        <v>47758.1</v>
      </c>
      <c r="I54" s="30">
        <f t="shared" si="4"/>
        <v>49205.9</v>
      </c>
      <c r="J54" s="30">
        <f t="shared" si="4"/>
        <v>48833</v>
      </c>
      <c r="K54" s="30">
        <f t="shared" si="4"/>
        <v>51750.1</v>
      </c>
      <c r="L54" s="30">
        <f t="shared" si="4"/>
        <v>49218.5</v>
      </c>
      <c r="M54" s="30">
        <f t="shared" si="4"/>
        <v>44656.4</v>
      </c>
      <c r="N54" s="30">
        <f t="shared" si="4"/>
        <v>47688.800000000003</v>
      </c>
      <c r="O54" s="30">
        <f t="shared" si="4"/>
        <v>49047.3</v>
      </c>
      <c r="P54" s="30">
        <f t="shared" si="4"/>
        <v>48963.5</v>
      </c>
      <c r="Q54" s="30">
        <f t="shared" si="4"/>
        <v>49975.7</v>
      </c>
      <c r="R54" s="30">
        <f t="shared" si="4"/>
        <v>50959.1</v>
      </c>
      <c r="S54" s="30">
        <f t="shared" si="4"/>
        <v>52223.7</v>
      </c>
      <c r="T54" s="30">
        <f t="shared" si="4"/>
        <v>52480.4</v>
      </c>
      <c r="U54" s="30">
        <f t="shared" si="4"/>
        <v>55185.7</v>
      </c>
      <c r="V54" s="30">
        <f t="shared" si="4"/>
        <v>56719.3</v>
      </c>
      <c r="W54" s="30">
        <f t="shared" si="4"/>
        <v>59514.7</v>
      </c>
      <c r="X54" s="30">
        <f t="shared" si="4"/>
        <v>55705.8</v>
      </c>
      <c r="Y54" s="30">
        <f t="shared" si="4"/>
        <v>54373.8</v>
      </c>
      <c r="Z54" s="30">
        <f t="shared" ref="Z54:AA54" si="5">SUM(Z41:Z53)</f>
        <v>68536.899999999994</v>
      </c>
      <c r="AA54" s="30">
        <f t="shared" si="5"/>
        <v>67112.600000000006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5484.6</v>
      </c>
      <c r="E56" s="19">
        <v>5635.8</v>
      </c>
      <c r="F56" s="19">
        <v>5836.9</v>
      </c>
      <c r="G56" s="19">
        <v>5982.8</v>
      </c>
      <c r="H56" s="19">
        <v>6398.4</v>
      </c>
      <c r="I56" s="19">
        <v>6375.5</v>
      </c>
      <c r="J56" s="19">
        <v>6335.3</v>
      </c>
      <c r="K56" s="19">
        <v>6560.9</v>
      </c>
      <c r="L56" s="19">
        <v>6658.6</v>
      </c>
      <c r="M56" s="19">
        <v>7220</v>
      </c>
      <c r="N56" s="19">
        <v>6950</v>
      </c>
      <c r="O56" s="19">
        <v>6971.8</v>
      </c>
      <c r="P56" s="19">
        <v>7133.5</v>
      </c>
      <c r="Q56" s="19">
        <v>7580.4</v>
      </c>
      <c r="R56" s="19">
        <v>7804.3</v>
      </c>
      <c r="S56" s="19">
        <v>7948.3</v>
      </c>
      <c r="T56" s="19">
        <v>8054</v>
      </c>
      <c r="U56" s="19">
        <v>8285.6</v>
      </c>
      <c r="V56" s="19">
        <v>8485.2000000000007</v>
      </c>
      <c r="W56" s="19">
        <v>8871.2000000000007</v>
      </c>
      <c r="X56" s="19">
        <v>8523</v>
      </c>
      <c r="Y56" s="19">
        <v>8697.7999999999993</v>
      </c>
      <c r="Z56" s="19">
        <v>9779.6</v>
      </c>
      <c r="AA56" s="19">
        <v>10621.4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2364.4</v>
      </c>
      <c r="E57" s="23">
        <v>2335.4</v>
      </c>
      <c r="F57" s="23">
        <v>2394.6999999999998</v>
      </c>
      <c r="G57" s="23">
        <v>2162</v>
      </c>
      <c r="H57" s="23">
        <v>2234.6</v>
      </c>
      <c r="I57" s="23">
        <v>2127.1</v>
      </c>
      <c r="J57" s="23">
        <v>2124.9</v>
      </c>
      <c r="K57" s="23">
        <v>2124.6</v>
      </c>
      <c r="L57" s="23">
        <v>1879.5</v>
      </c>
      <c r="M57" s="23">
        <v>1460.3</v>
      </c>
      <c r="N57" s="23">
        <v>1524.1</v>
      </c>
      <c r="O57" s="23">
        <v>1403.8</v>
      </c>
      <c r="P57" s="23">
        <v>1376</v>
      </c>
      <c r="Q57" s="23">
        <v>1292.5</v>
      </c>
      <c r="R57" s="23">
        <v>1366.3</v>
      </c>
      <c r="S57" s="23">
        <v>1382.7</v>
      </c>
      <c r="T57" s="23">
        <v>1340.8</v>
      </c>
      <c r="U57" s="23">
        <v>1281</v>
      </c>
      <c r="V57" s="23">
        <v>1289.5999999999999</v>
      </c>
      <c r="W57" s="23">
        <v>1241.5999999999999</v>
      </c>
      <c r="X57" s="23">
        <v>1123.0999999999999</v>
      </c>
      <c r="Y57" s="23">
        <v>1112.9000000000001</v>
      </c>
      <c r="Z57" s="23">
        <v>1261</v>
      </c>
      <c r="AA57" s="23">
        <v>1291.4000000000001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672.2</v>
      </c>
      <c r="E58" s="23">
        <v>739</v>
      </c>
      <c r="F58" s="23">
        <v>734.7</v>
      </c>
      <c r="G58" s="23">
        <v>773.9</v>
      </c>
      <c r="H58" s="23">
        <v>844.5</v>
      </c>
      <c r="I58" s="23">
        <v>846.4</v>
      </c>
      <c r="J58" s="23">
        <v>904.6</v>
      </c>
      <c r="K58" s="23">
        <v>1011.4</v>
      </c>
      <c r="L58" s="23">
        <v>904.2</v>
      </c>
      <c r="M58" s="23">
        <v>827.5</v>
      </c>
      <c r="N58" s="23">
        <v>807.3</v>
      </c>
      <c r="O58" s="23">
        <v>827.6</v>
      </c>
      <c r="P58" s="23">
        <v>802.3</v>
      </c>
      <c r="Q58" s="23">
        <v>730</v>
      </c>
      <c r="R58" s="23">
        <v>745</v>
      </c>
      <c r="S58" s="23">
        <v>818.3</v>
      </c>
      <c r="T58" s="23">
        <v>847.2</v>
      </c>
      <c r="U58" s="23">
        <v>893.5</v>
      </c>
      <c r="V58" s="23">
        <v>953.7</v>
      </c>
      <c r="W58" s="23">
        <v>1031.5</v>
      </c>
      <c r="X58" s="23">
        <v>973</v>
      </c>
      <c r="Y58" s="23">
        <v>1133.7</v>
      </c>
      <c r="Z58" s="23">
        <v>1383.6</v>
      </c>
      <c r="AA58" s="23">
        <v>1336.0531320166685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1245.3</v>
      </c>
      <c r="E59" s="23">
        <v>1229.7</v>
      </c>
      <c r="F59" s="23">
        <v>1233.5</v>
      </c>
      <c r="G59" s="23">
        <v>1158</v>
      </c>
      <c r="H59" s="23">
        <v>1173.5</v>
      </c>
      <c r="I59" s="23">
        <v>1119.4000000000001</v>
      </c>
      <c r="J59" s="23">
        <v>1152.5999999999999</v>
      </c>
      <c r="K59" s="23">
        <v>1120.9000000000001</v>
      </c>
      <c r="L59" s="23">
        <v>1074.0999999999999</v>
      </c>
      <c r="M59" s="23">
        <v>979.2</v>
      </c>
      <c r="N59" s="23">
        <v>896.4</v>
      </c>
      <c r="O59" s="23">
        <v>984.1</v>
      </c>
      <c r="P59" s="23">
        <v>1028.0999999999999</v>
      </c>
      <c r="Q59" s="23">
        <v>995.2</v>
      </c>
      <c r="R59" s="23">
        <v>1080.8</v>
      </c>
      <c r="S59" s="23">
        <v>1099.7</v>
      </c>
      <c r="T59" s="23">
        <v>1053.8</v>
      </c>
      <c r="U59" s="23">
        <v>1043.3</v>
      </c>
      <c r="V59" s="23">
        <v>1045.9000000000001</v>
      </c>
      <c r="W59" s="23">
        <v>1066.5999999999999</v>
      </c>
      <c r="X59" s="23">
        <v>1014.5</v>
      </c>
      <c r="Y59" s="23">
        <v>949.8</v>
      </c>
      <c r="Z59" s="23">
        <v>1167.9000000000001</v>
      </c>
      <c r="AA59" s="23">
        <v>1132.0076917428535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1318.8000000000002</v>
      </c>
      <c r="E60" s="23">
        <v>1283.2</v>
      </c>
      <c r="F60" s="23">
        <v>1259.8</v>
      </c>
      <c r="G60" s="23">
        <v>1278.4000000000001</v>
      </c>
      <c r="H60" s="23">
        <v>1264.4000000000001</v>
      </c>
      <c r="I60" s="23">
        <v>1256.2999999999997</v>
      </c>
      <c r="J60" s="23">
        <v>1244.9000000000001</v>
      </c>
      <c r="K60" s="23">
        <v>1296.6999999999998</v>
      </c>
      <c r="L60" s="23">
        <v>1281.8999999999999</v>
      </c>
      <c r="M60" s="23">
        <v>1158.4999999999998</v>
      </c>
      <c r="N60" s="23">
        <v>1150.5</v>
      </c>
      <c r="O60" s="23">
        <v>1172.8</v>
      </c>
      <c r="P60" s="23">
        <v>1130.9000000000003</v>
      </c>
      <c r="Q60" s="23">
        <v>1051.2</v>
      </c>
      <c r="R60" s="23">
        <v>1046.8999999999999</v>
      </c>
      <c r="S60" s="23">
        <v>987.30000000000018</v>
      </c>
      <c r="T60" s="23">
        <v>979.30000000000018</v>
      </c>
      <c r="U60" s="23">
        <v>929.89999999999986</v>
      </c>
      <c r="V60" s="23">
        <v>901.39999999999986</v>
      </c>
      <c r="W60" s="23">
        <v>881.09999999999991</v>
      </c>
      <c r="X60" s="23">
        <v>671.30000000000018</v>
      </c>
      <c r="Y60" s="23">
        <v>724.90000000000009</v>
      </c>
      <c r="Z60" s="23">
        <v>805.09999999999991</v>
      </c>
      <c r="AA60" s="23">
        <v>741.63917624047781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1134.2</v>
      </c>
      <c r="E61" s="23">
        <v>1107.7</v>
      </c>
      <c r="F61" s="23">
        <v>1091.2</v>
      </c>
      <c r="G61" s="23">
        <v>1183.4000000000001</v>
      </c>
      <c r="H61" s="23">
        <v>1699.5</v>
      </c>
      <c r="I61" s="23">
        <v>2002.1</v>
      </c>
      <c r="J61" s="23">
        <v>1899.7</v>
      </c>
      <c r="K61" s="23">
        <v>2041.4</v>
      </c>
      <c r="L61" s="23">
        <v>1825.6</v>
      </c>
      <c r="M61" s="23">
        <v>562.4</v>
      </c>
      <c r="N61" s="23">
        <v>1204.0999999999999</v>
      </c>
      <c r="O61" s="23">
        <v>820.5</v>
      </c>
      <c r="P61" s="23">
        <v>1263.8</v>
      </c>
      <c r="Q61" s="23">
        <v>1039.4000000000001</v>
      </c>
      <c r="R61" s="23">
        <v>1005.4</v>
      </c>
      <c r="S61" s="23">
        <v>2259.8000000000002</v>
      </c>
      <c r="T61" s="23">
        <v>1873.8</v>
      </c>
      <c r="U61" s="23">
        <v>1885.3</v>
      </c>
      <c r="V61" s="23">
        <v>1330.4</v>
      </c>
      <c r="W61" s="23">
        <v>1795.5</v>
      </c>
      <c r="X61" s="23">
        <v>811.6</v>
      </c>
      <c r="Y61" s="23">
        <v>847.7</v>
      </c>
      <c r="Z61" s="23">
        <v>2129.1</v>
      </c>
      <c r="AA61" s="23">
        <v>1684.1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7112.7</v>
      </c>
      <c r="E62" s="23">
        <v>7127.5</v>
      </c>
      <c r="F62" s="23">
        <v>7280.4</v>
      </c>
      <c r="G62" s="23">
        <v>7050.2</v>
      </c>
      <c r="H62" s="23">
        <v>7257.3</v>
      </c>
      <c r="I62" s="23">
        <v>7484.7</v>
      </c>
      <c r="J62" s="23">
        <v>7247.1</v>
      </c>
      <c r="K62" s="23">
        <v>7289.9</v>
      </c>
      <c r="L62" s="23">
        <v>6868.9</v>
      </c>
      <c r="M62" s="23">
        <v>6616.9</v>
      </c>
      <c r="N62" s="23">
        <v>7162.5</v>
      </c>
      <c r="O62" s="23">
        <v>7657.9</v>
      </c>
      <c r="P62" s="23">
        <v>7567.4</v>
      </c>
      <c r="Q62" s="23">
        <v>7896.9</v>
      </c>
      <c r="R62" s="23">
        <v>8530</v>
      </c>
      <c r="S62" s="23">
        <v>8971.4</v>
      </c>
      <c r="T62" s="23">
        <v>8380.7000000000007</v>
      </c>
      <c r="U62" s="23">
        <v>9160.2999999999993</v>
      </c>
      <c r="V62" s="23">
        <v>9505.1</v>
      </c>
      <c r="W62" s="23">
        <v>8801.2000000000007</v>
      </c>
      <c r="X62" s="23">
        <v>8381.9</v>
      </c>
      <c r="Y62" s="23">
        <v>7741.4</v>
      </c>
      <c r="Z62" s="23">
        <v>10137.200000000001</v>
      </c>
      <c r="AA62" s="23">
        <v>7913.5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2860.8</v>
      </c>
      <c r="E63" s="23">
        <v>3245.1</v>
      </c>
      <c r="F63" s="23">
        <v>3459.8</v>
      </c>
      <c r="G63" s="23">
        <v>3717.2</v>
      </c>
      <c r="H63" s="23">
        <v>3554.9</v>
      </c>
      <c r="I63" s="23">
        <v>4394.3999999999996</v>
      </c>
      <c r="J63" s="23">
        <v>3521.7</v>
      </c>
      <c r="K63" s="23">
        <v>4468.8</v>
      </c>
      <c r="L63" s="23">
        <v>3901.6</v>
      </c>
      <c r="M63" s="23">
        <v>4776.8</v>
      </c>
      <c r="N63" s="23">
        <v>5843.4</v>
      </c>
      <c r="O63" s="23">
        <v>5048.7</v>
      </c>
      <c r="P63" s="23">
        <v>5494.4</v>
      </c>
      <c r="Q63" s="23">
        <v>6380.3</v>
      </c>
      <c r="R63" s="23">
        <v>6151.4</v>
      </c>
      <c r="S63" s="23">
        <v>5558.2</v>
      </c>
      <c r="T63" s="23">
        <v>6490.7</v>
      </c>
      <c r="U63" s="23">
        <v>6808.7</v>
      </c>
      <c r="V63" s="23">
        <v>8474.5</v>
      </c>
      <c r="W63" s="23">
        <v>10417</v>
      </c>
      <c r="X63" s="23">
        <v>11789.1</v>
      </c>
      <c r="Y63" s="23">
        <v>9613.4</v>
      </c>
      <c r="Z63" s="23">
        <v>14080</v>
      </c>
      <c r="AA63" s="23">
        <v>15084.9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1650.1</v>
      </c>
      <c r="E64" s="23">
        <v>1811.3</v>
      </c>
      <c r="F64" s="23">
        <v>1924.8</v>
      </c>
      <c r="G64" s="23">
        <v>1772.8</v>
      </c>
      <c r="H64" s="23">
        <v>1895.4</v>
      </c>
      <c r="I64" s="23">
        <v>1955.1</v>
      </c>
      <c r="J64" s="23">
        <v>1922</v>
      </c>
      <c r="K64" s="23">
        <v>2024.3</v>
      </c>
      <c r="L64" s="23">
        <v>1973.1</v>
      </c>
      <c r="M64" s="23">
        <v>1866.3</v>
      </c>
      <c r="N64" s="23">
        <v>1886.5</v>
      </c>
      <c r="O64" s="23">
        <v>2008</v>
      </c>
      <c r="P64" s="23">
        <v>1957.5</v>
      </c>
      <c r="Q64" s="23">
        <v>1969.9</v>
      </c>
      <c r="R64" s="23">
        <v>1951.3</v>
      </c>
      <c r="S64" s="23">
        <v>2044.7</v>
      </c>
      <c r="T64" s="23">
        <v>2375.1999999999998</v>
      </c>
      <c r="U64" s="23">
        <v>2349.3000000000002</v>
      </c>
      <c r="V64" s="23">
        <v>2303</v>
      </c>
      <c r="W64" s="23">
        <v>2414.6999999999998</v>
      </c>
      <c r="X64" s="23">
        <v>2461.9</v>
      </c>
      <c r="Y64" s="23">
        <v>2272.1999999999998</v>
      </c>
      <c r="Z64" s="23">
        <v>2515.8000000000002</v>
      </c>
      <c r="AA64" s="23">
        <v>2424.7630304116678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2269.5</v>
      </c>
      <c r="E65" s="23">
        <v>2346.8999999999996</v>
      </c>
      <c r="F65" s="23">
        <v>2385.5</v>
      </c>
      <c r="G65" s="23">
        <v>2357.5</v>
      </c>
      <c r="H65" s="23">
        <v>2379.6</v>
      </c>
      <c r="I65" s="23">
        <v>2367.2000000000003</v>
      </c>
      <c r="J65" s="23">
        <v>2465.6000000000004</v>
      </c>
      <c r="K65" s="23">
        <v>2700.3</v>
      </c>
      <c r="L65" s="23">
        <v>2599.2000000000003</v>
      </c>
      <c r="M65" s="23">
        <v>2445.0999999999995</v>
      </c>
      <c r="N65" s="23">
        <v>2283.5</v>
      </c>
      <c r="O65" s="23">
        <v>2494.1999999999998</v>
      </c>
      <c r="P65" s="23">
        <v>2310.1000000000004</v>
      </c>
      <c r="Q65" s="23">
        <v>2201.4999999999995</v>
      </c>
      <c r="R65" s="23">
        <v>2311.8000000000002</v>
      </c>
      <c r="S65" s="23">
        <v>2402.4000000000005</v>
      </c>
      <c r="T65" s="23">
        <v>2466.3000000000002</v>
      </c>
      <c r="U65" s="23">
        <v>2503.5</v>
      </c>
      <c r="V65" s="23">
        <v>2617</v>
      </c>
      <c r="W65" s="23">
        <v>2689.4000000000005</v>
      </c>
      <c r="X65" s="23">
        <v>2563.2999999999997</v>
      </c>
      <c r="Y65" s="23">
        <v>2736.1000000000004</v>
      </c>
      <c r="Z65" s="23">
        <v>3130.8</v>
      </c>
      <c r="AA65" s="23">
        <v>3037.436969588332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3257.6</v>
      </c>
      <c r="E66" s="23">
        <v>2768.5</v>
      </c>
      <c r="F66" s="23">
        <v>2949.4</v>
      </c>
      <c r="G66" s="23">
        <v>2973.1</v>
      </c>
      <c r="H66" s="23">
        <v>3629.9</v>
      </c>
      <c r="I66" s="23">
        <v>3702.3</v>
      </c>
      <c r="J66" s="23">
        <v>3787.2</v>
      </c>
      <c r="K66" s="23">
        <v>4420.3</v>
      </c>
      <c r="L66" s="23">
        <v>3540.8</v>
      </c>
      <c r="M66" s="23">
        <v>2232.9</v>
      </c>
      <c r="N66" s="23">
        <v>2694.5</v>
      </c>
      <c r="O66" s="23">
        <v>2937.6</v>
      </c>
      <c r="P66" s="23">
        <v>2403.3000000000002</v>
      </c>
      <c r="Q66" s="23">
        <v>2569</v>
      </c>
      <c r="R66" s="23">
        <v>2529.6999999999998</v>
      </c>
      <c r="S66" s="23">
        <v>2666.2</v>
      </c>
      <c r="T66" s="23">
        <v>2649.8</v>
      </c>
      <c r="U66" s="23">
        <v>3120.9</v>
      </c>
      <c r="V66" s="23">
        <v>3305.7</v>
      </c>
      <c r="W66" s="23">
        <v>3051.1</v>
      </c>
      <c r="X66" s="23">
        <v>2210.1999999999998</v>
      </c>
      <c r="Y66" s="23">
        <v>2980.6</v>
      </c>
      <c r="Z66" s="23">
        <v>4143.8</v>
      </c>
      <c r="AA66" s="23">
        <v>3307.1039348079644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3373.9</v>
      </c>
      <c r="E67" s="23">
        <v>3450.2</v>
      </c>
      <c r="F67" s="23">
        <v>3575.7000000000003</v>
      </c>
      <c r="G67" s="23">
        <v>3577.7000000000003</v>
      </c>
      <c r="H67" s="23">
        <v>3800.7000000000003</v>
      </c>
      <c r="I67" s="23">
        <v>3761.0999999999995</v>
      </c>
      <c r="J67" s="23">
        <v>3952.5</v>
      </c>
      <c r="K67" s="23">
        <v>4365.0999999999995</v>
      </c>
      <c r="L67" s="23">
        <v>4441.8999999999996</v>
      </c>
      <c r="M67" s="23">
        <v>3501.2000000000003</v>
      </c>
      <c r="N67" s="23">
        <v>3501.5</v>
      </c>
      <c r="O67" s="23">
        <v>3915.7999999999997</v>
      </c>
      <c r="P67" s="23">
        <v>3898</v>
      </c>
      <c r="Q67" s="23">
        <v>3721.6000000000004</v>
      </c>
      <c r="R67" s="23">
        <v>3558.4000000000005</v>
      </c>
      <c r="S67" s="23">
        <v>3674.1000000000004</v>
      </c>
      <c r="T67" s="23">
        <v>3798.8</v>
      </c>
      <c r="U67" s="23">
        <v>4079.4999999999995</v>
      </c>
      <c r="V67" s="23">
        <v>3950.6000000000004</v>
      </c>
      <c r="W67" s="23">
        <v>4055.2000000000003</v>
      </c>
      <c r="X67" s="23">
        <v>3614.4000000000005</v>
      </c>
      <c r="Y67" s="23">
        <v>3872.4</v>
      </c>
      <c r="Z67" s="23">
        <v>4386.0999999999995</v>
      </c>
      <c r="AA67" s="23">
        <v>3561.496065192036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2091.6</v>
      </c>
      <c r="E68" s="23">
        <v>1744.7</v>
      </c>
      <c r="F68" s="23">
        <v>1763.7</v>
      </c>
      <c r="G68" s="23">
        <v>1724.9</v>
      </c>
      <c r="H68" s="23">
        <v>1637.6</v>
      </c>
      <c r="I68" s="23">
        <v>1641.1</v>
      </c>
      <c r="J68" s="23">
        <v>1697.6</v>
      </c>
      <c r="K68" s="23">
        <v>1813.9</v>
      </c>
      <c r="L68" s="23">
        <v>1601</v>
      </c>
      <c r="M68" s="23">
        <v>1038.9000000000001</v>
      </c>
      <c r="N68" s="23">
        <v>1124.0999999999999</v>
      </c>
      <c r="O68" s="23">
        <v>1264.2</v>
      </c>
      <c r="P68" s="23">
        <v>1310.7</v>
      </c>
      <c r="Q68" s="23">
        <v>1270.7</v>
      </c>
      <c r="R68" s="23">
        <v>1315</v>
      </c>
      <c r="S68" s="23">
        <v>1269.3</v>
      </c>
      <c r="T68" s="23">
        <v>1458.8</v>
      </c>
      <c r="U68" s="23">
        <v>1533.9</v>
      </c>
      <c r="V68" s="23">
        <v>1446.4</v>
      </c>
      <c r="W68" s="23">
        <v>1536.6</v>
      </c>
      <c r="X68" s="23">
        <v>1335.3</v>
      </c>
      <c r="Y68" s="23">
        <v>1325.9</v>
      </c>
      <c r="Z68" s="23">
        <v>1509.8</v>
      </c>
      <c r="AA68" s="23">
        <v>1700.5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1707.2</v>
      </c>
      <c r="E69" s="23">
        <v>1701.5</v>
      </c>
      <c r="F69" s="23">
        <v>1586.4</v>
      </c>
      <c r="G69" s="23">
        <v>1562.3</v>
      </c>
      <c r="H69" s="23">
        <v>1634.8</v>
      </c>
      <c r="I69" s="23">
        <v>1692.5</v>
      </c>
      <c r="J69" s="23">
        <v>1742</v>
      </c>
      <c r="K69" s="23">
        <v>1432.8</v>
      </c>
      <c r="L69" s="23">
        <v>1596.3</v>
      </c>
      <c r="M69" s="23">
        <v>1703.1</v>
      </c>
      <c r="N69" s="23">
        <v>1751.6</v>
      </c>
      <c r="O69" s="23">
        <v>1718.3</v>
      </c>
      <c r="P69" s="23">
        <v>1493</v>
      </c>
      <c r="Q69" s="23">
        <v>1455.5</v>
      </c>
      <c r="R69" s="23">
        <v>1433.7</v>
      </c>
      <c r="S69" s="23">
        <v>1428</v>
      </c>
      <c r="T69" s="23">
        <v>1156.0999999999999</v>
      </c>
      <c r="U69" s="23">
        <v>1181.3</v>
      </c>
      <c r="V69" s="23">
        <v>1120.9000000000001</v>
      </c>
      <c r="W69" s="23">
        <v>1220.5</v>
      </c>
      <c r="X69" s="23">
        <v>1084.8</v>
      </c>
      <c r="Y69" s="23">
        <v>1103</v>
      </c>
      <c r="Z69" s="23">
        <v>1166.2</v>
      </c>
      <c r="AA69" s="23">
        <v>1196.9000000000001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2682.8</v>
      </c>
      <c r="E70" s="23">
        <v>2640.6</v>
      </c>
      <c r="F70" s="23">
        <v>2691.1</v>
      </c>
      <c r="G70" s="23">
        <v>2563.5</v>
      </c>
      <c r="H70" s="23">
        <v>2674.1</v>
      </c>
      <c r="I70" s="23">
        <v>2846.6</v>
      </c>
      <c r="J70" s="23">
        <v>3223.2</v>
      </c>
      <c r="K70" s="23">
        <v>3567.3</v>
      </c>
      <c r="L70" s="23">
        <v>3626.7</v>
      </c>
      <c r="M70" s="23">
        <v>2805</v>
      </c>
      <c r="N70" s="23">
        <v>3072.1</v>
      </c>
      <c r="O70" s="23">
        <v>3565.2</v>
      </c>
      <c r="P70" s="23">
        <v>3558.9</v>
      </c>
      <c r="Q70" s="23">
        <v>3358.9</v>
      </c>
      <c r="R70" s="23">
        <v>3599.4</v>
      </c>
      <c r="S70" s="23">
        <v>3489</v>
      </c>
      <c r="T70" s="23">
        <v>3425.1</v>
      </c>
      <c r="U70" s="23">
        <v>3623.7</v>
      </c>
      <c r="V70" s="23">
        <v>3513.7</v>
      </c>
      <c r="W70" s="23">
        <v>3513.9</v>
      </c>
      <c r="X70" s="23">
        <v>3419.3</v>
      </c>
      <c r="Y70" s="23">
        <v>3609.2</v>
      </c>
      <c r="Z70" s="23">
        <v>4179.7</v>
      </c>
      <c r="AA70" s="23">
        <v>4630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3464.4</v>
      </c>
      <c r="E71" s="23">
        <v>3475.4</v>
      </c>
      <c r="F71" s="23">
        <v>3567.9</v>
      </c>
      <c r="G71" s="23">
        <v>3608.2</v>
      </c>
      <c r="H71" s="23">
        <v>3418.4</v>
      </c>
      <c r="I71" s="23">
        <v>3362.5</v>
      </c>
      <c r="J71" s="23">
        <v>3316.8</v>
      </c>
      <c r="K71" s="23">
        <v>3106.4</v>
      </c>
      <c r="L71" s="23">
        <v>3012.3</v>
      </c>
      <c r="M71" s="23">
        <v>2365.5</v>
      </c>
      <c r="N71" s="23">
        <v>2702.2</v>
      </c>
      <c r="O71" s="23">
        <v>2746</v>
      </c>
      <c r="P71" s="23">
        <v>2739</v>
      </c>
      <c r="Q71" s="23">
        <v>2841.2</v>
      </c>
      <c r="R71" s="23">
        <v>2816</v>
      </c>
      <c r="S71" s="23">
        <v>2316.3000000000002</v>
      </c>
      <c r="T71" s="23">
        <v>2208.4</v>
      </c>
      <c r="U71" s="23">
        <v>2356.5</v>
      </c>
      <c r="V71" s="23">
        <v>2392.1999999999998</v>
      </c>
      <c r="W71" s="23">
        <v>2354.1999999999998</v>
      </c>
      <c r="X71" s="23">
        <v>2141.1</v>
      </c>
      <c r="Y71" s="23">
        <v>2037.4</v>
      </c>
      <c r="Z71" s="23">
        <v>2333</v>
      </c>
      <c r="AA71" s="23">
        <v>2689.8549212833705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612.40000000000009</v>
      </c>
      <c r="E72" s="23">
        <v>675.99999999999955</v>
      </c>
      <c r="F72" s="23">
        <v>554.49999999999955</v>
      </c>
      <c r="G72" s="23">
        <v>469.30000000000018</v>
      </c>
      <c r="H72" s="23">
        <v>501.79999999999973</v>
      </c>
      <c r="I72" s="23">
        <v>509.30000000000018</v>
      </c>
      <c r="J72" s="23">
        <v>509.29999999999973</v>
      </c>
      <c r="K72" s="23">
        <v>572.79999999999973</v>
      </c>
      <c r="L72" s="23">
        <v>554.79999999999973</v>
      </c>
      <c r="M72" s="23">
        <v>534.59999999999991</v>
      </c>
      <c r="N72" s="23">
        <v>549.20000000000027</v>
      </c>
      <c r="O72" s="23">
        <v>711.5</v>
      </c>
      <c r="P72" s="23">
        <v>763.30000000000018</v>
      </c>
      <c r="Q72" s="23">
        <v>812.30000000000018</v>
      </c>
      <c r="R72" s="23">
        <v>832.30000000000018</v>
      </c>
      <c r="S72" s="23">
        <v>870.5</v>
      </c>
      <c r="T72" s="23">
        <v>841.79999999999973</v>
      </c>
      <c r="U72" s="23">
        <v>921.30000000000018</v>
      </c>
      <c r="V72" s="23">
        <v>864</v>
      </c>
      <c r="W72" s="23">
        <v>958.80000000000018</v>
      </c>
      <c r="X72" s="23">
        <v>522.40000000000009</v>
      </c>
      <c r="Y72" s="23">
        <v>527.19999999999982</v>
      </c>
      <c r="Z72" s="23">
        <v>638.30000000000018</v>
      </c>
      <c r="AA72" s="23">
        <v>714.54507871662963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1190</v>
      </c>
      <c r="E73" s="23">
        <v>1285.0999999999999</v>
      </c>
      <c r="F73" s="23">
        <v>1202.5999999999999</v>
      </c>
      <c r="G73" s="23">
        <v>1139.3</v>
      </c>
      <c r="H73" s="23">
        <v>1214.5</v>
      </c>
      <c r="I73" s="23">
        <v>1207.7</v>
      </c>
      <c r="J73" s="23">
        <v>1221.9000000000001</v>
      </c>
      <c r="K73" s="23">
        <v>1291.4000000000001</v>
      </c>
      <c r="L73" s="23">
        <v>1335.4</v>
      </c>
      <c r="M73" s="23">
        <v>1273.5999999999999</v>
      </c>
      <c r="N73" s="23">
        <v>1261.9000000000001</v>
      </c>
      <c r="O73" s="23">
        <v>1336</v>
      </c>
      <c r="P73" s="23">
        <v>1301.3</v>
      </c>
      <c r="Q73" s="23">
        <v>1277.9000000000001</v>
      </c>
      <c r="R73" s="23">
        <v>1334.9</v>
      </c>
      <c r="S73" s="23">
        <v>1400.9</v>
      </c>
      <c r="T73" s="23">
        <v>1361.1</v>
      </c>
      <c r="U73" s="23">
        <v>1328</v>
      </c>
      <c r="V73" s="23">
        <v>1329.6</v>
      </c>
      <c r="W73" s="23">
        <v>1552.1</v>
      </c>
      <c r="X73" s="23">
        <v>1425.3</v>
      </c>
      <c r="Y73" s="23">
        <v>1380.7</v>
      </c>
      <c r="Z73" s="23">
        <v>1579.6</v>
      </c>
      <c r="AA73" s="23">
        <v>1687.0116129687626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465.59999999999854</v>
      </c>
      <c r="E74" s="23">
        <v>440.49999999999864</v>
      </c>
      <c r="F74" s="23">
        <v>399.60000000000446</v>
      </c>
      <c r="G74" s="23">
        <v>500.59999999999422</v>
      </c>
      <c r="H74" s="23">
        <v>544.19999999999709</v>
      </c>
      <c r="I74" s="23">
        <v>554.60000000000286</v>
      </c>
      <c r="J74" s="23">
        <v>564.10000000000719</v>
      </c>
      <c r="K74" s="23">
        <v>540.89999999999554</v>
      </c>
      <c r="L74" s="23">
        <v>542.60000000000719</v>
      </c>
      <c r="M74" s="23">
        <v>1288.6000000000045</v>
      </c>
      <c r="N74" s="23">
        <v>1323.4000000000028</v>
      </c>
      <c r="O74" s="23">
        <v>1463.3000000000029</v>
      </c>
      <c r="P74" s="23">
        <v>1431.9999999999957</v>
      </c>
      <c r="Q74" s="23">
        <v>1531.3000000000043</v>
      </c>
      <c r="R74" s="23">
        <v>1546.5000000000014</v>
      </c>
      <c r="S74" s="23">
        <v>1636.5999999999854</v>
      </c>
      <c r="T74" s="23">
        <v>1718.700000000003</v>
      </c>
      <c r="U74" s="23">
        <v>1900.1999999999898</v>
      </c>
      <c r="V74" s="23">
        <v>1890.4</v>
      </c>
      <c r="W74" s="23">
        <v>2062.4999999999986</v>
      </c>
      <c r="X74" s="23">
        <v>1640.2999999999986</v>
      </c>
      <c r="Y74" s="23">
        <v>1707.5000000000043</v>
      </c>
      <c r="Z74" s="23">
        <v>2210.2999999999943</v>
      </c>
      <c r="AA74" s="23">
        <v>2357.9883870312447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44958.1</v>
      </c>
      <c r="E75" s="30">
        <f t="shared" ref="E75:Y75" si="6">SUM(E56:E74)</f>
        <v>45044.099999999991</v>
      </c>
      <c r="F75" s="30">
        <f t="shared" si="6"/>
        <v>45892.2</v>
      </c>
      <c r="G75" s="30">
        <f t="shared" si="6"/>
        <v>45555.1</v>
      </c>
      <c r="H75" s="30">
        <f t="shared" si="6"/>
        <v>47758.100000000006</v>
      </c>
      <c r="I75" s="30">
        <f t="shared" si="6"/>
        <v>49205.9</v>
      </c>
      <c r="J75" s="30">
        <f t="shared" si="6"/>
        <v>48833.000000000015</v>
      </c>
      <c r="K75" s="30">
        <f t="shared" si="6"/>
        <v>51750.100000000006</v>
      </c>
      <c r="L75" s="30">
        <f t="shared" si="6"/>
        <v>49218.500000000015</v>
      </c>
      <c r="M75" s="30">
        <f t="shared" si="6"/>
        <v>44656.4</v>
      </c>
      <c r="N75" s="30">
        <f t="shared" si="6"/>
        <v>47688.799999999996</v>
      </c>
      <c r="O75" s="30">
        <f t="shared" si="6"/>
        <v>49047.3</v>
      </c>
      <c r="P75" s="30">
        <f t="shared" si="6"/>
        <v>48963.5</v>
      </c>
      <c r="Q75" s="30">
        <f t="shared" si="6"/>
        <v>49975.700000000004</v>
      </c>
      <c r="R75" s="30">
        <f t="shared" si="6"/>
        <v>50959.1</v>
      </c>
      <c r="S75" s="30">
        <f t="shared" si="6"/>
        <v>52223.69999999999</v>
      </c>
      <c r="T75" s="30">
        <f t="shared" si="6"/>
        <v>52480.400000000016</v>
      </c>
      <c r="U75" s="30">
        <f t="shared" si="6"/>
        <v>55185.69999999999</v>
      </c>
      <c r="V75" s="30">
        <f t="shared" si="6"/>
        <v>56719.299999999996</v>
      </c>
      <c r="W75" s="30">
        <f t="shared" si="6"/>
        <v>59514.7</v>
      </c>
      <c r="X75" s="30">
        <f t="shared" si="6"/>
        <v>55705.80000000001</v>
      </c>
      <c r="Y75" s="30">
        <f t="shared" si="6"/>
        <v>54373.799999999996</v>
      </c>
      <c r="Z75" s="30">
        <f t="shared" ref="Z75:AA75" si="7">SUM(Z56:Z74)</f>
        <v>68536.899999999994</v>
      </c>
      <c r="AA75" s="30">
        <f t="shared" si="7"/>
        <v>67112.599999999991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415966.89683475561</v>
      </c>
      <c r="E2" s="19">
        <v>420543.61133340944</v>
      </c>
      <c r="F2" s="19">
        <v>427719.26228622755</v>
      </c>
      <c r="G2" s="19">
        <v>432159.76358358853</v>
      </c>
      <c r="H2" s="19">
        <v>447596.24596036685</v>
      </c>
      <c r="I2" s="19">
        <v>457984.95721803006</v>
      </c>
      <c r="J2" s="19">
        <v>469673.25890688493</v>
      </c>
      <c r="K2" s="19">
        <v>486943.16625484196</v>
      </c>
      <c r="L2" s="19">
        <v>489120.88362348865</v>
      </c>
      <c r="M2" s="19">
        <v>479798.76029974496</v>
      </c>
      <c r="N2" s="19">
        <v>492802.11561091122</v>
      </c>
      <c r="O2" s="19">
        <v>502315.82036696473</v>
      </c>
      <c r="P2" s="19">
        <v>503399.50007445639</v>
      </c>
      <c r="Q2" s="19">
        <v>504941.94902310689</v>
      </c>
      <c r="R2" s="19">
        <v>513852.44722876704</v>
      </c>
      <c r="S2" s="19">
        <v>521429.54854000005</v>
      </c>
      <c r="T2" s="19">
        <v>527654.32169684477</v>
      </c>
      <c r="U2" s="19">
        <v>535433.09670888039</v>
      </c>
      <c r="V2" s="19">
        <v>545485.9418491784</v>
      </c>
      <c r="W2" s="19">
        <v>558811.309450033</v>
      </c>
      <c r="X2" s="19">
        <v>532029.4954671372</v>
      </c>
      <c r="Y2" s="19">
        <v>565055.04407051136</v>
      </c>
      <c r="Z2" s="19">
        <v>589123.7167610561</v>
      </c>
      <c r="AA2" s="19">
        <v>596202.69999999995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228424.01824063627</v>
      </c>
      <c r="E3" s="23">
        <v>230578.77275292427</v>
      </c>
      <c r="F3" s="23">
        <v>231987.97268503826</v>
      </c>
      <c r="G3" s="23">
        <v>233653.65194101905</v>
      </c>
      <c r="H3" s="23">
        <v>236139.72955782228</v>
      </c>
      <c r="I3" s="23">
        <v>239548.78770225387</v>
      </c>
      <c r="J3" s="23">
        <v>243800.84432438671</v>
      </c>
      <c r="K3" s="23">
        <v>248903.79878017245</v>
      </c>
      <c r="L3" s="23">
        <v>252324.53231335882</v>
      </c>
      <c r="M3" s="23">
        <v>256222.54511521346</v>
      </c>
      <c r="N3" s="23">
        <v>265953.06934189406</v>
      </c>
      <c r="O3" s="23">
        <v>267570.14892862388</v>
      </c>
      <c r="P3" s="23">
        <v>271298.48904919246</v>
      </c>
      <c r="Q3" s="23">
        <v>274891.74277355056</v>
      </c>
      <c r="R3" s="23">
        <v>277623.25668168394</v>
      </c>
      <c r="S3" s="23">
        <v>282137.72909400001</v>
      </c>
      <c r="T3" s="23">
        <v>286673.64858159173</v>
      </c>
      <c r="U3" s="23">
        <v>292149.77320507617</v>
      </c>
      <c r="V3" s="23">
        <v>296862.66204945254</v>
      </c>
      <c r="W3" s="23">
        <v>301158.64047674555</v>
      </c>
      <c r="X3" s="23">
        <v>279489.58858700673</v>
      </c>
      <c r="Y3" s="23">
        <v>295080.5758642414</v>
      </c>
      <c r="Z3" s="23">
        <v>305809.78095082525</v>
      </c>
      <c r="AA3" s="23">
        <v>307645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372048.40357722319</v>
      </c>
      <c r="E4" s="27">
        <v>377707.34655627218</v>
      </c>
      <c r="F4" s="27">
        <v>383872.69552985893</v>
      </c>
      <c r="G4" s="27">
        <v>388150.92710022803</v>
      </c>
      <c r="H4" s="27">
        <v>400462.29181124218</v>
      </c>
      <c r="I4" s="27">
        <v>410256.66630508716</v>
      </c>
      <c r="J4" s="27">
        <v>420311.76333986991</v>
      </c>
      <c r="K4" s="27">
        <v>435985.64429828519</v>
      </c>
      <c r="L4" s="27">
        <v>439421.12956810632</v>
      </c>
      <c r="M4" s="27">
        <v>431307.34028372064</v>
      </c>
      <c r="N4" s="27">
        <v>443089.3423822117</v>
      </c>
      <c r="O4" s="27">
        <v>453079.47907861375</v>
      </c>
      <c r="P4" s="27">
        <v>454000.44213341334</v>
      </c>
      <c r="Q4" s="27">
        <v>455053.35473114217</v>
      </c>
      <c r="R4" s="27">
        <v>463644.97199927218</v>
      </c>
      <c r="S4" s="27">
        <v>470808.67237500002</v>
      </c>
      <c r="T4" s="27">
        <v>474901.26428066666</v>
      </c>
      <c r="U4" s="27">
        <v>481677.18911530578</v>
      </c>
      <c r="V4" s="27">
        <v>490932.0366934262</v>
      </c>
      <c r="W4" s="27">
        <v>503756.79939057247</v>
      </c>
      <c r="X4" s="27">
        <v>482579.3927344649</v>
      </c>
      <c r="Y4" s="27">
        <v>510053.54519055778</v>
      </c>
      <c r="Z4" s="27">
        <v>533256.62059477763</v>
      </c>
      <c r="AA4" s="27">
        <v>538959.5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4906.3924515181952</v>
      </c>
      <c r="E6" s="19">
        <v>4677.2355517411115</v>
      </c>
      <c r="F6" s="19">
        <v>4431.2557444852937</v>
      </c>
      <c r="G6" s="19">
        <v>4461.1825177127675</v>
      </c>
      <c r="H6" s="19">
        <v>4590.9183636842226</v>
      </c>
      <c r="I6" s="19">
        <v>3862.5039578300539</v>
      </c>
      <c r="J6" s="19">
        <v>4275.2520039907804</v>
      </c>
      <c r="K6" s="19">
        <v>4336.8348280595937</v>
      </c>
      <c r="L6" s="19">
        <v>3506.5913621262457</v>
      </c>
      <c r="M6" s="19">
        <v>3465.031515370943</v>
      </c>
      <c r="N6" s="19">
        <v>4201.3600302228942</v>
      </c>
      <c r="O6" s="19">
        <v>3672.9403529163142</v>
      </c>
      <c r="P6" s="19">
        <v>4283.5348947880238</v>
      </c>
      <c r="Q6" s="19">
        <v>3888.1740564738993</v>
      </c>
      <c r="R6" s="19">
        <v>3706.7070335402218</v>
      </c>
      <c r="S6" s="19">
        <v>3941.7626249999998</v>
      </c>
      <c r="T6" s="19">
        <v>3577.6853542194222</v>
      </c>
      <c r="U6" s="19">
        <v>3934.9483583440019</v>
      </c>
      <c r="V6" s="19">
        <v>3653.5956196985758</v>
      </c>
      <c r="W6" s="19">
        <v>4045.9441946452125</v>
      </c>
      <c r="X6" s="19">
        <v>3816.464503663371</v>
      </c>
      <c r="Y6" s="19">
        <v>3736.389639760197</v>
      </c>
      <c r="Z6" s="19">
        <v>4121.2796309822215</v>
      </c>
      <c r="AA6" s="19">
        <v>4586.1000000000004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84871.801842694884</v>
      </c>
      <c r="E7" s="23">
        <v>83317.604693869827</v>
      </c>
      <c r="F7" s="23">
        <v>83149.105568114072</v>
      </c>
      <c r="G7" s="23">
        <v>81591.496042827697</v>
      </c>
      <c r="H7" s="23">
        <v>83197.958643422913</v>
      </c>
      <c r="I7" s="23">
        <v>83502.436117691206</v>
      </c>
      <c r="J7" s="23">
        <v>82073.099649086595</v>
      </c>
      <c r="K7" s="23">
        <v>85148.974462123602</v>
      </c>
      <c r="L7" s="23">
        <v>81073.271179401985</v>
      </c>
      <c r="M7" s="23">
        <v>74539.84225857415</v>
      </c>
      <c r="N7" s="23">
        <v>78282.249986507639</v>
      </c>
      <c r="O7" s="23">
        <v>79731.087806424344</v>
      </c>
      <c r="P7" s="23">
        <v>76918.10936562455</v>
      </c>
      <c r="Q7" s="23">
        <v>77306.632598431621</v>
      </c>
      <c r="R7" s="23">
        <v>77432.185042354889</v>
      </c>
      <c r="S7" s="23">
        <v>78245.713124999995</v>
      </c>
      <c r="T7" s="23">
        <v>77450.487677404162</v>
      </c>
      <c r="U7" s="23">
        <v>79359.373826872921</v>
      </c>
      <c r="V7" s="23">
        <v>79049.457550742183</v>
      </c>
      <c r="W7" s="23">
        <v>82188.950177440041</v>
      </c>
      <c r="X7" s="23">
        <v>77139.640811423131</v>
      </c>
      <c r="Y7" s="23">
        <v>75015.623661813515</v>
      </c>
      <c r="Z7" s="23">
        <v>86872.034930529058</v>
      </c>
      <c r="AA7" s="23">
        <v>81470.2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19195.955342656263</v>
      </c>
      <c r="E8" s="23">
        <v>19187.129090886141</v>
      </c>
      <c r="F8" s="23">
        <v>18878.081838732112</v>
      </c>
      <c r="G8" s="23">
        <v>19063.125434435326</v>
      </c>
      <c r="H8" s="23">
        <v>19848.668160281413</v>
      </c>
      <c r="I8" s="23">
        <v>20217.717739287473</v>
      </c>
      <c r="J8" s="23">
        <v>22255.07792341831</v>
      </c>
      <c r="K8" s="23">
        <v>23730.508310077872</v>
      </c>
      <c r="L8" s="23">
        <v>25233.574750830565</v>
      </c>
      <c r="M8" s="23">
        <v>24245.792327694031</v>
      </c>
      <c r="N8" s="23">
        <v>24084.159965459552</v>
      </c>
      <c r="O8" s="23">
        <v>25218.916420118345</v>
      </c>
      <c r="P8" s="23">
        <v>24496.31809811508</v>
      </c>
      <c r="Q8" s="23">
        <v>23971.467449496748</v>
      </c>
      <c r="R8" s="23">
        <v>24061.531220306086</v>
      </c>
      <c r="S8" s="23">
        <v>24033.871125000001</v>
      </c>
      <c r="T8" s="23">
        <v>24046.798627878219</v>
      </c>
      <c r="U8" s="23">
        <v>23956.37627660291</v>
      </c>
      <c r="V8" s="23">
        <v>25200.585759996968</v>
      </c>
      <c r="W8" s="23">
        <v>26119.362795191468</v>
      </c>
      <c r="X8" s="23">
        <v>25021.931355173481</v>
      </c>
      <c r="Y8" s="23">
        <v>27659.723263033935</v>
      </c>
      <c r="Z8" s="23">
        <v>28510.683338589999</v>
      </c>
      <c r="AA8" s="23">
        <v>29055.599999999999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70361.247875299392</v>
      </c>
      <c r="E9" s="23">
        <v>72912.813166563603</v>
      </c>
      <c r="F9" s="23">
        <v>76533.536305147049</v>
      </c>
      <c r="G9" s="23">
        <v>80932.52076143556</v>
      </c>
      <c r="H9" s="23">
        <v>83993.756131996444</v>
      </c>
      <c r="I9" s="23">
        <v>86969.842214508521</v>
      </c>
      <c r="J9" s="23">
        <v>88599.308064127705</v>
      </c>
      <c r="K9" s="23">
        <v>91888.22551424586</v>
      </c>
      <c r="L9" s="23">
        <v>93821.191860465115</v>
      </c>
      <c r="M9" s="23">
        <v>88485.238792706208</v>
      </c>
      <c r="N9" s="23">
        <v>90308.097441847916</v>
      </c>
      <c r="O9" s="23">
        <v>92189.253883136087</v>
      </c>
      <c r="P9" s="23">
        <v>90436.137003165655</v>
      </c>
      <c r="Q9" s="23">
        <v>89180.31278361869</v>
      </c>
      <c r="R9" s="23">
        <v>90546.947844853712</v>
      </c>
      <c r="S9" s="23">
        <v>91789.448250000001</v>
      </c>
      <c r="T9" s="23">
        <v>93142.242432718936</v>
      </c>
      <c r="U9" s="23">
        <v>91258.614843727439</v>
      </c>
      <c r="V9" s="23">
        <v>92766.08366782793</v>
      </c>
      <c r="W9" s="23">
        <v>94442.894386020329</v>
      </c>
      <c r="X9" s="23">
        <v>86664.465750671457</v>
      </c>
      <c r="Y9" s="23">
        <v>97262.706080719407</v>
      </c>
      <c r="Z9" s="23">
        <v>103652.94660198205</v>
      </c>
      <c r="AA9" s="23">
        <v>104940.8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14548.307965695743</v>
      </c>
      <c r="E10" s="23">
        <v>15871.083288106927</v>
      </c>
      <c r="F10" s="23">
        <v>16220.678283982512</v>
      </c>
      <c r="G10" s="23">
        <v>16121.007310708146</v>
      </c>
      <c r="H10" s="23">
        <v>16741.686059728636</v>
      </c>
      <c r="I10" s="23">
        <v>16816.556482632455</v>
      </c>
      <c r="J10" s="23">
        <v>17087.240255272303</v>
      </c>
      <c r="K10" s="23">
        <v>17847.190917990727</v>
      </c>
      <c r="L10" s="23">
        <v>18123.126661129569</v>
      </c>
      <c r="M10" s="23">
        <v>18668.132858271347</v>
      </c>
      <c r="N10" s="23">
        <v>19011.017728965406</v>
      </c>
      <c r="O10" s="23">
        <v>19305.169986263736</v>
      </c>
      <c r="P10" s="23">
        <v>19482.082540191594</v>
      </c>
      <c r="Q10" s="23">
        <v>18692.515015857152</v>
      </c>
      <c r="R10" s="23">
        <v>18594.087247033134</v>
      </c>
      <c r="S10" s="23">
        <v>19207.104374999999</v>
      </c>
      <c r="T10" s="23">
        <v>19553.109725575643</v>
      </c>
      <c r="U10" s="23">
        <v>20286.004172722809</v>
      </c>
      <c r="V10" s="23">
        <v>20648.276682255371</v>
      </c>
      <c r="W10" s="23">
        <v>21880.17316660783</v>
      </c>
      <c r="X10" s="23">
        <v>21681.471423873121</v>
      </c>
      <c r="Y10" s="23">
        <v>22997.043611497702</v>
      </c>
      <c r="Z10" s="23">
        <v>23065.991600405043</v>
      </c>
      <c r="AA10" s="23">
        <v>23351.5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23100.239511705171</v>
      </c>
      <c r="E11" s="23">
        <v>21890.36835329606</v>
      </c>
      <c r="F11" s="23">
        <v>22724.018158783783</v>
      </c>
      <c r="G11" s="23">
        <v>21058.390394253871</v>
      </c>
      <c r="H11" s="23">
        <v>23092.945362415943</v>
      </c>
      <c r="I11" s="23">
        <v>22812.826007927386</v>
      </c>
      <c r="J11" s="23">
        <v>23326.354628960678</v>
      </c>
      <c r="K11" s="23">
        <v>22707.056814601434</v>
      </c>
      <c r="L11" s="23">
        <v>20550.422342192691</v>
      </c>
      <c r="M11" s="23">
        <v>24944.316947534724</v>
      </c>
      <c r="N11" s="23">
        <v>26175.837066220523</v>
      </c>
      <c r="O11" s="23">
        <v>25126.244980980555</v>
      </c>
      <c r="P11" s="23">
        <v>27556.135296186712</v>
      </c>
      <c r="Q11" s="23">
        <v>26189.341418271924</v>
      </c>
      <c r="R11" s="23">
        <v>28563.335599336875</v>
      </c>
      <c r="S11" s="23">
        <v>30069.161999999997</v>
      </c>
      <c r="T11" s="23">
        <v>30573.804546257583</v>
      </c>
      <c r="U11" s="23">
        <v>31174.381431142854</v>
      </c>
      <c r="V11" s="23">
        <v>31721.402723606479</v>
      </c>
      <c r="W11" s="23">
        <v>32394.673663625723</v>
      </c>
      <c r="X11" s="23">
        <v>30880.031769015728</v>
      </c>
      <c r="Y11" s="23">
        <v>32508.653048388824</v>
      </c>
      <c r="Z11" s="23">
        <v>30924.649117710531</v>
      </c>
      <c r="AA11" s="23">
        <v>32402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31536.142606041874</v>
      </c>
      <c r="E12" s="23">
        <v>32327.060273125418</v>
      </c>
      <c r="F12" s="23">
        <v>31870.634812201908</v>
      </c>
      <c r="G12" s="23">
        <v>31877.389851590797</v>
      </c>
      <c r="H12" s="23">
        <v>31518.146970494625</v>
      </c>
      <c r="I12" s="23">
        <v>34049.106849684547</v>
      </c>
      <c r="J12" s="23">
        <v>35886.900092888842</v>
      </c>
      <c r="K12" s="23">
        <v>37312.820278390427</v>
      </c>
      <c r="L12" s="23">
        <v>37783.32599667774</v>
      </c>
      <c r="M12" s="23">
        <v>37310.337946810614</v>
      </c>
      <c r="N12" s="23">
        <v>39280.533757893034</v>
      </c>
      <c r="O12" s="23">
        <v>41262.959768596789</v>
      </c>
      <c r="P12" s="23">
        <v>41445.592632058098</v>
      </c>
      <c r="Q12" s="23">
        <v>42538.590752883349</v>
      </c>
      <c r="R12" s="23">
        <v>43110.142303337845</v>
      </c>
      <c r="S12" s="23">
        <v>43783.124250000001</v>
      </c>
      <c r="T12" s="23">
        <v>44459.59969966433</v>
      </c>
      <c r="U12" s="23">
        <v>45450.916122014845</v>
      </c>
      <c r="V12" s="23">
        <v>46436.399954559223</v>
      </c>
      <c r="W12" s="23">
        <v>47468.40452611434</v>
      </c>
      <c r="X12" s="23">
        <v>47836.323678536843</v>
      </c>
      <c r="Y12" s="23">
        <v>49258.763448774225</v>
      </c>
      <c r="Z12" s="23">
        <v>51049.911397553165</v>
      </c>
      <c r="AA12" s="23">
        <v>53502.400000000001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42337.203507687555</v>
      </c>
      <c r="E13" s="23">
        <v>44499.133546212972</v>
      </c>
      <c r="F13" s="23">
        <v>43890.480766842207</v>
      </c>
      <c r="G13" s="23">
        <v>44945.936124288135</v>
      </c>
      <c r="H13" s="23">
        <v>47592.863103926866</v>
      </c>
      <c r="I13" s="23">
        <v>49619.904660271597</v>
      </c>
      <c r="J13" s="23">
        <v>52396.908865724021</v>
      </c>
      <c r="K13" s="23">
        <v>56159.145586712883</v>
      </c>
      <c r="L13" s="23">
        <v>58196.737126245847</v>
      </c>
      <c r="M13" s="23">
        <v>56526.281597656503</v>
      </c>
      <c r="N13" s="23">
        <v>57231.117302606734</v>
      </c>
      <c r="O13" s="23">
        <v>59868.153265004221</v>
      </c>
      <c r="P13" s="23">
        <v>60393.736809708047</v>
      </c>
      <c r="Q13" s="23">
        <v>62850.501718283143</v>
      </c>
      <c r="R13" s="23">
        <v>65727.876897883267</v>
      </c>
      <c r="S13" s="23">
        <v>68129.647124999989</v>
      </c>
      <c r="T13" s="23">
        <v>69523.987103233027</v>
      </c>
      <c r="U13" s="23">
        <v>72598.142849579832</v>
      </c>
      <c r="V13" s="23">
        <v>75268.089570395328</v>
      </c>
      <c r="W13" s="23">
        <v>77323.297829843359</v>
      </c>
      <c r="X13" s="23">
        <v>74813.187224790337</v>
      </c>
      <c r="Y13" s="23">
        <v>80709.443582057604</v>
      </c>
      <c r="Z13" s="23">
        <v>81630.93698643781</v>
      </c>
      <c r="AA13" s="23">
        <v>82384.600000000006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73037.06250482882</v>
      </c>
      <c r="E14" s="23">
        <v>74916.317318978719</v>
      </c>
      <c r="F14" s="23">
        <v>77724.423533137902</v>
      </c>
      <c r="G14" s="23">
        <v>79561.093953879754</v>
      </c>
      <c r="H14" s="23">
        <v>80924.273134078408</v>
      </c>
      <c r="I14" s="23">
        <v>83220.562099819464</v>
      </c>
      <c r="J14" s="23">
        <v>85168.816871366071</v>
      </c>
      <c r="K14" s="23">
        <v>87446.727590358816</v>
      </c>
      <c r="L14" s="23">
        <v>91495.220099667727</v>
      </c>
      <c r="M14" s="23">
        <v>94434.483411230365</v>
      </c>
      <c r="N14" s="23">
        <v>95826.338307517988</v>
      </c>
      <c r="O14" s="23">
        <v>97885.476146449801</v>
      </c>
      <c r="P14" s="23">
        <v>100054.47965591445</v>
      </c>
      <c r="Q14" s="23">
        <v>101425.14212801975</v>
      </c>
      <c r="R14" s="23">
        <v>102652.63707215496</v>
      </c>
      <c r="S14" s="23">
        <v>102314.96925000002</v>
      </c>
      <c r="T14" s="23">
        <v>103223.73903185914</v>
      </c>
      <c r="U14" s="23">
        <v>104321.01822618369</v>
      </c>
      <c r="V14" s="23">
        <v>106483.42760716451</v>
      </c>
      <c r="W14" s="23">
        <v>107945.42011947009</v>
      </c>
      <c r="X14" s="23">
        <v>106738.16621293241</v>
      </c>
      <c r="Y14" s="23">
        <v>111944.67334867791</v>
      </c>
      <c r="Z14" s="23">
        <v>113745.05216546865</v>
      </c>
      <c r="AA14" s="23">
        <v>117472.09999999992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8154.0499690952638</v>
      </c>
      <c r="E15" s="23">
        <v>8108.6012734914366</v>
      </c>
      <c r="F15" s="23">
        <v>8450.4805184320339</v>
      </c>
      <c r="G15" s="23">
        <v>8538.7847090960095</v>
      </c>
      <c r="H15" s="23">
        <v>8961.0758812127588</v>
      </c>
      <c r="I15" s="23">
        <v>9185.2101754344803</v>
      </c>
      <c r="J15" s="23">
        <v>9242.804985034576</v>
      </c>
      <c r="K15" s="23">
        <v>9408.159995723996</v>
      </c>
      <c r="L15" s="23">
        <v>9637.668189368771</v>
      </c>
      <c r="M15" s="23">
        <v>8687.8826278717661</v>
      </c>
      <c r="N15" s="23">
        <v>8688.6307949700476</v>
      </c>
      <c r="O15" s="23">
        <v>8819.2764687235849</v>
      </c>
      <c r="P15" s="23">
        <v>8934.3158376611282</v>
      </c>
      <c r="Q15" s="23">
        <v>9010.6768098059401</v>
      </c>
      <c r="R15" s="23">
        <v>9249.5217384711796</v>
      </c>
      <c r="S15" s="23">
        <v>9293.8702499999999</v>
      </c>
      <c r="T15" s="23">
        <v>9349.8100818561925</v>
      </c>
      <c r="U15" s="23">
        <v>9337.4130081144303</v>
      </c>
      <c r="V15" s="23">
        <v>9704.7175571796415</v>
      </c>
      <c r="W15" s="23">
        <v>9947.678531614054</v>
      </c>
      <c r="X15" s="23">
        <v>7987.7100043850824</v>
      </c>
      <c r="Y15" s="23">
        <v>8960.5255058344937</v>
      </c>
      <c r="Z15" s="23">
        <v>9683.1348251191066</v>
      </c>
      <c r="AA15" s="23">
        <v>9794.2000000000007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372048.40357722319</v>
      </c>
      <c r="E16" s="30">
        <f t="shared" ref="E16:S16" si="0">SUM(E6:E15)</f>
        <v>377707.34655627224</v>
      </c>
      <c r="F16" s="30">
        <f t="shared" si="0"/>
        <v>383872.69552985887</v>
      </c>
      <c r="G16" s="30">
        <f t="shared" si="0"/>
        <v>388150.92710022809</v>
      </c>
      <c r="H16" s="30">
        <f t="shared" si="0"/>
        <v>400462.29181124229</v>
      </c>
      <c r="I16" s="30">
        <f t="shared" si="0"/>
        <v>410256.66630508716</v>
      </c>
      <c r="J16" s="30">
        <f t="shared" si="0"/>
        <v>420311.76333986991</v>
      </c>
      <c r="K16" s="30">
        <f t="shared" si="0"/>
        <v>435985.64429828519</v>
      </c>
      <c r="L16" s="30">
        <f t="shared" si="0"/>
        <v>439421.12956810632</v>
      </c>
      <c r="M16" s="30">
        <f t="shared" si="0"/>
        <v>431307.34028372064</v>
      </c>
      <c r="N16" s="30">
        <f t="shared" si="0"/>
        <v>443089.34238221176</v>
      </c>
      <c r="O16" s="30">
        <f t="shared" si="0"/>
        <v>453079.4790786138</v>
      </c>
      <c r="P16" s="30">
        <f t="shared" si="0"/>
        <v>454000.44213341339</v>
      </c>
      <c r="Q16" s="30">
        <f t="shared" si="0"/>
        <v>455053.35473114229</v>
      </c>
      <c r="R16" s="30">
        <f t="shared" si="0"/>
        <v>463644.97199927218</v>
      </c>
      <c r="S16" s="30">
        <f t="shared" si="0"/>
        <v>470808.67237499997</v>
      </c>
      <c r="T16" s="30">
        <f t="shared" ref="T16:Y16" si="1">SUM(T6:T15)</f>
        <v>474901.26428066666</v>
      </c>
      <c r="U16" s="30">
        <f t="shared" si="1"/>
        <v>481677.18911530578</v>
      </c>
      <c r="V16" s="30">
        <f t="shared" si="1"/>
        <v>490932.0366934262</v>
      </c>
      <c r="W16" s="30">
        <f t="shared" si="1"/>
        <v>503756.79939057247</v>
      </c>
      <c r="X16" s="30">
        <f t="shared" si="1"/>
        <v>482579.39273446496</v>
      </c>
      <c r="Y16" s="30">
        <f t="shared" si="1"/>
        <v>510053.54519055784</v>
      </c>
      <c r="Z16" s="30">
        <f t="shared" ref="Z16:AA16" si="2">SUM(Z6:Z15)</f>
        <v>533256.62059477763</v>
      </c>
      <c r="AA16" s="30">
        <f t="shared" si="2"/>
        <v>538959.5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4906.3924515181952</v>
      </c>
      <c r="E18" s="19">
        <v>4677.2355517411115</v>
      </c>
      <c r="F18" s="19">
        <v>4431.2557444852937</v>
      </c>
      <c r="G18" s="19">
        <v>4461.1825177127675</v>
      </c>
      <c r="H18" s="19">
        <v>4590.9183636842226</v>
      </c>
      <c r="I18" s="19">
        <v>3862.5039578300539</v>
      </c>
      <c r="J18" s="19">
        <v>4275.2520039907804</v>
      </c>
      <c r="K18" s="19">
        <v>4336.8348280595937</v>
      </c>
      <c r="L18" s="19">
        <v>3506.5913621262457</v>
      </c>
      <c r="M18" s="19">
        <v>3465.031515370943</v>
      </c>
      <c r="N18" s="19">
        <v>4201.3600302228942</v>
      </c>
      <c r="O18" s="19">
        <v>3672.9403529163142</v>
      </c>
      <c r="P18" s="19">
        <v>4283.5348947880238</v>
      </c>
      <c r="Q18" s="19">
        <v>3888.1740564738993</v>
      </c>
      <c r="R18" s="19">
        <v>3706.7070335402218</v>
      </c>
      <c r="S18" s="19">
        <v>3941.7626249999998</v>
      </c>
      <c r="T18" s="19">
        <v>3577.6853542194222</v>
      </c>
      <c r="U18" s="19">
        <v>3934.9483583440019</v>
      </c>
      <c r="V18" s="19">
        <v>3653.5956196985758</v>
      </c>
      <c r="W18" s="19">
        <v>4045.9441946452125</v>
      </c>
      <c r="X18" s="19">
        <v>3816.464503663371</v>
      </c>
      <c r="Y18" s="19">
        <v>3736.389639760197</v>
      </c>
      <c r="Z18" s="19">
        <v>4121.2796309822215</v>
      </c>
      <c r="AA18" s="19">
        <v>4586.1000000000004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568.58823302171061</v>
      </c>
      <c r="E19" s="23">
        <v>482.97194280016663</v>
      </c>
      <c r="F19" s="23">
        <v>493.80930792925318</v>
      </c>
      <c r="G19" s="23">
        <v>497.46777556918653</v>
      </c>
      <c r="H19" s="23">
        <v>466.77310416616831</v>
      </c>
      <c r="I19" s="23">
        <v>478.23735839763583</v>
      </c>
      <c r="J19" s="23">
        <v>529.98632469811139</v>
      </c>
      <c r="K19" s="23">
        <v>470.41511005086204</v>
      </c>
      <c r="L19" s="23">
        <v>477.64991694352153</v>
      </c>
      <c r="M19" s="23">
        <v>421.91552564018156</v>
      </c>
      <c r="N19" s="23">
        <v>419.99959522910024</v>
      </c>
      <c r="O19" s="23">
        <v>432.77829142011808</v>
      </c>
      <c r="P19" s="23">
        <v>387.51060396019125</v>
      </c>
      <c r="Q19" s="23">
        <v>354.91138349836342</v>
      </c>
      <c r="R19" s="23">
        <v>359.22457190222991</v>
      </c>
      <c r="S19" s="23">
        <v>277.14037500000006</v>
      </c>
      <c r="T19" s="23">
        <v>295.32897061421579</v>
      </c>
      <c r="U19" s="23">
        <v>302.40761774586349</v>
      </c>
      <c r="V19" s="23">
        <v>295.02494509239591</v>
      </c>
      <c r="W19" s="23">
        <v>334.2465069396705</v>
      </c>
      <c r="X19" s="23">
        <v>306.06066488827145</v>
      </c>
      <c r="Y19" s="23">
        <v>335.05332585537468</v>
      </c>
      <c r="Z19" s="23">
        <v>297.19123923622857</v>
      </c>
      <c r="AA19" s="23">
        <v>290.00904457444045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73161.553059568876</v>
      </c>
      <c r="E20" s="23">
        <v>71846.223542552791</v>
      </c>
      <c r="F20" s="23">
        <v>72034.315071045305</v>
      </c>
      <c r="G20" s="23">
        <v>70205.062772093705</v>
      </c>
      <c r="H20" s="23">
        <v>72213.140868410337</v>
      </c>
      <c r="I20" s="23">
        <v>72922.527528906823</v>
      </c>
      <c r="J20" s="23">
        <v>70770.63766470569</v>
      </c>
      <c r="K20" s="23">
        <v>73591.381459017881</v>
      </c>
      <c r="L20" s="23">
        <v>68881.372508305649</v>
      </c>
      <c r="M20" s="23">
        <v>61916.623329603055</v>
      </c>
      <c r="N20" s="23">
        <v>65051.23967834207</v>
      </c>
      <c r="O20" s="23">
        <v>65494.003988799668</v>
      </c>
      <c r="P20" s="23">
        <v>64014.42461877469</v>
      </c>
      <c r="Q20" s="23">
        <v>64404.302208784138</v>
      </c>
      <c r="R20" s="23">
        <v>65098.722909043121</v>
      </c>
      <c r="S20" s="23">
        <v>65997.700874999995</v>
      </c>
      <c r="T20" s="23">
        <v>65094.424651080626</v>
      </c>
      <c r="U20" s="23">
        <v>67130.233590659263</v>
      </c>
      <c r="V20" s="23">
        <v>67857.292652794597</v>
      </c>
      <c r="W20" s="23">
        <v>69872.07792961855</v>
      </c>
      <c r="X20" s="23">
        <v>64312.916582923754</v>
      </c>
      <c r="Y20" s="23">
        <v>61302.224735039083</v>
      </c>
      <c r="Z20" s="23">
        <v>71889.167987749213</v>
      </c>
      <c r="AA20" s="23">
        <v>67112.600000000006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8544.9340377037788</v>
      </c>
      <c r="E21" s="23">
        <v>8421.0656182554812</v>
      </c>
      <c r="F21" s="23">
        <v>8086.9514792825976</v>
      </c>
      <c r="G21" s="23">
        <v>8018.2004012048337</v>
      </c>
      <c r="H21" s="23">
        <v>7446.1423759841127</v>
      </c>
      <c r="I21" s="23">
        <v>6990.0903264770031</v>
      </c>
      <c r="J21" s="23">
        <v>7614.1513572092072</v>
      </c>
      <c r="K21" s="23">
        <v>7763.4135740649072</v>
      </c>
      <c r="L21" s="23">
        <v>8464.7458471760783</v>
      </c>
      <c r="M21" s="23">
        <v>8471.5867948127161</v>
      </c>
      <c r="N21" s="23">
        <v>8704.9997301527328</v>
      </c>
      <c r="O21" s="23">
        <v>9593.3634034234929</v>
      </c>
      <c r="P21" s="23">
        <v>8039.4069024021865</v>
      </c>
      <c r="Q21" s="23">
        <v>8187.3184840357753</v>
      </c>
      <c r="R21" s="23">
        <v>7499.6432939773158</v>
      </c>
      <c r="S21" s="23">
        <v>7504.2738750000026</v>
      </c>
      <c r="T21" s="23">
        <v>7604.2558594900147</v>
      </c>
      <c r="U21" s="23">
        <v>7226.8851851495383</v>
      </c>
      <c r="V21" s="23">
        <v>6223.9974628900254</v>
      </c>
      <c r="W21" s="23">
        <v>7232.380599580094</v>
      </c>
      <c r="X21" s="23">
        <v>7905.2779731778992</v>
      </c>
      <c r="Y21" s="23">
        <v>8733.1446458232149</v>
      </c>
      <c r="Z21" s="23">
        <v>10105.026836078443</v>
      </c>
      <c r="AA21" s="23">
        <v>9556.5838561458004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2596.7265124005257</v>
      </c>
      <c r="E22" s="23">
        <v>2567.3435902613874</v>
      </c>
      <c r="F22" s="23">
        <v>2534.0297098569176</v>
      </c>
      <c r="G22" s="23">
        <v>2870.7650939599771</v>
      </c>
      <c r="H22" s="23">
        <v>3071.9022948622855</v>
      </c>
      <c r="I22" s="23">
        <v>3111.5809039097494</v>
      </c>
      <c r="J22" s="23">
        <v>3158.3243024735966</v>
      </c>
      <c r="K22" s="23">
        <v>3323.7643189899641</v>
      </c>
      <c r="L22" s="23">
        <v>3249.5029069767438</v>
      </c>
      <c r="M22" s="23">
        <v>3729.7166085182002</v>
      </c>
      <c r="N22" s="23">
        <v>4106.0109827837441</v>
      </c>
      <c r="O22" s="23">
        <v>4210.9421227810617</v>
      </c>
      <c r="P22" s="23">
        <v>4476.767240487472</v>
      </c>
      <c r="Q22" s="23">
        <v>4360.1005221133373</v>
      </c>
      <c r="R22" s="23">
        <v>4474.5942674322214</v>
      </c>
      <c r="S22" s="23">
        <v>4466.5980000000009</v>
      </c>
      <c r="T22" s="23">
        <v>4456.4781962193028</v>
      </c>
      <c r="U22" s="23">
        <v>4699.8474333182548</v>
      </c>
      <c r="V22" s="23">
        <v>4673.1424899651574</v>
      </c>
      <c r="W22" s="23">
        <v>4750.2451413017252</v>
      </c>
      <c r="X22" s="23">
        <v>4615.3855904332049</v>
      </c>
      <c r="Y22" s="23">
        <v>4645.2009550958464</v>
      </c>
      <c r="Z22" s="23">
        <v>4580.6488674651755</v>
      </c>
      <c r="AA22" s="23">
        <v>4511.00709927975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19195.955342656263</v>
      </c>
      <c r="E23" s="23">
        <v>19187.129090886141</v>
      </c>
      <c r="F23" s="23">
        <v>18878.081838732112</v>
      </c>
      <c r="G23" s="23">
        <v>19063.125434435326</v>
      </c>
      <c r="H23" s="23">
        <v>19848.668160281413</v>
      </c>
      <c r="I23" s="23">
        <v>20217.717739287473</v>
      </c>
      <c r="J23" s="23">
        <v>22255.07792341831</v>
      </c>
      <c r="K23" s="23">
        <v>23730.508310077872</v>
      </c>
      <c r="L23" s="23">
        <v>25233.574750830565</v>
      </c>
      <c r="M23" s="23">
        <v>24245.792327694031</v>
      </c>
      <c r="N23" s="23">
        <v>24084.159965459552</v>
      </c>
      <c r="O23" s="23">
        <v>25218.916420118345</v>
      </c>
      <c r="P23" s="23">
        <v>24496.31809811508</v>
      </c>
      <c r="Q23" s="23">
        <v>23971.467449496748</v>
      </c>
      <c r="R23" s="23">
        <v>24061.531220306086</v>
      </c>
      <c r="S23" s="23">
        <v>24033.871125000001</v>
      </c>
      <c r="T23" s="23">
        <v>24046.798627878219</v>
      </c>
      <c r="U23" s="23">
        <v>23956.37627660291</v>
      </c>
      <c r="V23" s="23">
        <v>25200.585759996968</v>
      </c>
      <c r="W23" s="23">
        <v>26119.362795191468</v>
      </c>
      <c r="X23" s="23">
        <v>25021.931355173481</v>
      </c>
      <c r="Y23" s="23">
        <v>27659.723263033935</v>
      </c>
      <c r="Z23" s="23">
        <v>28510.683338589999</v>
      </c>
      <c r="AA23" s="23">
        <v>29055.599999999999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41863.000270416444</v>
      </c>
      <c r="E24" s="23">
        <v>44081.397906122605</v>
      </c>
      <c r="F24" s="23">
        <v>47904.368758694356</v>
      </c>
      <c r="G24" s="23">
        <v>50976.731186663907</v>
      </c>
      <c r="H24" s="23">
        <v>53560.2102227859</v>
      </c>
      <c r="I24" s="23">
        <v>54575.522580153374</v>
      </c>
      <c r="J24" s="23">
        <v>55078.723724498566</v>
      </c>
      <c r="K24" s="23">
        <v>57661.117893955088</v>
      </c>
      <c r="L24" s="23">
        <v>58427.514950166114</v>
      </c>
      <c r="M24" s="23">
        <v>54558.128167994204</v>
      </c>
      <c r="N24" s="23">
        <v>55714.262642344438</v>
      </c>
      <c r="O24" s="23">
        <v>57436.930077134406</v>
      </c>
      <c r="P24" s="23">
        <v>56163.151238335631</v>
      </c>
      <c r="Q24" s="23">
        <v>55473.525565197888</v>
      </c>
      <c r="R24" s="23">
        <v>55784.305693144364</v>
      </c>
      <c r="S24" s="23">
        <v>55880.623875000005</v>
      </c>
      <c r="T24" s="23">
        <v>57743.325628643783</v>
      </c>
      <c r="U24" s="23">
        <v>55107.280366545056</v>
      </c>
      <c r="V24" s="23">
        <v>55575.95212624962</v>
      </c>
      <c r="W24" s="23">
        <v>56546.596008063767</v>
      </c>
      <c r="X24" s="23">
        <v>54949.030371270397</v>
      </c>
      <c r="Y24" s="23">
        <v>62042.039128572957</v>
      </c>
      <c r="Z24" s="23">
        <v>65645.31029531383</v>
      </c>
      <c r="AA24" s="23">
        <v>65382.100000000006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22415.948292513327</v>
      </c>
      <c r="E25" s="23">
        <v>22749.605425906528</v>
      </c>
      <c r="F25" s="23">
        <v>22043.264513364466</v>
      </c>
      <c r="G25" s="23">
        <v>22972.593380729973</v>
      </c>
      <c r="H25" s="23">
        <v>23243.849009308666</v>
      </c>
      <c r="I25" s="23">
        <v>24932.809091868567</v>
      </c>
      <c r="J25" s="23">
        <v>25870.636804623802</v>
      </c>
      <c r="K25" s="23">
        <v>26640.881841607777</v>
      </c>
      <c r="L25" s="23">
        <v>27414.838039867111</v>
      </c>
      <c r="M25" s="23">
        <v>26537.973553419786</v>
      </c>
      <c r="N25" s="23">
        <v>26717.512412974258</v>
      </c>
      <c r="O25" s="23">
        <v>26648.513577768383</v>
      </c>
      <c r="P25" s="23">
        <v>26295.941398895116</v>
      </c>
      <c r="Q25" s="23">
        <v>25540.861359534178</v>
      </c>
      <c r="R25" s="23">
        <v>26229.653352000485</v>
      </c>
      <c r="S25" s="23">
        <v>27217.762874999997</v>
      </c>
      <c r="T25" s="23">
        <v>26665.936193392616</v>
      </c>
      <c r="U25" s="23">
        <v>27103.191507281812</v>
      </c>
      <c r="V25" s="23">
        <v>27894.213756248104</v>
      </c>
      <c r="W25" s="23">
        <v>28229.565364820424</v>
      </c>
      <c r="X25" s="23">
        <v>26057.411590323576</v>
      </c>
      <c r="Y25" s="23">
        <v>27911.025653035009</v>
      </c>
      <c r="Z25" s="23">
        <v>28734.521131787322</v>
      </c>
      <c r="AA25" s="23">
        <v>29607.200000000001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6082.2993123696206</v>
      </c>
      <c r="E26" s="23">
        <v>6081.8098345344624</v>
      </c>
      <c r="F26" s="23">
        <v>6585.9030330882351</v>
      </c>
      <c r="G26" s="23">
        <v>6983.1961940416822</v>
      </c>
      <c r="H26" s="23">
        <v>7189.6968999018873</v>
      </c>
      <c r="I26" s="23">
        <v>7461.5105424865724</v>
      </c>
      <c r="J26" s="23">
        <v>7649.9475350053335</v>
      </c>
      <c r="K26" s="23">
        <v>7586.2257786829914</v>
      </c>
      <c r="L26" s="23">
        <v>7978.8388704318932</v>
      </c>
      <c r="M26" s="23">
        <v>7389.1370712922126</v>
      </c>
      <c r="N26" s="23">
        <v>7876.3223865292257</v>
      </c>
      <c r="O26" s="23">
        <v>8103.8102282333057</v>
      </c>
      <c r="P26" s="23">
        <v>7977.0443659349066</v>
      </c>
      <c r="Q26" s="23">
        <v>8165.9258588866333</v>
      </c>
      <c r="R26" s="23">
        <v>8532.9887997088736</v>
      </c>
      <c r="S26" s="23">
        <v>8691.0614999999998</v>
      </c>
      <c r="T26" s="23">
        <v>8732.9806106825272</v>
      </c>
      <c r="U26" s="23">
        <v>9048.1429699005676</v>
      </c>
      <c r="V26" s="23">
        <v>9295.9177853302026</v>
      </c>
      <c r="W26" s="23">
        <v>9666.7330131361359</v>
      </c>
      <c r="X26" s="23">
        <v>5658.0237890774879</v>
      </c>
      <c r="Y26" s="23">
        <v>7309.6412991114448</v>
      </c>
      <c r="Z26" s="23">
        <v>9273.115174880897</v>
      </c>
      <c r="AA26" s="23">
        <v>9951.5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14548.307965695743</v>
      </c>
      <c r="E27" s="23">
        <v>15871.083288106927</v>
      </c>
      <c r="F27" s="23">
        <v>16220.678283982512</v>
      </c>
      <c r="G27" s="23">
        <v>16121.007310708146</v>
      </c>
      <c r="H27" s="23">
        <v>16741.686059728636</v>
      </c>
      <c r="I27" s="23">
        <v>16816.556482632455</v>
      </c>
      <c r="J27" s="23">
        <v>17087.240255272303</v>
      </c>
      <c r="K27" s="23">
        <v>17847.190917990727</v>
      </c>
      <c r="L27" s="23">
        <v>18123.126661129569</v>
      </c>
      <c r="M27" s="23">
        <v>18668.132858271347</v>
      </c>
      <c r="N27" s="23">
        <v>19011.017728965406</v>
      </c>
      <c r="O27" s="23">
        <v>19305.169986263736</v>
      </c>
      <c r="P27" s="23">
        <v>19482.082540191594</v>
      </c>
      <c r="Q27" s="23">
        <v>18692.515015857152</v>
      </c>
      <c r="R27" s="23">
        <v>18594.087247033134</v>
      </c>
      <c r="S27" s="23">
        <v>19207.104374999999</v>
      </c>
      <c r="T27" s="23">
        <v>19553.109725575643</v>
      </c>
      <c r="U27" s="23">
        <v>20286.004172722809</v>
      </c>
      <c r="V27" s="23">
        <v>20648.276682255371</v>
      </c>
      <c r="W27" s="23">
        <v>21880.17316660783</v>
      </c>
      <c r="X27" s="23">
        <v>21681.471423873121</v>
      </c>
      <c r="Y27" s="23">
        <v>22997.043611497702</v>
      </c>
      <c r="Z27" s="23">
        <v>23065.991600405043</v>
      </c>
      <c r="AA27" s="23">
        <v>23351.5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23100.239511705171</v>
      </c>
      <c r="E28" s="23">
        <v>21890.36835329606</v>
      </c>
      <c r="F28" s="23">
        <v>22724.018158783783</v>
      </c>
      <c r="G28" s="23">
        <v>21058.390394253871</v>
      </c>
      <c r="H28" s="23">
        <v>23092.945362415943</v>
      </c>
      <c r="I28" s="23">
        <v>22812.826007927386</v>
      </c>
      <c r="J28" s="23">
        <v>23326.354628960678</v>
      </c>
      <c r="K28" s="23">
        <v>22707.056814601434</v>
      </c>
      <c r="L28" s="23">
        <v>20550.422342192691</v>
      </c>
      <c r="M28" s="23">
        <v>24944.316947534724</v>
      </c>
      <c r="N28" s="23">
        <v>26175.837066220523</v>
      </c>
      <c r="O28" s="23">
        <v>25126.244980980555</v>
      </c>
      <c r="P28" s="23">
        <v>27556.135296186712</v>
      </c>
      <c r="Q28" s="23">
        <v>26189.341418271924</v>
      </c>
      <c r="R28" s="23">
        <v>28563.335599336875</v>
      </c>
      <c r="S28" s="23">
        <v>30069.161999999997</v>
      </c>
      <c r="T28" s="23">
        <v>30573.804546257583</v>
      </c>
      <c r="U28" s="23">
        <v>31174.381431142854</v>
      </c>
      <c r="V28" s="23">
        <v>31721.402723606479</v>
      </c>
      <c r="W28" s="23">
        <v>32394.673663625723</v>
      </c>
      <c r="X28" s="23">
        <v>30880.031769015728</v>
      </c>
      <c r="Y28" s="23">
        <v>32508.653048388824</v>
      </c>
      <c r="Z28" s="23">
        <v>30924.649117710531</v>
      </c>
      <c r="AA28" s="23">
        <v>32402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31536.142606041874</v>
      </c>
      <c r="E29" s="23">
        <v>32327.060273125418</v>
      </c>
      <c r="F29" s="23">
        <v>31870.634812201908</v>
      </c>
      <c r="G29" s="23">
        <v>31877.389851590797</v>
      </c>
      <c r="H29" s="23">
        <v>31518.146970494625</v>
      </c>
      <c r="I29" s="23">
        <v>34049.106849684547</v>
      </c>
      <c r="J29" s="23">
        <v>35886.900092888842</v>
      </c>
      <c r="K29" s="23">
        <v>37312.820278390427</v>
      </c>
      <c r="L29" s="23">
        <v>37783.32599667774</v>
      </c>
      <c r="M29" s="23">
        <v>37310.337946810614</v>
      </c>
      <c r="N29" s="23">
        <v>39280.533757893034</v>
      </c>
      <c r="O29" s="23">
        <v>41262.959768596789</v>
      </c>
      <c r="P29" s="23">
        <v>41445.592632058098</v>
      </c>
      <c r="Q29" s="23">
        <v>42538.590752883349</v>
      </c>
      <c r="R29" s="23">
        <v>43110.142303337845</v>
      </c>
      <c r="S29" s="23">
        <v>43783.124250000001</v>
      </c>
      <c r="T29" s="23">
        <v>44459.59969966433</v>
      </c>
      <c r="U29" s="23">
        <v>45450.916122014845</v>
      </c>
      <c r="V29" s="23">
        <v>46436.399954559223</v>
      </c>
      <c r="W29" s="23">
        <v>47468.40452611434</v>
      </c>
      <c r="X29" s="23">
        <v>47836.323678536843</v>
      </c>
      <c r="Y29" s="23">
        <v>49258.763448774225</v>
      </c>
      <c r="Z29" s="23">
        <v>51049.911397553165</v>
      </c>
      <c r="AA29" s="23">
        <v>53502.400000000001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28344.627887661285</v>
      </c>
      <c r="E30" s="23">
        <v>30054.476309777732</v>
      </c>
      <c r="F30" s="23">
        <v>29148.091123062397</v>
      </c>
      <c r="G30" s="23">
        <v>30395.620129751351</v>
      </c>
      <c r="H30" s="23">
        <v>31993.841232142426</v>
      </c>
      <c r="I30" s="23">
        <v>33568.201913830708</v>
      </c>
      <c r="J30" s="23">
        <v>35590.675852341148</v>
      </c>
      <c r="K30" s="23">
        <v>37896.99962303642</v>
      </c>
      <c r="L30" s="23">
        <v>39443.974667774091</v>
      </c>
      <c r="M30" s="23">
        <v>40220.071506154956</v>
      </c>
      <c r="N30" s="23">
        <v>40297.317448324255</v>
      </c>
      <c r="O30" s="23">
        <v>41708.290099323749</v>
      </c>
      <c r="P30" s="23">
        <v>42073.924603256703</v>
      </c>
      <c r="Q30" s="23">
        <v>43989.294254713808</v>
      </c>
      <c r="R30" s="23">
        <v>45205.320896427627</v>
      </c>
      <c r="S30" s="23">
        <v>45975.856874999998</v>
      </c>
      <c r="T30" s="23">
        <v>46486.342824333078</v>
      </c>
      <c r="U30" s="23">
        <v>48738.473755643034</v>
      </c>
      <c r="V30" s="23">
        <v>50272.800974136619</v>
      </c>
      <c r="W30" s="23">
        <v>50959.149658126007</v>
      </c>
      <c r="X30" s="23">
        <v>50272.802091136648</v>
      </c>
      <c r="Y30" s="23">
        <v>54010.622189808375</v>
      </c>
      <c r="Z30" s="23">
        <v>55157.030718281567</v>
      </c>
      <c r="AA30" s="23">
        <v>56086.900000000009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13992.575620026269</v>
      </c>
      <c r="E31" s="23">
        <v>14444.657236435234</v>
      </c>
      <c r="F31" s="23">
        <v>14742.38964377981</v>
      </c>
      <c r="G31" s="23">
        <v>14550.315994536786</v>
      </c>
      <c r="H31" s="23">
        <v>15599.02187178444</v>
      </c>
      <c r="I31" s="23">
        <v>16051.702746440886</v>
      </c>
      <c r="J31" s="23">
        <v>16806.233013382876</v>
      </c>
      <c r="K31" s="23">
        <v>18262.145963676467</v>
      </c>
      <c r="L31" s="23">
        <v>18752.76245847176</v>
      </c>
      <c r="M31" s="23">
        <v>16306.210091501547</v>
      </c>
      <c r="N31" s="23">
        <v>16933.799854282479</v>
      </c>
      <c r="O31" s="23">
        <v>18159.863165680476</v>
      </c>
      <c r="P31" s="23">
        <v>18319.812206451345</v>
      </c>
      <c r="Q31" s="23">
        <v>18861.207463569339</v>
      </c>
      <c r="R31" s="23">
        <v>20522.556001455632</v>
      </c>
      <c r="S31" s="23">
        <v>22153.790249999998</v>
      </c>
      <c r="T31" s="23">
        <v>23037.644278899948</v>
      </c>
      <c r="U31" s="23">
        <v>23859.669093936798</v>
      </c>
      <c r="V31" s="23">
        <v>24995.288596258706</v>
      </c>
      <c r="W31" s="23">
        <v>26364.148171717359</v>
      </c>
      <c r="X31" s="23">
        <v>24540.385133653683</v>
      </c>
      <c r="Y31" s="23">
        <v>26698.821392249225</v>
      </c>
      <c r="Z31" s="23">
        <v>26473.906268156243</v>
      </c>
      <c r="AA31" s="23">
        <v>26297.7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26759.610890056367</v>
      </c>
      <c r="E32" s="23">
        <v>27078.169687369878</v>
      </c>
      <c r="F32" s="23">
        <v>28595.106319554827</v>
      </c>
      <c r="G32" s="23">
        <v>29272.618989549173</v>
      </c>
      <c r="H32" s="23">
        <v>29652.56661442012</v>
      </c>
      <c r="I32" s="23">
        <v>30789.030800713059</v>
      </c>
      <c r="J32" s="23">
        <v>31639.183610279615</v>
      </c>
      <c r="K32" s="23">
        <v>32206.93922446782</v>
      </c>
      <c r="L32" s="23">
        <v>33238.304401993315</v>
      </c>
      <c r="M32" s="23">
        <v>34194.152787834944</v>
      </c>
      <c r="N32" s="23">
        <v>34587.696448810006</v>
      </c>
      <c r="O32" s="23">
        <v>35034.611158072788</v>
      </c>
      <c r="P32" s="23">
        <v>35623.651098673756</v>
      </c>
      <c r="Q32" s="23">
        <v>36349.42078051866</v>
      </c>
      <c r="R32" s="23">
        <v>36607.436619291198</v>
      </c>
      <c r="S32" s="23">
        <v>35891.763750000027</v>
      </c>
      <c r="T32" s="23">
        <v>36240.99508273953</v>
      </c>
      <c r="U32" s="23">
        <v>36235.633945846028</v>
      </c>
      <c r="V32" s="23">
        <v>36634.656756475335</v>
      </c>
      <c r="W32" s="23">
        <v>37181.431156054314</v>
      </c>
      <c r="X32" s="23">
        <v>37705.611764813431</v>
      </c>
      <c r="Y32" s="23">
        <v>38417.810593084287</v>
      </c>
      <c r="Z32" s="23">
        <v>39256.470779867472</v>
      </c>
      <c r="AA32" s="23">
        <v>40553.699999999924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23218.546221896006</v>
      </c>
      <c r="E33" s="23">
        <v>24031.522699448447</v>
      </c>
      <c r="F33" s="23">
        <v>24781.81854878776</v>
      </c>
      <c r="G33" s="23">
        <v>25257.277325219809</v>
      </c>
      <c r="H33" s="23">
        <v>25401.710677451003</v>
      </c>
      <c r="I33" s="23">
        <v>26032.591997560805</v>
      </c>
      <c r="J33" s="23">
        <v>26498.156844531601</v>
      </c>
      <c r="K33" s="23">
        <v>27255.919734887699</v>
      </c>
      <c r="L33" s="23">
        <v>28659.274916943523</v>
      </c>
      <c r="M33" s="23">
        <v>29191.063787769071</v>
      </c>
      <c r="N33" s="23">
        <v>29765.817367370073</v>
      </c>
      <c r="O33" s="23">
        <v>30707.362373203719</v>
      </c>
      <c r="P33" s="23">
        <v>31525.373466305267</v>
      </c>
      <c r="Q33" s="23">
        <v>32001.820768281614</v>
      </c>
      <c r="R33" s="23">
        <v>32212.300987606897</v>
      </c>
      <c r="S33" s="23">
        <v>32603.107124999999</v>
      </c>
      <c r="T33" s="23">
        <v>32850.355544432008</v>
      </c>
      <c r="U33" s="23">
        <v>33668.210301379353</v>
      </c>
      <c r="V33" s="23">
        <v>34217.988512003933</v>
      </c>
      <c r="W33" s="23">
        <v>34679.1023717508</v>
      </c>
      <c r="X33" s="23">
        <v>35048.852798231346</v>
      </c>
      <c r="Y33" s="23">
        <v>35851.685111337116</v>
      </c>
      <c r="Z33" s="23">
        <v>36258.156197606288</v>
      </c>
      <c r="AA33" s="23">
        <v>37372.199999999997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23058.905392876455</v>
      </c>
      <c r="E34" s="23">
        <v>23806.624932160394</v>
      </c>
      <c r="F34" s="23">
        <v>24347.498664795308</v>
      </c>
      <c r="G34" s="23">
        <v>25031.197639110764</v>
      </c>
      <c r="H34" s="23">
        <v>25869.995842207274</v>
      </c>
      <c r="I34" s="23">
        <v>26398.939301545604</v>
      </c>
      <c r="J34" s="23">
        <v>27031.476416554859</v>
      </c>
      <c r="K34" s="23">
        <v>27983.86863100329</v>
      </c>
      <c r="L34" s="23">
        <v>29597.640780730897</v>
      </c>
      <c r="M34" s="23">
        <v>31049.266835626357</v>
      </c>
      <c r="N34" s="23">
        <v>31472.824491337902</v>
      </c>
      <c r="O34" s="23">
        <v>32143.502615173289</v>
      </c>
      <c r="P34" s="23">
        <v>32905.455090935422</v>
      </c>
      <c r="Q34" s="23">
        <v>33073.90057921948</v>
      </c>
      <c r="R34" s="23">
        <v>33832.899465256858</v>
      </c>
      <c r="S34" s="23">
        <v>33820.098375000001</v>
      </c>
      <c r="T34" s="23">
        <v>34132.388404687597</v>
      </c>
      <c r="U34" s="23">
        <v>34417.173978958308</v>
      </c>
      <c r="V34" s="23">
        <v>35630.782338685247</v>
      </c>
      <c r="W34" s="23">
        <v>36084.886591664967</v>
      </c>
      <c r="X34" s="23">
        <v>33983.701649887626</v>
      </c>
      <c r="Y34" s="23">
        <v>37675.177644256502</v>
      </c>
      <c r="Z34" s="23">
        <v>38230.425187994886</v>
      </c>
      <c r="AA34" s="23">
        <v>39546.199999999997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2229.43869272966</v>
      </c>
      <c r="E35" s="23">
        <v>2039.3920940036096</v>
      </c>
      <c r="F35" s="23">
        <v>2079.7753750993638</v>
      </c>
      <c r="G35" s="23">
        <v>2284.3757240588757</v>
      </c>
      <c r="H35" s="23">
        <v>2567.3276759434293</v>
      </c>
      <c r="I35" s="23">
        <v>2676.6175798015797</v>
      </c>
      <c r="J35" s="23">
        <v>2809.2028761138058</v>
      </c>
      <c r="K35" s="23">
        <v>2913.3598426880317</v>
      </c>
      <c r="L35" s="23">
        <v>3001.6511627906966</v>
      </c>
      <c r="M35" s="23">
        <v>2444.4202159173196</v>
      </c>
      <c r="N35" s="23">
        <v>2334.0737492579206</v>
      </c>
      <c r="O35" s="23">
        <v>2461.1344304733734</v>
      </c>
      <c r="P35" s="23">
        <v>2632.0389605015412</v>
      </c>
      <c r="Q35" s="23">
        <v>2677.5576670099831</v>
      </c>
      <c r="R35" s="23">
        <v>2803.1524826638092</v>
      </c>
      <c r="S35" s="23">
        <v>2971.9608749999998</v>
      </c>
      <c r="T35" s="23">
        <v>3023.3698692656499</v>
      </c>
      <c r="U35" s="23">
        <v>3041.1063731482641</v>
      </c>
      <c r="V35" s="23">
        <v>3243.1209292638591</v>
      </c>
      <c r="W35" s="23">
        <v>3461.1595613236473</v>
      </c>
      <c r="X35" s="23">
        <v>2255.4512068114955</v>
      </c>
      <c r="Y35" s="23">
        <v>2675.7109115726371</v>
      </c>
      <c r="Z35" s="23">
        <v>3200.2301173619308</v>
      </c>
      <c r="AA35" s="23">
        <v>3262.6000000000013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5107.2046666151591</v>
      </c>
      <c r="E36" s="23">
        <v>5198.9664714568789</v>
      </c>
      <c r="F36" s="23">
        <v>5442.1050588732114</v>
      </c>
      <c r="G36" s="23">
        <v>5308.3263722058955</v>
      </c>
      <c r="H36" s="23">
        <v>5402.8949005719205</v>
      </c>
      <c r="I36" s="23">
        <v>5553.4516675657296</v>
      </c>
      <c r="J36" s="23">
        <v>5591.7397736264493</v>
      </c>
      <c r="K36" s="23">
        <v>5741.5387147229603</v>
      </c>
      <c r="L36" s="23">
        <v>5910.2354651162796</v>
      </c>
      <c r="M36" s="23">
        <v>5533.2910934105721</v>
      </c>
      <c r="N36" s="23">
        <v>5692.9792487452105</v>
      </c>
      <c r="O36" s="23">
        <v>5790.0954934488591</v>
      </c>
      <c r="P36" s="23">
        <v>5823.7718803666376</v>
      </c>
      <c r="Q36" s="23">
        <v>5900.627275323006</v>
      </c>
      <c r="R36" s="23">
        <v>6037.0678588035498</v>
      </c>
      <c r="S36" s="23">
        <v>5935.075499999999</v>
      </c>
      <c r="T36" s="23">
        <v>5946.5189034803607</v>
      </c>
      <c r="U36" s="23">
        <v>5916.6549153423357</v>
      </c>
      <c r="V36" s="23">
        <v>6082.1079313086939</v>
      </c>
      <c r="W36" s="23">
        <v>6139.8277391724414</v>
      </c>
      <c r="X36" s="23">
        <v>5488.541685699146</v>
      </c>
      <c r="Y36" s="23">
        <v>5996.4200165935126</v>
      </c>
      <c r="Z36" s="23">
        <v>6199.4887203067683</v>
      </c>
      <c r="AA36" s="23">
        <v>6267.2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817.40660975044432</v>
      </c>
      <c r="E37" s="23">
        <v>870.24270803094748</v>
      </c>
      <c r="F37" s="23">
        <v>928.60008445945948</v>
      </c>
      <c r="G37" s="23">
        <v>946.08261283123795</v>
      </c>
      <c r="H37" s="23">
        <v>990.85330469740825</v>
      </c>
      <c r="I37" s="23">
        <v>955.14092806717167</v>
      </c>
      <c r="J37" s="23">
        <v>841.86233529432002</v>
      </c>
      <c r="K37" s="23">
        <v>753.26143831300374</v>
      </c>
      <c r="L37" s="23">
        <v>725.78156146179401</v>
      </c>
      <c r="M37" s="23">
        <v>710.17131854387469</v>
      </c>
      <c r="N37" s="23">
        <v>661.57779696691682</v>
      </c>
      <c r="O37" s="23">
        <v>568.04654480135252</v>
      </c>
      <c r="P37" s="23">
        <v>478.50499679294859</v>
      </c>
      <c r="Q37" s="23">
        <v>432.49186747295107</v>
      </c>
      <c r="R37" s="23">
        <v>409.30139700382097</v>
      </c>
      <c r="S37" s="23">
        <v>386.83387500000003</v>
      </c>
      <c r="T37" s="23">
        <v>379.92130911018199</v>
      </c>
      <c r="U37" s="23">
        <v>379.65171962382931</v>
      </c>
      <c r="V37" s="23">
        <v>379.48869660708868</v>
      </c>
      <c r="W37" s="23">
        <v>346.69123111796512</v>
      </c>
      <c r="X37" s="23">
        <v>243.71711187444041</v>
      </c>
      <c r="Y37" s="23">
        <v>288.39457766834386</v>
      </c>
      <c r="Z37" s="23">
        <v>283.41598745040756</v>
      </c>
      <c r="AA37" s="23">
        <v>264.39999999999998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372048.40357722325</v>
      </c>
      <c r="E39" s="30">
        <f t="shared" ref="E39:S39" si="3">SUM(E18:E38)</f>
        <v>377707.34655627224</v>
      </c>
      <c r="F39" s="30">
        <f t="shared" si="3"/>
        <v>383872.69552985887</v>
      </c>
      <c r="G39" s="30">
        <f t="shared" si="3"/>
        <v>388150.92710022815</v>
      </c>
      <c r="H39" s="30">
        <f t="shared" si="3"/>
        <v>400462.29181124229</v>
      </c>
      <c r="I39" s="30">
        <f t="shared" si="3"/>
        <v>410256.66630508716</v>
      </c>
      <c r="J39" s="30">
        <f t="shared" si="3"/>
        <v>420311.76333986997</v>
      </c>
      <c r="K39" s="30">
        <f t="shared" si="3"/>
        <v>435985.64429828525</v>
      </c>
      <c r="L39" s="30">
        <f t="shared" si="3"/>
        <v>439421.12956810626</v>
      </c>
      <c r="M39" s="30">
        <f t="shared" si="3"/>
        <v>431307.34028372064</v>
      </c>
      <c r="N39" s="30">
        <f t="shared" si="3"/>
        <v>443089.34238221165</v>
      </c>
      <c r="O39" s="30">
        <f t="shared" si="3"/>
        <v>453079.47907861375</v>
      </c>
      <c r="P39" s="30">
        <f t="shared" si="3"/>
        <v>454000.44213341334</v>
      </c>
      <c r="Q39" s="30">
        <f t="shared" si="3"/>
        <v>455053.35473114223</v>
      </c>
      <c r="R39" s="30">
        <f t="shared" si="3"/>
        <v>463644.97199927218</v>
      </c>
      <c r="S39" s="30">
        <f t="shared" si="3"/>
        <v>470808.67237500002</v>
      </c>
      <c r="T39" s="30">
        <f t="shared" ref="T39:Y39" si="4">SUM(T18:T38)</f>
        <v>474901.26428066654</v>
      </c>
      <c r="U39" s="30">
        <f t="shared" si="4"/>
        <v>481677.18911530566</v>
      </c>
      <c r="V39" s="30">
        <f t="shared" si="4"/>
        <v>490932.03669342614</v>
      </c>
      <c r="W39" s="30">
        <f t="shared" si="4"/>
        <v>503756.79939057247</v>
      </c>
      <c r="X39" s="30">
        <f t="shared" si="4"/>
        <v>482579.39273446496</v>
      </c>
      <c r="Y39" s="30">
        <f t="shared" si="4"/>
        <v>510053.54519055784</v>
      </c>
      <c r="Z39" s="30">
        <f t="shared" ref="Z39:AA39" si="5">SUM(Z18:Z38)</f>
        <v>533256.62059477763</v>
      </c>
      <c r="AA39" s="30">
        <f t="shared" si="5"/>
        <v>538959.5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8925.2404774781735</v>
      </c>
      <c r="E41" s="19">
        <v>8989.211609092401</v>
      </c>
      <c r="F41" s="19">
        <v>9161.8421788056421</v>
      </c>
      <c r="G41" s="19">
        <v>9220.1059717327425</v>
      </c>
      <c r="H41" s="19">
        <v>9674.7684797434722</v>
      </c>
      <c r="I41" s="19">
        <v>9448.4111511128831</v>
      </c>
      <c r="J41" s="19">
        <v>9181.3572952145059</v>
      </c>
      <c r="K41" s="19">
        <v>9329.9470844398438</v>
      </c>
      <c r="L41" s="19">
        <v>9318.7217607973434</v>
      </c>
      <c r="M41" s="19">
        <v>10010.614837732868</v>
      </c>
      <c r="N41" s="19">
        <v>9480.3416266393233</v>
      </c>
      <c r="O41" s="19">
        <v>9309.6071956889264</v>
      </c>
      <c r="P41" s="19">
        <v>9326.2715700068275</v>
      </c>
      <c r="Q41" s="19">
        <v>9768.9551614778247</v>
      </c>
      <c r="R41" s="19">
        <v>9969.7593403149822</v>
      </c>
      <c r="S41" s="19">
        <v>10044.664124999999</v>
      </c>
      <c r="T41" s="19">
        <v>9989.8342264884286</v>
      </c>
      <c r="U41" s="19">
        <v>10078.956386142903</v>
      </c>
      <c r="V41" s="19">
        <v>10151.44227128143</v>
      </c>
      <c r="W41" s="19">
        <v>10415.060106649822</v>
      </c>
      <c r="X41" s="19">
        <v>9839.8907840163702</v>
      </c>
      <c r="Y41" s="19">
        <v>9806.0920939942189</v>
      </c>
      <c r="Z41" s="19">
        <v>10257.938530236883</v>
      </c>
      <c r="AA41" s="19">
        <v>10621.4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3847.6531715985475</v>
      </c>
      <c r="E42" s="23">
        <v>3725.0088349257235</v>
      </c>
      <c r="F42" s="23">
        <v>3758.821200566375</v>
      </c>
      <c r="G42" s="23">
        <v>3331.8628586759023</v>
      </c>
      <c r="H42" s="23">
        <v>3378.8505946540949</v>
      </c>
      <c r="I42" s="23">
        <v>3152.3355594905829</v>
      </c>
      <c r="J42" s="23">
        <v>3079.4857570440709</v>
      </c>
      <c r="K42" s="23">
        <v>3021.2936602601612</v>
      </c>
      <c r="L42" s="23">
        <v>2630.3633720930234</v>
      </c>
      <c r="M42" s="23">
        <v>2024.7231090777434</v>
      </c>
      <c r="N42" s="23">
        <v>2078.991175994387</v>
      </c>
      <c r="O42" s="23">
        <v>1874.526891377853</v>
      </c>
      <c r="P42" s="23">
        <v>1798.9696054292274</v>
      </c>
      <c r="Q42" s="23">
        <v>1665.6607232085496</v>
      </c>
      <c r="R42" s="23">
        <v>1745.4072993955076</v>
      </c>
      <c r="S42" s="23">
        <v>1747.387125</v>
      </c>
      <c r="T42" s="23">
        <v>1663.0704905482598</v>
      </c>
      <c r="U42" s="23">
        <v>1558.2629056011706</v>
      </c>
      <c r="V42" s="23">
        <v>1542.8392911239016</v>
      </c>
      <c r="W42" s="23">
        <v>1457.6763716764831</v>
      </c>
      <c r="X42" s="23">
        <v>1296.6304516635907</v>
      </c>
      <c r="Y42" s="23">
        <v>1254.7080746172787</v>
      </c>
      <c r="Z42" s="23">
        <v>1322.6778688932789</v>
      </c>
      <c r="AA42" s="23">
        <v>1291.4000000000001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5266.5200301321183</v>
      </c>
      <c r="E43" s="23">
        <v>5186.8443222980904</v>
      </c>
      <c r="F43" s="23">
        <v>5066.8037062798094</v>
      </c>
      <c r="G43" s="23">
        <v>4947.4002475519192</v>
      </c>
      <c r="H43" s="23">
        <v>4963.1876809686755</v>
      </c>
      <c r="I43" s="23">
        <v>4775.111845345592</v>
      </c>
      <c r="J43" s="23">
        <v>4785.5286923315098</v>
      </c>
      <c r="K43" s="23">
        <v>4876.2195053337537</v>
      </c>
      <c r="L43" s="23">
        <v>4562.6553156146174</v>
      </c>
      <c r="M43" s="23">
        <v>4111.2846422223683</v>
      </c>
      <c r="N43" s="23">
        <v>3893.3512332020077</v>
      </c>
      <c r="O43" s="23">
        <v>3985.2724799239222</v>
      </c>
      <c r="P43" s="23">
        <v>3871.5760847075376</v>
      </c>
      <c r="Q43" s="23">
        <v>3577.9809918113865</v>
      </c>
      <c r="R43" s="23">
        <v>3669.7881497280791</v>
      </c>
      <c r="S43" s="23">
        <v>3671.5728749999998</v>
      </c>
      <c r="T43" s="23">
        <v>3572.5998910547087</v>
      </c>
      <c r="U43" s="23">
        <v>3487.175855961651</v>
      </c>
      <c r="V43" s="23">
        <v>3470.6705827779456</v>
      </c>
      <c r="W43" s="23">
        <v>3497.6719124505303</v>
      </c>
      <c r="X43" s="23">
        <v>3069.6118287624927</v>
      </c>
      <c r="Y43" s="23">
        <v>3166.2522749170325</v>
      </c>
      <c r="Z43" s="23">
        <v>3520.7775850334492</v>
      </c>
      <c r="AA43" s="23">
        <v>3209.7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1845.7148651780885</v>
      </c>
      <c r="E44" s="23">
        <v>1766.8032398934761</v>
      </c>
      <c r="F44" s="23">
        <v>1712.7931240063592</v>
      </c>
      <c r="G44" s="23">
        <v>1823.7402899893909</v>
      </c>
      <c r="H44" s="23">
        <v>2569.7469728876017</v>
      </c>
      <c r="I44" s="23">
        <v>2967.0871250322489</v>
      </c>
      <c r="J44" s="23">
        <v>2753.1173667733169</v>
      </c>
      <c r="K44" s="23">
        <v>2902.9788562812264</v>
      </c>
      <c r="L44" s="23">
        <v>2554.9302325581393</v>
      </c>
      <c r="M44" s="23">
        <v>779.77420841287596</v>
      </c>
      <c r="N44" s="23">
        <v>1642.4862377894112</v>
      </c>
      <c r="O44" s="23">
        <v>1095.6327926880811</v>
      </c>
      <c r="P44" s="23">
        <v>1652.2803687074547</v>
      </c>
      <c r="Q44" s="23">
        <v>1339.4876253021018</v>
      </c>
      <c r="R44" s="23">
        <v>1284.3683662535632</v>
      </c>
      <c r="S44" s="23">
        <v>2855.8222500000002</v>
      </c>
      <c r="T44" s="23">
        <v>2324.1807019610151</v>
      </c>
      <c r="U44" s="23">
        <v>2293.3591381185688</v>
      </c>
      <c r="V44" s="23">
        <v>1591.6512041805513</v>
      </c>
      <c r="W44" s="23">
        <v>2107.9719115215248</v>
      </c>
      <c r="X44" s="23">
        <v>937.00051159306418</v>
      </c>
      <c r="Y44" s="23">
        <v>955.71572904399966</v>
      </c>
      <c r="Z44" s="23">
        <v>2233.2382638070417</v>
      </c>
      <c r="AA44" s="23">
        <v>1684.1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11574.692401297998</v>
      </c>
      <c r="E45" s="23">
        <v>11368.502385429945</v>
      </c>
      <c r="F45" s="23">
        <v>11427.620106319553</v>
      </c>
      <c r="G45" s="23">
        <v>10865.078411765424</v>
      </c>
      <c r="H45" s="23">
        <v>10973.477320586757</v>
      </c>
      <c r="I45" s="23">
        <v>11092.231659122357</v>
      </c>
      <c r="J45" s="23">
        <v>10502.77247393952</v>
      </c>
      <c r="K45" s="23">
        <v>10366.623672187965</v>
      </c>
      <c r="L45" s="23">
        <v>9613.0369601328894</v>
      </c>
      <c r="M45" s="23">
        <v>9174.4096010795856</v>
      </c>
      <c r="N45" s="23">
        <v>9770.2081871660648</v>
      </c>
      <c r="O45" s="23">
        <v>10225.772532755705</v>
      </c>
      <c r="P45" s="23">
        <v>9893.5483954397787</v>
      </c>
      <c r="Q45" s="23">
        <v>10176.832622905682</v>
      </c>
      <c r="R45" s="23">
        <v>10896.819339708469</v>
      </c>
      <c r="S45" s="23">
        <v>11337.606749999999</v>
      </c>
      <c r="T45" s="23">
        <v>10395.058815735234</v>
      </c>
      <c r="U45" s="23">
        <v>11142.978683980016</v>
      </c>
      <c r="V45" s="23">
        <v>11371.62046065586</v>
      </c>
      <c r="W45" s="23">
        <v>10332.877965849762</v>
      </c>
      <c r="X45" s="23">
        <v>9676.989389011711</v>
      </c>
      <c r="Y45" s="23">
        <v>8727.8255807729365</v>
      </c>
      <c r="Z45" s="23">
        <v>10633.029415182353</v>
      </c>
      <c r="AA45" s="23">
        <v>7913.5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4655.4585490226382</v>
      </c>
      <c r="E46" s="23">
        <v>5175.9981888402262</v>
      </c>
      <c r="F46" s="23">
        <v>5430.6466737877581</v>
      </c>
      <c r="G46" s="23">
        <v>5728.5849298196408</v>
      </c>
      <c r="H46" s="23">
        <v>5375.2241917729543</v>
      </c>
      <c r="I46" s="23">
        <v>6512.4457630696334</v>
      </c>
      <c r="J46" s="23">
        <v>5103.7813499845188</v>
      </c>
      <c r="K46" s="23">
        <v>6354.8701444839544</v>
      </c>
      <c r="L46" s="23">
        <v>5460.2956810631231</v>
      </c>
      <c r="M46" s="23">
        <v>6623.0893292080837</v>
      </c>
      <c r="N46" s="23">
        <v>7970.8529872092395</v>
      </c>
      <c r="O46" s="23">
        <v>6741.6468987743028</v>
      </c>
      <c r="P46" s="23">
        <v>7183.3274709813568</v>
      </c>
      <c r="Q46" s="23">
        <v>8222.3714601837601</v>
      </c>
      <c r="R46" s="23">
        <v>7858.2291308654949</v>
      </c>
      <c r="S46" s="23">
        <v>7024.1752499999993</v>
      </c>
      <c r="T46" s="23">
        <v>8050.7843324892528</v>
      </c>
      <c r="U46" s="23">
        <v>8282.3923851418331</v>
      </c>
      <c r="V46" s="23">
        <v>10138.641107808238</v>
      </c>
      <c r="W46" s="23">
        <v>12229.876581631705</v>
      </c>
      <c r="X46" s="23">
        <v>13610.636682136264</v>
      </c>
      <c r="Y46" s="23">
        <v>10838.359784819613</v>
      </c>
      <c r="Z46" s="23">
        <v>14768.679138792519</v>
      </c>
      <c r="AA46" s="23">
        <v>15084.9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6378.472919724948</v>
      </c>
      <c r="E47" s="23">
        <v>6632.4106094836616</v>
      </c>
      <c r="F47" s="23">
        <v>6765.6270183326706</v>
      </c>
      <c r="G47" s="23">
        <v>6365.2142299671968</v>
      </c>
      <c r="H47" s="23">
        <v>6464.0590227093253</v>
      </c>
      <c r="I47" s="23">
        <v>6405.594466074067</v>
      </c>
      <c r="J47" s="23">
        <v>6358.6765060033722</v>
      </c>
      <c r="K47" s="23">
        <v>6718.6312846018827</v>
      </c>
      <c r="L47" s="23">
        <v>6398.9414451827242</v>
      </c>
      <c r="M47" s="23">
        <v>5977.8067605819233</v>
      </c>
      <c r="N47" s="23">
        <v>5688.2049759835936</v>
      </c>
      <c r="O47" s="23">
        <v>6011.8926986475062</v>
      </c>
      <c r="P47" s="23">
        <v>5579.4205582338454</v>
      </c>
      <c r="Q47" s="23">
        <v>5375.7347317540753</v>
      </c>
      <c r="R47" s="23">
        <v>5445.9824768008411</v>
      </c>
      <c r="S47" s="23">
        <v>5620.0226250000005</v>
      </c>
      <c r="T47" s="23">
        <v>6005.1877834049819</v>
      </c>
      <c r="U47" s="23">
        <v>5903.1524030455585</v>
      </c>
      <c r="V47" s="23">
        <v>5886.1424568312623</v>
      </c>
      <c r="W47" s="23">
        <v>5992.3694979654783</v>
      </c>
      <c r="X47" s="23">
        <v>5801.6448630574987</v>
      </c>
      <c r="Y47" s="23">
        <v>5646.4681913071408</v>
      </c>
      <c r="Z47" s="23">
        <v>5922.7857688285394</v>
      </c>
      <c r="AA47" s="23">
        <v>5462.2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10791.622402070618</v>
      </c>
      <c r="E48" s="23">
        <v>9918.9485491789819</v>
      </c>
      <c r="F48" s="23">
        <v>10242.069660423291</v>
      </c>
      <c r="G48" s="23">
        <v>10095.451995658696</v>
      </c>
      <c r="H48" s="23">
        <v>11235.517420852377</v>
      </c>
      <c r="I48" s="23">
        <v>11060.665325890657</v>
      </c>
      <c r="J48" s="23">
        <v>11216.667096707606</v>
      </c>
      <c r="K48" s="23">
        <v>12493.303832650674</v>
      </c>
      <c r="L48" s="23">
        <v>11171.801910299004</v>
      </c>
      <c r="M48" s="23">
        <v>7950.3970278454353</v>
      </c>
      <c r="N48" s="23">
        <v>8451.8268659938476</v>
      </c>
      <c r="O48" s="23">
        <v>9151.504913355875</v>
      </c>
      <c r="P48" s="23">
        <v>8238.2610281185989</v>
      </c>
      <c r="Q48" s="23">
        <v>8106.7739616369072</v>
      </c>
      <c r="R48" s="23">
        <v>7777.3652780866505</v>
      </c>
      <c r="S48" s="23">
        <v>8012.5541249999997</v>
      </c>
      <c r="T48" s="23">
        <v>7998.5653082857316</v>
      </c>
      <c r="U48" s="23">
        <v>8758.8729316867029</v>
      </c>
      <c r="V48" s="23">
        <v>8681.222664533474</v>
      </c>
      <c r="W48" s="23">
        <v>8343.0135309637499</v>
      </c>
      <c r="X48" s="23">
        <v>6724.5603497104012</v>
      </c>
      <c r="Y48" s="23">
        <v>7726.2237715448027</v>
      </c>
      <c r="Z48" s="23">
        <v>8947.1133654819805</v>
      </c>
      <c r="AA48" s="23">
        <v>6868.6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3403.7182260681448</v>
      </c>
      <c r="E49" s="23">
        <v>2782.8307417551214</v>
      </c>
      <c r="F49" s="23">
        <v>2768.3772294813193</v>
      </c>
      <c r="G49" s="23">
        <v>2658.2471068131658</v>
      </c>
      <c r="H49" s="23">
        <v>2476.1504223599509</v>
      </c>
      <c r="I49" s="23">
        <v>2432.0896463165791</v>
      </c>
      <c r="J49" s="23">
        <v>2460.2263735507622</v>
      </c>
      <c r="K49" s="23">
        <v>2579.4618141513261</v>
      </c>
      <c r="L49" s="23">
        <v>2240.6021594684385</v>
      </c>
      <c r="M49" s="23">
        <v>1440.447057468238</v>
      </c>
      <c r="N49" s="23">
        <v>1533.3600032381671</v>
      </c>
      <c r="O49" s="23">
        <v>1688.11575443787</v>
      </c>
      <c r="P49" s="23">
        <v>1713.5969926134364</v>
      </c>
      <c r="Q49" s="23">
        <v>1637.5667937958251</v>
      </c>
      <c r="R49" s="23">
        <v>1679.8730869538847</v>
      </c>
      <c r="S49" s="23">
        <v>1604.0778749999999</v>
      </c>
      <c r="T49" s="23">
        <v>1809.4326011424534</v>
      </c>
      <c r="U49" s="23">
        <v>1865.9012263088489</v>
      </c>
      <c r="V49" s="23">
        <v>1730.4301726749468</v>
      </c>
      <c r="W49" s="23">
        <v>1804.0153936195907</v>
      </c>
      <c r="X49" s="23">
        <v>1541.6175248031277</v>
      </c>
      <c r="Y49" s="23">
        <v>1494.848985654641</v>
      </c>
      <c r="Z49" s="23">
        <v>1583.6471423117148</v>
      </c>
      <c r="AA49" s="23">
        <v>1700.5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2778.173530093487</v>
      </c>
      <c r="E50" s="23">
        <v>2713.9258939051633</v>
      </c>
      <c r="F50" s="23">
        <v>2490.0797396661369</v>
      </c>
      <c r="G50" s="23">
        <v>2407.663896442813</v>
      </c>
      <c r="H50" s="23">
        <v>2471.91665270765</v>
      </c>
      <c r="I50" s="23">
        <v>2508.2638025658466</v>
      </c>
      <c r="J50" s="23">
        <v>2524.5725393057419</v>
      </c>
      <c r="K50" s="23">
        <v>2037.5174415987758</v>
      </c>
      <c r="L50" s="23">
        <v>2234.0245016611293</v>
      </c>
      <c r="M50" s="23">
        <v>2361.3681620696466</v>
      </c>
      <c r="N50" s="23">
        <v>2389.3189054994873</v>
      </c>
      <c r="O50" s="23">
        <v>2294.4860788250212</v>
      </c>
      <c r="P50" s="23">
        <v>1951.9343175187767</v>
      </c>
      <c r="Q50" s="23">
        <v>1875.7208376247922</v>
      </c>
      <c r="R50" s="23">
        <v>1831.5087792895699</v>
      </c>
      <c r="S50" s="23">
        <v>1804.635</v>
      </c>
      <c r="T50" s="23">
        <v>1433.9765767622637</v>
      </c>
      <c r="U50" s="23">
        <v>1436.9835834400176</v>
      </c>
      <c r="V50" s="23">
        <v>1341.0116015980007</v>
      </c>
      <c r="W50" s="23">
        <v>1432.9043263781796</v>
      </c>
      <c r="X50" s="23">
        <v>1252.4127094334106</v>
      </c>
      <c r="Y50" s="23">
        <v>1243.5465956535704</v>
      </c>
      <c r="Z50" s="23">
        <v>1223.2410235553859</v>
      </c>
      <c r="AA50" s="23">
        <v>1196.9000000000001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4365.7942517190759</v>
      </c>
      <c r="E51" s="23">
        <v>4211.8088248286658</v>
      </c>
      <c r="F51" s="23">
        <v>4224.0630278716217</v>
      </c>
      <c r="G51" s="23">
        <v>3950.6153738277872</v>
      </c>
      <c r="H51" s="23">
        <v>4043.4012240063171</v>
      </c>
      <c r="I51" s="23">
        <v>4218.6255482327551</v>
      </c>
      <c r="J51" s="23">
        <v>4671.1838166993493</v>
      </c>
      <c r="K51" s="23">
        <v>5072.8894258900846</v>
      </c>
      <c r="L51" s="23">
        <v>5075.572674418604</v>
      </c>
      <c r="M51" s="23">
        <v>3889.1654598117307</v>
      </c>
      <c r="N51" s="23">
        <v>4190.5838145609587</v>
      </c>
      <c r="O51" s="23">
        <v>4760.6947379543535</v>
      </c>
      <c r="P51" s="23">
        <v>4652.8727679956964</v>
      </c>
      <c r="Q51" s="23">
        <v>4328.6559405688176</v>
      </c>
      <c r="R51" s="23">
        <v>4598.1256191496677</v>
      </c>
      <c r="S51" s="23">
        <v>4409.2237500000001</v>
      </c>
      <c r="T51" s="23">
        <v>4248.346313526883</v>
      </c>
      <c r="U51" s="23">
        <v>4408.0228657509451</v>
      </c>
      <c r="V51" s="23">
        <v>4203.6867379203268</v>
      </c>
      <c r="W51" s="23">
        <v>4125.4260651046989</v>
      </c>
      <c r="X51" s="23">
        <v>3947.6168670406164</v>
      </c>
      <c r="Y51" s="23">
        <v>4069.0919066481106</v>
      </c>
      <c r="Z51" s="23">
        <v>4384.1369457678329</v>
      </c>
      <c r="AA51" s="23">
        <v>4630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6634.2888047593297</v>
      </c>
      <c r="E52" s="23">
        <v>6621.5644760257974</v>
      </c>
      <c r="F52" s="23">
        <v>6470.6913255166919</v>
      </c>
      <c r="G52" s="23">
        <v>6283.8440361937983</v>
      </c>
      <c r="H52" s="23">
        <v>5927.5799253392033</v>
      </c>
      <c r="I52" s="23">
        <v>5737.9591082862307</v>
      </c>
      <c r="J52" s="23">
        <v>5544.9293872776689</v>
      </c>
      <c r="K52" s="23">
        <v>5232.0171490300227</v>
      </c>
      <c r="L52" s="23">
        <v>4992.1623754152824</v>
      </c>
      <c r="M52" s="23">
        <v>4021.022727272727</v>
      </c>
      <c r="N52" s="23">
        <v>4435.1629877489349</v>
      </c>
      <c r="O52" s="23">
        <v>4616.8804152578195</v>
      </c>
      <c r="P52" s="23">
        <v>4578.8744542839995</v>
      </c>
      <c r="Q52" s="23">
        <v>4708.3106013481129</v>
      </c>
      <c r="R52" s="23">
        <v>4660.5939035238462</v>
      </c>
      <c r="S52" s="23">
        <v>4027.3184999999999</v>
      </c>
      <c r="T52" s="23">
        <v>3783.3365231729581</v>
      </c>
      <c r="U52" s="23">
        <v>3987.2553879621523</v>
      </c>
      <c r="V52" s="23">
        <v>3895.6213552711292</v>
      </c>
      <c r="W52" s="23">
        <v>3889.5633210085284</v>
      </c>
      <c r="X52" s="23">
        <v>3075.0380268951781</v>
      </c>
      <c r="Y52" s="23">
        <v>2891.3867626592441</v>
      </c>
      <c r="Z52" s="23">
        <v>3116.6318412708956</v>
      </c>
      <c r="AA52" s="23">
        <v>3404.4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2694.2034304257104</v>
      </c>
      <c r="E53" s="23">
        <v>2752.3658668955309</v>
      </c>
      <c r="F53" s="23">
        <v>2514.8800799880833</v>
      </c>
      <c r="G53" s="23">
        <v>2527.2534236552233</v>
      </c>
      <c r="H53" s="23">
        <v>2659.2609598219583</v>
      </c>
      <c r="I53" s="23">
        <v>2611.7065283673846</v>
      </c>
      <c r="J53" s="23">
        <v>2588.3390098737505</v>
      </c>
      <c r="K53" s="23">
        <v>2605.6275881081997</v>
      </c>
      <c r="L53" s="23">
        <v>2628.2641196013392</v>
      </c>
      <c r="M53" s="23">
        <v>3552.5204068198336</v>
      </c>
      <c r="N53" s="23">
        <v>3526.550677316643</v>
      </c>
      <c r="O53" s="23">
        <v>3737.9705991124301</v>
      </c>
      <c r="P53" s="23">
        <v>3573.4910047381536</v>
      </c>
      <c r="Q53" s="23">
        <v>3620.2507571663168</v>
      </c>
      <c r="R53" s="23">
        <v>3680.9021389725672</v>
      </c>
      <c r="S53" s="23">
        <v>3838.6406249999814</v>
      </c>
      <c r="T53" s="23">
        <v>3820.0510865084543</v>
      </c>
      <c r="U53" s="23">
        <v>3926.919837518878</v>
      </c>
      <c r="V53" s="23">
        <v>3852.3127461375338</v>
      </c>
      <c r="W53" s="23">
        <v>4243.6509447984972</v>
      </c>
      <c r="X53" s="23">
        <v>3539.2665948000199</v>
      </c>
      <c r="Y53" s="23">
        <v>3481.7049834064924</v>
      </c>
      <c r="Z53" s="23">
        <v>3975.271098587335</v>
      </c>
      <c r="AA53" s="23">
        <v>4045.0000000000073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73161.553059568876</v>
      </c>
      <c r="E54" s="30">
        <f t="shared" ref="E54:S54" si="6">SUM(E41:E53)</f>
        <v>71846.223542552791</v>
      </c>
      <c r="F54" s="30">
        <f t="shared" si="6"/>
        <v>72034.315071045305</v>
      </c>
      <c r="G54" s="30">
        <f t="shared" si="6"/>
        <v>70205.06277209369</v>
      </c>
      <c r="H54" s="30">
        <f t="shared" si="6"/>
        <v>72213.140868410337</v>
      </c>
      <c r="I54" s="30">
        <f t="shared" si="6"/>
        <v>72922.527528906809</v>
      </c>
      <c r="J54" s="30">
        <f t="shared" si="6"/>
        <v>70770.63766470569</v>
      </c>
      <c r="K54" s="30">
        <f t="shared" si="6"/>
        <v>73591.381459017881</v>
      </c>
      <c r="L54" s="30">
        <f t="shared" si="6"/>
        <v>68881.372508305663</v>
      </c>
      <c r="M54" s="30">
        <f t="shared" si="6"/>
        <v>61916.623329603062</v>
      </c>
      <c r="N54" s="30">
        <f t="shared" si="6"/>
        <v>65051.239678342063</v>
      </c>
      <c r="O54" s="30">
        <f t="shared" si="6"/>
        <v>65494.003988799661</v>
      </c>
      <c r="P54" s="30">
        <f t="shared" si="6"/>
        <v>64014.42461877469</v>
      </c>
      <c r="Q54" s="30">
        <f t="shared" si="6"/>
        <v>64404.30220878416</v>
      </c>
      <c r="R54" s="30">
        <f t="shared" si="6"/>
        <v>65098.722909043121</v>
      </c>
      <c r="S54" s="30">
        <f t="shared" si="6"/>
        <v>65997.70087499998</v>
      </c>
      <c r="T54" s="30">
        <f t="shared" ref="T54:Y54" si="7">SUM(T41:T53)</f>
        <v>65094.424651080626</v>
      </c>
      <c r="U54" s="30">
        <f t="shared" si="7"/>
        <v>67130.233590659249</v>
      </c>
      <c r="V54" s="30">
        <f t="shared" si="7"/>
        <v>67857.292652794611</v>
      </c>
      <c r="W54" s="30">
        <f t="shared" si="7"/>
        <v>69872.07792961855</v>
      </c>
      <c r="X54" s="30">
        <f t="shared" si="7"/>
        <v>64312.916582923746</v>
      </c>
      <c r="Y54" s="30">
        <f t="shared" si="7"/>
        <v>61302.224735039075</v>
      </c>
      <c r="Z54" s="30">
        <f t="shared" ref="Z54:AA54" si="8">SUM(Z41:Z53)</f>
        <v>71889.167987749213</v>
      </c>
      <c r="AA54" s="30">
        <f t="shared" si="8"/>
        <v>67112.600000000006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8925.2404774781735</v>
      </c>
      <c r="E56" s="19">
        <v>8989.211609092401</v>
      </c>
      <c r="F56" s="19">
        <v>9161.8421788056421</v>
      </c>
      <c r="G56" s="19">
        <v>9220.1059717327425</v>
      </c>
      <c r="H56" s="19">
        <v>9674.7684797434722</v>
      </c>
      <c r="I56" s="19">
        <v>9448.4111511128831</v>
      </c>
      <c r="J56" s="19">
        <v>9181.3572952145059</v>
      </c>
      <c r="K56" s="19">
        <v>9329.9470844398438</v>
      </c>
      <c r="L56" s="19">
        <v>9318.7217607973434</v>
      </c>
      <c r="M56" s="19">
        <v>10010.614837732868</v>
      </c>
      <c r="N56" s="19">
        <v>9480.3416266393233</v>
      </c>
      <c r="O56" s="19">
        <v>9309.6071956889264</v>
      </c>
      <c r="P56" s="19">
        <v>9326.2715700068275</v>
      </c>
      <c r="Q56" s="19">
        <v>9768.9551614778247</v>
      </c>
      <c r="R56" s="19">
        <v>9969.7593403149822</v>
      </c>
      <c r="S56" s="19">
        <v>10044.664124999999</v>
      </c>
      <c r="T56" s="19">
        <v>9989.8342264884286</v>
      </c>
      <c r="U56" s="19">
        <v>10078.956386142903</v>
      </c>
      <c r="V56" s="19">
        <v>10151.44227128143</v>
      </c>
      <c r="W56" s="19">
        <v>10415.060106649822</v>
      </c>
      <c r="X56" s="19">
        <v>9839.8907840163702</v>
      </c>
      <c r="Y56" s="19">
        <v>9806.0920939942189</v>
      </c>
      <c r="Z56" s="19">
        <v>10257.938530236883</v>
      </c>
      <c r="AA56" s="19">
        <v>10621.4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3847.6531715985475</v>
      </c>
      <c r="E57" s="23">
        <v>3725.0088349257235</v>
      </c>
      <c r="F57" s="23">
        <v>3758.821200566375</v>
      </c>
      <c r="G57" s="23">
        <v>3331.8628586759023</v>
      </c>
      <c r="H57" s="23">
        <v>3378.8505946540949</v>
      </c>
      <c r="I57" s="23">
        <v>3152.3355594905829</v>
      </c>
      <c r="J57" s="23">
        <v>3079.4857570440709</v>
      </c>
      <c r="K57" s="23">
        <v>3021.2936602601612</v>
      </c>
      <c r="L57" s="23">
        <v>2630.3633720930234</v>
      </c>
      <c r="M57" s="23">
        <v>2024.7231090777434</v>
      </c>
      <c r="N57" s="23">
        <v>2078.991175994387</v>
      </c>
      <c r="O57" s="23">
        <v>1874.526891377853</v>
      </c>
      <c r="P57" s="23">
        <v>1798.9696054292274</v>
      </c>
      <c r="Q57" s="23">
        <v>1665.6607232085496</v>
      </c>
      <c r="R57" s="23">
        <v>1745.4072993955076</v>
      </c>
      <c r="S57" s="23">
        <v>1747.387125</v>
      </c>
      <c r="T57" s="23">
        <v>1663.0704905482598</v>
      </c>
      <c r="U57" s="23">
        <v>1558.2629056011706</v>
      </c>
      <c r="V57" s="23">
        <v>1542.8392911239016</v>
      </c>
      <c r="W57" s="23">
        <v>1457.6763716764831</v>
      </c>
      <c r="X57" s="23">
        <v>1296.6304516635907</v>
      </c>
      <c r="Y57" s="23">
        <v>1254.7080746172787</v>
      </c>
      <c r="Z57" s="23">
        <v>1322.6778688932789</v>
      </c>
      <c r="AA57" s="23">
        <v>1291.4000000000001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1093.889554199181</v>
      </c>
      <c r="E58" s="23">
        <v>1178.7195037296008</v>
      </c>
      <c r="F58" s="23">
        <v>1153.2158249701909</v>
      </c>
      <c r="G58" s="23">
        <v>1192.6589575991122</v>
      </c>
      <c r="H58" s="23">
        <v>1276.9351683457369</v>
      </c>
      <c r="I58" s="23">
        <v>1254.3541994042732</v>
      </c>
      <c r="J58" s="23">
        <v>1310.9806653593423</v>
      </c>
      <c r="K58" s="23">
        <v>1438.2643358689293</v>
      </c>
      <c r="L58" s="23">
        <v>1265.4294019933554</v>
      </c>
      <c r="M58" s="23">
        <v>1147.33847343822</v>
      </c>
      <c r="N58" s="23">
        <v>1101.2201144152409</v>
      </c>
      <c r="O58" s="23">
        <v>1105.1135883347422</v>
      </c>
      <c r="P58" s="23">
        <v>1048.9195599097886</v>
      </c>
      <c r="Q58" s="23">
        <v>940.76002161875522</v>
      </c>
      <c r="R58" s="23">
        <v>951.71517093585101</v>
      </c>
      <c r="S58" s="23">
        <v>1034.1266249999999</v>
      </c>
      <c r="T58" s="23">
        <v>1050.8303397915317</v>
      </c>
      <c r="U58" s="23">
        <v>1086.8914177631896</v>
      </c>
      <c r="V58" s="23">
        <v>1140.9784676991819</v>
      </c>
      <c r="W58" s="23">
        <v>1211.012546218019</v>
      </c>
      <c r="X58" s="23">
        <v>1123.33846448996</v>
      </c>
      <c r="Y58" s="23">
        <v>1278.1584546622419</v>
      </c>
      <c r="Z58" s="23">
        <v>1451.2744642353216</v>
      </c>
      <c r="AA58" s="23">
        <v>1336.0531320166685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2026.5109518658733</v>
      </c>
      <c r="E59" s="23">
        <v>1961.3956342845604</v>
      </c>
      <c r="F59" s="23">
        <v>1936.1531510830682</v>
      </c>
      <c r="G59" s="23">
        <v>1784.5962952574907</v>
      </c>
      <c r="H59" s="23">
        <v>1774.403102491086</v>
      </c>
      <c r="I59" s="23">
        <v>1658.9367802612755</v>
      </c>
      <c r="J59" s="23">
        <v>1670.3916812880586</v>
      </c>
      <c r="K59" s="23">
        <v>1593.9791319710134</v>
      </c>
      <c r="L59" s="23">
        <v>1503.2047342192689</v>
      </c>
      <c r="M59" s="23">
        <v>1357.6723059706405</v>
      </c>
      <c r="N59" s="23">
        <v>1222.759458146689</v>
      </c>
      <c r="O59" s="23">
        <v>1314.0916895604396</v>
      </c>
      <c r="P59" s="23">
        <v>1344.1283803356021</v>
      </c>
      <c r="Q59" s="23">
        <v>1282.5265390616237</v>
      </c>
      <c r="R59" s="23">
        <v>1380.6896063724398</v>
      </c>
      <c r="S59" s="23">
        <v>1389.7458750000001</v>
      </c>
      <c r="T59" s="23">
        <v>1307.0880690183146</v>
      </c>
      <c r="U59" s="23">
        <v>1269.1145116422335</v>
      </c>
      <c r="V59" s="23">
        <v>1251.2838202438654</v>
      </c>
      <c r="W59" s="23">
        <v>1252.2210196763344</v>
      </c>
      <c r="X59" s="23">
        <v>1171.2506394913303</v>
      </c>
      <c r="Y59" s="23">
        <v>1070.8255272454769</v>
      </c>
      <c r="Z59" s="23">
        <v>1225.0241737354959</v>
      </c>
      <c r="AA59" s="23">
        <v>1132.0076917428535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2146.1195240670636</v>
      </c>
      <c r="E60" s="23">
        <v>2046.7291842839293</v>
      </c>
      <c r="F60" s="23">
        <v>1977.4347302265498</v>
      </c>
      <c r="G60" s="23">
        <v>1970.1449946953162</v>
      </c>
      <c r="H60" s="23">
        <v>1911.8494101318529</v>
      </c>
      <c r="I60" s="23">
        <v>1861.8208656800427</v>
      </c>
      <c r="J60" s="23">
        <v>1804.1563456841093</v>
      </c>
      <c r="K60" s="23">
        <v>1843.976037493811</v>
      </c>
      <c r="L60" s="23">
        <v>1794.0211794019931</v>
      </c>
      <c r="M60" s="23">
        <v>1606.2738628135078</v>
      </c>
      <c r="N60" s="23">
        <v>1569.3716606400778</v>
      </c>
      <c r="O60" s="23">
        <v>1566.0672020287404</v>
      </c>
      <c r="P60" s="23">
        <v>1478.5281444621467</v>
      </c>
      <c r="Q60" s="23">
        <v>1354.6944311310076</v>
      </c>
      <c r="R60" s="23">
        <v>1337.3833724197882</v>
      </c>
      <c r="S60" s="23">
        <v>1247.7003750000001</v>
      </c>
      <c r="T60" s="23">
        <v>1214.6814822448621</v>
      </c>
      <c r="U60" s="23">
        <v>1131.1699265562281</v>
      </c>
      <c r="V60" s="23">
        <v>1078.4082948348982</v>
      </c>
      <c r="W60" s="23">
        <v>1034.4383465561768</v>
      </c>
      <c r="X60" s="23">
        <v>775.02272478120278</v>
      </c>
      <c r="Y60" s="23">
        <v>817.26829300931388</v>
      </c>
      <c r="Z60" s="23">
        <v>844.47894706263173</v>
      </c>
      <c r="AA60" s="23">
        <v>741.63917624047781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1845.7148651780885</v>
      </c>
      <c r="E61" s="23">
        <v>1766.8032398934761</v>
      </c>
      <c r="F61" s="23">
        <v>1712.7931240063592</v>
      </c>
      <c r="G61" s="23">
        <v>1823.7402899893909</v>
      </c>
      <c r="H61" s="23">
        <v>2569.7469728876017</v>
      </c>
      <c r="I61" s="23">
        <v>2967.0871250322489</v>
      </c>
      <c r="J61" s="23">
        <v>2753.1173667733169</v>
      </c>
      <c r="K61" s="23">
        <v>2902.9788562812264</v>
      </c>
      <c r="L61" s="23">
        <v>2554.9302325581393</v>
      </c>
      <c r="M61" s="23">
        <v>779.77420841287596</v>
      </c>
      <c r="N61" s="23">
        <v>1642.4862377894112</v>
      </c>
      <c r="O61" s="23">
        <v>1095.6327926880811</v>
      </c>
      <c r="P61" s="23">
        <v>1652.2803687074547</v>
      </c>
      <c r="Q61" s="23">
        <v>1339.4876253021018</v>
      </c>
      <c r="R61" s="23">
        <v>1284.3683662535632</v>
      </c>
      <c r="S61" s="23">
        <v>2855.8222500000002</v>
      </c>
      <c r="T61" s="23">
        <v>2324.1807019610151</v>
      </c>
      <c r="U61" s="23">
        <v>2293.3591381185688</v>
      </c>
      <c r="V61" s="23">
        <v>1591.6512041805513</v>
      </c>
      <c r="W61" s="23">
        <v>2107.9719115215248</v>
      </c>
      <c r="X61" s="23">
        <v>937.00051159306418</v>
      </c>
      <c r="Y61" s="23">
        <v>955.71572904399966</v>
      </c>
      <c r="Z61" s="23">
        <v>2233.2382638070417</v>
      </c>
      <c r="AA61" s="23">
        <v>1684.1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11574.692401297998</v>
      </c>
      <c r="E62" s="23">
        <v>11368.502385429945</v>
      </c>
      <c r="F62" s="23">
        <v>11427.620106319553</v>
      </c>
      <c r="G62" s="23">
        <v>10865.078411765424</v>
      </c>
      <c r="H62" s="23">
        <v>10973.477320586757</v>
      </c>
      <c r="I62" s="23">
        <v>11092.231659122357</v>
      </c>
      <c r="J62" s="23">
        <v>10502.77247393952</v>
      </c>
      <c r="K62" s="23">
        <v>10366.623672187965</v>
      </c>
      <c r="L62" s="23">
        <v>9613.0369601328894</v>
      </c>
      <c r="M62" s="23">
        <v>9174.4096010795856</v>
      </c>
      <c r="N62" s="23">
        <v>9770.2081871660648</v>
      </c>
      <c r="O62" s="23">
        <v>10225.772532755705</v>
      </c>
      <c r="P62" s="23">
        <v>9893.5483954397787</v>
      </c>
      <c r="Q62" s="23">
        <v>10176.832622905682</v>
      </c>
      <c r="R62" s="23">
        <v>10896.819339708469</v>
      </c>
      <c r="S62" s="23">
        <v>11337.606749999999</v>
      </c>
      <c r="T62" s="23">
        <v>10395.058815735234</v>
      </c>
      <c r="U62" s="23">
        <v>11142.978683980016</v>
      </c>
      <c r="V62" s="23">
        <v>11371.62046065586</v>
      </c>
      <c r="W62" s="23">
        <v>10332.877965849762</v>
      </c>
      <c r="X62" s="23">
        <v>9676.989389011711</v>
      </c>
      <c r="Y62" s="23">
        <v>8727.8255807729365</v>
      </c>
      <c r="Z62" s="23">
        <v>10633.029415182353</v>
      </c>
      <c r="AA62" s="23">
        <v>7913.5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4655.4585490226382</v>
      </c>
      <c r="E63" s="23">
        <v>5175.9981888402262</v>
      </c>
      <c r="F63" s="23">
        <v>5430.6466737877581</v>
      </c>
      <c r="G63" s="23">
        <v>5728.5849298196408</v>
      </c>
      <c r="H63" s="23">
        <v>5375.2241917729543</v>
      </c>
      <c r="I63" s="23">
        <v>6512.4457630696334</v>
      </c>
      <c r="J63" s="23">
        <v>5103.7813499845188</v>
      </c>
      <c r="K63" s="23">
        <v>6354.8701444839544</v>
      </c>
      <c r="L63" s="23">
        <v>5460.2956810631231</v>
      </c>
      <c r="M63" s="23">
        <v>6623.0893292080837</v>
      </c>
      <c r="N63" s="23">
        <v>7970.8529872092395</v>
      </c>
      <c r="O63" s="23">
        <v>6741.6468987743028</v>
      </c>
      <c r="P63" s="23">
        <v>7183.3274709813568</v>
      </c>
      <c r="Q63" s="23">
        <v>8222.3714601837601</v>
      </c>
      <c r="R63" s="23">
        <v>7858.2291308654949</v>
      </c>
      <c r="S63" s="23">
        <v>7024.1752499999993</v>
      </c>
      <c r="T63" s="23">
        <v>8050.7843324892528</v>
      </c>
      <c r="U63" s="23">
        <v>8282.3923851418331</v>
      </c>
      <c r="V63" s="23">
        <v>10138.641107808238</v>
      </c>
      <c r="W63" s="23">
        <v>12229.876581631705</v>
      </c>
      <c r="X63" s="23">
        <v>13610.636682136264</v>
      </c>
      <c r="Y63" s="23">
        <v>10838.359784819613</v>
      </c>
      <c r="Z63" s="23">
        <v>14768.679138792519</v>
      </c>
      <c r="AA63" s="23">
        <v>15084.9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2685.2531291045352</v>
      </c>
      <c r="E64" s="23">
        <v>2889.0590488571393</v>
      </c>
      <c r="F64" s="23">
        <v>3021.2465222575515</v>
      </c>
      <c r="G64" s="23">
        <v>2732.065900028048</v>
      </c>
      <c r="H64" s="23">
        <v>2865.9596424896504</v>
      </c>
      <c r="I64" s="23">
        <v>2897.433713675915</v>
      </c>
      <c r="J64" s="23">
        <v>2785.4353734475521</v>
      </c>
      <c r="K64" s="23">
        <v>2878.6617511365175</v>
      </c>
      <c r="L64" s="23">
        <v>2761.3567275747505</v>
      </c>
      <c r="M64" s="23">
        <v>2587.6468797314201</v>
      </c>
      <c r="N64" s="23">
        <v>2573.3330185115228</v>
      </c>
      <c r="O64" s="23">
        <v>2681.3292476754013</v>
      </c>
      <c r="P64" s="23">
        <v>2559.217298421303</v>
      </c>
      <c r="Q64" s="23">
        <v>2538.6344747764192</v>
      </c>
      <c r="R64" s="23">
        <v>2492.7272658350685</v>
      </c>
      <c r="S64" s="23">
        <v>2583.9896249999997</v>
      </c>
      <c r="T64" s="23">
        <v>2946.0956362993934</v>
      </c>
      <c r="U64" s="23">
        <v>2857.7884809748871</v>
      </c>
      <c r="V64" s="23">
        <v>2755.2410727809752</v>
      </c>
      <c r="W64" s="23">
        <v>2834.9316484271935</v>
      </c>
      <c r="X64" s="23">
        <v>2842.2887623102079</v>
      </c>
      <c r="Y64" s="23">
        <v>2561.7285354887053</v>
      </c>
      <c r="Z64" s="23">
        <v>2638.8524841885101</v>
      </c>
      <c r="AA64" s="23">
        <v>2424.7630304116678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3693.2197906204124</v>
      </c>
      <c r="E65" s="23">
        <v>3743.3515606265219</v>
      </c>
      <c r="F65" s="23">
        <v>3744.380496075119</v>
      </c>
      <c r="G65" s="23">
        <v>3633.1483299391489</v>
      </c>
      <c r="H65" s="23">
        <v>3598.0993802196745</v>
      </c>
      <c r="I65" s="23">
        <v>3508.160752398152</v>
      </c>
      <c r="J65" s="23">
        <v>3573.2411325558201</v>
      </c>
      <c r="K65" s="23">
        <v>3839.9695334653652</v>
      </c>
      <c r="L65" s="23">
        <v>3637.5847176079737</v>
      </c>
      <c r="M65" s="23">
        <v>3390.1598808505028</v>
      </c>
      <c r="N65" s="23">
        <v>3114.8719574720712</v>
      </c>
      <c r="O65" s="23">
        <v>3330.5634509721044</v>
      </c>
      <c r="P65" s="23">
        <v>3020.2032598125429</v>
      </c>
      <c r="Q65" s="23">
        <v>2837.1002569776565</v>
      </c>
      <c r="R65" s="23">
        <v>2953.2552109657727</v>
      </c>
      <c r="S65" s="23">
        <v>3036.0330000000004</v>
      </c>
      <c r="T65" s="23">
        <v>3059.092147105589</v>
      </c>
      <c r="U65" s="23">
        <v>3045.3639220706718</v>
      </c>
      <c r="V65" s="23">
        <v>3130.9013840502876</v>
      </c>
      <c r="W65" s="23">
        <v>3157.4378495382848</v>
      </c>
      <c r="X65" s="23">
        <v>2959.3561007472908</v>
      </c>
      <c r="Y65" s="23">
        <v>3084.7396558184355</v>
      </c>
      <c r="Z65" s="23">
        <v>3283.9332846400298</v>
      </c>
      <c r="AA65" s="23">
        <v>3037.436969588332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5301.1821061577684</v>
      </c>
      <c r="E66" s="23">
        <v>4415.811835014073</v>
      </c>
      <c r="F66" s="23">
        <v>4629.5015028815578</v>
      </c>
      <c r="G66" s="23">
        <v>4581.8508164335453</v>
      </c>
      <c r="H66" s="23">
        <v>5488.6287360310125</v>
      </c>
      <c r="I66" s="23">
        <v>5486.7622311607292</v>
      </c>
      <c r="J66" s="23">
        <v>5488.5540303436883</v>
      </c>
      <c r="K66" s="23">
        <v>6285.900577260657</v>
      </c>
      <c r="L66" s="23">
        <v>4955.3554817275754</v>
      </c>
      <c r="M66" s="23">
        <v>3095.9420874201833</v>
      </c>
      <c r="N66" s="23">
        <v>3675.5079874790872</v>
      </c>
      <c r="O66" s="23">
        <v>3922.6458157227389</v>
      </c>
      <c r="P66" s="23">
        <v>3142.0520732035338</v>
      </c>
      <c r="Q66" s="23">
        <v>3310.7020486829892</v>
      </c>
      <c r="R66" s="23">
        <v>3231.6159300891572</v>
      </c>
      <c r="S66" s="23">
        <v>3369.4102499999995</v>
      </c>
      <c r="T66" s="23">
        <v>3286.6976326482545</v>
      </c>
      <c r="U66" s="23">
        <v>3796.3955519833671</v>
      </c>
      <c r="V66" s="23">
        <v>3954.8416909648586</v>
      </c>
      <c r="W66" s="23">
        <v>3582.0847113580198</v>
      </c>
      <c r="X66" s="23">
        <v>2551.6985346512938</v>
      </c>
      <c r="Y66" s="23">
        <v>3360.3943635585056</v>
      </c>
      <c r="Z66" s="23">
        <v>4346.4810096113952</v>
      </c>
      <c r="AA66" s="23">
        <v>3307.1039348079644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5490.4402959128483</v>
      </c>
      <c r="E67" s="23">
        <v>5503.1367141649098</v>
      </c>
      <c r="F67" s="23">
        <v>5612.5681575417329</v>
      </c>
      <c r="G67" s="23">
        <v>5513.6011792251511</v>
      </c>
      <c r="H67" s="23">
        <v>5746.8886848213642</v>
      </c>
      <c r="I67" s="23">
        <v>5573.9030947299289</v>
      </c>
      <c r="J67" s="23">
        <v>5728.1130663639178</v>
      </c>
      <c r="K67" s="23">
        <v>6207.403255390017</v>
      </c>
      <c r="L67" s="23">
        <v>6216.4464285714275</v>
      </c>
      <c r="M67" s="23">
        <v>4854.4549404252521</v>
      </c>
      <c r="N67" s="23">
        <v>4776.3188785147613</v>
      </c>
      <c r="O67" s="23">
        <v>5228.8590976331361</v>
      </c>
      <c r="P67" s="23">
        <v>5096.2089549150642</v>
      </c>
      <c r="Q67" s="23">
        <v>4796.0719129539175</v>
      </c>
      <c r="R67" s="23">
        <v>4545.7493479974937</v>
      </c>
      <c r="S67" s="23">
        <v>4643.1438749999998</v>
      </c>
      <c r="T67" s="23">
        <v>4711.867675637478</v>
      </c>
      <c r="U67" s="23">
        <v>4962.4773797033367</v>
      </c>
      <c r="V67" s="23">
        <v>4726.3809735686154</v>
      </c>
      <c r="W67" s="23">
        <v>4760.9288196057305</v>
      </c>
      <c r="X67" s="23">
        <v>4172.8618150591074</v>
      </c>
      <c r="Y67" s="23">
        <v>4365.8294079862972</v>
      </c>
      <c r="Z67" s="23">
        <v>4600.6323558705863</v>
      </c>
      <c r="AA67" s="23">
        <v>3561.496065192036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3403.7182260681448</v>
      </c>
      <c r="E68" s="23">
        <v>2782.8307417551214</v>
      </c>
      <c r="F68" s="23">
        <v>2768.3772294813193</v>
      </c>
      <c r="G68" s="23">
        <v>2658.2471068131658</v>
      </c>
      <c r="H68" s="23">
        <v>2476.1504223599509</v>
      </c>
      <c r="I68" s="23">
        <v>2432.0896463165791</v>
      </c>
      <c r="J68" s="23">
        <v>2460.2263735507622</v>
      </c>
      <c r="K68" s="23">
        <v>2579.4618141513261</v>
      </c>
      <c r="L68" s="23">
        <v>2240.6021594684385</v>
      </c>
      <c r="M68" s="23">
        <v>1440.447057468238</v>
      </c>
      <c r="N68" s="23">
        <v>1533.3600032381671</v>
      </c>
      <c r="O68" s="23">
        <v>1688.11575443787</v>
      </c>
      <c r="P68" s="23">
        <v>1713.5969926134364</v>
      </c>
      <c r="Q68" s="23">
        <v>1637.5667937958251</v>
      </c>
      <c r="R68" s="23">
        <v>1679.8730869538847</v>
      </c>
      <c r="S68" s="23">
        <v>1604.0778749999999</v>
      </c>
      <c r="T68" s="23">
        <v>1809.4326011424534</v>
      </c>
      <c r="U68" s="23">
        <v>1865.9012263088489</v>
      </c>
      <c r="V68" s="23">
        <v>1730.4301726749468</v>
      </c>
      <c r="W68" s="23">
        <v>1804.0153936195907</v>
      </c>
      <c r="X68" s="23">
        <v>1541.6175248031277</v>
      </c>
      <c r="Y68" s="23">
        <v>1494.848985654641</v>
      </c>
      <c r="Z68" s="23">
        <v>1583.6471423117148</v>
      </c>
      <c r="AA68" s="23">
        <v>1700.5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2778.173530093487</v>
      </c>
      <c r="E69" s="23">
        <v>2713.9258939051633</v>
      </c>
      <c r="F69" s="23">
        <v>2490.0797396661369</v>
      </c>
      <c r="G69" s="23">
        <v>2407.663896442813</v>
      </c>
      <c r="H69" s="23">
        <v>2471.91665270765</v>
      </c>
      <c r="I69" s="23">
        <v>2508.2638025658466</v>
      </c>
      <c r="J69" s="23">
        <v>2524.5725393057419</v>
      </c>
      <c r="K69" s="23">
        <v>2037.5174415987758</v>
      </c>
      <c r="L69" s="23">
        <v>2234.0245016611293</v>
      </c>
      <c r="M69" s="23">
        <v>2361.3681620696466</v>
      </c>
      <c r="N69" s="23">
        <v>2389.3189054994873</v>
      </c>
      <c r="O69" s="23">
        <v>2294.4860788250212</v>
      </c>
      <c r="P69" s="23">
        <v>1951.9343175187767</v>
      </c>
      <c r="Q69" s="23">
        <v>1875.7208376247922</v>
      </c>
      <c r="R69" s="23">
        <v>1831.5087792895699</v>
      </c>
      <c r="S69" s="23">
        <v>1804.635</v>
      </c>
      <c r="T69" s="23">
        <v>1433.9765767622637</v>
      </c>
      <c r="U69" s="23">
        <v>1436.9835834400176</v>
      </c>
      <c r="V69" s="23">
        <v>1341.0116015980007</v>
      </c>
      <c r="W69" s="23">
        <v>1432.9043263781796</v>
      </c>
      <c r="X69" s="23">
        <v>1252.4127094334106</v>
      </c>
      <c r="Y69" s="23">
        <v>1243.5465956535704</v>
      </c>
      <c r="Z69" s="23">
        <v>1223.2410235553859</v>
      </c>
      <c r="AA69" s="23">
        <v>1196.9000000000001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4365.7942517190759</v>
      </c>
      <c r="E70" s="23">
        <v>4211.8088248286658</v>
      </c>
      <c r="F70" s="23">
        <v>4224.0630278716217</v>
      </c>
      <c r="G70" s="23">
        <v>3950.6153738277872</v>
      </c>
      <c r="H70" s="23">
        <v>4043.4012240063171</v>
      </c>
      <c r="I70" s="23">
        <v>4218.6255482327551</v>
      </c>
      <c r="J70" s="23">
        <v>4671.1838166993493</v>
      </c>
      <c r="K70" s="23">
        <v>5072.8894258900846</v>
      </c>
      <c r="L70" s="23">
        <v>5075.572674418604</v>
      </c>
      <c r="M70" s="23">
        <v>3889.1654598117307</v>
      </c>
      <c r="N70" s="23">
        <v>4190.5838145609587</v>
      </c>
      <c r="O70" s="23">
        <v>4760.6947379543535</v>
      </c>
      <c r="P70" s="23">
        <v>4652.8727679956964</v>
      </c>
      <c r="Q70" s="23">
        <v>4328.6559405688176</v>
      </c>
      <c r="R70" s="23">
        <v>4598.1256191496677</v>
      </c>
      <c r="S70" s="23">
        <v>4409.2237500000001</v>
      </c>
      <c r="T70" s="23">
        <v>4248.346313526883</v>
      </c>
      <c r="U70" s="23">
        <v>4408.0228657509451</v>
      </c>
      <c r="V70" s="23">
        <v>4203.6867379203268</v>
      </c>
      <c r="W70" s="23">
        <v>4125.4260651046989</v>
      </c>
      <c r="X70" s="23">
        <v>3947.6168670406164</v>
      </c>
      <c r="Y70" s="23">
        <v>4069.0919066481106</v>
      </c>
      <c r="Z70" s="23">
        <v>4384.1369457678329</v>
      </c>
      <c r="AA70" s="23">
        <v>4630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5637.7134358340418</v>
      </c>
      <c r="E71" s="23">
        <v>5543.3312087440527</v>
      </c>
      <c r="F71" s="23">
        <v>5600.3249515600155</v>
      </c>
      <c r="G71" s="23">
        <v>5560.6047949465265</v>
      </c>
      <c r="H71" s="23">
        <v>5168.8279212232883</v>
      </c>
      <c r="I71" s="23">
        <v>4983.182886929193</v>
      </c>
      <c r="J71" s="23">
        <v>4806.8324904530919</v>
      </c>
      <c r="K71" s="23">
        <v>4417.4652293288927</v>
      </c>
      <c r="L71" s="23">
        <v>4215.7188538205983</v>
      </c>
      <c r="M71" s="23">
        <v>3279.7935455203738</v>
      </c>
      <c r="N71" s="23">
        <v>3686.011387554644</v>
      </c>
      <c r="O71" s="23">
        <v>3666.7978655959428</v>
      </c>
      <c r="P71" s="23">
        <v>3580.9431317373937</v>
      </c>
      <c r="Q71" s="23">
        <v>3661.4895526345304</v>
      </c>
      <c r="R71" s="23">
        <v>3597.3555991347066</v>
      </c>
      <c r="S71" s="23">
        <v>2927.2241250000002</v>
      </c>
      <c r="T71" s="23">
        <v>2739.2041104764148</v>
      </c>
      <c r="U71" s="23">
        <v>2866.5468673295536</v>
      </c>
      <c r="V71" s="23">
        <v>2861.9573140714929</v>
      </c>
      <c r="W71" s="23">
        <v>2763.9027981642853</v>
      </c>
      <c r="X71" s="23">
        <v>2471.92187699841</v>
      </c>
      <c r="Y71" s="23">
        <v>2297.0098222888341</v>
      </c>
      <c r="Z71" s="23">
        <v>2447.1113942331635</v>
      </c>
      <c r="AA71" s="23">
        <v>2689.8549212833705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996.57536892528799</v>
      </c>
      <c r="E72" s="23">
        <v>1078.2332672817452</v>
      </c>
      <c r="F72" s="23">
        <v>870.36637395667651</v>
      </c>
      <c r="G72" s="23">
        <v>723.23924124727171</v>
      </c>
      <c r="H72" s="23">
        <v>758.75200411591516</v>
      </c>
      <c r="I72" s="23">
        <v>754.77622135703757</v>
      </c>
      <c r="J72" s="23">
        <v>738.09689682457736</v>
      </c>
      <c r="K72" s="23">
        <v>814.55191970112946</v>
      </c>
      <c r="L72" s="23">
        <v>776.44352159468394</v>
      </c>
      <c r="M72" s="23">
        <v>741.22918175235327</v>
      </c>
      <c r="N72" s="23">
        <v>749.15160019429049</v>
      </c>
      <c r="O72" s="23">
        <v>950.08254966187656</v>
      </c>
      <c r="P72" s="23">
        <v>997.93132254660588</v>
      </c>
      <c r="Q72" s="23">
        <v>1046.8210487135823</v>
      </c>
      <c r="R72" s="23">
        <v>1063.2383043891396</v>
      </c>
      <c r="S72" s="23">
        <v>1100.0943749999999</v>
      </c>
      <c r="T72" s="23">
        <v>1044.1324126965428</v>
      </c>
      <c r="U72" s="23">
        <v>1120.7085206325985</v>
      </c>
      <c r="V72" s="23">
        <v>1033.6640411996364</v>
      </c>
      <c r="W72" s="23">
        <v>1125.6605228442431</v>
      </c>
      <c r="X72" s="23">
        <v>603.11614989676787</v>
      </c>
      <c r="Y72" s="23">
        <v>594.37694037040978</v>
      </c>
      <c r="Z72" s="23">
        <v>669.52044703773208</v>
      </c>
      <c r="AA72" s="23">
        <v>714.54507871662963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1936.5197404002163</v>
      </c>
      <c r="E73" s="23">
        <v>2049.7597215736264</v>
      </c>
      <c r="F73" s="23">
        <v>1887.6512196939584</v>
      </c>
      <c r="G73" s="23">
        <v>1755.7776849627453</v>
      </c>
      <c r="H73" s="23">
        <v>1836.3975866854912</v>
      </c>
      <c r="I73" s="23">
        <v>1789.7962743626429</v>
      </c>
      <c r="J73" s="23">
        <v>1770.8238724326559</v>
      </c>
      <c r="K73" s="23">
        <v>1836.4391569518841</v>
      </c>
      <c r="L73" s="23">
        <v>1868.8945182724253</v>
      </c>
      <c r="M73" s="23">
        <v>1765.8613652820748</v>
      </c>
      <c r="N73" s="23">
        <v>1721.3299422526852</v>
      </c>
      <c r="O73" s="23">
        <v>1783.9919695688927</v>
      </c>
      <c r="P73" s="23">
        <v>1701.3075200182075</v>
      </c>
      <c r="Q73" s="23">
        <v>1646.8455227761744</v>
      </c>
      <c r="R73" s="23">
        <v>1705.2947405131108</v>
      </c>
      <c r="S73" s="23">
        <v>1770.387375</v>
      </c>
      <c r="T73" s="23">
        <v>1688.2497349979387</v>
      </c>
      <c r="U73" s="23">
        <v>1615.4357054163579</v>
      </c>
      <c r="V73" s="23">
        <v>1590.694107846107</v>
      </c>
      <c r="W73" s="23">
        <v>1822.2128676538896</v>
      </c>
      <c r="X73" s="23">
        <v>1645.5234464928467</v>
      </c>
      <c r="Y73" s="23">
        <v>1556.6317176961782</v>
      </c>
      <c r="Z73" s="23">
        <v>1656.8611908832856</v>
      </c>
      <c r="AA73" s="23">
        <v>1687.0116129687626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757.683690025494</v>
      </c>
      <c r="E74" s="23">
        <v>702.60614532190471</v>
      </c>
      <c r="F74" s="23">
        <v>627.22886029412462</v>
      </c>
      <c r="G74" s="23">
        <v>771.47573869247799</v>
      </c>
      <c r="H74" s="23">
        <v>822.86337313646686</v>
      </c>
      <c r="I74" s="23">
        <v>821.91025400474189</v>
      </c>
      <c r="J74" s="23">
        <v>817.51513744109479</v>
      </c>
      <c r="K74" s="23">
        <v>769.18843115631546</v>
      </c>
      <c r="L74" s="23">
        <v>759.36960132891375</v>
      </c>
      <c r="M74" s="23">
        <v>1786.6590415377589</v>
      </c>
      <c r="N74" s="23">
        <v>1805.2207350639578</v>
      </c>
      <c r="O74" s="23">
        <v>1953.9786295435374</v>
      </c>
      <c r="P74" s="23">
        <v>1872.1834847199461</v>
      </c>
      <c r="Q74" s="23">
        <v>1973.4052343901424</v>
      </c>
      <c r="R74" s="23">
        <v>1975.6073984594561</v>
      </c>
      <c r="S74" s="23">
        <v>2068.2532499999816</v>
      </c>
      <c r="T74" s="23">
        <v>2131.8013515105154</v>
      </c>
      <c r="U74" s="23">
        <v>2311.4841321025201</v>
      </c>
      <c r="V74" s="23">
        <v>2261.6186382914266</v>
      </c>
      <c r="W74" s="23">
        <v>2421.4380771446072</v>
      </c>
      <c r="X74" s="23">
        <v>1893.7431483071732</v>
      </c>
      <c r="Y74" s="23">
        <v>1925.0732657103142</v>
      </c>
      <c r="Z74" s="23">
        <v>2318.4099077040496</v>
      </c>
      <c r="AA74" s="23">
        <v>2357.9883870312447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73161.553059568876</v>
      </c>
      <c r="E75" s="30">
        <f t="shared" ref="E75:S75" si="9">SUM(E56:E74)</f>
        <v>71846.223542552791</v>
      </c>
      <c r="F75" s="30">
        <f t="shared" si="9"/>
        <v>72034.315071045305</v>
      </c>
      <c r="G75" s="30">
        <f t="shared" si="9"/>
        <v>70205.06277209369</v>
      </c>
      <c r="H75" s="30">
        <f t="shared" si="9"/>
        <v>72213.140868410337</v>
      </c>
      <c r="I75" s="30">
        <f t="shared" si="9"/>
        <v>72922.527528906809</v>
      </c>
      <c r="J75" s="30">
        <f t="shared" si="9"/>
        <v>70770.637664705675</v>
      </c>
      <c r="K75" s="30">
        <f t="shared" si="9"/>
        <v>73591.381459017881</v>
      </c>
      <c r="L75" s="30">
        <f t="shared" si="9"/>
        <v>68881.372508305649</v>
      </c>
      <c r="M75" s="30">
        <f t="shared" si="9"/>
        <v>61916.623329603048</v>
      </c>
      <c r="N75" s="30">
        <f t="shared" si="9"/>
        <v>65051.23967834207</v>
      </c>
      <c r="O75" s="30">
        <f t="shared" si="9"/>
        <v>65494.003988799675</v>
      </c>
      <c r="P75" s="30">
        <f t="shared" si="9"/>
        <v>64014.42461877469</v>
      </c>
      <c r="Q75" s="30">
        <f t="shared" si="9"/>
        <v>64404.302208784145</v>
      </c>
      <c r="R75" s="30">
        <f t="shared" si="9"/>
        <v>65098.722909043128</v>
      </c>
      <c r="S75" s="30">
        <f t="shared" si="9"/>
        <v>65997.700874999995</v>
      </c>
      <c r="T75" s="30">
        <f t="shared" ref="T75:Y75" si="10">SUM(T56:T74)</f>
        <v>65094.424651080626</v>
      </c>
      <c r="U75" s="30">
        <f t="shared" si="10"/>
        <v>67130.233590659249</v>
      </c>
      <c r="V75" s="30">
        <f t="shared" si="10"/>
        <v>67857.292652794611</v>
      </c>
      <c r="W75" s="30">
        <f t="shared" si="10"/>
        <v>69872.07792961855</v>
      </c>
      <c r="X75" s="30">
        <f t="shared" si="10"/>
        <v>64312.916582923746</v>
      </c>
      <c r="Y75" s="30">
        <f t="shared" si="10"/>
        <v>61302.224735039068</v>
      </c>
      <c r="Z75" s="30">
        <f t="shared" ref="Z75:AA75" si="11">SUM(Z56:Z74)</f>
        <v>71889.167987749199</v>
      </c>
      <c r="AA75" s="30">
        <f t="shared" si="11"/>
        <v>67112.599999999991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10239085</v>
      </c>
      <c r="E3" s="42">
        <v>10263414</v>
      </c>
      <c r="F3" s="42">
        <v>10309725</v>
      </c>
      <c r="G3" s="42">
        <v>10355844</v>
      </c>
      <c r="H3" s="42">
        <v>10396421</v>
      </c>
      <c r="I3" s="42">
        <v>10445852</v>
      </c>
      <c r="J3" s="42">
        <v>10511382</v>
      </c>
      <c r="K3" s="42">
        <v>10584534</v>
      </c>
      <c r="L3" s="42">
        <v>10666866</v>
      </c>
      <c r="M3" s="42">
        <v>10753080</v>
      </c>
      <c r="N3" s="42">
        <v>10839905</v>
      </c>
      <c r="O3" s="42">
        <v>11000638</v>
      </c>
      <c r="P3" s="42">
        <v>11075889</v>
      </c>
      <c r="Q3" s="42">
        <v>11137974</v>
      </c>
      <c r="R3" s="42">
        <v>11180840</v>
      </c>
      <c r="S3" s="42">
        <v>11237274</v>
      </c>
      <c r="T3" s="42">
        <v>11311117</v>
      </c>
      <c r="U3" s="42">
        <v>11351727</v>
      </c>
      <c r="V3" s="42">
        <v>11398589</v>
      </c>
      <c r="W3" s="42">
        <v>11455519</v>
      </c>
      <c r="X3" s="42">
        <v>11522440</v>
      </c>
      <c r="Y3" s="42">
        <v>11554767</v>
      </c>
      <c r="Z3" s="42">
        <v>11617623</v>
      </c>
      <c r="AA3" s="42">
        <v>11742796</v>
      </c>
    </row>
    <row r="4" spans="1:27" x14ac:dyDescent="0.25">
      <c r="A4" s="43" t="s">
        <v>239</v>
      </c>
      <c r="B4" s="44"/>
      <c r="C4" s="44"/>
      <c r="D4" s="45">
        <v>4373926</v>
      </c>
      <c r="E4" s="45">
        <v>4400571</v>
      </c>
      <c r="F4" s="45">
        <v>4436875</v>
      </c>
      <c r="G4" s="45">
        <v>4473367</v>
      </c>
      <c r="H4" s="45">
        <v>4508622</v>
      </c>
      <c r="I4" s="45">
        <v>4551569</v>
      </c>
      <c r="J4" s="45">
        <v>4574144</v>
      </c>
      <c r="K4" s="45">
        <v>4611997</v>
      </c>
      <c r="L4" s="45">
        <v>4655987</v>
      </c>
      <c r="M4" s="45">
        <v>4716263</v>
      </c>
      <c r="N4" s="45">
        <v>4758518</v>
      </c>
      <c r="O4" s="45">
        <v>4839700</v>
      </c>
      <c r="P4" s="45">
        <v>4859978</v>
      </c>
      <c r="Q4" s="45">
        <v>4878657</v>
      </c>
      <c r="R4" s="45">
        <v>4897433</v>
      </c>
      <c r="S4" s="45">
        <v>4932956</v>
      </c>
      <c r="T4" s="45">
        <v>4950161</v>
      </c>
      <c r="U4" s="45">
        <v>4965760</v>
      </c>
      <c r="V4" s="45">
        <v>4999381</v>
      </c>
      <c r="W4" s="45">
        <v>5042042</v>
      </c>
      <c r="X4" s="45">
        <v>5073730</v>
      </c>
      <c r="Y4" s="45">
        <v>5126339</v>
      </c>
      <c r="Z4" s="45">
        <v>5177194</v>
      </c>
      <c r="AA4" s="45">
        <v>5230644</v>
      </c>
    </row>
    <row r="5" spans="1:27" x14ac:dyDescent="0.25">
      <c r="A5" s="46" t="s">
        <v>240</v>
      </c>
      <c r="B5" s="47"/>
      <c r="C5" s="47"/>
      <c r="D5" s="48">
        <f>D3/D4</f>
        <v>2.3409369522941175</v>
      </c>
      <c r="E5" s="48">
        <f t="shared" ref="E5:S5" si="0">E3/E4</f>
        <v>2.3322914230903216</v>
      </c>
      <c r="F5" s="48">
        <f t="shared" si="0"/>
        <v>2.323645583885054</v>
      </c>
      <c r="G5" s="48">
        <f t="shared" si="0"/>
        <v>2.3149998647551162</v>
      </c>
      <c r="H5" s="48">
        <f t="shared" si="0"/>
        <v>2.305897677827061</v>
      </c>
      <c r="I5" s="48">
        <f t="shared" si="0"/>
        <v>2.2950002515616044</v>
      </c>
      <c r="J5" s="48">
        <f t="shared" si="0"/>
        <v>2.2979998006184328</v>
      </c>
      <c r="K5" s="48">
        <f t="shared" si="0"/>
        <v>2.2950001918908445</v>
      </c>
      <c r="L5" s="48">
        <f t="shared" si="0"/>
        <v>2.2909999533933405</v>
      </c>
      <c r="M5" s="48">
        <f t="shared" si="0"/>
        <v>2.2800000763316208</v>
      </c>
      <c r="N5" s="48">
        <f t="shared" si="0"/>
        <v>2.2780002093088645</v>
      </c>
      <c r="O5" s="48">
        <f t="shared" si="0"/>
        <v>2.2729999793375621</v>
      </c>
      <c r="P5" s="48">
        <f t="shared" si="0"/>
        <v>2.278999822632942</v>
      </c>
      <c r="Q5" s="48">
        <f t="shared" si="0"/>
        <v>2.2830000141432367</v>
      </c>
      <c r="R5" s="48">
        <f t="shared" si="0"/>
        <v>2.2830000941309456</v>
      </c>
      <c r="S5" s="48">
        <f t="shared" si="0"/>
        <v>2.2780000470306243</v>
      </c>
      <c r="T5" s="48">
        <f t="shared" ref="T5:Y5" si="1">T3/T4</f>
        <v>2.2849998212179363</v>
      </c>
      <c r="U5" s="48">
        <f t="shared" si="1"/>
        <v>2.2859999275035441</v>
      </c>
      <c r="V5" s="48">
        <f t="shared" si="1"/>
        <v>2.2800000640079241</v>
      </c>
      <c r="W5" s="48">
        <f t="shared" si="1"/>
        <v>2.2719999159070867</v>
      </c>
      <c r="X5" s="48">
        <f t="shared" si="1"/>
        <v>2.2709998364122645</v>
      </c>
      <c r="Y5" s="48">
        <f t="shared" si="1"/>
        <v>2.2539997842514903</v>
      </c>
      <c r="Z5" s="48">
        <f t="shared" ref="Z5:AA5" si="2">Z3/Z4</f>
        <v>2.2439999350999789</v>
      </c>
      <c r="AA5" s="48">
        <f t="shared" si="2"/>
        <v>2.2450000420598304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3198.12</v>
      </c>
      <c r="E8" s="42">
        <v>3022.75</v>
      </c>
      <c r="F8" s="42">
        <v>2845.89</v>
      </c>
      <c r="G8" s="42">
        <v>2933.09</v>
      </c>
      <c r="H8" s="42">
        <v>3080.22</v>
      </c>
      <c r="I8" s="42">
        <v>3325.39</v>
      </c>
      <c r="J8" s="42">
        <v>3228.78</v>
      </c>
      <c r="K8" s="42">
        <v>3256.14</v>
      </c>
      <c r="L8" s="42">
        <v>2731.67</v>
      </c>
      <c r="M8" s="42">
        <v>2641.35</v>
      </c>
      <c r="N8" s="42">
        <v>2662.83</v>
      </c>
      <c r="O8" s="42">
        <v>3045.18</v>
      </c>
      <c r="P8" s="42">
        <v>2780.03</v>
      </c>
      <c r="Q8" s="42">
        <v>2820.46</v>
      </c>
      <c r="R8" s="42">
        <v>2593.52</v>
      </c>
      <c r="S8" s="42">
        <v>2716.77</v>
      </c>
      <c r="T8" s="42">
        <v>3287.17</v>
      </c>
      <c r="U8" s="42">
        <v>2753.97</v>
      </c>
      <c r="V8" s="42">
        <v>2721.34</v>
      </c>
      <c r="W8" s="42">
        <v>2600.67</v>
      </c>
      <c r="X8" s="42">
        <v>2515.89</v>
      </c>
      <c r="Y8" s="42">
        <v>2718.99</v>
      </c>
      <c r="Z8" s="42">
        <v>2527.9299999999998</v>
      </c>
      <c r="AA8" s="42">
        <v>2687.07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2893.3919047619038</v>
      </c>
      <c r="E9" s="45">
        <f t="shared" si="3"/>
        <v>2893.3919047619038</v>
      </c>
      <c r="F9" s="45">
        <f t="shared" si="3"/>
        <v>2893.3919047619038</v>
      </c>
      <c r="G9" s="45">
        <f t="shared" si="3"/>
        <v>2893.3919047619038</v>
      </c>
      <c r="H9" s="45">
        <f t="shared" si="3"/>
        <v>2893.3919047619038</v>
      </c>
      <c r="I9" s="45">
        <f t="shared" si="3"/>
        <v>2893.3919047619038</v>
      </c>
      <c r="J9" s="45">
        <f t="shared" si="3"/>
        <v>2893.3919047619038</v>
      </c>
      <c r="K9" s="45">
        <f t="shared" si="3"/>
        <v>2893.3919047619038</v>
      </c>
      <c r="L9" s="45">
        <f t="shared" si="3"/>
        <v>2893.3919047619038</v>
      </c>
      <c r="M9" s="45">
        <f t="shared" si="3"/>
        <v>2893.3919047619038</v>
      </c>
      <c r="N9" s="45">
        <f t="shared" si="3"/>
        <v>2893.3919047619038</v>
      </c>
      <c r="O9" s="45">
        <f t="shared" si="3"/>
        <v>2893.3919047619038</v>
      </c>
      <c r="P9" s="45">
        <f t="shared" si="3"/>
        <v>2893.3919047619038</v>
      </c>
      <c r="Q9" s="45">
        <f t="shared" si="3"/>
        <v>2893.3919047619038</v>
      </c>
      <c r="R9" s="45">
        <f t="shared" si="3"/>
        <v>2893.3919047619038</v>
      </c>
      <c r="S9" s="45">
        <f t="shared" si="3"/>
        <v>2893.3919047619038</v>
      </c>
      <c r="T9" s="45">
        <f t="shared" si="3"/>
        <v>2893.3919047619038</v>
      </c>
      <c r="U9" s="45">
        <f t="shared" si="3"/>
        <v>2893.3919047619038</v>
      </c>
      <c r="V9" s="45">
        <f t="shared" si="3"/>
        <v>2893.3919047619038</v>
      </c>
      <c r="W9" s="45">
        <f t="shared" si="3"/>
        <v>2893.3919047619038</v>
      </c>
      <c r="X9" s="45">
        <f>AVERAGE($D8:$X8)</f>
        <v>2893.3919047619038</v>
      </c>
      <c r="Y9" s="45">
        <f t="shared" ref="Y9:AA9" si="4">AVERAGE($D8:$X8)</f>
        <v>2893.3919047619038</v>
      </c>
      <c r="Z9" s="45">
        <f t="shared" si="4"/>
        <v>2893.3919047619038</v>
      </c>
      <c r="AA9" s="45">
        <f t="shared" si="4"/>
        <v>2893.3919047619038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1.105318638217166</v>
      </c>
      <c r="E10" s="53">
        <f t="shared" si="5"/>
        <v>1.0447081140391665</v>
      </c>
      <c r="F10" s="53">
        <f t="shared" si="5"/>
        <v>0.9835826233274082</v>
      </c>
      <c r="G10" s="53">
        <f t="shared" si="5"/>
        <v>1.0137202620815942</v>
      </c>
      <c r="H10" s="53">
        <f t="shared" si="5"/>
        <v>1.0645706151768162</v>
      </c>
      <c r="I10" s="53">
        <f t="shared" si="5"/>
        <v>1.1493050749630978</v>
      </c>
      <c r="J10" s="53">
        <f t="shared" si="5"/>
        <v>1.1159151978983972</v>
      </c>
      <c r="K10" s="53">
        <f t="shared" si="5"/>
        <v>1.1253712276726462</v>
      </c>
      <c r="L10" s="53">
        <f t="shared" si="5"/>
        <v>0.94410646394090481</v>
      </c>
      <c r="M10" s="53">
        <f t="shared" si="5"/>
        <v>0.912890506001936</v>
      </c>
      <c r="N10" s="53">
        <f t="shared" si="5"/>
        <v>0.92031431885101767</v>
      </c>
      <c r="O10" s="53">
        <f t="shared" si="5"/>
        <v>1.0524602612554095</v>
      </c>
      <c r="P10" s="53">
        <f t="shared" si="5"/>
        <v>0.96082041130503815</v>
      </c>
      <c r="Q10" s="53">
        <f t="shared" si="5"/>
        <v>0.97479363074118186</v>
      </c>
      <c r="R10" s="53">
        <f t="shared" si="5"/>
        <v>0.89635973465316643</v>
      </c>
      <c r="S10" s="53">
        <f t="shared" si="5"/>
        <v>0.93895679860332026</v>
      </c>
      <c r="T10" s="53">
        <f t="shared" ref="T10:Y10" si="6">IF(T8=0,0,T8/T9)</f>
        <v>1.1360956649495084</v>
      </c>
      <c r="U10" s="53">
        <f t="shared" si="6"/>
        <v>0.95181368119111509</v>
      </c>
      <c r="V10" s="53">
        <f t="shared" si="6"/>
        <v>0.94053625971692845</v>
      </c>
      <c r="W10" s="53">
        <f t="shared" si="6"/>
        <v>0.89883088278496037</v>
      </c>
      <c r="X10" s="53">
        <f t="shared" si="6"/>
        <v>0.86952963262922778</v>
      </c>
      <c r="Y10" s="53">
        <f t="shared" si="6"/>
        <v>0.93972406417710797</v>
      </c>
      <c r="Z10" s="53">
        <f t="shared" ref="Z10:AA10" si="7">IF(Z8=0,0,Z8/Z9)</f>
        <v>0.8736908387140947</v>
      </c>
      <c r="AA10" s="53">
        <f t="shared" si="7"/>
        <v>0.92869202944048401</v>
      </c>
    </row>
    <row r="11" spans="1:27" x14ac:dyDescent="0.25">
      <c r="A11" s="43" t="s">
        <v>251</v>
      </c>
      <c r="B11" s="44"/>
      <c r="C11" s="44"/>
      <c r="D11" s="45">
        <v>1.35</v>
      </c>
      <c r="E11" s="45">
        <v>3.56</v>
      </c>
      <c r="F11" s="45">
        <v>3.99</v>
      </c>
      <c r="G11" s="45">
        <v>15</v>
      </c>
      <c r="H11" s="45">
        <v>3.09</v>
      </c>
      <c r="I11" s="45">
        <v>0.31</v>
      </c>
      <c r="J11" s="45">
        <v>2.2599999999999998</v>
      </c>
      <c r="K11" s="45">
        <v>3.09</v>
      </c>
      <c r="L11" s="45">
        <v>0.2</v>
      </c>
      <c r="M11" s="45">
        <v>9.17</v>
      </c>
      <c r="N11" s="45">
        <v>16.32</v>
      </c>
      <c r="O11" s="45">
        <v>5.33</v>
      </c>
      <c r="P11" s="45">
        <v>9.66</v>
      </c>
      <c r="Q11" s="45">
        <v>0.51</v>
      </c>
      <c r="R11" s="45">
        <v>35.270000000000003</v>
      </c>
      <c r="S11" s="45">
        <v>35.06</v>
      </c>
      <c r="T11" s="45">
        <v>7.27</v>
      </c>
      <c r="U11" s="45">
        <v>13.57</v>
      </c>
      <c r="V11" s="45">
        <v>7.18</v>
      </c>
      <c r="W11" s="45">
        <v>0.71</v>
      </c>
      <c r="X11" s="45">
        <v>5.66</v>
      </c>
      <c r="Y11" s="45">
        <v>14.51</v>
      </c>
      <c r="Z11" s="45">
        <v>13</v>
      </c>
      <c r="AA11" s="45">
        <v>44.24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8.5028571428571436</v>
      </c>
      <c r="E12" s="45">
        <f t="shared" ref="E12" si="9">AVERAGE($D11:$X11)</f>
        <v>8.5028571428571436</v>
      </c>
      <c r="F12" s="45">
        <f t="shared" ref="F12" si="10">AVERAGE($D11:$X11)</f>
        <v>8.5028571428571436</v>
      </c>
      <c r="G12" s="45">
        <f t="shared" ref="G12" si="11">AVERAGE($D11:$X11)</f>
        <v>8.5028571428571436</v>
      </c>
      <c r="H12" s="45">
        <f t="shared" ref="H12" si="12">AVERAGE($D11:$X11)</f>
        <v>8.5028571428571436</v>
      </c>
      <c r="I12" s="45">
        <f t="shared" ref="I12" si="13">AVERAGE($D11:$X11)</f>
        <v>8.5028571428571436</v>
      </c>
      <c r="J12" s="45">
        <f t="shared" ref="J12" si="14">AVERAGE($D11:$X11)</f>
        <v>8.5028571428571436</v>
      </c>
      <c r="K12" s="45">
        <f t="shared" ref="K12" si="15">AVERAGE($D11:$X11)</f>
        <v>8.5028571428571436</v>
      </c>
      <c r="L12" s="45">
        <f t="shared" ref="L12" si="16">AVERAGE($D11:$X11)</f>
        <v>8.5028571428571436</v>
      </c>
      <c r="M12" s="45">
        <f t="shared" ref="M12" si="17">AVERAGE($D11:$X11)</f>
        <v>8.5028571428571436</v>
      </c>
      <c r="N12" s="45">
        <f t="shared" ref="N12" si="18">AVERAGE($D11:$X11)</f>
        <v>8.5028571428571436</v>
      </c>
      <c r="O12" s="45">
        <f t="shared" ref="O12" si="19">AVERAGE($D11:$X11)</f>
        <v>8.5028571428571436</v>
      </c>
      <c r="P12" s="45">
        <f t="shared" ref="P12" si="20">AVERAGE($D11:$X11)</f>
        <v>8.5028571428571436</v>
      </c>
      <c r="Q12" s="45">
        <f t="shared" ref="Q12" si="21">AVERAGE($D11:$X11)</f>
        <v>8.5028571428571436</v>
      </c>
      <c r="R12" s="45">
        <f t="shared" ref="R12" si="22">AVERAGE($D11:$X11)</f>
        <v>8.5028571428571436</v>
      </c>
      <c r="S12" s="45">
        <f t="shared" ref="S12" si="23">AVERAGE($D11:$X11)</f>
        <v>8.5028571428571436</v>
      </c>
      <c r="T12" s="45">
        <f t="shared" ref="T12" si="24">AVERAGE($D11:$X11)</f>
        <v>8.5028571428571436</v>
      </c>
      <c r="U12" s="45">
        <f t="shared" ref="U12" si="25">AVERAGE($D11:$X11)</f>
        <v>8.5028571428571436</v>
      </c>
      <c r="V12" s="45">
        <f t="shared" ref="V12" si="26">AVERAGE($D11:$X11)</f>
        <v>8.5028571428571436</v>
      </c>
      <c r="W12" s="45">
        <f t="shared" ref="W12" si="27">AVERAGE($D11:$X11)</f>
        <v>8.5028571428571436</v>
      </c>
      <c r="X12" s="45">
        <f>AVERAGE($D11:$X11)</f>
        <v>8.5028571428571436</v>
      </c>
      <c r="Y12" s="45">
        <f t="shared" ref="Y12:AA12" si="28">AVERAGE($D11:$X11)</f>
        <v>8.5028571428571436</v>
      </c>
      <c r="Z12" s="45">
        <f t="shared" si="28"/>
        <v>8.5028571428571436</v>
      </c>
      <c r="AA12" s="45">
        <f t="shared" si="28"/>
        <v>8.5028571428571436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0.15877016129032256</v>
      </c>
      <c r="E13" s="55">
        <f t="shared" si="29"/>
        <v>0.41868279569892469</v>
      </c>
      <c r="F13" s="55">
        <f t="shared" ref="F13" si="30">IF(F11=0,0,F11/F12)</f>
        <v>0.4692540322580645</v>
      </c>
      <c r="G13" s="55">
        <f t="shared" ref="G13" si="31">IF(G11=0,0,G11/G12)</f>
        <v>1.7641129032258063</v>
      </c>
      <c r="H13" s="55">
        <f t="shared" ref="H13" si="32">IF(H11=0,0,H11/H12)</f>
        <v>0.36340725806451607</v>
      </c>
      <c r="I13" s="55">
        <f t="shared" ref="I13" si="33">IF(I11=0,0,I11/I12)</f>
        <v>3.6458333333333329E-2</v>
      </c>
      <c r="J13" s="55">
        <f t="shared" ref="J13" si="34">IF(J11=0,0,J11/J12)</f>
        <v>0.26579301075268813</v>
      </c>
      <c r="K13" s="55">
        <f t="shared" ref="K13" si="35">IF(K11=0,0,K11/K12)</f>
        <v>0.36340725806451607</v>
      </c>
      <c r="L13" s="55">
        <f t="shared" ref="L13" si="36">IF(L11=0,0,L11/L12)</f>
        <v>2.3521505376344086E-2</v>
      </c>
      <c r="M13" s="55">
        <f t="shared" ref="M13" si="37">IF(M11=0,0,M11/M12)</f>
        <v>1.0784610215053763</v>
      </c>
      <c r="N13" s="55">
        <f t="shared" ref="N13" si="38">IF(N11=0,0,N11/N12)</f>
        <v>1.9193548387096773</v>
      </c>
      <c r="O13" s="55">
        <f t="shared" ref="O13" si="39">IF(O11=0,0,O11/O12)</f>
        <v>0.62684811827956988</v>
      </c>
      <c r="P13" s="55">
        <f t="shared" ref="P13" si="40">IF(P11=0,0,P11/P12)</f>
        <v>1.1360887096774193</v>
      </c>
      <c r="Q13" s="55">
        <f t="shared" ref="Q13" si="41">IF(Q11=0,0,Q11/Q12)</f>
        <v>5.9979838709677415E-2</v>
      </c>
      <c r="R13" s="55">
        <f t="shared" ref="R13" si="42">IF(R11=0,0,R11/R12)</f>
        <v>4.14801747311828</v>
      </c>
      <c r="S13" s="55">
        <f t="shared" ref="S13:Y13" si="43">IF(S11=0,0,S11/S12)</f>
        <v>4.123319892473118</v>
      </c>
      <c r="T13" s="55">
        <f t="shared" si="43"/>
        <v>0.85500672043010739</v>
      </c>
      <c r="U13" s="55">
        <f t="shared" si="43"/>
        <v>1.5959341397849462</v>
      </c>
      <c r="V13" s="55">
        <f t="shared" si="43"/>
        <v>0.84442204301075263</v>
      </c>
      <c r="W13" s="55">
        <f t="shared" si="43"/>
        <v>8.3501344086021501E-2</v>
      </c>
      <c r="X13" s="55">
        <f t="shared" si="43"/>
        <v>0.66565860215053763</v>
      </c>
      <c r="Y13" s="55">
        <f t="shared" si="43"/>
        <v>1.7064852150537633</v>
      </c>
      <c r="Z13" s="55">
        <f t="shared" ref="Z13:AA13" si="44">IF(Z11=0,0,Z11/Z12)</f>
        <v>1.5288978494623655</v>
      </c>
      <c r="AA13" s="55">
        <f t="shared" si="44"/>
        <v>5.202956989247312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415966.89683475561</v>
      </c>
      <c r="E16" s="42">
        <v>420543.61133340944</v>
      </c>
      <c r="F16" s="42">
        <v>427719.26228622755</v>
      </c>
      <c r="G16" s="42">
        <v>432159.76358358853</v>
      </c>
      <c r="H16" s="42">
        <v>447596.24596036685</v>
      </c>
      <c r="I16" s="42">
        <v>457984.95721803006</v>
      </c>
      <c r="J16" s="42">
        <v>469673.25890688493</v>
      </c>
      <c r="K16" s="42">
        <v>486943.16625484196</v>
      </c>
      <c r="L16" s="42">
        <v>489120.88362348865</v>
      </c>
      <c r="M16" s="42">
        <v>479798.76029974496</v>
      </c>
      <c r="N16" s="42">
        <v>492802.11561091122</v>
      </c>
      <c r="O16" s="42">
        <v>502315.82036696473</v>
      </c>
      <c r="P16" s="42">
        <v>503399.50007445639</v>
      </c>
      <c r="Q16" s="42">
        <v>504941.94902310689</v>
      </c>
      <c r="R16" s="42">
        <v>513852.44722876704</v>
      </c>
      <c r="S16" s="42">
        <v>521429.54854000005</v>
      </c>
      <c r="T16" s="42">
        <v>527654.32169684477</v>
      </c>
      <c r="U16" s="42">
        <v>535433.09670888039</v>
      </c>
      <c r="V16" s="42">
        <v>545485.9418491784</v>
      </c>
      <c r="W16" s="42">
        <v>558811.309450033</v>
      </c>
      <c r="X16" s="42">
        <v>532029.4954671372</v>
      </c>
      <c r="Y16" s="42">
        <v>565055.04407051136</v>
      </c>
      <c r="Z16" s="42">
        <v>589123.7167610561</v>
      </c>
      <c r="AA16" s="42">
        <v>596202.69999999995</v>
      </c>
    </row>
    <row r="17" spans="1:27" x14ac:dyDescent="0.25">
      <c r="A17" s="46" t="s">
        <v>141</v>
      </c>
      <c r="B17" s="47"/>
      <c r="C17" s="47"/>
      <c r="D17" s="57">
        <v>228424.01824063627</v>
      </c>
      <c r="E17" s="57">
        <v>230578.77275292427</v>
      </c>
      <c r="F17" s="57">
        <v>231987.97268503826</v>
      </c>
      <c r="G17" s="57">
        <v>233653.65194101905</v>
      </c>
      <c r="H17" s="57">
        <v>236139.72955782228</v>
      </c>
      <c r="I17" s="57">
        <v>239548.78770225387</v>
      </c>
      <c r="J17" s="57">
        <v>243800.84432438671</v>
      </c>
      <c r="K17" s="57">
        <v>248903.79878017245</v>
      </c>
      <c r="L17" s="57">
        <v>252324.53231335882</v>
      </c>
      <c r="M17" s="57">
        <v>256222.54511521346</v>
      </c>
      <c r="N17" s="57">
        <v>265953.06934189406</v>
      </c>
      <c r="O17" s="57">
        <v>267570.14892862388</v>
      </c>
      <c r="P17" s="57">
        <v>271298.48904919246</v>
      </c>
      <c r="Q17" s="57">
        <v>274891.74277355056</v>
      </c>
      <c r="R17" s="57">
        <v>277623.25668168394</v>
      </c>
      <c r="S17" s="57">
        <v>282137.72909400001</v>
      </c>
      <c r="T17" s="57">
        <v>286673.64858159173</v>
      </c>
      <c r="U17" s="57">
        <v>292149.77320507617</v>
      </c>
      <c r="V17" s="57">
        <v>296862.66204945254</v>
      </c>
      <c r="W17" s="57">
        <v>301158.64047674555</v>
      </c>
      <c r="X17" s="57">
        <v>279489.58858700673</v>
      </c>
      <c r="Y17" s="57">
        <v>295080.5758642414</v>
      </c>
      <c r="Z17" s="57">
        <v>305809.78095082525</v>
      </c>
      <c r="AA17" s="57">
        <v>307645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40625.397370444291</v>
      </c>
      <c r="E20" s="42">
        <f t="shared" ref="E20:S20" si="45">1000000*E16/E$3</f>
        <v>40975.021696816424</v>
      </c>
      <c r="F20" s="42">
        <f t="shared" si="45"/>
        <v>41486.971018744684</v>
      </c>
      <c r="G20" s="42">
        <f t="shared" si="45"/>
        <v>41731.003632691696</v>
      </c>
      <c r="H20" s="42">
        <f t="shared" si="45"/>
        <v>43052.916571997892</v>
      </c>
      <c r="I20" s="42">
        <f t="shared" si="45"/>
        <v>43843.714923208761</v>
      </c>
      <c r="J20" s="42">
        <f t="shared" si="45"/>
        <v>44682.350894191171</v>
      </c>
      <c r="K20" s="42">
        <f t="shared" si="45"/>
        <v>46005.158682927562</v>
      </c>
      <c r="L20" s="42">
        <f t="shared" si="45"/>
        <v>45854.225938854826</v>
      </c>
      <c r="M20" s="42">
        <f t="shared" si="45"/>
        <v>44619.658767510788</v>
      </c>
      <c r="N20" s="42">
        <f t="shared" si="45"/>
        <v>45461.848199860717</v>
      </c>
      <c r="O20" s="42">
        <f t="shared" si="45"/>
        <v>45662.426158097805</v>
      </c>
      <c r="P20" s="42">
        <f t="shared" si="45"/>
        <v>45450.031150949268</v>
      </c>
      <c r="Q20" s="42">
        <f t="shared" si="45"/>
        <v>45335.170384048921</v>
      </c>
      <c r="R20" s="42">
        <f t="shared" si="45"/>
        <v>45958.304316023394</v>
      </c>
      <c r="S20" s="42">
        <f t="shared" si="45"/>
        <v>46401.782900372462</v>
      </c>
      <c r="T20" s="42">
        <f t="shared" ref="T20:Y20" si="46">1000000*T16/T$3</f>
        <v>46649.179006533552</v>
      </c>
      <c r="U20" s="42">
        <f t="shared" si="46"/>
        <v>47167.545229803392</v>
      </c>
      <c r="V20" s="42">
        <f t="shared" si="46"/>
        <v>47855.56719776267</v>
      </c>
      <c r="W20" s="42">
        <f t="shared" si="46"/>
        <v>48780.968321909546</v>
      </c>
      <c r="X20" s="42">
        <f t="shared" si="46"/>
        <v>46173.336156850215</v>
      </c>
      <c r="Y20" s="42">
        <f t="shared" si="46"/>
        <v>48902.331312306975</v>
      </c>
      <c r="Z20" s="42">
        <f t="shared" ref="Z20:AA20" si="47">1000000*Z16/Z$3</f>
        <v>50709.488228448812</v>
      </c>
      <c r="AA20" s="42">
        <f t="shared" si="47"/>
        <v>50771.783823886573</v>
      </c>
    </row>
    <row r="21" spans="1:27" x14ac:dyDescent="0.25">
      <c r="A21" s="46" t="s">
        <v>141</v>
      </c>
      <c r="B21" s="47"/>
      <c r="C21" s="47"/>
      <c r="D21" s="57">
        <f>1000000*D17/D$3</f>
        <v>22309.026464829254</v>
      </c>
      <c r="E21" s="57">
        <f t="shared" ref="E21:S21" si="48">1000000*E17/E$3</f>
        <v>22466.089037519509</v>
      </c>
      <c r="F21" s="57">
        <f t="shared" si="48"/>
        <v>22501.858457431044</v>
      </c>
      <c r="G21" s="57">
        <f t="shared" si="48"/>
        <v>22562.49243818457</v>
      </c>
      <c r="H21" s="57">
        <f t="shared" si="48"/>
        <v>22713.559748861873</v>
      </c>
      <c r="I21" s="57">
        <f t="shared" si="48"/>
        <v>22932.431715694791</v>
      </c>
      <c r="J21" s="57">
        <f t="shared" si="48"/>
        <v>23193.985750340606</v>
      </c>
      <c r="K21" s="57">
        <f t="shared" si="48"/>
        <v>23515.801336192264</v>
      </c>
      <c r="L21" s="57">
        <f t="shared" si="48"/>
        <v>23654.982851885346</v>
      </c>
      <c r="M21" s="57">
        <f t="shared" si="48"/>
        <v>23827.828409647605</v>
      </c>
      <c r="N21" s="57">
        <f t="shared" si="48"/>
        <v>24534.631008472312</v>
      </c>
      <c r="O21" s="57">
        <f t="shared" si="48"/>
        <v>24323.148250912709</v>
      </c>
      <c r="P21" s="57">
        <f t="shared" si="48"/>
        <v>24494.51137052678</v>
      </c>
      <c r="Q21" s="57">
        <f t="shared" si="48"/>
        <v>24680.587580250281</v>
      </c>
      <c r="R21" s="57">
        <f t="shared" si="48"/>
        <v>24830.268269797616</v>
      </c>
      <c r="S21" s="57">
        <f t="shared" si="48"/>
        <v>25107.310642598906</v>
      </c>
      <c r="T21" s="57">
        <f t="shared" ref="T21:Y21" si="49">1000000*T17/T$3</f>
        <v>25344.41546149613</v>
      </c>
      <c r="U21" s="57">
        <f t="shared" si="49"/>
        <v>25736.152147164583</v>
      </c>
      <c r="V21" s="57">
        <f t="shared" si="49"/>
        <v>26043.807882664471</v>
      </c>
      <c r="W21" s="57">
        <f t="shared" si="49"/>
        <v>26289.392953452876</v>
      </c>
      <c r="X21" s="57">
        <f t="shared" si="49"/>
        <v>24256.111430131699</v>
      </c>
      <c r="Y21" s="57">
        <f t="shared" si="49"/>
        <v>25537.561758211257</v>
      </c>
      <c r="Z21" s="57">
        <f t="shared" ref="Z21:AA21" si="50">1000000*Z17/Z$3</f>
        <v>26322.921732855786</v>
      </c>
      <c r="AA21" s="57">
        <f t="shared" si="50"/>
        <v>26198.615730018642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372048.40357722319</v>
      </c>
      <c r="E23" s="60">
        <v>377707.34655627218</v>
      </c>
      <c r="F23" s="60">
        <v>383872.69552985893</v>
      </c>
      <c r="G23" s="60">
        <v>388150.92710022803</v>
      </c>
      <c r="H23" s="60">
        <v>400462.29181124218</v>
      </c>
      <c r="I23" s="60">
        <v>410256.66630508716</v>
      </c>
      <c r="J23" s="60">
        <v>420311.76333986991</v>
      </c>
      <c r="K23" s="60">
        <v>435985.64429828519</v>
      </c>
      <c r="L23" s="60">
        <v>439421.12956810632</v>
      </c>
      <c r="M23" s="60">
        <v>431307.34028372064</v>
      </c>
      <c r="N23" s="60">
        <v>443089.3423822117</v>
      </c>
      <c r="O23" s="60">
        <v>453079.47907861375</v>
      </c>
      <c r="P23" s="60">
        <v>454000.44213341334</v>
      </c>
      <c r="Q23" s="60">
        <v>455053.35473114217</v>
      </c>
      <c r="R23" s="60">
        <v>463644.97199927218</v>
      </c>
      <c r="S23" s="60">
        <v>470808.67237500002</v>
      </c>
      <c r="T23" s="60">
        <v>474901.26428066666</v>
      </c>
      <c r="U23" s="60">
        <v>481677.18911530578</v>
      </c>
      <c r="V23" s="60">
        <v>490932.0366934262</v>
      </c>
      <c r="W23" s="60">
        <v>503756.79939057247</v>
      </c>
      <c r="X23" s="60">
        <v>482579.3927344649</v>
      </c>
      <c r="Y23" s="60">
        <v>510053.54519055778</v>
      </c>
      <c r="Z23" s="60">
        <v>533256.62059477763</v>
      </c>
      <c r="AA23" s="60">
        <v>538959.5</v>
      </c>
    </row>
    <row r="24" spans="1:27" x14ac:dyDescent="0.25">
      <c r="A24" s="61" t="s">
        <v>33</v>
      </c>
      <c r="B24" s="62"/>
      <c r="C24" s="62"/>
      <c r="D24" s="63">
        <v>4906.3924515181952</v>
      </c>
      <c r="E24" s="63">
        <v>4677.2355517411115</v>
      </c>
      <c r="F24" s="63">
        <v>4431.2557444852937</v>
      </c>
      <c r="G24" s="63">
        <v>4461.1825177127675</v>
      </c>
      <c r="H24" s="63">
        <v>4590.9183636842226</v>
      </c>
      <c r="I24" s="63">
        <v>3862.5039578300539</v>
      </c>
      <c r="J24" s="63">
        <v>4275.2520039907804</v>
      </c>
      <c r="K24" s="63">
        <v>4336.8348280595937</v>
      </c>
      <c r="L24" s="63">
        <v>3506.5913621262457</v>
      </c>
      <c r="M24" s="63">
        <v>3465.031515370943</v>
      </c>
      <c r="N24" s="63">
        <v>4201.3600302228942</v>
      </c>
      <c r="O24" s="63">
        <v>3672.9403529163142</v>
      </c>
      <c r="P24" s="63">
        <v>4283.5348947880238</v>
      </c>
      <c r="Q24" s="63">
        <v>3888.1740564738993</v>
      </c>
      <c r="R24" s="63">
        <v>3706.7070335402218</v>
      </c>
      <c r="S24" s="63">
        <v>3941.7626249999998</v>
      </c>
      <c r="T24" s="63">
        <v>3577.6853542194222</v>
      </c>
      <c r="U24" s="63">
        <v>3934.9483583440019</v>
      </c>
      <c r="V24" s="63">
        <v>3653.5956196985758</v>
      </c>
      <c r="W24" s="63">
        <v>4045.9441946452125</v>
      </c>
      <c r="X24" s="63">
        <v>3816.464503663371</v>
      </c>
      <c r="Y24" s="63">
        <v>3736.389639760197</v>
      </c>
      <c r="Z24" s="63">
        <v>4121.2796309822215</v>
      </c>
      <c r="AA24" s="63">
        <v>4586.1000000000004</v>
      </c>
    </row>
    <row r="25" spans="1:27" x14ac:dyDescent="0.25">
      <c r="A25" s="64" t="s">
        <v>56</v>
      </c>
      <c r="B25" s="65"/>
      <c r="C25" s="65"/>
      <c r="D25" s="66">
        <v>568.58823302171061</v>
      </c>
      <c r="E25" s="66">
        <v>482.97194280016663</v>
      </c>
      <c r="F25" s="66">
        <v>493.80930792925318</v>
      </c>
      <c r="G25" s="66">
        <v>497.46777556918653</v>
      </c>
      <c r="H25" s="66">
        <v>466.77310416616831</v>
      </c>
      <c r="I25" s="66">
        <v>478.23735839763583</v>
      </c>
      <c r="J25" s="66">
        <v>529.98632469811139</v>
      </c>
      <c r="K25" s="66">
        <v>470.41511005086204</v>
      </c>
      <c r="L25" s="66">
        <v>477.64991694352153</v>
      </c>
      <c r="M25" s="66">
        <v>421.91552564018156</v>
      </c>
      <c r="N25" s="66">
        <v>419.99959522910024</v>
      </c>
      <c r="O25" s="66">
        <v>432.77829142011808</v>
      </c>
      <c r="P25" s="66">
        <v>387.51060396019125</v>
      </c>
      <c r="Q25" s="66">
        <v>354.91138349836342</v>
      </c>
      <c r="R25" s="66">
        <v>359.22457190222991</v>
      </c>
      <c r="S25" s="66">
        <v>277.14037500000006</v>
      </c>
      <c r="T25" s="66">
        <v>295.32897061421579</v>
      </c>
      <c r="U25" s="66">
        <v>302.40761774586349</v>
      </c>
      <c r="V25" s="66">
        <v>295.02494509239591</v>
      </c>
      <c r="W25" s="66">
        <v>334.2465069396705</v>
      </c>
      <c r="X25" s="66">
        <v>306.06066488827145</v>
      </c>
      <c r="Y25" s="66">
        <v>335.05332585537468</v>
      </c>
      <c r="Z25" s="66">
        <v>297.19123923622857</v>
      </c>
      <c r="AA25" s="66">
        <v>290.00904457444045</v>
      </c>
    </row>
    <row r="26" spans="1:27" x14ac:dyDescent="0.25">
      <c r="A26" s="67" t="s">
        <v>146</v>
      </c>
      <c r="B26" s="44"/>
      <c r="C26" s="44"/>
      <c r="D26" s="45">
        <v>266428.66414277983</v>
      </c>
      <c r="E26" s="45">
        <v>273795.3269553585</v>
      </c>
      <c r="F26" s="45">
        <v>280575.51094867842</v>
      </c>
      <c r="G26" s="45">
        <v>286677.36393790477</v>
      </c>
      <c r="H26" s="45">
        <v>296719.51231185242</v>
      </c>
      <c r="I26" s="45">
        <v>306607.49964819296</v>
      </c>
      <c r="J26" s="45">
        <v>315684.17320328887</v>
      </c>
      <c r="K26" s="45">
        <v>326862.27944817039</v>
      </c>
      <c r="L26" s="45">
        <v>333616.56478405313</v>
      </c>
      <c r="M26" s="45">
        <v>334573.04983213753</v>
      </c>
      <c r="N26" s="45">
        <v>342432.80411786935</v>
      </c>
      <c r="O26" s="45">
        <v>350621.4552514794</v>
      </c>
      <c r="P26" s="45">
        <v>354651.43050009309</v>
      </c>
      <c r="Q26" s="45">
        <v>356220.58638324338</v>
      </c>
      <c r="R26" s="45">
        <v>364894.75036896265</v>
      </c>
      <c r="S26" s="45">
        <v>371122.17674999998</v>
      </c>
      <c r="T26" s="45">
        <v>376414.57216889469</v>
      </c>
      <c r="U26" s="45">
        <v>381437.82221890666</v>
      </c>
      <c r="V26" s="45">
        <v>389963.15889124502</v>
      </c>
      <c r="W26" s="45">
        <v>398574.22544174205</v>
      </c>
      <c r="X26" s="45">
        <v>383110.4848029454</v>
      </c>
      <c r="Y26" s="45">
        <v>410212.08284675638</v>
      </c>
      <c r="Z26" s="45">
        <v>420651.68146984553</v>
      </c>
      <c r="AA26" s="45">
        <v>430716.59548631089</v>
      </c>
    </row>
    <row r="27" spans="1:27" x14ac:dyDescent="0.25">
      <c r="A27" s="68" t="s">
        <v>148</v>
      </c>
      <c r="B27" s="69"/>
      <c r="C27" s="69"/>
      <c r="D27" s="70">
        <v>103764.74880244143</v>
      </c>
      <c r="E27" s="70">
        <v>105787.12467342331</v>
      </c>
      <c r="F27" s="70">
        <v>108433.36645468995</v>
      </c>
      <c r="G27" s="70">
        <v>111801.25925271027</v>
      </c>
      <c r="H27" s="70">
        <v>113925.14671923236</v>
      </c>
      <c r="I27" s="70">
        <v>118291.49931397618</v>
      </c>
      <c r="J27" s="70">
        <v>121498.60408710902</v>
      </c>
      <c r="K27" s="70">
        <v>124587.19505333761</v>
      </c>
      <c r="L27" s="70">
        <v>129890.54817275745</v>
      </c>
      <c r="M27" s="70">
        <v>130806.0142518597</v>
      </c>
      <c r="N27" s="70">
        <v>132754.24685627938</v>
      </c>
      <c r="O27" s="70">
        <v>135098.93438292487</v>
      </c>
      <c r="P27" s="70">
        <v>136959.50438124602</v>
      </c>
      <c r="Q27" s="70">
        <v>137809.48701345053</v>
      </c>
      <c r="R27" s="70">
        <v>140218.43170652812</v>
      </c>
      <c r="S27" s="70">
        <v>141195.75450000001</v>
      </c>
      <c r="T27" s="70">
        <v>141646.02570519992</v>
      </c>
      <c r="U27" s="70">
        <v>143513.45907651435</v>
      </c>
      <c r="V27" s="70">
        <v>146916.68007800667</v>
      </c>
      <c r="W27" s="70">
        <v>149302.8780587503</v>
      </c>
      <c r="X27" s="70">
        <v>140709.05279914496</v>
      </c>
      <c r="Y27" s="70">
        <v>149841.051212397</v>
      </c>
      <c r="Z27" s="70">
        <v>154952.91858949879</v>
      </c>
      <c r="AA27" s="70">
        <v>160293.39999999994</v>
      </c>
    </row>
    <row r="28" spans="1:27" x14ac:dyDescent="0.25">
      <c r="A28" s="68" t="s">
        <v>150</v>
      </c>
      <c r="B28" s="71"/>
      <c r="C28" s="71"/>
      <c r="D28" s="70">
        <v>117446.50486749593</v>
      </c>
      <c r="E28" s="70">
        <v>120656.8546402292</v>
      </c>
      <c r="F28" s="70">
        <v>121076.51716514309</v>
      </c>
      <c r="G28" s="70">
        <v>120257.13266587806</v>
      </c>
      <c r="H28" s="70">
        <v>125339.38970183539</v>
      </c>
      <c r="I28" s="70">
        <v>129806.98659614888</v>
      </c>
      <c r="J28" s="70">
        <v>135131.00595176659</v>
      </c>
      <c r="K28" s="70">
        <v>140521.01375073145</v>
      </c>
      <c r="L28" s="70">
        <v>141289.62915282394</v>
      </c>
      <c r="M28" s="70">
        <v>143692.53176222762</v>
      </c>
      <c r="N28" s="70">
        <v>148053.06290139782</v>
      </c>
      <c r="O28" s="70">
        <v>151920.67003909551</v>
      </c>
      <c r="P28" s="70">
        <v>155179.82415530403</v>
      </c>
      <c r="Q28" s="70">
        <v>156604.06804809149</v>
      </c>
      <c r="R28" s="70">
        <v>162441.81130339851</v>
      </c>
      <c r="S28" s="70">
        <v>167510.94712500001</v>
      </c>
      <c r="T28" s="70">
        <v>170436.94128732113</v>
      </c>
      <c r="U28" s="70">
        <v>175805.7512104265</v>
      </c>
      <c r="V28" s="70">
        <v>180535.76555873218</v>
      </c>
      <c r="W28" s="70">
        <v>185553.06815648166</v>
      </c>
      <c r="X28" s="70">
        <v>180943.2728937896</v>
      </c>
      <c r="Y28" s="70">
        <v>191758.71828498019</v>
      </c>
      <c r="Z28" s="70">
        <v>193154.39380986374</v>
      </c>
      <c r="AA28" s="70">
        <v>198172.1</v>
      </c>
    </row>
    <row r="29" spans="1:27" x14ac:dyDescent="0.25">
      <c r="A29" s="68" t="s">
        <v>152</v>
      </c>
      <c r="B29" s="71"/>
      <c r="C29" s="71"/>
      <c r="D29" s="70">
        <v>45217.410472842465</v>
      </c>
      <c r="E29" s="70">
        <v>47351.347641705899</v>
      </c>
      <c r="F29" s="70">
        <v>51065.627328845403</v>
      </c>
      <c r="G29" s="70">
        <v>54618.972019316359</v>
      </c>
      <c r="H29" s="70">
        <v>57454.975890784655</v>
      </c>
      <c r="I29" s="70">
        <v>58509.013738067864</v>
      </c>
      <c r="J29" s="70">
        <v>59054.563164413252</v>
      </c>
      <c r="K29" s="70">
        <v>61754.070644101368</v>
      </c>
      <c r="L29" s="70">
        <v>62436.387458471771</v>
      </c>
      <c r="M29" s="70">
        <v>60074.503818050165</v>
      </c>
      <c r="N29" s="70">
        <v>61625.49436019214</v>
      </c>
      <c r="O29" s="70">
        <v>63601.850829459006</v>
      </c>
      <c r="P29" s="70">
        <v>62512.101963543057</v>
      </c>
      <c r="Q29" s="70">
        <v>61807.031321701368</v>
      </c>
      <c r="R29" s="70">
        <v>62234.507359036041</v>
      </c>
      <c r="S29" s="70">
        <v>62415.475124999983</v>
      </c>
      <c r="T29" s="70">
        <v>64331.605176373596</v>
      </c>
      <c r="U29" s="70">
        <v>62118.611931965832</v>
      </c>
      <c r="V29" s="70">
        <v>62510.713254506198</v>
      </c>
      <c r="W29" s="70">
        <v>63718.279226510102</v>
      </c>
      <c r="X29" s="70">
        <v>61458.159110010776</v>
      </c>
      <c r="Y29" s="70">
        <v>68612.31334937911</v>
      </c>
      <c r="Z29" s="70">
        <v>72544.369070483051</v>
      </c>
      <c r="AA29" s="70">
        <v>72251.095486311009</v>
      </c>
    </row>
    <row r="30" spans="1:27" x14ac:dyDescent="0.25">
      <c r="A30" s="64" t="s">
        <v>154</v>
      </c>
      <c r="B30" s="65"/>
      <c r="C30" s="65"/>
      <c r="D30" s="66">
        <v>10390.648902881867</v>
      </c>
      <c r="E30" s="66">
        <v>10187.868858148957</v>
      </c>
      <c r="F30" s="66">
        <v>9799.7446032889566</v>
      </c>
      <c r="G30" s="66">
        <v>9841.9406911942242</v>
      </c>
      <c r="H30" s="66">
        <v>10015.889348871715</v>
      </c>
      <c r="I30" s="66">
        <v>9957.1774515092511</v>
      </c>
      <c r="J30" s="66">
        <v>10367.268723982525</v>
      </c>
      <c r="K30" s="66">
        <v>10666.392430346134</v>
      </c>
      <c r="L30" s="66">
        <v>11019.676079734218</v>
      </c>
      <c r="M30" s="66">
        <v>9251.3610032255929</v>
      </c>
      <c r="N30" s="66">
        <v>10347.485967942144</v>
      </c>
      <c r="O30" s="66">
        <v>10688.996196111573</v>
      </c>
      <c r="P30" s="66">
        <v>9691.6872711096403</v>
      </c>
      <c r="Q30" s="66">
        <v>9526.8061093378765</v>
      </c>
      <c r="R30" s="66">
        <v>8784.011660230879</v>
      </c>
      <c r="S30" s="66">
        <v>10360.096125000004</v>
      </c>
      <c r="T30" s="66">
        <v>9928.4365614510298</v>
      </c>
      <c r="U30" s="66">
        <v>9520.2443232681071</v>
      </c>
      <c r="V30" s="66">
        <v>7815.6486670705763</v>
      </c>
      <c r="W30" s="66">
        <v>9340.3525111016188</v>
      </c>
      <c r="X30" s="66">
        <v>8842.2784847709627</v>
      </c>
      <c r="Y30" s="66">
        <v>9688.860374867214</v>
      </c>
      <c r="Z30" s="66">
        <v>12338.265099885484</v>
      </c>
      <c r="AA30" s="66">
        <v>11240.683856145801</v>
      </c>
    </row>
    <row r="31" spans="1:27" x14ac:dyDescent="0.25">
      <c r="A31" s="64" t="s">
        <v>37</v>
      </c>
      <c r="B31" s="65"/>
      <c r="C31" s="65"/>
      <c r="D31" s="66">
        <v>19195.955342656263</v>
      </c>
      <c r="E31" s="66">
        <v>19187.129090886141</v>
      </c>
      <c r="F31" s="66">
        <v>18878.081838732112</v>
      </c>
      <c r="G31" s="66">
        <v>19063.125434435326</v>
      </c>
      <c r="H31" s="66">
        <v>19848.668160281413</v>
      </c>
      <c r="I31" s="66">
        <v>20217.717739287473</v>
      </c>
      <c r="J31" s="66">
        <v>22255.07792341831</v>
      </c>
      <c r="K31" s="66">
        <v>23730.508310077872</v>
      </c>
      <c r="L31" s="66">
        <v>25233.574750830565</v>
      </c>
      <c r="M31" s="66">
        <v>24245.792327694031</v>
      </c>
      <c r="N31" s="66">
        <v>24084.159965459552</v>
      </c>
      <c r="O31" s="66">
        <v>25218.916420118345</v>
      </c>
      <c r="P31" s="66">
        <v>24496.31809811508</v>
      </c>
      <c r="Q31" s="66">
        <v>23971.467449496748</v>
      </c>
      <c r="R31" s="66">
        <v>24061.531220306086</v>
      </c>
      <c r="S31" s="66">
        <v>24033.871125000001</v>
      </c>
      <c r="T31" s="66">
        <v>24046.798627878219</v>
      </c>
      <c r="U31" s="66">
        <v>23956.37627660291</v>
      </c>
      <c r="V31" s="66">
        <v>25200.585759996968</v>
      </c>
      <c r="W31" s="66">
        <v>26119.362795191468</v>
      </c>
      <c r="X31" s="66">
        <v>25021.931355173481</v>
      </c>
      <c r="Y31" s="66">
        <v>27659.723263033935</v>
      </c>
      <c r="Z31" s="66">
        <v>28510.683338589999</v>
      </c>
      <c r="AA31" s="66">
        <v>29055.599999999999</v>
      </c>
    </row>
    <row r="32" spans="1:27" x14ac:dyDescent="0.25">
      <c r="A32" s="64" t="s">
        <v>58</v>
      </c>
      <c r="B32" s="65"/>
      <c r="C32" s="65"/>
      <c r="D32" s="66">
        <v>70558.154504365288</v>
      </c>
      <c r="E32" s="66">
        <v>69376.814157337416</v>
      </c>
      <c r="F32" s="66">
        <v>69694.293086744816</v>
      </c>
      <c r="G32" s="66">
        <v>67609.846743411836</v>
      </c>
      <c r="H32" s="66">
        <v>68820.530522386267</v>
      </c>
      <c r="I32" s="66">
        <v>69133.530149869825</v>
      </c>
      <c r="J32" s="66">
        <v>67200.005160491273</v>
      </c>
      <c r="K32" s="66">
        <v>69919.21417158033</v>
      </c>
      <c r="L32" s="66">
        <v>65567.072674418596</v>
      </c>
      <c r="M32" s="66">
        <v>59350.190079652421</v>
      </c>
      <c r="N32" s="66">
        <v>61603.532705488702</v>
      </c>
      <c r="O32" s="66">
        <v>62444.392566568044</v>
      </c>
      <c r="P32" s="66">
        <v>60489.960765347285</v>
      </c>
      <c r="Q32" s="66">
        <v>61091.409349091897</v>
      </c>
      <c r="R32" s="66">
        <v>61838.747144330104</v>
      </c>
      <c r="S32" s="66">
        <v>61073.625375000018</v>
      </c>
      <c r="T32" s="66">
        <v>60638.442597609101</v>
      </c>
      <c r="U32" s="66">
        <v>62525.390320438171</v>
      </c>
      <c r="V32" s="66">
        <v>64004.022810322611</v>
      </c>
      <c r="W32" s="66">
        <v>65342.667940952422</v>
      </c>
      <c r="X32" s="66">
        <v>61482.172923023521</v>
      </c>
      <c r="Y32" s="66">
        <v>58421.435740284767</v>
      </c>
      <c r="Z32" s="66">
        <v>67337.519816238128</v>
      </c>
      <c r="AA32" s="66">
        <v>63070.511612968759</v>
      </c>
    </row>
    <row r="33" spans="1:27" x14ac:dyDescent="0.25">
      <c r="A33" s="72" t="s">
        <v>158</v>
      </c>
      <c r="B33" s="65"/>
      <c r="C33" s="65"/>
      <c r="D33" s="66">
        <v>5301.1821061577684</v>
      </c>
      <c r="E33" s="66">
        <v>4415.811835014073</v>
      </c>
      <c r="F33" s="66">
        <v>4629.5015028815578</v>
      </c>
      <c r="G33" s="66">
        <v>4581.8508164335453</v>
      </c>
      <c r="H33" s="66">
        <v>5488.6287360310125</v>
      </c>
      <c r="I33" s="66">
        <v>5486.7622311607292</v>
      </c>
      <c r="J33" s="66">
        <v>5488.5540303436883</v>
      </c>
      <c r="K33" s="66">
        <v>6285.900577260657</v>
      </c>
      <c r="L33" s="66">
        <v>4955.3554817275754</v>
      </c>
      <c r="M33" s="66">
        <v>3095.9420874201833</v>
      </c>
      <c r="N33" s="66">
        <v>3675.5079874790872</v>
      </c>
      <c r="O33" s="66">
        <v>3922.6458157227389</v>
      </c>
      <c r="P33" s="66">
        <v>3142.0520732035338</v>
      </c>
      <c r="Q33" s="66">
        <v>3310.7020486829892</v>
      </c>
      <c r="R33" s="66">
        <v>3231.6159300891572</v>
      </c>
      <c r="S33" s="66">
        <v>3369.4102499999995</v>
      </c>
      <c r="T33" s="66">
        <v>3286.6976326482545</v>
      </c>
      <c r="U33" s="66">
        <v>3796.3955519833671</v>
      </c>
      <c r="V33" s="66">
        <v>3954.8416909648586</v>
      </c>
      <c r="W33" s="66">
        <v>3582.0847113580198</v>
      </c>
      <c r="X33" s="66">
        <v>2551.6985346512938</v>
      </c>
      <c r="Y33" s="66">
        <v>3360.3943635585056</v>
      </c>
      <c r="Z33" s="66">
        <v>4346.4810096113952</v>
      </c>
      <c r="AA33" s="66">
        <v>3307.1039348079644</v>
      </c>
    </row>
    <row r="34" spans="1:27" x14ac:dyDescent="0.25">
      <c r="A34" s="73" t="s">
        <v>5</v>
      </c>
      <c r="B34" s="65"/>
      <c r="C34" s="65"/>
      <c r="D34" s="66">
        <v>3745.7460101289657</v>
      </c>
      <c r="E34" s="66">
        <v>3120.1549449265362</v>
      </c>
      <c r="F34" s="66">
        <v>3271.1452721387727</v>
      </c>
      <c r="G34" s="66">
        <v>3237.4759197059971</v>
      </c>
      <c r="H34" s="66">
        <v>3878.1933495901476</v>
      </c>
      <c r="I34" s="66">
        <v>3876.8745016368521</v>
      </c>
      <c r="J34" s="66">
        <v>3878.1405635276001</v>
      </c>
      <c r="K34" s="66">
        <v>4441.5352153232989</v>
      </c>
      <c r="L34" s="66">
        <v>3501.3894359318497</v>
      </c>
      <c r="M34" s="66">
        <v>2259.8827331464358</v>
      </c>
      <c r="N34" s="66">
        <v>2353.7040248711546</v>
      </c>
      <c r="O34" s="66">
        <v>2485.7006716031392</v>
      </c>
      <c r="P34" s="66">
        <v>1773.2375514271912</v>
      </c>
      <c r="Q34" s="66">
        <v>2026.9920328318678</v>
      </c>
      <c r="R34" s="66">
        <v>2092.1777009359184</v>
      </c>
      <c r="S34" s="66">
        <v>2087.0422050710608</v>
      </c>
      <c r="T34" s="66">
        <v>2077.0477300459102</v>
      </c>
      <c r="U34" s="66">
        <v>2463.8069813638031</v>
      </c>
      <c r="V34" s="66">
        <v>2494.4973320662398</v>
      </c>
      <c r="W34" s="66">
        <v>2177.894539787183</v>
      </c>
      <c r="X34" s="66">
        <v>1388.7190181776027</v>
      </c>
      <c r="Y34" s="66">
        <v>2114.9254667470686</v>
      </c>
      <c r="Z34" s="66">
        <v>3128.5497046708601</v>
      </c>
      <c r="AA34" s="66">
        <v>1957.798617556931</v>
      </c>
    </row>
    <row r="35" spans="1:27" x14ac:dyDescent="0.25">
      <c r="A35" s="74" t="s">
        <v>264</v>
      </c>
      <c r="B35" s="44"/>
      <c r="C35" s="44"/>
      <c r="D35" s="45">
        <v>2974.5391539963239</v>
      </c>
      <c r="E35" s="45">
        <v>2423.2543584559426</v>
      </c>
      <c r="F35" s="45">
        <v>2530.8420262773952</v>
      </c>
      <c r="G35" s="45">
        <v>2521.2243269426835</v>
      </c>
      <c r="H35" s="45">
        <v>3033.0506052823789</v>
      </c>
      <c r="I35" s="45">
        <v>2999.3042085670272</v>
      </c>
      <c r="J35" s="45">
        <v>2847.692198728947</v>
      </c>
      <c r="K35" s="45">
        <v>3103.2625944655006</v>
      </c>
      <c r="L35" s="45">
        <v>2543.2905927502234</v>
      </c>
      <c r="M35" s="45">
        <v>1395.1835063537546</v>
      </c>
      <c r="N35" s="45">
        <v>1612.4378688179581</v>
      </c>
      <c r="O35" s="45">
        <v>1713.6250463744238</v>
      </c>
      <c r="P35" s="45">
        <v>1197.4851457401946</v>
      </c>
      <c r="Q35" s="45">
        <v>1419.7544661043933</v>
      </c>
      <c r="R35" s="45">
        <v>1486.9013800869564</v>
      </c>
      <c r="S35" s="45">
        <v>1457.2296806097761</v>
      </c>
      <c r="T35" s="45">
        <v>1513.1662742345513</v>
      </c>
      <c r="U35" s="45">
        <v>1773.058009140645</v>
      </c>
      <c r="V35" s="45">
        <v>1739.5577069358415</v>
      </c>
      <c r="W35" s="45">
        <v>1547.767397052769</v>
      </c>
      <c r="X35" s="45">
        <v>999.78247391079685</v>
      </c>
      <c r="Y35" s="45">
        <v>1514.0746117089907</v>
      </c>
      <c r="Z35" s="45">
        <v>2259.3653051962351</v>
      </c>
      <c r="AA35" s="45">
        <v>1419.6032197721122</v>
      </c>
    </row>
    <row r="36" spans="1:27" x14ac:dyDescent="0.25">
      <c r="A36" s="74" t="s">
        <v>15</v>
      </c>
      <c r="B36" s="44"/>
      <c r="C36" s="44"/>
      <c r="D36" s="45">
        <v>771.20685613264186</v>
      </c>
      <c r="E36" s="45">
        <v>696.90058647059368</v>
      </c>
      <c r="F36" s="45">
        <v>740.30324586137749</v>
      </c>
      <c r="G36" s="45">
        <v>716.25159276331351</v>
      </c>
      <c r="H36" s="45">
        <v>845.14274430776868</v>
      </c>
      <c r="I36" s="45">
        <v>877.57029306982486</v>
      </c>
      <c r="J36" s="45">
        <v>1030.4483647986531</v>
      </c>
      <c r="K36" s="45">
        <v>1338.2726208577983</v>
      </c>
      <c r="L36" s="45">
        <v>958.09884318162631</v>
      </c>
      <c r="M36" s="45">
        <v>864.6992267926812</v>
      </c>
      <c r="N36" s="45">
        <v>741.26615605319648</v>
      </c>
      <c r="O36" s="45">
        <v>772.07562522871535</v>
      </c>
      <c r="P36" s="45">
        <v>575.75240568699655</v>
      </c>
      <c r="Q36" s="45">
        <v>607.23756672747459</v>
      </c>
      <c r="R36" s="45">
        <v>605.27632084896209</v>
      </c>
      <c r="S36" s="45">
        <v>629.81252446128474</v>
      </c>
      <c r="T36" s="45">
        <v>563.88145581135882</v>
      </c>
      <c r="U36" s="45">
        <v>690.74897222315803</v>
      </c>
      <c r="V36" s="45">
        <v>754.93962513039833</v>
      </c>
      <c r="W36" s="45">
        <v>630.12714273441406</v>
      </c>
      <c r="X36" s="45">
        <v>388.93654426680587</v>
      </c>
      <c r="Y36" s="45">
        <v>600.85085503807795</v>
      </c>
      <c r="Z36" s="45">
        <v>869.18439947462502</v>
      </c>
      <c r="AA36" s="45">
        <v>538.19539778481885</v>
      </c>
    </row>
    <row r="37" spans="1:27" x14ac:dyDescent="0.25">
      <c r="A37" s="73" t="s">
        <v>263</v>
      </c>
      <c r="B37" s="65"/>
      <c r="C37" s="65"/>
      <c r="D37" s="66">
        <v>1555.4360960288027</v>
      </c>
      <c r="E37" s="66">
        <v>1295.6568900875368</v>
      </c>
      <c r="F37" s="66">
        <v>1358.3562307427851</v>
      </c>
      <c r="G37" s="66">
        <v>1344.3748967275483</v>
      </c>
      <c r="H37" s="66">
        <v>1610.4353864408647</v>
      </c>
      <c r="I37" s="66">
        <v>1609.8877295238765</v>
      </c>
      <c r="J37" s="66">
        <v>1610.413466816088</v>
      </c>
      <c r="K37" s="66">
        <v>1844.3653619373581</v>
      </c>
      <c r="L37" s="66">
        <v>1453.9660457957261</v>
      </c>
      <c r="M37" s="66">
        <v>836.05935427374743</v>
      </c>
      <c r="N37" s="66">
        <v>1321.8039626079326</v>
      </c>
      <c r="O37" s="66">
        <v>1436.9451441195997</v>
      </c>
      <c r="P37" s="66">
        <v>1368.8145217763424</v>
      </c>
      <c r="Q37" s="66">
        <v>1283.7100158511214</v>
      </c>
      <c r="R37" s="66">
        <v>1139.4382291532388</v>
      </c>
      <c r="S37" s="66">
        <v>1282.3680449289384</v>
      </c>
      <c r="T37" s="66">
        <v>1209.6499026023444</v>
      </c>
      <c r="U37" s="66">
        <v>1332.5885706195641</v>
      </c>
      <c r="V37" s="66">
        <v>1460.3443588986188</v>
      </c>
      <c r="W37" s="66">
        <v>1404.1901715708368</v>
      </c>
      <c r="X37" s="66">
        <v>1162.9795164736911</v>
      </c>
      <c r="Y37" s="66">
        <v>1245.4688968114369</v>
      </c>
      <c r="Z37" s="66">
        <v>1217.931304940535</v>
      </c>
      <c r="AA37" s="66">
        <v>1349.3053172510333</v>
      </c>
    </row>
    <row r="38" spans="1:27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</row>
    <row r="39" spans="1:27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</row>
    <row r="40" spans="1:27" x14ac:dyDescent="0.25">
      <c r="A40" s="75" t="s">
        <v>267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</row>
    <row r="41" spans="1:27" x14ac:dyDescent="0.25">
      <c r="A41" s="75" t="s">
        <v>268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</row>
    <row r="42" spans="1:27" x14ac:dyDescent="0.25">
      <c r="A42" s="74" t="s">
        <v>13</v>
      </c>
      <c r="B42" s="44"/>
      <c r="C42" s="44"/>
      <c r="D42" s="45">
        <v>1555.4360960288027</v>
      </c>
      <c r="E42" s="45">
        <v>1295.6568900875368</v>
      </c>
      <c r="F42" s="45">
        <v>1358.3562307427851</v>
      </c>
      <c r="G42" s="45">
        <v>1344.3748967275483</v>
      </c>
      <c r="H42" s="45">
        <v>1610.4353864408647</v>
      </c>
      <c r="I42" s="45">
        <v>1609.8877295238765</v>
      </c>
      <c r="J42" s="45">
        <v>1610.413466816088</v>
      </c>
      <c r="K42" s="45">
        <v>1844.3653619373581</v>
      </c>
      <c r="L42" s="45">
        <v>1453.9660457957261</v>
      </c>
      <c r="M42" s="45">
        <v>836.05935427374743</v>
      </c>
      <c r="N42" s="45">
        <v>1321.8039626079326</v>
      </c>
      <c r="O42" s="45">
        <v>1436.9451441195997</v>
      </c>
      <c r="P42" s="45">
        <v>1368.8145217763424</v>
      </c>
      <c r="Q42" s="45">
        <v>1283.7100158511214</v>
      </c>
      <c r="R42" s="45">
        <v>1139.4382291532388</v>
      </c>
      <c r="S42" s="45">
        <v>1282.3680449289384</v>
      </c>
      <c r="T42" s="45">
        <v>1209.6499026023444</v>
      </c>
      <c r="U42" s="45">
        <v>1332.5885706195641</v>
      </c>
      <c r="V42" s="45">
        <v>1460.3443588986188</v>
      </c>
      <c r="W42" s="45">
        <v>1404.1901715708368</v>
      </c>
      <c r="X42" s="45">
        <v>1162.9795164736911</v>
      </c>
      <c r="Y42" s="45">
        <v>1245.4688968114369</v>
      </c>
      <c r="Z42" s="45">
        <v>1217.931304940535</v>
      </c>
      <c r="AA42" s="45">
        <v>1349.3053172510333</v>
      </c>
    </row>
    <row r="43" spans="1:27" x14ac:dyDescent="0.25">
      <c r="A43" s="72" t="s">
        <v>265</v>
      </c>
      <c r="B43" s="65"/>
      <c r="C43" s="65"/>
      <c r="D43" s="66">
        <v>16230.150950320636</v>
      </c>
      <c r="E43" s="66">
        <v>16544.500574270172</v>
      </c>
      <c r="F43" s="66">
        <v>16858.266780107311</v>
      </c>
      <c r="G43" s="66">
        <v>16593.663341585067</v>
      </c>
      <c r="H43" s="66">
        <v>16348.701512359712</v>
      </c>
      <c r="I43" s="66">
        <v>17604.677422191991</v>
      </c>
      <c r="J43" s="66">
        <v>15606.553823924038</v>
      </c>
      <c r="K43" s="66">
        <v>16721.493816671918</v>
      </c>
      <c r="L43" s="66">
        <v>15073.332641196012</v>
      </c>
      <c r="M43" s="66">
        <v>15797.498930287669</v>
      </c>
      <c r="N43" s="66">
        <v>17741.061174375303</v>
      </c>
      <c r="O43" s="66">
        <v>16967.419431530008</v>
      </c>
      <c r="P43" s="66">
        <v>17076.875866421135</v>
      </c>
      <c r="Q43" s="66">
        <v>18399.20408308944</v>
      </c>
      <c r="R43" s="66">
        <v>18755.048470573965</v>
      </c>
      <c r="S43" s="66">
        <v>18361.781999999999</v>
      </c>
      <c r="T43" s="66">
        <v>18445.843148224485</v>
      </c>
      <c r="U43" s="66">
        <v>19425.371069121851</v>
      </c>
      <c r="V43" s="66">
        <v>21510.261568464099</v>
      </c>
      <c r="W43" s="66">
        <v>22562.754547481469</v>
      </c>
      <c r="X43" s="66">
        <v>23287.626071147977</v>
      </c>
      <c r="Y43" s="66">
        <v>19566.185365592552</v>
      </c>
      <c r="Z43" s="66">
        <v>25401.708553974873</v>
      </c>
      <c r="AA43" s="66">
        <v>22998.400000000001</v>
      </c>
    </row>
    <row r="44" spans="1:27" x14ac:dyDescent="0.25">
      <c r="A44" s="73" t="s">
        <v>266</v>
      </c>
      <c r="B44" s="65"/>
      <c r="C44" s="65"/>
      <c r="D44" s="66">
        <v>11574.692401297998</v>
      </c>
      <c r="E44" s="66">
        <v>11368.502385429945</v>
      </c>
      <c r="F44" s="66">
        <v>11427.620106319553</v>
      </c>
      <c r="G44" s="66">
        <v>10865.078411765424</v>
      </c>
      <c r="H44" s="66">
        <v>10973.477320586757</v>
      </c>
      <c r="I44" s="66">
        <v>11092.231659122357</v>
      </c>
      <c r="J44" s="66">
        <v>10502.77247393952</v>
      </c>
      <c r="K44" s="66">
        <v>10366.623672187965</v>
      </c>
      <c r="L44" s="66">
        <v>9613.0369601328894</v>
      </c>
      <c r="M44" s="66">
        <v>9174.4096010795856</v>
      </c>
      <c r="N44" s="66">
        <v>9770.2081871660648</v>
      </c>
      <c r="O44" s="66">
        <v>10225.772532755705</v>
      </c>
      <c r="P44" s="66">
        <v>9893.5483954397787</v>
      </c>
      <c r="Q44" s="66">
        <v>10176.832622905682</v>
      </c>
      <c r="R44" s="66">
        <v>10896.819339708469</v>
      </c>
      <c r="S44" s="66">
        <v>11337.606749999999</v>
      </c>
      <c r="T44" s="66">
        <v>10395.058815735234</v>
      </c>
      <c r="U44" s="66">
        <v>11142.978683980016</v>
      </c>
      <c r="V44" s="66">
        <v>11371.62046065586</v>
      </c>
      <c r="W44" s="66">
        <v>10332.877965849762</v>
      </c>
      <c r="X44" s="66">
        <v>9676.989389011711</v>
      </c>
      <c r="Y44" s="66">
        <v>8727.8255807729365</v>
      </c>
      <c r="Z44" s="66">
        <v>10633.029415182353</v>
      </c>
      <c r="AA44" s="66">
        <v>7913.5</v>
      </c>
    </row>
    <row r="45" spans="1:27" x14ac:dyDescent="0.25">
      <c r="A45" s="74" t="s">
        <v>20</v>
      </c>
      <c r="B45" s="44"/>
      <c r="C45" s="44"/>
      <c r="D45" s="45">
        <v>2594.0515667586023</v>
      </c>
      <c r="E45" s="45">
        <v>2570.842699285769</v>
      </c>
      <c r="F45" s="45">
        <v>2863.9093261063008</v>
      </c>
      <c r="G45" s="45">
        <v>3102.8107645965279</v>
      </c>
      <c r="H45" s="45">
        <v>3087.3766727316561</v>
      </c>
      <c r="I45" s="45">
        <v>3104.0374247281625</v>
      </c>
      <c r="J45" s="45">
        <v>4314.9068225556357</v>
      </c>
      <c r="K45" s="45">
        <v>5715.7976610843571</v>
      </c>
      <c r="L45" s="45">
        <v>6475.4441227822645</v>
      </c>
      <c r="M45" s="45">
        <v>5572.1145415754181</v>
      </c>
      <c r="N45" s="45">
        <v>5957.4565371633425</v>
      </c>
      <c r="O45" s="45">
        <v>6636.4100831896603</v>
      </c>
      <c r="P45" s="45">
        <v>6467.6129930770576</v>
      </c>
      <c r="Q45" s="45">
        <v>6653.8543939568099</v>
      </c>
      <c r="R45" s="45">
        <v>7130.4001688859353</v>
      </c>
      <c r="S45" s="45">
        <v>7705.6202980107819</v>
      </c>
      <c r="T45" s="45">
        <v>7481.5270786662231</v>
      </c>
      <c r="U45" s="45">
        <v>8044.300111991558</v>
      </c>
      <c r="V45" s="45">
        <v>7554.9809310412211</v>
      </c>
      <c r="W45" s="45">
        <v>6781.0797624398219</v>
      </c>
      <c r="X45" s="45">
        <v>6443.0092274522958</v>
      </c>
      <c r="Y45" s="45">
        <v>6208.0499578033823</v>
      </c>
      <c r="Z45" s="45">
        <v>7739.2311027776377</v>
      </c>
      <c r="AA45" s="45">
        <v>5207.7561547962578</v>
      </c>
    </row>
    <row r="46" spans="1:27" x14ac:dyDescent="0.25">
      <c r="A46" s="74" t="s">
        <v>12</v>
      </c>
      <c r="B46" s="44"/>
      <c r="C46" s="44"/>
      <c r="D46" s="45">
        <v>8980.6408345393957</v>
      </c>
      <c r="E46" s="45">
        <v>8797.6596861441758</v>
      </c>
      <c r="F46" s="45">
        <v>8563.7107802132523</v>
      </c>
      <c r="G46" s="45">
        <v>7762.2676471688956</v>
      </c>
      <c r="H46" s="45">
        <v>7886.1006478551008</v>
      </c>
      <c r="I46" s="45">
        <v>7988.1942343941946</v>
      </c>
      <c r="J46" s="45">
        <v>6187.8656513838841</v>
      </c>
      <c r="K46" s="45">
        <v>4650.8260111036079</v>
      </c>
      <c r="L46" s="45">
        <v>3137.5928373506249</v>
      </c>
      <c r="M46" s="45">
        <v>3602.2950595041675</v>
      </c>
      <c r="N46" s="45">
        <v>3812.7516500027223</v>
      </c>
      <c r="O46" s="45">
        <v>3589.3624495660451</v>
      </c>
      <c r="P46" s="45">
        <v>3425.9354023627211</v>
      </c>
      <c r="Q46" s="45">
        <v>3522.9782289488721</v>
      </c>
      <c r="R46" s="45">
        <v>3766.4191708225335</v>
      </c>
      <c r="S46" s="45">
        <v>3631.9864519892171</v>
      </c>
      <c r="T46" s="45">
        <v>2913.5317370690109</v>
      </c>
      <c r="U46" s="45">
        <v>3098.6785719884583</v>
      </c>
      <c r="V46" s="45">
        <v>3816.6395296146393</v>
      </c>
      <c r="W46" s="45">
        <v>3551.7982034099405</v>
      </c>
      <c r="X46" s="45">
        <v>3233.9801615594151</v>
      </c>
      <c r="Y46" s="45">
        <v>2519.7756229695542</v>
      </c>
      <c r="Z46" s="45">
        <v>2893.798312404715</v>
      </c>
      <c r="AA46" s="45">
        <v>2705.7438452037422</v>
      </c>
    </row>
    <row r="47" spans="1:27" x14ac:dyDescent="0.25">
      <c r="A47" s="73" t="s">
        <v>11</v>
      </c>
      <c r="B47" s="65"/>
      <c r="C47" s="65"/>
      <c r="D47" s="66">
        <v>4655.4585490226382</v>
      </c>
      <c r="E47" s="66">
        <v>5175.9981888402262</v>
      </c>
      <c r="F47" s="66">
        <v>5430.6466737877581</v>
      </c>
      <c r="G47" s="66">
        <v>5728.5849298196408</v>
      </c>
      <c r="H47" s="66">
        <v>5375.2241917729543</v>
      </c>
      <c r="I47" s="66">
        <v>6512.4457630696334</v>
      </c>
      <c r="J47" s="66">
        <v>5103.7813499845188</v>
      </c>
      <c r="K47" s="66">
        <v>6354.8701444839544</v>
      </c>
      <c r="L47" s="66">
        <v>5460.2956810631231</v>
      </c>
      <c r="M47" s="66">
        <v>6623.0893292080837</v>
      </c>
      <c r="N47" s="66">
        <v>7970.8529872092395</v>
      </c>
      <c r="O47" s="66">
        <v>6741.6468987743028</v>
      </c>
      <c r="P47" s="66">
        <v>7183.3274709813568</v>
      </c>
      <c r="Q47" s="66">
        <v>8222.3714601837601</v>
      </c>
      <c r="R47" s="66">
        <v>7858.2291308654949</v>
      </c>
      <c r="S47" s="66">
        <v>7024.1752499999993</v>
      </c>
      <c r="T47" s="66">
        <v>8050.7843324892528</v>
      </c>
      <c r="U47" s="66">
        <v>8282.3923851418331</v>
      </c>
      <c r="V47" s="66">
        <v>10138.641107808238</v>
      </c>
      <c r="W47" s="66">
        <v>12229.876581631705</v>
      </c>
      <c r="X47" s="66">
        <v>13610.636682136264</v>
      </c>
      <c r="Y47" s="66">
        <v>10838.359784819613</v>
      </c>
      <c r="Z47" s="66">
        <v>14768.679138792519</v>
      </c>
      <c r="AA47" s="66">
        <v>15084.9</v>
      </c>
    </row>
    <row r="48" spans="1:27" x14ac:dyDescent="0.25">
      <c r="A48" s="72" t="s">
        <v>4</v>
      </c>
      <c r="B48" s="65"/>
      <c r="C48" s="65"/>
      <c r="D48" s="66">
        <v>3693.2197906204124</v>
      </c>
      <c r="E48" s="66">
        <v>3743.3515606265219</v>
      </c>
      <c r="F48" s="66">
        <v>3744.380496075119</v>
      </c>
      <c r="G48" s="66">
        <v>3633.1483299391489</v>
      </c>
      <c r="H48" s="66">
        <v>3598.0993802196745</v>
      </c>
      <c r="I48" s="66">
        <v>3508.160752398152</v>
      </c>
      <c r="J48" s="66">
        <v>3573.2411325558201</v>
      </c>
      <c r="K48" s="66">
        <v>3839.9695334653652</v>
      </c>
      <c r="L48" s="66">
        <v>3637.5847176079737</v>
      </c>
      <c r="M48" s="66">
        <v>3390.1598808505028</v>
      </c>
      <c r="N48" s="66">
        <v>3114.8719574720712</v>
      </c>
      <c r="O48" s="66">
        <v>3330.5634509721044</v>
      </c>
      <c r="P48" s="66">
        <v>3020.2032598125429</v>
      </c>
      <c r="Q48" s="66">
        <v>2837.1002569776565</v>
      </c>
      <c r="R48" s="66">
        <v>2953.2552109657727</v>
      </c>
      <c r="S48" s="66">
        <v>3036.0330000000004</v>
      </c>
      <c r="T48" s="66">
        <v>3059.092147105589</v>
      </c>
      <c r="U48" s="66">
        <v>3045.3639220706718</v>
      </c>
      <c r="V48" s="66">
        <v>3130.9013840502876</v>
      </c>
      <c r="W48" s="66">
        <v>3157.4378495382848</v>
      </c>
      <c r="X48" s="66">
        <v>2959.3561007472908</v>
      </c>
      <c r="Y48" s="66">
        <v>3084.7396558184355</v>
      </c>
      <c r="Z48" s="66">
        <v>3283.9332846400298</v>
      </c>
      <c r="AA48" s="66">
        <v>3037.436969588332</v>
      </c>
    </row>
    <row r="49" spans="1:27" x14ac:dyDescent="0.25">
      <c r="A49" s="77" t="s">
        <v>10</v>
      </c>
      <c r="B49" s="44"/>
      <c r="C49" s="44"/>
      <c r="D49" s="45">
        <v>2215.1286503806805</v>
      </c>
      <c r="E49" s="45">
        <v>2226.9140193146218</v>
      </c>
      <c r="F49" s="45">
        <v>2178.9812006041507</v>
      </c>
      <c r="G49" s="45">
        <v>1966.2925600649519</v>
      </c>
      <c r="H49" s="45">
        <v>2005.0831276452518</v>
      </c>
      <c r="I49" s="45">
        <v>2041.6963970931754</v>
      </c>
      <c r="J49" s="45">
        <v>2131.8438917950548</v>
      </c>
      <c r="K49" s="45">
        <v>2143.1303967478925</v>
      </c>
      <c r="L49" s="45">
        <v>2029.3942321949135</v>
      </c>
      <c r="M49" s="45">
        <v>1951.8110807488004</v>
      </c>
      <c r="N49" s="45">
        <v>1726.2236086455621</v>
      </c>
      <c r="O49" s="45">
        <v>1859.8128104872185</v>
      </c>
      <c r="P49" s="45">
        <v>1659.9986227355994</v>
      </c>
      <c r="Q49" s="45">
        <v>1658.7067551161354</v>
      </c>
      <c r="R49" s="45">
        <v>1552.2477001465845</v>
      </c>
      <c r="S49" s="45">
        <v>1667.7270755307147</v>
      </c>
      <c r="T49" s="45">
        <v>1574.5105385740292</v>
      </c>
      <c r="U49" s="45">
        <v>1561.8355609737359</v>
      </c>
      <c r="V49" s="45">
        <v>1681.5869200367154</v>
      </c>
      <c r="W49" s="45">
        <v>1592.8649698245556</v>
      </c>
      <c r="X49" s="45">
        <v>1614.4540674815582</v>
      </c>
      <c r="Y49" s="45">
        <v>1536.8494374686429</v>
      </c>
      <c r="Z49" s="45">
        <v>1681.8416437158378</v>
      </c>
      <c r="AA49" s="45">
        <v>1722.3178276564038</v>
      </c>
    </row>
    <row r="50" spans="1:27" x14ac:dyDescent="0.25">
      <c r="A50" s="77" t="s">
        <v>18</v>
      </c>
      <c r="B50" s="44"/>
      <c r="C50" s="44"/>
      <c r="D50" s="45">
        <v>1072.9360485275629</v>
      </c>
      <c r="E50" s="45">
        <v>1110.145721000096</v>
      </c>
      <c r="F50" s="45">
        <v>1180.03687296812</v>
      </c>
      <c r="G50" s="45">
        <v>1170.8892277141404</v>
      </c>
      <c r="H50" s="45">
        <v>1201.637468293319</v>
      </c>
      <c r="I50" s="45">
        <v>1121.6837806136452</v>
      </c>
      <c r="J50" s="45">
        <v>1101.6035016878329</v>
      </c>
      <c r="K50" s="45">
        <v>1285.8954604002693</v>
      </c>
      <c r="L50" s="45">
        <v>1211.9236429010468</v>
      </c>
      <c r="M50" s="45">
        <v>922.19563685385992</v>
      </c>
      <c r="N50" s="45">
        <v>890.77911645053678</v>
      </c>
      <c r="O50" s="45">
        <v>846.24617412843543</v>
      </c>
      <c r="P50" s="45">
        <v>660.47702357495098</v>
      </c>
      <c r="Q50" s="45">
        <v>517.58145361734637</v>
      </c>
      <c r="R50" s="45">
        <v>586.46748723883422</v>
      </c>
      <c r="S50" s="45">
        <v>645.8488469160452</v>
      </c>
      <c r="T50" s="45">
        <v>750.41556795243343</v>
      </c>
      <c r="U50" s="45">
        <v>796.92754600400713</v>
      </c>
      <c r="V50" s="45">
        <v>815.08839331266256</v>
      </c>
      <c r="W50" s="45">
        <v>845.18136236587725</v>
      </c>
      <c r="X50" s="45">
        <v>600.4144096872966</v>
      </c>
      <c r="Y50" s="45">
        <v>688.42830235539873</v>
      </c>
      <c r="Z50" s="45">
        <v>706.60392294624967</v>
      </c>
      <c r="AA50" s="45">
        <v>567.31043067278222</v>
      </c>
    </row>
    <row r="51" spans="1:27" x14ac:dyDescent="0.25">
      <c r="A51" s="77" t="s">
        <v>9</v>
      </c>
      <c r="B51" s="44"/>
      <c r="C51" s="44"/>
      <c r="D51" s="45">
        <v>405.155091712169</v>
      </c>
      <c r="E51" s="45">
        <v>406.29182031180403</v>
      </c>
      <c r="F51" s="45">
        <v>385.3624225028484</v>
      </c>
      <c r="G51" s="45">
        <v>495.96654216005663</v>
      </c>
      <c r="H51" s="45">
        <v>391.37878428110366</v>
      </c>
      <c r="I51" s="45">
        <v>344.78057469133137</v>
      </c>
      <c r="J51" s="45">
        <v>339.79373907293234</v>
      </c>
      <c r="K51" s="45">
        <v>410.94367631720343</v>
      </c>
      <c r="L51" s="45">
        <v>396.26684251201345</v>
      </c>
      <c r="M51" s="45">
        <v>516.15316324784249</v>
      </c>
      <c r="N51" s="45">
        <v>497.86923237597239</v>
      </c>
      <c r="O51" s="45">
        <v>624.50446635645051</v>
      </c>
      <c r="P51" s="45">
        <v>699.72761350199255</v>
      </c>
      <c r="Q51" s="45">
        <v>660.81204824417478</v>
      </c>
      <c r="R51" s="45">
        <v>814.54002358035393</v>
      </c>
      <c r="S51" s="45">
        <v>722.45707755324042</v>
      </c>
      <c r="T51" s="45">
        <v>734.16604057912639</v>
      </c>
      <c r="U51" s="45">
        <v>686.60081509292877</v>
      </c>
      <c r="V51" s="45">
        <v>634.22607070090964</v>
      </c>
      <c r="W51" s="45">
        <v>719.39151734785196</v>
      </c>
      <c r="X51" s="45">
        <v>744.487623578436</v>
      </c>
      <c r="Y51" s="45">
        <v>859.46191599439385</v>
      </c>
      <c r="Z51" s="45">
        <v>895.48771797794234</v>
      </c>
      <c r="AA51" s="45">
        <v>747.80871125914598</v>
      </c>
    </row>
    <row r="52" spans="1:27" x14ac:dyDescent="0.25">
      <c r="A52" s="72" t="s">
        <v>3</v>
      </c>
      <c r="B52" s="65"/>
      <c r="C52" s="65"/>
      <c r="D52" s="66">
        <v>4172.6304759329369</v>
      </c>
      <c r="E52" s="66">
        <v>4008.1248185684899</v>
      </c>
      <c r="F52" s="66">
        <v>3913.5878813096178</v>
      </c>
      <c r="G52" s="66">
        <v>3754.7412899528072</v>
      </c>
      <c r="H52" s="66">
        <v>3686.2525126229389</v>
      </c>
      <c r="I52" s="66">
        <v>3520.7576459413185</v>
      </c>
      <c r="J52" s="66">
        <v>3474.5480269721679</v>
      </c>
      <c r="K52" s="66">
        <v>3437.9551694648244</v>
      </c>
      <c r="L52" s="66">
        <v>3297.225913621262</v>
      </c>
      <c r="M52" s="66">
        <v>2963.9461687841485</v>
      </c>
      <c r="N52" s="66">
        <v>2792.1311187867668</v>
      </c>
      <c r="O52" s="66">
        <v>2880.1588915891798</v>
      </c>
      <c r="P52" s="66">
        <v>2822.6565247977487</v>
      </c>
      <c r="Q52" s="66">
        <v>2637.2209701926313</v>
      </c>
      <c r="R52" s="66">
        <v>2718.0729787922282</v>
      </c>
      <c r="S52" s="66">
        <v>2637.44625</v>
      </c>
      <c r="T52" s="66">
        <v>2521.7695512631767</v>
      </c>
      <c r="U52" s="66">
        <v>2400.2844381984614</v>
      </c>
      <c r="V52" s="66">
        <v>2329.6921150787639</v>
      </c>
      <c r="W52" s="66">
        <v>2286.6593662325113</v>
      </c>
      <c r="X52" s="66">
        <v>1946.2733642725329</v>
      </c>
      <c r="Y52" s="66">
        <v>1888.0938202547909</v>
      </c>
      <c r="Z52" s="66">
        <v>2069.5031207981274</v>
      </c>
      <c r="AA52" s="66">
        <v>1873.6468679833313</v>
      </c>
    </row>
    <row r="53" spans="1:27" x14ac:dyDescent="0.25">
      <c r="A53" s="73" t="s">
        <v>21</v>
      </c>
      <c r="B53" s="65"/>
      <c r="C53" s="65"/>
      <c r="D53" s="66">
        <v>2026.5109518658733</v>
      </c>
      <c r="E53" s="66">
        <v>1961.3956342845604</v>
      </c>
      <c r="F53" s="66">
        <v>1936.1531510830682</v>
      </c>
      <c r="G53" s="66">
        <v>1784.5962952574907</v>
      </c>
      <c r="H53" s="66">
        <v>1774.403102491086</v>
      </c>
      <c r="I53" s="66">
        <v>1658.9367802612755</v>
      </c>
      <c r="J53" s="66">
        <v>1670.3916812880586</v>
      </c>
      <c r="K53" s="66">
        <v>1593.9791319710134</v>
      </c>
      <c r="L53" s="66">
        <v>1503.2047342192689</v>
      </c>
      <c r="M53" s="66">
        <v>1357.6723059706405</v>
      </c>
      <c r="N53" s="66">
        <v>1222.759458146689</v>
      </c>
      <c r="O53" s="66">
        <v>1314.0916895604396</v>
      </c>
      <c r="P53" s="66">
        <v>1344.1283803356021</v>
      </c>
      <c r="Q53" s="66">
        <v>1282.5265390616237</v>
      </c>
      <c r="R53" s="66">
        <v>1380.6896063724398</v>
      </c>
      <c r="S53" s="66">
        <v>1389.7458750000001</v>
      </c>
      <c r="T53" s="66">
        <v>1307.0880690183146</v>
      </c>
      <c r="U53" s="66">
        <v>1269.1145116422335</v>
      </c>
      <c r="V53" s="66">
        <v>1251.2838202438654</v>
      </c>
      <c r="W53" s="66">
        <v>1252.2210196763344</v>
      </c>
      <c r="X53" s="66">
        <v>1171.2506394913303</v>
      </c>
      <c r="Y53" s="66">
        <v>1070.8255272454769</v>
      </c>
      <c r="Z53" s="66">
        <v>1225.0241737354959</v>
      </c>
      <c r="AA53" s="66">
        <v>1132.0076917428535</v>
      </c>
    </row>
    <row r="54" spans="1:27" x14ac:dyDescent="0.25">
      <c r="A54" s="74" t="s">
        <v>8</v>
      </c>
      <c r="B54" s="44"/>
      <c r="C54" s="44"/>
      <c r="D54" s="45">
        <v>67.821513347096385</v>
      </c>
      <c r="E54" s="45">
        <v>64.094799982262472</v>
      </c>
      <c r="F54" s="45">
        <v>71.005112869275678</v>
      </c>
      <c r="G54" s="45">
        <v>61.232232369729445</v>
      </c>
      <c r="H54" s="45">
        <v>64.685461847825366</v>
      </c>
      <c r="I54" s="45">
        <v>59.691690149060051</v>
      </c>
      <c r="J54" s="45">
        <v>62.937832917568457</v>
      </c>
      <c r="K54" s="45">
        <v>58.447759613279914</v>
      </c>
      <c r="L54" s="45">
        <v>92.238045293851968</v>
      </c>
      <c r="M54" s="45">
        <v>63.805616931726554</v>
      </c>
      <c r="N54" s="45">
        <v>41.528019961418657</v>
      </c>
      <c r="O54" s="45">
        <v>48.356441398153059</v>
      </c>
      <c r="P54" s="45">
        <v>50.833208149465776</v>
      </c>
      <c r="Q54" s="45">
        <v>49.318315712371771</v>
      </c>
      <c r="R54" s="45">
        <v>51.93921604667765</v>
      </c>
      <c r="S54" s="45">
        <v>49.88612307837068</v>
      </c>
      <c r="T54" s="45">
        <v>48.437104133993309</v>
      </c>
      <c r="U54" s="45">
        <v>48.174844599220329</v>
      </c>
      <c r="V54" s="45">
        <v>50.174221882055406</v>
      </c>
      <c r="W54" s="45">
        <v>65.518076004876491</v>
      </c>
      <c r="X54" s="45">
        <v>60.444503833363996</v>
      </c>
      <c r="Y54" s="45">
        <v>36.409909031738238</v>
      </c>
      <c r="Z54" s="45">
        <v>20.414601379405902</v>
      </c>
      <c r="AA54" s="45">
        <v>18.281479503820602</v>
      </c>
    </row>
    <row r="55" spans="1:27" x14ac:dyDescent="0.25">
      <c r="A55" s="74" t="s">
        <v>17</v>
      </c>
      <c r="B55" s="44"/>
      <c r="C55" s="44"/>
      <c r="D55" s="45">
        <v>1958.6894385187768</v>
      </c>
      <c r="E55" s="45">
        <v>1897.300834302298</v>
      </c>
      <c r="F55" s="45">
        <v>1865.1480382137925</v>
      </c>
      <c r="G55" s="45">
        <v>1723.3640628877613</v>
      </c>
      <c r="H55" s="45">
        <v>1709.7176406432607</v>
      </c>
      <c r="I55" s="45">
        <v>1599.2450901122154</v>
      </c>
      <c r="J55" s="45">
        <v>1607.4538483704903</v>
      </c>
      <c r="K55" s="45">
        <v>1535.5313723577335</v>
      </c>
      <c r="L55" s="45">
        <v>1410.966688925417</v>
      </c>
      <c r="M55" s="45">
        <v>1293.866689038914</v>
      </c>
      <c r="N55" s="45">
        <v>1181.2314381852702</v>
      </c>
      <c r="O55" s="45">
        <v>1265.7352481622866</v>
      </c>
      <c r="P55" s="45">
        <v>1293.2951721861364</v>
      </c>
      <c r="Q55" s="45">
        <v>1233.208223349252</v>
      </c>
      <c r="R55" s="45">
        <v>1328.7503903257621</v>
      </c>
      <c r="S55" s="45">
        <v>1339.8597519216294</v>
      </c>
      <c r="T55" s="45">
        <v>1258.6509648843214</v>
      </c>
      <c r="U55" s="45">
        <v>1220.9396670430133</v>
      </c>
      <c r="V55" s="45">
        <v>1201.10959836181</v>
      </c>
      <c r="W55" s="45">
        <v>1186.7029436714579</v>
      </c>
      <c r="X55" s="45">
        <v>1110.8061356579663</v>
      </c>
      <c r="Y55" s="45">
        <v>1034.4156182137388</v>
      </c>
      <c r="Z55" s="45">
        <v>1204.60957235609</v>
      </c>
      <c r="AA55" s="45">
        <v>1113.726212239033</v>
      </c>
    </row>
    <row r="56" spans="1:27" x14ac:dyDescent="0.25">
      <c r="A56" s="73" t="s">
        <v>16</v>
      </c>
      <c r="B56" s="65"/>
      <c r="C56" s="65"/>
      <c r="D56" s="66">
        <v>2146.1195240670636</v>
      </c>
      <c r="E56" s="66">
        <v>2046.7291842839293</v>
      </c>
      <c r="F56" s="66">
        <v>1977.4347302265498</v>
      </c>
      <c r="G56" s="66">
        <v>1970.1449946953162</v>
      </c>
      <c r="H56" s="66">
        <v>1911.8494101318529</v>
      </c>
      <c r="I56" s="66">
        <v>1861.8208656800427</v>
      </c>
      <c r="J56" s="66">
        <v>1804.1563456841093</v>
      </c>
      <c r="K56" s="66">
        <v>1843.976037493811</v>
      </c>
      <c r="L56" s="66">
        <v>1794.0211794019931</v>
      </c>
      <c r="M56" s="66">
        <v>1606.2738628135078</v>
      </c>
      <c r="N56" s="66">
        <v>1569.3716606400778</v>
      </c>
      <c r="O56" s="66">
        <v>1566.0672020287404</v>
      </c>
      <c r="P56" s="66">
        <v>1478.5281444621467</v>
      </c>
      <c r="Q56" s="66">
        <v>1354.6944311310076</v>
      </c>
      <c r="R56" s="66">
        <v>1337.3833724197882</v>
      </c>
      <c r="S56" s="66">
        <v>1247.7003750000001</v>
      </c>
      <c r="T56" s="66">
        <v>1214.6814822448621</v>
      </c>
      <c r="U56" s="66">
        <v>1131.1699265562281</v>
      </c>
      <c r="V56" s="66">
        <v>1078.4082948348982</v>
      </c>
      <c r="W56" s="66">
        <v>1034.4383465561768</v>
      </c>
      <c r="X56" s="66">
        <v>775.02272478120278</v>
      </c>
      <c r="Y56" s="66">
        <v>817.26829300931388</v>
      </c>
      <c r="Z56" s="66">
        <v>844.47894706263173</v>
      </c>
      <c r="AA56" s="66">
        <v>741.63917624047781</v>
      </c>
    </row>
    <row r="57" spans="1:27" x14ac:dyDescent="0.25">
      <c r="A57" s="72" t="s">
        <v>2</v>
      </c>
      <c r="B57" s="65"/>
      <c r="C57" s="65"/>
      <c r="D57" s="66">
        <v>8925.2404774781735</v>
      </c>
      <c r="E57" s="66">
        <v>8989.211609092401</v>
      </c>
      <c r="F57" s="66">
        <v>9161.8421788056421</v>
      </c>
      <c r="G57" s="66">
        <v>9220.1059717327425</v>
      </c>
      <c r="H57" s="66">
        <v>9674.7684797434722</v>
      </c>
      <c r="I57" s="66">
        <v>9448.4111511128831</v>
      </c>
      <c r="J57" s="66">
        <v>9181.3572952145059</v>
      </c>
      <c r="K57" s="66">
        <v>9329.9470844398438</v>
      </c>
      <c r="L57" s="66">
        <v>9318.7217607973434</v>
      </c>
      <c r="M57" s="66">
        <v>10010.614837732868</v>
      </c>
      <c r="N57" s="66">
        <v>9480.3416266393233</v>
      </c>
      <c r="O57" s="66">
        <v>9309.6071956889264</v>
      </c>
      <c r="P57" s="66">
        <v>9326.2715700068275</v>
      </c>
      <c r="Q57" s="66">
        <v>9768.9551614778247</v>
      </c>
      <c r="R57" s="66">
        <v>9969.7593403149822</v>
      </c>
      <c r="S57" s="66">
        <v>10044.664124999999</v>
      </c>
      <c r="T57" s="66">
        <v>9989.8342264884286</v>
      </c>
      <c r="U57" s="66">
        <v>10078.956386142903</v>
      </c>
      <c r="V57" s="66">
        <v>10151.44227128143</v>
      </c>
      <c r="W57" s="66">
        <v>10415.060106649822</v>
      </c>
      <c r="X57" s="66">
        <v>9839.8907840163702</v>
      </c>
      <c r="Y57" s="66">
        <v>9806.0920939942189</v>
      </c>
      <c r="Z57" s="66">
        <v>10257.938530236883</v>
      </c>
      <c r="AA57" s="66">
        <v>10621.4</v>
      </c>
    </row>
    <row r="58" spans="1:27" x14ac:dyDescent="0.25">
      <c r="A58" s="72" t="s">
        <v>269</v>
      </c>
      <c r="B58" s="65"/>
      <c r="C58" s="65"/>
      <c r="D58" s="66">
        <v>6634.2888047593297</v>
      </c>
      <c r="E58" s="66">
        <v>6621.5644760257974</v>
      </c>
      <c r="F58" s="66">
        <v>6470.6913255166919</v>
      </c>
      <c r="G58" s="66">
        <v>6283.8440361937983</v>
      </c>
      <c r="H58" s="66">
        <v>5927.5799253392033</v>
      </c>
      <c r="I58" s="66">
        <v>5737.9591082862307</v>
      </c>
      <c r="J58" s="66">
        <v>5544.9293872776689</v>
      </c>
      <c r="K58" s="66">
        <v>5232.0171490300227</v>
      </c>
      <c r="L58" s="66">
        <v>4992.1623754152824</v>
      </c>
      <c r="M58" s="66">
        <v>4021.022727272727</v>
      </c>
      <c r="N58" s="66">
        <v>4435.1629877489349</v>
      </c>
      <c r="O58" s="66">
        <v>4616.8804152578195</v>
      </c>
      <c r="P58" s="66">
        <v>4578.8744542839995</v>
      </c>
      <c r="Q58" s="66">
        <v>4708.3106013481129</v>
      </c>
      <c r="R58" s="66">
        <v>4660.5939035238462</v>
      </c>
      <c r="S58" s="66">
        <v>4027.3184999999999</v>
      </c>
      <c r="T58" s="66">
        <v>3783.3365231729581</v>
      </c>
      <c r="U58" s="66">
        <v>3987.2553879621523</v>
      </c>
      <c r="V58" s="66">
        <v>3895.6213552711292</v>
      </c>
      <c r="W58" s="66">
        <v>3889.5633210085284</v>
      </c>
      <c r="X58" s="66">
        <v>3075.0380268951781</v>
      </c>
      <c r="Y58" s="66">
        <v>2891.3867626592441</v>
      </c>
      <c r="Z58" s="66">
        <v>3116.6318412708956</v>
      </c>
      <c r="AA58" s="66">
        <v>3404.4</v>
      </c>
    </row>
    <row r="59" spans="1:27" x14ac:dyDescent="0.25">
      <c r="A59" s="72" t="s">
        <v>270</v>
      </c>
      <c r="B59" s="65"/>
      <c r="C59" s="65"/>
      <c r="D59" s="66">
        <v>16038.126303793557</v>
      </c>
      <c r="E59" s="66">
        <v>15211.702174653859</v>
      </c>
      <c r="F59" s="66">
        <v>15095.08815456081</v>
      </c>
      <c r="G59" s="66">
        <v>14530.127556308918</v>
      </c>
      <c r="H59" s="66">
        <v>14738.356983895283</v>
      </c>
      <c r="I59" s="66">
        <v>14732.882091845109</v>
      </c>
      <c r="J59" s="66">
        <v>15384.095795919771</v>
      </c>
      <c r="K59" s="66">
        <v>15897.271937030204</v>
      </c>
      <c r="L59" s="66">
        <v>15766.645764119599</v>
      </c>
      <c r="M59" s="66">
        <v>12545.435619774868</v>
      </c>
      <c r="N59" s="66">
        <v>12889.581601813374</v>
      </c>
      <c r="O59" s="66">
        <v>13972.155668850381</v>
      </c>
      <c r="P59" s="66">
        <v>13414.613033042973</v>
      </c>
      <c r="Q59" s="66">
        <v>12638.015484943353</v>
      </c>
      <c r="R59" s="66">
        <v>12655.256833390617</v>
      </c>
      <c r="S59" s="66">
        <v>12461.0805</v>
      </c>
      <c r="T59" s="66">
        <v>12203.623167069079</v>
      </c>
      <c r="U59" s="66">
        <v>12673.385055203147</v>
      </c>
      <c r="V59" s="66">
        <v>12001.50948576189</v>
      </c>
      <c r="W59" s="66">
        <v>12123.2746047082</v>
      </c>
      <c r="X59" s="66">
        <v>10914.508916336261</v>
      </c>
      <c r="Y59" s="66">
        <v>11173.316895942618</v>
      </c>
      <c r="Z59" s="66">
        <v>11791.65746750552</v>
      </c>
      <c r="AA59" s="66">
        <v>11088.896065192035</v>
      </c>
    </row>
    <row r="60" spans="1:27" x14ac:dyDescent="0.25">
      <c r="A60" s="72" t="s">
        <v>1</v>
      </c>
      <c r="B60" s="65"/>
      <c r="C60" s="65"/>
      <c r="D60" s="66">
        <v>3847.6531715985475</v>
      </c>
      <c r="E60" s="66">
        <v>3725.0088349257235</v>
      </c>
      <c r="F60" s="66">
        <v>3758.821200566375</v>
      </c>
      <c r="G60" s="66">
        <v>3331.8628586759023</v>
      </c>
      <c r="H60" s="66">
        <v>3378.8505946540949</v>
      </c>
      <c r="I60" s="66">
        <v>3152.3355594905829</v>
      </c>
      <c r="J60" s="66">
        <v>3079.4857570440709</v>
      </c>
      <c r="K60" s="66">
        <v>3021.2936602601612</v>
      </c>
      <c r="L60" s="66">
        <v>2630.3633720930234</v>
      </c>
      <c r="M60" s="66">
        <v>2024.7231090777434</v>
      </c>
      <c r="N60" s="66">
        <v>2078.991175994387</v>
      </c>
      <c r="O60" s="66">
        <v>1874.526891377853</v>
      </c>
      <c r="P60" s="66">
        <v>1798.9696054292274</v>
      </c>
      <c r="Q60" s="66">
        <v>1665.6607232085496</v>
      </c>
      <c r="R60" s="66">
        <v>1745.4072993955076</v>
      </c>
      <c r="S60" s="66">
        <v>1747.387125</v>
      </c>
      <c r="T60" s="66">
        <v>1663.0704905482598</v>
      </c>
      <c r="U60" s="66">
        <v>1558.2629056011706</v>
      </c>
      <c r="V60" s="66">
        <v>1542.8392911239016</v>
      </c>
      <c r="W60" s="66">
        <v>1457.6763716764831</v>
      </c>
      <c r="X60" s="66">
        <v>1296.6304516635907</v>
      </c>
      <c r="Y60" s="66">
        <v>1254.7080746172787</v>
      </c>
      <c r="Z60" s="66">
        <v>1322.6778688932789</v>
      </c>
      <c r="AA60" s="66">
        <v>1291.4000000000001</v>
      </c>
    </row>
    <row r="61" spans="1:27" x14ac:dyDescent="0.25">
      <c r="A61" s="72" t="s">
        <v>0</v>
      </c>
      <c r="B61" s="65"/>
      <c r="C61" s="65"/>
      <c r="D61" s="66">
        <v>1093.889554199181</v>
      </c>
      <c r="E61" s="66">
        <v>1178.7195037296008</v>
      </c>
      <c r="F61" s="66">
        <v>1153.2158249701909</v>
      </c>
      <c r="G61" s="66">
        <v>1192.6589575991122</v>
      </c>
      <c r="H61" s="66">
        <v>1276.9351683457369</v>
      </c>
      <c r="I61" s="66">
        <v>1254.3541994042732</v>
      </c>
      <c r="J61" s="66">
        <v>1310.9806653593423</v>
      </c>
      <c r="K61" s="66">
        <v>1438.2643358689293</v>
      </c>
      <c r="L61" s="66">
        <v>1265.4294019933554</v>
      </c>
      <c r="M61" s="66">
        <v>1147.33847343822</v>
      </c>
      <c r="N61" s="66">
        <v>1101.2201144152409</v>
      </c>
      <c r="O61" s="66">
        <v>1105.1135883347422</v>
      </c>
      <c r="P61" s="66">
        <v>1048.9195599097886</v>
      </c>
      <c r="Q61" s="66">
        <v>940.76002161875522</v>
      </c>
      <c r="R61" s="66">
        <v>951.71517093585101</v>
      </c>
      <c r="S61" s="66">
        <v>1034.1266249999999</v>
      </c>
      <c r="T61" s="66">
        <v>1050.8303397915317</v>
      </c>
      <c r="U61" s="66">
        <v>1086.8914177631896</v>
      </c>
      <c r="V61" s="66">
        <v>1140.9784676991819</v>
      </c>
      <c r="W61" s="66">
        <v>1211.012546218019</v>
      </c>
      <c r="X61" s="66">
        <v>1123.33846448996</v>
      </c>
      <c r="Y61" s="66">
        <v>1278.1584546622419</v>
      </c>
      <c r="Z61" s="66">
        <v>1451.2744642353216</v>
      </c>
      <c r="AA61" s="66">
        <v>1336.0531320166685</v>
      </c>
    </row>
    <row r="62" spans="1:27" x14ac:dyDescent="0.25">
      <c r="A62" s="78" t="s">
        <v>271</v>
      </c>
      <c r="B62" s="79"/>
      <c r="C62" s="79"/>
      <c r="D62" s="80">
        <v>4621.7728695047517</v>
      </c>
      <c r="E62" s="80">
        <v>4938.8187704307657</v>
      </c>
      <c r="F62" s="80">
        <v>4908.8977419515104</v>
      </c>
      <c r="G62" s="80">
        <v>4487.8435849907928</v>
      </c>
      <c r="H62" s="80">
        <v>4702.3572291751416</v>
      </c>
      <c r="I62" s="80">
        <v>4687.2299880385581</v>
      </c>
      <c r="J62" s="80">
        <v>4556.2592458802083</v>
      </c>
      <c r="K62" s="80">
        <v>4715.1009080884014</v>
      </c>
      <c r="L62" s="80">
        <v>4630.2512458471756</v>
      </c>
      <c r="M62" s="80">
        <v>4353.5082450134951</v>
      </c>
      <c r="N62" s="80">
        <v>4294.662960764208</v>
      </c>
      <c r="O62" s="80">
        <v>4465.3212172442945</v>
      </c>
      <c r="P62" s="80">
        <v>4260.5248184395105</v>
      </c>
      <c r="Q62" s="80">
        <v>4185.4799975525939</v>
      </c>
      <c r="R62" s="80">
        <v>4198.0220063481793</v>
      </c>
      <c r="S62" s="80">
        <v>4354.3769999999995</v>
      </c>
      <c r="T62" s="80">
        <v>4634.3453712973323</v>
      </c>
      <c r="U62" s="80">
        <v>4473.224186391245</v>
      </c>
      <c r="V62" s="80">
        <v>4345.9351806270824</v>
      </c>
      <c r="W62" s="80">
        <v>4657.1445160810836</v>
      </c>
      <c r="X62" s="80">
        <v>4487.8122088030541</v>
      </c>
      <c r="Y62" s="80">
        <v>4118.3602531848837</v>
      </c>
      <c r="Z62" s="80">
        <v>4295.7136750717955</v>
      </c>
      <c r="AA62" s="80">
        <v>4111.7746433804305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1.3187511098941763E-2</v>
      </c>
      <c r="E66" s="83">
        <f t="shared" ref="E66:S66" si="55">E24/E$23</f>
        <v>1.2383226311019822E-2</v>
      </c>
      <c r="F66" s="83">
        <f t="shared" si="55"/>
        <v>1.1543555444517453E-2</v>
      </c>
      <c r="G66" s="83">
        <f t="shared" si="55"/>
        <v>1.1493422290759605E-2</v>
      </c>
      <c r="H66" s="83">
        <f t="shared" si="55"/>
        <v>1.1464046572075634E-2</v>
      </c>
      <c r="I66" s="83">
        <f t="shared" si="55"/>
        <v>9.4148475212288314E-3</v>
      </c>
      <c r="J66" s="83">
        <f t="shared" si="55"/>
        <v>1.0171621108148126E-2</v>
      </c>
      <c r="K66" s="83">
        <f t="shared" si="55"/>
        <v>9.947196392302524E-3</v>
      </c>
      <c r="L66" s="83">
        <f t="shared" si="55"/>
        <v>7.9800244598450878E-3</v>
      </c>
      <c r="M66" s="83">
        <f t="shared" si="55"/>
        <v>8.0337874915172823E-3</v>
      </c>
      <c r="N66" s="83">
        <f t="shared" si="55"/>
        <v>9.4819704027066711E-3</v>
      </c>
      <c r="O66" s="83">
        <f t="shared" si="55"/>
        <v>8.1066137896724805E-3</v>
      </c>
      <c r="P66" s="83">
        <f t="shared" si="55"/>
        <v>9.435089698721609E-3</v>
      </c>
      <c r="Q66" s="83">
        <f t="shared" si="55"/>
        <v>8.5444355393690871E-3</v>
      </c>
      <c r="R66" s="83">
        <f t="shared" si="55"/>
        <v>7.9947098693999002E-3</v>
      </c>
      <c r="S66" s="83">
        <f t="shared" si="55"/>
        <v>8.3723237405881473E-3</v>
      </c>
      <c r="T66" s="83">
        <f t="shared" ref="T66:Y66" si="56">T24/T$23</f>
        <v>7.5335351225871029E-3</v>
      </c>
      <c r="U66" s="83">
        <f t="shared" si="56"/>
        <v>8.1692644934490324E-3</v>
      </c>
      <c r="V66" s="83">
        <f t="shared" si="56"/>
        <v>7.4421617385303125E-3</v>
      </c>
      <c r="W66" s="83">
        <f t="shared" si="56"/>
        <v>8.0315426005958743E-3</v>
      </c>
      <c r="X66" s="83">
        <f t="shared" si="56"/>
        <v>7.9084696966398391E-3</v>
      </c>
      <c r="Y66" s="83">
        <f t="shared" si="56"/>
        <v>7.3254850887552771E-3</v>
      </c>
      <c r="Z66" s="83">
        <f t="shared" ref="Z66:AA66" si="57">Z24/Z$23</f>
        <v>7.7285109491664183E-3</v>
      </c>
      <c r="AA66" s="83">
        <f t="shared" si="57"/>
        <v>8.5091736948694676E-3</v>
      </c>
    </row>
    <row r="67" spans="1:27" x14ac:dyDescent="0.25">
      <c r="A67" s="64" t="s">
        <v>56</v>
      </c>
      <c r="B67" s="65"/>
      <c r="C67" s="65"/>
      <c r="D67" s="83">
        <f t="shared" si="51"/>
        <v>1.528264138630266E-3</v>
      </c>
      <c r="E67" s="83">
        <f t="shared" ref="E67:S67" si="58">E25/E$23</f>
        <v>1.2786935366855825E-3</v>
      </c>
      <c r="F67" s="83">
        <f t="shared" si="58"/>
        <v>1.2863882054639205E-3</v>
      </c>
      <c r="G67" s="83">
        <f t="shared" si="58"/>
        <v>1.2816349023964349E-3</v>
      </c>
      <c r="H67" s="83">
        <f t="shared" si="58"/>
        <v>1.1655856586521801E-3</v>
      </c>
      <c r="I67" s="83">
        <f t="shared" si="58"/>
        <v>1.1657028335573586E-3</v>
      </c>
      <c r="J67" s="83">
        <f t="shared" si="58"/>
        <v>1.2609362166948372E-3</v>
      </c>
      <c r="K67" s="83">
        <f t="shared" si="58"/>
        <v>1.0789692647059303E-3</v>
      </c>
      <c r="L67" s="83">
        <f t="shared" si="58"/>
        <v>1.0869980635955971E-3</v>
      </c>
      <c r="M67" s="83">
        <f t="shared" si="58"/>
        <v>9.7822477438626256E-4</v>
      </c>
      <c r="N67" s="83">
        <f t="shared" si="58"/>
        <v>9.4788918408876077E-4</v>
      </c>
      <c r="O67" s="83">
        <f t="shared" si="58"/>
        <v>9.5519287763864231E-4</v>
      </c>
      <c r="P67" s="83">
        <f t="shared" si="58"/>
        <v>8.5354675457852689E-4</v>
      </c>
      <c r="Q67" s="83">
        <f t="shared" si="58"/>
        <v>7.7993356121515607E-4</v>
      </c>
      <c r="R67" s="83">
        <f t="shared" si="58"/>
        <v>7.7478371080619377E-4</v>
      </c>
      <c r="S67" s="83">
        <f t="shared" si="58"/>
        <v>5.8864755740790009E-4</v>
      </c>
      <c r="T67" s="83">
        <f t="shared" ref="T67:Y67" si="59">T25/T$23</f>
        <v>6.218744670253739E-4</v>
      </c>
      <c r="U67" s="83">
        <f t="shared" si="59"/>
        <v>6.2782216924429023E-4</v>
      </c>
      <c r="V67" s="83">
        <f t="shared" si="59"/>
        <v>6.009486508142287E-4</v>
      </c>
      <c r="W67" s="83">
        <f t="shared" si="59"/>
        <v>6.6350768335837914E-4</v>
      </c>
      <c r="X67" s="83">
        <f t="shared" si="59"/>
        <v>6.3421826438552181E-4</v>
      </c>
      <c r="Y67" s="83">
        <f t="shared" si="59"/>
        <v>6.5689833746807426E-4</v>
      </c>
      <c r="Z67" s="83">
        <f t="shared" ref="Z67:AA67" si="60">Z25/Z$23</f>
        <v>5.5731373556084653E-4</v>
      </c>
      <c r="AA67" s="83">
        <f t="shared" si="60"/>
        <v>5.3809060713177971E-4</v>
      </c>
    </row>
    <row r="68" spans="1:27" x14ac:dyDescent="0.25">
      <c r="A68" s="64" t="s">
        <v>146</v>
      </c>
      <c r="B68" s="65"/>
      <c r="C68" s="65"/>
      <c r="D68" s="83">
        <f t="shared" si="51"/>
        <v>0.71611290783963633</v>
      </c>
      <c r="E68" s="83">
        <f t="shared" ref="E68:S68" si="61">E26/E$23</f>
        <v>0.72488748088082922</v>
      </c>
      <c r="F68" s="83">
        <f t="shared" si="61"/>
        <v>0.73090770512187753</v>
      </c>
      <c r="G68" s="83">
        <f t="shared" si="61"/>
        <v>0.73857189026854797</v>
      </c>
      <c r="H68" s="83">
        <f t="shared" si="61"/>
        <v>0.74094245170956352</v>
      </c>
      <c r="I68" s="83">
        <f t="shared" si="61"/>
        <v>0.74735531395408072</v>
      </c>
      <c r="J68" s="83">
        <f t="shared" si="61"/>
        <v>0.75107146822351079</v>
      </c>
      <c r="K68" s="83">
        <f t="shared" si="61"/>
        <v>0.7497088120280937</v>
      </c>
      <c r="L68" s="83">
        <f t="shared" si="61"/>
        <v>0.75921830411740721</v>
      </c>
      <c r="M68" s="83">
        <f t="shared" si="61"/>
        <v>0.77571842299750848</v>
      </c>
      <c r="N68" s="83">
        <f t="shared" si="61"/>
        <v>0.77283015266588073</v>
      </c>
      <c r="O68" s="83">
        <f t="shared" si="61"/>
        <v>0.77386302280674057</v>
      </c>
      <c r="P68" s="83">
        <f t="shared" si="61"/>
        <v>0.78116979101063211</v>
      </c>
      <c r="Q68" s="83">
        <f t="shared" si="61"/>
        <v>0.78281059282313858</v>
      </c>
      <c r="R68" s="83">
        <f t="shared" si="61"/>
        <v>0.78701328043202734</v>
      </c>
      <c r="S68" s="83">
        <f t="shared" si="61"/>
        <v>0.78826537939046382</v>
      </c>
      <c r="T68" s="83">
        <f t="shared" ref="T68:Y68" si="62">T26/T$23</f>
        <v>0.79261648784837446</v>
      </c>
      <c r="U68" s="83">
        <f t="shared" si="62"/>
        <v>0.7918951339993735</v>
      </c>
      <c r="V68" s="83">
        <f t="shared" si="62"/>
        <v>0.79433226952912528</v>
      </c>
      <c r="W68" s="83">
        <f t="shared" si="62"/>
        <v>0.7912036639980311</v>
      </c>
      <c r="X68" s="83">
        <f t="shared" si="62"/>
        <v>0.79388073873628628</v>
      </c>
      <c r="Y68" s="83">
        <f t="shared" si="62"/>
        <v>0.80425297836818233</v>
      </c>
      <c r="Z68" s="83">
        <f t="shared" ref="Z68:AA68" si="63">Z26/Z$23</f>
        <v>0.78883536598319937</v>
      </c>
      <c r="AA68" s="83">
        <f t="shared" si="63"/>
        <v>0.79916319405504666</v>
      </c>
    </row>
    <row r="69" spans="1:27" x14ac:dyDescent="0.25">
      <c r="A69" s="68" t="s">
        <v>148</v>
      </c>
      <c r="B69" s="69"/>
      <c r="C69" s="69"/>
      <c r="D69" s="84">
        <f t="shared" si="51"/>
        <v>0.27890120695250825</v>
      </c>
      <c r="E69" s="84">
        <f t="shared" ref="E69:S69" si="64">E27/E$23</f>
        <v>0.28007695809449334</v>
      </c>
      <c r="F69" s="84">
        <f t="shared" si="64"/>
        <v>0.28247220424213693</v>
      </c>
      <c r="G69" s="84">
        <f t="shared" si="64"/>
        <v>0.2880355332085579</v>
      </c>
      <c r="H69" s="84">
        <f t="shared" si="64"/>
        <v>0.28448408014637983</v>
      </c>
      <c r="I69" s="84">
        <f t="shared" si="64"/>
        <v>0.2883353496223478</v>
      </c>
      <c r="J69" s="84">
        <f t="shared" si="64"/>
        <v>0.28906781747353466</v>
      </c>
      <c r="K69" s="84">
        <f t="shared" si="64"/>
        <v>0.28575985627659722</v>
      </c>
      <c r="L69" s="84">
        <f t="shared" si="64"/>
        <v>0.29559467998369338</v>
      </c>
      <c r="M69" s="84">
        <f t="shared" si="64"/>
        <v>0.30327796917579347</v>
      </c>
      <c r="N69" s="84">
        <f t="shared" si="64"/>
        <v>0.29961056192988889</v>
      </c>
      <c r="O69" s="84">
        <f t="shared" si="64"/>
        <v>0.29817932751592108</v>
      </c>
      <c r="P69" s="84">
        <f t="shared" si="64"/>
        <v>0.3016726233517607</v>
      </c>
      <c r="Q69" s="84">
        <f t="shared" si="64"/>
        <v>0.30284248117426166</v>
      </c>
      <c r="R69" s="84">
        <f t="shared" si="64"/>
        <v>0.30242629635752466</v>
      </c>
      <c r="S69" s="84">
        <f t="shared" si="64"/>
        <v>0.29990049628384358</v>
      </c>
      <c r="T69" s="84">
        <f t="shared" ref="T69:Y69" si="65">T27/T$23</f>
        <v>0.29826415796081585</v>
      </c>
      <c r="U69" s="84">
        <f t="shared" si="65"/>
        <v>0.29794530926429141</v>
      </c>
      <c r="V69" s="84">
        <f t="shared" si="65"/>
        <v>0.2992607308081468</v>
      </c>
      <c r="W69" s="84">
        <f t="shared" si="65"/>
        <v>0.29637888409520574</v>
      </c>
      <c r="X69" s="84">
        <f t="shared" si="65"/>
        <v>0.29157700249452817</v>
      </c>
      <c r="Y69" s="84">
        <f t="shared" si="65"/>
        <v>0.29377513915017661</v>
      </c>
      <c r="Z69" s="84">
        <f t="shared" ref="Z69:AA69" si="66">Z27/Z$23</f>
        <v>0.29057851811885466</v>
      </c>
      <c r="AA69" s="84">
        <f t="shared" si="66"/>
        <v>0.29741269984108254</v>
      </c>
    </row>
    <row r="70" spans="1:27" x14ac:dyDescent="0.25">
      <c r="A70" s="68" t="s">
        <v>150</v>
      </c>
      <c r="B70" s="71"/>
      <c r="C70" s="71"/>
      <c r="D70" s="84">
        <f t="shared" si="51"/>
        <v>0.31567533616124888</v>
      </c>
      <c r="E70" s="84">
        <f t="shared" ref="E70:S70" si="67">E28/E$23</f>
        <v>0.31944534767542127</v>
      </c>
      <c r="F70" s="84">
        <f t="shared" si="67"/>
        <v>0.31540799482500664</v>
      </c>
      <c r="G70" s="84">
        <f t="shared" si="67"/>
        <v>0.30982054729145436</v>
      </c>
      <c r="H70" s="84">
        <f t="shared" si="67"/>
        <v>0.31298674623006473</v>
      </c>
      <c r="I70" s="84">
        <f t="shared" si="67"/>
        <v>0.31640433235426818</v>
      </c>
      <c r="J70" s="84">
        <f t="shared" si="67"/>
        <v>0.32150184158062167</v>
      </c>
      <c r="K70" s="84">
        <f t="shared" si="67"/>
        <v>0.32230651533698707</v>
      </c>
      <c r="L70" s="84">
        <f t="shared" si="67"/>
        <v>0.32153581074194865</v>
      </c>
      <c r="M70" s="84">
        <f t="shared" si="67"/>
        <v>0.33315577626781046</v>
      </c>
      <c r="N70" s="84">
        <f t="shared" si="67"/>
        <v>0.33413817201156309</v>
      </c>
      <c r="O70" s="84">
        <f t="shared" si="67"/>
        <v>0.33530688776292111</v>
      </c>
      <c r="P70" s="84">
        <f t="shared" si="67"/>
        <v>0.34180544720637657</v>
      </c>
      <c r="Q70" s="84">
        <f t="shared" si="67"/>
        <v>0.34414440948494363</v>
      </c>
      <c r="R70" s="84">
        <f t="shared" si="67"/>
        <v>0.35035818592604839</v>
      </c>
      <c r="S70" s="84">
        <f t="shared" si="67"/>
        <v>0.35579409843915794</v>
      </c>
      <c r="T70" s="84">
        <f t="shared" ref="T70:Y70" si="68">T28/T$23</f>
        <v>0.35888921362524084</v>
      </c>
      <c r="U70" s="84">
        <f t="shared" si="68"/>
        <v>0.36498666572383903</v>
      </c>
      <c r="V70" s="84">
        <f t="shared" si="68"/>
        <v>0.36774085222609315</v>
      </c>
      <c r="W70" s="84">
        <f t="shared" si="68"/>
        <v>0.36833858794751223</v>
      </c>
      <c r="X70" s="84">
        <f t="shared" si="68"/>
        <v>0.37495026853198443</v>
      </c>
      <c r="Y70" s="84">
        <f t="shared" si="68"/>
        <v>0.37595801478713076</v>
      </c>
      <c r="Z70" s="84">
        <f t="shared" ref="Z70:AA70" si="69">Z28/Z$23</f>
        <v>0.36221658831806985</v>
      </c>
      <c r="AA70" s="84">
        <f t="shared" si="69"/>
        <v>0.36769386196922033</v>
      </c>
    </row>
    <row r="71" spans="1:27" x14ac:dyDescent="0.25">
      <c r="A71" s="68" t="s">
        <v>152</v>
      </c>
      <c r="B71" s="71"/>
      <c r="C71" s="71"/>
      <c r="D71" s="84">
        <f t="shared" si="51"/>
        <v>0.12153636472587911</v>
      </c>
      <c r="E71" s="84">
        <f t="shared" ref="E71:S71" si="70">E29/E$23</f>
        <v>0.12536517511091441</v>
      </c>
      <c r="F71" s="84">
        <f t="shared" si="70"/>
        <v>0.1330275060547341</v>
      </c>
      <c r="G71" s="84">
        <f t="shared" si="70"/>
        <v>0.14071580976853545</v>
      </c>
      <c r="H71" s="84">
        <f t="shared" si="70"/>
        <v>0.14347162533311889</v>
      </c>
      <c r="I71" s="84">
        <f t="shared" si="70"/>
        <v>0.14261563197746474</v>
      </c>
      <c r="J71" s="84">
        <f t="shared" si="70"/>
        <v>0.1405018091693544</v>
      </c>
      <c r="K71" s="84">
        <f t="shared" si="70"/>
        <v>0.14164244041450944</v>
      </c>
      <c r="L71" s="84">
        <f t="shared" si="70"/>
        <v>0.14208781339176521</v>
      </c>
      <c r="M71" s="84">
        <f t="shared" si="70"/>
        <v>0.13928467755390445</v>
      </c>
      <c r="N71" s="84">
        <f t="shared" si="70"/>
        <v>0.1390814187244287</v>
      </c>
      <c r="O71" s="84">
        <f t="shared" si="70"/>
        <v>0.14037680752789836</v>
      </c>
      <c r="P71" s="84">
        <f t="shared" si="70"/>
        <v>0.13769172045249495</v>
      </c>
      <c r="Q71" s="84">
        <f t="shared" si="70"/>
        <v>0.13582370216393336</v>
      </c>
      <c r="R71" s="84">
        <f t="shared" si="70"/>
        <v>0.13422879814845429</v>
      </c>
      <c r="S71" s="84">
        <f t="shared" si="70"/>
        <v>0.13257078466746242</v>
      </c>
      <c r="T71" s="84">
        <f t="shared" ref="T71:Y71" si="71">T29/T$23</f>
        <v>0.13546311626231766</v>
      </c>
      <c r="U71" s="84">
        <f t="shared" si="71"/>
        <v>0.12896315901124317</v>
      </c>
      <c r="V71" s="84">
        <f t="shared" si="71"/>
        <v>0.12733068649488535</v>
      </c>
      <c r="W71" s="84">
        <f t="shared" si="71"/>
        <v>0.1264861919553131</v>
      </c>
      <c r="X71" s="84">
        <f t="shared" si="71"/>
        <v>0.12735346770977349</v>
      </c>
      <c r="Y71" s="84">
        <f t="shared" si="71"/>
        <v>0.13451982443087482</v>
      </c>
      <c r="Z71" s="84">
        <f t="shared" ref="Z71:AA71" si="72">Z29/Z$23</f>
        <v>0.13604025954627502</v>
      </c>
      <c r="AA71" s="84">
        <f t="shared" si="72"/>
        <v>0.13405663224474382</v>
      </c>
    </row>
    <row r="72" spans="1:27" x14ac:dyDescent="0.25">
      <c r="A72" s="64" t="s">
        <v>154</v>
      </c>
      <c r="B72" s="65"/>
      <c r="C72" s="65"/>
      <c r="D72" s="83">
        <f t="shared" si="51"/>
        <v>2.7928217949536666E-2</v>
      </c>
      <c r="E72" s="83">
        <f t="shared" ref="E72:S72" si="73">E30/E$23</f>
        <v>2.6972916865494783E-2</v>
      </c>
      <c r="F72" s="83">
        <f t="shared" si="73"/>
        <v>2.5528631542189744E-2</v>
      </c>
      <c r="G72" s="83">
        <f t="shared" si="73"/>
        <v>2.5355963374146074E-2</v>
      </c>
      <c r="H72" s="83">
        <f t="shared" si="73"/>
        <v>2.5010817631720247E-2</v>
      </c>
      <c r="I72" s="83">
        <f t="shared" si="73"/>
        <v>2.4270604890316641E-2</v>
      </c>
      <c r="J72" s="83">
        <f t="shared" si="73"/>
        <v>2.4665663986185912E-2</v>
      </c>
      <c r="K72" s="83">
        <f t="shared" si="73"/>
        <v>2.446500835483607E-2</v>
      </c>
      <c r="L72" s="83">
        <f t="shared" si="73"/>
        <v>2.5077710966163878E-2</v>
      </c>
      <c r="M72" s="83">
        <f t="shared" si="73"/>
        <v>2.1449579311912253E-2</v>
      </c>
      <c r="N72" s="83">
        <f t="shared" si="73"/>
        <v>2.3353046390848047E-2</v>
      </c>
      <c r="O72" s="83">
        <f t="shared" si="73"/>
        <v>2.3591878885904978E-2</v>
      </c>
      <c r="P72" s="83">
        <f t="shared" si="73"/>
        <v>2.1347308001655258E-2</v>
      </c>
      <c r="Q72" s="83">
        <f t="shared" si="73"/>
        <v>2.0935580433126509E-2</v>
      </c>
      <c r="R72" s="83">
        <f t="shared" si="73"/>
        <v>1.8945555739240644E-2</v>
      </c>
      <c r="S72" s="83">
        <f t="shared" si="73"/>
        <v>2.200489653841416E-2</v>
      </c>
      <c r="T72" s="83">
        <f t="shared" ref="T72:Y72" si="74">T30/T$23</f>
        <v>2.0906317393131476E-2</v>
      </c>
      <c r="U72" s="83">
        <f t="shared" si="74"/>
        <v>1.9764781348176139E-2</v>
      </c>
      <c r="V72" s="83">
        <f t="shared" si="74"/>
        <v>1.5920021678991054E-2</v>
      </c>
      <c r="W72" s="83">
        <f t="shared" si="74"/>
        <v>1.8541392438576023E-2</v>
      </c>
      <c r="X72" s="83">
        <f t="shared" si="74"/>
        <v>1.8322950830261312E-2</v>
      </c>
      <c r="Y72" s="83">
        <f t="shared" si="74"/>
        <v>1.8995771064089794E-2</v>
      </c>
      <c r="Z72" s="83">
        <f t="shared" ref="Z72:AA72" si="75">Z30/Z$23</f>
        <v>2.3137575087438713E-2</v>
      </c>
      <c r="AA72" s="83">
        <f t="shared" si="75"/>
        <v>2.085626815400007E-2</v>
      </c>
    </row>
    <row r="73" spans="1:27" x14ac:dyDescent="0.25">
      <c r="A73" s="64" t="s">
        <v>37</v>
      </c>
      <c r="B73" s="65"/>
      <c r="C73" s="65"/>
      <c r="D73" s="83">
        <f t="shared" si="51"/>
        <v>5.1595317055760218E-2</v>
      </c>
      <c r="E73" s="83">
        <f t="shared" ref="E73:S73" si="76">E31/E$23</f>
        <v>5.0798930086544063E-2</v>
      </c>
      <c r="F73" s="83">
        <f t="shared" si="76"/>
        <v>4.9177975038507814E-2</v>
      </c>
      <c r="G73" s="83">
        <f t="shared" si="76"/>
        <v>4.9112662378139472E-2</v>
      </c>
      <c r="H73" s="83">
        <f t="shared" si="76"/>
        <v>4.956438737467217E-2</v>
      </c>
      <c r="I73" s="83">
        <f t="shared" si="76"/>
        <v>4.9280656232536579E-2</v>
      </c>
      <c r="J73" s="83">
        <f t="shared" si="76"/>
        <v>5.2948977079717241E-2</v>
      </c>
      <c r="K73" s="83">
        <f t="shared" si="76"/>
        <v>5.4429563496917202E-2</v>
      </c>
      <c r="L73" s="83">
        <f t="shared" si="76"/>
        <v>5.7424582144313084E-2</v>
      </c>
      <c r="M73" s="83">
        <f t="shared" si="76"/>
        <v>5.6214652669126321E-2</v>
      </c>
      <c r="N73" s="83">
        <f t="shared" si="76"/>
        <v>5.4355087477334092E-2</v>
      </c>
      <c r="O73" s="83">
        <f t="shared" si="76"/>
        <v>5.5661131401059584E-2</v>
      </c>
      <c r="P73" s="83">
        <f t="shared" si="76"/>
        <v>5.3956595246919495E-2</v>
      </c>
      <c r="Q73" s="83">
        <f t="shared" si="76"/>
        <v>5.2678366614085814E-2</v>
      </c>
      <c r="R73" s="83">
        <f t="shared" si="76"/>
        <v>5.189645671460847E-2</v>
      </c>
      <c r="S73" s="83">
        <f t="shared" si="76"/>
        <v>5.1048063757536261E-2</v>
      </c>
      <c r="T73" s="83">
        <f t="shared" ref="T73:Y73" si="77">T31/T$23</f>
        <v>5.0635364520037494E-2</v>
      </c>
      <c r="U73" s="83">
        <f t="shared" si="77"/>
        <v>4.9735334821654049E-2</v>
      </c>
      <c r="V73" s="83">
        <f t="shared" si="77"/>
        <v>5.1332127212007667E-2</v>
      </c>
      <c r="W73" s="83">
        <f t="shared" si="77"/>
        <v>5.184915186611827E-2</v>
      </c>
      <c r="X73" s="83">
        <f t="shared" si="77"/>
        <v>5.1850393389967192E-2</v>
      </c>
      <c r="Y73" s="83">
        <f t="shared" si="77"/>
        <v>5.4229057956454683E-2</v>
      </c>
      <c r="Z73" s="83">
        <f t="shared" ref="Z73:AA73" si="78">Z31/Z$23</f>
        <v>5.3465221504029485E-2</v>
      </c>
      <c r="AA73" s="83">
        <f t="shared" si="78"/>
        <v>5.3910544298783114E-2</v>
      </c>
    </row>
    <row r="74" spans="1:27" x14ac:dyDescent="0.25">
      <c r="A74" s="64" t="s">
        <v>58</v>
      </c>
      <c r="B74" s="65"/>
      <c r="C74" s="65"/>
      <c r="D74" s="83">
        <f t="shared" si="51"/>
        <v>0.18964778191749473</v>
      </c>
      <c r="E74" s="83">
        <f t="shared" ref="E74:S74" si="79">E32/E$23</f>
        <v>0.18367875231942679</v>
      </c>
      <c r="F74" s="83">
        <f t="shared" si="79"/>
        <v>0.18155574464744328</v>
      </c>
      <c r="G74" s="83">
        <f t="shared" si="79"/>
        <v>0.17418442678601068</v>
      </c>
      <c r="H74" s="83">
        <f t="shared" si="79"/>
        <v>0.17185271105331637</v>
      </c>
      <c r="I74" s="83">
        <f t="shared" si="79"/>
        <v>0.16851287456827993</v>
      </c>
      <c r="J74" s="83">
        <f t="shared" si="79"/>
        <v>0.15988133338574304</v>
      </c>
      <c r="K74" s="83">
        <f t="shared" si="79"/>
        <v>0.1603704504631446</v>
      </c>
      <c r="L74" s="83">
        <f t="shared" si="79"/>
        <v>0.14921238024867506</v>
      </c>
      <c r="M74" s="83">
        <f t="shared" si="79"/>
        <v>0.13760533275554956</v>
      </c>
      <c r="N74" s="83">
        <f t="shared" si="79"/>
        <v>0.13903185387914183</v>
      </c>
      <c r="O74" s="83">
        <f t="shared" si="79"/>
        <v>0.13782216023898386</v>
      </c>
      <c r="P74" s="83">
        <f t="shared" si="79"/>
        <v>0.13323766928749289</v>
      </c>
      <c r="Q74" s="83">
        <f t="shared" si="79"/>
        <v>0.13425109102906482</v>
      </c>
      <c r="R74" s="83">
        <f t="shared" si="79"/>
        <v>0.13337521353391746</v>
      </c>
      <c r="S74" s="83">
        <f t="shared" si="79"/>
        <v>0.12972068901558967</v>
      </c>
      <c r="T74" s="83">
        <f t="shared" ref="T74:Y74" si="80">T32/T$23</f>
        <v>0.12768642064884414</v>
      </c>
      <c r="U74" s="83">
        <f t="shared" si="80"/>
        <v>0.1298076631681028</v>
      </c>
      <c r="V74" s="83">
        <f t="shared" si="80"/>
        <v>0.13037247119053139</v>
      </c>
      <c r="W74" s="83">
        <f t="shared" si="80"/>
        <v>0.12971074141332031</v>
      </c>
      <c r="X74" s="83">
        <f t="shared" si="80"/>
        <v>0.12740322908246013</v>
      </c>
      <c r="Y74" s="83">
        <f t="shared" si="80"/>
        <v>0.11453980918505001</v>
      </c>
      <c r="Z74" s="83">
        <f t="shared" ref="Z74:AA74" si="81">Z32/Z$23</f>
        <v>0.12627601274060504</v>
      </c>
      <c r="AA74" s="83">
        <f t="shared" si="81"/>
        <v>0.11702272919016876</v>
      </c>
    </row>
    <row r="75" spans="1:27" x14ac:dyDescent="0.25">
      <c r="A75" s="85" t="s">
        <v>158</v>
      </c>
      <c r="B75" s="86"/>
      <c r="C75" s="86"/>
      <c r="D75" s="87">
        <f t="shared" si="51"/>
        <v>1.4248635540932898E-2</v>
      </c>
      <c r="E75" s="87">
        <f t="shared" ref="E75:S75" si="82">E33/E$23</f>
        <v>1.1691093316757051E-2</v>
      </c>
      <c r="F75" s="87">
        <f t="shared" si="82"/>
        <v>1.205999165033466E-2</v>
      </c>
      <c r="G75" s="87">
        <f t="shared" si="82"/>
        <v>1.1804302132326026E-2</v>
      </c>
      <c r="H75" s="87">
        <f t="shared" si="82"/>
        <v>1.3705731721223023E-2</v>
      </c>
      <c r="I75" s="87">
        <f t="shared" si="82"/>
        <v>1.337397459150731E-2</v>
      </c>
      <c r="J75" s="87">
        <f t="shared" si="82"/>
        <v>1.3058292698569009E-2</v>
      </c>
      <c r="K75" s="87">
        <f t="shared" si="82"/>
        <v>1.4417677874182659E-2</v>
      </c>
      <c r="L75" s="87">
        <f t="shared" si="82"/>
        <v>1.1277007745617611E-2</v>
      </c>
      <c r="M75" s="87">
        <f t="shared" si="82"/>
        <v>7.1780417309467185E-3</v>
      </c>
      <c r="N75" s="87">
        <f t="shared" si="82"/>
        <v>8.2951848214588078E-3</v>
      </c>
      <c r="O75" s="87">
        <f t="shared" si="82"/>
        <v>8.6577432809357528E-3</v>
      </c>
      <c r="P75" s="87">
        <f t="shared" si="82"/>
        <v>6.9208128045835805E-3</v>
      </c>
      <c r="Q75" s="87">
        <f t="shared" si="82"/>
        <v>7.2754151008051389E-3</v>
      </c>
      <c r="R75" s="87">
        <f t="shared" si="82"/>
        <v>6.970022593266104E-3</v>
      </c>
      <c r="S75" s="87">
        <f t="shared" si="82"/>
        <v>7.1566444029226755E-3</v>
      </c>
      <c r="T75" s="87">
        <f t="shared" ref="T75:Y75" si="83">T33/T$23</f>
        <v>6.9208020273995655E-3</v>
      </c>
      <c r="U75" s="87">
        <f t="shared" si="83"/>
        <v>7.8816178921741944E-3</v>
      </c>
      <c r="V75" s="87">
        <f t="shared" si="83"/>
        <v>8.055782461462279E-3</v>
      </c>
      <c r="W75" s="87">
        <f t="shared" si="83"/>
        <v>7.1107421590964172E-3</v>
      </c>
      <c r="X75" s="87">
        <f t="shared" si="83"/>
        <v>5.2876243226891032E-3</v>
      </c>
      <c r="Y75" s="87">
        <f t="shared" si="83"/>
        <v>6.588316844858025E-3</v>
      </c>
      <c r="Z75" s="87">
        <f t="shared" ref="Z75:AA75" si="84">Z33/Z$23</f>
        <v>8.1508242781186055E-3</v>
      </c>
      <c r="AA75" s="87">
        <f t="shared" si="84"/>
        <v>6.1360898820931155E-3</v>
      </c>
    </row>
    <row r="76" spans="1:27" x14ac:dyDescent="0.25">
      <c r="A76" s="88" t="s">
        <v>5</v>
      </c>
      <c r="B76" s="44"/>
      <c r="C76" s="44"/>
      <c r="D76" s="89">
        <f t="shared" si="51"/>
        <v>1.0067899698302268E-2</v>
      </c>
      <c r="E76" s="89">
        <f t="shared" ref="E76:S76" si="85">E34/E$23</f>
        <v>8.2607737799499873E-3</v>
      </c>
      <c r="F76" s="89">
        <f t="shared" si="85"/>
        <v>8.5214325223720733E-3</v>
      </c>
      <c r="G76" s="89">
        <f t="shared" si="85"/>
        <v>8.3407656498267705E-3</v>
      </c>
      <c r="H76" s="89">
        <f t="shared" si="85"/>
        <v>9.6842909529622663E-3</v>
      </c>
      <c r="I76" s="89">
        <f t="shared" si="85"/>
        <v>9.4498756998961635E-3</v>
      </c>
      <c r="J76" s="89">
        <f t="shared" si="85"/>
        <v>9.2268189990953979E-3</v>
      </c>
      <c r="K76" s="89">
        <f t="shared" si="85"/>
        <v>1.018734280224274E-2</v>
      </c>
      <c r="L76" s="89">
        <f t="shared" si="85"/>
        <v>7.9681863258902891E-3</v>
      </c>
      <c r="M76" s="89">
        <f t="shared" si="85"/>
        <v>5.239611112715703E-3</v>
      </c>
      <c r="N76" s="89">
        <f t="shared" si="85"/>
        <v>5.3120303282782064E-3</v>
      </c>
      <c r="O76" s="89">
        <f t="shared" si="85"/>
        <v>5.4862353877913016E-3</v>
      </c>
      <c r="P76" s="89">
        <f t="shared" si="85"/>
        <v>3.9058057809249988E-3</v>
      </c>
      <c r="Q76" s="89">
        <f t="shared" si="85"/>
        <v>4.4544052071200961E-3</v>
      </c>
      <c r="R76" s="89">
        <f t="shared" si="85"/>
        <v>4.5124563562380284E-3</v>
      </c>
      <c r="S76" s="89">
        <f t="shared" si="85"/>
        <v>4.4328881932929384E-3</v>
      </c>
      <c r="T76" s="89">
        <f t="shared" ref="T76:Y76" si="86">T34/T$23</f>
        <v>4.3736411887469202E-3</v>
      </c>
      <c r="U76" s="89">
        <f t="shared" si="86"/>
        <v>5.1150584603955728E-3</v>
      </c>
      <c r="V76" s="89">
        <f t="shared" si="86"/>
        <v>5.0811459542698086E-3</v>
      </c>
      <c r="W76" s="89">
        <f t="shared" si="86"/>
        <v>4.323305496664113E-3</v>
      </c>
      <c r="X76" s="89">
        <f t="shared" si="86"/>
        <v>2.8777006210493807E-3</v>
      </c>
      <c r="Y76" s="89">
        <f t="shared" si="86"/>
        <v>4.1464773388780688E-3</v>
      </c>
      <c r="Z76" s="89">
        <f t="shared" ref="Z76:AA76" si="87">Z34/Z$23</f>
        <v>5.8668745662855048E-3</v>
      </c>
      <c r="AA76" s="89">
        <f t="shared" si="87"/>
        <v>3.6325523857672626E-3</v>
      </c>
    </row>
    <row r="77" spans="1:27" x14ac:dyDescent="0.25">
      <c r="A77" s="88" t="s">
        <v>263</v>
      </c>
      <c r="B77" s="44"/>
      <c r="C77" s="44"/>
      <c r="D77" s="89">
        <f>D37/D$23</f>
        <v>4.1807358426306299E-3</v>
      </c>
      <c r="E77" s="89">
        <f t="shared" ref="E77:S77" si="88">E37/E$23</f>
        <v>3.4303195368070639E-3</v>
      </c>
      <c r="F77" s="89">
        <f t="shared" si="88"/>
        <v>3.5385591279625864E-3</v>
      </c>
      <c r="G77" s="89">
        <f t="shared" si="88"/>
        <v>3.4635364824992542E-3</v>
      </c>
      <c r="H77" s="89">
        <f t="shared" si="88"/>
        <v>4.0214407682607556E-3</v>
      </c>
      <c r="I77" s="89">
        <f t="shared" si="88"/>
        <v>3.924098891611146E-3</v>
      </c>
      <c r="J77" s="89">
        <f t="shared" si="88"/>
        <v>3.8314736994736103E-3</v>
      </c>
      <c r="K77" s="89">
        <f t="shared" si="88"/>
        <v>4.2303350719399184E-3</v>
      </c>
      <c r="L77" s="89">
        <f t="shared" si="88"/>
        <v>3.3088214197273245E-3</v>
      </c>
      <c r="M77" s="89">
        <f t="shared" si="88"/>
        <v>1.9384306182310151E-3</v>
      </c>
      <c r="N77" s="89">
        <f t="shared" si="88"/>
        <v>2.983154493180601E-3</v>
      </c>
      <c r="O77" s="89">
        <f t="shared" si="88"/>
        <v>3.1715078931444513E-3</v>
      </c>
      <c r="P77" s="89">
        <f t="shared" si="88"/>
        <v>3.0150070236585813E-3</v>
      </c>
      <c r="Q77" s="89">
        <f t="shared" si="88"/>
        <v>2.8210098936850428E-3</v>
      </c>
      <c r="R77" s="89">
        <f t="shared" si="88"/>
        <v>2.4575662370280756E-3</v>
      </c>
      <c r="S77" s="89">
        <f t="shared" si="88"/>
        <v>2.7237562096297362E-3</v>
      </c>
      <c r="T77" s="89">
        <f t="shared" ref="T77:Y77" si="89">T37/T$23</f>
        <v>2.5471608386526453E-3</v>
      </c>
      <c r="U77" s="89">
        <f t="shared" si="89"/>
        <v>2.7665594317786216E-3</v>
      </c>
      <c r="V77" s="89">
        <f t="shared" si="89"/>
        <v>2.97463650719247E-3</v>
      </c>
      <c r="W77" s="89">
        <f t="shared" si="89"/>
        <v>2.7874366624323034E-3</v>
      </c>
      <c r="X77" s="89">
        <f t="shared" si="89"/>
        <v>2.4099237016397225E-3</v>
      </c>
      <c r="Y77" s="89">
        <f t="shared" si="89"/>
        <v>2.4418395059799562E-3</v>
      </c>
      <c r="Z77" s="89">
        <f t="shared" ref="Z77:AA77" si="90">Z37/Z$23</f>
        <v>2.2839497118330998E-3</v>
      </c>
      <c r="AA77" s="89">
        <f t="shared" si="90"/>
        <v>2.5035374963258525E-3</v>
      </c>
    </row>
    <row r="78" spans="1:27" x14ac:dyDescent="0.25">
      <c r="A78" s="68" t="s">
        <v>265</v>
      </c>
      <c r="B78" s="44"/>
      <c r="C78" s="44"/>
      <c r="D78" s="89">
        <f>D43/D$23</f>
        <v>4.3623761839235713E-2</v>
      </c>
      <c r="E78" s="89">
        <f t="shared" ref="E78:S78" si="91">E43/E$23</f>
        <v>4.3802432558206317E-2</v>
      </c>
      <c r="F78" s="89">
        <f t="shared" si="91"/>
        <v>4.3916295627220554E-2</v>
      </c>
      <c r="G78" s="89">
        <f t="shared" si="91"/>
        <v>4.2750544138981959E-2</v>
      </c>
      <c r="H78" s="89">
        <f t="shared" si="91"/>
        <v>4.0824571618008093E-2</v>
      </c>
      <c r="I78" s="89">
        <f t="shared" si="91"/>
        <v>4.2911374434803896E-2</v>
      </c>
      <c r="J78" s="89">
        <f t="shared" si="91"/>
        <v>3.7130899454042549E-2</v>
      </c>
      <c r="K78" s="89">
        <f t="shared" si="91"/>
        <v>3.8353312856401513E-2</v>
      </c>
      <c r="L78" s="89">
        <f t="shared" si="91"/>
        <v>3.430270332246229E-2</v>
      </c>
      <c r="M78" s="89">
        <f t="shared" si="91"/>
        <v>3.6627011540994944E-2</v>
      </c>
      <c r="N78" s="89">
        <f t="shared" si="91"/>
        <v>4.0039467162520354E-2</v>
      </c>
      <c r="O78" s="89">
        <f t="shared" si="91"/>
        <v>3.744910157051274E-2</v>
      </c>
      <c r="P78" s="89">
        <f t="shared" si="91"/>
        <v>3.7614227391881909E-2</v>
      </c>
      <c r="Q78" s="89">
        <f t="shared" si="91"/>
        <v>4.0433069862676183E-2</v>
      </c>
      <c r="R78" s="89">
        <f t="shared" si="91"/>
        <v>4.0451314266820963E-2</v>
      </c>
      <c r="S78" s="89">
        <f t="shared" si="91"/>
        <v>3.9000517784376756E-2</v>
      </c>
      <c r="T78" s="89">
        <f t="shared" ref="T78:Y78" si="92">T43/T$23</f>
        <v>3.8841427756913682E-2</v>
      </c>
      <c r="U78" s="89">
        <f t="shared" si="92"/>
        <v>4.0328609093572269E-2</v>
      </c>
      <c r="V78" s="89">
        <f t="shared" si="92"/>
        <v>4.3815151509243783E-2</v>
      </c>
      <c r="W78" s="89">
        <f t="shared" si="92"/>
        <v>4.4788982649518791E-2</v>
      </c>
      <c r="X78" s="89">
        <f t="shared" si="92"/>
        <v>4.8256569637572133E-2</v>
      </c>
      <c r="Y78" s="89">
        <f t="shared" si="92"/>
        <v>3.8361041796665794E-2</v>
      </c>
      <c r="Z78" s="89">
        <f t="shared" ref="Z78:AA78" si="93">Z43/Z$23</f>
        <v>4.7635055192831191E-2</v>
      </c>
      <c r="AA78" s="89">
        <f t="shared" si="93"/>
        <v>4.2671851966613453E-2</v>
      </c>
    </row>
    <row r="79" spans="1:27" x14ac:dyDescent="0.25">
      <c r="A79" s="88" t="s">
        <v>266</v>
      </c>
      <c r="B79" s="44"/>
      <c r="C79" s="44"/>
      <c r="D79" s="89">
        <f>D44/D$23</f>
        <v>3.1110716482070672E-2</v>
      </c>
      <c r="E79" s="89">
        <f t="shared" ref="E79:S79" si="94">E44/E$23</f>
        <v>3.0098706019572288E-2</v>
      </c>
      <c r="F79" s="89">
        <f t="shared" si="94"/>
        <v>2.9769296538650725E-2</v>
      </c>
      <c r="G79" s="89">
        <f t="shared" si="94"/>
        <v>2.7991890919688185E-2</v>
      </c>
      <c r="H79" s="89">
        <f t="shared" si="94"/>
        <v>2.7402023973231177E-2</v>
      </c>
      <c r="I79" s="89">
        <f t="shared" si="94"/>
        <v>2.7037297794628948E-2</v>
      </c>
      <c r="J79" s="89">
        <f t="shared" si="94"/>
        <v>2.4988052655206875E-2</v>
      </c>
      <c r="K79" s="89">
        <f t="shared" si="94"/>
        <v>2.3777442692804598E-2</v>
      </c>
      <c r="L79" s="89">
        <f t="shared" si="94"/>
        <v>2.1876592437831223E-2</v>
      </c>
      <c r="M79" s="89">
        <f t="shared" si="94"/>
        <v>2.1271165000448445E-2</v>
      </c>
      <c r="N79" s="89">
        <f t="shared" si="94"/>
        <v>2.2050199029021604E-2</v>
      </c>
      <c r="O79" s="89">
        <f t="shared" si="94"/>
        <v>2.2569489471363662E-2</v>
      </c>
      <c r="P79" s="89">
        <f t="shared" si="94"/>
        <v>2.1791935595808172E-2</v>
      </c>
      <c r="Q79" s="89">
        <f t="shared" si="94"/>
        <v>2.2364042627305604E-2</v>
      </c>
      <c r="R79" s="89">
        <f t="shared" si="94"/>
        <v>2.3502507301482338E-2</v>
      </c>
      <c r="S79" s="89">
        <f t="shared" si="94"/>
        <v>2.4081134047100928E-2</v>
      </c>
      <c r="T79" s="89">
        <f t="shared" ref="T79:Y79" si="95">T44/T$23</f>
        <v>2.1888884274672629E-2</v>
      </c>
      <c r="U79" s="89">
        <f t="shared" si="95"/>
        <v>2.313370642368652E-2</v>
      </c>
      <c r="V79" s="89">
        <f t="shared" si="95"/>
        <v>2.3163329362750736E-2</v>
      </c>
      <c r="W79" s="89">
        <f t="shared" si="95"/>
        <v>2.051163970064547E-2</v>
      </c>
      <c r="X79" s="89">
        <f t="shared" si="95"/>
        <v>2.0052637005858204E-2</v>
      </c>
      <c r="Y79" s="89">
        <f t="shared" si="95"/>
        <v>1.7111586936450349E-2</v>
      </c>
      <c r="Z79" s="89">
        <f t="shared" ref="Z79:AA79" si="96">Z44/Z$23</f>
        <v>1.9939798221956639E-2</v>
      </c>
      <c r="AA79" s="89">
        <f t="shared" si="96"/>
        <v>1.4682921444004605E-2</v>
      </c>
    </row>
    <row r="80" spans="1:27" x14ac:dyDescent="0.25">
      <c r="A80" s="88" t="s">
        <v>11</v>
      </c>
      <c r="B80" s="44"/>
      <c r="C80" s="44"/>
      <c r="D80" s="89">
        <f>D47/D$23</f>
        <v>1.2513045357165041E-2</v>
      </c>
      <c r="E80" s="89">
        <f t="shared" ref="E80:S80" si="97">E47/E$23</f>
        <v>1.3703726538634026E-2</v>
      </c>
      <c r="F80" s="89">
        <f t="shared" si="97"/>
        <v>1.4146999088569831E-2</v>
      </c>
      <c r="G80" s="89">
        <f t="shared" si="97"/>
        <v>1.4758653219293767E-2</v>
      </c>
      <c r="H80" s="89">
        <f t="shared" si="97"/>
        <v>1.3422547644776916E-2</v>
      </c>
      <c r="I80" s="89">
        <f t="shared" si="97"/>
        <v>1.5874076640174949E-2</v>
      </c>
      <c r="J80" s="89">
        <f t="shared" si="97"/>
        <v>1.2142846798835679E-2</v>
      </c>
      <c r="K80" s="89">
        <f t="shared" si="97"/>
        <v>1.4575870163596918E-2</v>
      </c>
      <c r="L80" s="89">
        <f t="shared" si="97"/>
        <v>1.2426110884631063E-2</v>
      </c>
      <c r="M80" s="89">
        <f t="shared" si="97"/>
        <v>1.5355846540546499E-2</v>
      </c>
      <c r="N80" s="89">
        <f t="shared" si="97"/>
        <v>1.7989268133498753E-2</v>
      </c>
      <c r="O80" s="89">
        <f t="shared" si="97"/>
        <v>1.4879612099149078E-2</v>
      </c>
      <c r="P80" s="89">
        <f t="shared" si="97"/>
        <v>1.582229179607374E-2</v>
      </c>
      <c r="Q80" s="89">
        <f t="shared" si="97"/>
        <v>1.8069027235370586E-2</v>
      </c>
      <c r="R80" s="89">
        <f t="shared" si="97"/>
        <v>1.6948806965338622E-2</v>
      </c>
      <c r="S80" s="89">
        <f t="shared" si="97"/>
        <v>1.4919383737275829E-2</v>
      </c>
      <c r="T80" s="89">
        <f t="shared" ref="T80:Y80" si="98">T47/T$23</f>
        <v>1.6952543482241057E-2</v>
      </c>
      <c r="U80" s="89">
        <f t="shared" si="98"/>
        <v>1.7194902669885746E-2</v>
      </c>
      <c r="V80" s="89">
        <f t="shared" si="98"/>
        <v>2.0651822146493051E-2</v>
      </c>
      <c r="W80" s="89">
        <f t="shared" si="98"/>
        <v>2.4277342948873317E-2</v>
      </c>
      <c r="X80" s="89">
        <f t="shared" si="98"/>
        <v>2.8203932631713925E-2</v>
      </c>
      <c r="Y80" s="89">
        <f t="shared" si="98"/>
        <v>2.1249454860215438E-2</v>
      </c>
      <c r="Z80" s="89">
        <f t="shared" ref="Z80:AA80" si="99">Z47/Z$23</f>
        <v>2.7695256970874545E-2</v>
      </c>
      <c r="AA80" s="89">
        <f t="shared" si="99"/>
        <v>2.798893052260884E-2</v>
      </c>
    </row>
    <row r="81" spans="1:27" x14ac:dyDescent="0.25">
      <c r="A81" s="68" t="s">
        <v>4</v>
      </c>
      <c r="B81" s="44"/>
      <c r="C81" s="44"/>
      <c r="D81" s="89">
        <f>D48/D$23</f>
        <v>9.9267185535815358E-3</v>
      </c>
      <c r="E81" s="89">
        <f t="shared" ref="E81:S81" si="100">E48/E$23</f>
        <v>9.9107194889279816E-3</v>
      </c>
      <c r="F81" s="89">
        <f t="shared" si="100"/>
        <v>9.7542246158111249E-3</v>
      </c>
      <c r="G81" s="89">
        <f t="shared" si="100"/>
        <v>9.3601433779417469E-3</v>
      </c>
      <c r="H81" s="89">
        <f t="shared" si="100"/>
        <v>8.9848643774821067E-3</v>
      </c>
      <c r="I81" s="89">
        <f t="shared" si="100"/>
        <v>8.5511364970467293E-3</v>
      </c>
      <c r="J81" s="89">
        <f t="shared" si="100"/>
        <v>8.501406442118652E-3</v>
      </c>
      <c r="K81" s="89">
        <f t="shared" si="100"/>
        <v>8.8075595691820552E-3</v>
      </c>
      <c r="L81" s="89">
        <f t="shared" si="100"/>
        <v>8.2781288218507949E-3</v>
      </c>
      <c r="M81" s="89">
        <f t="shared" si="100"/>
        <v>7.8601951884714107E-3</v>
      </c>
      <c r="N81" s="89">
        <f t="shared" si="100"/>
        <v>7.0298959138248981E-3</v>
      </c>
      <c r="O81" s="89">
        <f t="shared" si="100"/>
        <v>7.3509474711703259E-3</v>
      </c>
      <c r="P81" s="89">
        <f t="shared" si="100"/>
        <v>6.6524236091493076E-3</v>
      </c>
      <c r="Q81" s="89">
        <f t="shared" si="100"/>
        <v>6.2346540850223859E-3</v>
      </c>
      <c r="R81" s="89">
        <f t="shared" si="100"/>
        <v>6.3696478756819315E-3</v>
      </c>
      <c r="S81" s="89">
        <f t="shared" si="100"/>
        <v>6.4485494387448205E-3</v>
      </c>
      <c r="T81" s="89">
        <f t="shared" ref="T81:Y81" si="101">T48/T$23</f>
        <v>6.4415329610444366E-3</v>
      </c>
      <c r="U81" s="89">
        <f t="shared" si="101"/>
        <v>6.3224167365369269E-3</v>
      </c>
      <c r="V81" s="89">
        <f t="shared" si="101"/>
        <v>6.3774639869458158E-3</v>
      </c>
      <c r="W81" s="89">
        <f t="shared" si="101"/>
        <v>6.2677820991360192E-3</v>
      </c>
      <c r="X81" s="89">
        <f t="shared" si="101"/>
        <v>6.1323714715179533E-3</v>
      </c>
      <c r="Y81" s="89">
        <f t="shared" si="101"/>
        <v>6.0478741593021686E-3</v>
      </c>
      <c r="Z81" s="89">
        <f t="shared" ref="Z81:AA81" si="102">Z48/Z$23</f>
        <v>6.1582606906544057E-3</v>
      </c>
      <c r="AA81" s="89">
        <f t="shared" si="102"/>
        <v>5.6357425179226492E-3</v>
      </c>
    </row>
    <row r="82" spans="1:27" x14ac:dyDescent="0.25">
      <c r="A82" s="68" t="s">
        <v>3</v>
      </c>
      <c r="B82" s="44"/>
      <c r="C82" s="44"/>
      <c r="D82" s="89">
        <f>D52/D$23</f>
        <v>1.1215289289816443E-2</v>
      </c>
      <c r="E82" s="89">
        <f t="shared" ref="E82:S82" si="103">E52/E$23</f>
        <v>1.0611720569145311E-2</v>
      </c>
      <c r="F82" s="89">
        <f t="shared" si="103"/>
        <v>1.0195014979921138E-2</v>
      </c>
      <c r="G82" s="89">
        <f t="shared" si="103"/>
        <v>9.6734054405163399E-3</v>
      </c>
      <c r="H82" s="89">
        <f t="shared" si="103"/>
        <v>9.2049927995728822E-3</v>
      </c>
      <c r="I82" s="89">
        <f t="shared" si="103"/>
        <v>8.5818414058946909E-3</v>
      </c>
      <c r="J82" s="89">
        <f t="shared" si="103"/>
        <v>8.2665971548424172E-3</v>
      </c>
      <c r="K82" s="89">
        <f t="shared" si="103"/>
        <v>7.8854779152148034E-3</v>
      </c>
      <c r="L82" s="89">
        <f t="shared" si="103"/>
        <v>7.5035670607419471E-3</v>
      </c>
      <c r="M82" s="89">
        <f t="shared" si="103"/>
        <v>6.8720049300214064E-3</v>
      </c>
      <c r="N82" s="89">
        <f t="shared" si="103"/>
        <v>6.3015081874351576E-3</v>
      </c>
      <c r="O82" s="89">
        <f t="shared" si="103"/>
        <v>6.3568513353248644E-3</v>
      </c>
      <c r="P82" s="89">
        <f t="shared" si="103"/>
        <v>6.2172990659076889E-3</v>
      </c>
      <c r="Q82" s="89">
        <f t="shared" si="103"/>
        <v>5.7954104563206063E-3</v>
      </c>
      <c r="R82" s="89">
        <f t="shared" si="103"/>
        <v>5.8624014988703363E-3</v>
      </c>
      <c r="S82" s="89">
        <f t="shared" si="103"/>
        <v>5.6019491669415744E-3</v>
      </c>
      <c r="T82" s="89">
        <f t="shared" ref="T82:Y82" si="104">T52/T$23</f>
        <v>5.3100923095728185E-3</v>
      </c>
      <c r="U82" s="89">
        <f t="shared" si="104"/>
        <v>4.9831806289333579E-3</v>
      </c>
      <c r="V82" s="89">
        <f t="shared" si="104"/>
        <v>4.7454473143980084E-3</v>
      </c>
      <c r="W82" s="89">
        <f t="shared" si="104"/>
        <v>4.5392129078929205E-3</v>
      </c>
      <c r="X82" s="89">
        <f t="shared" si="104"/>
        <v>4.0330635613018244E-3</v>
      </c>
      <c r="Y82" s="89">
        <f t="shared" si="104"/>
        <v>3.7017560961161294E-3</v>
      </c>
      <c r="Z82" s="89">
        <f t="shared" ref="Z82:AA82" si="105">Z52/Z$23</f>
        <v>3.8808765627510989E-3</v>
      </c>
      <c r="AA82" s="89">
        <f t="shared" si="105"/>
        <v>3.4764149587925091E-3</v>
      </c>
    </row>
    <row r="83" spans="1:27" x14ac:dyDescent="0.25">
      <c r="A83" s="88" t="s">
        <v>21</v>
      </c>
      <c r="B83" s="44"/>
      <c r="C83" s="44"/>
      <c r="D83" s="89">
        <f>D53/D$23</f>
        <v>5.4469013504186321E-3</v>
      </c>
      <c r="E83" s="89">
        <f t="shared" ref="E83:S83" si="106">E53/E$23</f>
        <v>5.1928977611038997E-3</v>
      </c>
      <c r="F83" s="89">
        <f t="shared" si="106"/>
        <v>5.0437376078822146E-3</v>
      </c>
      <c r="G83" s="89">
        <f t="shared" si="106"/>
        <v>4.5976865457715982E-3</v>
      </c>
      <c r="H83" s="89">
        <f t="shared" si="106"/>
        <v>4.4308868494600997E-3</v>
      </c>
      <c r="I83" s="89">
        <f t="shared" si="106"/>
        <v>4.0436558781658119E-3</v>
      </c>
      <c r="J83" s="89">
        <f t="shared" si="106"/>
        <v>3.9741730472039084E-3</v>
      </c>
      <c r="K83" s="89">
        <f t="shared" si="106"/>
        <v>3.6560358186483594E-3</v>
      </c>
      <c r="L83" s="89">
        <f t="shared" si="106"/>
        <v>3.4208749490419886E-3</v>
      </c>
      <c r="M83" s="89">
        <f t="shared" si="106"/>
        <v>3.1478070952317729E-3</v>
      </c>
      <c r="N83" s="89">
        <f t="shared" si="106"/>
        <v>2.7596228146059285E-3</v>
      </c>
      <c r="O83" s="89">
        <f t="shared" si="106"/>
        <v>2.9003557879796003E-3</v>
      </c>
      <c r="P83" s="89">
        <f t="shared" si="106"/>
        <v>2.9606323157293627E-3</v>
      </c>
      <c r="Q83" s="89">
        <f t="shared" si="106"/>
        <v>2.8184091507673314E-3</v>
      </c>
      <c r="R83" s="89">
        <f t="shared" si="106"/>
        <v>2.9779026836391684E-3</v>
      </c>
      <c r="S83" s="89">
        <f t="shared" si="106"/>
        <v>2.9518272634813845E-3</v>
      </c>
      <c r="T83" s="89">
        <f t="shared" ref="T83:Y83" si="107">T53/T$23</f>
        <v>2.7523364693462378E-3</v>
      </c>
      <c r="U83" s="89">
        <f t="shared" si="107"/>
        <v>2.6347822573313264E-3</v>
      </c>
      <c r="V83" s="89">
        <f t="shared" si="107"/>
        <v>2.5487923515271796E-3</v>
      </c>
      <c r="W83" s="89">
        <f t="shared" si="107"/>
        <v>2.4857649984898031E-3</v>
      </c>
      <c r="X83" s="89">
        <f t="shared" si="107"/>
        <v>2.4270631053153998E-3</v>
      </c>
      <c r="Y83" s="89">
        <f t="shared" si="107"/>
        <v>2.0994374754231201E-3</v>
      </c>
      <c r="Z83" s="89">
        <f t="shared" ref="Z83:AA83" si="108">Z53/Z$23</f>
        <v>2.2972507539974702E-3</v>
      </c>
      <c r="AA83" s="89">
        <f t="shared" si="108"/>
        <v>2.1003576182307827E-3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5.7683879393978111E-3</v>
      </c>
      <c r="E84" s="89">
        <f t="shared" ref="E84:S84" si="110">E56/E$23</f>
        <v>5.4188228080414109E-3</v>
      </c>
      <c r="F84" s="89">
        <f t="shared" si="110"/>
        <v>5.1512773720389241E-3</v>
      </c>
      <c r="G84" s="89">
        <f t="shared" si="110"/>
        <v>5.0757188947447417E-3</v>
      </c>
      <c r="H84" s="89">
        <f t="shared" si="110"/>
        <v>4.7741059501127834E-3</v>
      </c>
      <c r="I84" s="89">
        <f t="shared" si="110"/>
        <v>4.5381855277288798E-3</v>
      </c>
      <c r="J84" s="89">
        <f t="shared" si="110"/>
        <v>4.2924241076385088E-3</v>
      </c>
      <c r="K84" s="89">
        <f t="shared" si="110"/>
        <v>4.2294420965664431E-3</v>
      </c>
      <c r="L84" s="89">
        <f t="shared" si="110"/>
        <v>4.0826921116999589E-3</v>
      </c>
      <c r="M84" s="89">
        <f t="shared" si="110"/>
        <v>3.7241978347896327E-3</v>
      </c>
      <c r="N84" s="89">
        <f t="shared" si="110"/>
        <v>3.5418853728292291E-3</v>
      </c>
      <c r="O84" s="89">
        <f t="shared" si="110"/>
        <v>3.4564955473452646E-3</v>
      </c>
      <c r="P84" s="89">
        <f t="shared" si="110"/>
        <v>3.2566667501783267E-3</v>
      </c>
      <c r="Q84" s="89">
        <f t="shared" si="110"/>
        <v>2.9770013055532745E-3</v>
      </c>
      <c r="R84" s="89">
        <f t="shared" si="110"/>
        <v>2.884498815231167E-3</v>
      </c>
      <c r="S84" s="89">
        <f t="shared" si="110"/>
        <v>2.65012190346019E-3</v>
      </c>
      <c r="T84" s="89">
        <f t="shared" ref="T84:Y84" si="111">T56/T$23</f>
        <v>2.5577558402265807E-3</v>
      </c>
      <c r="U84" s="89">
        <f t="shared" si="111"/>
        <v>2.3483983716020319E-3</v>
      </c>
      <c r="V84" s="89">
        <f t="shared" si="111"/>
        <v>2.1966549628708283E-3</v>
      </c>
      <c r="W84" s="89">
        <f t="shared" si="111"/>
        <v>2.0534479094031178E-3</v>
      </c>
      <c r="X84" s="89">
        <f t="shared" si="111"/>
        <v>1.6060004559864253E-3</v>
      </c>
      <c r="Y84" s="89">
        <f t="shared" si="111"/>
        <v>1.6023186206930091E-3</v>
      </c>
      <c r="Z84" s="89">
        <f t="shared" ref="Z84:AA84" si="112">Z56/Z$23</f>
        <v>1.5836258087536289E-3</v>
      </c>
      <c r="AA84" s="89">
        <f t="shared" si="112"/>
        <v>1.3760573405617264E-3</v>
      </c>
    </row>
    <row r="85" spans="1:27" x14ac:dyDescent="0.25">
      <c r="A85" s="68" t="s">
        <v>2</v>
      </c>
      <c r="B85" s="44"/>
      <c r="C85" s="44"/>
      <c r="D85" s="89">
        <f t="shared" si="109"/>
        <v>2.398946048864212E-2</v>
      </c>
      <c r="E85" s="89">
        <f t="shared" ref="E85:S85" si="113">E57/E$23</f>
        <v>2.3799408963185619E-2</v>
      </c>
      <c r="F85" s="89">
        <f t="shared" si="113"/>
        <v>2.3866876403281469E-2</v>
      </c>
      <c r="G85" s="89">
        <f t="shared" si="113"/>
        <v>2.3753919746150532E-2</v>
      </c>
      <c r="H85" s="89">
        <f t="shared" si="113"/>
        <v>2.4158999929770348E-2</v>
      </c>
      <c r="I85" s="89">
        <f t="shared" si="113"/>
        <v>2.3030487807080696E-2</v>
      </c>
      <c r="J85" s="89">
        <f t="shared" si="113"/>
        <v>2.184415973100028E-2</v>
      </c>
      <c r="K85" s="89">
        <f t="shared" si="113"/>
        <v>2.1399665806557246E-2</v>
      </c>
      <c r="L85" s="89">
        <f t="shared" si="113"/>
        <v>2.1206813086017125E-2</v>
      </c>
      <c r="M85" s="89">
        <f t="shared" si="113"/>
        <v>2.320993385168852E-2</v>
      </c>
      <c r="N85" s="89">
        <f t="shared" si="113"/>
        <v>2.1396004642471225E-2</v>
      </c>
      <c r="O85" s="89">
        <f t="shared" si="113"/>
        <v>2.0547404209568312E-2</v>
      </c>
      <c r="P85" s="89">
        <f t="shared" si="113"/>
        <v>2.0542428386592173E-2</v>
      </c>
      <c r="Q85" s="89">
        <f t="shared" si="113"/>
        <v>2.1467713752488623E-2</v>
      </c>
      <c r="R85" s="89">
        <f t="shared" si="113"/>
        <v>2.1503003251226095E-2</v>
      </c>
      <c r="S85" s="89">
        <f t="shared" si="113"/>
        <v>2.1334917375947154E-2</v>
      </c>
      <c r="T85" s="89">
        <f t="shared" ref="T85:Y85" si="114">T57/T$23</f>
        <v>2.103560250912374E-2</v>
      </c>
      <c r="U85" s="89">
        <f t="shared" si="114"/>
        <v>2.0924711848312509E-2</v>
      </c>
      <c r="V85" s="89">
        <f t="shared" si="114"/>
        <v>2.0677897371812245E-2</v>
      </c>
      <c r="W85" s="89">
        <f t="shared" si="114"/>
        <v>2.0674778224829125E-2</v>
      </c>
      <c r="X85" s="89">
        <f t="shared" si="114"/>
        <v>2.0390200933073584E-2</v>
      </c>
      <c r="Y85" s="89">
        <f t="shared" si="114"/>
        <v>1.9225613048784181E-2</v>
      </c>
      <c r="Z85" s="89">
        <f t="shared" ref="Z85:AA85" si="115">Z57/Z$23</f>
        <v>1.9236401638662266E-2</v>
      </c>
      <c r="AA85" s="89">
        <f t="shared" si="115"/>
        <v>1.9707232176072599E-2</v>
      </c>
    </row>
    <row r="86" spans="1:27" x14ac:dyDescent="0.25">
      <c r="A86" s="68" t="s">
        <v>269</v>
      </c>
      <c r="B86" s="44"/>
      <c r="C86" s="44"/>
      <c r="D86" s="89">
        <f t="shared" si="109"/>
        <v>1.7831789468711702E-2</v>
      </c>
      <c r="E86" s="89">
        <f t="shared" ref="E86:S86" si="116">E58/E$23</f>
        <v>1.7530939062736214E-2</v>
      </c>
      <c r="F86" s="89">
        <f t="shared" si="116"/>
        <v>1.685634691101227E-2</v>
      </c>
      <c r="G86" s="89">
        <f t="shared" si="116"/>
        <v>1.6189176934700941E-2</v>
      </c>
      <c r="H86" s="89">
        <f t="shared" si="116"/>
        <v>1.4801842886453757E-2</v>
      </c>
      <c r="I86" s="89">
        <f t="shared" si="116"/>
        <v>1.398626659735786E-2</v>
      </c>
      <c r="J86" s="89">
        <f t="shared" si="116"/>
        <v>1.3192420176910353E-2</v>
      </c>
      <c r="K86" s="89">
        <f t="shared" si="116"/>
        <v>1.2000434457998968E-2</v>
      </c>
      <c r="L86" s="89">
        <f t="shared" si="116"/>
        <v>1.1360769975540155E-2</v>
      </c>
      <c r="M86" s="89">
        <f t="shared" si="116"/>
        <v>9.3228710752467983E-3</v>
      </c>
      <c r="N86" s="89">
        <f t="shared" si="116"/>
        <v>1.0009635898493661E-2</v>
      </c>
      <c r="O86" s="89">
        <f t="shared" si="116"/>
        <v>1.0190001155308879E-2</v>
      </c>
      <c r="P86" s="89">
        <f t="shared" si="116"/>
        <v>1.0085616729286012E-2</v>
      </c>
      <c r="Q86" s="89">
        <f t="shared" si="116"/>
        <v>1.0346722098400769E-2</v>
      </c>
      <c r="R86" s="89">
        <f t="shared" si="116"/>
        <v>1.0052074723094726E-2</v>
      </c>
      <c r="S86" s="89">
        <f t="shared" si="116"/>
        <v>8.5540448515617675E-3</v>
      </c>
      <c r="T86" s="89">
        <f t="shared" ref="T86:Y86" si="117">T58/T$23</f>
        <v>7.9665749656480309E-3</v>
      </c>
      <c r="U86" s="89">
        <f t="shared" si="117"/>
        <v>8.2778580303657836E-3</v>
      </c>
      <c r="V86" s="89">
        <f t="shared" si="117"/>
        <v>7.9351540826492033E-3</v>
      </c>
      <c r="W86" s="89">
        <f t="shared" si="117"/>
        <v>7.7211132945778351E-3</v>
      </c>
      <c r="X86" s="89">
        <f t="shared" si="117"/>
        <v>6.3720873149409243E-3</v>
      </c>
      <c r="Y86" s="89">
        <f t="shared" si="117"/>
        <v>5.668790639576894E-3</v>
      </c>
      <c r="Z86" s="89">
        <f t="shared" ref="Z86:AA86" si="118">Z58/Z$23</f>
        <v>5.8445253577812176E-3</v>
      </c>
      <c r="AA86" s="89">
        <f t="shared" si="118"/>
        <v>6.3166156269626938E-3</v>
      </c>
    </row>
    <row r="87" spans="1:27" x14ac:dyDescent="0.25">
      <c r="A87" s="68" t="s">
        <v>270</v>
      </c>
      <c r="B87" s="44"/>
      <c r="C87" s="44"/>
      <c r="D87" s="89">
        <f t="shared" si="109"/>
        <v>4.3107633709990233E-2</v>
      </c>
      <c r="E87" s="89">
        <f t="shared" ref="E87:S87" si="119">E59/E$23</f>
        <v>4.0273778927907525E-2</v>
      </c>
      <c r="F87" s="89">
        <f t="shared" si="119"/>
        <v>3.9323161898048208E-2</v>
      </c>
      <c r="G87" s="89">
        <f t="shared" si="119"/>
        <v>3.7434220922411866E-2</v>
      </c>
      <c r="H87" s="89">
        <f t="shared" si="119"/>
        <v>3.6803357732473362E-2</v>
      </c>
      <c r="I87" s="89">
        <f t="shared" si="119"/>
        <v>3.5911377685911898E-2</v>
      </c>
      <c r="J87" s="89">
        <f t="shared" si="119"/>
        <v>3.6601630355703317E-2</v>
      </c>
      <c r="K87" s="89">
        <f t="shared" si="119"/>
        <v>3.6462833455483873E-2</v>
      </c>
      <c r="L87" s="89">
        <f t="shared" si="119"/>
        <v>3.5880490725642068E-2</v>
      </c>
      <c r="M87" s="89">
        <f t="shared" si="119"/>
        <v>2.9086997711474806E-2</v>
      </c>
      <c r="N87" s="89">
        <f t="shared" si="119"/>
        <v>2.9090254196849397E-2</v>
      </c>
      <c r="O87" s="89">
        <f t="shared" si="119"/>
        <v>3.0838200170231225E-2</v>
      </c>
      <c r="P87" s="89">
        <f t="shared" si="119"/>
        <v>2.9547577024387418E-2</v>
      </c>
      <c r="Q87" s="89">
        <f t="shared" si="119"/>
        <v>2.7772601506059074E-2</v>
      </c>
      <c r="R87" s="89">
        <f t="shared" si="119"/>
        <v>2.7295145203063871E-2</v>
      </c>
      <c r="S87" s="89">
        <f t="shared" si="119"/>
        <v>2.6467397971111979E-2</v>
      </c>
      <c r="T87" s="89">
        <f t="shared" ref="T87:Y87" si="120">T59/T$23</f>
        <v>2.569717978231521E-2</v>
      </c>
      <c r="U87" s="89">
        <f t="shared" si="120"/>
        <v>2.6310951279383384E-2</v>
      </c>
      <c r="V87" s="89">
        <f t="shared" si="120"/>
        <v>2.4446376664671629E-2</v>
      </c>
      <c r="W87" s="89">
        <f t="shared" si="120"/>
        <v>2.4065728977503663E-2</v>
      </c>
      <c r="X87" s="89">
        <f t="shared" si="120"/>
        <v>2.2617022360799138E-2</v>
      </c>
      <c r="Y87" s="89">
        <f t="shared" si="120"/>
        <v>2.190616456115059E-2</v>
      </c>
      <c r="Z87" s="89">
        <f t="shared" ref="Z87:AA87" si="121">Z59/Z$23</f>
        <v>2.2112538339146125E-2</v>
      </c>
      <c r="AA87" s="89">
        <f t="shared" si="121"/>
        <v>2.0574636990705303E-2</v>
      </c>
    </row>
    <row r="88" spans="1:27" x14ac:dyDescent="0.25">
      <c r="A88" s="68" t="s">
        <v>1</v>
      </c>
      <c r="B88" s="44"/>
      <c r="C88" s="44"/>
      <c r="D88" s="89">
        <f t="shared" si="109"/>
        <v>1.034180804057642E-2</v>
      </c>
      <c r="E88" s="89">
        <f t="shared" ref="E88:S88" si="122">E60/E$23</f>
        <v>9.8621561610816016E-3</v>
      </c>
      <c r="F88" s="89">
        <f t="shared" si="122"/>
        <v>9.7918430884438908E-3</v>
      </c>
      <c r="G88" s="89">
        <f t="shared" si="122"/>
        <v>8.5839363661124306E-3</v>
      </c>
      <c r="H88" s="89">
        <f t="shared" si="122"/>
        <v>8.4373751630196329E-3</v>
      </c>
      <c r="I88" s="89">
        <f t="shared" si="122"/>
        <v>7.6838131306472181E-3</v>
      </c>
      <c r="J88" s="89">
        <f t="shared" si="122"/>
        <v>7.3266704043064247E-3</v>
      </c>
      <c r="K88" s="89">
        <f t="shared" si="122"/>
        <v>6.9298007853513272E-3</v>
      </c>
      <c r="L88" s="89">
        <f t="shared" si="122"/>
        <v>5.9859738075825524E-3</v>
      </c>
      <c r="M88" s="89">
        <f t="shared" si="122"/>
        <v>4.6943859284793278E-3</v>
      </c>
      <c r="N88" s="89">
        <f t="shared" si="122"/>
        <v>4.6920360684302711E-3</v>
      </c>
      <c r="O88" s="89">
        <f t="shared" si="122"/>
        <v>4.1373025659645997E-3</v>
      </c>
      <c r="P88" s="89">
        <f t="shared" si="122"/>
        <v>3.9624842587721075E-3</v>
      </c>
      <c r="Q88" s="89">
        <f t="shared" si="122"/>
        <v>3.660363572514847E-3</v>
      </c>
      <c r="R88" s="89">
        <f t="shared" si="122"/>
        <v>3.7645340827685012E-3</v>
      </c>
      <c r="S88" s="89">
        <f t="shared" si="122"/>
        <v>3.7114590863105484E-3</v>
      </c>
      <c r="T88" s="89">
        <f t="shared" ref="T88:Y88" si="123">T60/T$23</f>
        <v>3.5019289600488096E-3</v>
      </c>
      <c r="U88" s="89">
        <f t="shared" si="123"/>
        <v>3.2350772276827657E-3</v>
      </c>
      <c r="V88" s="89">
        <f t="shared" si="123"/>
        <v>3.1426738851988247E-3</v>
      </c>
      <c r="W88" s="89">
        <f t="shared" si="123"/>
        <v>2.8936113089489401E-3</v>
      </c>
      <c r="X88" s="89">
        <f t="shared" si="123"/>
        <v>2.6868748877079598E-3</v>
      </c>
      <c r="Y88" s="89">
        <f t="shared" si="123"/>
        <v>2.4599536390802175E-3</v>
      </c>
      <c r="Z88" s="89">
        <f t="shared" ref="Z88:AA88" si="124">Z60/Z$23</f>
        <v>2.4803777727466481E-3</v>
      </c>
      <c r="AA88" s="89">
        <f t="shared" si="124"/>
        <v>2.3960984081364185E-3</v>
      </c>
    </row>
    <row r="89" spans="1:27" x14ac:dyDescent="0.25">
      <c r="A89" s="68" t="s">
        <v>0</v>
      </c>
      <c r="B89" s="44"/>
      <c r="C89" s="44"/>
      <c r="D89" s="89">
        <f t="shared" si="109"/>
        <v>2.9401807498204489E-3</v>
      </c>
      <c r="E89" s="89">
        <f t="shared" ref="E89:S89" si="125">E61/E$23</f>
        <v>3.1207216763891855E-3</v>
      </c>
      <c r="F89" s="89">
        <f t="shared" si="125"/>
        <v>3.0041621568796624E-3</v>
      </c>
      <c r="G89" s="89">
        <f t="shared" si="125"/>
        <v>3.0726680637069423E-3</v>
      </c>
      <c r="H89" s="89">
        <f t="shared" si="125"/>
        <v>3.1886527007831738E-3</v>
      </c>
      <c r="I89" s="89">
        <f t="shared" si="125"/>
        <v>3.057486452813599E-3</v>
      </c>
      <c r="J89" s="89">
        <f t="shared" si="125"/>
        <v>3.1190672726884049E-3</v>
      </c>
      <c r="K89" s="89">
        <f t="shared" si="125"/>
        <v>3.2988800312079136E-3</v>
      </c>
      <c r="L89" s="89">
        <f t="shared" si="125"/>
        <v>2.8797645739910313E-3</v>
      </c>
      <c r="M89" s="89">
        <f t="shared" si="125"/>
        <v>2.6601413105640237E-3</v>
      </c>
      <c r="N89" s="89">
        <f t="shared" si="125"/>
        <v>2.4853229565276282E-3</v>
      </c>
      <c r="O89" s="89">
        <f t="shared" si="125"/>
        <v>2.439116400906328E-3</v>
      </c>
      <c r="P89" s="89">
        <f t="shared" si="125"/>
        <v>2.3103932564046961E-3</v>
      </c>
      <c r="Q89" s="89">
        <f t="shared" si="125"/>
        <v>2.0673620177453296E-3</v>
      </c>
      <c r="R89" s="89">
        <f t="shared" si="125"/>
        <v>2.0526808838926543E-3</v>
      </c>
      <c r="S89" s="89">
        <f t="shared" si="125"/>
        <v>2.1964901788731621E-3</v>
      </c>
      <c r="T89" s="89">
        <f t="shared" ref="T89:Y89" si="126">T61/T$23</f>
        <v>2.2127343488613899E-3</v>
      </c>
      <c r="U89" s="89">
        <f t="shared" si="126"/>
        <v>2.2564726798864564E-3</v>
      </c>
      <c r="V89" s="89">
        <f t="shared" si="126"/>
        <v>2.324106765131916E-3</v>
      </c>
      <c r="W89" s="89">
        <f t="shared" si="126"/>
        <v>2.4039626813634279E-3</v>
      </c>
      <c r="X89" s="89">
        <f t="shared" si="126"/>
        <v>2.3277795973108764E-3</v>
      </c>
      <c r="Y89" s="89">
        <f t="shared" si="126"/>
        <v>2.5059299493442743E-3</v>
      </c>
      <c r="Z89" s="89">
        <f t="shared" ref="Z89:AA89" si="127">Z61/Z$23</f>
        <v>2.7215310756322458E-3</v>
      </c>
      <c r="AA89" s="89">
        <f t="shared" si="127"/>
        <v>2.4789490342347958E-3</v>
      </c>
    </row>
    <row r="90" spans="1:27" x14ac:dyDescent="0.25">
      <c r="A90" s="90" t="s">
        <v>272</v>
      </c>
      <c r="B90" s="47"/>
      <c r="C90" s="47"/>
      <c r="D90" s="91">
        <f t="shared" si="109"/>
        <v>1.2422504236187232E-2</v>
      </c>
      <c r="E90" s="91">
        <f t="shared" ref="E90:S90" si="128">E62/E$23</f>
        <v>1.3075781595089951E-2</v>
      </c>
      <c r="F90" s="91">
        <f t="shared" si="128"/>
        <v>1.2787827316490342E-2</v>
      </c>
      <c r="G90" s="91">
        <f t="shared" si="128"/>
        <v>1.1562109663161889E-2</v>
      </c>
      <c r="H90" s="91">
        <f t="shared" si="128"/>
        <v>1.1742322124530009E-2</v>
      </c>
      <c r="I90" s="91">
        <f t="shared" si="128"/>
        <v>1.1425115965216033E-2</v>
      </c>
      <c r="J90" s="91">
        <f t="shared" si="128"/>
        <v>1.0840189695561659E-2</v>
      </c>
      <c r="K90" s="91">
        <f t="shared" si="128"/>
        <v>1.0814807711564248E-2</v>
      </c>
      <c r="L90" s="91">
        <f t="shared" si="128"/>
        <v>1.0537161129229514E-2</v>
      </c>
      <c r="M90" s="91">
        <f t="shared" si="128"/>
        <v>1.0093749487661606E-2</v>
      </c>
      <c r="N90" s="91">
        <f t="shared" si="128"/>
        <v>9.6925440311304168E-3</v>
      </c>
      <c r="O90" s="91">
        <f t="shared" si="128"/>
        <v>9.855492079060852E-3</v>
      </c>
      <c r="P90" s="91">
        <f t="shared" si="128"/>
        <v>9.3844067605280117E-3</v>
      </c>
      <c r="Q90" s="91">
        <f t="shared" si="128"/>
        <v>9.197778577031893E-3</v>
      </c>
      <c r="R90" s="91">
        <f t="shared" si="128"/>
        <v>9.0543891552322692E-3</v>
      </c>
      <c r="S90" s="91">
        <f t="shared" si="128"/>
        <v>9.2487187587991793E-3</v>
      </c>
      <c r="T90" s="91">
        <f t="shared" ref="T90:Y90" si="129">T62/T$23</f>
        <v>9.7585450279164439E-3</v>
      </c>
      <c r="U90" s="91">
        <f t="shared" si="129"/>
        <v>9.2867677512551393E-3</v>
      </c>
      <c r="V90" s="91">
        <f t="shared" si="129"/>
        <v>8.8524171490177196E-3</v>
      </c>
      <c r="W90" s="91">
        <f t="shared" si="129"/>
        <v>9.2448271104531698E-3</v>
      </c>
      <c r="X90" s="91">
        <f t="shared" si="129"/>
        <v>9.2996349955465959E-3</v>
      </c>
      <c r="Y90" s="91">
        <f t="shared" si="129"/>
        <v>8.0743684501717369E-3</v>
      </c>
      <c r="Z90" s="91">
        <f t="shared" ref="Z90:AA90" si="130">Z62/Z$23</f>
        <v>8.055621832281222E-3</v>
      </c>
      <c r="AA90" s="91">
        <f t="shared" si="130"/>
        <v>7.629097628635232E-3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1.1002593075265743E-2</v>
      </c>
      <c r="F93" s="92">
        <f t="shared" ref="F93:F94" si="132">IF(E16=0,"",F16/E16-1)</f>
        <v>1.7062798624062792E-2</v>
      </c>
      <c r="G93" s="92">
        <f t="shared" ref="G93:G94" si="133">IF(F16=0,"",G16/F16-1)</f>
        <v>1.0381812765751564E-2</v>
      </c>
      <c r="H93" s="92">
        <f t="shared" ref="H93:H94" si="134">IF(G16=0,"",H16/G16-1)</f>
        <v>3.5719388239142669E-2</v>
      </c>
      <c r="I93" s="92">
        <f t="shared" ref="I93:I94" si="135">IF(H16=0,"",I16/H16-1)</f>
        <v>2.3210005337227724E-2</v>
      </c>
      <c r="J93" s="92">
        <f t="shared" ref="J93:J94" si="136">IF(I16=0,"",J16/I16-1)</f>
        <v>2.5521147593698057E-2</v>
      </c>
      <c r="K93" s="92">
        <f t="shared" ref="K93:K94" si="137">IF(J16=0,"",K16/J16-1)</f>
        <v>3.6770046027638337E-2</v>
      </c>
      <c r="L93" s="92">
        <f t="shared" ref="L93:L94" si="138">IF(K16=0,"",L16/K16-1)</f>
        <v>4.4722208248568762E-3</v>
      </c>
      <c r="M93" s="92">
        <f t="shared" ref="M93:M94" si="139">IF(L16=0,"",M16/L16-1)</f>
        <v>-1.9058935399944188E-2</v>
      </c>
      <c r="N93" s="92">
        <f t="shared" ref="N93:N94" si="140">IF(M16=0,"",N16/M16-1)</f>
        <v>2.7101685929831643E-2</v>
      </c>
      <c r="O93" s="92">
        <f t="shared" ref="O93:O94" si="141">IF(N16=0,"",O16/N16-1)</f>
        <v>1.930532449979383E-2</v>
      </c>
      <c r="P93" s="92">
        <f t="shared" ref="P93:P94" si="142">IF(O16=0,"",P16/O16-1)</f>
        <v>2.1573672648811382E-3</v>
      </c>
      <c r="Q93" s="92">
        <f t="shared" ref="Q93:Q94" si="143">IF(P16=0,"",Q16/P16-1)</f>
        <v>3.0640653167561815E-3</v>
      </c>
      <c r="R93" s="92">
        <f t="shared" ref="R93:R94" si="144">IF(Q16=0,"",R16/Q16-1)</f>
        <v>1.7646579419473785E-2</v>
      </c>
      <c r="S93" s="92">
        <f t="shared" ref="S93:S94" si="145">IF(R16=0,"",S16/R16-1)</f>
        <v>1.4745675246068624E-2</v>
      </c>
      <c r="T93" s="92">
        <f t="shared" ref="T93:T94" si="146">IF(S16=0,"",T16/S16-1)</f>
        <v>1.1937898752140352E-2</v>
      </c>
      <c r="U93" s="92">
        <f t="shared" ref="U93:U94" si="147">IF(T16=0,"",U16/T16-1)</f>
        <v>1.4742180045110631E-2</v>
      </c>
      <c r="V93" s="92">
        <f t="shared" ref="V93:V94" si="148">IF(U16=0,"",V16/U16-1)</f>
        <v>1.8775165752900502E-2</v>
      </c>
      <c r="W93" s="92">
        <f t="shared" ref="W93:W94" si="149">IF(V16=0,"",W16/V16-1)</f>
        <v>2.4428434499488727E-2</v>
      </c>
      <c r="X93" s="92">
        <f t="shared" ref="X93:X94" si="150">IF(W16=0,"",X16/W16-1)</f>
        <v>-4.7926399358763416E-2</v>
      </c>
      <c r="Y93" s="92">
        <f t="shared" ref="Y93:Y94" si="151">IF(X16=0,"",Y16/X16-1)</f>
        <v>6.2074657297668701E-2</v>
      </c>
      <c r="Z93" s="92">
        <f t="shared" ref="Z93:Z94" si="152">IF(Y16=0,"",Z16/Y16-1)</f>
        <v>4.2595270926457429E-2</v>
      </c>
      <c r="AA93" s="92">
        <f t="shared" ref="AA93:AA94" si="153">IF(Z16=0,"",AA16/Z16-1)</f>
        <v>1.2016123332911022E-2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9.433134610293159E-3</v>
      </c>
      <c r="F94" s="93">
        <f t="shared" si="132"/>
        <v>6.1115770341271247E-3</v>
      </c>
      <c r="G94" s="93">
        <f t="shared" si="133"/>
        <v>7.1800241913499985E-3</v>
      </c>
      <c r="H94" s="93">
        <f t="shared" si="134"/>
        <v>1.0640011813000783E-2</v>
      </c>
      <c r="I94" s="93">
        <f t="shared" si="135"/>
        <v>1.4436614079363697E-2</v>
      </c>
      <c r="J94" s="93">
        <f t="shared" si="136"/>
        <v>1.7750274016906875E-2</v>
      </c>
      <c r="K94" s="93">
        <f t="shared" si="137"/>
        <v>2.0930831761173385E-2</v>
      </c>
      <c r="L94" s="93">
        <f t="shared" si="138"/>
        <v>1.3743195362829752E-2</v>
      </c>
      <c r="M94" s="93">
        <f t="shared" si="139"/>
        <v>1.5448409895450599E-2</v>
      </c>
      <c r="N94" s="93">
        <f t="shared" si="140"/>
        <v>3.7976846347791859E-2</v>
      </c>
      <c r="O94" s="93">
        <f t="shared" si="141"/>
        <v>6.0803193237488617E-3</v>
      </c>
      <c r="P94" s="93">
        <f t="shared" si="142"/>
        <v>1.3934066021554337E-2</v>
      </c>
      <c r="Q94" s="93">
        <f t="shared" si="143"/>
        <v>1.3244650705395378E-2</v>
      </c>
      <c r="R94" s="93">
        <f t="shared" si="144"/>
        <v>9.9366895512156272E-3</v>
      </c>
      <c r="S94" s="93">
        <f t="shared" si="145"/>
        <v>1.6261146368916179E-2</v>
      </c>
      <c r="T94" s="93">
        <f t="shared" si="146"/>
        <v>1.6076968869627839E-2</v>
      </c>
      <c r="U94" s="93">
        <f t="shared" si="147"/>
        <v>1.9102295068204933E-2</v>
      </c>
      <c r="V94" s="93">
        <f t="shared" si="148"/>
        <v>1.6131755957476512E-2</v>
      </c>
      <c r="W94" s="93">
        <f t="shared" si="149"/>
        <v>1.4471265593439142E-2</v>
      </c>
      <c r="X94" s="93">
        <f t="shared" si="150"/>
        <v>-7.1952283538788353E-2</v>
      </c>
      <c r="Y94" s="93">
        <f t="shared" si="151"/>
        <v>5.5783785564452737E-2</v>
      </c>
      <c r="Z94" s="93">
        <f t="shared" si="152"/>
        <v>3.6360255347746451E-2</v>
      </c>
      <c r="AA94" s="93">
        <f t="shared" si="153"/>
        <v>6.0011783909221794E-3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8.6060530850706751E-3</v>
      </c>
      <c r="F95" s="92">
        <f t="shared" ref="F95:F96" si="155">IF(E20=0,"",F20/E20-1)</f>
        <v>1.2494180618531248E-2</v>
      </c>
      <c r="G95" s="92">
        <f t="shared" ref="G95:G96" si="156">IF(F20=0,"",G20/F20-1)</f>
        <v>5.8821506597035444E-3</v>
      </c>
      <c r="H95" s="92">
        <f t="shared" ref="H95:H96" si="157">IF(G20=0,"",H20/G20-1)</f>
        <v>3.1676998495924424E-2</v>
      </c>
      <c r="I95" s="92">
        <f t="shared" ref="I95:I96" si="158">IF(H20=0,"",I20/H20-1)</f>
        <v>1.8368055271897887E-2</v>
      </c>
      <c r="J95" s="92">
        <f t="shared" ref="J95:J96" si="159">IF(I20=0,"",J20/I20-1)</f>
        <v>1.9127849281276976E-2</v>
      </c>
      <c r="K95" s="92">
        <f t="shared" ref="K95:K96" si="160">IF(J20=0,"",K20/J20-1)</f>
        <v>2.9604704369043278E-2</v>
      </c>
      <c r="L95" s="92">
        <f t="shared" ref="L95:L96" si="161">IF(K20=0,"",L20/K20-1)</f>
        <v>-3.2807786864290645E-3</v>
      </c>
      <c r="M95" s="92">
        <f t="shared" ref="M95:M96" si="162">IF(L20=0,"",M20/L20-1)</f>
        <v>-2.6923738130271713E-2</v>
      </c>
      <c r="N95" s="92">
        <f t="shared" ref="N95:N96" si="163">IF(M20=0,"",N20/M20-1)</f>
        <v>1.8874851480557675E-2</v>
      </c>
      <c r="O95" s="92">
        <f t="shared" ref="O95:O96" si="164">IF(N20=0,"",O20/N20-1)</f>
        <v>4.4120062465411447E-3</v>
      </c>
      <c r="P95" s="92">
        <f t="shared" ref="P95:P96" si="165">IF(O20=0,"",P20/O20-1)</f>
        <v>-4.6514174786324025E-3</v>
      </c>
      <c r="Q95" s="92">
        <f t="shared" ref="Q95:Q96" si="166">IF(P20=0,"",Q20/P20-1)</f>
        <v>-2.527187858658908E-3</v>
      </c>
      <c r="R95" s="92">
        <f t="shared" ref="R95:R96" si="167">IF(Q20=0,"",R20/Q20-1)</f>
        <v>1.3745044447736721E-2</v>
      </c>
      <c r="S95" s="92">
        <f t="shared" ref="S95:S96" si="168">IF(R20=0,"",S20/R20-1)</f>
        <v>9.6495854437876893E-3</v>
      </c>
      <c r="T95" s="92">
        <f t="shared" ref="T95:T96" si="169">IF(S20=0,"",T20/S20-1)</f>
        <v>5.3316077680090057E-3</v>
      </c>
      <c r="U95" s="92">
        <f t="shared" ref="U95:U96" si="170">IF(T20=0,"",U20/T20-1)</f>
        <v>1.1112011707585356E-2</v>
      </c>
      <c r="V95" s="92">
        <f t="shared" ref="V95:V96" si="171">IF(U20=0,"",V20/U20-1)</f>
        <v>1.4586766485454872E-2</v>
      </c>
      <c r="W95" s="92">
        <f t="shared" ref="W95:W96" si="172">IF(V20=0,"",W20/V20-1)</f>
        <v>1.933737657570056E-2</v>
      </c>
      <c r="X95" s="92">
        <f t="shared" ref="X95:X96" si="173">IF(W20=0,"",X20/W20-1)</f>
        <v>-5.3455932810750229E-2</v>
      </c>
      <c r="Y95" s="92">
        <f t="shared" ref="Y95:Y96" si="174">IF(X20=0,"",Y20/X20-1)</f>
        <v>5.9103270038500133E-2</v>
      </c>
      <c r="Z95" s="92">
        <f t="shared" ref="Z95:Z96" si="175">IF(Y20=0,"",Z20/Y20-1)</f>
        <v>3.6954412348988441E-2</v>
      </c>
      <c r="AA95" s="92">
        <f t="shared" ref="AA95:AA96" si="176">IF(Z20=0,"",AA20/Z20-1)</f>
        <v>1.228480065843307E-3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7.0403149567224155E-3</v>
      </c>
      <c r="F96" s="93">
        <f t="shared" si="155"/>
        <v>1.5921516135628533E-3</v>
      </c>
      <c r="G96" s="93">
        <f t="shared" si="156"/>
        <v>2.6946210184475294E-3</v>
      </c>
      <c r="H96" s="93">
        <f t="shared" si="157"/>
        <v>6.6955063183373742E-3</v>
      </c>
      <c r="I96" s="93">
        <f t="shared" si="158"/>
        <v>9.6361807331359906E-3</v>
      </c>
      <c r="J96" s="93">
        <f t="shared" si="159"/>
        <v>1.1405420841907876E-2</v>
      </c>
      <c r="K96" s="93">
        <f t="shared" si="160"/>
        <v>1.3874958332546816E-2</v>
      </c>
      <c r="L96" s="93">
        <f t="shared" si="161"/>
        <v>5.9186380129379046E-3</v>
      </c>
      <c r="M96" s="93">
        <f t="shared" si="162"/>
        <v>7.3069407339891868E-3</v>
      </c>
      <c r="N96" s="93">
        <f t="shared" si="163"/>
        <v>2.9662904511202903E-2</v>
      </c>
      <c r="O96" s="93">
        <f t="shared" si="164"/>
        <v>-8.6197651591569668E-3</v>
      </c>
      <c r="P96" s="93">
        <f t="shared" si="165"/>
        <v>7.0452688873299252E-3</v>
      </c>
      <c r="Q96" s="93">
        <f t="shared" si="166"/>
        <v>7.5966491802486047E-3</v>
      </c>
      <c r="R96" s="93">
        <f t="shared" si="167"/>
        <v>6.0647133728335412E-3</v>
      </c>
      <c r="S96" s="93">
        <f t="shared" si="168"/>
        <v>1.1157445815366929E-2</v>
      </c>
      <c r="T96" s="93">
        <f t="shared" si="169"/>
        <v>9.4436565617239676E-3</v>
      </c>
      <c r="U96" s="93">
        <f t="shared" si="170"/>
        <v>1.5456528727742391E-2</v>
      </c>
      <c r="V96" s="93">
        <f t="shared" si="171"/>
        <v>1.1954224304420169E-2</v>
      </c>
      <c r="W96" s="93">
        <f t="shared" si="172"/>
        <v>9.429691383642691E-3</v>
      </c>
      <c r="X96" s="93">
        <f t="shared" si="173"/>
        <v>-7.7342277431861506E-2</v>
      </c>
      <c r="Y96" s="93">
        <f t="shared" si="174"/>
        <v>5.282999840146263E-2</v>
      </c>
      <c r="Z96" s="93">
        <f t="shared" si="175"/>
        <v>3.0753130705283738E-2</v>
      </c>
      <c r="AA96" s="93">
        <f t="shared" si="176"/>
        <v>-4.7223482293755614E-3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1.5210233197182399E-2</v>
      </c>
      <c r="F97" s="89">
        <f t="shared" ref="F97:F106" si="178">IF(E23=0,"",F23/E23-1)</f>
        <v>1.6323084604519922E-2</v>
      </c>
      <c r="G97" s="89">
        <f t="shared" ref="G97:G106" si="179">IF(F23=0,"",G23/F23-1)</f>
        <v>1.1144922835587101E-2</v>
      </c>
      <c r="H97" s="89">
        <f t="shared" ref="H97:H106" si="180">IF(G23=0,"",H23/G23-1)</f>
        <v>3.1717983525091809E-2</v>
      </c>
      <c r="I97" s="89">
        <f t="shared" ref="I97:I106" si="181">IF(H23=0,"",I23/H23-1)</f>
        <v>2.4457669783455094E-2</v>
      </c>
      <c r="J97" s="89">
        <f t="shared" ref="J97:J106" si="182">IF(I23=0,"",J23/I23-1)</f>
        <v>2.450928372558181E-2</v>
      </c>
      <c r="K97" s="89">
        <f t="shared" ref="K97:K106" si="183">IF(J23=0,"",K23/J23-1)</f>
        <v>3.7291083251793644E-2</v>
      </c>
      <c r="L97" s="89">
        <f t="shared" ref="L97:L106" si="184">IF(K23=0,"",L23/K23-1)</f>
        <v>7.8798128212467233E-3</v>
      </c>
      <c r="M97" s="89">
        <f t="shared" ref="M97:M106" si="185">IF(L23=0,"",M23/L23-1)</f>
        <v>-1.8464722650821219E-2</v>
      </c>
      <c r="N97" s="89">
        <f t="shared" ref="N97:N106" si="186">IF(M23=0,"",N23/M23-1)</f>
        <v>2.7316952432900221E-2</v>
      </c>
      <c r="O97" s="89">
        <f t="shared" ref="O97:O106" si="187">IF(N23=0,"",O23/N23-1)</f>
        <v>2.2546551543513482E-2</v>
      </c>
      <c r="P97" s="89">
        <f t="shared" ref="P97:P106" si="188">IF(O23=0,"",P23/O23-1)</f>
        <v>2.0326743922998158E-3</v>
      </c>
      <c r="Q97" s="89">
        <f t="shared" ref="Q97:Q106" si="189">IF(P23=0,"",Q23/P23-1)</f>
        <v>2.3191884853261957E-3</v>
      </c>
      <c r="R97" s="89">
        <f t="shared" ref="R97:R106" si="190">IF(Q23=0,"",R23/Q23-1)</f>
        <v>1.8880461332289711E-2</v>
      </c>
      <c r="S97" s="89">
        <f t="shared" ref="S97:S106" si="191">IF(R23=0,"",S23/R23-1)</f>
        <v>1.5450831580977598E-2</v>
      </c>
      <c r="T97" s="89">
        <f t="shared" ref="T97:T106" si="192">IF(S23=0,"",T23/S23-1)</f>
        <v>8.6926858951461572E-3</v>
      </c>
      <c r="U97" s="89">
        <f t="shared" ref="U97:U106" si="193">IF(T23=0,"",U23/T23-1)</f>
        <v>1.4268070742878836E-2</v>
      </c>
      <c r="V97" s="89">
        <f t="shared" ref="V97:V106" si="194">IF(U23=0,"",V23/U23-1)</f>
        <v>1.9213796682211015E-2</v>
      </c>
      <c r="W97" s="89">
        <f t="shared" ref="W97:W106" si="195">IF(V23=0,"",W23/V23-1)</f>
        <v>2.6123295565563254E-2</v>
      </c>
      <c r="X97" s="89">
        <f t="shared" ref="X97:X106" si="196">IF(W23=0,"",X23/W23-1)</f>
        <v>-4.2038949512398172E-2</v>
      </c>
      <c r="Y97" s="89">
        <f t="shared" ref="Y97:Y106" si="197">IF(X23=0,"",Y23/X23-1)</f>
        <v>5.6931880784246935E-2</v>
      </c>
      <c r="Z97" s="89">
        <f t="shared" ref="Z97:Z108" si="198">IF(Y23=0,"",Z23/Y23-1)</f>
        <v>4.5491450109519604E-2</v>
      </c>
      <c r="AA97" s="89">
        <f t="shared" ref="AA97:AA108" si="199">IF(Z23=0,"",AA23/Z23-1)</f>
        <v>1.0694437133966783E-2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-4.6705782719475564E-2</v>
      </c>
      <c r="F98" s="83">
        <f t="shared" si="178"/>
        <v>-5.2590852980293312E-2</v>
      </c>
      <c r="G98" s="83">
        <f t="shared" si="179"/>
        <v>6.7535648929126779E-3</v>
      </c>
      <c r="H98" s="83">
        <f t="shared" si="180"/>
        <v>2.9081044197664996E-2</v>
      </c>
      <c r="I98" s="83">
        <f t="shared" si="181"/>
        <v>-0.15866420357551614</v>
      </c>
      <c r="J98" s="83">
        <f t="shared" si="182"/>
        <v>0.10686022607795786</v>
      </c>
      <c r="K98" s="83">
        <f t="shared" si="183"/>
        <v>1.4404489843248491E-2</v>
      </c>
      <c r="L98" s="83">
        <f t="shared" si="184"/>
        <v>-0.19143995537058978</v>
      </c>
      <c r="M98" s="83">
        <f t="shared" si="185"/>
        <v>-1.1851921841871671E-2</v>
      </c>
      <c r="N98" s="83">
        <f t="shared" si="186"/>
        <v>0.21250268910559234</v>
      </c>
      <c r="O98" s="83">
        <f t="shared" si="187"/>
        <v>-0.12577348132636612</v>
      </c>
      <c r="P98" s="83">
        <f t="shared" si="188"/>
        <v>0.16624134431883641</v>
      </c>
      <c r="Q98" s="83">
        <f t="shared" si="189"/>
        <v>-9.2297797969424389E-2</v>
      </c>
      <c r="R98" s="83">
        <f t="shared" si="190"/>
        <v>-4.6671527636868659E-2</v>
      </c>
      <c r="S98" s="83">
        <f t="shared" si="191"/>
        <v>6.3413587675765104E-2</v>
      </c>
      <c r="T98" s="83">
        <f t="shared" si="192"/>
        <v>-9.236407805773883E-2</v>
      </c>
      <c r="U98" s="83">
        <f t="shared" si="193"/>
        <v>9.9858698782226307E-2</v>
      </c>
      <c r="V98" s="83">
        <f t="shared" si="194"/>
        <v>-7.1500999002648058E-2</v>
      </c>
      <c r="W98" s="83">
        <f t="shared" si="195"/>
        <v>0.10738697321380242</v>
      </c>
      <c r="X98" s="83">
        <f t="shared" si="196"/>
        <v>-5.6718451847545648E-2</v>
      </c>
      <c r="Y98" s="83">
        <f t="shared" si="197"/>
        <v>-2.098142504045597E-2</v>
      </c>
      <c r="Z98" s="83">
        <f t="shared" si="198"/>
        <v>0.10301120288052368</v>
      </c>
      <c r="AA98" s="83">
        <f t="shared" si="199"/>
        <v>0.11278544787969125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-0.1505769645751267</v>
      </c>
      <c r="F99" s="83">
        <f t="shared" si="178"/>
        <v>2.2438912426783642E-2</v>
      </c>
      <c r="G99" s="83">
        <f t="shared" si="179"/>
        <v>7.4086648047904102E-3</v>
      </c>
      <c r="H99" s="83">
        <f t="shared" si="180"/>
        <v>-6.1701828561454786E-2</v>
      </c>
      <c r="I99" s="83">
        <f t="shared" si="181"/>
        <v>2.4560657263976271E-2</v>
      </c>
      <c r="J99" s="83">
        <f t="shared" si="182"/>
        <v>0.10820770354257503</v>
      </c>
      <c r="K99" s="83">
        <f t="shared" si="183"/>
        <v>-0.11240141843505502</v>
      </c>
      <c r="L99" s="83">
        <f t="shared" si="184"/>
        <v>1.537962267384918E-2</v>
      </c>
      <c r="M99" s="83">
        <f t="shared" si="185"/>
        <v>-0.11668460377839895</v>
      </c>
      <c r="N99" s="83">
        <f t="shared" si="186"/>
        <v>-4.541028463397323E-3</v>
      </c>
      <c r="O99" s="83">
        <f t="shared" si="187"/>
        <v>3.0425496443746258E-2</v>
      </c>
      <c r="P99" s="83">
        <f t="shared" si="188"/>
        <v>-0.10459786998877763</v>
      </c>
      <c r="Q99" s="83">
        <f t="shared" si="189"/>
        <v>-8.4124718468805426E-2</v>
      </c>
      <c r="R99" s="83">
        <f t="shared" si="190"/>
        <v>1.2152860134694299E-2</v>
      </c>
      <c r="S99" s="83">
        <f t="shared" si="191"/>
        <v>-0.22850384779516331</v>
      </c>
      <c r="T99" s="83">
        <f t="shared" si="192"/>
        <v>6.562954103751828E-2</v>
      </c>
      <c r="U99" s="83">
        <f t="shared" si="193"/>
        <v>2.3968685215425278E-2</v>
      </c>
      <c r="V99" s="83">
        <f t="shared" si="194"/>
        <v>-2.4412985058041126E-2</v>
      </c>
      <c r="W99" s="83">
        <f t="shared" si="195"/>
        <v>0.13294320531096515</v>
      </c>
      <c r="X99" s="83">
        <f t="shared" si="196"/>
        <v>-8.4326511919199931E-2</v>
      </c>
      <c r="Y99" s="83">
        <f t="shared" si="197"/>
        <v>9.4728478021463891E-2</v>
      </c>
      <c r="Z99" s="83">
        <f t="shared" si="198"/>
        <v>-0.11300316605568994</v>
      </c>
      <c r="AA99" s="83">
        <f t="shared" si="199"/>
        <v>-2.4166912457601719E-2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2.7649663133208824E-2</v>
      </c>
      <c r="F100" s="83">
        <f t="shared" si="178"/>
        <v>2.4763695088285465E-2</v>
      </c>
      <c r="G100" s="83">
        <f t="shared" si="179"/>
        <v>2.1747632103011449E-2</v>
      </c>
      <c r="H100" s="83">
        <f t="shared" si="180"/>
        <v>3.50294429807958E-2</v>
      </c>
      <c r="I100" s="83">
        <f t="shared" si="181"/>
        <v>3.3324358277955879E-2</v>
      </c>
      <c r="J100" s="83">
        <f t="shared" si="182"/>
        <v>2.960356013962695E-2</v>
      </c>
      <c r="K100" s="83">
        <f t="shared" si="183"/>
        <v>3.5409143675008581E-2</v>
      </c>
      <c r="L100" s="83">
        <f t="shared" si="184"/>
        <v>2.066400976975924E-2</v>
      </c>
      <c r="M100" s="83">
        <f t="shared" si="185"/>
        <v>2.8670190543551577E-3</v>
      </c>
      <c r="N100" s="83">
        <f t="shared" si="186"/>
        <v>2.3491892995192609E-2</v>
      </c>
      <c r="O100" s="83">
        <f t="shared" si="187"/>
        <v>2.3913162042709546E-2</v>
      </c>
      <c r="P100" s="83">
        <f t="shared" si="188"/>
        <v>1.1493806748714919E-2</v>
      </c>
      <c r="Q100" s="83">
        <f t="shared" si="189"/>
        <v>4.4245017732977843E-3</v>
      </c>
      <c r="R100" s="83">
        <f t="shared" si="190"/>
        <v>2.4350540977401858E-2</v>
      </c>
      <c r="S100" s="83">
        <f t="shared" si="191"/>
        <v>1.7066363313641864E-2</v>
      </c>
      <c r="T100" s="83">
        <f t="shared" si="192"/>
        <v>1.4260520525184894E-2</v>
      </c>
      <c r="U100" s="83">
        <f t="shared" si="193"/>
        <v>1.3344993582655729E-2</v>
      </c>
      <c r="V100" s="83">
        <f t="shared" si="194"/>
        <v>2.2350527859939628E-2</v>
      </c>
      <c r="W100" s="83">
        <f t="shared" si="195"/>
        <v>2.208174376005223E-2</v>
      </c>
      <c r="X100" s="83">
        <f t="shared" si="196"/>
        <v>-3.8797643328938536E-2</v>
      </c>
      <c r="Y100" s="83">
        <f t="shared" si="197"/>
        <v>7.0740945807710842E-2</v>
      </c>
      <c r="Z100" s="83">
        <f t="shared" si="198"/>
        <v>2.5449271388207961E-2</v>
      </c>
      <c r="AA100" s="83">
        <f t="shared" si="199"/>
        <v>2.3926955388116955E-2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1.9490008835585382E-2</v>
      </c>
      <c r="F101" s="84">
        <f t="shared" si="178"/>
        <v>2.5014781235768391E-2</v>
      </c>
      <c r="G101" s="84">
        <f t="shared" si="179"/>
        <v>3.1059561352156484E-2</v>
      </c>
      <c r="H101" s="84">
        <f t="shared" si="180"/>
        <v>1.8996990559125626E-2</v>
      </c>
      <c r="I101" s="84">
        <f t="shared" si="181"/>
        <v>3.8326504029041697E-2</v>
      </c>
      <c r="J101" s="84">
        <f t="shared" si="182"/>
        <v>2.7111878636522757E-2</v>
      </c>
      <c r="K101" s="84">
        <f t="shared" si="183"/>
        <v>2.5420793839032063E-2</v>
      </c>
      <c r="L101" s="84">
        <f t="shared" si="184"/>
        <v>4.2567401225698909E-2</v>
      </c>
      <c r="M101" s="84">
        <f t="shared" si="185"/>
        <v>7.0479807190024779E-3</v>
      </c>
      <c r="N101" s="84">
        <f t="shared" si="186"/>
        <v>1.4894059845508956E-2</v>
      </c>
      <c r="O101" s="84">
        <f t="shared" si="187"/>
        <v>1.7661864551752338E-2</v>
      </c>
      <c r="P101" s="84">
        <f t="shared" si="188"/>
        <v>1.3771907282758677E-2</v>
      </c>
      <c r="Q101" s="84">
        <f t="shared" si="189"/>
        <v>6.2060872375711007E-3</v>
      </c>
      <c r="R101" s="84">
        <f t="shared" si="190"/>
        <v>1.7480252958509856E-2</v>
      </c>
      <c r="S101" s="84">
        <f t="shared" si="191"/>
        <v>6.9700023140850664E-3</v>
      </c>
      <c r="T101" s="84">
        <f t="shared" si="192"/>
        <v>3.1889854393596373E-3</v>
      </c>
      <c r="U101" s="84">
        <f t="shared" si="193"/>
        <v>1.3183803513139303E-2</v>
      </c>
      <c r="V101" s="84">
        <f t="shared" si="194"/>
        <v>2.3713601660718675E-2</v>
      </c>
      <c r="W101" s="84">
        <f t="shared" si="195"/>
        <v>1.6241845238244235E-2</v>
      </c>
      <c r="X101" s="84">
        <f t="shared" si="196"/>
        <v>-5.7559675816990508E-2</v>
      </c>
      <c r="Y101" s="84">
        <f t="shared" si="197"/>
        <v>6.4899864163590726E-2</v>
      </c>
      <c r="Z101" s="84">
        <f t="shared" si="198"/>
        <v>3.4115266382213294E-2</v>
      </c>
      <c r="AA101" s="84">
        <f t="shared" si="199"/>
        <v>3.4465187613852866E-2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2.7334570546439174E-2</v>
      </c>
      <c r="F102" s="84">
        <f t="shared" si="178"/>
        <v>3.4781490547324267E-3</v>
      </c>
      <c r="G102" s="84">
        <f t="shared" si="179"/>
        <v>-6.7674931394616777E-3</v>
      </c>
      <c r="H102" s="84">
        <f t="shared" si="180"/>
        <v>4.2261585016149184E-2</v>
      </c>
      <c r="I102" s="84">
        <f t="shared" si="181"/>
        <v>3.5643997509013481E-2</v>
      </c>
      <c r="J102" s="84">
        <f t="shared" si="182"/>
        <v>4.1014890609714305E-2</v>
      </c>
      <c r="K102" s="84">
        <f t="shared" si="183"/>
        <v>3.9887276506242797E-2</v>
      </c>
      <c r="L102" s="84">
        <f t="shared" si="184"/>
        <v>5.4697541782322556E-3</v>
      </c>
      <c r="M102" s="84">
        <f t="shared" si="185"/>
        <v>1.7006928419386114E-2</v>
      </c>
      <c r="N102" s="84">
        <f t="shared" si="186"/>
        <v>3.034626146323105E-2</v>
      </c>
      <c r="O102" s="84">
        <f t="shared" si="187"/>
        <v>2.6123114658380908E-2</v>
      </c>
      <c r="P102" s="84">
        <f t="shared" si="188"/>
        <v>2.1452999880594348E-2</v>
      </c>
      <c r="Q102" s="84">
        <f t="shared" si="189"/>
        <v>9.1780223398247873E-3</v>
      </c>
      <c r="R102" s="84">
        <f t="shared" si="190"/>
        <v>3.7277085634290996E-2</v>
      </c>
      <c r="S102" s="84">
        <f t="shared" si="191"/>
        <v>3.1205856305884794E-2</v>
      </c>
      <c r="T102" s="84">
        <f t="shared" si="192"/>
        <v>1.746748026048528E-2</v>
      </c>
      <c r="U102" s="84">
        <f t="shared" si="193"/>
        <v>3.1500271493693832E-2</v>
      </c>
      <c r="V102" s="84">
        <f t="shared" si="194"/>
        <v>2.6904775957210747E-2</v>
      </c>
      <c r="W102" s="84">
        <f t="shared" si="195"/>
        <v>2.7791183548709242E-2</v>
      </c>
      <c r="X102" s="84">
        <f t="shared" si="196"/>
        <v>-2.4843541033794714E-2</v>
      </c>
      <c r="Y102" s="84">
        <f t="shared" si="197"/>
        <v>5.9772575228806968E-2</v>
      </c>
      <c r="Z102" s="84">
        <f t="shared" si="198"/>
        <v>7.2782898079730707E-3</v>
      </c>
      <c r="AA102" s="84">
        <f t="shared" si="199"/>
        <v>2.5977696345212742E-2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4.7192821228563719E-2</v>
      </c>
      <c r="F103" s="84">
        <f t="shared" si="178"/>
        <v>7.844084428693332E-2</v>
      </c>
      <c r="G103" s="84">
        <f t="shared" si="179"/>
        <v>6.9583884039818411E-2</v>
      </c>
      <c r="H103" s="84">
        <f t="shared" si="180"/>
        <v>5.1923420866751613E-2</v>
      </c>
      <c r="I103" s="84">
        <f t="shared" si="181"/>
        <v>1.83454580032687E-2</v>
      </c>
      <c r="J103" s="84">
        <f t="shared" si="182"/>
        <v>9.3241945384294755E-3</v>
      </c>
      <c r="K103" s="84">
        <f t="shared" si="183"/>
        <v>4.5712089549666768E-2</v>
      </c>
      <c r="L103" s="84">
        <f t="shared" si="184"/>
        <v>1.1048936649094898E-2</v>
      </c>
      <c r="M103" s="84">
        <f t="shared" si="185"/>
        <v>-3.782864026193955E-2</v>
      </c>
      <c r="N103" s="84">
        <f t="shared" si="186"/>
        <v>2.5817783644780823E-2</v>
      </c>
      <c r="O103" s="84">
        <f t="shared" si="187"/>
        <v>3.2070435941906617E-2</v>
      </c>
      <c r="P103" s="84">
        <f t="shared" si="188"/>
        <v>-1.7133917515041897E-2</v>
      </c>
      <c r="Q103" s="84">
        <f t="shared" si="189"/>
        <v>-1.1278946311114035E-2</v>
      </c>
      <c r="R103" s="84">
        <f t="shared" si="190"/>
        <v>6.9163010776183143E-3</v>
      </c>
      <c r="S103" s="84">
        <f t="shared" si="191"/>
        <v>2.9078364020771463E-3</v>
      </c>
      <c r="T103" s="84">
        <f t="shared" si="192"/>
        <v>3.0699598898128455E-2</v>
      </c>
      <c r="U103" s="84">
        <f t="shared" si="193"/>
        <v>-3.4399782787022826E-2</v>
      </c>
      <c r="V103" s="84">
        <f t="shared" si="194"/>
        <v>6.3121391535567728E-3</v>
      </c>
      <c r="W103" s="84">
        <f t="shared" si="195"/>
        <v>1.9317744257490999E-2</v>
      </c>
      <c r="X103" s="84">
        <f t="shared" si="196"/>
        <v>-3.5470514017883259E-2</v>
      </c>
      <c r="Y103" s="84">
        <f t="shared" si="197"/>
        <v>0.11640690744677729</v>
      </c>
      <c r="Z103" s="84">
        <f t="shared" si="198"/>
        <v>5.7308309968818749E-2</v>
      </c>
      <c r="AA103" s="84">
        <f t="shared" si="199"/>
        <v>-4.0426788175261796E-3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-1.9515628583761324E-2</v>
      </c>
      <c r="F104" s="83">
        <f t="shared" si="178"/>
        <v>-3.8096707001636698E-2</v>
      </c>
      <c r="G104" s="83">
        <f t="shared" si="179"/>
        <v>4.3058354695393319E-3</v>
      </c>
      <c r="H104" s="83">
        <f t="shared" si="180"/>
        <v>1.767422331991142E-2</v>
      </c>
      <c r="I104" s="83">
        <f t="shared" si="181"/>
        <v>-5.8618755976050929E-3</v>
      </c>
      <c r="J104" s="83">
        <f t="shared" si="182"/>
        <v>4.1185494028843861E-2</v>
      </c>
      <c r="K104" s="83">
        <f t="shared" si="183"/>
        <v>2.8852701162423555E-2</v>
      </c>
      <c r="L104" s="83">
        <f t="shared" si="184"/>
        <v>3.312119366459676E-2</v>
      </c>
      <c r="M104" s="83">
        <f t="shared" si="185"/>
        <v>-0.16046887982130909</v>
      </c>
      <c r="N104" s="83">
        <f t="shared" si="186"/>
        <v>0.11848256319630979</v>
      </c>
      <c r="O104" s="83">
        <f t="shared" si="187"/>
        <v>3.3004174079334092E-2</v>
      </c>
      <c r="P104" s="83">
        <f t="shared" si="188"/>
        <v>-9.3302393106354797E-2</v>
      </c>
      <c r="Q104" s="83">
        <f t="shared" si="189"/>
        <v>-1.7012637444799195E-2</v>
      </c>
      <c r="R104" s="83">
        <f t="shared" si="190"/>
        <v>-7.7968884910855296E-2</v>
      </c>
      <c r="S104" s="83">
        <f t="shared" si="191"/>
        <v>0.17942649961460755</v>
      </c>
      <c r="T104" s="83">
        <f t="shared" si="192"/>
        <v>-4.1665594444373344E-2</v>
      </c>
      <c r="U104" s="83">
        <f t="shared" si="193"/>
        <v>-4.1113445773305668E-2</v>
      </c>
      <c r="V104" s="83">
        <f t="shared" si="194"/>
        <v>-0.17904957040140101</v>
      </c>
      <c r="W104" s="83">
        <f t="shared" si="195"/>
        <v>0.19508346766596985</v>
      </c>
      <c r="X104" s="83">
        <f t="shared" si="196"/>
        <v>-5.3324970951434958E-2</v>
      </c>
      <c r="Y104" s="83">
        <f t="shared" si="197"/>
        <v>9.5742504780223392E-2</v>
      </c>
      <c r="Z104" s="83">
        <f t="shared" si="198"/>
        <v>0.27344854012870212</v>
      </c>
      <c r="AA104" s="83">
        <f t="shared" si="199"/>
        <v>-8.895750211671738E-2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-4.597974736120225E-4</v>
      </c>
      <c r="F105" s="83">
        <f t="shared" si="178"/>
        <v>-1.6107008541513701E-2</v>
      </c>
      <c r="G105" s="83">
        <f t="shared" si="179"/>
        <v>9.8020337703781379E-3</v>
      </c>
      <c r="H105" s="83">
        <f t="shared" si="180"/>
        <v>4.1207446729962571E-2</v>
      </c>
      <c r="I105" s="83">
        <f t="shared" si="181"/>
        <v>1.8593165850016691E-2</v>
      </c>
      <c r="J105" s="83">
        <f t="shared" si="182"/>
        <v>0.10077102719521092</v>
      </c>
      <c r="K105" s="83">
        <f t="shared" si="183"/>
        <v>6.6296347814941203E-2</v>
      </c>
      <c r="L105" s="83">
        <f t="shared" si="184"/>
        <v>6.3338990514348659E-2</v>
      </c>
      <c r="M105" s="83">
        <f t="shared" si="185"/>
        <v>-3.9145560345310249E-2</v>
      </c>
      <c r="N105" s="83">
        <f t="shared" si="186"/>
        <v>-6.6664087545557082E-3</v>
      </c>
      <c r="O105" s="83">
        <f t="shared" si="187"/>
        <v>4.7116297860760437E-2</v>
      </c>
      <c r="P105" s="83">
        <f t="shared" si="188"/>
        <v>-2.8653028146237602E-2</v>
      </c>
      <c r="Q105" s="83">
        <f t="shared" si="189"/>
        <v>-2.1425695343934903E-2</v>
      </c>
      <c r="R105" s="83">
        <f t="shared" si="190"/>
        <v>3.7571237972429117E-3</v>
      </c>
      <c r="S105" s="83">
        <f t="shared" si="191"/>
        <v>-1.1495567365530368E-3</v>
      </c>
      <c r="T105" s="83">
        <f t="shared" si="192"/>
        <v>5.3788683524946812E-4</v>
      </c>
      <c r="U105" s="83">
        <f t="shared" si="193"/>
        <v>-3.760265666735374E-3</v>
      </c>
      <c r="V105" s="83">
        <f t="shared" si="194"/>
        <v>5.1936464389617187E-2</v>
      </c>
      <c r="W105" s="83">
        <f t="shared" si="195"/>
        <v>3.645855869957404E-2</v>
      </c>
      <c r="X105" s="83">
        <f t="shared" si="196"/>
        <v>-4.2016011210657123E-2</v>
      </c>
      <c r="Y105" s="83">
        <f t="shared" si="197"/>
        <v>0.10541919688046253</v>
      </c>
      <c r="Z105" s="83">
        <f t="shared" si="198"/>
        <v>3.0765314152413792E-2</v>
      </c>
      <c r="AA105" s="83">
        <f t="shared" si="199"/>
        <v>1.9112718377831461E-2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-1.6742789764360722E-2</v>
      </c>
      <c r="F106" s="83">
        <f t="shared" si="178"/>
        <v>4.5761531898451668E-3</v>
      </c>
      <c r="G106" s="83">
        <f t="shared" si="179"/>
        <v>-2.9908422210963237E-2</v>
      </c>
      <c r="H106" s="83">
        <f t="shared" si="180"/>
        <v>1.7906915002619872E-2</v>
      </c>
      <c r="I106" s="83">
        <f t="shared" si="181"/>
        <v>4.5480560104333989E-3</v>
      </c>
      <c r="J106" s="83">
        <f t="shared" si="182"/>
        <v>-2.796797711887411E-2</v>
      </c>
      <c r="K106" s="83">
        <f t="shared" si="183"/>
        <v>4.0464416700487948E-2</v>
      </c>
      <c r="L106" s="83">
        <f t="shared" si="184"/>
        <v>-6.224528620246883E-2</v>
      </c>
      <c r="M106" s="83">
        <f t="shared" si="185"/>
        <v>-9.4817144355931138E-2</v>
      </c>
      <c r="N106" s="83">
        <f t="shared" si="186"/>
        <v>3.7966898215694433E-2</v>
      </c>
      <c r="O106" s="83">
        <f t="shared" si="187"/>
        <v>1.3649539631100049E-2</v>
      </c>
      <c r="P106" s="83">
        <f t="shared" si="188"/>
        <v>-3.1298755915309173E-2</v>
      </c>
      <c r="Q106" s="83">
        <f t="shared" si="189"/>
        <v>9.9429488155522439E-3</v>
      </c>
      <c r="R106" s="83">
        <f t="shared" si="190"/>
        <v>1.2233107783906627E-2</v>
      </c>
      <c r="S106" s="83">
        <f t="shared" si="191"/>
        <v>-1.2372853666396399E-2</v>
      </c>
      <c r="T106" s="83">
        <f t="shared" si="192"/>
        <v>-7.1255435504088416E-3</v>
      </c>
      <c r="U106" s="83">
        <f t="shared" si="193"/>
        <v>3.1118010984396038E-2</v>
      </c>
      <c r="V106" s="83">
        <f t="shared" si="194"/>
        <v>2.3648512745087391E-2</v>
      </c>
      <c r="W106" s="83">
        <f t="shared" si="195"/>
        <v>2.0915015523272906E-2</v>
      </c>
      <c r="X106" s="83">
        <f t="shared" si="196"/>
        <v>-5.9080768196019706E-2</v>
      </c>
      <c r="Y106" s="83">
        <f t="shared" si="197"/>
        <v>-4.9782514787999443E-2</v>
      </c>
      <c r="Z106" s="83">
        <f t="shared" si="198"/>
        <v>0.15261665453738993</v>
      </c>
      <c r="AA106" s="83">
        <f t="shared" si="199"/>
        <v>-6.3367469056090808E-2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-0.16701374399405433</v>
      </c>
      <c r="F107" s="87">
        <f t="shared" ref="F107:F108" si="201">IF(E33=0,"",F33/E33-1)</f>
        <v>4.8391932412764183E-2</v>
      </c>
      <c r="G107" s="87">
        <f t="shared" ref="G107:G108" si="202">IF(F33=0,"",G33/F33-1)</f>
        <v>-1.0292833130813972E-2</v>
      </c>
      <c r="H107" s="87">
        <f t="shared" ref="H107:H108" si="203">IF(G33=0,"",H33/G33-1)</f>
        <v>0.19790646966181491</v>
      </c>
      <c r="I107" s="87">
        <f t="shared" ref="I107:I108" si="204">IF(H33=0,"",I33/H33-1)</f>
        <v>-3.4006761252225459E-4</v>
      </c>
      <c r="J107" s="87">
        <f t="shared" ref="J107:J108" si="205">IF(I33=0,"",J33/I33-1)</f>
        <v>3.2656767460825797E-4</v>
      </c>
      <c r="K107" s="87">
        <f t="shared" ref="K107:K108" si="206">IF(J33=0,"",K33/J33-1)</f>
        <v>0.14527442792925171</v>
      </c>
      <c r="L107" s="87">
        <f t="shared" ref="L107:L108" si="207">IF(K33=0,"",L33/K33-1)</f>
        <v>-0.21167135546915095</v>
      </c>
      <c r="M107" s="87">
        <f t="shared" ref="M107:M108" si="208">IF(L33=0,"",M33/L33-1)</f>
        <v>-0.37523309905087754</v>
      </c>
      <c r="N107" s="87">
        <f t="shared" ref="N107:N108" si="209">IF(M33=0,"",N33/M33-1)</f>
        <v>0.18720178985707392</v>
      </c>
      <c r="O107" s="87">
        <f t="shared" ref="O107:O108" si="210">IF(N33=0,"",O33/N33-1)</f>
        <v>6.7239094319899939E-2</v>
      </c>
      <c r="P107" s="87">
        <f t="shared" ref="P107:P108" si="211">IF(O33=0,"",P33/O33-1)</f>
        <v>-0.19899674331810213</v>
      </c>
      <c r="Q107" s="87">
        <f t="shared" ref="Q107:Q108" si="212">IF(P33=0,"",Q33/P33-1)</f>
        <v>5.3675105170203352E-2</v>
      </c>
      <c r="R107" s="87">
        <f t="shared" ref="R107:R108" si="213">IF(Q33=0,"",R33/Q33-1)</f>
        <v>-2.3888020556030676E-2</v>
      </c>
      <c r="S107" s="87">
        <f t="shared" ref="S107:S108" si="214">IF(R33=0,"",S33/R33-1)</f>
        <v>4.2639448155907811E-2</v>
      </c>
      <c r="T107" s="87">
        <f t="shared" ref="T107:T108" si="215">IF(S33=0,"",T33/S33-1)</f>
        <v>-2.4548099285845337E-2</v>
      </c>
      <c r="U107" s="87">
        <f t="shared" ref="U107:U108" si="216">IF(T33=0,"",U33/T33-1)</f>
        <v>0.15507904173236153</v>
      </c>
      <c r="V107" s="87">
        <f t="shared" ref="V107:V108" si="217">IF(U33=0,"",V33/U33-1)</f>
        <v>4.1735940528829785E-2</v>
      </c>
      <c r="W107" s="87">
        <f t="shared" ref="W107:W108" si="218">IF(V33=0,"",W33/V33-1)</f>
        <v>-9.4253325097293006E-2</v>
      </c>
      <c r="X107" s="87">
        <f t="shared" ref="X107:X108" si="219">IF(W33=0,"",X33/W33-1)</f>
        <v>-0.28764986306426343</v>
      </c>
      <c r="Y107" s="87">
        <f t="shared" ref="Y107:Y108" si="220">IF(X33=0,"",Y33/X33-1)</f>
        <v>0.31692451828668911</v>
      </c>
      <c r="Z107" s="87">
        <f t="shared" si="198"/>
        <v>0.29344372694658039</v>
      </c>
      <c r="AA107" s="87">
        <f t="shared" si="199"/>
        <v>-0.23913070654284485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-0.16701374399405433</v>
      </c>
      <c r="F108" s="89">
        <f t="shared" si="201"/>
        <v>4.8391932412763961E-2</v>
      </c>
      <c r="G108" s="89">
        <f t="shared" si="202"/>
        <v>-1.0292833130814083E-2</v>
      </c>
      <c r="H108" s="89">
        <f t="shared" si="203"/>
        <v>0.19790646966181469</v>
      </c>
      <c r="I108" s="89">
        <f t="shared" si="204"/>
        <v>-3.4006761252247664E-4</v>
      </c>
      <c r="J108" s="89">
        <f t="shared" si="205"/>
        <v>3.2656767460825797E-4</v>
      </c>
      <c r="K108" s="89">
        <f t="shared" si="206"/>
        <v>0.14527442792925194</v>
      </c>
      <c r="L108" s="89">
        <f t="shared" si="207"/>
        <v>-0.21167135546915083</v>
      </c>
      <c r="M108" s="89">
        <f t="shared" si="208"/>
        <v>-0.35457544083638981</v>
      </c>
      <c r="N108" s="89">
        <f t="shared" si="209"/>
        <v>4.1516000077619575E-2</v>
      </c>
      <c r="O108" s="89">
        <f t="shared" si="210"/>
        <v>5.6080393004898088E-2</v>
      </c>
      <c r="P108" s="89">
        <f t="shared" si="211"/>
        <v>-0.28662466415010812</v>
      </c>
      <c r="Q108" s="89">
        <f t="shared" si="212"/>
        <v>0.14310236166634427</v>
      </c>
      <c r="R108" s="89">
        <f t="shared" si="213"/>
        <v>3.2158818114830456E-2</v>
      </c>
      <c r="S108" s="89">
        <f t="shared" si="214"/>
        <v>-2.4546174364444839E-3</v>
      </c>
      <c r="T108" s="89">
        <f t="shared" si="215"/>
        <v>-4.7888226701243708E-3</v>
      </c>
      <c r="U108" s="89">
        <f t="shared" si="216"/>
        <v>0.18620624154330057</v>
      </c>
      <c r="V108" s="89">
        <f t="shared" si="217"/>
        <v>1.2456475257428101E-2</v>
      </c>
      <c r="W108" s="89">
        <f t="shared" si="218"/>
        <v>-0.12692047740809109</v>
      </c>
      <c r="X108" s="89">
        <f t="shared" si="219"/>
        <v>-0.36235708717406312</v>
      </c>
      <c r="Y108" s="89">
        <f t="shared" si="220"/>
        <v>0.52293260124172347</v>
      </c>
      <c r="Z108" s="89">
        <f t="shared" si="198"/>
        <v>0.47927184851711568</v>
      </c>
      <c r="AA108" s="89">
        <f t="shared" si="199"/>
        <v>-0.3742152746897458</v>
      </c>
    </row>
    <row r="109" spans="1:27" x14ac:dyDescent="0.25">
      <c r="A109" s="88" t="s">
        <v>263</v>
      </c>
      <c r="B109" s="44"/>
      <c r="C109" s="44"/>
      <c r="D109" s="89"/>
      <c r="E109" s="89">
        <f t="shared" ref="E109" si="221">IF(D37=0,"",E37/D37-1)</f>
        <v>-0.16701374399405444</v>
      </c>
      <c r="F109" s="89">
        <f t="shared" ref="F109" si="222">IF(E37=0,"",F37/E37-1)</f>
        <v>4.8391932412764183E-2</v>
      </c>
      <c r="G109" s="89">
        <f t="shared" ref="G109" si="223">IF(F37=0,"",G37/F37-1)</f>
        <v>-1.0292833130813861E-2</v>
      </c>
      <c r="H109" s="89">
        <f t="shared" ref="H109" si="224">IF(G37=0,"",H37/G37-1)</f>
        <v>0.19790646966181513</v>
      </c>
      <c r="I109" s="89">
        <f t="shared" ref="I109" si="225">IF(H37=0,"",I37/H37-1)</f>
        <v>-3.4006761252225459E-4</v>
      </c>
      <c r="J109" s="89">
        <f t="shared" ref="J109" si="226">IF(I37=0,"",J37/I37-1)</f>
        <v>3.2656767460848002E-4</v>
      </c>
      <c r="K109" s="89">
        <f t="shared" ref="K109" si="227">IF(J37=0,"",K37/J37-1)</f>
        <v>0.14527442792925171</v>
      </c>
      <c r="L109" s="89">
        <f t="shared" ref="L109" si="228">IF(K37=0,"",L37/K37-1)</f>
        <v>-0.21167135546915106</v>
      </c>
      <c r="M109" s="89">
        <f t="shared" ref="M109" si="229">IF(L37=0,"",M37/L37-1)</f>
        <v>-0.4249801385037234</v>
      </c>
      <c r="N109" s="89">
        <f t="shared" ref="N109" si="230">IF(M37=0,"",N37/M37-1)</f>
        <v>0.5809929711941717</v>
      </c>
      <c r="O109" s="89">
        <f t="shared" ref="O109" si="231">IF(N37=0,"",O37/N37-1)</f>
        <v>8.7109121147202817E-2</v>
      </c>
      <c r="P109" s="89">
        <f t="shared" ref="P109" si="232">IF(O37=0,"",P37/O37-1)</f>
        <v>-4.7413516529888233E-2</v>
      </c>
      <c r="Q109" s="89">
        <f t="shared" ref="Q109" si="233">IF(P37=0,"",Q37/P37-1)</f>
        <v>-6.2173877155232815E-2</v>
      </c>
      <c r="R109" s="89">
        <f t="shared" ref="R109" si="234">IF(Q37=0,"",R37/Q37-1)</f>
        <v>-0.11238658646924082</v>
      </c>
      <c r="S109" s="89">
        <f t="shared" ref="S109" si="235">IF(R37=0,"",S37/R37-1)</f>
        <v>0.12543884531758809</v>
      </c>
      <c r="T109" s="89">
        <f t="shared" ref="T109" si="236">IF(S37=0,"",T37/S37-1)</f>
        <v>-5.6706140342590694E-2</v>
      </c>
      <c r="U109" s="89">
        <f t="shared" ref="U109" si="237">IF(T37=0,"",U37/T37-1)</f>
        <v>0.10163161072698745</v>
      </c>
      <c r="V109" s="89">
        <f t="shared" ref="V109" si="238">IF(U37=0,"",V37/U37-1)</f>
        <v>9.5870391729126814E-2</v>
      </c>
      <c r="W109" s="89">
        <f t="shared" ref="W109" si="239">IF(V37=0,"",W37/V37-1)</f>
        <v>-3.8452702601003641E-2</v>
      </c>
      <c r="X109" s="89">
        <f t="shared" ref="X109" si="240">IF(W37=0,"",X37/W37-1)</f>
        <v>-0.17177919343169068</v>
      </c>
      <c r="Y109" s="89">
        <f t="shared" ref="Y109" si="241">IF(X37=0,"",Y37/X37-1)</f>
        <v>7.0929349287135013E-2</v>
      </c>
      <c r="Z109" s="89">
        <f t="shared" ref="Z109" si="242">IF(Y37=0,"",Z37/Y37-1)</f>
        <v>-2.2110220449022666E-2</v>
      </c>
      <c r="AA109" s="89">
        <f t="shared" ref="AA109" si="243">IF(Z37=0,"",AA37/Z37-1)</f>
        <v>0.10786652069585534</v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1.9368250172887347E-2</v>
      </c>
      <c r="F110" s="89">
        <f t="shared" ref="F110:F111" si="245">IF(E43=0,"",F43/E43-1)</f>
        <v>1.8964985037088766E-2</v>
      </c>
      <c r="G110" s="89">
        <f t="shared" ref="G110:G111" si="246">IF(F43=0,"",G43/F43-1)</f>
        <v>-1.569576765948888E-2</v>
      </c>
      <c r="H110" s="89">
        <f t="shared" ref="H110:H111" si="247">IF(G43=0,"",H43/G43-1)</f>
        <v>-1.4762371887554249E-2</v>
      </c>
      <c r="I110" s="89">
        <f t="shared" ref="I110:I111" si="248">IF(H43=0,"",I43/H43-1)</f>
        <v>7.6824199700676887E-2</v>
      </c>
      <c r="J110" s="89">
        <f t="shared" ref="J110:J111" si="249">IF(I43=0,"",J43/I43-1)</f>
        <v>-0.11349958595374043</v>
      </c>
      <c r="K110" s="89">
        <f t="shared" ref="K110:K111" si="250">IF(J43=0,"",K43/J43-1)</f>
        <v>7.1440498993361023E-2</v>
      </c>
      <c r="L110" s="89">
        <f t="shared" ref="L110:L111" si="251">IF(K43=0,"",L43/K43-1)</f>
        <v>-9.8565426841986548E-2</v>
      </c>
      <c r="M110" s="89">
        <f t="shared" ref="M110:M111" si="252">IF(L43=0,"",M43/L43-1)</f>
        <v>4.8042878527903232E-2</v>
      </c>
      <c r="N110" s="89">
        <f t="shared" ref="N110:N111" si="253">IF(M43=0,"",N43/M43-1)</f>
        <v>0.12302974367425645</v>
      </c>
      <c r="O110" s="89">
        <f t="shared" ref="O110:O111" si="254">IF(N43=0,"",O43/N43-1)</f>
        <v>-4.3607410810505565E-2</v>
      </c>
      <c r="P110" s="89">
        <f t="shared" ref="P110:P111" si="255">IF(O43=0,"",P43/O43-1)</f>
        <v>6.4509771407976757E-3</v>
      </c>
      <c r="Q110" s="89">
        <f t="shared" ref="Q110:Q111" si="256">IF(P43=0,"",Q43/P43-1)</f>
        <v>7.743384838139189E-2</v>
      </c>
      <c r="R110" s="89">
        <f t="shared" ref="R110:R111" si="257">IF(Q43=0,"",R43/Q43-1)</f>
        <v>1.934020547179971E-2</v>
      </c>
      <c r="S110" s="89">
        <f t="shared" ref="S110:S111" si="258">IF(R43=0,"",S43/R43-1)</f>
        <v>-2.0968565940577943E-2</v>
      </c>
      <c r="T110" s="89">
        <f t="shared" ref="T110:T111" si="259">IF(S43=0,"",T43/S43-1)</f>
        <v>4.578049571903442E-3</v>
      </c>
      <c r="U110" s="89">
        <f t="shared" ref="U110:U111" si="260">IF(T43=0,"",U43/T43-1)</f>
        <v>5.3102908499558232E-2</v>
      </c>
      <c r="V110" s="89">
        <f t="shared" ref="V110:V111" si="261">IF(U43=0,"",V43/U43-1)</f>
        <v>0.10732821998218323</v>
      </c>
      <c r="W110" s="89">
        <f t="shared" ref="W110:W111" si="262">IF(V43=0,"",W43/V43-1)</f>
        <v>4.892980848547257E-2</v>
      </c>
      <c r="X110" s="89">
        <f t="shared" ref="X110:X111" si="263">IF(W43=0,"",X43/W43-1)</f>
        <v>3.2126907294988127E-2</v>
      </c>
      <c r="Y110" s="89">
        <f t="shared" ref="Y110:Y111" si="264">IF(X43=0,"",Y43/X43-1)</f>
        <v>-0.15980335196836892</v>
      </c>
      <c r="Z110" s="89">
        <f t="shared" ref="Z110:Z111" si="265">IF(Y43=0,"",Z43/Y43-1)</f>
        <v>0.29824531861198555</v>
      </c>
      <c r="AA110" s="89">
        <f t="shared" ref="AA110:AA111" si="266">IF(Z43=0,"",AA43/Z43-1)</f>
        <v>-9.4612082839553802E-2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-1.7813865692442143E-2</v>
      </c>
      <c r="F111" s="89">
        <f t="shared" si="245"/>
        <v>5.2001326898936107E-3</v>
      </c>
      <c r="G111" s="89">
        <f t="shared" si="246"/>
        <v>-4.9226495921319557E-2</v>
      </c>
      <c r="H111" s="89">
        <f t="shared" si="247"/>
        <v>9.9768179034909199E-3</v>
      </c>
      <c r="I111" s="89">
        <f t="shared" si="248"/>
        <v>1.0821942312926769E-2</v>
      </c>
      <c r="J111" s="89">
        <f t="shared" si="249"/>
        <v>-5.3141622290052037E-2</v>
      </c>
      <c r="K111" s="89">
        <f t="shared" si="250"/>
        <v>-1.2963129696409226E-2</v>
      </c>
      <c r="L111" s="89">
        <f t="shared" si="251"/>
        <v>-7.2693553454325821E-2</v>
      </c>
      <c r="M111" s="89">
        <f t="shared" si="252"/>
        <v>-4.5628385792375048E-2</v>
      </c>
      <c r="N111" s="89">
        <f t="shared" si="253"/>
        <v>6.4941354484147951E-2</v>
      </c>
      <c r="O111" s="89">
        <f t="shared" si="254"/>
        <v>4.6627905655895807E-2</v>
      </c>
      <c r="P111" s="89">
        <f t="shared" si="255"/>
        <v>-3.2488903527995494E-2</v>
      </c>
      <c r="Q111" s="89">
        <f t="shared" si="256"/>
        <v>2.8633228053594806E-2</v>
      </c>
      <c r="R111" s="89">
        <f t="shared" si="257"/>
        <v>7.0747622907962882E-2</v>
      </c>
      <c r="S111" s="89">
        <f t="shared" si="258"/>
        <v>4.0451015709261462E-2</v>
      </c>
      <c r="T111" s="89">
        <f t="shared" si="259"/>
        <v>-8.313464693637973E-2</v>
      </c>
      <c r="U111" s="89">
        <f t="shared" si="260"/>
        <v>7.1949556178810603E-2</v>
      </c>
      <c r="V111" s="89">
        <f t="shared" si="261"/>
        <v>2.0518909993479273E-2</v>
      </c>
      <c r="W111" s="89">
        <f t="shared" si="262"/>
        <v>-9.1345160384132984E-2</v>
      </c>
      <c r="X111" s="89">
        <f t="shared" si="263"/>
        <v>-6.3475885325053438E-2</v>
      </c>
      <c r="Y111" s="89">
        <f t="shared" si="264"/>
        <v>-9.8084618064845364E-2</v>
      </c>
      <c r="Z111" s="89">
        <f t="shared" si="265"/>
        <v>0.21829077778622286</v>
      </c>
      <c r="AA111" s="89">
        <f t="shared" si="266"/>
        <v>-0.25576242752599532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0.11181275363881604</v>
      </c>
      <c r="F112" s="89">
        <f t="shared" ref="F112:F113" si="268">IF(E47=0,"",F47/E47-1)</f>
        <v>4.9197947073584825E-2</v>
      </c>
      <c r="G112" s="89">
        <f t="shared" ref="G112:G113" si="269">IF(F47=0,"",G47/F47-1)</f>
        <v>5.4862390048306509E-2</v>
      </c>
      <c r="H112" s="89">
        <f t="shared" ref="H112:H113" si="270">IF(G47=0,"",H47/G47-1)</f>
        <v>-6.1683773981825563E-2</v>
      </c>
      <c r="I112" s="89">
        <f t="shared" ref="I112:I113" si="271">IF(H47=0,"",I47/H47-1)</f>
        <v>0.21156728179584627</v>
      </c>
      <c r="J112" s="89">
        <f t="shared" ref="J112:J113" si="272">IF(I47=0,"",J47/I47-1)</f>
        <v>-0.21630343872854652</v>
      </c>
      <c r="K112" s="89">
        <f t="shared" ref="K112:K113" si="273">IF(J47=0,"",K47/J47-1)</f>
        <v>0.24512977902222066</v>
      </c>
      <c r="L112" s="89">
        <f t="shared" ref="L112:L113" si="274">IF(K47=0,"",L47/K47-1)</f>
        <v>-0.14076990451131788</v>
      </c>
      <c r="M112" s="89">
        <f t="shared" ref="M112:M113" si="275">IF(L47=0,"",M47/L47-1)</f>
        <v>0.21295433728573543</v>
      </c>
      <c r="N112" s="89">
        <f t="shared" ref="N112:N113" si="276">IF(M47=0,"",N47/M47-1)</f>
        <v>0.20349471236292493</v>
      </c>
      <c r="O112" s="89">
        <f t="shared" ref="O112:O113" si="277">IF(N47=0,"",O47/N47-1)</f>
        <v>-0.15421261568961731</v>
      </c>
      <c r="P112" s="89">
        <f t="shared" ref="P112:P113" si="278">IF(O47=0,"",P47/O47-1)</f>
        <v>6.5515233716461063E-2</v>
      </c>
      <c r="Q112" s="89">
        <f t="shared" ref="Q112:Q113" si="279">IF(P47=0,"",Q47/P47-1)</f>
        <v>0.14464661306335413</v>
      </c>
      <c r="R112" s="89">
        <f t="shared" ref="R112:R113" si="280">IF(Q47=0,"",R47/Q47-1)</f>
        <v>-4.4286776762835212E-2</v>
      </c>
      <c r="S112" s="89">
        <f t="shared" ref="S112:S113" si="281">IF(R47=0,"",S47/R47-1)</f>
        <v>-0.10613763826120881</v>
      </c>
      <c r="T112" s="89">
        <f t="shared" ref="T112:T113" si="282">IF(S47=0,"",T47/S47-1)</f>
        <v>0.14615368295220899</v>
      </c>
      <c r="U112" s="89">
        <f t="shared" ref="U112:U113" si="283">IF(T47=0,"",U47/T47-1)</f>
        <v>2.8768383686284649E-2</v>
      </c>
      <c r="V112" s="89">
        <f t="shared" ref="V112:V113" si="284">IF(U47=0,"",V47/U47-1)</f>
        <v>0.22411987217563079</v>
      </c>
      <c r="W112" s="89">
        <f t="shared" ref="W112:W113" si="285">IF(V47=0,"",W47/V47-1)</f>
        <v>0.20626388207122837</v>
      </c>
      <c r="X112" s="89">
        <f t="shared" ref="X112:X113" si="286">IF(W47=0,"",X47/W47-1)</f>
        <v>0.11290057518473651</v>
      </c>
      <c r="Y112" s="89">
        <f t="shared" ref="Y112:Y113" si="287">IF(X47=0,"",Y47/X47-1)</f>
        <v>-0.20368458596468297</v>
      </c>
      <c r="Z112" s="89">
        <f t="shared" ref="Z112:Z113" si="288">IF(Y47=0,"",Z47/Y47-1)</f>
        <v>0.36263045626864843</v>
      </c>
      <c r="AA112" s="89">
        <f t="shared" ref="AA112:AA113" si="289">IF(Z47=0,"",AA47/Z47-1)</f>
        <v>2.1411587199891891E-2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1.3574001236922761E-2</v>
      </c>
      <c r="F113" s="89">
        <f t="shared" si="268"/>
        <v>2.7487010822602187E-4</v>
      </c>
      <c r="G113" s="89">
        <f t="shared" si="269"/>
        <v>-2.9706427071865216E-2</v>
      </c>
      <c r="H113" s="89">
        <f t="shared" si="270"/>
        <v>-9.6469911318103341E-3</v>
      </c>
      <c r="I113" s="89">
        <f t="shared" si="271"/>
        <v>-2.4996148887925229E-2</v>
      </c>
      <c r="J113" s="89">
        <f t="shared" si="272"/>
        <v>1.8551139685711204E-2</v>
      </c>
      <c r="K113" s="89">
        <f t="shared" si="273"/>
        <v>7.4646068097498741E-2</v>
      </c>
      <c r="L113" s="89">
        <f t="shared" si="274"/>
        <v>-5.2704797289042538E-2</v>
      </c>
      <c r="M113" s="89">
        <f t="shared" si="275"/>
        <v>-6.8018989512407591E-2</v>
      </c>
      <c r="N113" s="89">
        <f t="shared" si="276"/>
        <v>-8.1202047411807921E-2</v>
      </c>
      <c r="O113" s="89">
        <f t="shared" si="277"/>
        <v>6.924570141081543E-2</v>
      </c>
      <c r="P113" s="89">
        <f t="shared" si="278"/>
        <v>-9.3185491202389614E-2</v>
      </c>
      <c r="Q113" s="89">
        <f t="shared" si="279"/>
        <v>-6.0626052978385081E-2</v>
      </c>
      <c r="R113" s="89">
        <f t="shared" si="280"/>
        <v>4.0941434375623809E-2</v>
      </c>
      <c r="S113" s="89">
        <f t="shared" si="281"/>
        <v>2.8029338178043206E-2</v>
      </c>
      <c r="T113" s="89">
        <f t="shared" si="282"/>
        <v>7.5951569385406259E-3</v>
      </c>
      <c r="U113" s="89">
        <f t="shared" si="283"/>
        <v>-4.4876794731097958E-3</v>
      </c>
      <c r="V113" s="89">
        <f t="shared" si="284"/>
        <v>2.8087763619874861E-2</v>
      </c>
      <c r="W113" s="89">
        <f t="shared" si="285"/>
        <v>8.4756631502933555E-3</v>
      </c>
      <c r="X113" s="89">
        <f t="shared" si="286"/>
        <v>-6.2734963673143906E-2</v>
      </c>
      <c r="Y113" s="89">
        <f t="shared" si="287"/>
        <v>4.2368525720673844E-2</v>
      </c>
      <c r="Z113" s="89">
        <f t="shared" si="288"/>
        <v>6.4573886631202448E-2</v>
      </c>
      <c r="AA113" s="89">
        <f t="shared" si="289"/>
        <v>-7.5061304139349416E-2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-3.9424928306805329E-2</v>
      </c>
      <c r="F114" s="89">
        <f t="shared" ref="F114:F115" si="291">IF(E52=0,"",F52/E52-1)</f>
        <v>-2.3586325660545748E-2</v>
      </c>
      <c r="G114" s="89">
        <f t="shared" ref="G114:G115" si="292">IF(F52=0,"",G52/F52-1)</f>
        <v>-4.0588482020660566E-2</v>
      </c>
      <c r="H114" s="89">
        <f t="shared" ref="H114:H115" si="293">IF(G52=0,"",H52/G52-1)</f>
        <v>-1.824061154709522E-2</v>
      </c>
      <c r="I114" s="89">
        <f t="shared" ref="I114:I115" si="294">IF(H52=0,"",I52/H52-1)</f>
        <v>-4.4895151950364642E-2</v>
      </c>
      <c r="J114" s="89">
        <f t="shared" ref="J114:J115" si="295">IF(I52=0,"",J52/I52-1)</f>
        <v>-1.3124907652311779E-2</v>
      </c>
      <c r="K114" s="89">
        <f t="shared" ref="K114:K115" si="296">IF(J52=0,"",K52/J52-1)</f>
        <v>-1.0531688502585346E-2</v>
      </c>
      <c r="L114" s="89">
        <f t="shared" ref="L114:L115" si="297">IF(K52=0,"",L52/K52-1)</f>
        <v>-4.0933999690714207E-2</v>
      </c>
      <c r="M114" s="89">
        <f t="shared" ref="M114:M115" si="298">IF(L52=0,"",M52/L52-1)</f>
        <v>-0.10107883219657232</v>
      </c>
      <c r="N114" s="89">
        <f t="shared" ref="N114:N115" si="299">IF(M52=0,"",N52/M52-1)</f>
        <v>-5.7968343624763774E-2</v>
      </c>
      <c r="O114" s="89">
        <f t="shared" ref="O114:O115" si="300">IF(N52=0,"",O52/N52-1)</f>
        <v>3.1527091335403545E-2</v>
      </c>
      <c r="P114" s="89">
        <f t="shared" ref="P114:P115" si="301">IF(O52=0,"",P52/O52-1)</f>
        <v>-1.9964998097623421E-2</v>
      </c>
      <c r="Q114" s="89">
        <f t="shared" ref="Q114:Q115" si="302">IF(P52=0,"",Q52/P52-1)</f>
        <v>-6.569540182307676E-2</v>
      </c>
      <c r="R114" s="89">
        <f t="shared" ref="R114:R115" si="303">IF(Q52=0,"",R52/Q52-1)</f>
        <v>3.0658033404645346E-2</v>
      </c>
      <c r="S114" s="89">
        <f t="shared" ref="S114:S115" si="304">IF(R52=0,"",S52/R52-1)</f>
        <v>-2.9663194999294928E-2</v>
      </c>
      <c r="T114" s="89">
        <f t="shared" ref="T114:T115" si="305">IF(S52=0,"",T52/S52-1)</f>
        <v>-4.3859357792342957E-2</v>
      </c>
      <c r="U114" s="89">
        <f t="shared" ref="U114:U115" si="306">IF(T52=0,"",U52/T52-1)</f>
        <v>-4.8174549892500029E-2</v>
      </c>
      <c r="V114" s="89">
        <f t="shared" ref="V114:V115" si="307">IF(U52=0,"",V52/U52-1)</f>
        <v>-2.9409982415534386E-2</v>
      </c>
      <c r="W114" s="89">
        <f t="shared" ref="W114:W115" si="308">IF(V52=0,"",W52/V52-1)</f>
        <v>-1.8471431725989085E-2</v>
      </c>
      <c r="X114" s="89">
        <f t="shared" ref="X114:X115" si="309">IF(W52=0,"",X52/W52-1)</f>
        <v>-0.14885732741243252</v>
      </c>
      <c r="Y114" s="89">
        <f t="shared" ref="Y114:Y115" si="310">IF(X52=0,"",Y52/X52-1)</f>
        <v>-2.9892791570668265E-2</v>
      </c>
      <c r="Z114" s="89">
        <f t="shared" ref="Z114:Z115" si="311">IF(Y52=0,"",Z52/Y52-1)</f>
        <v>9.6080660080152258E-2</v>
      </c>
      <c r="AA114" s="89">
        <f t="shared" ref="AA114:AA115" si="312">IF(Z52=0,"",AA52/Z52-1)</f>
        <v>-9.4639264298022385E-2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-3.2131737319928688E-2</v>
      </c>
      <c r="F115" s="89">
        <f t="shared" si="291"/>
        <v>-1.2869654015876142E-2</v>
      </c>
      <c r="G115" s="89">
        <f t="shared" si="292"/>
        <v>-7.8277307629718185E-2</v>
      </c>
      <c r="H115" s="89">
        <f t="shared" si="293"/>
        <v>-5.7117639398293063E-3</v>
      </c>
      <c r="I115" s="89">
        <f t="shared" si="294"/>
        <v>-6.5073332022304919E-2</v>
      </c>
      <c r="J115" s="89">
        <f t="shared" si="295"/>
        <v>6.9049653748582962E-3</v>
      </c>
      <c r="K115" s="89">
        <f t="shared" si="296"/>
        <v>-4.5745288469182577E-2</v>
      </c>
      <c r="L115" s="89">
        <f t="shared" si="297"/>
        <v>-5.6948297459514907E-2</v>
      </c>
      <c r="M115" s="89">
        <f t="shared" si="298"/>
        <v>-9.6814775083990612E-2</v>
      </c>
      <c r="N115" s="89">
        <f t="shared" si="299"/>
        <v>-9.9370700301276593E-2</v>
      </c>
      <c r="O115" s="89">
        <f t="shared" si="300"/>
        <v>7.4693539113719787E-2</v>
      </c>
      <c r="P115" s="89">
        <f t="shared" si="301"/>
        <v>2.2857378228462677E-2</v>
      </c>
      <c r="Q115" s="89">
        <f t="shared" si="302"/>
        <v>-4.5830325566518892E-2</v>
      </c>
      <c r="R115" s="89">
        <f t="shared" si="303"/>
        <v>7.6538819526212887E-2</v>
      </c>
      <c r="S115" s="89">
        <f t="shared" si="304"/>
        <v>6.5592357512955779E-3</v>
      </c>
      <c r="T115" s="89">
        <f t="shared" si="305"/>
        <v>-5.9476921262087146E-2</v>
      </c>
      <c r="U115" s="89">
        <f t="shared" si="306"/>
        <v>-2.9052026620211668E-2</v>
      </c>
      <c r="V115" s="89">
        <f t="shared" si="307"/>
        <v>-1.4049710435739327E-2</v>
      </c>
      <c r="W115" s="89">
        <f t="shared" si="308"/>
        <v>7.4899029085684354E-4</v>
      </c>
      <c r="X115" s="89">
        <f t="shared" si="309"/>
        <v>-6.4661412732021417E-2</v>
      </c>
      <c r="Y115" s="89">
        <f t="shared" si="310"/>
        <v>-8.5741777942138553E-2</v>
      </c>
      <c r="Z115" s="89">
        <f t="shared" si="311"/>
        <v>0.14399978574163219</v>
      </c>
      <c r="AA115" s="89">
        <f t="shared" si="312"/>
        <v>-7.5930323651495768E-2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-4.6311651643139551E-2</v>
      </c>
      <c r="F116" s="89">
        <f t="shared" ref="F116:F122" si="314">IF(E56=0,"",F56/E56-1)</f>
        <v>-3.3856190935989794E-2</v>
      </c>
      <c r="G116" s="89">
        <f t="shared" ref="G116:G122" si="315">IF(F56=0,"",G56/F56-1)</f>
        <v>-3.6864607563550367E-3</v>
      </c>
      <c r="H116" s="89">
        <f t="shared" ref="H116:H122" si="316">IF(G56=0,"",H56/G56-1)</f>
        <v>-2.9589489464189822E-2</v>
      </c>
      <c r="I116" s="89">
        <f t="shared" ref="I116:I122" si="317">IF(H56=0,"",I56/H56-1)</f>
        <v>-2.6167617693466649E-2</v>
      </c>
      <c r="J116" s="89">
        <f t="shared" ref="J116:J122" si="318">IF(I56=0,"",J56/I56-1)</f>
        <v>-3.0972109647547152E-2</v>
      </c>
      <c r="K116" s="89">
        <f t="shared" ref="K116:K122" si="319">IF(J56=0,"",K56/J56-1)</f>
        <v>2.2071087078987306E-2</v>
      </c>
      <c r="L116" s="89">
        <f t="shared" ref="L116:L122" si="320">IF(K56=0,"",L56/K56-1)</f>
        <v>-2.7090839076039486E-2</v>
      </c>
      <c r="M116" s="89">
        <f t="shared" ref="M116:M122" si="321">IF(L56=0,"",M56/L56-1)</f>
        <v>-0.10465167231251293</v>
      </c>
      <c r="N116" s="89">
        <f t="shared" ref="N116:N122" si="322">IF(M56=0,"",N56/M56-1)</f>
        <v>-2.2973792344969768E-2</v>
      </c>
      <c r="O116" s="89">
        <f t="shared" ref="O116:O122" si="323">IF(N56=0,"",O56/N56-1)</f>
        <v>-2.1055934003483268E-3</v>
      </c>
      <c r="P116" s="89">
        <f t="shared" ref="P116:P122" si="324">IF(O56=0,"",P56/O56-1)</f>
        <v>-5.5897382598392054E-2</v>
      </c>
      <c r="Q116" s="89">
        <f t="shared" ref="Q116:Q122" si="325">IF(P56=0,"",Q56/P56-1)</f>
        <v>-8.3754721744702998E-2</v>
      </c>
      <c r="R116" s="89">
        <f t="shared" ref="R116:R122" si="326">IF(Q56=0,"",R56/Q56-1)</f>
        <v>-1.2778570807858713E-2</v>
      </c>
      <c r="S116" s="89">
        <f t="shared" ref="S116:S122" si="327">IF(R56=0,"",S56/R56-1)</f>
        <v>-6.7058555735982073E-2</v>
      </c>
      <c r="T116" s="89">
        <f t="shared" ref="T116:T122" si="328">IF(S56=0,"",T56/S56-1)</f>
        <v>-2.6463799656338161E-2</v>
      </c>
      <c r="U116" s="89">
        <f t="shared" ref="U116:U122" si="329">IF(T56=0,"",U56/T56-1)</f>
        <v>-6.8751814289862767E-2</v>
      </c>
      <c r="V116" s="89">
        <f t="shared" ref="V116:V122" si="330">IF(U56=0,"",V56/U56-1)</f>
        <v>-4.6643418007017878E-2</v>
      </c>
      <c r="W116" s="89">
        <f t="shared" ref="W116:W122" si="331">IF(V56=0,"",W56/V56-1)</f>
        <v>-4.077300637366954E-2</v>
      </c>
      <c r="X116" s="89">
        <f t="shared" ref="X116:X122" si="332">IF(W56=0,"",X56/W56-1)</f>
        <v>-0.25077920075044902</v>
      </c>
      <c r="Y116" s="89">
        <f t="shared" ref="Y116:Y122" si="333">IF(X56=0,"",Y56/X56-1)</f>
        <v>5.4508812293261988E-2</v>
      </c>
      <c r="Z116" s="89">
        <f t="shared" ref="Z116:Z122" si="334">IF(Y56=0,"",Z56/Y56-1)</f>
        <v>3.3294640555702637E-2</v>
      </c>
      <c r="AA116" s="89">
        <f t="shared" ref="AA116:AA122" si="335">IF(Z56=0,"",AA56/Z56-1)</f>
        <v>-0.12177896344232564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7.167440672960268E-3</v>
      </c>
      <c r="F117" s="89">
        <f t="shared" si="314"/>
        <v>1.9204194674717456E-2</v>
      </c>
      <c r="G117" s="89">
        <f t="shared" si="315"/>
        <v>6.3593971376065817E-3</v>
      </c>
      <c r="H117" s="89">
        <f t="shared" si="316"/>
        <v>4.9312069666514358E-2</v>
      </c>
      <c r="I117" s="89">
        <f t="shared" si="317"/>
        <v>-2.3396666194599347E-2</v>
      </c>
      <c r="J117" s="89">
        <f t="shared" si="318"/>
        <v>-2.8264419448652212E-2</v>
      </c>
      <c r="K117" s="89">
        <f t="shared" si="319"/>
        <v>1.6183858709298393E-2</v>
      </c>
      <c r="L117" s="89">
        <f t="shared" si="320"/>
        <v>-1.2031497650422107E-3</v>
      </c>
      <c r="M117" s="89">
        <f t="shared" si="321"/>
        <v>7.424763767990461E-2</v>
      </c>
      <c r="N117" s="89">
        <f t="shared" si="322"/>
        <v>-5.2971093153518778E-2</v>
      </c>
      <c r="O117" s="89">
        <f t="shared" si="323"/>
        <v>-1.8009312076965767E-2</v>
      </c>
      <c r="P117" s="89">
        <f t="shared" si="324"/>
        <v>1.7900190596245036E-3</v>
      </c>
      <c r="Q117" s="89">
        <f t="shared" si="325"/>
        <v>4.7466298632634851E-2</v>
      </c>
      <c r="R117" s="89">
        <f t="shared" si="326"/>
        <v>2.0555338367095111E-2</v>
      </c>
      <c r="S117" s="89">
        <f t="shared" si="327"/>
        <v>7.5131988775418712E-3</v>
      </c>
      <c r="T117" s="89">
        <f t="shared" si="328"/>
        <v>-5.4586094496784643E-3</v>
      </c>
      <c r="U117" s="89">
        <f t="shared" si="329"/>
        <v>8.9212851418658534E-3</v>
      </c>
      <c r="V117" s="89">
        <f t="shared" si="330"/>
        <v>7.1918046235603938E-3</v>
      </c>
      <c r="W117" s="89">
        <f t="shared" si="331"/>
        <v>2.5968510515414156E-2</v>
      </c>
      <c r="X117" s="89">
        <f t="shared" si="332"/>
        <v>-5.5224772276274869E-2</v>
      </c>
      <c r="Y117" s="89">
        <f t="shared" si="333"/>
        <v>-3.4348643459592987E-3</v>
      </c>
      <c r="Z117" s="89">
        <f t="shared" si="334"/>
        <v>4.6078135093122308E-2</v>
      </c>
      <c r="AA117" s="89">
        <f t="shared" si="335"/>
        <v>3.5432213664739365E-2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-1.9179642472609837E-3</v>
      </c>
      <c r="F118" s="89">
        <f t="shared" si="314"/>
        <v>-2.2785121409805931E-2</v>
      </c>
      <c r="G118" s="89">
        <f t="shared" si="315"/>
        <v>-2.887593920391085E-2</v>
      </c>
      <c r="H118" s="89">
        <f t="shared" si="316"/>
        <v>-5.6695250359903637E-2</v>
      </c>
      <c r="I118" s="89">
        <f t="shared" si="317"/>
        <v>-3.1989584188039766E-2</v>
      </c>
      <c r="J118" s="89">
        <f t="shared" si="318"/>
        <v>-3.364083245727667E-2</v>
      </c>
      <c r="K118" s="89">
        <f t="shared" si="319"/>
        <v>-5.6432141221779086E-2</v>
      </c>
      <c r="L118" s="89">
        <f t="shared" si="320"/>
        <v>-4.5843652033749072E-2</v>
      </c>
      <c r="M118" s="89">
        <f t="shared" si="321"/>
        <v>-0.19453286474115727</v>
      </c>
      <c r="N118" s="89">
        <f t="shared" si="322"/>
        <v>0.1029937626731845</v>
      </c>
      <c r="O118" s="89">
        <f t="shared" si="323"/>
        <v>4.0971984121177751E-2</v>
      </c>
      <c r="P118" s="89">
        <f t="shared" si="324"/>
        <v>-8.2319569829485406E-3</v>
      </c>
      <c r="Q118" s="89">
        <f t="shared" si="325"/>
        <v>2.8268114436510228E-2</v>
      </c>
      <c r="R118" s="89">
        <f t="shared" si="326"/>
        <v>-1.0134568821904888E-2</v>
      </c>
      <c r="S118" s="89">
        <f t="shared" si="327"/>
        <v>-0.13587869199353131</v>
      </c>
      <c r="T118" s="89">
        <f t="shared" si="328"/>
        <v>-6.058174361601687E-2</v>
      </c>
      <c r="U118" s="89">
        <f t="shared" si="329"/>
        <v>5.389921397163322E-2</v>
      </c>
      <c r="V118" s="89">
        <f t="shared" si="330"/>
        <v>-2.2981731485691603E-2</v>
      </c>
      <c r="W118" s="89">
        <f t="shared" si="331"/>
        <v>-1.5550880617295482E-3</v>
      </c>
      <c r="X118" s="89">
        <f t="shared" si="332"/>
        <v>-0.20941304380208714</v>
      </c>
      <c r="Y118" s="89">
        <f t="shared" si="333"/>
        <v>-5.9723249803633749E-2</v>
      </c>
      <c r="Z118" s="89">
        <f t="shared" si="334"/>
        <v>7.7902092352560626E-2</v>
      </c>
      <c r="AA118" s="89">
        <f t="shared" si="335"/>
        <v>9.2333061261338667E-2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-5.1528720592767807E-2</v>
      </c>
      <c r="F119" s="89">
        <f t="shared" si="314"/>
        <v>-7.6660730504805041E-3</v>
      </c>
      <c r="G119" s="89">
        <f t="shared" si="315"/>
        <v>-3.7426783631018035E-2</v>
      </c>
      <c r="H119" s="89">
        <f t="shared" si="316"/>
        <v>1.4330874025668905E-2</v>
      </c>
      <c r="I119" s="89">
        <f t="shared" si="317"/>
        <v>-3.7147234635148685E-4</v>
      </c>
      <c r="J119" s="89">
        <f t="shared" si="318"/>
        <v>4.4201378930136093E-2</v>
      </c>
      <c r="K119" s="89">
        <f t="shared" si="319"/>
        <v>3.3357575766431502E-2</v>
      </c>
      <c r="L119" s="89">
        <f t="shared" si="320"/>
        <v>-8.2168923968855001E-3</v>
      </c>
      <c r="M119" s="89">
        <f t="shared" si="321"/>
        <v>-0.20430535400720995</v>
      </c>
      <c r="N119" s="89">
        <f t="shared" si="322"/>
        <v>2.743196748752541E-2</v>
      </c>
      <c r="O119" s="89">
        <f t="shared" si="323"/>
        <v>8.3988301597369475E-2</v>
      </c>
      <c r="P119" s="89">
        <f t="shared" si="324"/>
        <v>-3.9903837963271238E-2</v>
      </c>
      <c r="Q119" s="89">
        <f t="shared" si="325"/>
        <v>-5.7891908338071341E-2</v>
      </c>
      <c r="R119" s="89">
        <f t="shared" si="326"/>
        <v>1.3642449218236319E-3</v>
      </c>
      <c r="S119" s="89">
        <f t="shared" si="327"/>
        <v>-1.5343531620653161E-2</v>
      </c>
      <c r="T119" s="89">
        <f t="shared" si="328"/>
        <v>-2.0660915634957977E-2</v>
      </c>
      <c r="U119" s="89">
        <f t="shared" si="329"/>
        <v>3.8493640921468231E-2</v>
      </c>
      <c r="V119" s="89">
        <f t="shared" si="330"/>
        <v>-5.3014689170626461E-2</v>
      </c>
      <c r="W119" s="89">
        <f t="shared" si="331"/>
        <v>1.0145816998333945E-2</v>
      </c>
      <c r="X119" s="89">
        <f t="shared" si="332"/>
        <v>-9.970620379270323E-2</v>
      </c>
      <c r="Y119" s="89">
        <f t="shared" si="333"/>
        <v>2.3712288073628907E-2</v>
      </c>
      <c r="Z119" s="89">
        <f t="shared" si="334"/>
        <v>5.5340824691676005E-2</v>
      </c>
      <c r="AA119" s="89">
        <f t="shared" si="335"/>
        <v>-5.9598186620506644E-2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-3.1875101835613262E-2</v>
      </c>
      <c r="F120" s="89">
        <f t="shared" si="314"/>
        <v>9.0771236093794005E-3</v>
      </c>
      <c r="G120" s="89">
        <f t="shared" si="315"/>
        <v>-0.11358836164543795</v>
      </c>
      <c r="H120" s="89">
        <f t="shared" si="316"/>
        <v>1.4102542022652598E-2</v>
      </c>
      <c r="I120" s="89">
        <f t="shared" si="317"/>
        <v>-6.7039079952779357E-2</v>
      </c>
      <c r="J120" s="89">
        <f t="shared" si="318"/>
        <v>-2.3109786718988889E-2</v>
      </c>
      <c r="K120" s="89">
        <f t="shared" si="319"/>
        <v>-1.8896692946476557E-2</v>
      </c>
      <c r="L120" s="89">
        <f t="shared" si="320"/>
        <v>-0.1293916885038825</v>
      </c>
      <c r="M120" s="89">
        <f t="shared" si="321"/>
        <v>-0.23024965654587948</v>
      </c>
      <c r="N120" s="89">
        <f t="shared" si="322"/>
        <v>2.6802710293242438E-2</v>
      </c>
      <c r="O120" s="89">
        <f t="shared" si="323"/>
        <v>-9.8347836670705568E-2</v>
      </c>
      <c r="P120" s="89">
        <f t="shared" si="324"/>
        <v>-4.0307389718526765E-2</v>
      </c>
      <c r="Q120" s="89">
        <f t="shared" si="325"/>
        <v>-7.4102909698060659E-2</v>
      </c>
      <c r="R120" s="89">
        <f t="shared" si="326"/>
        <v>4.7876842550109933E-2</v>
      </c>
      <c r="S120" s="89">
        <f t="shared" si="327"/>
        <v>1.1343057893582476E-3</v>
      </c>
      <c r="T120" s="89">
        <f t="shared" si="328"/>
        <v>-4.8252979116885752E-2</v>
      </c>
      <c r="U120" s="89">
        <f t="shared" si="329"/>
        <v>-6.3020530724790635E-2</v>
      </c>
      <c r="V120" s="89">
        <f t="shared" si="330"/>
        <v>-9.8979539471990563E-3</v>
      </c>
      <c r="W120" s="89">
        <f t="shared" si="331"/>
        <v>-5.5198827212509238E-2</v>
      </c>
      <c r="X120" s="89">
        <f t="shared" si="332"/>
        <v>-0.11048125848927115</v>
      </c>
      <c r="Y120" s="89">
        <f t="shared" si="333"/>
        <v>-3.2331785045249473E-2</v>
      </c>
      <c r="Z120" s="89">
        <f t="shared" si="334"/>
        <v>5.4171799521361086E-2</v>
      </c>
      <c r="AA120" s="89">
        <f t="shared" si="335"/>
        <v>-2.3647382048850529E-2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7.754891634605876E-2</v>
      </c>
      <c r="F121" s="89">
        <f t="shared" si="314"/>
        <v>-2.1636766574841149E-2</v>
      </c>
      <c r="G121" s="89">
        <f t="shared" si="315"/>
        <v>3.4202732719125661E-2</v>
      </c>
      <c r="H121" s="89">
        <f t="shared" si="316"/>
        <v>7.0662455691673509E-2</v>
      </c>
      <c r="I121" s="89">
        <f t="shared" si="317"/>
        <v>-1.7683723889222347E-2</v>
      </c>
      <c r="J121" s="89">
        <f t="shared" si="318"/>
        <v>4.5143920259494985E-2</v>
      </c>
      <c r="K121" s="89">
        <f t="shared" si="319"/>
        <v>9.7090425414243731E-2</v>
      </c>
      <c r="L121" s="89">
        <f t="shared" si="320"/>
        <v>-0.12016910213598209</v>
      </c>
      <c r="M121" s="89">
        <f t="shared" si="321"/>
        <v>-9.3320835100807575E-2</v>
      </c>
      <c r="N121" s="89">
        <f t="shared" si="322"/>
        <v>-4.0195949225668826E-2</v>
      </c>
      <c r="O121" s="89">
        <f t="shared" si="323"/>
        <v>3.5356000753479222E-3</v>
      </c>
      <c r="P121" s="89">
        <f t="shared" si="324"/>
        <v>-5.0849097339967009E-2</v>
      </c>
      <c r="Q121" s="89">
        <f t="shared" si="325"/>
        <v>-0.10311518864262148</v>
      </c>
      <c r="R121" s="89">
        <f t="shared" si="326"/>
        <v>1.16449987938958E-2</v>
      </c>
      <c r="S121" s="89">
        <f t="shared" si="327"/>
        <v>8.6592561073825403E-2</v>
      </c>
      <c r="T121" s="89">
        <f t="shared" si="328"/>
        <v>1.6152484993345873E-2</v>
      </c>
      <c r="U121" s="89">
        <f t="shared" si="329"/>
        <v>3.4316746106523466E-2</v>
      </c>
      <c r="V121" s="89">
        <f t="shared" si="330"/>
        <v>4.9763066532720446E-2</v>
      </c>
      <c r="W121" s="89">
        <f t="shared" si="331"/>
        <v>6.1380718831673509E-2</v>
      </c>
      <c r="X121" s="89">
        <f t="shared" si="332"/>
        <v>-7.23973356030575E-2</v>
      </c>
      <c r="Y121" s="89">
        <f t="shared" si="333"/>
        <v>0.13782132016869575</v>
      </c>
      <c r="Z121" s="89">
        <f t="shared" si="334"/>
        <v>0.1354417435034112</v>
      </c>
      <c r="AA121" s="89">
        <f t="shared" si="335"/>
        <v>-7.9393205805053046E-2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6.8598330094916005E-2</v>
      </c>
      <c r="F122" s="91">
        <f t="shared" si="314"/>
        <v>-6.0583369971775047E-3</v>
      </c>
      <c r="G122" s="91">
        <f t="shared" si="315"/>
        <v>-8.5773666328875176E-2</v>
      </c>
      <c r="H122" s="91">
        <f t="shared" si="316"/>
        <v>4.779882367152255E-2</v>
      </c>
      <c r="I122" s="91">
        <f t="shared" si="317"/>
        <v>-3.2169485216326787E-3</v>
      </c>
      <c r="J122" s="91">
        <f t="shared" si="318"/>
        <v>-2.7942034526271753E-2</v>
      </c>
      <c r="K122" s="91">
        <f t="shared" si="319"/>
        <v>3.4862296817684157E-2</v>
      </c>
      <c r="L122" s="91">
        <f t="shared" si="320"/>
        <v>-1.7995301457000124E-2</v>
      </c>
      <c r="M122" s="91">
        <f t="shared" si="321"/>
        <v>-5.9768463122144455E-2</v>
      </c>
      <c r="N122" s="91">
        <f t="shared" si="322"/>
        <v>-1.3516750385551335E-2</v>
      </c>
      <c r="O122" s="91">
        <f t="shared" si="323"/>
        <v>3.9737287428422308E-2</v>
      </c>
      <c r="P122" s="91">
        <f t="shared" si="324"/>
        <v>-4.5863755112150906E-2</v>
      </c>
      <c r="Q122" s="91">
        <f t="shared" si="325"/>
        <v>-1.7613985150872313E-2</v>
      </c>
      <c r="R122" s="91">
        <f t="shared" si="326"/>
        <v>2.9965520807455626E-3</v>
      </c>
      <c r="S122" s="91">
        <f t="shared" si="327"/>
        <v>3.7244919968352441E-2</v>
      </c>
      <c r="T122" s="91">
        <f t="shared" si="328"/>
        <v>6.4295850197934934E-2</v>
      </c>
      <c r="U122" s="91">
        <f t="shared" si="329"/>
        <v>-3.4766762508462667E-2</v>
      </c>
      <c r="V122" s="91">
        <f t="shared" si="330"/>
        <v>-2.8455762658042061E-2</v>
      </c>
      <c r="W122" s="91">
        <f t="shared" si="331"/>
        <v>7.1609290640431533E-2</v>
      </c>
      <c r="X122" s="91">
        <f t="shared" si="332"/>
        <v>-3.635968492996644E-2</v>
      </c>
      <c r="Y122" s="91">
        <f t="shared" si="333"/>
        <v>-8.2323399114934692E-2</v>
      </c>
      <c r="Z122" s="91">
        <f t="shared" si="334"/>
        <v>4.3064086428514337E-2</v>
      </c>
      <c r="AA122" s="91">
        <f t="shared" si="335"/>
        <v>-4.28192020242808E-2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2025-11-06T10:19:08Z</dcterms:created>
  <dcterms:modified xsi:type="dcterms:W3CDTF">2025-11-06T10:19:08Z</dcterms:modified>
</cp:coreProperties>
</file>