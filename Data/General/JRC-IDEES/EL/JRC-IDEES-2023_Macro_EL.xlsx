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L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121" i="59" l="1"/>
  <c r="AA117" i="59"/>
  <c r="AA114" i="59"/>
  <c r="AA113" i="59"/>
  <c r="AA80" i="59"/>
  <c r="AA78" i="59"/>
  <c r="AA109" i="59"/>
  <c r="AA106" i="59"/>
  <c r="AA102" i="59"/>
  <c r="AA98" i="59"/>
  <c r="AA89" i="59"/>
  <c r="AA94" i="59"/>
  <c r="AA93" i="59"/>
  <c r="AA5" i="59"/>
  <c r="Z111" i="59"/>
  <c r="Z103" i="59"/>
  <c r="Z99" i="59"/>
  <c r="T75" i="57"/>
  <c r="D75" i="57"/>
  <c r="J75" i="57"/>
  <c r="E75" i="57"/>
  <c r="L54" i="57"/>
  <c r="R54" i="57"/>
  <c r="P54" i="57"/>
  <c r="U54" i="57"/>
  <c r="M54" i="57"/>
  <c r="K54" i="57"/>
  <c r="E54" i="57"/>
  <c r="Y39" i="57"/>
  <c r="W39" i="57"/>
  <c r="G39" i="57"/>
  <c r="M39" i="57"/>
  <c r="E39" i="57"/>
  <c r="S39" i="57"/>
  <c r="K39" i="57"/>
  <c r="U16" i="57"/>
  <c r="S16" i="57"/>
  <c r="K16" i="57"/>
  <c r="Y16" i="57"/>
  <c r="Q16" i="57"/>
  <c r="I16" i="57"/>
  <c r="W16" i="57"/>
  <c r="O16" i="57"/>
  <c r="M16" i="57"/>
  <c r="G16" i="57"/>
  <c r="K75" i="57"/>
  <c r="Y75" i="57"/>
  <c r="Q75" i="57"/>
  <c r="U75" i="57"/>
  <c r="O75" i="57"/>
  <c r="F75" i="57"/>
  <c r="S54" i="57"/>
  <c r="Q54" i="57"/>
  <c r="I54" i="57"/>
  <c r="O39" i="57"/>
  <c r="I39" i="57"/>
  <c r="U39" i="57"/>
  <c r="Z54" i="55" l="1"/>
  <c r="Z107" i="59"/>
  <c r="Z115" i="59"/>
  <c r="AA66" i="59"/>
  <c r="AA70" i="59"/>
  <c r="AA74" i="59"/>
  <c r="AA79" i="59"/>
  <c r="AA81" i="59"/>
  <c r="AA82" i="59"/>
  <c r="AA84" i="59"/>
  <c r="AA88" i="59"/>
  <c r="H39" i="57"/>
  <c r="J54" i="57"/>
  <c r="E16" i="57"/>
  <c r="Q39" i="57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G54" i="57"/>
  <c r="O54" i="57"/>
  <c r="W54" i="57"/>
  <c r="Y54" i="57"/>
  <c r="G75" i="57"/>
  <c r="W75" i="57"/>
  <c r="I75" i="57"/>
  <c r="S75" i="57"/>
  <c r="M75" i="57"/>
  <c r="AA54" i="57"/>
  <c r="Z5" i="59"/>
  <c r="AA97" i="59"/>
  <c r="AA101" i="59"/>
  <c r="AA105" i="59"/>
  <c r="AA110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AA12" i="59"/>
  <c r="AA13" i="59" s="1"/>
  <c r="Z12" i="59"/>
  <c r="Z13" i="59" s="1"/>
  <c r="AA96" i="59"/>
  <c r="Z10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6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<sst xmlns="http://schemas.openxmlformats.org/spreadsheetml/2006/main" count="722" uniqueCount="281">
  <si>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</si>
  <si>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</si>
  <si>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</si>
  <si>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</si>
  <si>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</si>
  <si>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</si>
  <si>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</si>
  <si>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</si>
  <si>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</si>
  <si>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</si>
  <si>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</si>
  <si>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</si>
  <si>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</si>
  <si>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</si>
  <si>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</si>
  <si>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</si>
  <si>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</si>
  <si>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</si>
  <si>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</si>
  <si>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</si>
  <si>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</si>
  <si>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</si>
  <si>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</si>
  <si>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</si>
  <si>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</si>
  <si>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</si>
  <si>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</si>
  <si>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</si>
  <si>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</si>
  <si>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</si>
  <si>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</si>
  <si>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</si>
  <si>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</si>
  <si>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</si>
  <si>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</si>
  <si>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</si>
  <si>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</si>
  <si>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</si>
  <si>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</si>
  <si>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</si>
  <si>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</si>
  <si>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</si>
  <si>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</si>
  <si>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</si>
  <si>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</si>
  <si>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</si>
  <si>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</si>
  <si>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</si>
  <si>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</si>
  <si>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</si>
  <si>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</si>
  <si>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</si>
  <si>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</si>
  <si>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</si>
  <si>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</si>
  <si>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</si>
  <si>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</si>
  <si>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</si>
  <si>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</si>
  <si>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</si>
  <si>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</si>
  <si>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</si>
  <si>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</si>
  <si>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</si>
  <si>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</si>
  <si>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</si>
  <si>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</si>
  <si>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</si>
  <si>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</si>
  <si>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</si>
  <si>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</si>
  <si>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</si>
  <si>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</si>
  <si>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</si>
  <si>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</si>
  <si>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</si>
  <si>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</si>
  <si>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</si>
  <si>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</si>
  <si>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</si>
  <si>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</si>
  <si>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</si>
  <si>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</si>
  <si>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</si>
  <si>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</si>
  <si>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</si>
  <si>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</si>
  <si>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</si>
  <si>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</si>
  <si>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</si>
  <si>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</si>
  <si>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</si>
  <si>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</si>
  <si>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</si>
  <si>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</si>
  <si>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</si>
  <si>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</si>
  <si>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</si>
  <si>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</si>
  <si>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</si>
  <si>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</si>
  <si>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</si>
  <si>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</si>
  <si>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</si>
  <si>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</si>
  <si>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</si>
  <si>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</si>
  <si>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</si>
  <si>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</si>
  <si>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</si>
  <si>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</si>
  <si>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</si>
  <si>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</si>
  <si>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</si>
  <si>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</si>
  <si>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</si>
  <si>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</si>
  <si>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</si>
  <si>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</si>
  <si>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</si>
  <si>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</si>
  <si>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</si>
  <si>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</si>
  <si>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</si>
  <si>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</si>
  <si>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</si>
  <si>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</si>
  <si>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</si>
  <si>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</si>
  <si>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</si>
  <si>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</si>
  <si>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</si>
  <si>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</si>
  <si>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</si>
  <si>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</si>
  <si>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</si>
  <si>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</si>
  <si>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</si>
  <si>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</si>
  <si>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</si>
  <si>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</si>
  <si>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</si>
  <si>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</si>
  <si>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</si>
  <si>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</si>
  <si>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</si>
  <si>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</si>
  <si>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</si>
  <si>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</si>
  <si>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</si>
  <si>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</si>
  <si>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</si>
  <si>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</si>
  <si>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</si>
  <si>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</si>
  <si>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</si>
  <si>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</si>
  <si>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</si>
  <si>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</si>
  <si>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</si>
  <si>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</si>
  <si>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</si>
  <si>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</si>
  <si>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</si>
  <si>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</si>
  <si>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</si>
  <si>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</si>
  <si>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</si>
  <si>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</si>
  <si>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</si>
  <si>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</si>
  <si>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</si>
  <si>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</si>
  <si>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</si>
  <si>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</si>
  <si>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</si>
  <si>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</si>
  <si>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</si>
  <si>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</si>
  <si>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</si>
  <si>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</si>
  <si>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</si>
  <si>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</si>
  <si>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</si>
  <si>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</si>
  <si>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</si>
  <si>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</si>
  <si>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</si>
  <si>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</si>
  <si>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</si>
  <si>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</si>
  <si>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</si>
  <si>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</si>
  <si>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</si>
  <si>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</si>
  <si>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</si>
  <si>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</si>
  <si>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</si>
  <si>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</si>
  <si>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</si>
  <si>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</si>
  <si>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</si>
  <si>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</si>
  <si>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</si>
  <si>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</si>
  <si>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</si>
  <si>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</si>
  <si>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</si>
  <si>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</si>
  <si>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</si>
  <si>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</si>
  <si>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</si>
  <si>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</si>
  <si>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</si>
  <si>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</si>
  <si>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</si>
  <si>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</si>
  <si>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</si>
  <si>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</si>
  <si>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</si>
  <si>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</si>
  <si>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</si>
  <si>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</si>
  <si>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</si>
  <si>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</si>
  <si>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</si>
  <si>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</si>
  <si>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</si>
  <si>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</si>
  <si>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</si>
  <si>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</si>
  <si>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</si>
  <si>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</si>
  <si>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</si>
  <si>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</si>
  <si>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</si>
  <si>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</si>
  <si>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</si>
  <si>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</si>
  <si>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</si>
  <si>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</si>
  <si>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</si>
  <si>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</si>
  <si>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</si>
  <si>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</si>
  <si>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</si>
  <si>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</si>
  <si>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</si>
  <si>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</si>
  <si>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</si>
  <si>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</si>
  <si>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</si>
  <si>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</si>
  <si>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</si>
  <si>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</si>
  <si>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</si>
  <si>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</si>
  <si>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</si>
  <si>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</si>
  <si>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</si>
  <si>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</si>
  <si>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</si>
  <si>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</si>
  <si>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</si>
  <si>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</si>
  <si>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</si>
  <si>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</si>
  <si>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</si>
  <si>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</si>
  <si>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</si>
  <si>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</si>
  <si>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</si>
  <si>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</si>
  <si>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</si>
  <si>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</si>
  <si>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</si>
  <si>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</si>
  <si>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</si>
  <si>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</si>
  <si>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EL</t>
  </si>
  <si>
    <t>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</si>
</sst>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45967.474074074074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137827.6</v>
      </c>
      <c r="E2" s="19">
        <v>147438.70000000001</v>
      </c>
      <c r="F2" s="19">
        <v>158902.29999999999</v>
      </c>
      <c r="G2" s="19">
        <v>174096</v>
      </c>
      <c r="H2" s="19">
        <v>188905.2</v>
      </c>
      <c r="I2" s="19">
        <v>194773.4</v>
      </c>
      <c r="J2" s="19">
        <v>214298.9</v>
      </c>
      <c r="K2" s="19">
        <v>229282.8</v>
      </c>
      <c r="L2" s="19">
        <v>238735.4</v>
      </c>
      <c r="M2" s="19">
        <v>234322.6</v>
      </c>
      <c r="N2" s="19">
        <v>223590.5</v>
      </c>
      <c r="O2" s="19">
        <v>203475</v>
      </c>
      <c r="P2" s="19">
        <v>185899.2</v>
      </c>
      <c r="Q2" s="19">
        <v>178113.9</v>
      </c>
      <c r="R2" s="19">
        <v>176071.8</v>
      </c>
      <c r="S2" s="19">
        <v>175362.9</v>
      </c>
      <c r="T2" s="19">
        <v>174448.2</v>
      </c>
      <c r="U2" s="19">
        <v>177378.5</v>
      </c>
      <c r="V2" s="19">
        <v>180615.7</v>
      </c>
      <c r="W2" s="19">
        <v>185181.2</v>
      </c>
      <c r="X2" s="19">
        <v>167539.5</v>
      </c>
      <c r="Y2" s="19">
        <v>184574.6</v>
      </c>
      <c r="Z2" s="19">
        <v>207854.2</v>
      </c>
      <c r="AA2" s="19">
        <v>225196.9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91015</v>
      </c>
      <c r="E3" s="23">
        <v>97421.9</v>
      </c>
      <c r="F3" s="23">
        <v>104606.3</v>
      </c>
      <c r="G3" s="23">
        <v>112338.6</v>
      </c>
      <c r="H3" s="23">
        <v>120490.2</v>
      </c>
      <c r="I3" s="23">
        <v>128010.5</v>
      </c>
      <c r="J3" s="23">
        <v>134524</v>
      </c>
      <c r="K3" s="23">
        <v>145669.70000000001</v>
      </c>
      <c r="L3" s="23">
        <v>156770</v>
      </c>
      <c r="M3" s="23">
        <v>155326.20000000001</v>
      </c>
      <c r="N3" s="23">
        <v>149210.6</v>
      </c>
      <c r="O3" s="23">
        <v>141387.9</v>
      </c>
      <c r="P3" s="23">
        <v>129394.7</v>
      </c>
      <c r="Q3" s="23">
        <v>123271.4</v>
      </c>
      <c r="R3" s="23">
        <v>120505.4</v>
      </c>
      <c r="S3" s="23">
        <v>119397.1</v>
      </c>
      <c r="T3" s="23">
        <v>118786</v>
      </c>
      <c r="U3" s="23">
        <v>122196.2</v>
      </c>
      <c r="V3" s="23">
        <v>125056</v>
      </c>
      <c r="W3" s="23">
        <v>128410</v>
      </c>
      <c r="X3" s="23">
        <v>119055.4</v>
      </c>
      <c r="Y3" s="23">
        <v>126337.4</v>
      </c>
      <c r="Z3" s="23">
        <v>145220.70000000001</v>
      </c>
      <c r="AA3" s="23">
        <v>154673.60000000001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122577.4</v>
      </c>
      <c r="E4" s="27">
        <v>130715.2</v>
      </c>
      <c r="F4" s="27">
        <v>141238.9</v>
      </c>
      <c r="G4" s="27">
        <v>155704.5</v>
      </c>
      <c r="H4" s="27">
        <v>169962.4</v>
      </c>
      <c r="I4" s="27">
        <v>174351.6</v>
      </c>
      <c r="J4" s="27">
        <v>189484.4</v>
      </c>
      <c r="K4" s="27">
        <v>201855.1</v>
      </c>
      <c r="L4" s="27">
        <v>210563.9</v>
      </c>
      <c r="M4" s="27">
        <v>209179.3</v>
      </c>
      <c r="N4" s="27">
        <v>197195.6</v>
      </c>
      <c r="O4" s="27">
        <v>178347.3</v>
      </c>
      <c r="P4" s="27">
        <v>163766.20000000001</v>
      </c>
      <c r="Q4" s="27">
        <v>157795.29999999999</v>
      </c>
      <c r="R4" s="27">
        <v>155355.4</v>
      </c>
      <c r="S4" s="27">
        <v>154780.6</v>
      </c>
      <c r="T4" s="27">
        <v>152015.6</v>
      </c>
      <c r="U4" s="27">
        <v>154782.29999999999</v>
      </c>
      <c r="V4" s="27">
        <v>156634.9</v>
      </c>
      <c r="W4" s="27">
        <v>160732.6</v>
      </c>
      <c r="X4" s="27">
        <v>147236.29999999999</v>
      </c>
      <c r="Y4" s="27">
        <v>161015.4</v>
      </c>
      <c r="Z4" s="27">
        <v>183408.7</v>
      </c>
      <c r="AA4" s="27">
        <v>196528.1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7584</v>
      </c>
      <c r="E6" s="19">
        <v>7906</v>
      </c>
      <c r="F6" s="19">
        <v>8296.2999999999993</v>
      </c>
      <c r="G6" s="19">
        <v>9269</v>
      </c>
      <c r="H6" s="19">
        <v>8594.6</v>
      </c>
      <c r="I6" s="19">
        <v>8720.4</v>
      </c>
      <c r="J6" s="19">
        <v>7041</v>
      </c>
      <c r="K6" s="19">
        <v>7233.3</v>
      </c>
      <c r="L6" s="19">
        <v>6911.5</v>
      </c>
      <c r="M6" s="19">
        <v>6855.9</v>
      </c>
      <c r="N6" s="19">
        <v>6515.9</v>
      </c>
      <c r="O6" s="19">
        <v>6230.1</v>
      </c>
      <c r="P6" s="19">
        <v>6356</v>
      </c>
      <c r="Q6" s="19">
        <v>5969.4</v>
      </c>
      <c r="R6" s="19">
        <v>6221.4</v>
      </c>
      <c r="S6" s="19">
        <v>6701.6</v>
      </c>
      <c r="T6" s="19">
        <v>6032.6</v>
      </c>
      <c r="U6" s="19">
        <v>6655.7</v>
      </c>
      <c r="V6" s="19">
        <v>6368</v>
      </c>
      <c r="W6" s="19">
        <v>6780.4</v>
      </c>
      <c r="X6" s="19">
        <v>6574</v>
      </c>
      <c r="Y6" s="19">
        <v>6518.7</v>
      </c>
      <c r="Z6" s="19">
        <v>7801.4</v>
      </c>
      <c r="AA6" s="19">
        <v>7529.3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17721.099999999999</v>
      </c>
      <c r="E7" s="23">
        <v>19441.3</v>
      </c>
      <c r="F7" s="23">
        <v>20950.3</v>
      </c>
      <c r="G7" s="23">
        <v>22674.400000000001</v>
      </c>
      <c r="H7" s="23">
        <v>23820.400000000001</v>
      </c>
      <c r="I7" s="23">
        <v>24613.9</v>
      </c>
      <c r="J7" s="23">
        <v>26031.8</v>
      </c>
      <c r="K7" s="23">
        <v>27239.7</v>
      </c>
      <c r="L7" s="23">
        <v>27579.7</v>
      </c>
      <c r="M7" s="23">
        <v>26431</v>
      </c>
      <c r="N7" s="23">
        <v>24937.4</v>
      </c>
      <c r="O7" s="23">
        <v>23423.200000000001</v>
      </c>
      <c r="P7" s="23">
        <v>23273.8</v>
      </c>
      <c r="Q7" s="23">
        <v>22378.400000000001</v>
      </c>
      <c r="R7" s="23">
        <v>21902.799999999999</v>
      </c>
      <c r="S7" s="23">
        <v>22121.8</v>
      </c>
      <c r="T7" s="23">
        <v>22074.400000000001</v>
      </c>
      <c r="U7" s="23">
        <v>22093.599999999999</v>
      </c>
      <c r="V7" s="23">
        <v>22378.7</v>
      </c>
      <c r="W7" s="23">
        <v>22382.2</v>
      </c>
      <c r="X7" s="23">
        <v>21576.3</v>
      </c>
      <c r="Y7" s="23">
        <v>24238.1</v>
      </c>
      <c r="Z7" s="23">
        <v>31180.5</v>
      </c>
      <c r="AA7" s="23">
        <v>30241.599999999999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8071.2</v>
      </c>
      <c r="E8" s="23">
        <v>8796.2999999999993</v>
      </c>
      <c r="F8" s="23">
        <v>9280</v>
      </c>
      <c r="G8" s="23">
        <v>13026.3</v>
      </c>
      <c r="H8" s="23">
        <v>14862.3</v>
      </c>
      <c r="I8" s="23">
        <v>11225.8</v>
      </c>
      <c r="J8" s="23">
        <v>17902.400000000001</v>
      </c>
      <c r="K8" s="23">
        <v>15742</v>
      </c>
      <c r="L8" s="23">
        <v>12220.3</v>
      </c>
      <c r="M8" s="23">
        <v>11279.6</v>
      </c>
      <c r="N8" s="23">
        <v>8747.7000000000007</v>
      </c>
      <c r="O8" s="23">
        <v>5834.9</v>
      </c>
      <c r="P8" s="23">
        <v>4239</v>
      </c>
      <c r="Q8" s="23">
        <v>4453.2</v>
      </c>
      <c r="R8" s="23">
        <v>3001.3</v>
      </c>
      <c r="S8" s="23">
        <v>3201.7</v>
      </c>
      <c r="T8" s="23">
        <v>2881</v>
      </c>
      <c r="U8" s="23">
        <v>1930.4</v>
      </c>
      <c r="V8" s="23">
        <v>2330.1999999999998</v>
      </c>
      <c r="W8" s="23">
        <v>2458</v>
      </c>
      <c r="X8" s="23">
        <v>2374.4</v>
      </c>
      <c r="Y8" s="23">
        <v>3025.8</v>
      </c>
      <c r="Z8" s="23">
        <v>3526.5</v>
      </c>
      <c r="AA8" s="23">
        <v>4172.7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32737.1</v>
      </c>
      <c r="E9" s="23">
        <v>33535</v>
      </c>
      <c r="F9" s="23">
        <v>34257.1</v>
      </c>
      <c r="G9" s="23">
        <v>38629.9</v>
      </c>
      <c r="H9" s="23">
        <v>42535.6</v>
      </c>
      <c r="I9" s="23">
        <v>44116</v>
      </c>
      <c r="J9" s="23">
        <v>45275.1</v>
      </c>
      <c r="K9" s="23">
        <v>50612.3</v>
      </c>
      <c r="L9" s="23">
        <v>55755.7</v>
      </c>
      <c r="M9" s="23">
        <v>51185.5</v>
      </c>
      <c r="N9" s="23">
        <v>49197.5</v>
      </c>
      <c r="O9" s="23">
        <v>43134.400000000001</v>
      </c>
      <c r="P9" s="23">
        <v>39074.400000000001</v>
      </c>
      <c r="Q9" s="23">
        <v>38882.9</v>
      </c>
      <c r="R9" s="23">
        <v>39321</v>
      </c>
      <c r="S9" s="23">
        <v>37597.800000000003</v>
      </c>
      <c r="T9" s="23">
        <v>36726</v>
      </c>
      <c r="U9" s="23">
        <v>39140.300000000003</v>
      </c>
      <c r="V9" s="23">
        <v>40842</v>
      </c>
      <c r="W9" s="23">
        <v>40722.699999999997</v>
      </c>
      <c r="X9" s="23">
        <v>32542</v>
      </c>
      <c r="Y9" s="23">
        <v>37553.599999999999</v>
      </c>
      <c r="Z9" s="23">
        <v>45930.8</v>
      </c>
      <c r="AA9" s="23">
        <v>49589.3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3717.7</v>
      </c>
      <c r="E10" s="23">
        <v>4019.1</v>
      </c>
      <c r="F10" s="23">
        <v>4366.8</v>
      </c>
      <c r="G10" s="23">
        <v>4373.2</v>
      </c>
      <c r="H10" s="23">
        <v>4754.7</v>
      </c>
      <c r="I10" s="23">
        <v>4949.6000000000004</v>
      </c>
      <c r="J10" s="23">
        <v>5773.3</v>
      </c>
      <c r="K10" s="23">
        <v>5985.3</v>
      </c>
      <c r="L10" s="23">
        <v>6093.8</v>
      </c>
      <c r="M10" s="23">
        <v>6322.9</v>
      </c>
      <c r="N10" s="23">
        <v>6270</v>
      </c>
      <c r="O10" s="23">
        <v>5668.3</v>
      </c>
      <c r="P10" s="23">
        <v>5183.5</v>
      </c>
      <c r="Q10" s="23">
        <v>4802.7</v>
      </c>
      <c r="R10" s="23">
        <v>4341.8</v>
      </c>
      <c r="S10" s="23">
        <v>4498.6000000000004</v>
      </c>
      <c r="T10" s="23">
        <v>4627</v>
      </c>
      <c r="U10" s="23">
        <v>4794</v>
      </c>
      <c r="V10" s="23">
        <v>4862.2</v>
      </c>
      <c r="W10" s="23">
        <v>5165.3</v>
      </c>
      <c r="X10" s="23">
        <v>5671.5</v>
      </c>
      <c r="Y10" s="23">
        <v>6142.1</v>
      </c>
      <c r="Z10" s="23">
        <v>6468.1</v>
      </c>
      <c r="AA10" s="23">
        <v>6778.3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5638.8</v>
      </c>
      <c r="E11" s="23">
        <v>5070</v>
      </c>
      <c r="F11" s="23">
        <v>5763.6</v>
      </c>
      <c r="G11" s="23">
        <v>6685.8</v>
      </c>
      <c r="H11" s="23">
        <v>8168.1</v>
      </c>
      <c r="I11" s="23">
        <v>8534.2000000000007</v>
      </c>
      <c r="J11" s="23">
        <v>8924.7999999999993</v>
      </c>
      <c r="K11" s="23">
        <v>9049.6</v>
      </c>
      <c r="L11" s="23">
        <v>8982.2999999999993</v>
      </c>
      <c r="M11" s="23">
        <v>9510</v>
      </c>
      <c r="N11" s="23">
        <v>9366.7000000000007</v>
      </c>
      <c r="O11" s="23">
        <v>8538</v>
      </c>
      <c r="P11" s="23">
        <v>6157.1</v>
      </c>
      <c r="Q11" s="23">
        <v>7003.3</v>
      </c>
      <c r="R11" s="23">
        <v>8146.7</v>
      </c>
      <c r="S11" s="23">
        <v>7859</v>
      </c>
      <c r="T11" s="23">
        <v>8622.2999999999993</v>
      </c>
      <c r="U11" s="23">
        <v>8728.7000000000007</v>
      </c>
      <c r="V11" s="23">
        <v>8133.2</v>
      </c>
      <c r="W11" s="23">
        <v>8057.3</v>
      </c>
      <c r="X11" s="23">
        <v>7679.1</v>
      </c>
      <c r="Y11" s="23">
        <v>7973.3</v>
      </c>
      <c r="Z11" s="23">
        <v>8980.6</v>
      </c>
      <c r="AA11" s="23">
        <v>12708.3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16384.7</v>
      </c>
      <c r="E12" s="23">
        <v>17765.599999999999</v>
      </c>
      <c r="F12" s="23">
        <v>19989.8</v>
      </c>
      <c r="G12" s="23">
        <v>20053</v>
      </c>
      <c r="H12" s="23">
        <v>20571.7</v>
      </c>
      <c r="I12" s="23">
        <v>22712</v>
      </c>
      <c r="J12" s="23">
        <v>25043.5</v>
      </c>
      <c r="K12" s="23">
        <v>27919</v>
      </c>
      <c r="L12" s="23">
        <v>31416.6</v>
      </c>
      <c r="M12" s="23">
        <v>32493.1</v>
      </c>
      <c r="N12" s="23">
        <v>33015.4</v>
      </c>
      <c r="O12" s="23">
        <v>32326.9</v>
      </c>
      <c r="P12" s="23">
        <v>29834.1</v>
      </c>
      <c r="Q12" s="23">
        <v>28428.400000000001</v>
      </c>
      <c r="R12" s="23">
        <v>27662</v>
      </c>
      <c r="S12" s="23">
        <v>28353.1</v>
      </c>
      <c r="T12" s="23">
        <v>27466.3</v>
      </c>
      <c r="U12" s="23">
        <v>27439.4</v>
      </c>
      <c r="V12" s="23">
        <v>26825.8</v>
      </c>
      <c r="W12" s="23">
        <v>29184</v>
      </c>
      <c r="X12" s="23">
        <v>27003.8</v>
      </c>
      <c r="Y12" s="23">
        <v>28546</v>
      </c>
      <c r="Z12" s="23">
        <v>29475.4</v>
      </c>
      <c r="AA12" s="23">
        <v>32385.8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7320.6</v>
      </c>
      <c r="E13" s="23">
        <v>7822.6</v>
      </c>
      <c r="F13" s="23">
        <v>8962.2000000000007</v>
      </c>
      <c r="G13" s="23">
        <v>9972</v>
      </c>
      <c r="H13" s="23">
        <v>10937.1</v>
      </c>
      <c r="I13" s="23">
        <v>11079.1</v>
      </c>
      <c r="J13" s="23">
        <v>12332.6</v>
      </c>
      <c r="K13" s="23">
        <v>13451.9</v>
      </c>
      <c r="L13" s="23">
        <v>14258</v>
      </c>
      <c r="M13" s="23">
        <v>13530</v>
      </c>
      <c r="N13" s="23">
        <v>10915.1</v>
      </c>
      <c r="O13" s="23">
        <v>9489.6</v>
      </c>
      <c r="P13" s="23">
        <v>8698.6</v>
      </c>
      <c r="Q13" s="23">
        <v>8111.9</v>
      </c>
      <c r="R13" s="23">
        <v>7859.1</v>
      </c>
      <c r="S13" s="23">
        <v>7828.5</v>
      </c>
      <c r="T13" s="23">
        <v>7557.3</v>
      </c>
      <c r="U13" s="23">
        <v>7824.9</v>
      </c>
      <c r="V13" s="23">
        <v>8107.6</v>
      </c>
      <c r="W13" s="23">
        <v>8685.7999999999993</v>
      </c>
      <c r="X13" s="23">
        <v>7962.7</v>
      </c>
      <c r="Y13" s="23">
        <v>9502.2999999999993</v>
      </c>
      <c r="Z13" s="23">
        <v>10636.8</v>
      </c>
      <c r="AA13" s="23">
        <v>11985.8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19865.300000000003</v>
      </c>
      <c r="E14" s="23">
        <v>22317.799999999974</v>
      </c>
      <c r="F14" s="23">
        <v>24700.899999999994</v>
      </c>
      <c r="G14" s="23">
        <v>26376</v>
      </c>
      <c r="H14" s="23">
        <v>30501.100000000006</v>
      </c>
      <c r="I14" s="23">
        <v>32488.700000000012</v>
      </c>
      <c r="J14" s="23">
        <v>34944.899999999965</v>
      </c>
      <c r="K14" s="23">
        <v>37743.799999999988</v>
      </c>
      <c r="L14" s="23">
        <v>40253.700000000012</v>
      </c>
      <c r="M14" s="23">
        <v>43811.399999999994</v>
      </c>
      <c r="N14" s="23">
        <v>42086.399999999994</v>
      </c>
      <c r="O14" s="23">
        <v>38155.799999999959</v>
      </c>
      <c r="P14" s="23">
        <v>35532.099999999977</v>
      </c>
      <c r="Q14" s="23">
        <v>32475.800000000003</v>
      </c>
      <c r="R14" s="23">
        <v>31764.899999999994</v>
      </c>
      <c r="S14" s="23">
        <v>31587.300000000003</v>
      </c>
      <c r="T14" s="23">
        <v>31104.300000000003</v>
      </c>
      <c r="U14" s="23">
        <v>31014.599999999991</v>
      </c>
      <c r="V14" s="23">
        <v>31186.899999999994</v>
      </c>
      <c r="W14" s="23">
        <v>31453.300000000003</v>
      </c>
      <c r="X14" s="23">
        <v>31207.499999999985</v>
      </c>
      <c r="Y14" s="23">
        <v>32161.499999999985</v>
      </c>
      <c r="Z14" s="23">
        <v>33339.800000000017</v>
      </c>
      <c r="AA14" s="23">
        <v>34618.300000000017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3536.9</v>
      </c>
      <c r="E15" s="23">
        <v>4041.5</v>
      </c>
      <c r="F15" s="23">
        <v>4671.8999999999996</v>
      </c>
      <c r="G15" s="23">
        <v>4644.8999999999996</v>
      </c>
      <c r="H15" s="23">
        <v>5216.8</v>
      </c>
      <c r="I15" s="23">
        <v>5911.9</v>
      </c>
      <c r="J15" s="23">
        <v>6215</v>
      </c>
      <c r="K15" s="23">
        <v>6878.2</v>
      </c>
      <c r="L15" s="23">
        <v>7092.3</v>
      </c>
      <c r="M15" s="23">
        <v>7759.9</v>
      </c>
      <c r="N15" s="23">
        <v>6143.5</v>
      </c>
      <c r="O15" s="23">
        <v>5546.1</v>
      </c>
      <c r="P15" s="23">
        <v>5417.6</v>
      </c>
      <c r="Q15" s="23">
        <v>5289.3</v>
      </c>
      <c r="R15" s="23">
        <v>5134.3999999999996</v>
      </c>
      <c r="S15" s="23">
        <v>5031.2</v>
      </c>
      <c r="T15" s="23">
        <v>4924.3999999999996</v>
      </c>
      <c r="U15" s="23">
        <v>5160.7</v>
      </c>
      <c r="V15" s="23">
        <v>5600.3</v>
      </c>
      <c r="W15" s="23">
        <v>5843.6</v>
      </c>
      <c r="X15" s="23">
        <v>4645</v>
      </c>
      <c r="Y15" s="23">
        <v>5354</v>
      </c>
      <c r="Z15" s="23">
        <v>6068.8</v>
      </c>
      <c r="AA15" s="23">
        <v>6518.7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122577.4</v>
      </c>
      <c r="E16" s="30">
        <f t="shared" ref="E16:Y16" si="0">SUM(E6:E15)</f>
        <v>130715.2</v>
      </c>
      <c r="F16" s="30">
        <f t="shared" si="0"/>
        <v>141238.9</v>
      </c>
      <c r="G16" s="30">
        <f t="shared" si="0"/>
        <v>155704.5</v>
      </c>
      <c r="H16" s="30">
        <f t="shared" si="0"/>
        <v>169962.4</v>
      </c>
      <c r="I16" s="30">
        <f t="shared" si="0"/>
        <v>174351.6</v>
      </c>
      <c r="J16" s="30">
        <f t="shared" si="0"/>
        <v>189484.4</v>
      </c>
      <c r="K16" s="30">
        <f t="shared" si="0"/>
        <v>201855.1</v>
      </c>
      <c r="L16" s="30">
        <f t="shared" si="0"/>
        <v>210563.9</v>
      </c>
      <c r="M16" s="30">
        <f t="shared" si="0"/>
        <v>209179.3</v>
      </c>
      <c r="N16" s="30">
        <f t="shared" si="0"/>
        <v>197195.6</v>
      </c>
      <c r="O16" s="30">
        <f t="shared" si="0"/>
        <v>178347.3</v>
      </c>
      <c r="P16" s="30">
        <f t="shared" si="0"/>
        <v>163766.20000000001</v>
      </c>
      <c r="Q16" s="30">
        <f t="shared" si="0"/>
        <v>157795.29999999999</v>
      </c>
      <c r="R16" s="30">
        <f t="shared" si="0"/>
        <v>155355.4</v>
      </c>
      <c r="S16" s="30">
        <f t="shared" si="0"/>
        <v>154780.60000000003</v>
      </c>
      <c r="T16" s="30">
        <f t="shared" si="0"/>
        <v>152015.6</v>
      </c>
      <c r="U16" s="30">
        <f t="shared" si="0"/>
        <v>154782.29999999999</v>
      </c>
      <c r="V16" s="30">
        <f t="shared" si="0"/>
        <v>156634.89999999997</v>
      </c>
      <c r="W16" s="30">
        <f t="shared" si="0"/>
        <v>160732.6</v>
      </c>
      <c r="X16" s="30">
        <f t="shared" si="0"/>
        <v>147236.29999999999</v>
      </c>
      <c r="Y16" s="30">
        <f t="shared" si="0"/>
        <v>161015.4</v>
      </c>
      <c r="Z16" s="30">
        <f t="shared" ref="Z16:AA16" si="1">SUM(Z6:Z15)</f>
        <v>183408.7</v>
      </c>
      <c r="AA16" s="30">
        <f t="shared" si="1"/>
        <v>196528.1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7584</v>
      </c>
      <c r="E18" s="19">
        <v>7906</v>
      </c>
      <c r="F18" s="19">
        <v>8296.2999999999993</v>
      </c>
      <c r="G18" s="19">
        <v>9269</v>
      </c>
      <c r="H18" s="19">
        <v>8594.6</v>
      </c>
      <c r="I18" s="19">
        <v>8720.4</v>
      </c>
      <c r="J18" s="19">
        <v>7041</v>
      </c>
      <c r="K18" s="19">
        <v>7233.3</v>
      </c>
      <c r="L18" s="19">
        <v>6911.5</v>
      </c>
      <c r="M18" s="19">
        <v>6855.9</v>
      </c>
      <c r="N18" s="19">
        <v>6515.9</v>
      </c>
      <c r="O18" s="19">
        <v>6230.1</v>
      </c>
      <c r="P18" s="19">
        <v>6356</v>
      </c>
      <c r="Q18" s="19">
        <v>5969.4</v>
      </c>
      <c r="R18" s="19">
        <v>6221.4</v>
      </c>
      <c r="S18" s="19">
        <v>6701.6</v>
      </c>
      <c r="T18" s="19">
        <v>6032.6</v>
      </c>
      <c r="U18" s="19">
        <v>6655.7</v>
      </c>
      <c r="V18" s="19">
        <v>6368</v>
      </c>
      <c r="W18" s="19">
        <v>6780.4</v>
      </c>
      <c r="X18" s="19">
        <v>6574</v>
      </c>
      <c r="Y18" s="19">
        <v>6518.7</v>
      </c>
      <c r="Z18" s="19">
        <v>7801.4</v>
      </c>
      <c r="AA18" s="19">
        <v>7529.3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617.99999999999989</v>
      </c>
      <c r="E19" s="23">
        <v>628.79999999999961</v>
      </c>
      <c r="F19" s="23">
        <v>667.91446171834411</v>
      </c>
      <c r="G19" s="23">
        <v>746.68583703197942</v>
      </c>
      <c r="H19" s="23">
        <v>789.28587812209275</v>
      </c>
      <c r="I19" s="23">
        <v>861.21424719175513</v>
      </c>
      <c r="J19" s="23">
        <v>881.3</v>
      </c>
      <c r="K19" s="23">
        <v>955.68541250095427</v>
      </c>
      <c r="L19" s="23">
        <v>891.90000000000009</v>
      </c>
      <c r="M19" s="23">
        <v>855.5882519326093</v>
      </c>
      <c r="N19" s="23">
        <v>909.18700455955309</v>
      </c>
      <c r="O19" s="23">
        <v>921.88652724801648</v>
      </c>
      <c r="P19" s="23">
        <v>820.2</v>
      </c>
      <c r="Q19" s="23">
        <v>850.4000000000002</v>
      </c>
      <c r="R19" s="23">
        <v>856.91047426964894</v>
      </c>
      <c r="S19" s="23">
        <v>899.4</v>
      </c>
      <c r="T19" s="23">
        <v>818.20000000000027</v>
      </c>
      <c r="U19" s="23">
        <v>821.79999999999984</v>
      </c>
      <c r="V19" s="23">
        <v>876.2</v>
      </c>
      <c r="W19" s="23">
        <v>768.00976515315278</v>
      </c>
      <c r="X19" s="23">
        <v>621.1</v>
      </c>
      <c r="Y19" s="23">
        <v>662.40803542184744</v>
      </c>
      <c r="Z19" s="23">
        <v>530.90436872032456</v>
      </c>
      <c r="AA19" s="23">
        <v>533.09999999999991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13673.3</v>
      </c>
      <c r="E20" s="23">
        <v>15339.7</v>
      </c>
      <c r="F20" s="23">
        <v>16331.8</v>
      </c>
      <c r="G20" s="23">
        <v>17402.3</v>
      </c>
      <c r="H20" s="23">
        <v>18231.3</v>
      </c>
      <c r="I20" s="23">
        <v>18569.099999999999</v>
      </c>
      <c r="J20" s="23">
        <v>19563.8</v>
      </c>
      <c r="K20" s="23">
        <v>20688.3</v>
      </c>
      <c r="L20" s="23">
        <v>21218.2</v>
      </c>
      <c r="M20" s="23">
        <v>19148.2</v>
      </c>
      <c r="N20" s="23">
        <v>17941.2</v>
      </c>
      <c r="O20" s="23">
        <v>16580.599999999999</v>
      </c>
      <c r="P20" s="23">
        <v>15125.5</v>
      </c>
      <c r="Q20" s="23">
        <v>13858.1</v>
      </c>
      <c r="R20" s="23">
        <v>13721.7</v>
      </c>
      <c r="S20" s="23">
        <v>14544.6</v>
      </c>
      <c r="T20" s="23">
        <v>14143.8</v>
      </c>
      <c r="U20" s="23">
        <v>14221.7</v>
      </c>
      <c r="V20" s="23">
        <v>14777.6</v>
      </c>
      <c r="W20" s="23">
        <v>14517.4</v>
      </c>
      <c r="X20" s="23">
        <v>14119</v>
      </c>
      <c r="Y20" s="23">
        <v>15994.5</v>
      </c>
      <c r="Z20" s="23">
        <v>19028.099999999999</v>
      </c>
      <c r="AA20" s="23">
        <v>19661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1816.9999999999995</v>
      </c>
      <c r="E21" s="23">
        <v>1825.8999999999994</v>
      </c>
      <c r="F21" s="23">
        <v>2229.9482829551362</v>
      </c>
      <c r="G21" s="23">
        <v>2693.9489017867313</v>
      </c>
      <c r="H21" s="23">
        <v>2780.9502433264161</v>
      </c>
      <c r="I21" s="23">
        <v>3067.2507419723074</v>
      </c>
      <c r="J21" s="23">
        <v>3331.3</v>
      </c>
      <c r="K21" s="23">
        <v>3374.4484927115936</v>
      </c>
      <c r="L21" s="23">
        <v>3004.6</v>
      </c>
      <c r="M21" s="23">
        <v>3760.0483708412853</v>
      </c>
      <c r="N21" s="23">
        <v>3590.3486814459075</v>
      </c>
      <c r="O21" s="23">
        <v>3599.4473964955369</v>
      </c>
      <c r="P21" s="23">
        <v>4934.2</v>
      </c>
      <c r="Q21" s="23">
        <v>5240.9000000000005</v>
      </c>
      <c r="R21" s="23">
        <v>4990.561001100109</v>
      </c>
      <c r="S21" s="23">
        <v>4588.7</v>
      </c>
      <c r="T21" s="23">
        <v>4960.7000000000016</v>
      </c>
      <c r="U21" s="23">
        <v>4999.3999999999978</v>
      </c>
      <c r="V21" s="23">
        <v>4689.3999999999996</v>
      </c>
      <c r="W21" s="23">
        <v>4986.1633984767386</v>
      </c>
      <c r="X21" s="23">
        <v>4976.6999999999989</v>
      </c>
      <c r="Y21" s="23">
        <v>5794.8702953842412</v>
      </c>
      <c r="Z21" s="23">
        <v>9875.7812660977761</v>
      </c>
      <c r="AA21" s="23">
        <v>8036.8999999999978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1612.7999999999995</v>
      </c>
      <c r="E22" s="23">
        <v>1646.8999999999994</v>
      </c>
      <c r="F22" s="23">
        <v>1720.6372553265201</v>
      </c>
      <c r="G22" s="23">
        <v>1831.4652611812912</v>
      </c>
      <c r="H22" s="23">
        <v>2018.8638785514929</v>
      </c>
      <c r="I22" s="23">
        <v>2116.33501083594</v>
      </c>
      <c r="J22" s="23">
        <v>2255.4</v>
      </c>
      <c r="K22" s="23">
        <v>2221.2660947874538</v>
      </c>
      <c r="L22" s="23">
        <v>2465</v>
      </c>
      <c r="M22" s="23">
        <v>2667.1633772261048</v>
      </c>
      <c r="N22" s="23">
        <v>2496.66431399454</v>
      </c>
      <c r="O22" s="23">
        <v>2321.2660762564492</v>
      </c>
      <c r="P22" s="23">
        <v>2393.9</v>
      </c>
      <c r="Q22" s="23">
        <v>2429.0000000000005</v>
      </c>
      <c r="R22" s="23">
        <v>2333.6285246302405</v>
      </c>
      <c r="S22" s="23">
        <v>2089.1</v>
      </c>
      <c r="T22" s="23">
        <v>2151.7000000000003</v>
      </c>
      <c r="U22" s="23">
        <v>2050.6999999999994</v>
      </c>
      <c r="V22" s="23">
        <v>2035.5000000000002</v>
      </c>
      <c r="W22" s="23">
        <v>2110.6268363701097</v>
      </c>
      <c r="X22" s="23">
        <v>1859.4999999999998</v>
      </c>
      <c r="Y22" s="23">
        <v>1786.3216691939101</v>
      </c>
      <c r="Z22" s="23">
        <v>1745.7143651818997</v>
      </c>
      <c r="AA22" s="23">
        <v>2010.5999999999995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8071.2</v>
      </c>
      <c r="E23" s="23">
        <v>8796.2999999999993</v>
      </c>
      <c r="F23" s="23">
        <v>9280</v>
      </c>
      <c r="G23" s="23">
        <v>13026.3</v>
      </c>
      <c r="H23" s="23">
        <v>14862.3</v>
      </c>
      <c r="I23" s="23">
        <v>11225.8</v>
      </c>
      <c r="J23" s="23">
        <v>17902.400000000001</v>
      </c>
      <c r="K23" s="23">
        <v>15742</v>
      </c>
      <c r="L23" s="23">
        <v>12220.3</v>
      </c>
      <c r="M23" s="23">
        <v>11279.6</v>
      </c>
      <c r="N23" s="23">
        <v>8747.7000000000007</v>
      </c>
      <c r="O23" s="23">
        <v>5834.9</v>
      </c>
      <c r="P23" s="23">
        <v>4239</v>
      </c>
      <c r="Q23" s="23">
        <v>4453.2</v>
      </c>
      <c r="R23" s="23">
        <v>3001.3</v>
      </c>
      <c r="S23" s="23">
        <v>3201.7</v>
      </c>
      <c r="T23" s="23">
        <v>2881</v>
      </c>
      <c r="U23" s="23">
        <v>1930.4</v>
      </c>
      <c r="V23" s="23">
        <v>2330.1999999999998</v>
      </c>
      <c r="W23" s="23">
        <v>2458</v>
      </c>
      <c r="X23" s="23">
        <v>2374.4</v>
      </c>
      <c r="Y23" s="23">
        <v>3025.8</v>
      </c>
      <c r="Z23" s="23">
        <v>3526.5</v>
      </c>
      <c r="AA23" s="23">
        <v>4172.7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19445.399999999998</v>
      </c>
      <c r="E24" s="23">
        <v>19311.2</v>
      </c>
      <c r="F24" s="23">
        <v>20679.399999999998</v>
      </c>
      <c r="G24" s="23">
        <v>22182</v>
      </c>
      <c r="H24" s="23">
        <v>23051.4</v>
      </c>
      <c r="I24" s="23">
        <v>21931.800000000003</v>
      </c>
      <c r="J24" s="23">
        <v>22193.5</v>
      </c>
      <c r="K24" s="23">
        <v>25222.100000000006</v>
      </c>
      <c r="L24" s="23">
        <v>27324.399999999994</v>
      </c>
      <c r="M24" s="23">
        <v>26297.1</v>
      </c>
      <c r="N24" s="23">
        <v>24852.9</v>
      </c>
      <c r="O24" s="23">
        <v>22166.400000000001</v>
      </c>
      <c r="P24" s="23">
        <v>19544.700000000004</v>
      </c>
      <c r="Q24" s="23">
        <v>17900.600000000002</v>
      </c>
      <c r="R24" s="23">
        <v>18182.2</v>
      </c>
      <c r="S24" s="23">
        <v>18219.800000000003</v>
      </c>
      <c r="T24" s="23">
        <v>18364.8</v>
      </c>
      <c r="U24" s="23">
        <v>19116.900000000001</v>
      </c>
      <c r="V24" s="23">
        <v>19772.5</v>
      </c>
      <c r="W24" s="23">
        <v>18881.799999999996</v>
      </c>
      <c r="X24" s="23">
        <v>17384</v>
      </c>
      <c r="Y24" s="23">
        <v>19137.699999999997</v>
      </c>
      <c r="Z24" s="23">
        <v>22400.400000000001</v>
      </c>
      <c r="AA24" s="23">
        <v>22755.600000000002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7742.6</v>
      </c>
      <c r="E25" s="23">
        <v>7195.7</v>
      </c>
      <c r="F25" s="23">
        <v>7371.6</v>
      </c>
      <c r="G25" s="23">
        <v>9341.2999999999993</v>
      </c>
      <c r="H25" s="23">
        <v>11448.8</v>
      </c>
      <c r="I25" s="23">
        <v>12896.8</v>
      </c>
      <c r="J25" s="23">
        <v>13717.5</v>
      </c>
      <c r="K25" s="23">
        <v>15813.3</v>
      </c>
      <c r="L25" s="23">
        <v>17083.2</v>
      </c>
      <c r="M25" s="23">
        <v>14480.5</v>
      </c>
      <c r="N25" s="23">
        <v>14199.3</v>
      </c>
      <c r="O25" s="23">
        <v>12152.1</v>
      </c>
      <c r="P25" s="23">
        <v>11083.9</v>
      </c>
      <c r="Q25" s="23">
        <v>10594.5</v>
      </c>
      <c r="R25" s="23">
        <v>11016.8</v>
      </c>
      <c r="S25" s="23">
        <v>9260.5</v>
      </c>
      <c r="T25" s="23">
        <v>8902</v>
      </c>
      <c r="U25" s="23">
        <v>9675.4</v>
      </c>
      <c r="V25" s="23">
        <v>10163.6</v>
      </c>
      <c r="W25" s="23">
        <v>10211.799999999999</v>
      </c>
      <c r="X25" s="23">
        <v>8787.7999999999993</v>
      </c>
      <c r="Y25" s="23">
        <v>9966.7999999999993</v>
      </c>
      <c r="Z25" s="23">
        <v>11825.4</v>
      </c>
      <c r="AA25" s="23">
        <v>12792.7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5549.1</v>
      </c>
      <c r="E26" s="23">
        <v>7028.1</v>
      </c>
      <c r="F26" s="23">
        <v>6206.1</v>
      </c>
      <c r="G26" s="23">
        <v>7106.6</v>
      </c>
      <c r="H26" s="23">
        <v>8035.4</v>
      </c>
      <c r="I26" s="23">
        <v>9287.4</v>
      </c>
      <c r="J26" s="23">
        <v>9364.1</v>
      </c>
      <c r="K26" s="23">
        <v>9576.9</v>
      </c>
      <c r="L26" s="23">
        <v>11348.1</v>
      </c>
      <c r="M26" s="23">
        <v>10407.9</v>
      </c>
      <c r="N26" s="23">
        <v>10145.299999999999</v>
      </c>
      <c r="O26" s="23">
        <v>8815.9</v>
      </c>
      <c r="P26" s="23">
        <v>8445.7999999999993</v>
      </c>
      <c r="Q26" s="23">
        <v>10387.799999999999</v>
      </c>
      <c r="R26" s="23">
        <v>10122</v>
      </c>
      <c r="S26" s="23">
        <v>10117.5</v>
      </c>
      <c r="T26" s="23">
        <v>9459.2000000000007</v>
      </c>
      <c r="U26" s="23">
        <v>10348</v>
      </c>
      <c r="V26" s="23">
        <v>10905.9</v>
      </c>
      <c r="W26" s="23">
        <v>11629.1</v>
      </c>
      <c r="X26" s="23">
        <v>6370.2</v>
      </c>
      <c r="Y26" s="23">
        <v>8449.1</v>
      </c>
      <c r="Z26" s="23">
        <v>11705</v>
      </c>
      <c r="AA26" s="23">
        <v>14041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3717.7</v>
      </c>
      <c r="E27" s="23">
        <v>4019.1</v>
      </c>
      <c r="F27" s="23">
        <v>4366.8</v>
      </c>
      <c r="G27" s="23">
        <v>4373.2</v>
      </c>
      <c r="H27" s="23">
        <v>4754.7</v>
      </c>
      <c r="I27" s="23">
        <v>4949.6000000000004</v>
      </c>
      <c r="J27" s="23">
        <v>5773.3</v>
      </c>
      <c r="K27" s="23">
        <v>5985.3</v>
      </c>
      <c r="L27" s="23">
        <v>6093.8</v>
      </c>
      <c r="M27" s="23">
        <v>6322.9</v>
      </c>
      <c r="N27" s="23">
        <v>6270</v>
      </c>
      <c r="O27" s="23">
        <v>5668.3</v>
      </c>
      <c r="P27" s="23">
        <v>5183.5</v>
      </c>
      <c r="Q27" s="23">
        <v>4802.7</v>
      </c>
      <c r="R27" s="23">
        <v>4341.8</v>
      </c>
      <c r="S27" s="23">
        <v>4498.6000000000004</v>
      </c>
      <c r="T27" s="23">
        <v>4627</v>
      </c>
      <c r="U27" s="23">
        <v>4794</v>
      </c>
      <c r="V27" s="23">
        <v>4862.2</v>
      </c>
      <c r="W27" s="23">
        <v>5165.3</v>
      </c>
      <c r="X27" s="23">
        <v>5671.5</v>
      </c>
      <c r="Y27" s="23">
        <v>6142.1</v>
      </c>
      <c r="Z27" s="23">
        <v>6468.1</v>
      </c>
      <c r="AA27" s="23">
        <v>6778.3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5638.8</v>
      </c>
      <c r="E28" s="23">
        <v>5070</v>
      </c>
      <c r="F28" s="23">
        <v>5763.6</v>
      </c>
      <c r="G28" s="23">
        <v>6685.8</v>
      </c>
      <c r="H28" s="23">
        <v>8168.1</v>
      </c>
      <c r="I28" s="23">
        <v>8534.2000000000007</v>
      </c>
      <c r="J28" s="23">
        <v>8924.7999999999993</v>
      </c>
      <c r="K28" s="23">
        <v>9049.6</v>
      </c>
      <c r="L28" s="23">
        <v>8982.2999999999993</v>
      </c>
      <c r="M28" s="23">
        <v>9510</v>
      </c>
      <c r="N28" s="23">
        <v>9366.7000000000007</v>
      </c>
      <c r="O28" s="23">
        <v>8538</v>
      </c>
      <c r="P28" s="23">
        <v>6157.1</v>
      </c>
      <c r="Q28" s="23">
        <v>7003.3</v>
      </c>
      <c r="R28" s="23">
        <v>8146.7</v>
      </c>
      <c r="S28" s="23">
        <v>7859</v>
      </c>
      <c r="T28" s="23">
        <v>8622.2999999999993</v>
      </c>
      <c r="U28" s="23">
        <v>8728.7000000000007</v>
      </c>
      <c r="V28" s="23">
        <v>8133.2</v>
      </c>
      <c r="W28" s="23">
        <v>8057.3</v>
      </c>
      <c r="X28" s="23">
        <v>7679.1</v>
      </c>
      <c r="Y28" s="23">
        <v>7973.3</v>
      </c>
      <c r="Z28" s="23">
        <v>8980.6</v>
      </c>
      <c r="AA28" s="23">
        <v>12708.3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16384.7</v>
      </c>
      <c r="E29" s="23">
        <v>17765.599999999999</v>
      </c>
      <c r="F29" s="23">
        <v>19989.8</v>
      </c>
      <c r="G29" s="23">
        <v>20053</v>
      </c>
      <c r="H29" s="23">
        <v>20571.7</v>
      </c>
      <c r="I29" s="23">
        <v>22712</v>
      </c>
      <c r="J29" s="23">
        <v>25043.5</v>
      </c>
      <c r="K29" s="23">
        <v>27919</v>
      </c>
      <c r="L29" s="23">
        <v>31416.6</v>
      </c>
      <c r="M29" s="23">
        <v>32493.1</v>
      </c>
      <c r="N29" s="23">
        <v>33015.4</v>
      </c>
      <c r="O29" s="23">
        <v>32326.9</v>
      </c>
      <c r="P29" s="23">
        <v>29834.1</v>
      </c>
      <c r="Q29" s="23">
        <v>28428.400000000001</v>
      </c>
      <c r="R29" s="23">
        <v>27662</v>
      </c>
      <c r="S29" s="23">
        <v>28353.1</v>
      </c>
      <c r="T29" s="23">
        <v>27466.3</v>
      </c>
      <c r="U29" s="23">
        <v>27439.4</v>
      </c>
      <c r="V29" s="23">
        <v>26825.8</v>
      </c>
      <c r="W29" s="23">
        <v>29184</v>
      </c>
      <c r="X29" s="23">
        <v>27003.8</v>
      </c>
      <c r="Y29" s="23">
        <v>28546</v>
      </c>
      <c r="Z29" s="23">
        <v>29475.4</v>
      </c>
      <c r="AA29" s="23">
        <v>32385.8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5314.5</v>
      </c>
      <c r="E30" s="23">
        <v>5806.7000000000007</v>
      </c>
      <c r="F30" s="23">
        <v>6770.2000000000007</v>
      </c>
      <c r="G30" s="23">
        <v>7195.9</v>
      </c>
      <c r="H30" s="23">
        <v>7847.3</v>
      </c>
      <c r="I30" s="23">
        <v>7848.7000000000007</v>
      </c>
      <c r="J30" s="23">
        <v>8875.1</v>
      </c>
      <c r="K30" s="23">
        <v>9833.9</v>
      </c>
      <c r="L30" s="23">
        <v>9731.7000000000007</v>
      </c>
      <c r="M30" s="23">
        <v>9124.9</v>
      </c>
      <c r="N30" s="23">
        <v>7658</v>
      </c>
      <c r="O30" s="23">
        <v>6522.1</v>
      </c>
      <c r="P30" s="23">
        <v>6002.4000000000005</v>
      </c>
      <c r="Q30" s="23">
        <v>5940</v>
      </c>
      <c r="R30" s="23">
        <v>5417.4000000000005</v>
      </c>
      <c r="S30" s="23">
        <v>5578.4</v>
      </c>
      <c r="T30" s="23">
        <v>5255.6</v>
      </c>
      <c r="U30" s="23">
        <v>5298.9</v>
      </c>
      <c r="V30" s="23">
        <v>5394.8</v>
      </c>
      <c r="W30" s="23">
        <v>5753.4999999999991</v>
      </c>
      <c r="X30" s="23">
        <v>5648.2</v>
      </c>
      <c r="Y30" s="23">
        <v>6570.7999999999993</v>
      </c>
      <c r="Z30" s="23">
        <v>7136.9</v>
      </c>
      <c r="AA30" s="23">
        <v>8057.5999999999995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2006.1</v>
      </c>
      <c r="E31" s="23">
        <v>2015.9</v>
      </c>
      <c r="F31" s="23">
        <v>2192</v>
      </c>
      <c r="G31" s="23">
        <v>2776.1</v>
      </c>
      <c r="H31" s="23">
        <v>3089.8</v>
      </c>
      <c r="I31" s="23">
        <v>3230.4</v>
      </c>
      <c r="J31" s="23">
        <v>3457.5</v>
      </c>
      <c r="K31" s="23">
        <v>3618</v>
      </c>
      <c r="L31" s="23">
        <v>4526.3</v>
      </c>
      <c r="M31" s="23">
        <v>4405.1000000000004</v>
      </c>
      <c r="N31" s="23">
        <v>3257.1</v>
      </c>
      <c r="O31" s="23">
        <v>2967.5</v>
      </c>
      <c r="P31" s="23">
        <v>2696.2</v>
      </c>
      <c r="Q31" s="23">
        <v>2171.9</v>
      </c>
      <c r="R31" s="23">
        <v>2441.6999999999998</v>
      </c>
      <c r="S31" s="23">
        <v>2250.1</v>
      </c>
      <c r="T31" s="23">
        <v>2301.6999999999998</v>
      </c>
      <c r="U31" s="23">
        <v>2526</v>
      </c>
      <c r="V31" s="23">
        <v>2712.8</v>
      </c>
      <c r="W31" s="23">
        <v>2932.3</v>
      </c>
      <c r="X31" s="23">
        <v>2314.5</v>
      </c>
      <c r="Y31" s="23">
        <v>2931.5</v>
      </c>
      <c r="Z31" s="23">
        <v>3499.9</v>
      </c>
      <c r="AA31" s="23">
        <v>3928.2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10308.900000000003</v>
      </c>
      <c r="E32" s="23">
        <v>10941.399999999974</v>
      </c>
      <c r="F32" s="23">
        <v>11686.399999999994</v>
      </c>
      <c r="G32" s="23">
        <v>12887</v>
      </c>
      <c r="H32" s="23">
        <v>14655.200000000004</v>
      </c>
      <c r="I32" s="23">
        <v>14962.100000000013</v>
      </c>
      <c r="J32" s="23">
        <v>16341.299999999967</v>
      </c>
      <c r="K32" s="23">
        <v>17605.19999999999</v>
      </c>
      <c r="L32" s="23">
        <v>19156.200000000012</v>
      </c>
      <c r="M32" s="23">
        <v>21821.399999999994</v>
      </c>
      <c r="N32" s="23">
        <v>20097.299999999996</v>
      </c>
      <c r="O32" s="23">
        <v>18570.799999999959</v>
      </c>
      <c r="P32" s="23">
        <v>17840.199999999975</v>
      </c>
      <c r="Q32" s="23">
        <v>16159.100000000002</v>
      </c>
      <c r="R32" s="23">
        <v>16388.099999999995</v>
      </c>
      <c r="S32" s="23">
        <v>16348.800000000003</v>
      </c>
      <c r="T32" s="23">
        <v>16085.000000000002</v>
      </c>
      <c r="U32" s="23">
        <v>16081.899999999991</v>
      </c>
      <c r="V32" s="23">
        <v>16061.299999999994</v>
      </c>
      <c r="W32" s="23">
        <v>15941.800000000003</v>
      </c>
      <c r="X32" s="23">
        <v>15906.099999999984</v>
      </c>
      <c r="Y32" s="23">
        <v>16115.899999999987</v>
      </c>
      <c r="Z32" s="23">
        <v>16363.000000000018</v>
      </c>
      <c r="AA32" s="23">
        <v>16875.400000000016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5243.2</v>
      </c>
      <c r="E33" s="23">
        <v>5623.9</v>
      </c>
      <c r="F33" s="23">
        <v>7085.5</v>
      </c>
      <c r="G33" s="23">
        <v>7550.9</v>
      </c>
      <c r="H33" s="23">
        <v>8782.6</v>
      </c>
      <c r="I33" s="23">
        <v>9325</v>
      </c>
      <c r="J33" s="23">
        <v>9562.5</v>
      </c>
      <c r="K33" s="23">
        <v>10306.299999999999</v>
      </c>
      <c r="L33" s="23">
        <v>11320.4</v>
      </c>
      <c r="M33" s="23">
        <v>11752.3</v>
      </c>
      <c r="N33" s="23">
        <v>11392.5</v>
      </c>
      <c r="O33" s="23">
        <v>10945.7</v>
      </c>
      <c r="P33" s="23">
        <v>10075.700000000001</v>
      </c>
      <c r="Q33" s="23">
        <v>9450.7000000000007</v>
      </c>
      <c r="R33" s="23">
        <v>8995.6</v>
      </c>
      <c r="S33" s="23">
        <v>8645.1</v>
      </c>
      <c r="T33" s="23">
        <v>8562.2000000000007</v>
      </c>
      <c r="U33" s="23">
        <v>8485.7000000000007</v>
      </c>
      <c r="V33" s="23">
        <v>8477.5</v>
      </c>
      <c r="W33" s="23">
        <v>8471.7000000000007</v>
      </c>
      <c r="X33" s="23">
        <v>8384.1</v>
      </c>
      <c r="Y33" s="23">
        <v>8259.2999999999993</v>
      </c>
      <c r="Z33" s="23">
        <v>9015.2999999999993</v>
      </c>
      <c r="AA33" s="23">
        <v>9244.1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4313.2</v>
      </c>
      <c r="E34" s="23">
        <v>5752.5</v>
      </c>
      <c r="F34" s="23">
        <v>5929</v>
      </c>
      <c r="G34" s="23">
        <v>5938.1</v>
      </c>
      <c r="H34" s="23">
        <v>7063.3</v>
      </c>
      <c r="I34" s="23">
        <v>8201.6</v>
      </c>
      <c r="J34" s="23">
        <v>9041.1</v>
      </c>
      <c r="K34" s="23">
        <v>9832.2999999999993</v>
      </c>
      <c r="L34" s="23">
        <v>9777.1</v>
      </c>
      <c r="M34" s="23">
        <v>10237.700000000001</v>
      </c>
      <c r="N34" s="23">
        <v>10596.6</v>
      </c>
      <c r="O34" s="23">
        <v>8639.2999999999993</v>
      </c>
      <c r="P34" s="23">
        <v>7616.2</v>
      </c>
      <c r="Q34" s="23">
        <v>6866</v>
      </c>
      <c r="R34" s="23">
        <v>6381.2</v>
      </c>
      <c r="S34" s="23">
        <v>6593.4</v>
      </c>
      <c r="T34" s="23">
        <v>6457.1</v>
      </c>
      <c r="U34" s="23">
        <v>6447</v>
      </c>
      <c r="V34" s="23">
        <v>6648.1</v>
      </c>
      <c r="W34" s="23">
        <v>7039.8</v>
      </c>
      <c r="X34" s="23">
        <v>6917.3</v>
      </c>
      <c r="Y34" s="23">
        <v>7786.3</v>
      </c>
      <c r="Z34" s="23">
        <v>7961.5</v>
      </c>
      <c r="AA34" s="23">
        <v>8498.7999999999993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1422.2000000000003</v>
      </c>
      <c r="E35" s="23">
        <v>1792.8000000000002</v>
      </c>
      <c r="F35" s="23">
        <v>2243.6999999999998</v>
      </c>
      <c r="G35" s="23">
        <v>2153.5999999999995</v>
      </c>
      <c r="H35" s="23">
        <v>2401.8000000000002</v>
      </c>
      <c r="I35" s="23">
        <v>2578.8999999999996</v>
      </c>
      <c r="J35" s="23">
        <v>2640.5</v>
      </c>
      <c r="K35" s="23">
        <v>3068.1</v>
      </c>
      <c r="L35" s="23">
        <v>3015.1</v>
      </c>
      <c r="M35" s="23">
        <v>3525.5999999999995</v>
      </c>
      <c r="N35" s="23">
        <v>2414.4</v>
      </c>
      <c r="O35" s="23">
        <v>2397.9000000000005</v>
      </c>
      <c r="P35" s="23">
        <v>2229.1000000000004</v>
      </c>
      <c r="Q35" s="23">
        <v>2226.5</v>
      </c>
      <c r="R35" s="23">
        <v>2196.8999999999996</v>
      </c>
      <c r="S35" s="23">
        <v>2236.2999999999997</v>
      </c>
      <c r="T35" s="23">
        <v>2169.7999999999993</v>
      </c>
      <c r="U35" s="23">
        <v>2407.4999999999995</v>
      </c>
      <c r="V35" s="23">
        <v>2642.3</v>
      </c>
      <c r="W35" s="23">
        <v>2654.1000000000004</v>
      </c>
      <c r="X35" s="23">
        <v>1780.3000000000002</v>
      </c>
      <c r="Y35" s="23">
        <v>2017.5</v>
      </c>
      <c r="Z35" s="23">
        <v>2547.1999999999998</v>
      </c>
      <c r="AA35" s="23">
        <v>2842.8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1406.6</v>
      </c>
      <c r="E36" s="23">
        <v>1483.4</v>
      </c>
      <c r="F36" s="23">
        <v>1545.4</v>
      </c>
      <c r="G36" s="23">
        <v>1512.5</v>
      </c>
      <c r="H36" s="23">
        <v>1722.7</v>
      </c>
      <c r="I36" s="23">
        <v>2132.1</v>
      </c>
      <c r="J36" s="23">
        <v>2345.1</v>
      </c>
      <c r="K36" s="23">
        <v>2528.6999999999998</v>
      </c>
      <c r="L36" s="23">
        <v>2733.3</v>
      </c>
      <c r="M36" s="23">
        <v>2797.4</v>
      </c>
      <c r="N36" s="23">
        <v>2436.5</v>
      </c>
      <c r="O36" s="23">
        <v>2137.1999999999998</v>
      </c>
      <c r="P36" s="23">
        <v>2219.8000000000002</v>
      </c>
      <c r="Q36" s="23">
        <v>2289.1</v>
      </c>
      <c r="R36" s="23">
        <v>2304.6</v>
      </c>
      <c r="S36" s="23">
        <v>2205.9</v>
      </c>
      <c r="T36" s="23">
        <v>2198.8000000000002</v>
      </c>
      <c r="U36" s="23">
        <v>2207.3000000000002</v>
      </c>
      <c r="V36" s="23">
        <v>2353.1</v>
      </c>
      <c r="W36" s="23">
        <v>2480.3000000000002</v>
      </c>
      <c r="X36" s="23">
        <v>2249.6999999999998</v>
      </c>
      <c r="Y36" s="23">
        <v>2622.7</v>
      </c>
      <c r="Z36" s="23">
        <v>2779.8</v>
      </c>
      <c r="AA36" s="23">
        <v>2919.7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708.1</v>
      </c>
      <c r="E37" s="23">
        <v>765.3</v>
      </c>
      <c r="F37" s="23">
        <v>882.8</v>
      </c>
      <c r="G37" s="23">
        <v>978.8</v>
      </c>
      <c r="H37" s="23">
        <v>1092.3</v>
      </c>
      <c r="I37" s="23">
        <v>1200.9000000000001</v>
      </c>
      <c r="J37" s="23">
        <v>1229.4000000000001</v>
      </c>
      <c r="K37" s="23">
        <v>1281.4000000000001</v>
      </c>
      <c r="L37" s="23">
        <v>1343.9</v>
      </c>
      <c r="M37" s="23">
        <v>1436.9</v>
      </c>
      <c r="N37" s="23">
        <v>1292.5999999999999</v>
      </c>
      <c r="O37" s="23">
        <v>1011</v>
      </c>
      <c r="P37" s="23">
        <v>968.7</v>
      </c>
      <c r="Q37" s="23">
        <v>773.7</v>
      </c>
      <c r="R37" s="23">
        <v>632.9</v>
      </c>
      <c r="S37" s="23">
        <v>589</v>
      </c>
      <c r="T37" s="23">
        <v>555.79999999999995</v>
      </c>
      <c r="U37" s="23">
        <v>545.9</v>
      </c>
      <c r="V37" s="23">
        <v>604.9</v>
      </c>
      <c r="W37" s="23">
        <v>709.2</v>
      </c>
      <c r="X37" s="23">
        <v>615</v>
      </c>
      <c r="Y37" s="23">
        <v>713.8</v>
      </c>
      <c r="Z37" s="23">
        <v>741.8</v>
      </c>
      <c r="AA37" s="23">
        <v>756.2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122577.40000000001</v>
      </c>
      <c r="E39" s="30">
        <f t="shared" ref="E39:Y39" si="2">SUM(E18:E38)</f>
        <v>130715.19999999995</v>
      </c>
      <c r="F39" s="30">
        <f t="shared" si="2"/>
        <v>141238.9</v>
      </c>
      <c r="G39" s="30">
        <f t="shared" si="2"/>
        <v>155704.5</v>
      </c>
      <c r="H39" s="30">
        <f t="shared" si="2"/>
        <v>169962.4</v>
      </c>
      <c r="I39" s="30">
        <f t="shared" si="2"/>
        <v>174351.6</v>
      </c>
      <c r="J39" s="30">
        <f t="shared" si="2"/>
        <v>189484.4</v>
      </c>
      <c r="K39" s="30">
        <f t="shared" si="2"/>
        <v>201855.09999999998</v>
      </c>
      <c r="L39" s="30">
        <f t="shared" si="2"/>
        <v>210563.9</v>
      </c>
      <c r="M39" s="30">
        <f t="shared" si="2"/>
        <v>209179.3</v>
      </c>
      <c r="N39" s="30">
        <f t="shared" si="2"/>
        <v>197195.6</v>
      </c>
      <c r="O39" s="30">
        <f t="shared" si="2"/>
        <v>178347.29999999996</v>
      </c>
      <c r="P39" s="30">
        <f t="shared" si="2"/>
        <v>163766.20000000001</v>
      </c>
      <c r="Q39" s="30">
        <f t="shared" si="2"/>
        <v>157795.30000000005</v>
      </c>
      <c r="R39" s="30">
        <f t="shared" si="2"/>
        <v>155355.4</v>
      </c>
      <c r="S39" s="30">
        <f t="shared" si="2"/>
        <v>154780.6</v>
      </c>
      <c r="T39" s="30">
        <f t="shared" si="2"/>
        <v>152015.6</v>
      </c>
      <c r="U39" s="30">
        <f t="shared" si="2"/>
        <v>154782.29999999999</v>
      </c>
      <c r="V39" s="30">
        <f t="shared" si="2"/>
        <v>156634.9</v>
      </c>
      <c r="W39" s="30">
        <f t="shared" si="2"/>
        <v>160732.6</v>
      </c>
      <c r="X39" s="30">
        <f t="shared" si="2"/>
        <v>147236.29999999999</v>
      </c>
      <c r="Y39" s="30">
        <f t="shared" si="2"/>
        <v>161015.39999999997</v>
      </c>
      <c r="Z39" s="30">
        <f t="shared" ref="Z39:AA39" si="3">SUM(Z18:Z38)</f>
        <v>183408.7</v>
      </c>
      <c r="AA39" s="30">
        <f t="shared" si="3"/>
        <v>196528.10000000003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2980</v>
      </c>
      <c r="E41" s="19">
        <v>3488.7</v>
      </c>
      <c r="F41" s="19">
        <v>4201.3</v>
      </c>
      <c r="G41" s="19">
        <v>4381.1000000000004</v>
      </c>
      <c r="H41" s="19">
        <v>4704.2</v>
      </c>
      <c r="I41" s="19">
        <v>4917.3999999999996</v>
      </c>
      <c r="J41" s="19">
        <v>4940.8999999999996</v>
      </c>
      <c r="K41" s="19">
        <v>5061.8999999999996</v>
      </c>
      <c r="L41" s="19">
        <v>5576.3</v>
      </c>
      <c r="M41" s="19">
        <v>5589.7</v>
      </c>
      <c r="N41" s="19">
        <v>5534.4</v>
      </c>
      <c r="O41" s="19">
        <v>5450.1</v>
      </c>
      <c r="P41" s="19">
        <v>5570.5</v>
      </c>
      <c r="Q41" s="19">
        <v>5026</v>
      </c>
      <c r="R41" s="19">
        <v>5121.8</v>
      </c>
      <c r="S41" s="19">
        <v>4938.1000000000004</v>
      </c>
      <c r="T41" s="19">
        <v>4995.2</v>
      </c>
      <c r="U41" s="19">
        <v>4749.3</v>
      </c>
      <c r="V41" s="19">
        <v>4848.8999999999996</v>
      </c>
      <c r="W41" s="19">
        <v>4852.6000000000004</v>
      </c>
      <c r="X41" s="19">
        <v>4890.8</v>
      </c>
      <c r="Y41" s="19">
        <v>5185.3999999999996</v>
      </c>
      <c r="Z41" s="19">
        <v>5646.9</v>
      </c>
      <c r="AA41" s="19">
        <v>6118.4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1252.4000000000001</v>
      </c>
      <c r="E42" s="23">
        <v>1084.3</v>
      </c>
      <c r="F42" s="23">
        <v>1346.7</v>
      </c>
      <c r="G42" s="23">
        <v>1425</v>
      </c>
      <c r="H42" s="23">
        <v>1446</v>
      </c>
      <c r="I42" s="23">
        <v>1267.7</v>
      </c>
      <c r="J42" s="23">
        <v>1110.5999999999999</v>
      </c>
      <c r="K42" s="23">
        <v>1182.9000000000001</v>
      </c>
      <c r="L42" s="23">
        <v>1200.4000000000001</v>
      </c>
      <c r="M42" s="23">
        <v>1008.7</v>
      </c>
      <c r="N42" s="23">
        <v>912.3</v>
      </c>
      <c r="O42" s="23">
        <v>775.2</v>
      </c>
      <c r="P42" s="23">
        <v>694.2</v>
      </c>
      <c r="Q42" s="23">
        <v>602.29999999999995</v>
      </c>
      <c r="R42" s="23">
        <v>556.70000000000005</v>
      </c>
      <c r="S42" s="23">
        <v>590</v>
      </c>
      <c r="T42" s="23">
        <v>552.4</v>
      </c>
      <c r="U42" s="23">
        <v>543</v>
      </c>
      <c r="V42" s="23">
        <v>521.4</v>
      </c>
      <c r="W42" s="23">
        <v>506.6</v>
      </c>
      <c r="X42" s="23">
        <v>416.1</v>
      </c>
      <c r="Y42" s="23">
        <v>470.4</v>
      </c>
      <c r="Z42" s="23">
        <v>511.6</v>
      </c>
      <c r="AA42" s="23">
        <v>521.4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1607.6</v>
      </c>
      <c r="E43" s="23">
        <v>1961.4</v>
      </c>
      <c r="F43" s="23">
        <v>2230.9</v>
      </c>
      <c r="G43" s="23">
        <v>2122.5</v>
      </c>
      <c r="H43" s="23">
        <v>2205.5</v>
      </c>
      <c r="I43" s="23">
        <v>2222.6</v>
      </c>
      <c r="J43" s="23">
        <v>2326.3000000000002</v>
      </c>
      <c r="K43" s="23">
        <v>2471.6999999999998</v>
      </c>
      <c r="L43" s="23">
        <v>1891.3</v>
      </c>
      <c r="M43" s="23">
        <v>1744.4</v>
      </c>
      <c r="N43" s="23">
        <v>1197.3</v>
      </c>
      <c r="O43" s="23">
        <v>980.1</v>
      </c>
      <c r="P43" s="23">
        <v>821.4</v>
      </c>
      <c r="Q43" s="23">
        <v>712.5</v>
      </c>
      <c r="R43" s="23">
        <v>784.3</v>
      </c>
      <c r="S43" s="23">
        <v>747.8</v>
      </c>
      <c r="T43" s="23">
        <v>743</v>
      </c>
      <c r="U43" s="23">
        <v>748.2</v>
      </c>
      <c r="V43" s="23">
        <v>783.4</v>
      </c>
      <c r="W43" s="23">
        <v>791.7</v>
      </c>
      <c r="X43" s="23">
        <v>823.3</v>
      </c>
      <c r="Y43" s="23">
        <v>935</v>
      </c>
      <c r="Z43" s="23">
        <v>1014.1</v>
      </c>
      <c r="AA43" s="23">
        <v>1074.0999999999999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732.6</v>
      </c>
      <c r="E44" s="23">
        <v>595.4</v>
      </c>
      <c r="F44" s="23">
        <v>419.1</v>
      </c>
      <c r="G44" s="23">
        <v>342</v>
      </c>
      <c r="H44" s="23">
        <v>443.9</v>
      </c>
      <c r="I44" s="23">
        <v>451.5</v>
      </c>
      <c r="J44" s="23">
        <v>517.79999999999995</v>
      </c>
      <c r="K44" s="23">
        <v>947.5</v>
      </c>
      <c r="L44" s="23">
        <v>1858.8</v>
      </c>
      <c r="M44" s="23">
        <v>1124.8</v>
      </c>
      <c r="N44" s="23">
        <v>815.8</v>
      </c>
      <c r="O44" s="23">
        <v>1038</v>
      </c>
      <c r="P44" s="23">
        <v>1044.3</v>
      </c>
      <c r="Q44" s="23">
        <v>475.9</v>
      </c>
      <c r="R44" s="23">
        <v>663.7</v>
      </c>
      <c r="S44" s="23">
        <v>1146.4000000000001</v>
      </c>
      <c r="T44" s="23">
        <v>997.5</v>
      </c>
      <c r="U44" s="23">
        <v>1062.0999999999999</v>
      </c>
      <c r="V44" s="23">
        <v>972</v>
      </c>
      <c r="W44" s="23">
        <v>521.20000000000005</v>
      </c>
      <c r="X44" s="23">
        <v>116.1</v>
      </c>
      <c r="Y44" s="23">
        <v>640.29999999999995</v>
      </c>
      <c r="Z44" s="23">
        <v>2281.8000000000002</v>
      </c>
      <c r="AA44" s="23">
        <v>1933.8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613.1</v>
      </c>
      <c r="E45" s="23">
        <v>709</v>
      </c>
      <c r="F45" s="23">
        <v>578.9</v>
      </c>
      <c r="G45" s="23">
        <v>724.5</v>
      </c>
      <c r="H45" s="23">
        <v>765.8</v>
      </c>
      <c r="I45" s="23">
        <v>789.9</v>
      </c>
      <c r="J45" s="23">
        <v>885.7</v>
      </c>
      <c r="K45" s="23">
        <v>907</v>
      </c>
      <c r="L45" s="23">
        <v>962.6</v>
      </c>
      <c r="M45" s="23">
        <v>897.7</v>
      </c>
      <c r="N45" s="23">
        <v>766.7</v>
      </c>
      <c r="O45" s="23">
        <v>728.6</v>
      </c>
      <c r="P45" s="23">
        <v>614.29999999999995</v>
      </c>
      <c r="Q45" s="23">
        <v>679.9</v>
      </c>
      <c r="R45" s="23">
        <v>718.8</v>
      </c>
      <c r="S45" s="23">
        <v>852.7</v>
      </c>
      <c r="T45" s="23">
        <v>828.6</v>
      </c>
      <c r="U45" s="23">
        <v>896.8</v>
      </c>
      <c r="V45" s="23">
        <v>876.2</v>
      </c>
      <c r="W45" s="23">
        <v>895.2</v>
      </c>
      <c r="X45" s="23">
        <v>1001.9</v>
      </c>
      <c r="Y45" s="23">
        <v>1083.9000000000001</v>
      </c>
      <c r="Z45" s="23">
        <v>1118.8</v>
      </c>
      <c r="AA45" s="23">
        <v>1149.9000000000001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812.9</v>
      </c>
      <c r="E46" s="23">
        <v>1168.5</v>
      </c>
      <c r="F46" s="23">
        <v>1076.2</v>
      </c>
      <c r="G46" s="23">
        <v>1164</v>
      </c>
      <c r="H46" s="23">
        <v>1199.4000000000001</v>
      </c>
      <c r="I46" s="23">
        <v>1214.9000000000001</v>
      </c>
      <c r="J46" s="23">
        <v>1234.3</v>
      </c>
      <c r="K46" s="23">
        <v>1149.9000000000001</v>
      </c>
      <c r="L46" s="23">
        <v>1013.8</v>
      </c>
      <c r="M46" s="23">
        <v>1087.8</v>
      </c>
      <c r="N46" s="23">
        <v>1019.3</v>
      </c>
      <c r="O46" s="23">
        <v>813</v>
      </c>
      <c r="P46" s="23">
        <v>779.1</v>
      </c>
      <c r="Q46" s="23">
        <v>951.9</v>
      </c>
      <c r="R46" s="23">
        <v>768.5</v>
      </c>
      <c r="S46" s="23">
        <v>761.4</v>
      </c>
      <c r="T46" s="23">
        <v>732.7</v>
      </c>
      <c r="U46" s="23">
        <v>727.5</v>
      </c>
      <c r="V46" s="23">
        <v>785.2</v>
      </c>
      <c r="W46" s="23">
        <v>841.7</v>
      </c>
      <c r="X46" s="23">
        <v>962.8</v>
      </c>
      <c r="Y46" s="23">
        <v>1019.7</v>
      </c>
      <c r="Z46" s="23">
        <v>1124.0999999999999</v>
      </c>
      <c r="AA46" s="23">
        <v>1152.7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1652.7</v>
      </c>
      <c r="E47" s="23">
        <v>1865.5</v>
      </c>
      <c r="F47" s="23">
        <v>1889.8</v>
      </c>
      <c r="G47" s="23">
        <v>2214.3000000000002</v>
      </c>
      <c r="H47" s="23">
        <v>2062.8000000000002</v>
      </c>
      <c r="I47" s="23">
        <v>1879.1</v>
      </c>
      <c r="J47" s="23">
        <v>2120.5</v>
      </c>
      <c r="K47" s="23">
        <v>2036.8</v>
      </c>
      <c r="L47" s="23">
        <v>2174.6999999999998</v>
      </c>
      <c r="M47" s="23">
        <v>1990.8</v>
      </c>
      <c r="N47" s="23">
        <v>1980.5</v>
      </c>
      <c r="O47" s="23">
        <v>1523.7</v>
      </c>
      <c r="P47" s="23">
        <v>1283.4000000000001</v>
      </c>
      <c r="Q47" s="23">
        <v>1242.5999999999999</v>
      </c>
      <c r="R47" s="23">
        <v>1325.6</v>
      </c>
      <c r="S47" s="23">
        <v>1373.5</v>
      </c>
      <c r="T47" s="23">
        <v>1388.8</v>
      </c>
      <c r="U47" s="23">
        <v>1382.2</v>
      </c>
      <c r="V47" s="23">
        <v>1409.7</v>
      </c>
      <c r="W47" s="23">
        <v>1476.4</v>
      </c>
      <c r="X47" s="23">
        <v>1487.8</v>
      </c>
      <c r="Y47" s="23">
        <v>1544</v>
      </c>
      <c r="Z47" s="23">
        <v>1651.1</v>
      </c>
      <c r="AA47" s="23">
        <v>1834.1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1712</v>
      </c>
      <c r="E48" s="23">
        <v>1930.4</v>
      </c>
      <c r="F48" s="23">
        <v>2029</v>
      </c>
      <c r="G48" s="23">
        <v>2257.6</v>
      </c>
      <c r="H48" s="23">
        <v>2529.6999999999998</v>
      </c>
      <c r="I48" s="23">
        <v>2927.9</v>
      </c>
      <c r="J48" s="23">
        <v>3174.2</v>
      </c>
      <c r="K48" s="23">
        <v>3780.7</v>
      </c>
      <c r="L48" s="23">
        <v>3428</v>
      </c>
      <c r="M48" s="23">
        <v>2823.3</v>
      </c>
      <c r="N48" s="23">
        <v>3034.4</v>
      </c>
      <c r="O48" s="23">
        <v>2856.9</v>
      </c>
      <c r="P48" s="23">
        <v>2216.9</v>
      </c>
      <c r="Q48" s="23">
        <v>2079.1999999999998</v>
      </c>
      <c r="R48" s="23">
        <v>1859.7</v>
      </c>
      <c r="S48" s="23">
        <v>1877.3</v>
      </c>
      <c r="T48" s="23">
        <v>1768.7</v>
      </c>
      <c r="U48" s="23">
        <v>1933.9</v>
      </c>
      <c r="V48" s="23">
        <v>2308.6999999999998</v>
      </c>
      <c r="W48" s="23">
        <v>2204.6</v>
      </c>
      <c r="X48" s="23">
        <v>2191.6</v>
      </c>
      <c r="Y48" s="23">
        <v>2347.4</v>
      </c>
      <c r="Z48" s="23">
        <v>2677.8</v>
      </c>
      <c r="AA48" s="23">
        <v>2713.6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328.6</v>
      </c>
      <c r="E49" s="23">
        <v>419.3</v>
      </c>
      <c r="F49" s="23">
        <v>337.2</v>
      </c>
      <c r="G49" s="23">
        <v>335</v>
      </c>
      <c r="H49" s="23">
        <v>189.7</v>
      </c>
      <c r="I49" s="23">
        <v>264.8</v>
      </c>
      <c r="J49" s="23">
        <v>226.4</v>
      </c>
      <c r="K49" s="23">
        <v>247.1</v>
      </c>
      <c r="L49" s="23">
        <v>233</v>
      </c>
      <c r="M49" s="23">
        <v>173.4</v>
      </c>
      <c r="N49" s="23">
        <v>247.8</v>
      </c>
      <c r="O49" s="23">
        <v>175.9</v>
      </c>
      <c r="P49" s="23">
        <v>213</v>
      </c>
      <c r="Q49" s="23">
        <v>185</v>
      </c>
      <c r="R49" s="23">
        <v>198.5</v>
      </c>
      <c r="S49" s="23">
        <v>199.6</v>
      </c>
      <c r="T49" s="23">
        <v>227.2</v>
      </c>
      <c r="U49" s="23">
        <v>231</v>
      </c>
      <c r="V49" s="23">
        <v>256.8</v>
      </c>
      <c r="W49" s="23">
        <v>234</v>
      </c>
      <c r="X49" s="23">
        <v>272.89999999999998</v>
      </c>
      <c r="Y49" s="23">
        <v>419.1</v>
      </c>
      <c r="Z49" s="23">
        <v>467</v>
      </c>
      <c r="AA49" s="23">
        <v>496.6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246.1</v>
      </c>
      <c r="E50" s="23">
        <v>300.8</v>
      </c>
      <c r="F50" s="23">
        <v>274</v>
      </c>
      <c r="G50" s="23">
        <v>341.9</v>
      </c>
      <c r="H50" s="23">
        <v>441.6</v>
      </c>
      <c r="I50" s="23">
        <v>402.1</v>
      </c>
      <c r="J50" s="23">
        <v>534.4</v>
      </c>
      <c r="K50" s="23">
        <v>588.5</v>
      </c>
      <c r="L50" s="23">
        <v>569.4</v>
      </c>
      <c r="M50" s="23">
        <v>398.4</v>
      </c>
      <c r="N50" s="23">
        <v>491.5</v>
      </c>
      <c r="O50" s="23">
        <v>480.6</v>
      </c>
      <c r="P50" s="23">
        <v>457.4</v>
      </c>
      <c r="Q50" s="23">
        <v>361.7</v>
      </c>
      <c r="R50" s="23">
        <v>323.60000000000002</v>
      </c>
      <c r="S50" s="23">
        <v>347.9</v>
      </c>
      <c r="T50" s="23">
        <v>322.2</v>
      </c>
      <c r="U50" s="23">
        <v>392.5</v>
      </c>
      <c r="V50" s="23">
        <v>426.2</v>
      </c>
      <c r="W50" s="23">
        <v>520.29999999999995</v>
      </c>
      <c r="X50" s="23">
        <v>557.4</v>
      </c>
      <c r="Y50" s="23">
        <v>812.7</v>
      </c>
      <c r="Z50" s="23">
        <v>939.7</v>
      </c>
      <c r="AA50" s="23">
        <v>792.7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366.2</v>
      </c>
      <c r="E51" s="23">
        <v>391</v>
      </c>
      <c r="F51" s="23">
        <v>388.6</v>
      </c>
      <c r="G51" s="23">
        <v>432.1</v>
      </c>
      <c r="H51" s="23">
        <v>450.5</v>
      </c>
      <c r="I51" s="23">
        <v>513.1</v>
      </c>
      <c r="J51" s="23">
        <v>529</v>
      </c>
      <c r="K51" s="23">
        <v>500.3</v>
      </c>
      <c r="L51" s="23">
        <v>651.1</v>
      </c>
      <c r="M51" s="23">
        <v>565.20000000000005</v>
      </c>
      <c r="N51" s="23">
        <v>496.9</v>
      </c>
      <c r="O51" s="23">
        <v>414.5</v>
      </c>
      <c r="P51" s="23">
        <v>370.3</v>
      </c>
      <c r="Q51" s="23">
        <v>336.3</v>
      </c>
      <c r="R51" s="23">
        <v>341.1</v>
      </c>
      <c r="S51" s="23">
        <v>332.5</v>
      </c>
      <c r="T51" s="23">
        <v>334.7</v>
      </c>
      <c r="U51" s="23">
        <v>362.6</v>
      </c>
      <c r="V51" s="23">
        <v>370.4</v>
      </c>
      <c r="W51" s="23">
        <v>388.1</v>
      </c>
      <c r="X51" s="23">
        <v>362.5</v>
      </c>
      <c r="Y51" s="23">
        <v>401.1</v>
      </c>
      <c r="Z51" s="23">
        <v>473.6</v>
      </c>
      <c r="AA51" s="23">
        <v>501.3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342.8</v>
      </c>
      <c r="E52" s="23">
        <v>355.8</v>
      </c>
      <c r="F52" s="23">
        <v>424.4</v>
      </c>
      <c r="G52" s="23">
        <v>492</v>
      </c>
      <c r="H52" s="23">
        <v>500.2</v>
      </c>
      <c r="I52" s="23">
        <v>499.5</v>
      </c>
      <c r="J52" s="23">
        <v>659.8</v>
      </c>
      <c r="K52" s="23">
        <v>626.5</v>
      </c>
      <c r="L52" s="23">
        <v>535.1</v>
      </c>
      <c r="M52" s="23">
        <v>590.1</v>
      </c>
      <c r="N52" s="23">
        <v>318.8</v>
      </c>
      <c r="O52" s="23">
        <v>397.3</v>
      </c>
      <c r="P52" s="23">
        <v>160.1</v>
      </c>
      <c r="Q52" s="23">
        <v>321.10000000000002</v>
      </c>
      <c r="R52" s="23">
        <v>229.5</v>
      </c>
      <c r="S52" s="23">
        <v>400.8</v>
      </c>
      <c r="T52" s="23">
        <v>350.7</v>
      </c>
      <c r="U52" s="23">
        <v>407.4</v>
      </c>
      <c r="V52" s="23">
        <v>468.7</v>
      </c>
      <c r="W52" s="23">
        <v>476.2</v>
      </c>
      <c r="X52" s="23">
        <v>392.8</v>
      </c>
      <c r="Y52" s="23">
        <v>411.6</v>
      </c>
      <c r="Z52" s="23">
        <v>481.2</v>
      </c>
      <c r="AA52" s="23">
        <v>491.1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1026.2999999999975</v>
      </c>
      <c r="E53" s="23">
        <v>1069.600000000004</v>
      </c>
      <c r="F53" s="23">
        <v>1135.6999999999989</v>
      </c>
      <c r="G53" s="23">
        <v>1170.2999999999975</v>
      </c>
      <c r="H53" s="23">
        <v>1292</v>
      </c>
      <c r="I53" s="23">
        <v>1218.6000000000022</v>
      </c>
      <c r="J53" s="23">
        <v>1303.8999999999978</v>
      </c>
      <c r="K53" s="23">
        <v>1187.5000000000036</v>
      </c>
      <c r="L53" s="23">
        <v>1123.7000000000044</v>
      </c>
      <c r="M53" s="23">
        <v>1153.9000000000015</v>
      </c>
      <c r="N53" s="23">
        <v>1125.5000000000036</v>
      </c>
      <c r="O53" s="23">
        <v>946.69999999999709</v>
      </c>
      <c r="P53" s="23">
        <v>900.60000000000218</v>
      </c>
      <c r="Q53" s="23">
        <v>883.70000000000073</v>
      </c>
      <c r="R53" s="23">
        <v>829.89999999999964</v>
      </c>
      <c r="S53" s="23">
        <v>976.60000000000036</v>
      </c>
      <c r="T53" s="23">
        <v>902.09999999999673</v>
      </c>
      <c r="U53" s="23">
        <v>785.19999999999891</v>
      </c>
      <c r="V53" s="23">
        <v>750</v>
      </c>
      <c r="W53" s="23">
        <v>808.79999999999927</v>
      </c>
      <c r="X53" s="23">
        <v>643.00000000000182</v>
      </c>
      <c r="Y53" s="23">
        <v>723.89999999999782</v>
      </c>
      <c r="Z53" s="23">
        <v>640.39999999999782</v>
      </c>
      <c r="AA53" s="23">
        <v>881.30000000000291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13673.3</v>
      </c>
      <c r="E54" s="30">
        <f t="shared" ref="E54:Y54" si="4">SUM(E41:E53)</f>
        <v>15339.7</v>
      </c>
      <c r="F54" s="30">
        <f t="shared" si="4"/>
        <v>16331.8</v>
      </c>
      <c r="G54" s="30">
        <f t="shared" si="4"/>
        <v>17402.3</v>
      </c>
      <c r="H54" s="30">
        <f t="shared" si="4"/>
        <v>18231.3</v>
      </c>
      <c r="I54" s="30">
        <f t="shared" si="4"/>
        <v>18569.099999999999</v>
      </c>
      <c r="J54" s="30">
        <f t="shared" si="4"/>
        <v>19563.8</v>
      </c>
      <c r="K54" s="30">
        <f t="shared" si="4"/>
        <v>20688.3</v>
      </c>
      <c r="L54" s="30">
        <f t="shared" si="4"/>
        <v>21218.2</v>
      </c>
      <c r="M54" s="30">
        <f t="shared" si="4"/>
        <v>19148.2</v>
      </c>
      <c r="N54" s="30">
        <f t="shared" si="4"/>
        <v>17941.2</v>
      </c>
      <c r="O54" s="30">
        <f t="shared" si="4"/>
        <v>16580.599999999999</v>
      </c>
      <c r="P54" s="30">
        <f t="shared" si="4"/>
        <v>15125.5</v>
      </c>
      <c r="Q54" s="30">
        <f t="shared" si="4"/>
        <v>13858.1</v>
      </c>
      <c r="R54" s="30">
        <f t="shared" si="4"/>
        <v>13721.7</v>
      </c>
      <c r="S54" s="30">
        <f t="shared" si="4"/>
        <v>14544.6</v>
      </c>
      <c r="T54" s="30">
        <f t="shared" si="4"/>
        <v>14143.8</v>
      </c>
      <c r="U54" s="30">
        <f t="shared" si="4"/>
        <v>14221.7</v>
      </c>
      <c r="V54" s="30">
        <f t="shared" si="4"/>
        <v>14777.6</v>
      </c>
      <c r="W54" s="30">
        <f t="shared" si="4"/>
        <v>14517.4</v>
      </c>
      <c r="X54" s="30">
        <f t="shared" si="4"/>
        <v>14119</v>
      </c>
      <c r="Y54" s="30">
        <f t="shared" si="4"/>
        <v>15994.5</v>
      </c>
      <c r="Z54" s="30">
        <f t="shared" ref="Z54:AA54" si="5">SUM(Z41:Z53)</f>
        <v>19028.099999999999</v>
      </c>
      <c r="AA54" s="30">
        <f t="shared" si="5"/>
        <v>19661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2980</v>
      </c>
      <c r="E56" s="19">
        <v>3488.7</v>
      </c>
      <c r="F56" s="19">
        <v>4201.3</v>
      </c>
      <c r="G56" s="19">
        <v>4381.1000000000004</v>
      </c>
      <c r="H56" s="19">
        <v>4704.2</v>
      </c>
      <c r="I56" s="19">
        <v>4917.3999999999996</v>
      </c>
      <c r="J56" s="19">
        <v>4940.8999999999996</v>
      </c>
      <c r="K56" s="19">
        <v>5061.8999999999996</v>
      </c>
      <c r="L56" s="19">
        <v>5576.3</v>
      </c>
      <c r="M56" s="19">
        <v>5589.7</v>
      </c>
      <c r="N56" s="19">
        <v>5534.4</v>
      </c>
      <c r="O56" s="19">
        <v>5450.1</v>
      </c>
      <c r="P56" s="19">
        <v>5570.5</v>
      </c>
      <c r="Q56" s="19">
        <v>5026</v>
      </c>
      <c r="R56" s="19">
        <v>5121.8</v>
      </c>
      <c r="S56" s="19">
        <v>4938.1000000000004</v>
      </c>
      <c r="T56" s="19">
        <v>4995.2</v>
      </c>
      <c r="U56" s="19">
        <v>4749.3</v>
      </c>
      <c r="V56" s="19">
        <v>4848.8999999999996</v>
      </c>
      <c r="W56" s="19">
        <v>4852.6000000000004</v>
      </c>
      <c r="X56" s="19">
        <v>4890.8</v>
      </c>
      <c r="Y56" s="19">
        <v>5185.3999999999996</v>
      </c>
      <c r="Z56" s="19">
        <v>5646.9</v>
      </c>
      <c r="AA56" s="19">
        <v>6118.4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1252.4000000000001</v>
      </c>
      <c r="E57" s="23">
        <v>1084.3</v>
      </c>
      <c r="F57" s="23">
        <v>1346.7</v>
      </c>
      <c r="G57" s="23">
        <v>1425</v>
      </c>
      <c r="H57" s="23">
        <v>1446</v>
      </c>
      <c r="I57" s="23">
        <v>1267.7</v>
      </c>
      <c r="J57" s="23">
        <v>1110.5999999999999</v>
      </c>
      <c r="K57" s="23">
        <v>1182.9000000000001</v>
      </c>
      <c r="L57" s="23">
        <v>1200.4000000000001</v>
      </c>
      <c r="M57" s="23">
        <v>1008.7</v>
      </c>
      <c r="N57" s="23">
        <v>912.3</v>
      </c>
      <c r="O57" s="23">
        <v>775.2</v>
      </c>
      <c r="P57" s="23">
        <v>694.2</v>
      </c>
      <c r="Q57" s="23">
        <v>602.29999999999995</v>
      </c>
      <c r="R57" s="23">
        <v>556.70000000000005</v>
      </c>
      <c r="S57" s="23">
        <v>590</v>
      </c>
      <c r="T57" s="23">
        <v>552.4</v>
      </c>
      <c r="U57" s="23">
        <v>543</v>
      </c>
      <c r="V57" s="23">
        <v>521.4</v>
      </c>
      <c r="W57" s="23">
        <v>506.6</v>
      </c>
      <c r="X57" s="23">
        <v>416.1</v>
      </c>
      <c r="Y57" s="23">
        <v>470.4</v>
      </c>
      <c r="Z57" s="23">
        <v>511.6</v>
      </c>
      <c r="AA57" s="23">
        <v>521.4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393.5</v>
      </c>
      <c r="E58" s="23">
        <v>491.6</v>
      </c>
      <c r="F58" s="23">
        <v>614.4</v>
      </c>
      <c r="G58" s="23">
        <v>603</v>
      </c>
      <c r="H58" s="23">
        <v>631.70000000000005</v>
      </c>
      <c r="I58" s="23">
        <v>645.20000000000005</v>
      </c>
      <c r="J58" s="23">
        <v>615.5</v>
      </c>
      <c r="K58" s="23">
        <v>554.79999999999995</v>
      </c>
      <c r="L58" s="23">
        <v>644.6</v>
      </c>
      <c r="M58" s="23">
        <v>608</v>
      </c>
      <c r="N58" s="23">
        <v>329.9</v>
      </c>
      <c r="O58" s="23">
        <v>240.7</v>
      </c>
      <c r="P58" s="23">
        <v>155</v>
      </c>
      <c r="Q58" s="23">
        <v>107.3</v>
      </c>
      <c r="R58" s="23">
        <v>94.1</v>
      </c>
      <c r="S58" s="23">
        <v>86.2</v>
      </c>
      <c r="T58" s="23">
        <v>92.3</v>
      </c>
      <c r="U58" s="23">
        <v>97</v>
      </c>
      <c r="V58" s="23">
        <v>103.6</v>
      </c>
      <c r="W58" s="23">
        <v>110.6</v>
      </c>
      <c r="X58" s="23">
        <v>133</v>
      </c>
      <c r="Y58" s="23">
        <v>132</v>
      </c>
      <c r="Z58" s="23">
        <v>159.4</v>
      </c>
      <c r="AA58" s="23">
        <v>192.8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365.4</v>
      </c>
      <c r="E59" s="23">
        <v>342.9</v>
      </c>
      <c r="F59" s="23">
        <v>417.3</v>
      </c>
      <c r="G59" s="23">
        <v>386.3</v>
      </c>
      <c r="H59" s="23">
        <v>381.6</v>
      </c>
      <c r="I59" s="23">
        <v>371.7</v>
      </c>
      <c r="J59" s="23">
        <v>377.9</v>
      </c>
      <c r="K59" s="23">
        <v>468.8</v>
      </c>
      <c r="L59" s="23">
        <v>459.9</v>
      </c>
      <c r="M59" s="23">
        <v>372.2</v>
      </c>
      <c r="N59" s="23">
        <v>331.2</v>
      </c>
      <c r="O59" s="23">
        <v>306.3</v>
      </c>
      <c r="P59" s="23">
        <v>284.39999999999998</v>
      </c>
      <c r="Q59" s="23">
        <v>281</v>
      </c>
      <c r="R59" s="23">
        <v>355.6</v>
      </c>
      <c r="S59" s="23">
        <v>360.2</v>
      </c>
      <c r="T59" s="23">
        <v>350.9</v>
      </c>
      <c r="U59" s="23">
        <v>350.6</v>
      </c>
      <c r="V59" s="23">
        <v>373.3</v>
      </c>
      <c r="W59" s="23">
        <v>371.7</v>
      </c>
      <c r="X59" s="23">
        <v>402.6</v>
      </c>
      <c r="Y59" s="23">
        <v>480.3</v>
      </c>
      <c r="Z59" s="23">
        <v>509.1</v>
      </c>
      <c r="AA59" s="23">
        <v>550.79999999999995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848.69999999999993</v>
      </c>
      <c r="E60" s="23">
        <v>1126.9000000000001</v>
      </c>
      <c r="F60" s="23">
        <v>1199.2</v>
      </c>
      <c r="G60" s="23">
        <v>1133.2</v>
      </c>
      <c r="H60" s="23">
        <v>1192.1999999999998</v>
      </c>
      <c r="I60" s="23">
        <v>1205.6999999999998</v>
      </c>
      <c r="J60" s="23">
        <v>1332.9</v>
      </c>
      <c r="K60" s="23">
        <v>1448.1</v>
      </c>
      <c r="L60" s="23">
        <v>786.8</v>
      </c>
      <c r="M60" s="23">
        <v>764.2</v>
      </c>
      <c r="N60" s="23">
        <v>536.20000000000005</v>
      </c>
      <c r="O60" s="23">
        <v>433.1</v>
      </c>
      <c r="P60" s="23">
        <v>382</v>
      </c>
      <c r="Q60" s="23">
        <v>324.2</v>
      </c>
      <c r="R60" s="23">
        <v>334.59999999999991</v>
      </c>
      <c r="S60" s="23">
        <v>301.39999999999998</v>
      </c>
      <c r="T60" s="23">
        <v>299.8</v>
      </c>
      <c r="U60" s="23">
        <v>300.60000000000002</v>
      </c>
      <c r="V60" s="23">
        <v>306.5</v>
      </c>
      <c r="W60" s="23">
        <v>309.40000000000009</v>
      </c>
      <c r="X60" s="23">
        <v>287.69999999999993</v>
      </c>
      <c r="Y60" s="23">
        <v>322.70000000000005</v>
      </c>
      <c r="Z60" s="23">
        <v>345.6</v>
      </c>
      <c r="AA60" s="23">
        <v>330.5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732.6</v>
      </c>
      <c r="E61" s="23">
        <v>595.4</v>
      </c>
      <c r="F61" s="23">
        <v>419.1</v>
      </c>
      <c r="G61" s="23">
        <v>342</v>
      </c>
      <c r="H61" s="23">
        <v>443.9</v>
      </c>
      <c r="I61" s="23">
        <v>451.5</v>
      </c>
      <c r="J61" s="23">
        <v>517.79999999999995</v>
      </c>
      <c r="K61" s="23">
        <v>947.5</v>
      </c>
      <c r="L61" s="23">
        <v>1858.8</v>
      </c>
      <c r="M61" s="23">
        <v>1124.8</v>
      </c>
      <c r="N61" s="23">
        <v>815.8</v>
      </c>
      <c r="O61" s="23">
        <v>1038</v>
      </c>
      <c r="P61" s="23">
        <v>1044.3</v>
      </c>
      <c r="Q61" s="23">
        <v>475.9</v>
      </c>
      <c r="R61" s="23">
        <v>663.7</v>
      </c>
      <c r="S61" s="23">
        <v>1146.4000000000001</v>
      </c>
      <c r="T61" s="23">
        <v>997.5</v>
      </c>
      <c r="U61" s="23">
        <v>1062.0999999999999</v>
      </c>
      <c r="V61" s="23">
        <v>972</v>
      </c>
      <c r="W61" s="23">
        <v>521.20000000000005</v>
      </c>
      <c r="X61" s="23">
        <v>116.1</v>
      </c>
      <c r="Y61" s="23">
        <v>640.29999999999995</v>
      </c>
      <c r="Z61" s="23">
        <v>2281.8000000000002</v>
      </c>
      <c r="AA61" s="23">
        <v>1933.8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613.1</v>
      </c>
      <c r="E62" s="23">
        <v>709</v>
      </c>
      <c r="F62" s="23">
        <v>578.9</v>
      </c>
      <c r="G62" s="23">
        <v>724.5</v>
      </c>
      <c r="H62" s="23">
        <v>765.8</v>
      </c>
      <c r="I62" s="23">
        <v>789.9</v>
      </c>
      <c r="J62" s="23">
        <v>885.7</v>
      </c>
      <c r="K62" s="23">
        <v>907</v>
      </c>
      <c r="L62" s="23">
        <v>962.6</v>
      </c>
      <c r="M62" s="23">
        <v>897.7</v>
      </c>
      <c r="N62" s="23">
        <v>766.7</v>
      </c>
      <c r="O62" s="23">
        <v>728.6</v>
      </c>
      <c r="P62" s="23">
        <v>614.29999999999995</v>
      </c>
      <c r="Q62" s="23">
        <v>679.9</v>
      </c>
      <c r="R62" s="23">
        <v>718.8</v>
      </c>
      <c r="S62" s="23">
        <v>852.7</v>
      </c>
      <c r="T62" s="23">
        <v>828.6</v>
      </c>
      <c r="U62" s="23">
        <v>896.8</v>
      </c>
      <c r="V62" s="23">
        <v>876.2</v>
      </c>
      <c r="W62" s="23">
        <v>895.2</v>
      </c>
      <c r="X62" s="23">
        <v>1001.9</v>
      </c>
      <c r="Y62" s="23">
        <v>1083.9000000000001</v>
      </c>
      <c r="Z62" s="23">
        <v>1118.8</v>
      </c>
      <c r="AA62" s="23">
        <v>1149.9000000000001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812.9</v>
      </c>
      <c r="E63" s="23">
        <v>1168.5</v>
      </c>
      <c r="F63" s="23">
        <v>1076.2</v>
      </c>
      <c r="G63" s="23">
        <v>1164</v>
      </c>
      <c r="H63" s="23">
        <v>1199.4000000000001</v>
      </c>
      <c r="I63" s="23">
        <v>1214.9000000000001</v>
      </c>
      <c r="J63" s="23">
        <v>1234.3</v>
      </c>
      <c r="K63" s="23">
        <v>1149.9000000000001</v>
      </c>
      <c r="L63" s="23">
        <v>1013.8</v>
      </c>
      <c r="M63" s="23">
        <v>1087.8</v>
      </c>
      <c r="N63" s="23">
        <v>1019.3</v>
      </c>
      <c r="O63" s="23">
        <v>813</v>
      </c>
      <c r="P63" s="23">
        <v>779.1</v>
      </c>
      <c r="Q63" s="23">
        <v>951.9</v>
      </c>
      <c r="R63" s="23">
        <v>768.5</v>
      </c>
      <c r="S63" s="23">
        <v>761.4</v>
      </c>
      <c r="T63" s="23">
        <v>732.7</v>
      </c>
      <c r="U63" s="23">
        <v>727.5</v>
      </c>
      <c r="V63" s="23">
        <v>785.2</v>
      </c>
      <c r="W63" s="23">
        <v>841.7</v>
      </c>
      <c r="X63" s="23">
        <v>962.8</v>
      </c>
      <c r="Y63" s="23">
        <v>1019.7</v>
      </c>
      <c r="Z63" s="23">
        <v>1124.0999999999999</v>
      </c>
      <c r="AA63" s="23">
        <v>1152.7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307</v>
      </c>
      <c r="E64" s="23">
        <v>420.5</v>
      </c>
      <c r="F64" s="23">
        <v>434.8</v>
      </c>
      <c r="G64" s="23">
        <v>465.4</v>
      </c>
      <c r="H64" s="23">
        <v>474.4</v>
      </c>
      <c r="I64" s="23">
        <v>442.7</v>
      </c>
      <c r="J64" s="23">
        <v>518.6</v>
      </c>
      <c r="K64" s="23">
        <v>505</v>
      </c>
      <c r="L64" s="23">
        <v>605.70000000000005</v>
      </c>
      <c r="M64" s="23">
        <v>619</v>
      </c>
      <c r="N64" s="23">
        <v>638.5</v>
      </c>
      <c r="O64" s="23">
        <v>608</v>
      </c>
      <c r="P64" s="23">
        <v>551.9</v>
      </c>
      <c r="Q64" s="23">
        <v>515.4</v>
      </c>
      <c r="R64" s="23">
        <v>534.5</v>
      </c>
      <c r="S64" s="23">
        <v>611.4</v>
      </c>
      <c r="T64" s="23">
        <v>598.4</v>
      </c>
      <c r="U64" s="23">
        <v>594.29999999999995</v>
      </c>
      <c r="V64" s="23">
        <v>592.29999999999995</v>
      </c>
      <c r="W64" s="23">
        <v>604.5</v>
      </c>
      <c r="X64" s="23">
        <v>660.4</v>
      </c>
      <c r="Y64" s="23">
        <v>710</v>
      </c>
      <c r="Z64" s="23">
        <v>747.5</v>
      </c>
      <c r="AA64" s="23">
        <v>843.9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1345.7</v>
      </c>
      <c r="E65" s="23">
        <v>1445</v>
      </c>
      <c r="F65" s="23">
        <v>1455</v>
      </c>
      <c r="G65" s="23">
        <v>1748.9</v>
      </c>
      <c r="H65" s="23">
        <v>1588.4</v>
      </c>
      <c r="I65" s="23">
        <v>1436.3999999999999</v>
      </c>
      <c r="J65" s="23">
        <v>1601.9</v>
      </c>
      <c r="K65" s="23">
        <v>1531.8</v>
      </c>
      <c r="L65" s="23">
        <v>1568.9999999999998</v>
      </c>
      <c r="M65" s="23">
        <v>1371.8</v>
      </c>
      <c r="N65" s="23">
        <v>1342</v>
      </c>
      <c r="O65" s="23">
        <v>915.7</v>
      </c>
      <c r="P65" s="23">
        <v>731.50000000000011</v>
      </c>
      <c r="Q65" s="23">
        <v>727.19999999999993</v>
      </c>
      <c r="R65" s="23">
        <v>791.09999999999991</v>
      </c>
      <c r="S65" s="23">
        <v>762.1</v>
      </c>
      <c r="T65" s="23">
        <v>790.4</v>
      </c>
      <c r="U65" s="23">
        <v>787.90000000000009</v>
      </c>
      <c r="V65" s="23">
        <v>817.40000000000009</v>
      </c>
      <c r="W65" s="23">
        <v>871.90000000000009</v>
      </c>
      <c r="X65" s="23">
        <v>827.4</v>
      </c>
      <c r="Y65" s="23">
        <v>834</v>
      </c>
      <c r="Z65" s="23">
        <v>903.59999999999991</v>
      </c>
      <c r="AA65" s="23">
        <v>990.19999999999993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970.4</v>
      </c>
      <c r="E66" s="23">
        <v>960.1</v>
      </c>
      <c r="F66" s="23">
        <v>993</v>
      </c>
      <c r="G66" s="23">
        <v>1121.5999999999999</v>
      </c>
      <c r="H66" s="23">
        <v>1170.7</v>
      </c>
      <c r="I66" s="23">
        <v>1243.0999999999999</v>
      </c>
      <c r="J66" s="23">
        <v>1451.2</v>
      </c>
      <c r="K66" s="23">
        <v>1844.5</v>
      </c>
      <c r="L66" s="23">
        <v>1622.2</v>
      </c>
      <c r="M66" s="23">
        <v>1126.4000000000001</v>
      </c>
      <c r="N66" s="23">
        <v>1464.8</v>
      </c>
      <c r="O66" s="23">
        <v>1593</v>
      </c>
      <c r="P66" s="23">
        <v>1173.3</v>
      </c>
      <c r="Q66" s="23">
        <v>971.2</v>
      </c>
      <c r="R66" s="23">
        <v>857.9</v>
      </c>
      <c r="S66" s="23">
        <v>873</v>
      </c>
      <c r="T66" s="23">
        <v>819.3</v>
      </c>
      <c r="U66" s="23">
        <v>1000.3</v>
      </c>
      <c r="V66" s="23">
        <v>1327.3</v>
      </c>
      <c r="W66" s="23">
        <v>1212.5</v>
      </c>
      <c r="X66" s="23">
        <v>1175.5999999999999</v>
      </c>
      <c r="Y66" s="23">
        <v>1193.7</v>
      </c>
      <c r="Z66" s="23">
        <v>1445.3</v>
      </c>
      <c r="AA66" s="23">
        <v>1392.5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741.6</v>
      </c>
      <c r="E67" s="23">
        <v>970.30000000000007</v>
      </c>
      <c r="F67" s="23">
        <v>1036</v>
      </c>
      <c r="G67" s="23">
        <v>1136</v>
      </c>
      <c r="H67" s="23">
        <v>1358.9999999999998</v>
      </c>
      <c r="I67" s="23">
        <v>1684.8000000000002</v>
      </c>
      <c r="J67" s="23">
        <v>1722.9999999999998</v>
      </c>
      <c r="K67" s="23">
        <v>1936.1999999999998</v>
      </c>
      <c r="L67" s="23">
        <v>1805.8</v>
      </c>
      <c r="M67" s="23">
        <v>1696.9</v>
      </c>
      <c r="N67" s="23">
        <v>1569.6000000000001</v>
      </c>
      <c r="O67" s="23">
        <v>1263.9000000000001</v>
      </c>
      <c r="P67" s="23">
        <v>1043.6000000000001</v>
      </c>
      <c r="Q67" s="23">
        <v>1107.9999999999998</v>
      </c>
      <c r="R67" s="23">
        <v>1001.8000000000001</v>
      </c>
      <c r="S67" s="23">
        <v>1004.3</v>
      </c>
      <c r="T67" s="23">
        <v>949.40000000000009</v>
      </c>
      <c r="U67" s="23">
        <v>933.60000000000014</v>
      </c>
      <c r="V67" s="23">
        <v>981.39999999999986</v>
      </c>
      <c r="W67" s="23">
        <v>992.09999999999991</v>
      </c>
      <c r="X67" s="23">
        <v>1016</v>
      </c>
      <c r="Y67" s="23">
        <v>1153.7</v>
      </c>
      <c r="Z67" s="23">
        <v>1232.5000000000002</v>
      </c>
      <c r="AA67" s="23">
        <v>1321.1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328.6</v>
      </c>
      <c r="E68" s="23">
        <v>419.3</v>
      </c>
      <c r="F68" s="23">
        <v>337.2</v>
      </c>
      <c r="G68" s="23">
        <v>335</v>
      </c>
      <c r="H68" s="23">
        <v>189.7</v>
      </c>
      <c r="I68" s="23">
        <v>264.8</v>
      </c>
      <c r="J68" s="23">
        <v>226.4</v>
      </c>
      <c r="K68" s="23">
        <v>247.1</v>
      </c>
      <c r="L68" s="23">
        <v>233</v>
      </c>
      <c r="M68" s="23">
        <v>173.4</v>
      </c>
      <c r="N68" s="23">
        <v>247.8</v>
      </c>
      <c r="O68" s="23">
        <v>175.9</v>
      </c>
      <c r="P68" s="23">
        <v>213</v>
      </c>
      <c r="Q68" s="23">
        <v>185</v>
      </c>
      <c r="R68" s="23">
        <v>198.5</v>
      </c>
      <c r="S68" s="23">
        <v>199.6</v>
      </c>
      <c r="T68" s="23">
        <v>227.2</v>
      </c>
      <c r="U68" s="23">
        <v>231</v>
      </c>
      <c r="V68" s="23">
        <v>256.8</v>
      </c>
      <c r="W68" s="23">
        <v>234</v>
      </c>
      <c r="X68" s="23">
        <v>272.89999999999998</v>
      </c>
      <c r="Y68" s="23">
        <v>419.1</v>
      </c>
      <c r="Z68" s="23">
        <v>467</v>
      </c>
      <c r="AA68" s="23">
        <v>496.6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246.1</v>
      </c>
      <c r="E69" s="23">
        <v>300.8</v>
      </c>
      <c r="F69" s="23">
        <v>274</v>
      </c>
      <c r="G69" s="23">
        <v>341.9</v>
      </c>
      <c r="H69" s="23">
        <v>441.6</v>
      </c>
      <c r="I69" s="23">
        <v>402.1</v>
      </c>
      <c r="J69" s="23">
        <v>534.4</v>
      </c>
      <c r="K69" s="23">
        <v>588.5</v>
      </c>
      <c r="L69" s="23">
        <v>569.4</v>
      </c>
      <c r="M69" s="23">
        <v>398.4</v>
      </c>
      <c r="N69" s="23">
        <v>491.5</v>
      </c>
      <c r="O69" s="23">
        <v>480.6</v>
      </c>
      <c r="P69" s="23">
        <v>457.4</v>
      </c>
      <c r="Q69" s="23">
        <v>361.7</v>
      </c>
      <c r="R69" s="23">
        <v>323.60000000000002</v>
      </c>
      <c r="S69" s="23">
        <v>347.9</v>
      </c>
      <c r="T69" s="23">
        <v>322.2</v>
      </c>
      <c r="U69" s="23">
        <v>392.5</v>
      </c>
      <c r="V69" s="23">
        <v>426.2</v>
      </c>
      <c r="W69" s="23">
        <v>520.29999999999995</v>
      </c>
      <c r="X69" s="23">
        <v>557.4</v>
      </c>
      <c r="Y69" s="23">
        <v>812.7</v>
      </c>
      <c r="Z69" s="23">
        <v>939.7</v>
      </c>
      <c r="AA69" s="23">
        <v>792.7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366.2</v>
      </c>
      <c r="E70" s="23">
        <v>391</v>
      </c>
      <c r="F70" s="23">
        <v>388.6</v>
      </c>
      <c r="G70" s="23">
        <v>432.1</v>
      </c>
      <c r="H70" s="23">
        <v>450.5</v>
      </c>
      <c r="I70" s="23">
        <v>513.1</v>
      </c>
      <c r="J70" s="23">
        <v>529</v>
      </c>
      <c r="K70" s="23">
        <v>500.3</v>
      </c>
      <c r="L70" s="23">
        <v>651.1</v>
      </c>
      <c r="M70" s="23">
        <v>565.20000000000005</v>
      </c>
      <c r="N70" s="23">
        <v>496.9</v>
      </c>
      <c r="O70" s="23">
        <v>414.5</v>
      </c>
      <c r="P70" s="23">
        <v>370.3</v>
      </c>
      <c r="Q70" s="23">
        <v>336.3</v>
      </c>
      <c r="R70" s="23">
        <v>341.1</v>
      </c>
      <c r="S70" s="23">
        <v>332.5</v>
      </c>
      <c r="T70" s="23">
        <v>334.7</v>
      </c>
      <c r="U70" s="23">
        <v>362.6</v>
      </c>
      <c r="V70" s="23">
        <v>370.4</v>
      </c>
      <c r="W70" s="23">
        <v>388.1</v>
      </c>
      <c r="X70" s="23">
        <v>362.5</v>
      </c>
      <c r="Y70" s="23">
        <v>401.1</v>
      </c>
      <c r="Z70" s="23">
        <v>473.6</v>
      </c>
      <c r="AA70" s="23">
        <v>501.3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143.9</v>
      </c>
      <c r="E71" s="23">
        <v>115.5</v>
      </c>
      <c r="F71" s="23">
        <v>83.3</v>
      </c>
      <c r="G71" s="23">
        <v>130.19999999999999</v>
      </c>
      <c r="H71" s="23">
        <v>161.30000000000001</v>
      </c>
      <c r="I71" s="23">
        <v>99.3</v>
      </c>
      <c r="J71" s="23">
        <v>81.7</v>
      </c>
      <c r="K71" s="23">
        <v>98.6</v>
      </c>
      <c r="L71" s="23">
        <v>130.5</v>
      </c>
      <c r="M71" s="23">
        <v>96.8</v>
      </c>
      <c r="N71" s="23">
        <v>104.9</v>
      </c>
      <c r="O71" s="23">
        <v>63.6</v>
      </c>
      <c r="P71" s="23">
        <v>59</v>
      </c>
      <c r="Q71" s="23">
        <v>73.7</v>
      </c>
      <c r="R71" s="23">
        <v>46.4</v>
      </c>
      <c r="S71" s="23">
        <v>45.4</v>
      </c>
      <c r="T71" s="23">
        <v>40.9</v>
      </c>
      <c r="U71" s="23">
        <v>49.7</v>
      </c>
      <c r="V71" s="23">
        <v>49.5</v>
      </c>
      <c r="W71" s="23">
        <v>51</v>
      </c>
      <c r="X71" s="23">
        <v>55.1</v>
      </c>
      <c r="Y71" s="23">
        <v>54.1</v>
      </c>
      <c r="Z71" s="23">
        <v>65.2</v>
      </c>
      <c r="AA71" s="23">
        <v>73.5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198.9</v>
      </c>
      <c r="E72" s="23">
        <v>240.3</v>
      </c>
      <c r="F72" s="23">
        <v>341.09999999999997</v>
      </c>
      <c r="G72" s="23">
        <v>361.8</v>
      </c>
      <c r="H72" s="23">
        <v>338.9</v>
      </c>
      <c r="I72" s="23">
        <v>400.2</v>
      </c>
      <c r="J72" s="23">
        <v>578.09999999999991</v>
      </c>
      <c r="K72" s="23">
        <v>527.9</v>
      </c>
      <c r="L72" s="23">
        <v>404.6</v>
      </c>
      <c r="M72" s="23">
        <v>493.3</v>
      </c>
      <c r="N72" s="23">
        <v>213.9</v>
      </c>
      <c r="O72" s="23">
        <v>333.7</v>
      </c>
      <c r="P72" s="23">
        <v>101.1</v>
      </c>
      <c r="Q72" s="23">
        <v>247.40000000000003</v>
      </c>
      <c r="R72" s="23">
        <v>183.1</v>
      </c>
      <c r="S72" s="23">
        <v>355.40000000000003</v>
      </c>
      <c r="T72" s="23">
        <v>309.8</v>
      </c>
      <c r="U72" s="23">
        <v>357.7</v>
      </c>
      <c r="V72" s="23">
        <v>419.2</v>
      </c>
      <c r="W72" s="23">
        <v>425.2</v>
      </c>
      <c r="X72" s="23">
        <v>337.7</v>
      </c>
      <c r="Y72" s="23">
        <v>357.5</v>
      </c>
      <c r="Z72" s="23">
        <v>416</v>
      </c>
      <c r="AA72" s="23">
        <v>417.6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490.7</v>
      </c>
      <c r="E73" s="23">
        <v>553.5</v>
      </c>
      <c r="F73" s="23">
        <v>538</v>
      </c>
      <c r="G73" s="23">
        <v>490.3</v>
      </c>
      <c r="H73" s="23">
        <v>641.70000000000005</v>
      </c>
      <c r="I73" s="23">
        <v>670.6</v>
      </c>
      <c r="J73" s="23">
        <v>769.5</v>
      </c>
      <c r="K73" s="23">
        <v>651.20000000000005</v>
      </c>
      <c r="L73" s="23">
        <v>774.2</v>
      </c>
      <c r="M73" s="23">
        <v>791.3</v>
      </c>
      <c r="N73" s="23">
        <v>642</v>
      </c>
      <c r="O73" s="23">
        <v>512.70000000000005</v>
      </c>
      <c r="P73" s="23">
        <v>403.3</v>
      </c>
      <c r="Q73" s="23">
        <v>283.7</v>
      </c>
      <c r="R73" s="23">
        <v>272.2</v>
      </c>
      <c r="S73" s="23">
        <v>296.89999999999998</v>
      </c>
      <c r="T73" s="23">
        <v>295.2</v>
      </c>
      <c r="U73" s="23">
        <v>301</v>
      </c>
      <c r="V73" s="23">
        <v>330.6</v>
      </c>
      <c r="W73" s="23">
        <v>344.6</v>
      </c>
      <c r="X73" s="23">
        <v>352</v>
      </c>
      <c r="Y73" s="23">
        <v>392.5</v>
      </c>
      <c r="Z73" s="23">
        <v>401.5</v>
      </c>
      <c r="AA73" s="23">
        <v>451.9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535.59999999999741</v>
      </c>
      <c r="E74" s="23">
        <v>516.100000000004</v>
      </c>
      <c r="F74" s="23">
        <v>597.69999999999891</v>
      </c>
      <c r="G74" s="23">
        <v>679.9999999999975</v>
      </c>
      <c r="H74" s="23">
        <v>650.29999999999995</v>
      </c>
      <c r="I74" s="23">
        <v>548.00000000000216</v>
      </c>
      <c r="J74" s="23">
        <v>534.39999999999782</v>
      </c>
      <c r="K74" s="23">
        <v>536.30000000000359</v>
      </c>
      <c r="L74" s="23">
        <v>349.50000000000432</v>
      </c>
      <c r="M74" s="23">
        <v>362.6000000000015</v>
      </c>
      <c r="N74" s="23">
        <v>483.50000000000364</v>
      </c>
      <c r="O74" s="23">
        <v>433.99999999999704</v>
      </c>
      <c r="P74" s="23">
        <v>497.30000000000217</v>
      </c>
      <c r="Q74" s="23">
        <v>600.00000000000068</v>
      </c>
      <c r="R74" s="23">
        <v>557.69999999999959</v>
      </c>
      <c r="S74" s="23">
        <v>679.70000000000039</v>
      </c>
      <c r="T74" s="23">
        <v>606.89999999999668</v>
      </c>
      <c r="U74" s="23">
        <v>484.19999999999891</v>
      </c>
      <c r="V74" s="23">
        <v>419.4</v>
      </c>
      <c r="W74" s="23">
        <v>464.19999999999925</v>
      </c>
      <c r="X74" s="23">
        <v>291.00000000000182</v>
      </c>
      <c r="Y74" s="23">
        <v>331.39999999999782</v>
      </c>
      <c r="Z74" s="23">
        <v>238.89999999999782</v>
      </c>
      <c r="AA74" s="23">
        <v>429.40000000000293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13673.299999999997</v>
      </c>
      <c r="E75" s="30">
        <f t="shared" ref="E75:Y75" si="6">SUM(E56:E74)</f>
        <v>15339.7</v>
      </c>
      <c r="F75" s="30">
        <f t="shared" si="6"/>
        <v>16331.8</v>
      </c>
      <c r="G75" s="30">
        <f t="shared" si="6"/>
        <v>17402.299999999996</v>
      </c>
      <c r="H75" s="30">
        <f t="shared" si="6"/>
        <v>18231.3</v>
      </c>
      <c r="I75" s="30">
        <f t="shared" si="6"/>
        <v>18569.100000000002</v>
      </c>
      <c r="J75" s="30">
        <f t="shared" si="6"/>
        <v>19563.8</v>
      </c>
      <c r="K75" s="30">
        <f t="shared" si="6"/>
        <v>20688.3</v>
      </c>
      <c r="L75" s="30">
        <f t="shared" si="6"/>
        <v>21218.200000000004</v>
      </c>
      <c r="M75" s="30">
        <f t="shared" si="6"/>
        <v>19148.2</v>
      </c>
      <c r="N75" s="30">
        <f t="shared" si="6"/>
        <v>17941.200000000004</v>
      </c>
      <c r="O75" s="30">
        <f t="shared" si="6"/>
        <v>16580.600000000002</v>
      </c>
      <c r="P75" s="30">
        <f t="shared" si="6"/>
        <v>15125.5</v>
      </c>
      <c r="Q75" s="30">
        <f t="shared" si="6"/>
        <v>13858.100000000002</v>
      </c>
      <c r="R75" s="30">
        <f t="shared" si="6"/>
        <v>13721.7</v>
      </c>
      <c r="S75" s="30">
        <f t="shared" si="6"/>
        <v>14544.599999999999</v>
      </c>
      <c r="T75" s="30">
        <f t="shared" si="6"/>
        <v>14143.799999999996</v>
      </c>
      <c r="U75" s="30">
        <f t="shared" si="6"/>
        <v>14221.7</v>
      </c>
      <c r="V75" s="30">
        <f t="shared" si="6"/>
        <v>14777.599999999999</v>
      </c>
      <c r="W75" s="30">
        <f t="shared" si="6"/>
        <v>14517.400000000001</v>
      </c>
      <c r="X75" s="30">
        <f t="shared" si="6"/>
        <v>14119.000000000002</v>
      </c>
      <c r="Y75" s="30">
        <f t="shared" si="6"/>
        <v>15994.500000000002</v>
      </c>
      <c r="Z75" s="30">
        <f t="shared" ref="Z75:AA75" si="7">SUM(Z56:Z74)</f>
        <v>19028.099999999999</v>
      </c>
      <c r="AA75" s="30">
        <f t="shared" si="7"/>
        <v>19661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199163.40682882149</v>
      </c>
      <c r="E2" s="19">
        <v>208424.84951401944</v>
      </c>
      <c r="F2" s="19">
        <v>218184.05426281621</v>
      </c>
      <c r="G2" s="19">
        <v>230834.18512898331</v>
      </c>
      <c r="H2" s="19">
        <v>243246.44237876075</v>
      </c>
      <c r="I2" s="19">
        <v>246126.49355879409</v>
      </c>
      <c r="J2" s="19">
        <v>261983.66303610825</v>
      </c>
      <c r="K2" s="19">
        <v>271172.63363285188</v>
      </c>
      <c r="L2" s="19">
        <v>271328.77168442647</v>
      </c>
      <c r="M2" s="19">
        <v>260152.31970834316</v>
      </c>
      <c r="N2" s="19">
        <v>245338.09463780298</v>
      </c>
      <c r="O2" s="19">
        <v>221106.6969923086</v>
      </c>
      <c r="P2" s="19">
        <v>202686.54976867407</v>
      </c>
      <c r="Q2" s="19">
        <v>198080.65303504994</v>
      </c>
      <c r="R2" s="19">
        <v>199650.56912403295</v>
      </c>
      <c r="S2" s="19">
        <v>199194.71811000002</v>
      </c>
      <c r="T2" s="19">
        <v>199131.45450708471</v>
      </c>
      <c r="U2" s="19">
        <v>202064.16229578893</v>
      </c>
      <c r="V2" s="19">
        <v>206235.86247348689</v>
      </c>
      <c r="W2" s="19">
        <v>210933.72082389044</v>
      </c>
      <c r="X2" s="19">
        <v>191535.86293139023</v>
      </c>
      <c r="Y2" s="19">
        <v>208112.0158621443</v>
      </c>
      <c r="Z2" s="19">
        <v>220065.41871801805</v>
      </c>
      <c r="AA2" s="19">
        <v>225196.9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128542.5284517379</v>
      </c>
      <c r="E3" s="23">
        <v>135470.58000353718</v>
      </c>
      <c r="F3" s="23">
        <v>143424.36720725434</v>
      </c>
      <c r="G3" s="23">
        <v>148759.95663157897</v>
      </c>
      <c r="H3" s="23">
        <v>154995.42789529043</v>
      </c>
      <c r="I3" s="23">
        <v>160437.63065458232</v>
      </c>
      <c r="J3" s="23">
        <v>163399.23970735905</v>
      </c>
      <c r="K3" s="23">
        <v>171106.83086830788</v>
      </c>
      <c r="L3" s="23">
        <v>177395.0445634631</v>
      </c>
      <c r="M3" s="23">
        <v>174690.99205092315</v>
      </c>
      <c r="N3" s="23">
        <v>161821.10599328059</v>
      </c>
      <c r="O3" s="23">
        <v>148962.20345431575</v>
      </c>
      <c r="P3" s="23">
        <v>134977.74494892062</v>
      </c>
      <c r="Q3" s="23">
        <v>130773.89509444872</v>
      </c>
      <c r="R3" s="23">
        <v>130924.65977397226</v>
      </c>
      <c r="S3" s="23">
        <v>131426.35782500001</v>
      </c>
      <c r="T3" s="23">
        <v>131871.96375262222</v>
      </c>
      <c r="U3" s="23">
        <v>135258.14988184423</v>
      </c>
      <c r="V3" s="23">
        <v>138320.71463740594</v>
      </c>
      <c r="W3" s="23">
        <v>141937.76861744857</v>
      </c>
      <c r="X3" s="23">
        <v>133141.89065214517</v>
      </c>
      <c r="Y3" s="23">
        <v>139919.40139853104</v>
      </c>
      <c r="Z3" s="23">
        <v>151964.71672687519</v>
      </c>
      <c r="AA3" s="23">
        <v>154673.60000000001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172368.41015964808</v>
      </c>
      <c r="E4" s="27">
        <v>179162.697827239</v>
      </c>
      <c r="F4" s="27">
        <v>187603.62363905876</v>
      </c>
      <c r="G4" s="27">
        <v>199151.75</v>
      </c>
      <c r="H4" s="27">
        <v>211493.11219192165</v>
      </c>
      <c r="I4" s="27">
        <v>213750.45980716401</v>
      </c>
      <c r="J4" s="27">
        <v>224959.72254342498</v>
      </c>
      <c r="K4" s="27">
        <v>231617.01420778804</v>
      </c>
      <c r="L4" s="27">
        <v>232297.17106365241</v>
      </c>
      <c r="M4" s="27">
        <v>224662.72975424223</v>
      </c>
      <c r="N4" s="27">
        <v>211558.39241668631</v>
      </c>
      <c r="O4" s="27">
        <v>192782.11519091943</v>
      </c>
      <c r="P4" s="27">
        <v>178905.42786572082</v>
      </c>
      <c r="Q4" s="27">
        <v>175925.68980337601</v>
      </c>
      <c r="R4" s="27">
        <v>176130.22649783816</v>
      </c>
      <c r="S4" s="27">
        <v>176141.87060600001</v>
      </c>
      <c r="T4" s="27">
        <v>175531.7061092791</v>
      </c>
      <c r="U4" s="27">
        <v>179473.02992816753</v>
      </c>
      <c r="V4" s="27">
        <v>182571.72967306472</v>
      </c>
      <c r="W4" s="27">
        <v>185806.45455893708</v>
      </c>
      <c r="X4" s="27">
        <v>168900.83238881495</v>
      </c>
      <c r="Y4" s="27">
        <v>182623.52032570564</v>
      </c>
      <c r="Z4" s="27">
        <v>192295.08824878852</v>
      </c>
      <c r="AA4" s="27">
        <v>196528.1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10664.625148279953</v>
      </c>
      <c r="E6" s="19">
        <v>10836.232427614781</v>
      </c>
      <c r="F6" s="19">
        <v>11019.739907325271</v>
      </c>
      <c r="G6" s="19">
        <v>11855.389990334255</v>
      </c>
      <c r="H6" s="19">
        <v>10694.710724517246</v>
      </c>
      <c r="I6" s="19">
        <v>10690.98023592782</v>
      </c>
      <c r="J6" s="19">
        <v>8359.2179959313544</v>
      </c>
      <c r="K6" s="19">
        <v>8299.7920234326157</v>
      </c>
      <c r="L6" s="19">
        <v>7624.8677850592321</v>
      </c>
      <c r="M6" s="19">
        <v>7363.3729959040365</v>
      </c>
      <c r="N6" s="19">
        <v>6990.4872580721185</v>
      </c>
      <c r="O6" s="19">
        <v>6734.3428011018241</v>
      </c>
      <c r="P6" s="19">
        <v>6943.5750448781337</v>
      </c>
      <c r="Q6" s="19">
        <v>6655.2730829896254</v>
      </c>
      <c r="R6" s="19">
        <v>7053.3537368746129</v>
      </c>
      <c r="S6" s="19">
        <v>7626.4878159999998</v>
      </c>
      <c r="T6" s="19">
        <v>6965.8151549896002</v>
      </c>
      <c r="U6" s="19">
        <v>7717.4111335269254</v>
      </c>
      <c r="V6" s="19">
        <v>7422.4631583259934</v>
      </c>
      <c r="W6" s="19">
        <v>7838.1242168136196</v>
      </c>
      <c r="X6" s="19">
        <v>7541.3065400588684</v>
      </c>
      <c r="Y6" s="19">
        <v>7393.5036148540912</v>
      </c>
      <c r="Z6" s="19">
        <v>8179.387899614896</v>
      </c>
      <c r="AA6" s="19">
        <v>7529.3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24919.420980377618</v>
      </c>
      <c r="E7" s="23">
        <v>26646.906842270077</v>
      </c>
      <c r="F7" s="23">
        <v>27827.689087959287</v>
      </c>
      <c r="G7" s="23">
        <v>29001.386859082431</v>
      </c>
      <c r="H7" s="23">
        <v>29640.970765630816</v>
      </c>
      <c r="I7" s="23">
        <v>30175.991746835443</v>
      </c>
      <c r="J7" s="23">
        <v>30905.480901361432</v>
      </c>
      <c r="K7" s="23">
        <v>31255.975112424127</v>
      </c>
      <c r="L7" s="23">
        <v>30426.328011516765</v>
      </c>
      <c r="M7" s="23">
        <v>28387.419836161494</v>
      </c>
      <c r="N7" s="23">
        <v>26753.721964647655</v>
      </c>
      <c r="O7" s="23">
        <v>25318.993001519757</v>
      </c>
      <c r="P7" s="23">
        <v>25425.326758886829</v>
      </c>
      <c r="Q7" s="23">
        <v>24949.637008807425</v>
      </c>
      <c r="R7" s="23">
        <v>24831.741445336625</v>
      </c>
      <c r="S7" s="23">
        <v>25174.829618</v>
      </c>
      <c r="T7" s="23">
        <v>25489.206984932272</v>
      </c>
      <c r="U7" s="23">
        <v>25617.95072189108</v>
      </c>
      <c r="V7" s="23">
        <v>26084.339868283594</v>
      </c>
      <c r="W7" s="23">
        <v>25873.763177034663</v>
      </c>
      <c r="X7" s="23">
        <v>24751.063629490745</v>
      </c>
      <c r="Y7" s="23">
        <v>27490.830988877373</v>
      </c>
      <c r="Z7" s="23">
        <v>32691.235471061897</v>
      </c>
      <c r="AA7" s="23">
        <v>30241.599999999999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11349.726067615658</v>
      </c>
      <c r="E8" s="23">
        <v>12056.507880474055</v>
      </c>
      <c r="F8" s="23">
        <v>12326.360707782809</v>
      </c>
      <c r="G8" s="23">
        <v>16661.114104120305</v>
      </c>
      <c r="H8" s="23">
        <v>18493.937961160806</v>
      </c>
      <c r="I8" s="23">
        <v>13762.534509022353</v>
      </c>
      <c r="J8" s="23">
        <v>21254.092351989988</v>
      </c>
      <c r="K8" s="23">
        <v>18063.031539252657</v>
      </c>
      <c r="L8" s="23">
        <v>13481.613512806096</v>
      </c>
      <c r="M8" s="23">
        <v>12114.514803978935</v>
      </c>
      <c r="N8" s="23">
        <v>9384.8409870374744</v>
      </c>
      <c r="O8" s="23">
        <v>6307.1566764817626</v>
      </c>
      <c r="P8" s="23">
        <v>4630.8707701759613</v>
      </c>
      <c r="Q8" s="23">
        <v>4964.8644910995072</v>
      </c>
      <c r="R8" s="23">
        <v>3402.647405806053</v>
      </c>
      <c r="S8" s="23">
        <v>3643.5666169999995</v>
      </c>
      <c r="T8" s="23">
        <v>3326.6772969407943</v>
      </c>
      <c r="U8" s="23">
        <v>2238.3356299352999</v>
      </c>
      <c r="V8" s="23">
        <v>2716.0527090972405</v>
      </c>
      <c r="W8" s="23">
        <v>2841.4414083133561</v>
      </c>
      <c r="X8" s="23">
        <v>2723.772170476997</v>
      </c>
      <c r="Y8" s="23">
        <v>3431.8596097113705</v>
      </c>
      <c r="Z8" s="23">
        <v>3697.36347681082</v>
      </c>
      <c r="AA8" s="23">
        <v>4172.7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46034.92878978845</v>
      </c>
      <c r="E9" s="23">
        <v>45964.211290167172</v>
      </c>
      <c r="F9" s="23">
        <v>45502.733987347674</v>
      </c>
      <c r="G9" s="23">
        <v>49409.054891316569</v>
      </c>
      <c r="H9" s="23">
        <v>52929.273903820504</v>
      </c>
      <c r="I9" s="23">
        <v>54085.05161325074</v>
      </c>
      <c r="J9" s="23">
        <v>53751.516927651144</v>
      </c>
      <c r="K9" s="23">
        <v>58074.677370989542</v>
      </c>
      <c r="L9" s="23">
        <v>61510.50289567055</v>
      </c>
      <c r="M9" s="23">
        <v>54974.245318899935</v>
      </c>
      <c r="N9" s="23">
        <v>52780.812609003064</v>
      </c>
      <c r="O9" s="23">
        <v>46625.549528875381</v>
      </c>
      <c r="P9" s="23">
        <v>42686.599863685675</v>
      </c>
      <c r="Q9" s="23">
        <v>43350.473709012185</v>
      </c>
      <c r="R9" s="23">
        <v>44579.181902408891</v>
      </c>
      <c r="S9" s="23">
        <v>42786.672378000003</v>
      </c>
      <c r="T9" s="23">
        <v>42407.341342397645</v>
      </c>
      <c r="U9" s="23">
        <v>45383.924604411848</v>
      </c>
      <c r="V9" s="23">
        <v>47604.937234979625</v>
      </c>
      <c r="W9" s="23">
        <v>47075.331992808096</v>
      </c>
      <c r="X9" s="23">
        <v>37330.270372162413</v>
      </c>
      <c r="Y9" s="23">
        <v>42593.25898580769</v>
      </c>
      <c r="Z9" s="23">
        <v>48156.20654493192</v>
      </c>
      <c r="AA9" s="23">
        <v>49589.3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5227.8318715401338</v>
      </c>
      <c r="E10" s="23">
        <v>5508.7151214048272</v>
      </c>
      <c r="F10" s="23">
        <v>5800.2965451234886</v>
      </c>
      <c r="G10" s="23">
        <v>5593.4827387776204</v>
      </c>
      <c r="H10" s="23">
        <v>5916.5221280643827</v>
      </c>
      <c r="I10" s="23">
        <v>6068.078961486668</v>
      </c>
      <c r="J10" s="23">
        <v>6854.1788461739088</v>
      </c>
      <c r="K10" s="23">
        <v>6867.7844411058904</v>
      </c>
      <c r="L10" s="23">
        <v>6722.769197510519</v>
      </c>
      <c r="M10" s="23">
        <v>6790.9203920421287</v>
      </c>
      <c r="N10" s="23">
        <v>6726.6770681121843</v>
      </c>
      <c r="O10" s="23">
        <v>6127.0726472264441</v>
      </c>
      <c r="P10" s="23">
        <v>5662.6842739342046</v>
      </c>
      <c r="Q10" s="23">
        <v>5354.5213984109414</v>
      </c>
      <c r="R10" s="23">
        <v>4922.405126621371</v>
      </c>
      <c r="S10" s="23">
        <v>5119.4517860000005</v>
      </c>
      <c r="T10" s="23">
        <v>5342.7753741565621</v>
      </c>
      <c r="U10" s="23">
        <v>5558.7344643130073</v>
      </c>
      <c r="V10" s="23">
        <v>5667.3210377532423</v>
      </c>
      <c r="W10" s="23">
        <v>5971.0729480720011</v>
      </c>
      <c r="X10" s="23">
        <v>6506.0115670739087</v>
      </c>
      <c r="Y10" s="23">
        <v>6966.3642371631331</v>
      </c>
      <c r="Z10" s="23">
        <v>6781.4877936651255</v>
      </c>
      <c r="AA10" s="23">
        <v>6778.3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7929.2837930011865</v>
      </c>
      <c r="E11" s="23">
        <v>6949.1143951438071</v>
      </c>
      <c r="F11" s="23">
        <v>7655.6263551052798</v>
      </c>
      <c r="G11" s="23">
        <v>8551.3827162991438</v>
      </c>
      <c r="H11" s="23">
        <v>10163.994446388349</v>
      </c>
      <c r="I11" s="23">
        <v>10462.703950444386</v>
      </c>
      <c r="J11" s="23">
        <v>10595.703560586302</v>
      </c>
      <c r="K11" s="23">
        <v>10383.890879025592</v>
      </c>
      <c r="L11" s="23">
        <v>9909.4046018574172</v>
      </c>
      <c r="M11" s="23">
        <v>10213.929198361615</v>
      </c>
      <c r="N11" s="23">
        <v>10048.926011784115</v>
      </c>
      <c r="O11" s="23">
        <v>9229.0362651975684</v>
      </c>
      <c r="P11" s="23">
        <v>6726.2879025832535</v>
      </c>
      <c r="Q11" s="23">
        <v>7807.9662917715759</v>
      </c>
      <c r="R11" s="23">
        <v>9236.113557751698</v>
      </c>
      <c r="S11" s="23">
        <v>8943.6205900000004</v>
      </c>
      <c r="T11" s="23">
        <v>9956.1296971234333</v>
      </c>
      <c r="U11" s="23">
        <v>10121.094184115342</v>
      </c>
      <c r="V11" s="23">
        <v>9479.9587561710068</v>
      </c>
      <c r="W11" s="23">
        <v>9314.2171925155435</v>
      </c>
      <c r="X11" s="23">
        <v>8809.0123291399541</v>
      </c>
      <c r="Y11" s="23">
        <v>9043.309612701325</v>
      </c>
      <c r="Z11" s="23">
        <v>9415.7216616609257</v>
      </c>
      <c r="AA11" s="23">
        <v>12708.3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23040.174534153815</v>
      </c>
      <c r="E12" s="23">
        <v>24350.135443464853</v>
      </c>
      <c r="F12" s="23">
        <v>26551.884189271204</v>
      </c>
      <c r="G12" s="23">
        <v>25648.520387978511</v>
      </c>
      <c r="H12" s="23">
        <v>25598.443279681593</v>
      </c>
      <c r="I12" s="23">
        <v>27844.312545111767</v>
      </c>
      <c r="J12" s="23">
        <v>29732.151098012626</v>
      </c>
      <c r="K12" s="23">
        <v>32035.432444695398</v>
      </c>
      <c r="L12" s="23">
        <v>34659.252153091496</v>
      </c>
      <c r="M12" s="23">
        <v>34898.235839672321</v>
      </c>
      <c r="N12" s="23">
        <v>35420.085179354232</v>
      </c>
      <c r="O12" s="23">
        <v>34943.327763107904</v>
      </c>
      <c r="P12" s="23">
        <v>32592.088144493187</v>
      </c>
      <c r="Q12" s="23">
        <v>31694.770883583322</v>
      </c>
      <c r="R12" s="23">
        <v>31361.087708462012</v>
      </c>
      <c r="S12" s="23">
        <v>32266.111330999996</v>
      </c>
      <c r="T12" s="23">
        <v>31715.208830602201</v>
      </c>
      <c r="U12" s="23">
        <v>31816.507813948756</v>
      </c>
      <c r="V12" s="23">
        <v>31267.825407132761</v>
      </c>
      <c r="W12" s="23">
        <v>33736.625736459311</v>
      </c>
      <c r="X12" s="23">
        <v>30977.172732954314</v>
      </c>
      <c r="Y12" s="23">
        <v>32376.847253229153</v>
      </c>
      <c r="Z12" s="23">
        <v>30903.521175213285</v>
      </c>
      <c r="AA12" s="23">
        <v>32385.8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10294.231917259787</v>
      </c>
      <c r="E13" s="23">
        <v>10721.92155176567</v>
      </c>
      <c r="F13" s="23">
        <v>11904.235984406369</v>
      </c>
      <c r="G13" s="23">
        <v>12754.552700788994</v>
      </c>
      <c r="H13" s="23">
        <v>13609.606109082164</v>
      </c>
      <c r="I13" s="23">
        <v>13582.684180985725</v>
      </c>
      <c r="J13" s="23">
        <v>14641.512832924731</v>
      </c>
      <c r="K13" s="23">
        <v>15435.274676843655</v>
      </c>
      <c r="L13" s="23">
        <v>15729.633925974758</v>
      </c>
      <c r="M13" s="23">
        <v>14531.489174956114</v>
      </c>
      <c r="N13" s="23">
        <v>11710.104125382984</v>
      </c>
      <c r="O13" s="23">
        <v>10257.655486322188</v>
      </c>
      <c r="P13" s="23">
        <v>9502.7347207956154</v>
      </c>
      <c r="Q13" s="23">
        <v>9043.9423931891888</v>
      </c>
      <c r="R13" s="23">
        <v>8910.0543854231</v>
      </c>
      <c r="S13" s="23">
        <v>8908.9112850000001</v>
      </c>
      <c r="T13" s="23">
        <v>8726.3791517426816</v>
      </c>
      <c r="U13" s="23">
        <v>9073.120840593001</v>
      </c>
      <c r="V13" s="23">
        <v>9450.1197082983399</v>
      </c>
      <c r="W13" s="23">
        <v>10040.761507049692</v>
      </c>
      <c r="X13" s="23">
        <v>9134.3415860247569</v>
      </c>
      <c r="Y13" s="23">
        <v>10777.500022922979</v>
      </c>
      <c r="Z13" s="23">
        <v>11152.166689392125</v>
      </c>
      <c r="AA13" s="23">
        <v>11985.8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27934.596249752871</v>
      </c>
      <c r="E14" s="23">
        <v>30589.535551861987</v>
      </c>
      <c r="F14" s="23">
        <v>32809.504655912962</v>
      </c>
      <c r="G14" s="23">
        <v>33735.86863578124</v>
      </c>
      <c r="H14" s="23">
        <v>37954.11552365125</v>
      </c>
      <c r="I14" s="23">
        <v>39830.288701319696</v>
      </c>
      <c r="J14" s="23">
        <v>41487.293984664298</v>
      </c>
      <c r="K14" s="23">
        <v>43308.820341204693</v>
      </c>
      <c r="L14" s="23">
        <v>44408.469993407933</v>
      </c>
      <c r="M14" s="23">
        <v>47054.315213575181</v>
      </c>
      <c r="N14" s="23">
        <v>45151.773805326411</v>
      </c>
      <c r="O14" s="23">
        <v>41243.998820288711</v>
      </c>
      <c r="P14" s="23">
        <v>38816.834935826642</v>
      </c>
      <c r="Q14" s="23">
        <v>36207.209700900341</v>
      </c>
      <c r="R14" s="23">
        <v>36012.646046942551</v>
      </c>
      <c r="S14" s="23">
        <v>35946.663273000006</v>
      </c>
      <c r="T14" s="23">
        <v>35915.990505808943</v>
      </c>
      <c r="U14" s="23">
        <v>35962.02042488155</v>
      </c>
      <c r="V14" s="23">
        <v>36351.07039453469</v>
      </c>
      <c r="W14" s="23">
        <v>36359.930450814682</v>
      </c>
      <c r="X14" s="23">
        <v>35799.410381637819</v>
      </c>
      <c r="Y14" s="23">
        <v>36477.544066935086</v>
      </c>
      <c r="Z14" s="23">
        <v>34955.156343166724</v>
      </c>
      <c r="AA14" s="23">
        <v>34618.300000000017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4973.5908078786078</v>
      </c>
      <c r="E15" s="23">
        <v>5539.4173230717352</v>
      </c>
      <c r="F15" s="23">
        <v>6205.5522188244076</v>
      </c>
      <c r="G15" s="23">
        <v>5940.9969755209386</v>
      </c>
      <c r="H15" s="23">
        <v>6491.5373499245534</v>
      </c>
      <c r="I15" s="23">
        <v>7247.8333627794227</v>
      </c>
      <c r="J15" s="23">
        <v>7378.5740441291537</v>
      </c>
      <c r="K15" s="23">
        <v>7892.3353788138502</v>
      </c>
      <c r="L15" s="23">
        <v>7824.3289867576641</v>
      </c>
      <c r="M15" s="23">
        <v>8334.2869806904619</v>
      </c>
      <c r="N15" s="23">
        <v>6590.9634079660618</v>
      </c>
      <c r="O15" s="23">
        <v>5994.9822007978728</v>
      </c>
      <c r="P15" s="23">
        <v>5918.4254504612618</v>
      </c>
      <c r="Q15" s="23">
        <v>5897.0308436119258</v>
      </c>
      <c r="R15" s="23">
        <v>5820.9951822112407</v>
      </c>
      <c r="S15" s="23">
        <v>5725.5559119999998</v>
      </c>
      <c r="T15" s="23">
        <v>5686.1817705849526</v>
      </c>
      <c r="U15" s="23">
        <v>5983.9301105507166</v>
      </c>
      <c r="V15" s="23">
        <v>6527.641398488232</v>
      </c>
      <c r="W15" s="23">
        <v>6755.1859290561142</v>
      </c>
      <c r="X15" s="23">
        <v>5328.4710797951693</v>
      </c>
      <c r="Y15" s="23">
        <v>6072.5019335034294</v>
      </c>
      <c r="Z15" s="23">
        <v>6362.8411932708086</v>
      </c>
      <c r="AA15" s="23">
        <v>6518.7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172368.41015964811</v>
      </c>
      <c r="E16" s="30">
        <f t="shared" ref="E16:S16" si="0">SUM(E6:E15)</f>
        <v>179162.69782723897</v>
      </c>
      <c r="F16" s="30">
        <f t="shared" si="0"/>
        <v>187603.62363905876</v>
      </c>
      <c r="G16" s="30">
        <f t="shared" si="0"/>
        <v>199151.75000000003</v>
      </c>
      <c r="H16" s="30">
        <f t="shared" si="0"/>
        <v>211493.11219192168</v>
      </c>
      <c r="I16" s="30">
        <f t="shared" si="0"/>
        <v>213750.45980716404</v>
      </c>
      <c r="J16" s="30">
        <f t="shared" si="0"/>
        <v>224959.7225434249</v>
      </c>
      <c r="K16" s="30">
        <f t="shared" si="0"/>
        <v>231617.01420778804</v>
      </c>
      <c r="L16" s="30">
        <f t="shared" si="0"/>
        <v>232297.17106365244</v>
      </c>
      <c r="M16" s="30">
        <f t="shared" si="0"/>
        <v>224662.7297542422</v>
      </c>
      <c r="N16" s="30">
        <f t="shared" si="0"/>
        <v>211558.39241668631</v>
      </c>
      <c r="O16" s="30">
        <f t="shared" si="0"/>
        <v>192782.11519091943</v>
      </c>
      <c r="P16" s="30">
        <f t="shared" si="0"/>
        <v>178905.42786572076</v>
      </c>
      <c r="Q16" s="30">
        <f t="shared" si="0"/>
        <v>175925.68980337601</v>
      </c>
      <c r="R16" s="30">
        <f t="shared" si="0"/>
        <v>176130.22649783819</v>
      </c>
      <c r="S16" s="30">
        <f t="shared" si="0"/>
        <v>176141.87060600001</v>
      </c>
      <c r="T16" s="30">
        <f t="shared" ref="T16:Y16" si="1">SUM(T6:T15)</f>
        <v>175531.70610927907</v>
      </c>
      <c r="U16" s="30">
        <f t="shared" si="1"/>
        <v>179473.02992816753</v>
      </c>
      <c r="V16" s="30">
        <f t="shared" si="1"/>
        <v>182571.72967306469</v>
      </c>
      <c r="W16" s="30">
        <f t="shared" si="1"/>
        <v>185806.45455893708</v>
      </c>
      <c r="X16" s="30">
        <f t="shared" si="1"/>
        <v>168900.83238881495</v>
      </c>
      <c r="Y16" s="30">
        <f t="shared" si="1"/>
        <v>182623.52032570561</v>
      </c>
      <c r="Z16" s="30">
        <f t="shared" ref="Z16:AA16" si="2">SUM(Z6:Z15)</f>
        <v>192295.08824878852</v>
      </c>
      <c r="AA16" s="30">
        <f t="shared" si="2"/>
        <v>196528.1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10664.625148279953</v>
      </c>
      <c r="E18" s="19">
        <v>10836.232427614781</v>
      </c>
      <c r="F18" s="19">
        <v>11019.739907325271</v>
      </c>
      <c r="G18" s="19">
        <v>11855.389990334255</v>
      </c>
      <c r="H18" s="19">
        <v>10694.710724517246</v>
      </c>
      <c r="I18" s="19">
        <v>10690.98023592782</v>
      </c>
      <c r="J18" s="19">
        <v>8359.2179959313544</v>
      </c>
      <c r="K18" s="19">
        <v>8299.7920234326157</v>
      </c>
      <c r="L18" s="19">
        <v>7624.8677850592321</v>
      </c>
      <c r="M18" s="19">
        <v>7363.3729959040365</v>
      </c>
      <c r="N18" s="19">
        <v>6990.4872580721185</v>
      </c>
      <c r="O18" s="19">
        <v>6734.3428011018241</v>
      </c>
      <c r="P18" s="19">
        <v>6943.5750448781337</v>
      </c>
      <c r="Q18" s="19">
        <v>6655.2730829896254</v>
      </c>
      <c r="R18" s="19">
        <v>7053.3537368746129</v>
      </c>
      <c r="S18" s="19">
        <v>7626.4878159999998</v>
      </c>
      <c r="T18" s="19">
        <v>6965.8151549896002</v>
      </c>
      <c r="U18" s="19">
        <v>7717.4111335269254</v>
      </c>
      <c r="V18" s="19">
        <v>7422.4631583259934</v>
      </c>
      <c r="W18" s="19">
        <v>7838.1242168136196</v>
      </c>
      <c r="X18" s="19">
        <v>7541.3065400588684</v>
      </c>
      <c r="Y18" s="19">
        <v>7393.5036148540912</v>
      </c>
      <c r="Z18" s="19">
        <v>8179.387899614896</v>
      </c>
      <c r="AA18" s="19">
        <v>7529.3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869.03195432977441</v>
      </c>
      <c r="E19" s="23">
        <v>861.85466107818991</v>
      </c>
      <c r="F19" s="23">
        <v>887.17182942725231</v>
      </c>
      <c r="G19" s="23">
        <v>955.03849371812316</v>
      </c>
      <c r="H19" s="23">
        <v>982.14973884326866</v>
      </c>
      <c r="I19" s="23">
        <v>1055.8259363821053</v>
      </c>
      <c r="J19" s="23">
        <v>1046.2972333211621</v>
      </c>
      <c r="K19" s="23">
        <v>1096.5935553048166</v>
      </c>
      <c r="L19" s="23">
        <v>983.95711169707442</v>
      </c>
      <c r="M19" s="23">
        <v>918.91880422604106</v>
      </c>
      <c r="N19" s="23">
        <v>975.4078746724648</v>
      </c>
      <c r="O19" s="23">
        <v>996.50084239505622</v>
      </c>
      <c r="P19" s="23">
        <v>896.02269537587244</v>
      </c>
      <c r="Q19" s="23">
        <v>948.10939621643365</v>
      </c>
      <c r="R19" s="23">
        <v>971.50041724641176</v>
      </c>
      <c r="S19" s="23">
        <v>1023.5261939999999</v>
      </c>
      <c r="T19" s="23">
        <v>944.77173354979482</v>
      </c>
      <c r="U19" s="23">
        <v>952.89277905140341</v>
      </c>
      <c r="V19" s="23">
        <v>1021.2880369543398</v>
      </c>
      <c r="W19" s="23">
        <v>887.81722892399682</v>
      </c>
      <c r="X19" s="23">
        <v>712.48942683762755</v>
      </c>
      <c r="Y19" s="23">
        <v>751.30259168236398</v>
      </c>
      <c r="Z19" s="23">
        <v>556.62737064676958</v>
      </c>
      <c r="AA19" s="23">
        <v>533.09999999999991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19227.402299574929</v>
      </c>
      <c r="E20" s="23">
        <v>21025.114415618827</v>
      </c>
      <c r="F20" s="23">
        <v>21693.066574069748</v>
      </c>
      <c r="G20" s="23">
        <v>22258.178145300873</v>
      </c>
      <c r="H20" s="23">
        <v>22686.161035055877</v>
      </c>
      <c r="I20" s="23">
        <v>22765.226491785616</v>
      </c>
      <c r="J20" s="23">
        <v>23226.540126232332</v>
      </c>
      <c r="K20" s="23">
        <v>23738.623770392627</v>
      </c>
      <c r="L20" s="23">
        <v>23408.228262597673</v>
      </c>
      <c r="M20" s="23">
        <v>20565.547747220597</v>
      </c>
      <c r="N20" s="23">
        <v>19247.951932123498</v>
      </c>
      <c r="O20" s="23">
        <v>17922.576563449846</v>
      </c>
      <c r="P20" s="23">
        <v>16523.764056215263</v>
      </c>
      <c r="Q20" s="23">
        <v>15450.370206616835</v>
      </c>
      <c r="R20" s="23">
        <v>15556.627764051884</v>
      </c>
      <c r="S20" s="23">
        <v>16551.900246000001</v>
      </c>
      <c r="T20" s="23">
        <v>16331.78005986505</v>
      </c>
      <c r="U20" s="23">
        <v>16490.332484589129</v>
      </c>
      <c r="V20" s="23">
        <v>17224.590384497205</v>
      </c>
      <c r="W20" s="23">
        <v>16782.075468286541</v>
      </c>
      <c r="X20" s="23">
        <v>16196.487228337566</v>
      </c>
      <c r="Y20" s="23">
        <v>18140.947361864139</v>
      </c>
      <c r="Z20" s="23">
        <v>19950.036005417256</v>
      </c>
      <c r="AA20" s="23">
        <v>19661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2555.0664417754047</v>
      </c>
      <c r="E21" s="23">
        <v>2502.6406260538606</v>
      </c>
      <c r="F21" s="23">
        <v>2961.9770361428805</v>
      </c>
      <c r="G21" s="23">
        <v>3445.6591697825411</v>
      </c>
      <c r="H21" s="23">
        <v>3460.4819760840369</v>
      </c>
      <c r="I21" s="23">
        <v>3760.3684534036147</v>
      </c>
      <c r="J21" s="23">
        <v>3954.9869208700648</v>
      </c>
      <c r="K21" s="23">
        <v>3871.9838363253148</v>
      </c>
      <c r="L21" s="23">
        <v>3314.7186207030268</v>
      </c>
      <c r="M21" s="23">
        <v>4038.3667552247975</v>
      </c>
      <c r="N21" s="23">
        <v>3851.8526542279114</v>
      </c>
      <c r="O21" s="23">
        <v>3890.7742512213958</v>
      </c>
      <c r="P21" s="23">
        <v>5390.3379462614357</v>
      </c>
      <c r="Q21" s="23">
        <v>5843.0697726137187</v>
      </c>
      <c r="R21" s="23">
        <v>5657.9213820378318</v>
      </c>
      <c r="S21" s="23">
        <v>5221.9864869999992</v>
      </c>
      <c r="T21" s="23">
        <v>5728.0972117091997</v>
      </c>
      <c r="U21" s="23">
        <v>5796.8996831219092</v>
      </c>
      <c r="V21" s="23">
        <v>5465.9074646127374</v>
      </c>
      <c r="W21" s="23">
        <v>5763.9915171066941</v>
      </c>
      <c r="X21" s="23">
        <v>5708.9778305310256</v>
      </c>
      <c r="Y21" s="23">
        <v>6572.5366218009694</v>
      </c>
      <c r="Z21" s="23">
        <v>10354.27561555152</v>
      </c>
      <c r="AA21" s="23">
        <v>8036.8999999999978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2267.9202846975081</v>
      </c>
      <c r="E22" s="23">
        <v>2257.2971395191976</v>
      </c>
      <c r="F22" s="23">
        <v>2285.4736483194042</v>
      </c>
      <c r="G22" s="23">
        <v>2342.5110502808925</v>
      </c>
      <c r="H22" s="23">
        <v>2512.1780156476316</v>
      </c>
      <c r="I22" s="23">
        <v>2594.5708652641079</v>
      </c>
      <c r="J22" s="23">
        <v>2677.6566209378752</v>
      </c>
      <c r="K22" s="23">
        <v>2548.7739504013698</v>
      </c>
      <c r="L22" s="23">
        <v>2719.4240165189913</v>
      </c>
      <c r="M22" s="23">
        <v>2864.5865294900614</v>
      </c>
      <c r="N22" s="23">
        <v>2678.5095036237817</v>
      </c>
      <c r="O22" s="23">
        <v>2509.1413444534592</v>
      </c>
      <c r="P22" s="23">
        <v>2615.2020610342611</v>
      </c>
      <c r="Q22" s="23">
        <v>2708.0876333604388</v>
      </c>
      <c r="R22" s="23">
        <v>2645.691882000498</v>
      </c>
      <c r="S22" s="23">
        <v>2377.4166909999999</v>
      </c>
      <c r="T22" s="23">
        <v>2484.5579798082294</v>
      </c>
      <c r="U22" s="23">
        <v>2377.8257751286355</v>
      </c>
      <c r="V22" s="23">
        <v>2372.5539822193091</v>
      </c>
      <c r="W22" s="23">
        <v>2439.8789627174319</v>
      </c>
      <c r="X22" s="23">
        <v>2133.1091437845243</v>
      </c>
      <c r="Y22" s="23">
        <v>2026.0444135299015</v>
      </c>
      <c r="Z22" s="23">
        <v>1830.2964794463469</v>
      </c>
      <c r="AA22" s="23">
        <v>2010.5999999999995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11349.726067615658</v>
      </c>
      <c r="E23" s="23">
        <v>12056.507880474055</v>
      </c>
      <c r="F23" s="23">
        <v>12326.360707782809</v>
      </c>
      <c r="G23" s="23">
        <v>16661.114104120305</v>
      </c>
      <c r="H23" s="23">
        <v>18493.937961160806</v>
      </c>
      <c r="I23" s="23">
        <v>13762.534509022353</v>
      </c>
      <c r="J23" s="23">
        <v>21254.092351989988</v>
      </c>
      <c r="K23" s="23">
        <v>18063.031539252657</v>
      </c>
      <c r="L23" s="23">
        <v>13481.613512806096</v>
      </c>
      <c r="M23" s="23">
        <v>12114.514803978935</v>
      </c>
      <c r="N23" s="23">
        <v>9384.8409870374744</v>
      </c>
      <c r="O23" s="23">
        <v>6307.1566764817626</v>
      </c>
      <c r="P23" s="23">
        <v>4630.8707701759613</v>
      </c>
      <c r="Q23" s="23">
        <v>4964.8644910995072</v>
      </c>
      <c r="R23" s="23">
        <v>3402.647405806053</v>
      </c>
      <c r="S23" s="23">
        <v>3643.5666169999995</v>
      </c>
      <c r="T23" s="23">
        <v>3326.6772969407943</v>
      </c>
      <c r="U23" s="23">
        <v>2238.3356299352999</v>
      </c>
      <c r="V23" s="23">
        <v>2716.0527090972405</v>
      </c>
      <c r="W23" s="23">
        <v>2841.4414083133561</v>
      </c>
      <c r="X23" s="23">
        <v>2723.772170476997</v>
      </c>
      <c r="Y23" s="23">
        <v>3431.8596097113705</v>
      </c>
      <c r="Z23" s="23">
        <v>3697.36347681082</v>
      </c>
      <c r="AA23" s="23">
        <v>4172.7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27344.132629003554</v>
      </c>
      <c r="E24" s="23">
        <v>26468.587358481476</v>
      </c>
      <c r="F24" s="23">
        <v>27467.860303935751</v>
      </c>
      <c r="G24" s="23">
        <v>28371.589250792367</v>
      </c>
      <c r="H24" s="23">
        <v>28684.063806941202</v>
      </c>
      <c r="I24" s="23">
        <v>26887.807937516834</v>
      </c>
      <c r="J24" s="23">
        <v>26348.573298210842</v>
      </c>
      <c r="K24" s="23">
        <v>28940.896187662594</v>
      </c>
      <c r="L24" s="23">
        <v>30144.677321286617</v>
      </c>
      <c r="M24" s="23">
        <v>28243.608572264478</v>
      </c>
      <c r="N24" s="23">
        <v>26663.067385340561</v>
      </c>
      <c r="O24" s="23">
        <v>23960.471945288755</v>
      </c>
      <c r="P24" s="23">
        <v>21351.493263000266</v>
      </c>
      <c r="Q24" s="23">
        <v>19957.346022944366</v>
      </c>
      <c r="R24" s="23">
        <v>20613.605991352688</v>
      </c>
      <c r="S24" s="23">
        <v>20734.314598000004</v>
      </c>
      <c r="T24" s="23">
        <v>21205.749122824818</v>
      </c>
      <c r="U24" s="23">
        <v>22166.410279688222</v>
      </c>
      <c r="V24" s="23">
        <v>23046.584924309158</v>
      </c>
      <c r="W24" s="23">
        <v>21827.310164154238</v>
      </c>
      <c r="X24" s="23">
        <v>19941.903390992298</v>
      </c>
      <c r="Y24" s="23">
        <v>21705.961944865252</v>
      </c>
      <c r="Z24" s="23">
        <v>23485.728293195265</v>
      </c>
      <c r="AA24" s="23">
        <v>22755.600000000002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10887.648559213128</v>
      </c>
      <c r="E25" s="23">
        <v>9862.6710952931535</v>
      </c>
      <c r="F25" s="23">
        <v>9791.4871329193702</v>
      </c>
      <c r="G25" s="23">
        <v>11947.864334524691</v>
      </c>
      <c r="H25" s="23">
        <v>14246.341207601638</v>
      </c>
      <c r="I25" s="23">
        <v>15811.136405063289</v>
      </c>
      <c r="J25" s="23">
        <v>16285.694199572272</v>
      </c>
      <c r="K25" s="23">
        <v>18144.844151928854</v>
      </c>
      <c r="L25" s="23">
        <v>18846.435845434982</v>
      </c>
      <c r="M25" s="23">
        <v>15552.345084844937</v>
      </c>
      <c r="N25" s="23">
        <v>15233.509679943436</v>
      </c>
      <c r="O25" s="23">
        <v>13135.649051101824</v>
      </c>
      <c r="P25" s="23">
        <v>12108.541762102697</v>
      </c>
      <c r="Q25" s="23">
        <v>11811.788567985659</v>
      </c>
      <c r="R25" s="23">
        <v>12490.016306361951</v>
      </c>
      <c r="S25" s="23">
        <v>10538.541605</v>
      </c>
      <c r="T25" s="23">
        <v>10279.0979858962</v>
      </c>
      <c r="U25" s="23">
        <v>11218.810896123085</v>
      </c>
      <c r="V25" s="23">
        <v>11846.568240571933</v>
      </c>
      <c r="W25" s="23">
        <v>11804.813414733249</v>
      </c>
      <c r="X25" s="23">
        <v>10080.847826700536</v>
      </c>
      <c r="Y25" s="23">
        <v>11304.335500717589</v>
      </c>
      <c r="Z25" s="23">
        <v>12398.355893571154</v>
      </c>
      <c r="AA25" s="23">
        <v>12792.7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7803.1476015717681</v>
      </c>
      <c r="E26" s="23">
        <v>9632.9528363925419</v>
      </c>
      <c r="F26" s="23">
        <v>8243.3865504925525</v>
      </c>
      <c r="G26" s="23">
        <v>9089.6013059995057</v>
      </c>
      <c r="H26" s="23">
        <v>9998.86888927767</v>
      </c>
      <c r="I26" s="23">
        <v>11386.107270670616</v>
      </c>
      <c r="J26" s="23">
        <v>11117.24942986803</v>
      </c>
      <c r="K26" s="23">
        <v>10988.937031398093</v>
      </c>
      <c r="L26" s="23">
        <v>12519.389728948952</v>
      </c>
      <c r="M26" s="23">
        <v>11178.291661790519</v>
      </c>
      <c r="N26" s="23">
        <v>10884.235543719065</v>
      </c>
      <c r="O26" s="23">
        <v>9529.4285324848024</v>
      </c>
      <c r="P26" s="23">
        <v>9226.5648385827153</v>
      </c>
      <c r="Q26" s="23">
        <v>11581.339118082156</v>
      </c>
      <c r="R26" s="23">
        <v>11475.559604694256</v>
      </c>
      <c r="S26" s="23">
        <v>11513.816175</v>
      </c>
      <c r="T26" s="23">
        <v>10922.494233676629</v>
      </c>
      <c r="U26" s="23">
        <v>11998.703428600542</v>
      </c>
      <c r="V26" s="23">
        <v>12711.784070098533</v>
      </c>
      <c r="W26" s="23">
        <v>13443.208413920605</v>
      </c>
      <c r="X26" s="23">
        <v>7307.5191544695772</v>
      </c>
      <c r="Y26" s="23">
        <v>9582.9615402248455</v>
      </c>
      <c r="Z26" s="23">
        <v>12272.122358165503</v>
      </c>
      <c r="AA26" s="23">
        <v>14041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5227.8318715401338</v>
      </c>
      <c r="E27" s="23">
        <v>5508.7151214048272</v>
      </c>
      <c r="F27" s="23">
        <v>5800.2965451234886</v>
      </c>
      <c r="G27" s="23">
        <v>5593.4827387776204</v>
      </c>
      <c r="H27" s="23">
        <v>5916.5221280643827</v>
      </c>
      <c r="I27" s="23">
        <v>6068.078961486668</v>
      </c>
      <c r="J27" s="23">
        <v>6854.1788461739088</v>
      </c>
      <c r="K27" s="23">
        <v>6867.7844411058904</v>
      </c>
      <c r="L27" s="23">
        <v>6722.769197510519</v>
      </c>
      <c r="M27" s="23">
        <v>6790.9203920421287</v>
      </c>
      <c r="N27" s="23">
        <v>6726.6770681121843</v>
      </c>
      <c r="O27" s="23">
        <v>6127.0726472264441</v>
      </c>
      <c r="P27" s="23">
        <v>5662.6842739342046</v>
      </c>
      <c r="Q27" s="23">
        <v>5354.5213984109414</v>
      </c>
      <c r="R27" s="23">
        <v>4922.405126621371</v>
      </c>
      <c r="S27" s="23">
        <v>5119.4517860000005</v>
      </c>
      <c r="T27" s="23">
        <v>5342.7753741565621</v>
      </c>
      <c r="U27" s="23">
        <v>5558.7344643130073</v>
      </c>
      <c r="V27" s="23">
        <v>5667.3210377532423</v>
      </c>
      <c r="W27" s="23">
        <v>5971.0729480720011</v>
      </c>
      <c r="X27" s="23">
        <v>6506.0115670739087</v>
      </c>
      <c r="Y27" s="23">
        <v>6966.3642371631331</v>
      </c>
      <c r="Z27" s="23">
        <v>6781.4877936651255</v>
      </c>
      <c r="AA27" s="23">
        <v>6778.3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7929.2837930011865</v>
      </c>
      <c r="E28" s="23">
        <v>6949.1143951438071</v>
      </c>
      <c r="F28" s="23">
        <v>7655.6263551052798</v>
      </c>
      <c r="G28" s="23">
        <v>8551.3827162991438</v>
      </c>
      <c r="H28" s="23">
        <v>10163.994446388349</v>
      </c>
      <c r="I28" s="23">
        <v>10462.703950444386</v>
      </c>
      <c r="J28" s="23">
        <v>10595.703560586302</v>
      </c>
      <c r="K28" s="23">
        <v>10383.890879025592</v>
      </c>
      <c r="L28" s="23">
        <v>9909.4046018574172</v>
      </c>
      <c r="M28" s="23">
        <v>10213.929198361615</v>
      </c>
      <c r="N28" s="23">
        <v>10048.926011784115</v>
      </c>
      <c r="O28" s="23">
        <v>9229.0362651975684</v>
      </c>
      <c r="P28" s="23">
        <v>6726.2879025832535</v>
      </c>
      <c r="Q28" s="23">
        <v>7807.9662917715759</v>
      </c>
      <c r="R28" s="23">
        <v>9236.113557751698</v>
      </c>
      <c r="S28" s="23">
        <v>8943.6205900000004</v>
      </c>
      <c r="T28" s="23">
        <v>9956.1296971234333</v>
      </c>
      <c r="U28" s="23">
        <v>10121.094184115342</v>
      </c>
      <c r="V28" s="23">
        <v>9479.9587561710068</v>
      </c>
      <c r="W28" s="23">
        <v>9314.2171925155435</v>
      </c>
      <c r="X28" s="23">
        <v>8809.0123291399541</v>
      </c>
      <c r="Y28" s="23">
        <v>9043.309612701325</v>
      </c>
      <c r="Z28" s="23">
        <v>9415.7216616609257</v>
      </c>
      <c r="AA28" s="23">
        <v>12708.3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23040.174534153815</v>
      </c>
      <c r="E29" s="23">
        <v>24350.135443464853</v>
      </c>
      <c r="F29" s="23">
        <v>26551.884189271204</v>
      </c>
      <c r="G29" s="23">
        <v>25648.520387978511</v>
      </c>
      <c r="H29" s="23">
        <v>25598.443279681593</v>
      </c>
      <c r="I29" s="23">
        <v>27844.312545111767</v>
      </c>
      <c r="J29" s="23">
        <v>29732.151098012626</v>
      </c>
      <c r="K29" s="23">
        <v>32035.432444695398</v>
      </c>
      <c r="L29" s="23">
        <v>34659.252153091496</v>
      </c>
      <c r="M29" s="23">
        <v>34898.235839672321</v>
      </c>
      <c r="N29" s="23">
        <v>35420.085179354232</v>
      </c>
      <c r="O29" s="23">
        <v>34943.327763107904</v>
      </c>
      <c r="P29" s="23">
        <v>32592.088144493187</v>
      </c>
      <c r="Q29" s="23">
        <v>31694.770883583322</v>
      </c>
      <c r="R29" s="23">
        <v>31361.087708462012</v>
      </c>
      <c r="S29" s="23">
        <v>32266.111330999996</v>
      </c>
      <c r="T29" s="23">
        <v>31715.208830602201</v>
      </c>
      <c r="U29" s="23">
        <v>31816.507813948756</v>
      </c>
      <c r="V29" s="23">
        <v>31267.825407132761</v>
      </c>
      <c r="W29" s="23">
        <v>33736.625736459311</v>
      </c>
      <c r="X29" s="23">
        <v>30977.172732954314</v>
      </c>
      <c r="Y29" s="23">
        <v>32376.847253229153</v>
      </c>
      <c r="Z29" s="23">
        <v>30903.521175213285</v>
      </c>
      <c r="AA29" s="23">
        <v>32385.8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7473.2529470640566</v>
      </c>
      <c r="E30" s="23">
        <v>7958.8604651442893</v>
      </c>
      <c r="F30" s="23">
        <v>8992.6645758438772</v>
      </c>
      <c r="G30" s="23">
        <v>9203.8192719221352</v>
      </c>
      <c r="H30" s="23">
        <v>9764.8062118660764</v>
      </c>
      <c r="I30" s="23">
        <v>9622.2990433611631</v>
      </c>
      <c r="J30" s="23">
        <v>10536.698712638883</v>
      </c>
      <c r="K30" s="23">
        <v>11283.829618463773</v>
      </c>
      <c r="L30" s="23">
        <v>10736.153631463638</v>
      </c>
      <c r="M30" s="23">
        <v>9800.324136922176</v>
      </c>
      <c r="N30" s="23">
        <v>8215.7724063162859</v>
      </c>
      <c r="O30" s="23">
        <v>7049.9762737462006</v>
      </c>
      <c r="P30" s="23">
        <v>6557.2867919094579</v>
      </c>
      <c r="Q30" s="23">
        <v>6622.4950770526984</v>
      </c>
      <c r="R30" s="23">
        <v>6141.8392217418159</v>
      </c>
      <c r="S30" s="23">
        <v>6348.2749839999997</v>
      </c>
      <c r="T30" s="23">
        <v>6068.6168697681505</v>
      </c>
      <c r="U30" s="23">
        <v>6144.1756472566103</v>
      </c>
      <c r="V30" s="23">
        <v>6288.1131040416258</v>
      </c>
      <c r="W30" s="23">
        <v>6651.0305706797772</v>
      </c>
      <c r="X30" s="23">
        <v>6479.2831760816098</v>
      </c>
      <c r="Y30" s="23">
        <v>7452.5953874980069</v>
      </c>
      <c r="Z30" s="23">
        <v>7482.6920169151117</v>
      </c>
      <c r="AA30" s="23">
        <v>8057.5999999999995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2820.9789701957293</v>
      </c>
      <c r="E31" s="23">
        <v>2763.061086621381</v>
      </c>
      <c r="F31" s="23">
        <v>2911.5714085624909</v>
      </c>
      <c r="G31" s="23">
        <v>3550.7334288668599</v>
      </c>
      <c r="H31" s="23">
        <v>3844.7998972160876</v>
      </c>
      <c r="I31" s="23">
        <v>3960.385137624562</v>
      </c>
      <c r="J31" s="23">
        <v>4104.8141202858487</v>
      </c>
      <c r="K31" s="23">
        <v>4151.4450583798825</v>
      </c>
      <c r="L31" s="23">
        <v>4993.4802945111196</v>
      </c>
      <c r="M31" s="23">
        <v>4731.1650380339379</v>
      </c>
      <c r="N31" s="23">
        <v>3494.331719066698</v>
      </c>
      <c r="O31" s="23">
        <v>3207.6792125759875</v>
      </c>
      <c r="P31" s="23">
        <v>2945.4479288861585</v>
      </c>
      <c r="Q31" s="23">
        <v>2421.4473161364908</v>
      </c>
      <c r="R31" s="23">
        <v>2768.2151636812846</v>
      </c>
      <c r="S31" s="23">
        <v>2560.636301</v>
      </c>
      <c r="T31" s="23">
        <v>2657.762281974532</v>
      </c>
      <c r="U31" s="23">
        <v>2928.9451933363903</v>
      </c>
      <c r="V31" s="23">
        <v>3162.0066042567141</v>
      </c>
      <c r="W31" s="23">
        <v>3389.7309363699164</v>
      </c>
      <c r="X31" s="23">
        <v>2655.0584099431476</v>
      </c>
      <c r="Y31" s="23">
        <v>3324.9046354249726</v>
      </c>
      <c r="Z31" s="23">
        <v>3669.4746724770139</v>
      </c>
      <c r="AA31" s="23">
        <v>3928.2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14496.381090599056</v>
      </c>
      <c r="E32" s="23">
        <v>14996.654880281316</v>
      </c>
      <c r="F32" s="23">
        <v>15522.71355338717</v>
      </c>
      <c r="G32" s="23">
        <v>16482.944309573584</v>
      </c>
      <c r="H32" s="23">
        <v>18236.232589061176</v>
      </c>
      <c r="I32" s="23">
        <v>18343.139694047954</v>
      </c>
      <c r="J32" s="23">
        <v>19400.722771895013</v>
      </c>
      <c r="K32" s="23">
        <v>20200.945423380173</v>
      </c>
      <c r="L32" s="23">
        <v>21133.399734377741</v>
      </c>
      <c r="M32" s="23">
        <v>23436.617729666465</v>
      </c>
      <c r="N32" s="23">
        <v>21561.092032052788</v>
      </c>
      <c r="O32" s="23">
        <v>20073.856485562264</v>
      </c>
      <c r="P32" s="23">
        <v>19489.422201956371</v>
      </c>
      <c r="Q32" s="23">
        <v>18015.750875353919</v>
      </c>
      <c r="R32" s="23">
        <v>18579.590827671396</v>
      </c>
      <c r="S32" s="23">
        <v>18605.097888000004</v>
      </c>
      <c r="T32" s="23">
        <v>18573.274668966569</v>
      </c>
      <c r="U32" s="23">
        <v>18647.269875184666</v>
      </c>
      <c r="V32" s="23">
        <v>18720.855453018408</v>
      </c>
      <c r="W32" s="23">
        <v>18428.67804843363</v>
      </c>
      <c r="X32" s="23">
        <v>18246.543346034417</v>
      </c>
      <c r="Y32" s="23">
        <v>18278.639131518084</v>
      </c>
      <c r="Z32" s="23">
        <v>17155.808470453852</v>
      </c>
      <c r="AA32" s="23">
        <v>16875.400000000016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7372.9908461842624</v>
      </c>
      <c r="E33" s="23">
        <v>7708.3085693982748</v>
      </c>
      <c r="F33" s="23">
        <v>9411.4686201503337</v>
      </c>
      <c r="G33" s="23">
        <v>9657.8772551531911</v>
      </c>
      <c r="H33" s="23">
        <v>10928.64896669364</v>
      </c>
      <c r="I33" s="23">
        <v>11432.203878265553</v>
      </c>
      <c r="J33" s="23">
        <v>11352.793933545459</v>
      </c>
      <c r="K33" s="23">
        <v>11825.881206517573</v>
      </c>
      <c r="L33" s="23">
        <v>12488.830684219711</v>
      </c>
      <c r="M33" s="23">
        <v>12622.204008191924</v>
      </c>
      <c r="N33" s="23">
        <v>12222.275677586613</v>
      </c>
      <c r="O33" s="23">
        <v>11831.607196998481</v>
      </c>
      <c r="P33" s="23">
        <v>11007.139565714067</v>
      </c>
      <c r="Q33" s="23">
        <v>10536.568051296623</v>
      </c>
      <c r="R33" s="23">
        <v>10198.53230389129</v>
      </c>
      <c r="S33" s="23">
        <v>9838.2102510000004</v>
      </c>
      <c r="T33" s="23">
        <v>9886.7325067221354</v>
      </c>
      <c r="U33" s="23">
        <v>9839.3310479392749</v>
      </c>
      <c r="V33" s="23">
        <v>9881.2706383022323</v>
      </c>
      <c r="W33" s="23">
        <v>9793.2624812075919</v>
      </c>
      <c r="X33" s="23">
        <v>9617.746906374743</v>
      </c>
      <c r="Y33" s="23">
        <v>9367.6905527427843</v>
      </c>
      <c r="Z33" s="23">
        <v>9452.1029214497612</v>
      </c>
      <c r="AA33" s="23">
        <v>9244.1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6065.2243129695526</v>
      </c>
      <c r="E34" s="23">
        <v>7884.5721021823965</v>
      </c>
      <c r="F34" s="23">
        <v>7875.3224823754608</v>
      </c>
      <c r="G34" s="23">
        <v>7595.047071054466</v>
      </c>
      <c r="H34" s="23">
        <v>8789.2339678964308</v>
      </c>
      <c r="I34" s="23">
        <v>10054.945129006193</v>
      </c>
      <c r="J34" s="23">
        <v>10733.777279223828</v>
      </c>
      <c r="K34" s="23">
        <v>11281.993711306943</v>
      </c>
      <c r="L34" s="23">
        <v>10786.239574810479</v>
      </c>
      <c r="M34" s="23">
        <v>10995.493475716794</v>
      </c>
      <c r="N34" s="23">
        <v>11368.406095687014</v>
      </c>
      <c r="O34" s="23">
        <v>9338.5351377279621</v>
      </c>
      <c r="P34" s="23">
        <v>8320.2731681562054</v>
      </c>
      <c r="Q34" s="23">
        <v>7654.8907742498022</v>
      </c>
      <c r="R34" s="23">
        <v>7234.5229153798637</v>
      </c>
      <c r="S34" s="23">
        <v>7503.3551339999995</v>
      </c>
      <c r="T34" s="23">
        <v>7455.983330120238</v>
      </c>
      <c r="U34" s="23">
        <v>7475.4195017576048</v>
      </c>
      <c r="V34" s="23">
        <v>7748.9443032140452</v>
      </c>
      <c r="W34" s="23">
        <v>8137.9899211734601</v>
      </c>
      <c r="X34" s="23">
        <v>7935.1201292286605</v>
      </c>
      <c r="Y34" s="23">
        <v>8831.2143826742158</v>
      </c>
      <c r="Z34" s="23">
        <v>8347.2449512631065</v>
      </c>
      <c r="AA34" s="23">
        <v>8498.7999999999993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1999.8984554171614</v>
      </c>
      <c r="E35" s="23">
        <v>2457.2726405549938</v>
      </c>
      <c r="F35" s="23">
        <v>2980.2430517297721</v>
      </c>
      <c r="G35" s="23">
        <v>2754.5331624969085</v>
      </c>
      <c r="H35" s="23">
        <v>2988.6854790386428</v>
      </c>
      <c r="I35" s="23">
        <v>3161.6633331537832</v>
      </c>
      <c r="J35" s="23">
        <v>3134.8551510093371</v>
      </c>
      <c r="K35" s="23">
        <v>3520.4667174171691</v>
      </c>
      <c r="L35" s="23">
        <v>3326.3023741202474</v>
      </c>
      <c r="M35" s="23">
        <v>3786.564540667056</v>
      </c>
      <c r="N35" s="23">
        <v>2590.2534470893238</v>
      </c>
      <c r="O35" s="23">
        <v>2591.977753609423</v>
      </c>
      <c r="P35" s="23">
        <v>2435.1672644018013</v>
      </c>
      <c r="Q35" s="23">
        <v>2482.3207557336418</v>
      </c>
      <c r="R35" s="23">
        <v>2490.6794008647307</v>
      </c>
      <c r="S35" s="23">
        <v>2544.9317629999996</v>
      </c>
      <c r="T35" s="23">
        <v>2505.4579656029618</v>
      </c>
      <c r="U35" s="23">
        <v>2791.5421824850982</v>
      </c>
      <c r="V35" s="23">
        <v>3079.8326638261265</v>
      </c>
      <c r="W35" s="23">
        <v>3068.132482426558</v>
      </c>
      <c r="X35" s="23">
        <v>2042.2555572355955</v>
      </c>
      <c r="Y35" s="23">
        <v>2288.2466662015631</v>
      </c>
      <c r="Z35" s="23">
        <v>2670.6151277846366</v>
      </c>
      <c r="AA35" s="23">
        <v>2842.8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1977.9617264729141</v>
      </c>
      <c r="E36" s="23">
        <v>2033.198480030833</v>
      </c>
      <c r="F36" s="23">
        <v>2052.710973901676</v>
      </c>
      <c r="G36" s="23">
        <v>1934.5428158787961</v>
      </c>
      <c r="H36" s="23">
        <v>2143.6457967940169</v>
      </c>
      <c r="I36" s="23">
        <v>2613.8983258820358</v>
      </c>
      <c r="J36" s="23">
        <v>2784.1502801105839</v>
      </c>
      <c r="K36" s="23">
        <v>2901.5365171711469</v>
      </c>
      <c r="L36" s="23">
        <v>3015.4164966942635</v>
      </c>
      <c r="M36" s="23">
        <v>3004.4632533645404</v>
      </c>
      <c r="N36" s="23">
        <v>2613.9631062927174</v>
      </c>
      <c r="O36" s="23">
        <v>2310.177594984802</v>
      </c>
      <c r="P36" s="23">
        <v>2425.0075337665958</v>
      </c>
      <c r="Q36" s="23">
        <v>2552.1133806197527</v>
      </c>
      <c r="R36" s="23">
        <v>2612.7815318097587</v>
      </c>
      <c r="S36" s="23">
        <v>2510.3362590000002</v>
      </c>
      <c r="T36" s="23">
        <v>2538.9441306884482</v>
      </c>
      <c r="U36" s="23">
        <v>2559.4064628865458</v>
      </c>
      <c r="V36" s="23">
        <v>2742.7446698895878</v>
      </c>
      <c r="W36" s="23">
        <v>2867.2201485108289</v>
      </c>
      <c r="X36" s="23">
        <v>2580.723657312205</v>
      </c>
      <c r="Y36" s="23">
        <v>2974.663956107479</v>
      </c>
      <c r="Z36" s="23">
        <v>2914.48489801183</v>
      </c>
      <c r="AA36" s="23">
        <v>2919.7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995.73062598853301</v>
      </c>
      <c r="E37" s="23">
        <v>1048.9462024859083</v>
      </c>
      <c r="F37" s="23">
        <v>1172.5981931929593</v>
      </c>
      <c r="G37" s="23">
        <v>1251.9209971452335</v>
      </c>
      <c r="H37" s="23">
        <v>1359.2060740918932</v>
      </c>
      <c r="I37" s="23">
        <v>1472.2717037436037</v>
      </c>
      <c r="J37" s="23">
        <v>1459.5686130092329</v>
      </c>
      <c r="K37" s="23">
        <v>1470.332144225534</v>
      </c>
      <c r="L37" s="23">
        <v>1482.6101159431532</v>
      </c>
      <c r="M37" s="23">
        <v>1543.2591866588648</v>
      </c>
      <c r="N37" s="23">
        <v>1386.7468545840206</v>
      </c>
      <c r="O37" s="23">
        <v>1092.8268522036474</v>
      </c>
      <c r="P37" s="23">
        <v>1058.2506522928647</v>
      </c>
      <c r="Q37" s="23">
        <v>862.59670725853084</v>
      </c>
      <c r="R37" s="23">
        <v>717.53424953675108</v>
      </c>
      <c r="S37" s="23">
        <v>670.28788999999995</v>
      </c>
      <c r="T37" s="23">
        <v>641.77967429354158</v>
      </c>
      <c r="U37" s="23">
        <v>632.98146517907185</v>
      </c>
      <c r="V37" s="23">
        <v>705.06406477251778</v>
      </c>
      <c r="W37" s="23">
        <v>819.8332981187275</v>
      </c>
      <c r="X37" s="23">
        <v>705.49186524736911</v>
      </c>
      <c r="Y37" s="23">
        <v>809.59131119438689</v>
      </c>
      <c r="Z37" s="23">
        <v>777.74116747434175</v>
      </c>
      <c r="AA37" s="23">
        <v>756.2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172368.41015964805</v>
      </c>
      <c r="E39" s="30">
        <f t="shared" ref="E39:S39" si="3">SUM(E18:E38)</f>
        <v>179162.69782723897</v>
      </c>
      <c r="F39" s="30">
        <f t="shared" si="3"/>
        <v>187603.62363905873</v>
      </c>
      <c r="G39" s="30">
        <f t="shared" si="3"/>
        <v>199151.75000000003</v>
      </c>
      <c r="H39" s="30">
        <f t="shared" si="3"/>
        <v>211493.11219192168</v>
      </c>
      <c r="I39" s="30">
        <f t="shared" si="3"/>
        <v>213750.45980716404</v>
      </c>
      <c r="J39" s="30">
        <f t="shared" si="3"/>
        <v>224959.72254342496</v>
      </c>
      <c r="K39" s="30">
        <f t="shared" si="3"/>
        <v>231617.01420778804</v>
      </c>
      <c r="L39" s="30">
        <f t="shared" si="3"/>
        <v>232297.17106365249</v>
      </c>
      <c r="M39" s="30">
        <f t="shared" si="3"/>
        <v>224662.7297542422</v>
      </c>
      <c r="N39" s="30">
        <f t="shared" si="3"/>
        <v>211558.39241668626</v>
      </c>
      <c r="O39" s="30">
        <f t="shared" si="3"/>
        <v>192782.1151909194</v>
      </c>
      <c r="P39" s="30">
        <f t="shared" si="3"/>
        <v>178905.42786572079</v>
      </c>
      <c r="Q39" s="30">
        <f t="shared" si="3"/>
        <v>175925.68980337607</v>
      </c>
      <c r="R39" s="30">
        <f t="shared" si="3"/>
        <v>176130.22649783819</v>
      </c>
      <c r="S39" s="30">
        <f t="shared" si="3"/>
        <v>176141.87060600001</v>
      </c>
      <c r="T39" s="30">
        <f t="shared" ref="T39:Y39" si="4">SUM(T18:T38)</f>
        <v>175531.70610927907</v>
      </c>
      <c r="U39" s="30">
        <f t="shared" si="4"/>
        <v>179473.02992816753</v>
      </c>
      <c r="V39" s="30">
        <f t="shared" si="4"/>
        <v>182571.72967306475</v>
      </c>
      <c r="W39" s="30">
        <f t="shared" si="4"/>
        <v>185806.45455893705</v>
      </c>
      <c r="X39" s="30">
        <f t="shared" si="4"/>
        <v>168900.83238881492</v>
      </c>
      <c r="Y39" s="30">
        <f t="shared" si="4"/>
        <v>182623.52032570561</v>
      </c>
      <c r="Z39" s="30">
        <f t="shared" ref="Z39:AA39" si="5">SUM(Z18:Z38)</f>
        <v>192295.08824878852</v>
      </c>
      <c r="AA39" s="30">
        <f t="shared" si="5"/>
        <v>196528.10000000003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4190.4777085804662</v>
      </c>
      <c r="E41" s="19">
        <v>4781.7308462205519</v>
      </c>
      <c r="F41" s="19">
        <v>5580.4675906905086</v>
      </c>
      <c r="G41" s="19">
        <v>5603.5871277002279</v>
      </c>
      <c r="H41" s="19">
        <v>5853.6823342882763</v>
      </c>
      <c r="I41" s="19">
        <v>6028.6026113654716</v>
      </c>
      <c r="J41" s="19">
        <v>5865.9366845756613</v>
      </c>
      <c r="K41" s="19">
        <v>5808.2365232208749</v>
      </c>
      <c r="L41" s="19">
        <v>6151.8556362332056</v>
      </c>
      <c r="M41" s="19">
        <v>6003.4490052662368</v>
      </c>
      <c r="N41" s="19">
        <v>5937.4994522743336</v>
      </c>
      <c r="O41" s="19">
        <v>5891.2122919832827</v>
      </c>
      <c r="P41" s="19">
        <v>6085.4601616572754</v>
      </c>
      <c r="Q41" s="19">
        <v>5603.4781577890335</v>
      </c>
      <c r="R41" s="19">
        <v>5806.7102532427425</v>
      </c>
      <c r="S41" s="19">
        <v>5619.6071810000003</v>
      </c>
      <c r="T41" s="19">
        <v>5767.9342012074476</v>
      </c>
      <c r="U41" s="19">
        <v>5506.9039614855583</v>
      </c>
      <c r="V41" s="19">
        <v>5651.8187199131453</v>
      </c>
      <c r="W41" s="19">
        <v>5609.5925866482476</v>
      </c>
      <c r="X41" s="19">
        <v>5610.4383976452564</v>
      </c>
      <c r="Y41" s="19">
        <v>5881.2759667517148</v>
      </c>
      <c r="Z41" s="19">
        <v>5920.4995937056628</v>
      </c>
      <c r="AA41" s="19">
        <v>6118.4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1761.1255980624753</v>
      </c>
      <c r="E42" s="23">
        <v>1486.1784494387434</v>
      </c>
      <c r="F42" s="23">
        <v>1788.7834014193006</v>
      </c>
      <c r="G42" s="23">
        <v>1822.6271157866342</v>
      </c>
      <c r="H42" s="23">
        <v>1799.333500995036</v>
      </c>
      <c r="I42" s="23">
        <v>1554.1667406409911</v>
      </c>
      <c r="J42" s="23">
        <v>1318.5268436701267</v>
      </c>
      <c r="K42" s="23">
        <v>1357.3091098832404</v>
      </c>
      <c r="L42" s="23">
        <v>1324.2988192411349</v>
      </c>
      <c r="M42" s="23">
        <v>1083.3638677589233</v>
      </c>
      <c r="N42" s="23">
        <v>978.74760593919393</v>
      </c>
      <c r="O42" s="23">
        <v>837.94201367781159</v>
      </c>
      <c r="P42" s="23">
        <v>758.3747319311517</v>
      </c>
      <c r="Q42" s="23">
        <v>671.50316244256567</v>
      </c>
      <c r="R42" s="23">
        <v>631.14444101297101</v>
      </c>
      <c r="S42" s="23">
        <v>671.42589999999996</v>
      </c>
      <c r="T42" s="23">
        <v>637.85371011110544</v>
      </c>
      <c r="U42" s="23">
        <v>629.61885985022172</v>
      </c>
      <c r="V42" s="23">
        <v>607.73748284409123</v>
      </c>
      <c r="W42" s="23">
        <v>585.62824143675596</v>
      </c>
      <c r="X42" s="23">
        <v>477.32547175517118</v>
      </c>
      <c r="Y42" s="23">
        <v>533.52725243182908</v>
      </c>
      <c r="Z42" s="23">
        <v>536.38768034493569</v>
      </c>
      <c r="AA42" s="23">
        <v>521.4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2260.6080417160933</v>
      </c>
      <c r="E43" s="23">
        <v>2688.3615334585925</v>
      </c>
      <c r="F43" s="23">
        <v>2963.2411748914515</v>
      </c>
      <c r="G43" s="23">
        <v>2714.7551250927236</v>
      </c>
      <c r="H43" s="23">
        <v>2744.4191123406308</v>
      </c>
      <c r="I43" s="23">
        <v>2724.8489372475083</v>
      </c>
      <c r="J43" s="23">
        <v>2761.8305388346985</v>
      </c>
      <c r="K43" s="23">
        <v>2836.1323247091086</v>
      </c>
      <c r="L43" s="23">
        <v>2086.5097940942669</v>
      </c>
      <c r="M43" s="23">
        <v>1873.5203042715038</v>
      </c>
      <c r="N43" s="23">
        <v>1284.5056544897477</v>
      </c>
      <c r="O43" s="23">
        <v>1059.4259128039514</v>
      </c>
      <c r="P43" s="23">
        <v>897.33362836106016</v>
      </c>
      <c r="Q43" s="23">
        <v>794.36493979798774</v>
      </c>
      <c r="R43" s="23">
        <v>889.18014206300177</v>
      </c>
      <c r="S43" s="23">
        <v>851.00387799999987</v>
      </c>
      <c r="T43" s="23">
        <v>857.93864339708796</v>
      </c>
      <c r="U43" s="23">
        <v>867.55217484334423</v>
      </c>
      <c r="V43" s="23">
        <v>913.12148841592068</v>
      </c>
      <c r="W43" s="23">
        <v>915.20307687619368</v>
      </c>
      <c r="X43" s="23">
        <v>944.44138643603071</v>
      </c>
      <c r="Y43" s="23">
        <v>1060.4761501355447</v>
      </c>
      <c r="Z43" s="23">
        <v>1063.2344539440955</v>
      </c>
      <c r="AA43" s="23">
        <v>1074.0999999999999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1030.1825400355872</v>
      </c>
      <c r="E44" s="23">
        <v>816.07548537842649</v>
      </c>
      <c r="F44" s="23">
        <v>556.67863929221721</v>
      </c>
      <c r="G44" s="23">
        <v>437.43050778879223</v>
      </c>
      <c r="H44" s="23">
        <v>552.36800905373195</v>
      </c>
      <c r="I44" s="23">
        <v>553.52708322111494</v>
      </c>
      <c r="J44" s="23">
        <v>614.74266131135573</v>
      </c>
      <c r="K44" s="23">
        <v>1087.2012694347536</v>
      </c>
      <c r="L44" s="23">
        <v>2050.6553192314404</v>
      </c>
      <c r="M44" s="23">
        <v>1208.0575775307195</v>
      </c>
      <c r="N44" s="23">
        <v>875.21900353523449</v>
      </c>
      <c r="O44" s="23">
        <v>1122.0121390577508</v>
      </c>
      <c r="P44" s="23">
        <v>1140.839430359697</v>
      </c>
      <c r="Q44" s="23">
        <v>530.58003487699978</v>
      </c>
      <c r="R44" s="23">
        <v>752.45296479308217</v>
      </c>
      <c r="S44" s="23">
        <v>1304.6146640000002</v>
      </c>
      <c r="T44" s="23">
        <v>1151.8086094059156</v>
      </c>
      <c r="U44" s="23">
        <v>1231.5252137144023</v>
      </c>
      <c r="V44" s="23">
        <v>1132.9513489153369</v>
      </c>
      <c r="W44" s="23">
        <v>602.50580228353181</v>
      </c>
      <c r="X44" s="23">
        <v>133.18309846377161</v>
      </c>
      <c r="Y44" s="23">
        <v>726.22767800191355</v>
      </c>
      <c r="Z44" s="23">
        <v>2392.3561552210208</v>
      </c>
      <c r="AA44" s="23">
        <v>1933.8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862.14157152036375</v>
      </c>
      <c r="E45" s="23">
        <v>971.77950811774338</v>
      </c>
      <c r="F45" s="23">
        <v>768.93644544563233</v>
      </c>
      <c r="G45" s="23">
        <v>926.6619967630993</v>
      </c>
      <c r="H45" s="23">
        <v>952.92503116320779</v>
      </c>
      <c r="I45" s="23">
        <v>968.39655157554523</v>
      </c>
      <c r="J45" s="23">
        <v>1051.5210025559441</v>
      </c>
      <c r="K45" s="23">
        <v>1040.7298695275163</v>
      </c>
      <c r="L45" s="23">
        <v>1061.9543847063615</v>
      </c>
      <c r="M45" s="23">
        <v>964.14765944997077</v>
      </c>
      <c r="N45" s="23">
        <v>822.54279236389345</v>
      </c>
      <c r="O45" s="23">
        <v>787.57037044072945</v>
      </c>
      <c r="P45" s="23">
        <v>671.08844400072951</v>
      </c>
      <c r="Q45" s="23">
        <v>758.01925974547635</v>
      </c>
      <c r="R45" s="23">
        <v>814.92118591723272</v>
      </c>
      <c r="S45" s="23">
        <v>970.38112699999999</v>
      </c>
      <c r="T45" s="23">
        <v>956.78056516665822</v>
      </c>
      <c r="U45" s="23">
        <v>1039.8567099699426</v>
      </c>
      <c r="V45" s="23">
        <v>1021.2880369543398</v>
      </c>
      <c r="W45" s="23">
        <v>1034.8487993173785</v>
      </c>
      <c r="X45" s="23">
        <v>1149.3208126688439</v>
      </c>
      <c r="Y45" s="23">
        <v>1229.358394793494</v>
      </c>
      <c r="Z45" s="23">
        <v>1173.0073040850548</v>
      </c>
      <c r="AA45" s="23">
        <v>1149.9000000000001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1143.1004460755239</v>
      </c>
      <c r="E46" s="23">
        <v>1601.5858324902442</v>
      </c>
      <c r="F46" s="23">
        <v>1429.4859260469675</v>
      </c>
      <c r="G46" s="23">
        <v>1488.7985703688719</v>
      </c>
      <c r="H46" s="23">
        <v>1492.4762109913183</v>
      </c>
      <c r="I46" s="23">
        <v>1489.4353342310801</v>
      </c>
      <c r="J46" s="23">
        <v>1465.3859923843306</v>
      </c>
      <c r="K46" s="23">
        <v>1319.4435247736394</v>
      </c>
      <c r="L46" s="23">
        <v>1118.4389727979526</v>
      </c>
      <c r="M46" s="23">
        <v>1168.3188414277354</v>
      </c>
      <c r="N46" s="23">
        <v>1093.5409785529107</v>
      </c>
      <c r="O46" s="23">
        <v>878.80141527355624</v>
      </c>
      <c r="P46" s="23">
        <v>851.12324063318977</v>
      </c>
      <c r="Q46" s="23">
        <v>1061.2715595701115</v>
      </c>
      <c r="R46" s="23">
        <v>871.26729462631249</v>
      </c>
      <c r="S46" s="23">
        <v>866.4808139999999</v>
      </c>
      <c r="T46" s="23">
        <v>846.04528131500183</v>
      </c>
      <c r="U46" s="23">
        <v>843.55012990982743</v>
      </c>
      <c r="V46" s="23">
        <v>915.21954646946779</v>
      </c>
      <c r="W46" s="23">
        <v>973.00294278980959</v>
      </c>
      <c r="X46" s="23">
        <v>1104.4675900165316</v>
      </c>
      <c r="Y46" s="23">
        <v>1156.5428131478234</v>
      </c>
      <c r="Z46" s="23">
        <v>1178.5640959260011</v>
      </c>
      <c r="AA46" s="23">
        <v>1152.7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2324.0276875741401</v>
      </c>
      <c r="E47" s="23">
        <v>2556.9177325721444</v>
      </c>
      <c r="F47" s="23">
        <v>2510.1677225827534</v>
      </c>
      <c r="G47" s="23">
        <v>2832.1706824465577</v>
      </c>
      <c r="H47" s="23">
        <v>2566.850031709931</v>
      </c>
      <c r="I47" s="23">
        <v>2303.7270035012116</v>
      </c>
      <c r="J47" s="23">
        <v>2517.5006050805905</v>
      </c>
      <c r="K47" s="23">
        <v>2337.1098106434897</v>
      </c>
      <c r="L47" s="23">
        <v>2399.1608148981136</v>
      </c>
      <c r="M47" s="23">
        <v>2138.1588063194849</v>
      </c>
      <c r="N47" s="23">
        <v>2124.7502286118311</v>
      </c>
      <c r="O47" s="23">
        <v>1647.0230214665653</v>
      </c>
      <c r="P47" s="23">
        <v>1402.0428276583696</v>
      </c>
      <c r="Q47" s="23">
        <v>1385.3724550076906</v>
      </c>
      <c r="R47" s="23">
        <v>1502.865225447807</v>
      </c>
      <c r="S47" s="23">
        <v>1563.0567349999999</v>
      </c>
      <c r="T47" s="23">
        <v>1603.6408989904114</v>
      </c>
      <c r="U47" s="23">
        <v>1602.6872708747264</v>
      </c>
      <c r="V47" s="23">
        <v>1643.1291322694965</v>
      </c>
      <c r="W47" s="23">
        <v>1706.7144406972493</v>
      </c>
      <c r="X47" s="23">
        <v>1706.7167432764807</v>
      </c>
      <c r="Y47" s="23">
        <v>1751.2033965874664</v>
      </c>
      <c r="Z47" s="23">
        <v>1731.0979261484035</v>
      </c>
      <c r="AA47" s="23">
        <v>1834.1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2407.4153815737445</v>
      </c>
      <c r="E48" s="23">
        <v>2645.8718793659973</v>
      </c>
      <c r="F48" s="23">
        <v>2695.0631331994955</v>
      </c>
      <c r="G48" s="23">
        <v>2887.5529660350212</v>
      </c>
      <c r="H48" s="23">
        <v>3147.8381448597111</v>
      </c>
      <c r="I48" s="23">
        <v>3589.5281217344464</v>
      </c>
      <c r="J48" s="23">
        <v>3768.474614782745</v>
      </c>
      <c r="K48" s="23">
        <v>4338.1338673899454</v>
      </c>
      <c r="L48" s="23">
        <v>3781.8196870698184</v>
      </c>
      <c r="M48" s="23">
        <v>3032.2803686366296</v>
      </c>
      <c r="N48" s="23">
        <v>3255.4113070940375</v>
      </c>
      <c r="O48" s="23">
        <v>3088.1276301291791</v>
      </c>
      <c r="P48" s="23">
        <v>2421.8394457190584</v>
      </c>
      <c r="Q48" s="23">
        <v>2318.0962566006683</v>
      </c>
      <c r="R48" s="23">
        <v>2108.3874922791847</v>
      </c>
      <c r="S48" s="23">
        <v>2136.3861729999999</v>
      </c>
      <c r="T48" s="23">
        <v>2042.3096616102684</v>
      </c>
      <c r="U48" s="23">
        <v>2242.3939467114988</v>
      </c>
      <c r="V48" s="23">
        <v>2690.9925712354302</v>
      </c>
      <c r="W48" s="23">
        <v>2548.5116878631507</v>
      </c>
      <c r="X48" s="23">
        <v>2514.0747510181041</v>
      </c>
      <c r="Y48" s="23">
        <v>2662.4189463402968</v>
      </c>
      <c r="Z48" s="23">
        <v>2807.542866355881</v>
      </c>
      <c r="AA48" s="23">
        <v>2713.6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462.07750840253067</v>
      </c>
      <c r="E49" s="23">
        <v>574.7068374524257</v>
      </c>
      <c r="F49" s="23">
        <v>447.89319295952185</v>
      </c>
      <c r="G49" s="23">
        <v>428.47725178141928</v>
      </c>
      <c r="H49" s="23">
        <v>236.05364117479829</v>
      </c>
      <c r="I49" s="23">
        <v>324.63781093455424</v>
      </c>
      <c r="J49" s="23">
        <v>268.78667153513123</v>
      </c>
      <c r="K49" s="23">
        <v>283.53291153279963</v>
      </c>
      <c r="L49" s="23">
        <v>257.04900440118661</v>
      </c>
      <c r="M49" s="23">
        <v>186.23504973668813</v>
      </c>
      <c r="N49" s="23">
        <v>265.84857695027102</v>
      </c>
      <c r="O49" s="23">
        <v>190.13673917173253</v>
      </c>
      <c r="P49" s="23">
        <v>232.69060487083738</v>
      </c>
      <c r="Q49" s="23">
        <v>206.25615980719684</v>
      </c>
      <c r="R49" s="23">
        <v>225.04431747992587</v>
      </c>
      <c r="S49" s="23">
        <v>227.14679599999999</v>
      </c>
      <c r="T49" s="23">
        <v>262.3467830145604</v>
      </c>
      <c r="U49" s="23">
        <v>267.84890722909984</v>
      </c>
      <c r="V49" s="23">
        <v>299.32294897269395</v>
      </c>
      <c r="W49" s="23">
        <v>270.50337247572224</v>
      </c>
      <c r="X49" s="23">
        <v>313.05484557074311</v>
      </c>
      <c r="Y49" s="23">
        <v>475.34283906075592</v>
      </c>
      <c r="Z49" s="23">
        <v>489.62675277772661</v>
      </c>
      <c r="AA49" s="23">
        <v>496.6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346.06596110122575</v>
      </c>
      <c r="E50" s="23">
        <v>412.28670809847284</v>
      </c>
      <c r="F50" s="23">
        <v>363.94642607031136</v>
      </c>
      <c r="G50" s="23">
        <v>437.302604131544</v>
      </c>
      <c r="H50" s="23">
        <v>549.5059986441272</v>
      </c>
      <c r="I50" s="23">
        <v>492.96398707244816</v>
      </c>
      <c r="J50" s="23">
        <v>634.45051796985035</v>
      </c>
      <c r="K50" s="23">
        <v>675.2696011212164</v>
      </c>
      <c r="L50" s="23">
        <v>628.17039959671945</v>
      </c>
      <c r="M50" s="23">
        <v>427.88952603861901</v>
      </c>
      <c r="N50" s="23">
        <v>527.29852934244639</v>
      </c>
      <c r="O50" s="23">
        <v>519.49810600303954</v>
      </c>
      <c r="P50" s="23">
        <v>499.68395618742261</v>
      </c>
      <c r="Q50" s="23">
        <v>403.25866487709777</v>
      </c>
      <c r="R50" s="23">
        <v>366.8732550957381</v>
      </c>
      <c r="S50" s="23">
        <v>395.91367899999995</v>
      </c>
      <c r="T50" s="23">
        <v>372.04284105321898</v>
      </c>
      <c r="U50" s="23">
        <v>455.11123847368697</v>
      </c>
      <c r="V50" s="23">
        <v>496.77352356760969</v>
      </c>
      <c r="W50" s="23">
        <v>601.46540469708668</v>
      </c>
      <c r="X50" s="23">
        <v>639.41652957542033</v>
      </c>
      <c r="Y50" s="23">
        <v>921.76360129963336</v>
      </c>
      <c r="Z50" s="23">
        <v>985.22967791269753</v>
      </c>
      <c r="AA50" s="23">
        <v>792.7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514.95064996045869</v>
      </c>
      <c r="E51" s="23">
        <v>535.91789516789515</v>
      </c>
      <c r="F51" s="23">
        <v>516.1663546384051</v>
      </c>
      <c r="G51" s="23">
        <v>552.67170296940685</v>
      </c>
      <c r="H51" s="23">
        <v>560.58073457694582</v>
      </c>
      <c r="I51" s="23">
        <v>629.04705736601124</v>
      </c>
      <c r="J51" s="23">
        <v>628.03952845443644</v>
      </c>
      <c r="K51" s="23">
        <v>574.06521910101037</v>
      </c>
      <c r="L51" s="23">
        <v>718.30303332880942</v>
      </c>
      <c r="M51" s="23">
        <v>607.03604447045052</v>
      </c>
      <c r="N51" s="23">
        <v>533.09183973603581</v>
      </c>
      <c r="O51" s="23">
        <v>448.04820003799392</v>
      </c>
      <c r="P51" s="23">
        <v>404.53207034587365</v>
      </c>
      <c r="Q51" s="23">
        <v>374.94025158465024</v>
      </c>
      <c r="R51" s="23">
        <v>386.7134342186535</v>
      </c>
      <c r="S51" s="23">
        <v>378.38832500000001</v>
      </c>
      <c r="T51" s="23">
        <v>386.47653290041092</v>
      </c>
      <c r="U51" s="23">
        <v>420.44161801416277</v>
      </c>
      <c r="V51" s="23">
        <v>431.73372390765513</v>
      </c>
      <c r="W51" s="23">
        <v>448.64255922148641</v>
      </c>
      <c r="X51" s="23">
        <v>415.83870106044111</v>
      </c>
      <c r="Y51" s="23">
        <v>454.92725542178289</v>
      </c>
      <c r="Z51" s="23">
        <v>496.54653129664098</v>
      </c>
      <c r="AA51" s="23">
        <v>501.3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482.04555654408858</v>
      </c>
      <c r="E52" s="23">
        <v>487.67157826275474</v>
      </c>
      <c r="F52" s="23">
        <v>563.7184789205844</v>
      </c>
      <c r="G52" s="23">
        <v>629.28599366106948</v>
      </c>
      <c r="H52" s="23">
        <v>622.42504647145017</v>
      </c>
      <c r="I52" s="23">
        <v>612.37381632103416</v>
      </c>
      <c r="J52" s="23">
        <v>783.32794116112882</v>
      </c>
      <c r="K52" s="23">
        <v>718.87239609590836</v>
      </c>
      <c r="L52" s="23">
        <v>590.33013843379808</v>
      </c>
      <c r="M52" s="23">
        <v>633.77913984786426</v>
      </c>
      <c r="N52" s="23">
        <v>342.01988027339149</v>
      </c>
      <c r="O52" s="23">
        <v>429.45609137537991</v>
      </c>
      <c r="P52" s="23">
        <v>174.90030910714114</v>
      </c>
      <c r="Q52" s="23">
        <v>357.99379953562652</v>
      </c>
      <c r="R52" s="23">
        <v>260.18977764051886</v>
      </c>
      <c r="S52" s="23">
        <v>456.11440800000003</v>
      </c>
      <c r="T52" s="23">
        <v>404.9516584648166</v>
      </c>
      <c r="U52" s="23">
        <v>472.38807274950329</v>
      </c>
      <c r="V52" s="23">
        <v>546.3110053874675</v>
      </c>
      <c r="W52" s="23">
        <v>550.48592296127754</v>
      </c>
      <c r="X52" s="23">
        <v>450.59708076287245</v>
      </c>
      <c r="Y52" s="23">
        <v>466.83634587785048</v>
      </c>
      <c r="Z52" s="23">
        <v>504.51476110629989</v>
      </c>
      <c r="AA52" s="23">
        <v>491.1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1443.1836484282289</v>
      </c>
      <c r="E53" s="23">
        <v>1466.0301295948409</v>
      </c>
      <c r="F53" s="23">
        <v>1508.5180879125994</v>
      </c>
      <c r="G53" s="23">
        <v>1496.8565007755042</v>
      </c>
      <c r="H53" s="23">
        <v>1607.7032387867127</v>
      </c>
      <c r="I53" s="23">
        <v>1493.9714365742013</v>
      </c>
      <c r="J53" s="23">
        <v>1548.0165239163296</v>
      </c>
      <c r="K53" s="23">
        <v>1362.5873429591281</v>
      </c>
      <c r="L53" s="23">
        <v>1239.682258564869</v>
      </c>
      <c r="M53" s="23">
        <v>1239.311556465771</v>
      </c>
      <c r="N53" s="23">
        <v>1207.4760829601735</v>
      </c>
      <c r="O53" s="23">
        <v>1023.3226320288722</v>
      </c>
      <c r="P53" s="23">
        <v>983.8552053834585</v>
      </c>
      <c r="Q53" s="23">
        <v>985.2355049817296</v>
      </c>
      <c r="R53" s="23">
        <v>940.87798023471237</v>
      </c>
      <c r="S53" s="23">
        <v>1111.3805660000003</v>
      </c>
      <c r="T53" s="23">
        <v>1041.650673228143</v>
      </c>
      <c r="U53" s="23">
        <v>910.45438076315543</v>
      </c>
      <c r="V53" s="23">
        <v>874.19085564455008</v>
      </c>
      <c r="W53" s="23">
        <v>934.97063101864944</v>
      </c>
      <c r="X53" s="23">
        <v>737.61182008790172</v>
      </c>
      <c r="Y53" s="23">
        <v>821.04672201403048</v>
      </c>
      <c r="Z53" s="23">
        <v>671.42820659283745</v>
      </c>
      <c r="AA53" s="23">
        <v>881.30000000000291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19227.402299574926</v>
      </c>
      <c r="E54" s="30">
        <f t="shared" ref="E54:S54" si="6">SUM(E41:E53)</f>
        <v>21025.114415618827</v>
      </c>
      <c r="F54" s="30">
        <f t="shared" si="6"/>
        <v>21693.066574069744</v>
      </c>
      <c r="G54" s="30">
        <f t="shared" si="6"/>
        <v>22258.178145300873</v>
      </c>
      <c r="H54" s="30">
        <f t="shared" si="6"/>
        <v>22686.16103505588</v>
      </c>
      <c r="I54" s="30">
        <f t="shared" si="6"/>
        <v>22765.226491785616</v>
      </c>
      <c r="J54" s="30">
        <f t="shared" si="6"/>
        <v>23226.540126232328</v>
      </c>
      <c r="K54" s="30">
        <f t="shared" si="6"/>
        <v>23738.623770392631</v>
      </c>
      <c r="L54" s="30">
        <f t="shared" si="6"/>
        <v>23408.228262597673</v>
      </c>
      <c r="M54" s="30">
        <f t="shared" si="6"/>
        <v>20565.5477472206</v>
      </c>
      <c r="N54" s="30">
        <f t="shared" si="6"/>
        <v>19247.951932123495</v>
      </c>
      <c r="O54" s="30">
        <f t="shared" si="6"/>
        <v>17922.576563449846</v>
      </c>
      <c r="P54" s="30">
        <f t="shared" si="6"/>
        <v>16523.764056215263</v>
      </c>
      <c r="Q54" s="30">
        <f t="shared" si="6"/>
        <v>15450.370206616837</v>
      </c>
      <c r="R54" s="30">
        <f t="shared" si="6"/>
        <v>15556.62776405188</v>
      </c>
      <c r="S54" s="30">
        <f t="shared" si="6"/>
        <v>16551.900246000001</v>
      </c>
      <c r="T54" s="30">
        <f t="shared" ref="T54:Y54" si="7">SUM(T41:T53)</f>
        <v>16331.780059865048</v>
      </c>
      <c r="U54" s="30">
        <f t="shared" si="7"/>
        <v>16490.332484589129</v>
      </c>
      <c r="V54" s="30">
        <f t="shared" si="7"/>
        <v>17224.590384497205</v>
      </c>
      <c r="W54" s="30">
        <f t="shared" si="7"/>
        <v>16782.075468286537</v>
      </c>
      <c r="X54" s="30">
        <f t="shared" si="7"/>
        <v>16196.487228337568</v>
      </c>
      <c r="Y54" s="30">
        <f t="shared" si="7"/>
        <v>18140.947361864135</v>
      </c>
      <c r="Z54" s="30">
        <f t="shared" ref="Z54:AA54" si="8">SUM(Z41:Z53)</f>
        <v>19950.036005417263</v>
      </c>
      <c r="AA54" s="30">
        <f t="shared" si="8"/>
        <v>19661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4190.4777085804662</v>
      </c>
      <c r="E56" s="19">
        <v>4781.7308462205519</v>
      </c>
      <c r="F56" s="19">
        <v>5580.4675906905086</v>
      </c>
      <c r="G56" s="19">
        <v>5603.5871277002279</v>
      </c>
      <c r="H56" s="19">
        <v>5853.6823342882763</v>
      </c>
      <c r="I56" s="19">
        <v>6028.6026113654716</v>
      </c>
      <c r="J56" s="19">
        <v>5865.9366845756613</v>
      </c>
      <c r="K56" s="19">
        <v>5808.2365232208749</v>
      </c>
      <c r="L56" s="19">
        <v>6151.8556362332056</v>
      </c>
      <c r="M56" s="19">
        <v>6003.4490052662368</v>
      </c>
      <c r="N56" s="19">
        <v>5937.4994522743336</v>
      </c>
      <c r="O56" s="19">
        <v>5891.2122919832827</v>
      </c>
      <c r="P56" s="19">
        <v>6085.4601616572754</v>
      </c>
      <c r="Q56" s="19">
        <v>5603.4781577890335</v>
      </c>
      <c r="R56" s="19">
        <v>5806.7102532427425</v>
      </c>
      <c r="S56" s="19">
        <v>5619.6071810000003</v>
      </c>
      <c r="T56" s="19">
        <v>5767.9342012074476</v>
      </c>
      <c r="U56" s="19">
        <v>5506.9039614855583</v>
      </c>
      <c r="V56" s="19">
        <v>5651.8187199131453</v>
      </c>
      <c r="W56" s="19">
        <v>5609.5925866482476</v>
      </c>
      <c r="X56" s="19">
        <v>5610.4383976452564</v>
      </c>
      <c r="Y56" s="19">
        <v>5881.2759667517148</v>
      </c>
      <c r="Z56" s="19">
        <v>5920.4995937056628</v>
      </c>
      <c r="AA56" s="19">
        <v>6118.4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1761.1255980624753</v>
      </c>
      <c r="E57" s="23">
        <v>1486.1784494387434</v>
      </c>
      <c r="F57" s="23">
        <v>1788.7834014193006</v>
      </c>
      <c r="G57" s="23">
        <v>1822.6271157866342</v>
      </c>
      <c r="H57" s="23">
        <v>1799.333500995036</v>
      </c>
      <c r="I57" s="23">
        <v>1554.1667406409911</v>
      </c>
      <c r="J57" s="23">
        <v>1318.5268436701267</v>
      </c>
      <c r="K57" s="23">
        <v>1357.3091098832404</v>
      </c>
      <c r="L57" s="23">
        <v>1324.2988192411349</v>
      </c>
      <c r="M57" s="23">
        <v>1083.3638677589233</v>
      </c>
      <c r="N57" s="23">
        <v>978.74760593919393</v>
      </c>
      <c r="O57" s="23">
        <v>837.94201367781159</v>
      </c>
      <c r="P57" s="23">
        <v>758.3747319311517</v>
      </c>
      <c r="Q57" s="23">
        <v>671.50316244256567</v>
      </c>
      <c r="R57" s="23">
        <v>631.14444101297101</v>
      </c>
      <c r="S57" s="23">
        <v>671.42589999999996</v>
      </c>
      <c r="T57" s="23">
        <v>637.85371011110544</v>
      </c>
      <c r="U57" s="23">
        <v>629.61885985022172</v>
      </c>
      <c r="V57" s="23">
        <v>607.73748284409123</v>
      </c>
      <c r="W57" s="23">
        <v>585.62824143675596</v>
      </c>
      <c r="X57" s="23">
        <v>477.32547175517118</v>
      </c>
      <c r="Y57" s="23">
        <v>533.52725243182908</v>
      </c>
      <c r="Z57" s="23">
        <v>536.38768034493569</v>
      </c>
      <c r="AA57" s="23">
        <v>521.4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553.33992561289051</v>
      </c>
      <c r="E58" s="23">
        <v>673.80367586838179</v>
      </c>
      <c r="F58" s="23">
        <v>816.09008823941349</v>
      </c>
      <c r="G58" s="23">
        <v>771.25905320655477</v>
      </c>
      <c r="H58" s="23">
        <v>786.05738075972636</v>
      </c>
      <c r="I58" s="23">
        <v>790.99817075141391</v>
      </c>
      <c r="J58" s="23">
        <v>730.73408272912218</v>
      </c>
      <c r="K58" s="23">
        <v>636.60080663050269</v>
      </c>
      <c r="L58" s="23">
        <v>711.13213835624413</v>
      </c>
      <c r="M58" s="23">
        <v>653.00409596255111</v>
      </c>
      <c r="N58" s="23">
        <v>353.92835163799197</v>
      </c>
      <c r="O58" s="23">
        <v>260.18142762158055</v>
      </c>
      <c r="P58" s="23">
        <v>169.32884392009294</v>
      </c>
      <c r="Q58" s="23">
        <v>119.62857268817416</v>
      </c>
      <c r="R58" s="23">
        <v>106.68347745521926</v>
      </c>
      <c r="S58" s="23">
        <v>98.096462000000002</v>
      </c>
      <c r="T58" s="23">
        <v>106.57838059966515</v>
      </c>
      <c r="U58" s="23">
        <v>112.47335065464365</v>
      </c>
      <c r="V58" s="23">
        <v>120.75489685970052</v>
      </c>
      <c r="W58" s="23">
        <v>127.85330340091829</v>
      </c>
      <c r="X58" s="23">
        <v>152.56978549252045</v>
      </c>
      <c r="Y58" s="23">
        <v>149.71428001913571</v>
      </c>
      <c r="Z58" s="23">
        <v>167.12313574468871</v>
      </c>
      <c r="AA58" s="23">
        <v>192.8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513.82568950177927</v>
      </c>
      <c r="E59" s="23">
        <v>469.99039962422313</v>
      </c>
      <c r="F59" s="23">
        <v>554.28775036182822</v>
      </c>
      <c r="G59" s="23">
        <v>494.09182794973816</v>
      </c>
      <c r="H59" s="23">
        <v>474.84485752400121</v>
      </c>
      <c r="I59" s="23">
        <v>455.6943894424993</v>
      </c>
      <c r="J59" s="23">
        <v>448.65054405091024</v>
      </c>
      <c r="K59" s="23">
        <v>537.92079695093673</v>
      </c>
      <c r="L59" s="23">
        <v>507.36839967427341</v>
      </c>
      <c r="M59" s="23">
        <v>399.75020479812753</v>
      </c>
      <c r="N59" s="23">
        <v>355.32303747348573</v>
      </c>
      <c r="O59" s="23">
        <v>331.09086531155015</v>
      </c>
      <c r="P59" s="23">
        <v>310.69111748951241</v>
      </c>
      <c r="Q59" s="23">
        <v>313.28638327471521</v>
      </c>
      <c r="R59" s="23">
        <v>403.15243977764055</v>
      </c>
      <c r="S59" s="23">
        <v>409.911202</v>
      </c>
      <c r="T59" s="23">
        <v>405.18259753437167</v>
      </c>
      <c r="U59" s="23">
        <v>406.52738906719657</v>
      </c>
      <c r="V59" s="23">
        <v>435.11392854948076</v>
      </c>
      <c r="W59" s="23">
        <v>429.68420320182037</v>
      </c>
      <c r="X59" s="23">
        <v>461.83906495705821</v>
      </c>
      <c r="Y59" s="23">
        <v>544.75582343326425</v>
      </c>
      <c r="Z59" s="23">
        <v>533.76655211807417</v>
      </c>
      <c r="AA59" s="23">
        <v>550.79999999999995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1193.4424266014234</v>
      </c>
      <c r="E60" s="23">
        <v>1544.5674579659874</v>
      </c>
      <c r="F60" s="23">
        <v>1592.8633362902096</v>
      </c>
      <c r="G60" s="23">
        <v>1449.4042439364309</v>
      </c>
      <c r="H60" s="23">
        <v>1483.5168740569029</v>
      </c>
      <c r="I60" s="23">
        <v>1478.1563770535952</v>
      </c>
      <c r="J60" s="23">
        <v>1582.4459120546662</v>
      </c>
      <c r="K60" s="23">
        <v>1661.6107211276694</v>
      </c>
      <c r="L60" s="23">
        <v>868.00925606374938</v>
      </c>
      <c r="M60" s="23">
        <v>820.76600351082504</v>
      </c>
      <c r="N60" s="23">
        <v>575.25426537827013</v>
      </c>
      <c r="O60" s="23">
        <v>468.15361987082071</v>
      </c>
      <c r="P60" s="23">
        <v>417.31366695145482</v>
      </c>
      <c r="Q60" s="23">
        <v>361.44998383509841</v>
      </c>
      <c r="R60" s="23">
        <v>379.34422483014197</v>
      </c>
      <c r="S60" s="23">
        <v>342.99621399999995</v>
      </c>
      <c r="T60" s="23">
        <v>346.1776652630511</v>
      </c>
      <c r="U60" s="23">
        <v>348.55143512150397</v>
      </c>
      <c r="V60" s="23">
        <v>357.25266300673951</v>
      </c>
      <c r="W60" s="23">
        <v>357.6655702734551</v>
      </c>
      <c r="X60" s="23">
        <v>330.0325359864521</v>
      </c>
      <c r="Y60" s="23">
        <v>366.00604668314475</v>
      </c>
      <c r="Z60" s="23">
        <v>362.34476608133264</v>
      </c>
      <c r="AA60" s="23">
        <v>330.5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1030.1825400355872</v>
      </c>
      <c r="E61" s="23">
        <v>816.07548537842649</v>
      </c>
      <c r="F61" s="23">
        <v>556.67863929221721</v>
      </c>
      <c r="G61" s="23">
        <v>437.43050778879223</v>
      </c>
      <c r="H61" s="23">
        <v>552.36800905373195</v>
      </c>
      <c r="I61" s="23">
        <v>553.52708322111494</v>
      </c>
      <c r="J61" s="23">
        <v>614.74266131135573</v>
      </c>
      <c r="K61" s="23">
        <v>1087.2012694347536</v>
      </c>
      <c r="L61" s="23">
        <v>2050.6553192314404</v>
      </c>
      <c r="M61" s="23">
        <v>1208.0575775307195</v>
      </c>
      <c r="N61" s="23">
        <v>875.21900353523449</v>
      </c>
      <c r="O61" s="23">
        <v>1122.0121390577508</v>
      </c>
      <c r="P61" s="23">
        <v>1140.839430359697</v>
      </c>
      <c r="Q61" s="23">
        <v>530.58003487699978</v>
      </c>
      <c r="R61" s="23">
        <v>752.45296479308217</v>
      </c>
      <c r="S61" s="23">
        <v>1304.6146640000002</v>
      </c>
      <c r="T61" s="23">
        <v>1151.8086094059156</v>
      </c>
      <c r="U61" s="23">
        <v>1231.5252137144023</v>
      </c>
      <c r="V61" s="23">
        <v>1132.9513489153369</v>
      </c>
      <c r="W61" s="23">
        <v>602.50580228353181</v>
      </c>
      <c r="X61" s="23">
        <v>133.18309846377161</v>
      </c>
      <c r="Y61" s="23">
        <v>726.22767800191355</v>
      </c>
      <c r="Z61" s="23">
        <v>2392.3561552210208</v>
      </c>
      <c r="AA61" s="23">
        <v>1933.8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862.14157152036375</v>
      </c>
      <c r="E62" s="23">
        <v>971.77950811774338</v>
      </c>
      <c r="F62" s="23">
        <v>768.93644544563233</v>
      </c>
      <c r="G62" s="23">
        <v>926.6619967630993</v>
      </c>
      <c r="H62" s="23">
        <v>952.92503116320779</v>
      </c>
      <c r="I62" s="23">
        <v>968.39655157554523</v>
      </c>
      <c r="J62" s="23">
        <v>1051.5210025559441</v>
      </c>
      <c r="K62" s="23">
        <v>1040.7298695275163</v>
      </c>
      <c r="L62" s="23">
        <v>1061.9543847063615</v>
      </c>
      <c r="M62" s="23">
        <v>964.14765944997077</v>
      </c>
      <c r="N62" s="23">
        <v>822.54279236389345</v>
      </c>
      <c r="O62" s="23">
        <v>787.57037044072945</v>
      </c>
      <c r="P62" s="23">
        <v>671.08844400072951</v>
      </c>
      <c r="Q62" s="23">
        <v>758.01925974547635</v>
      </c>
      <c r="R62" s="23">
        <v>814.92118591723272</v>
      </c>
      <c r="S62" s="23">
        <v>970.38112699999999</v>
      </c>
      <c r="T62" s="23">
        <v>956.78056516665822</v>
      </c>
      <c r="U62" s="23">
        <v>1039.8567099699426</v>
      </c>
      <c r="V62" s="23">
        <v>1021.2880369543398</v>
      </c>
      <c r="W62" s="23">
        <v>1034.8487993173785</v>
      </c>
      <c r="X62" s="23">
        <v>1149.3208126688439</v>
      </c>
      <c r="Y62" s="23">
        <v>1229.358394793494</v>
      </c>
      <c r="Z62" s="23">
        <v>1173.0073040850548</v>
      </c>
      <c r="AA62" s="23">
        <v>1149.9000000000001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1143.1004460755239</v>
      </c>
      <c r="E63" s="23">
        <v>1601.5858324902442</v>
      </c>
      <c r="F63" s="23">
        <v>1429.4859260469675</v>
      </c>
      <c r="G63" s="23">
        <v>1488.7985703688719</v>
      </c>
      <c r="H63" s="23">
        <v>1492.4762109913183</v>
      </c>
      <c r="I63" s="23">
        <v>1489.4353342310801</v>
      </c>
      <c r="J63" s="23">
        <v>1465.3859923843306</v>
      </c>
      <c r="K63" s="23">
        <v>1319.4435247736394</v>
      </c>
      <c r="L63" s="23">
        <v>1118.4389727979526</v>
      </c>
      <c r="M63" s="23">
        <v>1168.3188414277354</v>
      </c>
      <c r="N63" s="23">
        <v>1093.5409785529107</v>
      </c>
      <c r="O63" s="23">
        <v>878.80141527355624</v>
      </c>
      <c r="P63" s="23">
        <v>851.12324063318977</v>
      </c>
      <c r="Q63" s="23">
        <v>1061.2715595701115</v>
      </c>
      <c r="R63" s="23">
        <v>871.26729462631249</v>
      </c>
      <c r="S63" s="23">
        <v>866.4808139999999</v>
      </c>
      <c r="T63" s="23">
        <v>846.04528131500183</v>
      </c>
      <c r="U63" s="23">
        <v>843.55012990982743</v>
      </c>
      <c r="V63" s="23">
        <v>915.21954646946779</v>
      </c>
      <c r="W63" s="23">
        <v>973.00294278980959</v>
      </c>
      <c r="X63" s="23">
        <v>1104.4675900165316</v>
      </c>
      <c r="Y63" s="23">
        <v>1156.5428131478234</v>
      </c>
      <c r="Z63" s="23">
        <v>1178.5640959260011</v>
      </c>
      <c r="AA63" s="23">
        <v>1152.7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431.70357601818898</v>
      </c>
      <c r="E64" s="23">
        <v>576.35159825600999</v>
      </c>
      <c r="F64" s="23">
        <v>577.53250385172043</v>
      </c>
      <c r="G64" s="23">
        <v>595.2636208330523</v>
      </c>
      <c r="H64" s="23">
        <v>590.32075578979607</v>
      </c>
      <c r="I64" s="23">
        <v>542.73851548612981</v>
      </c>
      <c r="J64" s="23">
        <v>615.69243753586147</v>
      </c>
      <c r="K64" s="23">
        <v>579.45819637419595</v>
      </c>
      <c r="L64" s="23">
        <v>668.2170899819688</v>
      </c>
      <c r="M64" s="23">
        <v>664.81831480397886</v>
      </c>
      <c r="N64" s="23">
        <v>685.00531227904787</v>
      </c>
      <c r="O64" s="23">
        <v>657.20942249240125</v>
      </c>
      <c r="P64" s="23">
        <v>602.91992877096311</v>
      </c>
      <c r="Q64" s="23">
        <v>574.61851224123916</v>
      </c>
      <c r="R64" s="23">
        <v>605.97575663990119</v>
      </c>
      <c r="S64" s="23">
        <v>695.779314</v>
      </c>
      <c r="T64" s="23">
        <v>690.9696961087717</v>
      </c>
      <c r="U64" s="23">
        <v>689.10218859850227</v>
      </c>
      <c r="V64" s="23">
        <v>690.37765839768929</v>
      </c>
      <c r="W64" s="23">
        <v>698.80037889561584</v>
      </c>
      <c r="X64" s="23">
        <v>757.57207773880077</v>
      </c>
      <c r="Y64" s="23">
        <v>805.28135464838147</v>
      </c>
      <c r="Z64" s="23">
        <v>783.71733983158595</v>
      </c>
      <c r="AA64" s="23">
        <v>843.9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1892.324111555951</v>
      </c>
      <c r="E65" s="23">
        <v>1980.5661343161344</v>
      </c>
      <c r="F65" s="23">
        <v>1932.6352187310331</v>
      </c>
      <c r="G65" s="23">
        <v>2236.9070616135054</v>
      </c>
      <c r="H65" s="23">
        <v>1976.5292759201352</v>
      </c>
      <c r="I65" s="23">
        <v>1760.9884880150819</v>
      </c>
      <c r="J65" s="23">
        <v>1901.8081675447293</v>
      </c>
      <c r="K65" s="23">
        <v>1757.6516142692935</v>
      </c>
      <c r="L65" s="23">
        <v>1730.9437249161447</v>
      </c>
      <c r="M65" s="23">
        <v>1473.3404915155061</v>
      </c>
      <c r="N65" s="23">
        <v>1439.7449163327833</v>
      </c>
      <c r="O65" s="23">
        <v>989.81359897416417</v>
      </c>
      <c r="P65" s="23">
        <v>799.12289888740645</v>
      </c>
      <c r="Q65" s="23">
        <v>810.75394276645147</v>
      </c>
      <c r="R65" s="23">
        <v>896.88946880790593</v>
      </c>
      <c r="S65" s="23">
        <v>867.277421</v>
      </c>
      <c r="T65" s="23">
        <v>912.67120288163972</v>
      </c>
      <c r="U65" s="23">
        <v>913.58508227622417</v>
      </c>
      <c r="V65" s="23">
        <v>952.75147387180709</v>
      </c>
      <c r="W65" s="23">
        <v>1007.9140618016336</v>
      </c>
      <c r="X65" s="23">
        <v>949.14466553767988</v>
      </c>
      <c r="Y65" s="23">
        <v>945.92204193908481</v>
      </c>
      <c r="Z65" s="23">
        <v>947.38058631681747</v>
      </c>
      <c r="AA65" s="23">
        <v>990.19999999999993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1364.577036378015</v>
      </c>
      <c r="E66" s="23">
        <v>1315.9457062677652</v>
      </c>
      <c r="F66" s="23">
        <v>1318.9737265978804</v>
      </c>
      <c r="G66" s="23">
        <v>1434.5674196956413</v>
      </c>
      <c r="H66" s="23">
        <v>1456.763298488858</v>
      </c>
      <c r="I66" s="23">
        <v>1524.0077899272824</v>
      </c>
      <c r="J66" s="23">
        <v>1722.8940712534559</v>
      </c>
      <c r="K66" s="23">
        <v>2116.4567192320878</v>
      </c>
      <c r="L66" s="23">
        <v>1789.6347422300639</v>
      </c>
      <c r="M66" s="23">
        <v>1209.7760093622001</v>
      </c>
      <c r="N66" s="23">
        <v>1571.4890860240396</v>
      </c>
      <c r="O66" s="23">
        <v>1721.9319243920972</v>
      </c>
      <c r="P66" s="23">
        <v>1281.7647262673872</v>
      </c>
      <c r="Q66" s="23">
        <v>1082.7890940797274</v>
      </c>
      <c r="R66" s="23">
        <v>972.62226683137737</v>
      </c>
      <c r="S66" s="23">
        <v>993.48272999999995</v>
      </c>
      <c r="T66" s="23">
        <v>946.04189843234735</v>
      </c>
      <c r="U66" s="23">
        <v>1159.8669346375261</v>
      </c>
      <c r="V66" s="23">
        <v>1547.0846969293484</v>
      </c>
      <c r="W66" s="23">
        <v>1401.6467484051848</v>
      </c>
      <c r="X66" s="23">
        <v>1348.5792468045643</v>
      </c>
      <c r="Y66" s="23">
        <v>1353.8934549912296</v>
      </c>
      <c r="Z66" s="23">
        <v>1515.3266505131655</v>
      </c>
      <c r="AA66" s="23">
        <v>1392.5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1042.8383451957295</v>
      </c>
      <c r="E67" s="23">
        <v>1329.9261730982321</v>
      </c>
      <c r="F67" s="23">
        <v>1376.0894066016153</v>
      </c>
      <c r="G67" s="23">
        <v>1452.9855463393801</v>
      </c>
      <c r="H67" s="23">
        <v>1691.074846370853</v>
      </c>
      <c r="I67" s="23">
        <v>2065.520331807164</v>
      </c>
      <c r="J67" s="23">
        <v>2045.5805435292889</v>
      </c>
      <c r="K67" s="23">
        <v>2221.6771481578576</v>
      </c>
      <c r="L67" s="23">
        <v>1992.1849448397543</v>
      </c>
      <c r="M67" s="23">
        <v>1822.5043592744294</v>
      </c>
      <c r="N67" s="23">
        <v>1683.9222210699977</v>
      </c>
      <c r="O67" s="23">
        <v>1366.1957057370821</v>
      </c>
      <c r="P67" s="23">
        <v>1140.0747194516709</v>
      </c>
      <c r="Q67" s="23">
        <v>1235.3071625209407</v>
      </c>
      <c r="R67" s="23">
        <v>1135.7652254478073</v>
      </c>
      <c r="S67" s="23">
        <v>1142.9034429999999</v>
      </c>
      <c r="T67" s="23">
        <v>1096.2677631779211</v>
      </c>
      <c r="U67" s="23">
        <v>1082.5270120739724</v>
      </c>
      <c r="V67" s="23">
        <v>1143.9078743060818</v>
      </c>
      <c r="W67" s="23">
        <v>1146.8649394579659</v>
      </c>
      <c r="X67" s="23">
        <v>1165.4955042135398</v>
      </c>
      <c r="Y67" s="23">
        <v>1308.5254913490674</v>
      </c>
      <c r="Z67" s="23">
        <v>1292.2162158427157</v>
      </c>
      <c r="AA67" s="23">
        <v>1321.1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462.07750840253067</v>
      </c>
      <c r="E68" s="23">
        <v>574.7068374524257</v>
      </c>
      <c r="F68" s="23">
        <v>447.89319295952185</v>
      </c>
      <c r="G68" s="23">
        <v>428.47725178141928</v>
      </c>
      <c r="H68" s="23">
        <v>236.05364117479829</v>
      </c>
      <c r="I68" s="23">
        <v>324.63781093455424</v>
      </c>
      <c r="J68" s="23">
        <v>268.78667153513123</v>
      </c>
      <c r="K68" s="23">
        <v>283.53291153279963</v>
      </c>
      <c r="L68" s="23">
        <v>257.04900440118661</v>
      </c>
      <c r="M68" s="23">
        <v>186.23504973668813</v>
      </c>
      <c r="N68" s="23">
        <v>265.84857695027102</v>
      </c>
      <c r="O68" s="23">
        <v>190.13673917173253</v>
      </c>
      <c r="P68" s="23">
        <v>232.69060487083738</v>
      </c>
      <c r="Q68" s="23">
        <v>206.25615980719684</v>
      </c>
      <c r="R68" s="23">
        <v>225.04431747992587</v>
      </c>
      <c r="S68" s="23">
        <v>227.14679599999999</v>
      </c>
      <c r="T68" s="23">
        <v>262.3467830145604</v>
      </c>
      <c r="U68" s="23">
        <v>267.84890722909984</v>
      </c>
      <c r="V68" s="23">
        <v>299.32294897269395</v>
      </c>
      <c r="W68" s="23">
        <v>270.50337247572224</v>
      </c>
      <c r="X68" s="23">
        <v>313.05484557074311</v>
      </c>
      <c r="Y68" s="23">
        <v>475.34283906075592</v>
      </c>
      <c r="Z68" s="23">
        <v>489.62675277772661</v>
      </c>
      <c r="AA68" s="23">
        <v>496.6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346.06596110122575</v>
      </c>
      <c r="E69" s="23">
        <v>412.28670809847284</v>
      </c>
      <c r="F69" s="23">
        <v>363.94642607031136</v>
      </c>
      <c r="G69" s="23">
        <v>437.302604131544</v>
      </c>
      <c r="H69" s="23">
        <v>549.5059986441272</v>
      </c>
      <c r="I69" s="23">
        <v>492.96398707244816</v>
      </c>
      <c r="J69" s="23">
        <v>634.45051796985035</v>
      </c>
      <c r="K69" s="23">
        <v>675.2696011212164</v>
      </c>
      <c r="L69" s="23">
        <v>628.17039959671945</v>
      </c>
      <c r="M69" s="23">
        <v>427.88952603861901</v>
      </c>
      <c r="N69" s="23">
        <v>527.29852934244639</v>
      </c>
      <c r="O69" s="23">
        <v>519.49810600303954</v>
      </c>
      <c r="P69" s="23">
        <v>499.68395618742261</v>
      </c>
      <c r="Q69" s="23">
        <v>403.25866487709777</v>
      </c>
      <c r="R69" s="23">
        <v>366.8732550957381</v>
      </c>
      <c r="S69" s="23">
        <v>395.91367899999995</v>
      </c>
      <c r="T69" s="23">
        <v>372.04284105321898</v>
      </c>
      <c r="U69" s="23">
        <v>455.11123847368697</v>
      </c>
      <c r="V69" s="23">
        <v>496.77352356760969</v>
      </c>
      <c r="W69" s="23">
        <v>601.46540469708668</v>
      </c>
      <c r="X69" s="23">
        <v>639.41652957542033</v>
      </c>
      <c r="Y69" s="23">
        <v>921.76360129963336</v>
      </c>
      <c r="Z69" s="23">
        <v>985.22967791269753</v>
      </c>
      <c r="AA69" s="23">
        <v>792.7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514.95064996045869</v>
      </c>
      <c r="E70" s="23">
        <v>535.91789516789515</v>
      </c>
      <c r="F70" s="23">
        <v>516.1663546384051</v>
      </c>
      <c r="G70" s="23">
        <v>552.67170296940685</v>
      </c>
      <c r="H70" s="23">
        <v>560.58073457694582</v>
      </c>
      <c r="I70" s="23">
        <v>629.04705736601124</v>
      </c>
      <c r="J70" s="23">
        <v>628.03952845443644</v>
      </c>
      <c r="K70" s="23">
        <v>574.06521910101037</v>
      </c>
      <c r="L70" s="23">
        <v>718.30303332880942</v>
      </c>
      <c r="M70" s="23">
        <v>607.03604447045052</v>
      </c>
      <c r="N70" s="23">
        <v>533.09183973603581</v>
      </c>
      <c r="O70" s="23">
        <v>448.04820003799392</v>
      </c>
      <c r="P70" s="23">
        <v>404.53207034587365</v>
      </c>
      <c r="Q70" s="23">
        <v>374.94025158465024</v>
      </c>
      <c r="R70" s="23">
        <v>386.7134342186535</v>
      </c>
      <c r="S70" s="23">
        <v>378.38832500000001</v>
      </c>
      <c r="T70" s="23">
        <v>386.47653290041092</v>
      </c>
      <c r="U70" s="23">
        <v>420.44161801416277</v>
      </c>
      <c r="V70" s="23">
        <v>431.73372390765513</v>
      </c>
      <c r="W70" s="23">
        <v>448.64255922148641</v>
      </c>
      <c r="X70" s="23">
        <v>415.83870106044111</v>
      </c>
      <c r="Y70" s="23">
        <v>454.92725542178289</v>
      </c>
      <c r="Z70" s="23">
        <v>496.54653129664098</v>
      </c>
      <c r="AA70" s="23">
        <v>501.3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202.35226250494267</v>
      </c>
      <c r="E71" s="23">
        <v>158.30822734499205</v>
      </c>
      <c r="F71" s="23">
        <v>110.64502661188664</v>
      </c>
      <c r="G71" s="23">
        <v>166.53056173713668</v>
      </c>
      <c r="H71" s="23">
        <v>200.71403437793867</v>
      </c>
      <c r="I71" s="23">
        <v>121.73917910045783</v>
      </c>
      <c r="J71" s="23">
        <v>96.995896927651145</v>
      </c>
      <c r="K71" s="23">
        <v>113.13777853959547</v>
      </c>
      <c r="L71" s="23">
        <v>143.96950675688777</v>
      </c>
      <c r="M71" s="23">
        <v>103.96512580456407</v>
      </c>
      <c r="N71" s="23">
        <v>112.54041857176526</v>
      </c>
      <c r="O71" s="23">
        <v>68.747564589665657</v>
      </c>
      <c r="P71" s="23">
        <v>64.454205105067629</v>
      </c>
      <c r="Q71" s="23">
        <v>82.167994474542738</v>
      </c>
      <c r="R71" s="23">
        <v>52.604817788758488</v>
      </c>
      <c r="S71" s="23">
        <v>51.665653999999996</v>
      </c>
      <c r="T71" s="23">
        <v>47.227039724011973</v>
      </c>
      <c r="U71" s="23">
        <v>57.628098222018451</v>
      </c>
      <c r="V71" s="23">
        <v>57.696596472540307</v>
      </c>
      <c r="W71" s="23">
        <v>58.955863231888181</v>
      </c>
      <c r="X71" s="23">
        <v>63.207482561187049</v>
      </c>
      <c r="Y71" s="23">
        <v>61.360170826024564</v>
      </c>
      <c r="Z71" s="23">
        <v>68.359024156547704</v>
      </c>
      <c r="AA71" s="23">
        <v>73.5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279.69329403914588</v>
      </c>
      <c r="E72" s="23">
        <v>329.36335091776272</v>
      </c>
      <c r="F72" s="23">
        <v>453.07345230869782</v>
      </c>
      <c r="G72" s="23">
        <v>462.75543192393286</v>
      </c>
      <c r="H72" s="23">
        <v>421.7110120935115</v>
      </c>
      <c r="I72" s="23">
        <v>490.63463722057628</v>
      </c>
      <c r="J72" s="23">
        <v>686.33204423347763</v>
      </c>
      <c r="K72" s="23">
        <v>605.73461755631286</v>
      </c>
      <c r="L72" s="23">
        <v>446.36063167691032</v>
      </c>
      <c r="M72" s="23">
        <v>529.81401404330018</v>
      </c>
      <c r="N72" s="23">
        <v>229.47946170162621</v>
      </c>
      <c r="O72" s="23">
        <v>360.70852678571424</v>
      </c>
      <c r="P72" s="23">
        <v>110.44610400207351</v>
      </c>
      <c r="Q72" s="23">
        <v>275.82580506108377</v>
      </c>
      <c r="R72" s="23">
        <v>207.58495985176032</v>
      </c>
      <c r="S72" s="23">
        <v>404.44875400000001</v>
      </c>
      <c r="T72" s="23">
        <v>357.72461874080466</v>
      </c>
      <c r="U72" s="23">
        <v>414.75997452748487</v>
      </c>
      <c r="V72" s="23">
        <v>488.6144089149272</v>
      </c>
      <c r="W72" s="23">
        <v>491.53005972938934</v>
      </c>
      <c r="X72" s="23">
        <v>387.38959820168537</v>
      </c>
      <c r="Y72" s="23">
        <v>405.47617505182592</v>
      </c>
      <c r="Z72" s="23">
        <v>436.15573694975222</v>
      </c>
      <c r="AA72" s="23">
        <v>417.6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690.02262134242778</v>
      </c>
      <c r="E73" s="23">
        <v>758.64592065327361</v>
      </c>
      <c r="F73" s="23">
        <v>714.61013586068441</v>
      </c>
      <c r="G73" s="23">
        <v>627.11163148785045</v>
      </c>
      <c r="H73" s="23">
        <v>798.50090427974737</v>
      </c>
      <c r="I73" s="23">
        <v>822.13790035012119</v>
      </c>
      <c r="J73" s="23">
        <v>913.56600594648171</v>
      </c>
      <c r="K73" s="23">
        <v>747.21421282945823</v>
      </c>
      <c r="L73" s="23">
        <v>854.10875196308439</v>
      </c>
      <c r="M73" s="23">
        <v>849.8719426565242</v>
      </c>
      <c r="N73" s="23">
        <v>688.76023568230028</v>
      </c>
      <c r="O73" s="23">
        <v>554.19616926291792</v>
      </c>
      <c r="P73" s="23">
        <v>440.5827274385386</v>
      </c>
      <c r="Q73" s="23">
        <v>316.2966083097391</v>
      </c>
      <c r="R73" s="23">
        <v>308.59981470043232</v>
      </c>
      <c r="S73" s="23">
        <v>337.87516899999997</v>
      </c>
      <c r="T73" s="23">
        <v>340.86606666328447</v>
      </c>
      <c r="U73" s="23">
        <v>349.01524275306946</v>
      </c>
      <c r="V73" s="23">
        <v>385.34332916811775</v>
      </c>
      <c r="W73" s="23">
        <v>398.35667587664057</v>
      </c>
      <c r="X73" s="23">
        <v>403.7937179952421</v>
      </c>
      <c r="Y73" s="23">
        <v>445.17314323871796</v>
      </c>
      <c r="Z73" s="23">
        <v>420.95319323395557</v>
      </c>
      <c r="AA73" s="23">
        <v>451.9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753.16102708580104</v>
      </c>
      <c r="E74" s="23">
        <v>707.38420894156741</v>
      </c>
      <c r="F74" s="23">
        <v>793.907952051915</v>
      </c>
      <c r="G74" s="23">
        <v>869.74486928765384</v>
      </c>
      <c r="H74" s="23">
        <v>809.20233450696526</v>
      </c>
      <c r="I74" s="23">
        <v>671.83353622408015</v>
      </c>
      <c r="J74" s="23">
        <v>634.45051796984774</v>
      </c>
      <c r="K74" s="23">
        <v>615.37313012967002</v>
      </c>
      <c r="L74" s="23">
        <v>385.57350660178469</v>
      </c>
      <c r="M74" s="23">
        <v>389.43961380924674</v>
      </c>
      <c r="N74" s="23">
        <v>518.71584727787331</v>
      </c>
      <c r="O74" s="23">
        <v>469.12646276595422</v>
      </c>
      <c r="P74" s="23">
        <v>543.27247794491984</v>
      </c>
      <c r="Q74" s="23">
        <v>668.93889667199051</v>
      </c>
      <c r="R74" s="23">
        <v>632.27816553427988</v>
      </c>
      <c r="S74" s="23">
        <v>773.50539700000047</v>
      </c>
      <c r="T74" s="23">
        <v>700.78460656485845</v>
      </c>
      <c r="U74" s="23">
        <v>561.43913801008591</v>
      </c>
      <c r="V74" s="23">
        <v>488.84752647643239</v>
      </c>
      <c r="W74" s="23">
        <v>536.61395514200888</v>
      </c>
      <c r="X74" s="23">
        <v>333.81810209265961</v>
      </c>
      <c r="Y74" s="23">
        <v>375.87357877531252</v>
      </c>
      <c r="Z74" s="23">
        <v>250.47501335888185</v>
      </c>
      <c r="AA74" s="23">
        <v>429.40000000000293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19227.402299574922</v>
      </c>
      <c r="E75" s="30">
        <f t="shared" ref="E75:S75" si="9">SUM(E56:E74)</f>
        <v>21025.114415618827</v>
      </c>
      <c r="F75" s="30">
        <f t="shared" si="9"/>
        <v>21693.066574069744</v>
      </c>
      <c r="G75" s="30">
        <f t="shared" si="9"/>
        <v>22258.17814530087</v>
      </c>
      <c r="H75" s="30">
        <f t="shared" si="9"/>
        <v>22686.161035055877</v>
      </c>
      <c r="I75" s="30">
        <f t="shared" si="9"/>
        <v>22765.226491785619</v>
      </c>
      <c r="J75" s="30">
        <f t="shared" si="9"/>
        <v>23226.540126232328</v>
      </c>
      <c r="K75" s="30">
        <f t="shared" si="9"/>
        <v>23738.623770392634</v>
      </c>
      <c r="L75" s="30">
        <f t="shared" si="9"/>
        <v>23408.228262597673</v>
      </c>
      <c r="M75" s="30">
        <f t="shared" si="9"/>
        <v>20565.547747220597</v>
      </c>
      <c r="N75" s="30">
        <f t="shared" si="9"/>
        <v>19247.951932123502</v>
      </c>
      <c r="O75" s="30">
        <f t="shared" si="9"/>
        <v>17922.576563449849</v>
      </c>
      <c r="P75" s="30">
        <f t="shared" si="9"/>
        <v>16523.764056215266</v>
      </c>
      <c r="Q75" s="30">
        <f t="shared" si="9"/>
        <v>15450.370206616837</v>
      </c>
      <c r="R75" s="30">
        <f t="shared" si="9"/>
        <v>15556.627764051877</v>
      </c>
      <c r="S75" s="30">
        <f t="shared" si="9"/>
        <v>16551.900246000001</v>
      </c>
      <c r="T75" s="30">
        <f t="shared" ref="T75:Y75" si="10">SUM(T56:T74)</f>
        <v>16331.780059865048</v>
      </c>
      <c r="U75" s="30">
        <f t="shared" si="10"/>
        <v>16490.332484589129</v>
      </c>
      <c r="V75" s="30">
        <f t="shared" si="10"/>
        <v>17224.590384497205</v>
      </c>
      <c r="W75" s="30">
        <f t="shared" si="10"/>
        <v>16782.075468286537</v>
      </c>
      <c r="X75" s="30">
        <f t="shared" si="10"/>
        <v>16196.48722833757</v>
      </c>
      <c r="Y75" s="30">
        <f t="shared" si="10"/>
        <v>18140.947361864135</v>
      </c>
      <c r="Z75" s="30">
        <f t="shared" ref="Z75:AA75" si="11">SUM(Z56:Z74)</f>
        <v>19950.036005417263</v>
      </c>
      <c r="AA75" s="30">
        <f t="shared" si="11"/>
        <v>19661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10775627</v>
      </c>
      <c r="E3" s="42">
        <v>10835989</v>
      </c>
      <c r="F3" s="42">
        <v>10888274</v>
      </c>
      <c r="G3" s="42">
        <v>10915770</v>
      </c>
      <c r="H3" s="42">
        <v>10940369</v>
      </c>
      <c r="I3" s="42">
        <v>10969912</v>
      </c>
      <c r="J3" s="42">
        <v>11004716</v>
      </c>
      <c r="K3" s="42">
        <v>11036008</v>
      </c>
      <c r="L3" s="42">
        <v>11060937</v>
      </c>
      <c r="M3" s="42">
        <v>11094745</v>
      </c>
      <c r="N3" s="42">
        <v>11119289</v>
      </c>
      <c r="O3" s="42">
        <v>11123392</v>
      </c>
      <c r="P3" s="42">
        <v>11086406</v>
      </c>
      <c r="Q3" s="42">
        <v>11003615</v>
      </c>
      <c r="R3" s="42">
        <v>10926807</v>
      </c>
      <c r="S3" s="42">
        <v>10858018</v>
      </c>
      <c r="T3" s="42">
        <v>10783748</v>
      </c>
      <c r="U3" s="42">
        <v>10768193</v>
      </c>
      <c r="V3" s="42">
        <v>10741165</v>
      </c>
      <c r="W3" s="42">
        <v>10724599</v>
      </c>
      <c r="X3" s="42">
        <v>10718565</v>
      </c>
      <c r="Y3" s="42">
        <v>10678632</v>
      </c>
      <c r="Z3" s="42">
        <v>10461627</v>
      </c>
      <c r="AA3" s="42">
        <v>10413982</v>
      </c>
    </row>
    <row r="4" spans="1:27" x14ac:dyDescent="0.25">
      <c r="A4" s="43" t="s">
        <v>239</v>
      </c>
      <c r="B4" s="44"/>
      <c r="C4" s="44"/>
      <c r="D4" s="45">
        <v>3924038</v>
      </c>
      <c r="E4" s="45">
        <v>3962882</v>
      </c>
      <c r="F4" s="45">
        <v>3999094</v>
      </c>
      <c r="G4" s="45">
        <v>4026474</v>
      </c>
      <c r="H4" s="45">
        <v>4119115</v>
      </c>
      <c r="I4" s="45">
        <v>4117835</v>
      </c>
      <c r="J4" s="45">
        <v>4110839</v>
      </c>
      <c r="K4" s="45">
        <v>4122528</v>
      </c>
      <c r="L4" s="45">
        <v>4152003</v>
      </c>
      <c r="M4" s="45">
        <v>4186696</v>
      </c>
      <c r="N4" s="45">
        <v>4197542</v>
      </c>
      <c r="O4" s="45">
        <v>4211811</v>
      </c>
      <c r="P4" s="45">
        <v>4220177</v>
      </c>
      <c r="Q4" s="45">
        <v>4284897</v>
      </c>
      <c r="R4" s="45">
        <v>4330879</v>
      </c>
      <c r="S4" s="45">
        <v>4276494</v>
      </c>
      <c r="T4" s="45">
        <v>4284153</v>
      </c>
      <c r="U4" s="45">
        <v>4315477</v>
      </c>
      <c r="V4" s="45">
        <v>4342716</v>
      </c>
      <c r="W4" s="45">
        <v>4374709</v>
      </c>
      <c r="X4" s="45">
        <v>4411613</v>
      </c>
      <c r="Y4" s="45">
        <v>4435108</v>
      </c>
      <c r="Z4" s="45">
        <v>4384818</v>
      </c>
      <c r="AA4" s="45">
        <v>4405238</v>
      </c>
    </row>
    <row r="5" spans="1:27" x14ac:dyDescent="0.25">
      <c r="A5" s="46" t="s">
        <v>240</v>
      </c>
      <c r="B5" s="47"/>
      <c r="C5" s="47"/>
      <c r="D5" s="48">
        <f>D3/D4</f>
        <v>2.7460557211729344</v>
      </c>
      <c r="E5" s="48">
        <f t="shared" ref="E5:S5" si="0">E3/E4</f>
        <v>2.7343708442492107</v>
      </c>
      <c r="F5" s="48">
        <f t="shared" si="0"/>
        <v>2.7226851881951264</v>
      </c>
      <c r="G5" s="48">
        <f t="shared" si="0"/>
        <v>2.7109997481667585</v>
      </c>
      <c r="H5" s="48">
        <f t="shared" si="0"/>
        <v>2.6559998931809381</v>
      </c>
      <c r="I5" s="48">
        <f t="shared" si="0"/>
        <v>2.663999893147734</v>
      </c>
      <c r="J5" s="48">
        <f t="shared" si="0"/>
        <v>2.676999999270222</v>
      </c>
      <c r="K5" s="48">
        <f t="shared" si="0"/>
        <v>2.6770001319578665</v>
      </c>
      <c r="L5" s="48">
        <f t="shared" si="0"/>
        <v>2.664000242774391</v>
      </c>
      <c r="M5" s="48">
        <f t="shared" si="0"/>
        <v>2.650000143311098</v>
      </c>
      <c r="N5" s="48">
        <f t="shared" si="0"/>
        <v>2.6490000576527883</v>
      </c>
      <c r="O5" s="48">
        <f t="shared" si="0"/>
        <v>2.6409997979491484</v>
      </c>
      <c r="P5" s="48">
        <f t="shared" si="0"/>
        <v>2.6270002419329805</v>
      </c>
      <c r="Q5" s="48">
        <f t="shared" si="0"/>
        <v>2.5679998842445921</v>
      </c>
      <c r="R5" s="48">
        <f t="shared" si="0"/>
        <v>2.5229998344446938</v>
      </c>
      <c r="S5" s="48">
        <f t="shared" si="0"/>
        <v>2.5389999377995154</v>
      </c>
      <c r="T5" s="48">
        <f t="shared" ref="T5:Y5" si="1">T3/T4</f>
        <v>2.5171248552514349</v>
      </c>
      <c r="U5" s="48">
        <f t="shared" si="1"/>
        <v>2.4952497719255602</v>
      </c>
      <c r="V5" s="48">
        <f t="shared" si="1"/>
        <v>2.4733749570545251</v>
      </c>
      <c r="W5" s="48">
        <f t="shared" si="1"/>
        <v>2.4514999740554173</v>
      </c>
      <c r="X5" s="48">
        <f t="shared" si="1"/>
        <v>2.4296249467031674</v>
      </c>
      <c r="Y5" s="48">
        <f t="shared" si="1"/>
        <v>2.4077501607627143</v>
      </c>
      <c r="Z5" s="48">
        <f t="shared" ref="Z5:AA5" si="2">Z3/Z4</f>
        <v>2.3858748527304896</v>
      </c>
      <c r="AA5" s="48">
        <f t="shared" si="2"/>
        <v>2.3639998565344258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1938.62</v>
      </c>
      <c r="E8" s="42">
        <v>1829.14</v>
      </c>
      <c r="F8" s="42">
        <v>1809.55</v>
      </c>
      <c r="G8" s="42">
        <v>1793.34</v>
      </c>
      <c r="H8" s="42">
        <v>1739.04</v>
      </c>
      <c r="I8" s="42">
        <v>1671.13</v>
      </c>
      <c r="J8" s="42">
        <v>1715.32</v>
      </c>
      <c r="K8" s="42">
        <v>1807.2</v>
      </c>
      <c r="L8" s="42">
        <v>1809.17</v>
      </c>
      <c r="M8" s="42">
        <v>1732.97</v>
      </c>
      <c r="N8" s="42">
        <v>1643.94</v>
      </c>
      <c r="O8" s="42">
        <v>1949.72</v>
      </c>
      <c r="P8" s="42">
        <v>1824.31</v>
      </c>
      <c r="Q8" s="42">
        <v>1798.93</v>
      </c>
      <c r="R8" s="42">
        <v>1601.41</v>
      </c>
      <c r="S8" s="42">
        <v>1728.09</v>
      </c>
      <c r="T8" s="42">
        <v>1825.31</v>
      </c>
      <c r="U8" s="42">
        <v>1832.16</v>
      </c>
      <c r="V8" s="42">
        <v>1701.11</v>
      </c>
      <c r="W8" s="42">
        <v>1600.12</v>
      </c>
      <c r="X8" s="42">
        <v>1661.02</v>
      </c>
      <c r="Y8" s="42">
        <v>1593.33</v>
      </c>
      <c r="Z8" s="42">
        <v>1549.11</v>
      </c>
      <c r="AA8" s="42">
        <v>1747.33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1762.4571428571428</v>
      </c>
      <c r="E9" s="45">
        <f t="shared" si="3"/>
        <v>1762.4571428571428</v>
      </c>
      <c r="F9" s="45">
        <f t="shared" si="3"/>
        <v>1762.4571428571428</v>
      </c>
      <c r="G9" s="45">
        <f t="shared" si="3"/>
        <v>1762.4571428571428</v>
      </c>
      <c r="H9" s="45">
        <f t="shared" si="3"/>
        <v>1762.4571428571428</v>
      </c>
      <c r="I9" s="45">
        <f t="shared" si="3"/>
        <v>1762.4571428571428</v>
      </c>
      <c r="J9" s="45">
        <f t="shared" si="3"/>
        <v>1762.4571428571428</v>
      </c>
      <c r="K9" s="45">
        <f t="shared" si="3"/>
        <v>1762.4571428571428</v>
      </c>
      <c r="L9" s="45">
        <f t="shared" si="3"/>
        <v>1762.4571428571428</v>
      </c>
      <c r="M9" s="45">
        <f t="shared" si="3"/>
        <v>1762.4571428571428</v>
      </c>
      <c r="N9" s="45">
        <f t="shared" si="3"/>
        <v>1762.4571428571428</v>
      </c>
      <c r="O9" s="45">
        <f t="shared" si="3"/>
        <v>1762.4571428571428</v>
      </c>
      <c r="P9" s="45">
        <f t="shared" si="3"/>
        <v>1762.4571428571428</v>
      </c>
      <c r="Q9" s="45">
        <f t="shared" si="3"/>
        <v>1762.4571428571428</v>
      </c>
      <c r="R9" s="45">
        <f t="shared" si="3"/>
        <v>1762.4571428571428</v>
      </c>
      <c r="S9" s="45">
        <f t="shared" si="3"/>
        <v>1762.4571428571428</v>
      </c>
      <c r="T9" s="45">
        <f t="shared" si="3"/>
        <v>1762.4571428571428</v>
      </c>
      <c r="U9" s="45">
        <f t="shared" si="3"/>
        <v>1762.4571428571428</v>
      </c>
      <c r="V9" s="45">
        <f t="shared" si="3"/>
        <v>1762.4571428571428</v>
      </c>
      <c r="W9" s="45">
        <f t="shared" si="3"/>
        <v>1762.4571428571428</v>
      </c>
      <c r="X9" s="45">
        <f>AVERAGE($D8:$X8)</f>
        <v>1762.4571428571428</v>
      </c>
      <c r="Y9" s="45">
        <f t="shared" ref="Y9:AA9" si="4">AVERAGE($D8:$X8)</f>
        <v>1762.4571428571428</v>
      </c>
      <c r="Z9" s="45">
        <f t="shared" si="4"/>
        <v>1762.4571428571428</v>
      </c>
      <c r="AA9" s="45">
        <f t="shared" si="4"/>
        <v>1762.4571428571428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1.0999529877119605</v>
      </c>
      <c r="E10" s="53">
        <f t="shared" si="5"/>
        <v>1.0378351651914537</v>
      </c>
      <c r="F10" s="53">
        <f t="shared" si="5"/>
        <v>1.0267200012968907</v>
      </c>
      <c r="G10" s="53">
        <f t="shared" si="5"/>
        <v>1.0175226145316603</v>
      </c>
      <c r="H10" s="53">
        <f t="shared" si="5"/>
        <v>0.98671335473202992</v>
      </c>
      <c r="I10" s="53">
        <f t="shared" si="5"/>
        <v>0.94818192134357882</v>
      </c>
      <c r="J10" s="53">
        <f t="shared" si="5"/>
        <v>0.97325487144570888</v>
      </c>
      <c r="K10" s="53">
        <f t="shared" si="5"/>
        <v>1.0253866355412897</v>
      </c>
      <c r="L10" s="53">
        <f t="shared" si="5"/>
        <v>1.0265043932172617</v>
      </c>
      <c r="M10" s="53">
        <f t="shared" si="5"/>
        <v>0.9832692993547969</v>
      </c>
      <c r="N10" s="53">
        <f t="shared" si="5"/>
        <v>0.93275459585643428</v>
      </c>
      <c r="O10" s="53">
        <f t="shared" si="5"/>
        <v>1.1062510131958629</v>
      </c>
      <c r="P10" s="53">
        <f t="shared" si="5"/>
        <v>1.0350946730214312</v>
      </c>
      <c r="Q10" s="53">
        <f t="shared" si="5"/>
        <v>1.0206943228609409</v>
      </c>
      <c r="R10" s="53">
        <f t="shared" si="5"/>
        <v>0.9086235126284733</v>
      </c>
      <c r="S10" s="53">
        <f t="shared" si="5"/>
        <v>0.98050043770061279</v>
      </c>
      <c r="T10" s="53">
        <f t="shared" ref="T10:Y10" si="6">IF(T8=0,0,T8/T9)</f>
        <v>1.0356620627046655</v>
      </c>
      <c r="U10" s="53">
        <f t="shared" si="6"/>
        <v>1.0395486820348216</v>
      </c>
      <c r="V10" s="53">
        <f t="shared" si="6"/>
        <v>0.96519226404694747</v>
      </c>
      <c r="W10" s="53">
        <f t="shared" si="6"/>
        <v>0.90789157993710079</v>
      </c>
      <c r="X10" s="53">
        <f t="shared" si="6"/>
        <v>0.94244561164607854</v>
      </c>
      <c r="Y10" s="53">
        <f t="shared" si="6"/>
        <v>0.90403900398793891</v>
      </c>
      <c r="Z10" s="53">
        <f t="shared" ref="Z10:AA10" si="7">IF(Z8=0,0,Z8/Z9)</f>
        <v>0.87894903219531173</v>
      </c>
      <c r="AA10" s="53">
        <f t="shared" si="7"/>
        <v>0.99141701520604353</v>
      </c>
    </row>
    <row r="11" spans="1:27" x14ac:dyDescent="0.25">
      <c r="A11" s="43" t="s">
        <v>251</v>
      </c>
      <c r="B11" s="44"/>
      <c r="C11" s="44"/>
      <c r="D11" s="45">
        <v>150.76</v>
      </c>
      <c r="E11" s="45">
        <v>160.97999999999999</v>
      </c>
      <c r="F11" s="45">
        <v>240.81</v>
      </c>
      <c r="G11" s="45">
        <v>114.21</v>
      </c>
      <c r="H11" s="45">
        <v>110.8</v>
      </c>
      <c r="I11" s="45">
        <v>190.51</v>
      </c>
      <c r="J11" s="45">
        <v>202.12</v>
      </c>
      <c r="K11" s="45">
        <v>253.24</v>
      </c>
      <c r="L11" s="45">
        <v>317.51</v>
      </c>
      <c r="M11" s="45">
        <v>151.13</v>
      </c>
      <c r="N11" s="45">
        <v>199.11</v>
      </c>
      <c r="O11" s="45">
        <v>170.71</v>
      </c>
      <c r="P11" s="45">
        <v>194.22</v>
      </c>
      <c r="Q11" s="45">
        <v>216.51</v>
      </c>
      <c r="R11" s="45">
        <v>303.2</v>
      </c>
      <c r="S11" s="45">
        <v>217.07</v>
      </c>
      <c r="T11" s="45">
        <v>198.89</v>
      </c>
      <c r="U11" s="45">
        <v>202.42</v>
      </c>
      <c r="V11" s="45">
        <v>310.89999999999998</v>
      </c>
      <c r="W11" s="45">
        <v>280.14</v>
      </c>
      <c r="X11" s="45">
        <v>281.39</v>
      </c>
      <c r="Y11" s="45">
        <v>332.57</v>
      </c>
      <c r="Z11" s="45">
        <v>283.76</v>
      </c>
      <c r="AA11" s="45">
        <v>355.85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212.69666666666666</v>
      </c>
      <c r="E12" s="45">
        <f t="shared" ref="E12" si="9">AVERAGE($D11:$X11)</f>
        <v>212.69666666666666</v>
      </c>
      <c r="F12" s="45">
        <f t="shared" ref="F12" si="10">AVERAGE($D11:$X11)</f>
        <v>212.69666666666666</v>
      </c>
      <c r="G12" s="45">
        <f t="shared" ref="G12" si="11">AVERAGE($D11:$X11)</f>
        <v>212.69666666666666</v>
      </c>
      <c r="H12" s="45">
        <f t="shared" ref="H12" si="12">AVERAGE($D11:$X11)</f>
        <v>212.69666666666666</v>
      </c>
      <c r="I12" s="45">
        <f t="shared" ref="I12" si="13">AVERAGE($D11:$X11)</f>
        <v>212.69666666666666</v>
      </c>
      <c r="J12" s="45">
        <f t="shared" ref="J12" si="14">AVERAGE($D11:$X11)</f>
        <v>212.69666666666666</v>
      </c>
      <c r="K12" s="45">
        <f t="shared" ref="K12" si="15">AVERAGE($D11:$X11)</f>
        <v>212.69666666666666</v>
      </c>
      <c r="L12" s="45">
        <f t="shared" ref="L12" si="16">AVERAGE($D11:$X11)</f>
        <v>212.69666666666666</v>
      </c>
      <c r="M12" s="45">
        <f t="shared" ref="M12" si="17">AVERAGE($D11:$X11)</f>
        <v>212.69666666666666</v>
      </c>
      <c r="N12" s="45">
        <f t="shared" ref="N12" si="18">AVERAGE($D11:$X11)</f>
        <v>212.69666666666666</v>
      </c>
      <c r="O12" s="45">
        <f t="shared" ref="O12" si="19">AVERAGE($D11:$X11)</f>
        <v>212.69666666666666</v>
      </c>
      <c r="P12" s="45">
        <f t="shared" ref="P12" si="20">AVERAGE($D11:$X11)</f>
        <v>212.69666666666666</v>
      </c>
      <c r="Q12" s="45">
        <f t="shared" ref="Q12" si="21">AVERAGE($D11:$X11)</f>
        <v>212.69666666666666</v>
      </c>
      <c r="R12" s="45">
        <f t="shared" ref="R12" si="22">AVERAGE($D11:$X11)</f>
        <v>212.69666666666666</v>
      </c>
      <c r="S12" s="45">
        <f t="shared" ref="S12" si="23">AVERAGE($D11:$X11)</f>
        <v>212.69666666666666</v>
      </c>
      <c r="T12" s="45">
        <f t="shared" ref="T12" si="24">AVERAGE($D11:$X11)</f>
        <v>212.69666666666666</v>
      </c>
      <c r="U12" s="45">
        <f t="shared" ref="U12" si="25">AVERAGE($D11:$X11)</f>
        <v>212.69666666666666</v>
      </c>
      <c r="V12" s="45">
        <f t="shared" ref="V12" si="26">AVERAGE($D11:$X11)</f>
        <v>212.69666666666666</v>
      </c>
      <c r="W12" s="45">
        <f t="shared" ref="W12" si="27">AVERAGE($D11:$X11)</f>
        <v>212.69666666666666</v>
      </c>
      <c r="X12" s="45">
        <f>AVERAGE($D11:$X11)</f>
        <v>212.69666666666666</v>
      </c>
      <c r="Y12" s="45">
        <f t="shared" ref="Y12:AA12" si="28">AVERAGE($D11:$X11)</f>
        <v>212.69666666666666</v>
      </c>
      <c r="Z12" s="45">
        <f t="shared" si="28"/>
        <v>212.69666666666666</v>
      </c>
      <c r="AA12" s="45">
        <f t="shared" si="28"/>
        <v>212.69666666666666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0.70880283345609552</v>
      </c>
      <c r="E13" s="55">
        <f t="shared" si="29"/>
        <v>0.75685248162484919</v>
      </c>
      <c r="F13" s="55">
        <f t="shared" ref="F13" si="30">IF(F11=0,0,F11/F12)</f>
        <v>1.1321757118901723</v>
      </c>
      <c r="G13" s="55">
        <f t="shared" ref="G13" si="31">IF(G11=0,0,G11/G12)</f>
        <v>0.53696187058251965</v>
      </c>
      <c r="H13" s="55">
        <f t="shared" ref="H13" si="32">IF(H11=0,0,H11/H12)</f>
        <v>0.52092964942249531</v>
      </c>
      <c r="I13" s="55">
        <f t="shared" ref="I13" si="33">IF(I11=0,0,I11/I12)</f>
        <v>0.89568869595198164</v>
      </c>
      <c r="J13" s="55">
        <f t="shared" ref="J13" si="34">IF(J11=0,0,J11/J12)</f>
        <v>0.95027347239417648</v>
      </c>
      <c r="K13" s="55">
        <f t="shared" ref="K13" si="35">IF(K11=0,0,K11/K12)</f>
        <v>1.190615743860584</v>
      </c>
      <c r="L13" s="55">
        <f t="shared" ref="L13" si="36">IF(L11=0,0,L11/L12)</f>
        <v>1.4927831497124231</v>
      </c>
      <c r="M13" s="55">
        <f t="shared" ref="M13" si="37">IF(M11=0,0,M11/M12)</f>
        <v>0.71054239997492519</v>
      </c>
      <c r="N13" s="55">
        <f t="shared" ref="N13" si="38">IF(N11=0,0,N11/N12)</f>
        <v>0.93612186368694084</v>
      </c>
      <c r="O13" s="55">
        <f t="shared" ref="O13" si="39">IF(O11=0,0,O11/O12)</f>
        <v>0.80259837953893653</v>
      </c>
      <c r="P13" s="55">
        <f t="shared" ref="P13" si="40">IF(P11=0,0,P11/P12)</f>
        <v>0.91313137645159781</v>
      </c>
      <c r="Q13" s="55">
        <f t="shared" ref="Q13" si="41">IF(Q11=0,0,Q11/Q12)</f>
        <v>1.0179285053832532</v>
      </c>
      <c r="R13" s="55">
        <f t="shared" ref="R13" si="42">IF(R11=0,0,R11/R12)</f>
        <v>1.4255042392139039</v>
      </c>
      <c r="S13" s="55">
        <f t="shared" ref="S13:Y13" si="43">IF(S11=0,0,S11/S12)</f>
        <v>1.0205613628171575</v>
      </c>
      <c r="T13" s="55">
        <f t="shared" si="43"/>
        <v>0.93508752683790686</v>
      </c>
      <c r="U13" s="55">
        <f t="shared" si="43"/>
        <v>0.95168393173376797</v>
      </c>
      <c r="V13" s="55">
        <f t="shared" si="43"/>
        <v>1.4617060289300883</v>
      </c>
      <c r="W13" s="55">
        <f t="shared" si="43"/>
        <v>1.3170869313106301</v>
      </c>
      <c r="X13" s="55">
        <f t="shared" si="43"/>
        <v>1.3229638452255952</v>
      </c>
      <c r="Y13" s="55">
        <f t="shared" si="43"/>
        <v>1.5635882085599211</v>
      </c>
      <c r="Z13" s="55">
        <f t="shared" ref="Z13:AA13" si="44">IF(Z11=0,0,Z11/Z12)</f>
        <v>1.3341064740083688</v>
      </c>
      <c r="AA13" s="55">
        <f t="shared" si="44"/>
        <v>1.6730398533122288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199163.40682882149</v>
      </c>
      <c r="E16" s="42">
        <v>208424.84951401944</v>
      </c>
      <c r="F16" s="42">
        <v>218184.05426281621</v>
      </c>
      <c r="G16" s="42">
        <v>230834.18512898331</v>
      </c>
      <c r="H16" s="42">
        <v>243246.44237876075</v>
      </c>
      <c r="I16" s="42">
        <v>246126.49355879409</v>
      </c>
      <c r="J16" s="42">
        <v>261983.66303610825</v>
      </c>
      <c r="K16" s="42">
        <v>271172.63363285188</v>
      </c>
      <c r="L16" s="42">
        <v>271328.77168442647</v>
      </c>
      <c r="M16" s="42">
        <v>260152.31970834316</v>
      </c>
      <c r="N16" s="42">
        <v>245338.09463780298</v>
      </c>
      <c r="O16" s="42">
        <v>221106.6969923086</v>
      </c>
      <c r="P16" s="42">
        <v>202686.54976867407</v>
      </c>
      <c r="Q16" s="42">
        <v>198080.65303504994</v>
      </c>
      <c r="R16" s="42">
        <v>199650.56912403295</v>
      </c>
      <c r="S16" s="42">
        <v>199194.71811000002</v>
      </c>
      <c r="T16" s="42">
        <v>199131.45450708471</v>
      </c>
      <c r="U16" s="42">
        <v>202064.16229578893</v>
      </c>
      <c r="V16" s="42">
        <v>206235.86247348689</v>
      </c>
      <c r="W16" s="42">
        <v>210933.72082389044</v>
      </c>
      <c r="X16" s="42">
        <v>191535.86293139023</v>
      </c>
      <c r="Y16" s="42">
        <v>208112.0158621443</v>
      </c>
      <c r="Z16" s="42">
        <v>220065.41871801805</v>
      </c>
      <c r="AA16" s="42">
        <v>225196.9</v>
      </c>
    </row>
    <row r="17" spans="1:27" x14ac:dyDescent="0.25">
      <c r="A17" s="46" t="s">
        <v>141</v>
      </c>
      <c r="B17" s="47"/>
      <c r="C17" s="47"/>
      <c r="D17" s="57">
        <v>128542.5284517379</v>
      </c>
      <c r="E17" s="57">
        <v>135470.58000353718</v>
      </c>
      <c r="F17" s="57">
        <v>143424.36720725434</v>
      </c>
      <c r="G17" s="57">
        <v>148759.95663157897</v>
      </c>
      <c r="H17" s="57">
        <v>154995.42789529043</v>
      </c>
      <c r="I17" s="57">
        <v>160437.63065458232</v>
      </c>
      <c r="J17" s="57">
        <v>163399.23970735905</v>
      </c>
      <c r="K17" s="57">
        <v>171106.83086830788</v>
      </c>
      <c r="L17" s="57">
        <v>177395.0445634631</v>
      </c>
      <c r="M17" s="57">
        <v>174690.99205092315</v>
      </c>
      <c r="N17" s="57">
        <v>161821.10599328059</v>
      </c>
      <c r="O17" s="57">
        <v>148962.20345431575</v>
      </c>
      <c r="P17" s="57">
        <v>134977.74494892062</v>
      </c>
      <c r="Q17" s="57">
        <v>130773.89509444872</v>
      </c>
      <c r="R17" s="57">
        <v>130924.65977397226</v>
      </c>
      <c r="S17" s="57">
        <v>131426.35782500001</v>
      </c>
      <c r="T17" s="57">
        <v>131871.96375262222</v>
      </c>
      <c r="U17" s="57">
        <v>135258.14988184423</v>
      </c>
      <c r="V17" s="57">
        <v>138320.71463740594</v>
      </c>
      <c r="W17" s="57">
        <v>141937.76861744857</v>
      </c>
      <c r="X17" s="57">
        <v>133141.89065214517</v>
      </c>
      <c r="Y17" s="57">
        <v>139919.40139853104</v>
      </c>
      <c r="Z17" s="57">
        <v>151964.71672687519</v>
      </c>
      <c r="AA17" s="57">
        <v>154673.60000000001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18482.767344194588</v>
      </c>
      <c r="E20" s="42">
        <f t="shared" ref="E20:S20" si="45">1000000*E16/E$3</f>
        <v>19234.501762046773</v>
      </c>
      <c r="F20" s="42">
        <f t="shared" si="45"/>
        <v>20038.442664357655</v>
      </c>
      <c r="G20" s="42">
        <f t="shared" si="45"/>
        <v>21146.853142653548</v>
      </c>
      <c r="H20" s="42">
        <f t="shared" si="45"/>
        <v>22233.842604281515</v>
      </c>
      <c r="I20" s="42">
        <f t="shared" si="45"/>
        <v>22436.505740318982</v>
      </c>
      <c r="J20" s="42">
        <f t="shared" si="45"/>
        <v>23806.49014805182</v>
      </c>
      <c r="K20" s="42">
        <f t="shared" si="45"/>
        <v>24571.623510317488</v>
      </c>
      <c r="L20" s="42">
        <f t="shared" si="45"/>
        <v>24530.360464436824</v>
      </c>
      <c r="M20" s="42">
        <f t="shared" si="45"/>
        <v>23448.246868976545</v>
      </c>
      <c r="N20" s="42">
        <f t="shared" si="45"/>
        <v>22064.189053616916</v>
      </c>
      <c r="O20" s="42">
        <f t="shared" si="45"/>
        <v>19877.632379791037</v>
      </c>
      <c r="P20" s="42">
        <f t="shared" si="45"/>
        <v>18282.439752673145</v>
      </c>
      <c r="Q20" s="42">
        <f t="shared" si="45"/>
        <v>18001.416174143673</v>
      </c>
      <c r="R20" s="42">
        <f t="shared" si="45"/>
        <v>18271.629500185456</v>
      </c>
      <c r="S20" s="42">
        <f t="shared" si="45"/>
        <v>18345.40319513193</v>
      </c>
      <c r="T20" s="42">
        <f t="shared" ref="T20:Y20" si="46">1000000*T16/T$3</f>
        <v>18465.885377429509</v>
      </c>
      <c r="U20" s="42">
        <f t="shared" si="46"/>
        <v>18764.909051666229</v>
      </c>
      <c r="V20" s="42">
        <f t="shared" si="46"/>
        <v>19200.511534222489</v>
      </c>
      <c r="W20" s="42">
        <f t="shared" si="46"/>
        <v>19668.215177452363</v>
      </c>
      <c r="X20" s="42">
        <f t="shared" si="46"/>
        <v>17869.54344461131</v>
      </c>
      <c r="Y20" s="42">
        <f t="shared" si="46"/>
        <v>19488.640105038201</v>
      </c>
      <c r="Z20" s="42">
        <f t="shared" ref="Z20:AA20" si="47">1000000*Z16/Z$3</f>
        <v>21035.486996240455</v>
      </c>
      <c r="AA20" s="42">
        <f t="shared" si="47"/>
        <v>21624.475632855905</v>
      </c>
    </row>
    <row r="21" spans="1:27" x14ac:dyDescent="0.25">
      <c r="A21" s="46" t="s">
        <v>141</v>
      </c>
      <c r="B21" s="47"/>
      <c r="C21" s="47"/>
      <c r="D21" s="57">
        <f>1000000*D17/D$3</f>
        <v>11929.00686444862</v>
      </c>
      <c r="E21" s="57">
        <f t="shared" ref="E21:S21" si="48">1000000*E17/E$3</f>
        <v>12501.911916257684</v>
      </c>
      <c r="F21" s="57">
        <f t="shared" si="48"/>
        <v>13172.369395484935</v>
      </c>
      <c r="G21" s="57">
        <f t="shared" si="48"/>
        <v>13627.985623696632</v>
      </c>
      <c r="H21" s="57">
        <f t="shared" si="48"/>
        <v>14167.294347685205</v>
      </c>
      <c r="I21" s="57">
        <f t="shared" si="48"/>
        <v>14625.243179214411</v>
      </c>
      <c r="J21" s="57">
        <f t="shared" si="48"/>
        <v>14848.110547092634</v>
      </c>
      <c r="K21" s="57">
        <f t="shared" si="48"/>
        <v>15504.413449891292</v>
      </c>
      <c r="L21" s="57">
        <f t="shared" si="48"/>
        <v>16037.976218783553</v>
      </c>
      <c r="M21" s="57">
        <f t="shared" si="48"/>
        <v>15745.38144418129</v>
      </c>
      <c r="N21" s="57">
        <f t="shared" si="48"/>
        <v>14553.18824731335</v>
      </c>
      <c r="O21" s="57">
        <f t="shared" si="48"/>
        <v>13391.796625913727</v>
      </c>
      <c r="P21" s="57">
        <f t="shared" si="48"/>
        <v>12175.067821701698</v>
      </c>
      <c r="Q21" s="57">
        <f t="shared" si="48"/>
        <v>11884.630196026372</v>
      </c>
      <c r="R21" s="57">
        <f t="shared" si="48"/>
        <v>11981.968728281945</v>
      </c>
      <c r="S21" s="57">
        <f t="shared" si="48"/>
        <v>12104.083620509748</v>
      </c>
      <c r="T21" s="57">
        <f t="shared" ref="T21:Y21" si="49">1000000*T17/T$3</f>
        <v>12228.769046960502</v>
      </c>
      <c r="U21" s="57">
        <f t="shared" si="49"/>
        <v>12560.895767919857</v>
      </c>
      <c r="V21" s="57">
        <f t="shared" si="49"/>
        <v>12877.626834464041</v>
      </c>
      <c r="W21" s="57">
        <f t="shared" si="49"/>
        <v>13234.785619252392</v>
      </c>
      <c r="X21" s="57">
        <f t="shared" si="49"/>
        <v>12421.615267728952</v>
      </c>
      <c r="Y21" s="57">
        <f t="shared" si="49"/>
        <v>13102.745875925964</v>
      </c>
      <c r="Z21" s="57">
        <f t="shared" ref="Z21:AA21" si="50">1000000*Z17/Z$3</f>
        <v>14525.916162646134</v>
      </c>
      <c r="AA21" s="57">
        <f t="shared" si="50"/>
        <v>14852.493503445656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172368.41015964808</v>
      </c>
      <c r="E23" s="60">
        <v>179162.697827239</v>
      </c>
      <c r="F23" s="60">
        <v>187603.62363905876</v>
      </c>
      <c r="G23" s="60">
        <v>199151.75</v>
      </c>
      <c r="H23" s="60">
        <v>211493.11219192165</v>
      </c>
      <c r="I23" s="60">
        <v>213750.45980716401</v>
      </c>
      <c r="J23" s="60">
        <v>224959.72254342498</v>
      </c>
      <c r="K23" s="60">
        <v>231617.01420778804</v>
      </c>
      <c r="L23" s="60">
        <v>232297.17106365241</v>
      </c>
      <c r="M23" s="60">
        <v>224662.72975424223</v>
      </c>
      <c r="N23" s="60">
        <v>211558.39241668631</v>
      </c>
      <c r="O23" s="60">
        <v>192782.11519091943</v>
      </c>
      <c r="P23" s="60">
        <v>178905.42786572082</v>
      </c>
      <c r="Q23" s="60">
        <v>175925.68980337601</v>
      </c>
      <c r="R23" s="60">
        <v>176130.22649783816</v>
      </c>
      <c r="S23" s="60">
        <v>176141.87060600001</v>
      </c>
      <c r="T23" s="60">
        <v>175531.7061092791</v>
      </c>
      <c r="U23" s="60">
        <v>179473.02992816753</v>
      </c>
      <c r="V23" s="60">
        <v>182571.72967306472</v>
      </c>
      <c r="W23" s="60">
        <v>185806.45455893708</v>
      </c>
      <c r="X23" s="60">
        <v>168900.83238881495</v>
      </c>
      <c r="Y23" s="60">
        <v>182623.52032570564</v>
      </c>
      <c r="Z23" s="60">
        <v>192295.08824878852</v>
      </c>
      <c r="AA23" s="60">
        <v>196528.1</v>
      </c>
    </row>
    <row r="24" spans="1:27" x14ac:dyDescent="0.25">
      <c r="A24" s="61" t="s">
        <v>33</v>
      </c>
      <c r="B24" s="62"/>
      <c r="C24" s="62"/>
      <c r="D24" s="63">
        <v>10664.625148279953</v>
      </c>
      <c r="E24" s="63">
        <v>10836.232427614781</v>
      </c>
      <c r="F24" s="63">
        <v>11019.739907325271</v>
      </c>
      <c r="G24" s="63">
        <v>11855.389990334255</v>
      </c>
      <c r="H24" s="63">
        <v>10694.710724517246</v>
      </c>
      <c r="I24" s="63">
        <v>10690.98023592782</v>
      </c>
      <c r="J24" s="63">
        <v>8359.2179959313544</v>
      </c>
      <c r="K24" s="63">
        <v>8299.7920234326157</v>
      </c>
      <c r="L24" s="63">
        <v>7624.8677850592321</v>
      </c>
      <c r="M24" s="63">
        <v>7363.3729959040365</v>
      </c>
      <c r="N24" s="63">
        <v>6990.4872580721185</v>
      </c>
      <c r="O24" s="63">
        <v>6734.3428011018241</v>
      </c>
      <c r="P24" s="63">
        <v>6943.5750448781337</v>
      </c>
      <c r="Q24" s="63">
        <v>6655.2730829896254</v>
      </c>
      <c r="R24" s="63">
        <v>7053.3537368746129</v>
      </c>
      <c r="S24" s="63">
        <v>7626.4878159999998</v>
      </c>
      <c r="T24" s="63">
        <v>6965.8151549896002</v>
      </c>
      <c r="U24" s="63">
        <v>7717.4111335269254</v>
      </c>
      <c r="V24" s="63">
        <v>7422.4631583259934</v>
      </c>
      <c r="W24" s="63">
        <v>7838.1242168136196</v>
      </c>
      <c r="X24" s="63">
        <v>7541.3065400588684</v>
      </c>
      <c r="Y24" s="63">
        <v>7393.5036148540912</v>
      </c>
      <c r="Z24" s="63">
        <v>8179.387899614896</v>
      </c>
      <c r="AA24" s="63">
        <v>7529.3</v>
      </c>
    </row>
    <row r="25" spans="1:27" x14ac:dyDescent="0.25">
      <c r="A25" s="64" t="s">
        <v>56</v>
      </c>
      <c r="B25" s="65"/>
      <c r="C25" s="65"/>
      <c r="D25" s="66">
        <v>869.03195432977441</v>
      </c>
      <c r="E25" s="66">
        <v>861.85466107818991</v>
      </c>
      <c r="F25" s="66">
        <v>887.17182942725231</v>
      </c>
      <c r="G25" s="66">
        <v>955.03849371812316</v>
      </c>
      <c r="H25" s="66">
        <v>982.14973884326866</v>
      </c>
      <c r="I25" s="66">
        <v>1055.8259363821053</v>
      </c>
      <c r="J25" s="66">
        <v>1046.2972333211621</v>
      </c>
      <c r="K25" s="66">
        <v>1096.5935553048166</v>
      </c>
      <c r="L25" s="66">
        <v>983.95711169707442</v>
      </c>
      <c r="M25" s="66">
        <v>918.91880422604106</v>
      </c>
      <c r="N25" s="66">
        <v>975.4078746724648</v>
      </c>
      <c r="O25" s="66">
        <v>996.50084239505622</v>
      </c>
      <c r="P25" s="66">
        <v>896.02269537587244</v>
      </c>
      <c r="Q25" s="66">
        <v>948.10939621643365</v>
      </c>
      <c r="R25" s="66">
        <v>971.50041724641176</v>
      </c>
      <c r="S25" s="66">
        <v>1023.5261939999999</v>
      </c>
      <c r="T25" s="66">
        <v>944.77173354979482</v>
      </c>
      <c r="U25" s="66">
        <v>952.89277905140341</v>
      </c>
      <c r="V25" s="66">
        <v>1021.2880369543398</v>
      </c>
      <c r="W25" s="66">
        <v>887.81722892399682</v>
      </c>
      <c r="X25" s="66">
        <v>712.48942683762755</v>
      </c>
      <c r="Y25" s="66">
        <v>751.30259168236398</v>
      </c>
      <c r="Z25" s="66">
        <v>556.62737064676958</v>
      </c>
      <c r="AA25" s="66">
        <v>533.09999999999991</v>
      </c>
    </row>
    <row r="26" spans="1:27" x14ac:dyDescent="0.25">
      <c r="A26" s="67" t="s">
        <v>146</v>
      </c>
      <c r="B26" s="44"/>
      <c r="C26" s="44"/>
      <c r="D26" s="45">
        <v>128455.71927515816</v>
      </c>
      <c r="E26" s="45">
        <v>132587.73202534081</v>
      </c>
      <c r="F26" s="45">
        <v>139509.2155363627</v>
      </c>
      <c r="G26" s="45">
        <v>144846.11496603154</v>
      </c>
      <c r="H26" s="45">
        <v>155984.87309076739</v>
      </c>
      <c r="I26" s="45">
        <v>162387.35771686662</v>
      </c>
      <c r="J26" s="45">
        <v>167753.03843304983</v>
      </c>
      <c r="K26" s="45">
        <v>177162.36261320967</v>
      </c>
      <c r="L26" s="45">
        <v>183869.35927739111</v>
      </c>
      <c r="M26" s="45">
        <v>180051.44826149708</v>
      </c>
      <c r="N26" s="45">
        <v>171626.56755783071</v>
      </c>
      <c r="O26" s="45">
        <v>157399.89051903549</v>
      </c>
      <c r="P26" s="45">
        <v>145064.12983075902</v>
      </c>
      <c r="Q26" s="45">
        <v>142732.94175051191</v>
      </c>
      <c r="R26" s="45">
        <v>144120.45395735567</v>
      </c>
      <c r="S26" s="45">
        <v>142847.908643</v>
      </c>
      <c r="T26" s="45">
        <v>142935.3492587895</v>
      </c>
      <c r="U26" s="45">
        <v>146838.59735595295</v>
      </c>
      <c r="V26" s="45">
        <v>149210.27544605362</v>
      </c>
      <c r="W26" s="45">
        <v>152229.61867463487</v>
      </c>
      <c r="X26" s="45">
        <v>136351.61729466554</v>
      </c>
      <c r="Y26" s="45">
        <v>146709.244104568</v>
      </c>
      <c r="Z26" s="45">
        <v>149807.87289410614</v>
      </c>
      <c r="AA26" s="45">
        <v>157024.50000000006</v>
      </c>
    </row>
    <row r="27" spans="1:27" x14ac:dyDescent="0.25">
      <c r="A27" s="68" t="s">
        <v>148</v>
      </c>
      <c r="B27" s="69"/>
      <c r="C27" s="69"/>
      <c r="D27" s="70">
        <v>48625.290865954928</v>
      </c>
      <c r="E27" s="70">
        <v>52542.432124102677</v>
      </c>
      <c r="F27" s="70">
        <v>53824.621391054658</v>
      </c>
      <c r="G27" s="70">
        <v>57527.867438802357</v>
      </c>
      <c r="H27" s="70">
        <v>65188.011099569194</v>
      </c>
      <c r="I27" s="70">
        <v>70189.195710207394</v>
      </c>
      <c r="J27" s="70">
        <v>72025.092765113935</v>
      </c>
      <c r="K27" s="70">
        <v>75963.0682419488</v>
      </c>
      <c r="L27" s="70">
        <v>79100.597941912114</v>
      </c>
      <c r="M27" s="70">
        <v>77571.516500877697</v>
      </c>
      <c r="N27" s="70">
        <v>73859.772476078244</v>
      </c>
      <c r="O27" s="70">
        <v>66501.054157484745</v>
      </c>
      <c r="P27" s="70">
        <v>62587.108800913862</v>
      </c>
      <c r="Q27" s="70">
        <v>62082.658142701803</v>
      </c>
      <c r="R27" s="70">
        <v>62468.901358863492</v>
      </c>
      <c r="S27" s="70">
        <v>60543.952816000005</v>
      </c>
      <c r="T27" s="70">
        <v>59623.040690984737</v>
      </c>
      <c r="U27" s="70">
        <v>61971.076932090269</v>
      </c>
      <c r="V27" s="70">
        <v>63989.255369031278</v>
      </c>
      <c r="W27" s="70">
        <v>64676.084761895094</v>
      </c>
      <c r="X27" s="70">
        <v>55230.032920043523</v>
      </c>
      <c r="Y27" s="70">
        <v>59653.087774079082</v>
      </c>
      <c r="Z27" s="70">
        <v>62296.249722688008</v>
      </c>
      <c r="AA27" s="70">
        <v>64294.800000000017</v>
      </c>
    </row>
    <row r="28" spans="1:27" x14ac:dyDescent="0.25">
      <c r="A28" s="68" t="s">
        <v>150</v>
      </c>
      <c r="B28" s="71"/>
      <c r="C28" s="71"/>
      <c r="D28" s="70">
        <v>49465.214468416365</v>
      </c>
      <c r="E28" s="70">
        <v>50612.031194295902</v>
      </c>
      <c r="F28" s="70">
        <v>55137.352241000968</v>
      </c>
      <c r="G28" s="70">
        <v>55734.402356868304</v>
      </c>
      <c r="H28" s="70">
        <v>58791.417834102394</v>
      </c>
      <c r="I28" s="70">
        <v>62043.949667654182</v>
      </c>
      <c r="J28" s="70">
        <v>66067.265230817386</v>
      </c>
      <c r="K28" s="70">
        <v>69094.251103067232</v>
      </c>
      <c r="L28" s="70">
        <v>71519.086491071605</v>
      </c>
      <c r="M28" s="70">
        <v>70982.297045055588</v>
      </c>
      <c r="N28" s="70">
        <v>67906.502345510264</v>
      </c>
      <c r="O28" s="70">
        <v>63960.096609042557</v>
      </c>
      <c r="P28" s="70">
        <v>57967.053227865734</v>
      </c>
      <c r="Q28" s="70">
        <v>57315.911054833312</v>
      </c>
      <c r="R28" s="70">
        <v>57759.976559604685</v>
      </c>
      <c r="S28" s="70">
        <v>58418.719140999994</v>
      </c>
      <c r="T28" s="70">
        <v>58921.216858606866</v>
      </c>
      <c r="U28" s="70">
        <v>59761.845231035724</v>
      </c>
      <c r="V28" s="70">
        <v>59313.033644017451</v>
      </c>
      <c r="W28" s="70">
        <v>62749.730830726105</v>
      </c>
      <c r="X28" s="70">
        <v>58712.753737752515</v>
      </c>
      <c r="Y28" s="70">
        <v>62948.276393318454</v>
      </c>
      <c r="Z28" s="70">
        <v>61945.123385417639</v>
      </c>
      <c r="AA28" s="70">
        <v>67534.099999999991</v>
      </c>
    </row>
    <row r="29" spans="1:27" x14ac:dyDescent="0.25">
      <c r="A29" s="68" t="s">
        <v>152</v>
      </c>
      <c r="B29" s="71"/>
      <c r="C29" s="71"/>
      <c r="D29" s="70">
        <v>30365.213940786864</v>
      </c>
      <c r="E29" s="70">
        <v>29433.268706942239</v>
      </c>
      <c r="F29" s="70">
        <v>30547.241904307069</v>
      </c>
      <c r="G29" s="70">
        <v>31583.845170360913</v>
      </c>
      <c r="H29" s="70">
        <v>32005.444157095797</v>
      </c>
      <c r="I29" s="70">
        <v>30154.212339005022</v>
      </c>
      <c r="J29" s="70">
        <v>29660.680437118564</v>
      </c>
      <c r="K29" s="70">
        <v>32105.043268193633</v>
      </c>
      <c r="L29" s="70">
        <v>33249.674844407396</v>
      </c>
      <c r="M29" s="70">
        <v>31497.634715563785</v>
      </c>
      <c r="N29" s="70">
        <v>29860.292736242216</v>
      </c>
      <c r="O29" s="70">
        <v>26938.739752508169</v>
      </c>
      <c r="P29" s="70">
        <v>24509.967801979448</v>
      </c>
      <c r="Q29" s="70">
        <v>23334.372552976794</v>
      </c>
      <c r="R29" s="70">
        <v>23891.576038887466</v>
      </c>
      <c r="S29" s="70">
        <v>23885.236686000004</v>
      </c>
      <c r="T29" s="70">
        <v>24391.091709197906</v>
      </c>
      <c r="U29" s="70">
        <v>25105.675192826944</v>
      </c>
      <c r="V29" s="70">
        <v>25907.986433004899</v>
      </c>
      <c r="W29" s="70">
        <v>24803.803082013681</v>
      </c>
      <c r="X29" s="70">
        <v>22408.830636869483</v>
      </c>
      <c r="Y29" s="70">
        <v>24107.879937170466</v>
      </c>
      <c r="Z29" s="70">
        <v>25566.499786000495</v>
      </c>
      <c r="AA29" s="70">
        <v>25195.600000000002</v>
      </c>
    </row>
    <row r="30" spans="1:27" x14ac:dyDescent="0.25">
      <c r="A30" s="64" t="s">
        <v>154</v>
      </c>
      <c r="B30" s="65"/>
      <c r="C30" s="65"/>
      <c r="D30" s="66">
        <v>3585.2489818109916</v>
      </c>
      <c r="E30" s="66">
        <v>3318.7161114322871</v>
      </c>
      <c r="F30" s="66">
        <v>3518.6556754350977</v>
      </c>
      <c r="G30" s="66">
        <v>3883.0896775713331</v>
      </c>
      <c r="H30" s="66">
        <v>4012.8499851377687</v>
      </c>
      <c r="I30" s="66">
        <v>4313.8955366247301</v>
      </c>
      <c r="J30" s="66">
        <v>4569.7295821814205</v>
      </c>
      <c r="K30" s="66">
        <v>4959.1851057600688</v>
      </c>
      <c r="L30" s="66">
        <v>5365.3739399344668</v>
      </c>
      <c r="M30" s="66">
        <v>5246.4243327555168</v>
      </c>
      <c r="N30" s="66">
        <v>4727.0716577631456</v>
      </c>
      <c r="O30" s="66">
        <v>5012.7863902791469</v>
      </c>
      <c r="P30" s="66">
        <v>6531.1773766211327</v>
      </c>
      <c r="Q30" s="66">
        <v>6373.6498074907186</v>
      </c>
      <c r="R30" s="66">
        <v>6410.374346830914</v>
      </c>
      <c r="S30" s="66">
        <v>6526.6011509999989</v>
      </c>
      <c r="T30" s="66">
        <v>6879.905821115115</v>
      </c>
      <c r="U30" s="66">
        <v>7028.4248968363117</v>
      </c>
      <c r="V30" s="66">
        <v>6598.8588135280743</v>
      </c>
      <c r="W30" s="66">
        <v>6366.497319390226</v>
      </c>
      <c r="X30" s="66">
        <v>5842.1609289947974</v>
      </c>
      <c r="Y30" s="66">
        <v>7298.7642998028832</v>
      </c>
      <c r="Z30" s="66">
        <v>12746.631770772541</v>
      </c>
      <c r="AA30" s="66">
        <v>9970.6999999999971</v>
      </c>
    </row>
    <row r="31" spans="1:27" x14ac:dyDescent="0.25">
      <c r="A31" s="64" t="s">
        <v>37</v>
      </c>
      <c r="B31" s="65"/>
      <c r="C31" s="65"/>
      <c r="D31" s="66">
        <v>11349.726067615658</v>
      </c>
      <c r="E31" s="66">
        <v>12056.507880474055</v>
      </c>
      <c r="F31" s="66">
        <v>12326.360707782809</v>
      </c>
      <c r="G31" s="66">
        <v>16661.114104120305</v>
      </c>
      <c r="H31" s="66">
        <v>18493.937961160806</v>
      </c>
      <c r="I31" s="66">
        <v>13762.534509022353</v>
      </c>
      <c r="J31" s="66">
        <v>21254.092351989988</v>
      </c>
      <c r="K31" s="66">
        <v>18063.031539252657</v>
      </c>
      <c r="L31" s="66">
        <v>13481.613512806096</v>
      </c>
      <c r="M31" s="66">
        <v>12114.514803978935</v>
      </c>
      <c r="N31" s="66">
        <v>9384.8409870374744</v>
      </c>
      <c r="O31" s="66">
        <v>6307.1566764817626</v>
      </c>
      <c r="P31" s="66">
        <v>4630.8707701759613</v>
      </c>
      <c r="Q31" s="66">
        <v>4964.8644910995072</v>
      </c>
      <c r="R31" s="66">
        <v>3402.647405806053</v>
      </c>
      <c r="S31" s="66">
        <v>3643.5666169999995</v>
      </c>
      <c r="T31" s="66">
        <v>3326.6772969407943</v>
      </c>
      <c r="U31" s="66">
        <v>2238.3356299352999</v>
      </c>
      <c r="V31" s="66">
        <v>2716.0527090972405</v>
      </c>
      <c r="W31" s="66">
        <v>2841.4414083133561</v>
      </c>
      <c r="X31" s="66">
        <v>2723.772170476997</v>
      </c>
      <c r="Y31" s="66">
        <v>3431.8596097113705</v>
      </c>
      <c r="Z31" s="66">
        <v>3697.36347681082</v>
      </c>
      <c r="AA31" s="66">
        <v>4172.7</v>
      </c>
    </row>
    <row r="32" spans="1:27" x14ac:dyDescent="0.25">
      <c r="A32" s="64" t="s">
        <v>58</v>
      </c>
      <c r="B32" s="65"/>
      <c r="C32" s="65"/>
      <c r="D32" s="66">
        <v>17444.058732453541</v>
      </c>
      <c r="E32" s="66">
        <v>19501.654721298833</v>
      </c>
      <c r="F32" s="66">
        <v>20342.479982725614</v>
      </c>
      <c r="G32" s="66">
        <v>20951.002768224429</v>
      </c>
      <c r="H32" s="66">
        <v>21324.590691495181</v>
      </c>
      <c r="I32" s="66">
        <v>21539.865872340422</v>
      </c>
      <c r="J32" s="66">
        <v>21977.346946951129</v>
      </c>
      <c r="K32" s="66">
        <v>22036.049370828205</v>
      </c>
      <c r="L32" s="66">
        <v>20971.999436764447</v>
      </c>
      <c r="M32" s="66">
        <v>18968.050555880633</v>
      </c>
      <c r="N32" s="66">
        <v>17854.01708131039</v>
      </c>
      <c r="O32" s="66">
        <v>16331.437961626139</v>
      </c>
      <c r="P32" s="66">
        <v>14839.652147910645</v>
      </c>
      <c r="Q32" s="66">
        <v>14250.851275067846</v>
      </c>
      <c r="R32" s="66">
        <v>14171.896633724522</v>
      </c>
      <c r="S32" s="66">
        <v>14473.780185</v>
      </c>
      <c r="T32" s="66">
        <v>14479.186843894275</v>
      </c>
      <c r="U32" s="66">
        <v>14697.368132864642</v>
      </c>
      <c r="V32" s="66">
        <v>15602.791509105438</v>
      </c>
      <c r="W32" s="66">
        <v>15642.955710861001</v>
      </c>
      <c r="X32" s="66">
        <v>15729.486027781135</v>
      </c>
      <c r="Y32" s="66">
        <v>17038.846105086912</v>
      </c>
      <c r="Z32" s="66">
        <v>17307.204836837354</v>
      </c>
      <c r="AA32" s="66">
        <v>17297.8</v>
      </c>
    </row>
    <row r="33" spans="1:27" x14ac:dyDescent="0.25">
      <c r="A33" s="72" t="s">
        <v>158</v>
      </c>
      <c r="B33" s="65"/>
      <c r="C33" s="65"/>
      <c r="D33" s="66">
        <v>1364.577036378015</v>
      </c>
      <c r="E33" s="66">
        <v>1315.9457062677652</v>
      </c>
      <c r="F33" s="66">
        <v>1318.9737265978804</v>
      </c>
      <c r="G33" s="66">
        <v>1434.5674196956413</v>
      </c>
      <c r="H33" s="66">
        <v>1456.763298488858</v>
      </c>
      <c r="I33" s="66">
        <v>1524.0077899272824</v>
      </c>
      <c r="J33" s="66">
        <v>1722.8940712534559</v>
      </c>
      <c r="K33" s="66">
        <v>2116.4567192320878</v>
      </c>
      <c r="L33" s="66">
        <v>1789.6347422300639</v>
      </c>
      <c r="M33" s="66">
        <v>1209.7760093622001</v>
      </c>
      <c r="N33" s="66">
        <v>1571.4890860240396</v>
      </c>
      <c r="O33" s="66">
        <v>1721.9319243920972</v>
      </c>
      <c r="P33" s="66">
        <v>1281.7647262673872</v>
      </c>
      <c r="Q33" s="66">
        <v>1082.7890940797274</v>
      </c>
      <c r="R33" s="66">
        <v>972.62226683137737</v>
      </c>
      <c r="S33" s="66">
        <v>993.48272999999995</v>
      </c>
      <c r="T33" s="66">
        <v>946.04189843234735</v>
      </c>
      <c r="U33" s="66">
        <v>1159.8669346375261</v>
      </c>
      <c r="V33" s="66">
        <v>1547.0846969293484</v>
      </c>
      <c r="W33" s="66">
        <v>1401.6467484051848</v>
      </c>
      <c r="X33" s="66">
        <v>1348.5792468045643</v>
      </c>
      <c r="Y33" s="66">
        <v>1353.8934549912296</v>
      </c>
      <c r="Z33" s="66">
        <v>1515.3266505131655</v>
      </c>
      <c r="AA33" s="66">
        <v>1392.5</v>
      </c>
    </row>
    <row r="34" spans="1:27" x14ac:dyDescent="0.25">
      <c r="A34" s="73" t="s">
        <v>5</v>
      </c>
      <c r="B34" s="65"/>
      <c r="C34" s="65"/>
      <c r="D34" s="66">
        <v>330.13068386208573</v>
      </c>
      <c r="E34" s="66">
        <v>356.93982179202868</v>
      </c>
      <c r="F34" s="66">
        <v>432.93372492613446</v>
      </c>
      <c r="G34" s="66">
        <v>449.12287206854705</v>
      </c>
      <c r="H34" s="66">
        <v>496.69066695526408</v>
      </c>
      <c r="I34" s="66">
        <v>563.55673818290177</v>
      </c>
      <c r="J34" s="66">
        <v>671.01716403736748</v>
      </c>
      <c r="K34" s="66">
        <v>836.58268769283529</v>
      </c>
      <c r="L34" s="66">
        <v>715.85389689202566</v>
      </c>
      <c r="M34" s="66">
        <v>483.91040374488006</v>
      </c>
      <c r="N34" s="66">
        <v>628.59563440961585</v>
      </c>
      <c r="O34" s="66">
        <v>688.7727697568389</v>
      </c>
      <c r="P34" s="66">
        <v>374.65217558936934</v>
      </c>
      <c r="Q34" s="66">
        <v>173.3589336671416</v>
      </c>
      <c r="R34" s="66">
        <v>287.21064765894937</v>
      </c>
      <c r="S34" s="66">
        <v>339.09471446222284</v>
      </c>
      <c r="T34" s="66">
        <v>192.69184437656807</v>
      </c>
      <c r="U34" s="66">
        <v>635.4397607518423</v>
      </c>
      <c r="V34" s="66">
        <v>873.04360572392113</v>
      </c>
      <c r="W34" s="66">
        <v>784.33942493235429</v>
      </c>
      <c r="X34" s="66">
        <v>524.32292939536387</v>
      </c>
      <c r="Y34" s="66">
        <v>493.59489656056843</v>
      </c>
      <c r="Z34" s="66">
        <v>423.73963414100325</v>
      </c>
      <c r="AA34" s="66">
        <v>351.19748761008663</v>
      </c>
    </row>
    <row r="35" spans="1:27" x14ac:dyDescent="0.25">
      <c r="A35" s="74" t="s">
        <v>264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330.13068386208573</v>
      </c>
      <c r="E36" s="45">
        <v>356.93982179202868</v>
      </c>
      <c r="F36" s="45">
        <v>432.93372492613446</v>
      </c>
      <c r="G36" s="45">
        <v>449.12287206854705</v>
      </c>
      <c r="H36" s="45">
        <v>496.69066695526408</v>
      </c>
      <c r="I36" s="45">
        <v>563.55673818290177</v>
      </c>
      <c r="J36" s="45">
        <v>671.01716403736748</v>
      </c>
      <c r="K36" s="45">
        <v>836.58268769283529</v>
      </c>
      <c r="L36" s="45">
        <v>715.85389689202566</v>
      </c>
      <c r="M36" s="45">
        <v>483.91040374488006</v>
      </c>
      <c r="N36" s="45">
        <v>628.59563440961585</v>
      </c>
      <c r="O36" s="45">
        <v>688.7727697568389</v>
      </c>
      <c r="P36" s="45">
        <v>374.65217558936934</v>
      </c>
      <c r="Q36" s="45">
        <v>173.3589336671416</v>
      </c>
      <c r="R36" s="45">
        <v>287.21064765894937</v>
      </c>
      <c r="S36" s="45">
        <v>339.09471446222284</v>
      </c>
      <c r="T36" s="45">
        <v>192.69184437656807</v>
      </c>
      <c r="U36" s="45">
        <v>635.4397607518423</v>
      </c>
      <c r="V36" s="45">
        <v>873.04360572392113</v>
      </c>
      <c r="W36" s="45">
        <v>784.33942493235429</v>
      </c>
      <c r="X36" s="45">
        <v>524.32292939536387</v>
      </c>
      <c r="Y36" s="45">
        <v>493.59489656056843</v>
      </c>
      <c r="Z36" s="45">
        <v>423.73963414100325</v>
      </c>
      <c r="AA36" s="45">
        <v>351.19748761008663</v>
      </c>
    </row>
    <row r="37" spans="1:27" x14ac:dyDescent="0.25">
      <c r="A37" s="73" t="s">
        <v>263</v>
      </c>
      <c r="B37" s="65"/>
      <c r="C37" s="65"/>
      <c r="D37" s="66">
        <v>1034.4463525159292</v>
      </c>
      <c r="E37" s="66">
        <v>959.00588447573659</v>
      </c>
      <c r="F37" s="66">
        <v>886.04000167174581</v>
      </c>
      <c r="G37" s="66">
        <v>985.44454762709427</v>
      </c>
      <c r="H37" s="66">
        <v>960.07263153359395</v>
      </c>
      <c r="I37" s="66">
        <v>960.45105174438061</v>
      </c>
      <c r="J37" s="66">
        <v>1051.8769072160885</v>
      </c>
      <c r="K37" s="66">
        <v>1279.8740315392524</v>
      </c>
      <c r="L37" s="66">
        <v>1073.7808453380383</v>
      </c>
      <c r="M37" s="66">
        <v>725.86560561731994</v>
      </c>
      <c r="N37" s="66">
        <v>942.89345161442384</v>
      </c>
      <c r="O37" s="66">
        <v>1033.1591546352583</v>
      </c>
      <c r="P37" s="66">
        <v>907.1125506780179</v>
      </c>
      <c r="Q37" s="66">
        <v>909.43016041258579</v>
      </c>
      <c r="R37" s="66">
        <v>685.41161917242789</v>
      </c>
      <c r="S37" s="66">
        <v>654.38801553777716</v>
      </c>
      <c r="T37" s="66">
        <v>753.35005405577931</v>
      </c>
      <c r="U37" s="66">
        <v>524.42717388568383</v>
      </c>
      <c r="V37" s="66">
        <v>674.04109120542716</v>
      </c>
      <c r="W37" s="66">
        <v>617.30732347283049</v>
      </c>
      <c r="X37" s="66">
        <v>824.25631740920039</v>
      </c>
      <c r="Y37" s="66">
        <v>860.29855843066116</v>
      </c>
      <c r="Z37" s="66">
        <v>1091.587016372162</v>
      </c>
      <c r="AA37" s="66">
        <v>1041.3025123899133</v>
      </c>
    </row>
    <row r="38" spans="1:27" x14ac:dyDescent="0.25">
      <c r="A38" s="74" t="s">
        <v>14</v>
      </c>
      <c r="B38" s="44"/>
      <c r="C38" s="44"/>
      <c r="D38" s="45">
        <v>236.589973903762</v>
      </c>
      <c r="E38" s="45">
        <v>233.24193164970288</v>
      </c>
      <c r="F38" s="45">
        <v>229.35446496675283</v>
      </c>
      <c r="G38" s="45">
        <v>255.08566943814904</v>
      </c>
      <c r="H38" s="45">
        <v>248.51806275015898</v>
      </c>
      <c r="I38" s="45">
        <v>248.6160181074948</v>
      </c>
      <c r="J38" s="45">
        <v>272.28191143768061</v>
      </c>
      <c r="K38" s="45">
        <v>331.29974174380072</v>
      </c>
      <c r="L38" s="45">
        <v>286.34155875681029</v>
      </c>
      <c r="M38" s="45">
        <v>193.56416149795203</v>
      </c>
      <c r="N38" s="45">
        <v>251.43825376384638</v>
      </c>
      <c r="O38" s="45">
        <v>275.50910790273559</v>
      </c>
      <c r="P38" s="45">
        <v>205.08235620278197</v>
      </c>
      <c r="Q38" s="45">
        <v>173.2462550527564</v>
      </c>
      <c r="R38" s="45">
        <v>127.97389818901212</v>
      </c>
      <c r="S38" s="45">
        <v>158.95723680000003</v>
      </c>
      <c r="T38" s="45">
        <v>151.36670374917557</v>
      </c>
      <c r="U38" s="45">
        <v>185.57870954200419</v>
      </c>
      <c r="V38" s="45">
        <v>247.53355150869575</v>
      </c>
      <c r="W38" s="45">
        <v>224.26347974482957</v>
      </c>
      <c r="X38" s="45">
        <v>260.03275040956277</v>
      </c>
      <c r="Y38" s="45">
        <v>291.41856245724932</v>
      </c>
      <c r="Z38" s="45">
        <v>350.61735531150362</v>
      </c>
      <c r="AA38" s="45">
        <v>330.70525800047301</v>
      </c>
    </row>
    <row r="39" spans="1:27" x14ac:dyDescent="0.25">
      <c r="A39" s="74" t="s">
        <v>19</v>
      </c>
      <c r="B39" s="44"/>
      <c r="C39" s="44"/>
      <c r="D39" s="45">
        <v>458.87684855141373</v>
      </c>
      <c r="E39" s="45">
        <v>402.23492488189373</v>
      </c>
      <c r="F39" s="45">
        <v>353.15261247484182</v>
      </c>
      <c r="G39" s="45">
        <v>392.77269173737182</v>
      </c>
      <c r="H39" s="45">
        <v>382.66010264996436</v>
      </c>
      <c r="I39" s="45">
        <v>372.80698957285415</v>
      </c>
      <c r="J39" s="45">
        <v>422.53216573315899</v>
      </c>
      <c r="K39" s="45">
        <v>501.94961261570097</v>
      </c>
      <c r="L39" s="45">
        <v>429.51233813521537</v>
      </c>
      <c r="M39" s="45">
        <v>290.346242246928</v>
      </c>
      <c r="N39" s="45">
        <v>377.15738064576954</v>
      </c>
      <c r="O39" s="45">
        <v>413.2636618541033</v>
      </c>
      <c r="P39" s="45">
        <v>307.62353430417295</v>
      </c>
      <c r="Q39" s="45">
        <v>259.86938257913459</v>
      </c>
      <c r="R39" s="45">
        <v>191.96084728351818</v>
      </c>
      <c r="S39" s="45">
        <v>238.43585519999999</v>
      </c>
      <c r="T39" s="45">
        <v>227.0500556237634</v>
      </c>
      <c r="U39" s="45">
        <v>278.36806431300624</v>
      </c>
      <c r="V39" s="45">
        <v>371.30032726304358</v>
      </c>
      <c r="W39" s="45">
        <v>336.39521961724432</v>
      </c>
      <c r="X39" s="45">
        <v>390.04912561434412</v>
      </c>
      <c r="Y39" s="45">
        <v>437.12784368587393</v>
      </c>
      <c r="Z39" s="45">
        <v>525.92603296725508</v>
      </c>
      <c r="AA39" s="45">
        <v>496.0578870007094</v>
      </c>
    </row>
    <row r="40" spans="1:27" x14ac:dyDescent="0.25">
      <c r="A40" s="75" t="s">
        <v>267</v>
      </c>
      <c r="B40" s="76"/>
      <c r="C40" s="76"/>
      <c r="D40" s="45">
        <v>452.17947206391023</v>
      </c>
      <c r="E40" s="45">
        <v>396.34415782629151</v>
      </c>
      <c r="F40" s="45">
        <v>349.75089901278955</v>
      </c>
      <c r="G40" s="45">
        <v>387.11082254058238</v>
      </c>
      <c r="H40" s="45">
        <v>377.13629575726935</v>
      </c>
      <c r="I40" s="45">
        <v>367.2932734963253</v>
      </c>
      <c r="J40" s="45">
        <v>416.2923653283184</v>
      </c>
      <c r="K40" s="45">
        <v>501.94961261570097</v>
      </c>
      <c r="L40" s="45">
        <v>429.51233813521537</v>
      </c>
      <c r="M40" s="45">
        <v>290.346242246928</v>
      </c>
      <c r="N40" s="45">
        <v>377.15738064576954</v>
      </c>
      <c r="O40" s="45">
        <v>413.2636618541033</v>
      </c>
      <c r="P40" s="45">
        <v>307.62353430417295</v>
      </c>
      <c r="Q40" s="45">
        <v>259.86938257913459</v>
      </c>
      <c r="R40" s="45">
        <v>191.96084728351818</v>
      </c>
      <c r="S40" s="45">
        <v>238.43585519999999</v>
      </c>
      <c r="T40" s="45">
        <v>227.0500556237634</v>
      </c>
      <c r="U40" s="45">
        <v>278.36806431300624</v>
      </c>
      <c r="V40" s="45">
        <v>371.30032726304358</v>
      </c>
      <c r="W40" s="45">
        <v>336.39521961724432</v>
      </c>
      <c r="X40" s="45">
        <v>390.04912561434412</v>
      </c>
      <c r="Y40" s="45">
        <v>437.12784368587393</v>
      </c>
      <c r="Z40" s="45">
        <v>525.92603296725508</v>
      </c>
      <c r="AA40" s="45">
        <v>496.0578870007094</v>
      </c>
    </row>
    <row r="41" spans="1:27" x14ac:dyDescent="0.25">
      <c r="A41" s="75" t="s">
        <v>268</v>
      </c>
      <c r="B41" s="76"/>
      <c r="C41" s="76"/>
      <c r="D41" s="45">
        <v>6.6973764875035044</v>
      </c>
      <c r="E41" s="45">
        <v>5.8907670556022254</v>
      </c>
      <c r="F41" s="45">
        <v>3.4017134620522711</v>
      </c>
      <c r="G41" s="45">
        <v>5.6618691967894392</v>
      </c>
      <c r="H41" s="45">
        <v>5.5238068926950064</v>
      </c>
      <c r="I41" s="45">
        <v>5.5137160765288513</v>
      </c>
      <c r="J41" s="45">
        <v>6.2398004048405937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</row>
    <row r="42" spans="1:27" x14ac:dyDescent="0.25">
      <c r="A42" s="74" t="s">
        <v>13</v>
      </c>
      <c r="B42" s="44"/>
      <c r="C42" s="44"/>
      <c r="D42" s="45">
        <v>338.97953006075346</v>
      </c>
      <c r="E42" s="45">
        <v>323.52902794413995</v>
      </c>
      <c r="F42" s="45">
        <v>303.53292423015114</v>
      </c>
      <c r="G42" s="45">
        <v>337.58618645157344</v>
      </c>
      <c r="H42" s="45">
        <v>328.89446613347059</v>
      </c>
      <c r="I42" s="45">
        <v>339.02804406403163</v>
      </c>
      <c r="J42" s="45">
        <v>357.06283004524897</v>
      </c>
      <c r="K42" s="45">
        <v>446.62467717975068</v>
      </c>
      <c r="L42" s="45">
        <v>357.9269484460126</v>
      </c>
      <c r="M42" s="45">
        <v>241.95520187243991</v>
      </c>
      <c r="N42" s="45">
        <v>314.29781720480787</v>
      </c>
      <c r="O42" s="45">
        <v>344.38638487841939</v>
      </c>
      <c r="P42" s="45">
        <v>394.40666017106298</v>
      </c>
      <c r="Q42" s="45">
        <v>476.3145227806948</v>
      </c>
      <c r="R42" s="45">
        <v>365.47687369989768</v>
      </c>
      <c r="S42" s="45">
        <v>256.99492353777714</v>
      </c>
      <c r="T42" s="45">
        <v>374.93329468284037</v>
      </c>
      <c r="U42" s="45">
        <v>60.480400030673422</v>
      </c>
      <c r="V42" s="45">
        <v>55.207212433687793</v>
      </c>
      <c r="W42" s="45">
        <v>56.648624110756607</v>
      </c>
      <c r="X42" s="45">
        <v>174.17444138529339</v>
      </c>
      <c r="Y42" s="45">
        <v>131.75215228753791</v>
      </c>
      <c r="Z42" s="45">
        <v>215.04362809340341</v>
      </c>
      <c r="AA42" s="45">
        <v>214.53936738873088</v>
      </c>
    </row>
    <row r="43" spans="1:27" x14ac:dyDescent="0.25">
      <c r="A43" s="72" t="s">
        <v>265</v>
      </c>
      <c r="B43" s="65"/>
      <c r="C43" s="65"/>
      <c r="D43" s="66">
        <v>2005.2420175958878</v>
      </c>
      <c r="E43" s="66">
        <v>2573.3653406079875</v>
      </c>
      <c r="F43" s="66">
        <v>2198.4223714925997</v>
      </c>
      <c r="G43" s="66">
        <v>2415.4605671319714</v>
      </c>
      <c r="H43" s="66">
        <v>2445.4012421545262</v>
      </c>
      <c r="I43" s="66">
        <v>2457.8318858066255</v>
      </c>
      <c r="J43" s="66">
        <v>2516.9069949402747</v>
      </c>
      <c r="K43" s="66">
        <v>2360.1733943011559</v>
      </c>
      <c r="L43" s="66">
        <v>2180.3933575043138</v>
      </c>
      <c r="M43" s="66">
        <v>2132.466500877706</v>
      </c>
      <c r="N43" s="66">
        <v>1916.083770916804</v>
      </c>
      <c r="O43" s="66">
        <v>1666.3717857142856</v>
      </c>
      <c r="P43" s="66">
        <v>1522.2116846339193</v>
      </c>
      <c r="Q43" s="66">
        <v>1819.2908193155879</v>
      </c>
      <c r="R43" s="66">
        <v>1686.1884805435452</v>
      </c>
      <c r="S43" s="66">
        <v>1836.8619409999999</v>
      </c>
      <c r="T43" s="66">
        <v>1802.8258464816599</v>
      </c>
      <c r="U43" s="66">
        <v>1883.4068398797699</v>
      </c>
      <c r="V43" s="66">
        <v>1936.5075834238075</v>
      </c>
      <c r="W43" s="66">
        <v>2007.8517421071881</v>
      </c>
      <c r="X43" s="66">
        <v>2253.7884026853753</v>
      </c>
      <c r="Y43" s="66">
        <v>2385.9012079413174</v>
      </c>
      <c r="Z43" s="66">
        <v>2351.5714000110556</v>
      </c>
      <c r="AA43" s="66">
        <v>2302.6000000000004</v>
      </c>
    </row>
    <row r="44" spans="1:27" x14ac:dyDescent="0.25">
      <c r="A44" s="73" t="s">
        <v>266</v>
      </c>
      <c r="B44" s="65"/>
      <c r="C44" s="65"/>
      <c r="D44" s="66">
        <v>862.14157152036375</v>
      </c>
      <c r="E44" s="66">
        <v>971.77950811774338</v>
      </c>
      <c r="F44" s="66">
        <v>768.93644544563233</v>
      </c>
      <c r="G44" s="66">
        <v>926.6619967630993</v>
      </c>
      <c r="H44" s="66">
        <v>952.92503116320779</v>
      </c>
      <c r="I44" s="66">
        <v>968.39655157554523</v>
      </c>
      <c r="J44" s="66">
        <v>1051.5210025559441</v>
      </c>
      <c r="K44" s="66">
        <v>1040.7298695275163</v>
      </c>
      <c r="L44" s="66">
        <v>1061.9543847063615</v>
      </c>
      <c r="M44" s="66">
        <v>964.14765944997077</v>
      </c>
      <c r="N44" s="66">
        <v>822.54279236389345</v>
      </c>
      <c r="O44" s="66">
        <v>787.57037044072945</v>
      </c>
      <c r="P44" s="66">
        <v>671.08844400072951</v>
      </c>
      <c r="Q44" s="66">
        <v>758.01925974547635</v>
      </c>
      <c r="R44" s="66">
        <v>814.92118591723272</v>
      </c>
      <c r="S44" s="66">
        <v>970.38112699999999</v>
      </c>
      <c r="T44" s="66">
        <v>956.78056516665822</v>
      </c>
      <c r="U44" s="66">
        <v>1039.8567099699426</v>
      </c>
      <c r="V44" s="66">
        <v>1021.2880369543398</v>
      </c>
      <c r="W44" s="66">
        <v>1034.8487993173785</v>
      </c>
      <c r="X44" s="66">
        <v>1149.3208126688439</v>
      </c>
      <c r="Y44" s="66">
        <v>1229.358394793494</v>
      </c>
      <c r="Z44" s="66">
        <v>1173.0073040850548</v>
      </c>
      <c r="AA44" s="66">
        <v>1149.9000000000001</v>
      </c>
    </row>
    <row r="45" spans="1:27" x14ac:dyDescent="0.25">
      <c r="A45" s="74" t="s">
        <v>20</v>
      </c>
      <c r="B45" s="44"/>
      <c r="C45" s="44"/>
      <c r="D45" s="45">
        <v>117.2486800200496</v>
      </c>
      <c r="E45" s="45">
        <v>124.48084770936903</v>
      </c>
      <c r="F45" s="45">
        <v>110.7296409337263</v>
      </c>
      <c r="G45" s="45">
        <v>121.55682416723825</v>
      </c>
      <c r="H45" s="45">
        <v>123.267343368011</v>
      </c>
      <c r="I45" s="45">
        <v>112.96726144926998</v>
      </c>
      <c r="J45" s="45">
        <v>117.71585445134981</v>
      </c>
      <c r="K45" s="45">
        <v>117.11027295398951</v>
      </c>
      <c r="L45" s="45">
        <v>236.59682397908014</v>
      </c>
      <c r="M45" s="45">
        <v>210.9493926768657</v>
      </c>
      <c r="N45" s="45">
        <v>167.992178390828</v>
      </c>
      <c r="O45" s="45">
        <v>184.80597596732252</v>
      </c>
      <c r="P45" s="45">
        <v>170.34634273651207</v>
      </c>
      <c r="Q45" s="45">
        <v>160.88378844516001</v>
      </c>
      <c r="R45" s="45">
        <v>178.45921873499918</v>
      </c>
      <c r="S45" s="45">
        <v>215.87028048196191</v>
      </c>
      <c r="T45" s="45">
        <v>156.65996390285267</v>
      </c>
      <c r="U45" s="45">
        <v>209.29082345341911</v>
      </c>
      <c r="V45" s="45">
        <v>250.38891422059149</v>
      </c>
      <c r="W45" s="45">
        <v>186.17445741478696</v>
      </c>
      <c r="X45" s="45">
        <v>236.22539870052466</v>
      </c>
      <c r="Y45" s="45">
        <v>376.80904418976547</v>
      </c>
      <c r="Z45" s="45">
        <v>330.34105620504357</v>
      </c>
      <c r="AA45" s="45">
        <v>254.02975473771556</v>
      </c>
    </row>
    <row r="46" spans="1:27" x14ac:dyDescent="0.25">
      <c r="A46" s="74" t="s">
        <v>12</v>
      </c>
      <c r="B46" s="44"/>
      <c r="C46" s="44"/>
      <c r="D46" s="45">
        <v>744.89289150031414</v>
      </c>
      <c r="E46" s="45">
        <v>847.2986604083743</v>
      </c>
      <c r="F46" s="45">
        <v>658.20680451190606</v>
      </c>
      <c r="G46" s="45">
        <v>805.10517259586106</v>
      </c>
      <c r="H46" s="45">
        <v>829.65768779519681</v>
      </c>
      <c r="I46" s="45">
        <v>855.42929012627519</v>
      </c>
      <c r="J46" s="45">
        <v>933.8051481045942</v>
      </c>
      <c r="K46" s="45">
        <v>923.61959657352679</v>
      </c>
      <c r="L46" s="45">
        <v>825.35756072728134</v>
      </c>
      <c r="M46" s="45">
        <v>753.19826677310505</v>
      </c>
      <c r="N46" s="45">
        <v>654.55061397306542</v>
      </c>
      <c r="O46" s="45">
        <v>602.76439447340692</v>
      </c>
      <c r="P46" s="45">
        <v>500.74210126421747</v>
      </c>
      <c r="Q46" s="45">
        <v>597.13547130031634</v>
      </c>
      <c r="R46" s="45">
        <v>636.46196718223359</v>
      </c>
      <c r="S46" s="45">
        <v>754.51084651803808</v>
      </c>
      <c r="T46" s="45">
        <v>800.12060126380561</v>
      </c>
      <c r="U46" s="45">
        <v>830.56588651652351</v>
      </c>
      <c r="V46" s="45">
        <v>770.8991227337483</v>
      </c>
      <c r="W46" s="45">
        <v>848.67434190259155</v>
      </c>
      <c r="X46" s="45">
        <v>913.09541396831924</v>
      </c>
      <c r="Y46" s="45">
        <v>852.5493506037285</v>
      </c>
      <c r="Z46" s="45">
        <v>842.66624788001127</v>
      </c>
      <c r="AA46" s="45">
        <v>895.87024526228447</v>
      </c>
    </row>
    <row r="47" spans="1:27" x14ac:dyDescent="0.25">
      <c r="A47" s="73" t="s">
        <v>11</v>
      </c>
      <c r="B47" s="65"/>
      <c r="C47" s="65"/>
      <c r="D47" s="66">
        <v>1143.1004460755239</v>
      </c>
      <c r="E47" s="66">
        <v>1601.5858324902442</v>
      </c>
      <c r="F47" s="66">
        <v>1429.4859260469675</v>
      </c>
      <c r="G47" s="66">
        <v>1488.7985703688719</v>
      </c>
      <c r="H47" s="66">
        <v>1492.4762109913183</v>
      </c>
      <c r="I47" s="66">
        <v>1489.4353342310801</v>
      </c>
      <c r="J47" s="66">
        <v>1465.3859923843306</v>
      </c>
      <c r="K47" s="66">
        <v>1319.4435247736394</v>
      </c>
      <c r="L47" s="66">
        <v>1118.4389727979526</v>
      </c>
      <c r="M47" s="66">
        <v>1168.3188414277354</v>
      </c>
      <c r="N47" s="66">
        <v>1093.5409785529107</v>
      </c>
      <c r="O47" s="66">
        <v>878.80141527355624</v>
      </c>
      <c r="P47" s="66">
        <v>851.12324063318977</v>
      </c>
      <c r="Q47" s="66">
        <v>1061.2715595701115</v>
      </c>
      <c r="R47" s="66">
        <v>871.26729462631249</v>
      </c>
      <c r="S47" s="66">
        <v>866.4808139999999</v>
      </c>
      <c r="T47" s="66">
        <v>846.04528131500183</v>
      </c>
      <c r="U47" s="66">
        <v>843.55012990982743</v>
      </c>
      <c r="V47" s="66">
        <v>915.21954646946779</v>
      </c>
      <c r="W47" s="66">
        <v>973.00294278980959</v>
      </c>
      <c r="X47" s="66">
        <v>1104.4675900165316</v>
      </c>
      <c r="Y47" s="66">
        <v>1156.5428131478234</v>
      </c>
      <c r="Z47" s="66">
        <v>1178.5640959260011</v>
      </c>
      <c r="AA47" s="66">
        <v>1152.7</v>
      </c>
    </row>
    <row r="48" spans="1:27" x14ac:dyDescent="0.25">
      <c r="A48" s="72" t="s">
        <v>4</v>
      </c>
      <c r="B48" s="65"/>
      <c r="C48" s="65"/>
      <c r="D48" s="66">
        <v>1892.324111555951</v>
      </c>
      <c r="E48" s="66">
        <v>1980.5661343161344</v>
      </c>
      <c r="F48" s="66">
        <v>1932.6352187310331</v>
      </c>
      <c r="G48" s="66">
        <v>2236.9070616135054</v>
      </c>
      <c r="H48" s="66">
        <v>1976.5292759201352</v>
      </c>
      <c r="I48" s="66">
        <v>1760.9884880150819</v>
      </c>
      <c r="J48" s="66">
        <v>1901.8081675447293</v>
      </c>
      <c r="K48" s="66">
        <v>1757.6516142692935</v>
      </c>
      <c r="L48" s="66">
        <v>1730.9437249161447</v>
      </c>
      <c r="M48" s="66">
        <v>1473.3404915155061</v>
      </c>
      <c r="N48" s="66">
        <v>1439.7449163327833</v>
      </c>
      <c r="O48" s="66">
        <v>989.81359897416417</v>
      </c>
      <c r="P48" s="66">
        <v>799.12289888740645</v>
      </c>
      <c r="Q48" s="66">
        <v>810.75394276645147</v>
      </c>
      <c r="R48" s="66">
        <v>896.88946880790593</v>
      </c>
      <c r="S48" s="66">
        <v>867.277421</v>
      </c>
      <c r="T48" s="66">
        <v>912.67120288163972</v>
      </c>
      <c r="U48" s="66">
        <v>913.58508227622417</v>
      </c>
      <c r="V48" s="66">
        <v>952.75147387180709</v>
      </c>
      <c r="W48" s="66">
        <v>1007.9140618016336</v>
      </c>
      <c r="X48" s="66">
        <v>949.14466553767988</v>
      </c>
      <c r="Y48" s="66">
        <v>945.92204193908481</v>
      </c>
      <c r="Z48" s="66">
        <v>947.38058631681747</v>
      </c>
      <c r="AA48" s="66">
        <v>990.19999999999993</v>
      </c>
    </row>
    <row r="49" spans="1:27" x14ac:dyDescent="0.25">
      <c r="A49" s="77" t="s">
        <v>10</v>
      </c>
      <c r="B49" s="44"/>
      <c r="C49" s="44"/>
      <c r="D49" s="45">
        <v>1316.9487615156211</v>
      </c>
      <c r="E49" s="45">
        <v>1341.0596862307987</v>
      </c>
      <c r="F49" s="45">
        <v>1280.715091537442</v>
      </c>
      <c r="G49" s="45">
        <v>1460.2008601656023</v>
      </c>
      <c r="H49" s="45">
        <v>1307.4873713877953</v>
      </c>
      <c r="I49" s="45">
        <v>990.47442964181869</v>
      </c>
      <c r="J49" s="45">
        <v>1226.4180852007739</v>
      </c>
      <c r="K49" s="45">
        <v>1187.9383952038675</v>
      </c>
      <c r="L49" s="45">
        <v>1115.4718624580723</v>
      </c>
      <c r="M49" s="45">
        <v>945.8469875456949</v>
      </c>
      <c r="N49" s="45">
        <v>819.87245816639165</v>
      </c>
      <c r="O49" s="45">
        <v>494.90679948708208</v>
      </c>
      <c r="P49" s="45">
        <v>496.83314517702138</v>
      </c>
      <c r="Q49" s="45">
        <v>479.63610287775799</v>
      </c>
      <c r="R49" s="45">
        <v>574.44909788753012</v>
      </c>
      <c r="S49" s="45">
        <v>416.46771468770237</v>
      </c>
      <c r="T49" s="45">
        <v>511.58979214277298</v>
      </c>
      <c r="U49" s="45">
        <v>408.71925169004101</v>
      </c>
      <c r="V49" s="45">
        <v>427.36913126425475</v>
      </c>
      <c r="W49" s="45">
        <v>521.91293332288842</v>
      </c>
      <c r="X49" s="45">
        <v>540.29568986409186</v>
      </c>
      <c r="Y49" s="45">
        <v>500</v>
      </c>
      <c r="Z49" s="45">
        <v>554.37412267426373</v>
      </c>
      <c r="AA49" s="45">
        <v>670.39704965575515</v>
      </c>
    </row>
    <row r="50" spans="1:27" x14ac:dyDescent="0.25">
      <c r="A50" s="77" t="s">
        <v>18</v>
      </c>
      <c r="B50" s="44"/>
      <c r="C50" s="44"/>
      <c r="D50" s="45">
        <v>179.75788267860185</v>
      </c>
      <c r="E50" s="45">
        <v>201.32654723104187</v>
      </c>
      <c r="F50" s="45">
        <v>200.47926041487034</v>
      </c>
      <c r="G50" s="45">
        <v>192.35163274647459</v>
      </c>
      <c r="H50" s="45">
        <v>157.26673274467046</v>
      </c>
      <c r="I50" s="45">
        <v>110.76725170614124</v>
      </c>
      <c r="J50" s="45">
        <v>105.61253132458415</v>
      </c>
      <c r="K50" s="45">
        <v>108.17455503704774</v>
      </c>
      <c r="L50" s="45">
        <v>121.16606074413014</v>
      </c>
      <c r="M50" s="45">
        <v>113.13383440608544</v>
      </c>
      <c r="N50" s="45">
        <v>105.78214414329484</v>
      </c>
      <c r="O50" s="45">
        <v>89.286951928191499</v>
      </c>
      <c r="P50" s="45">
        <v>63.645058355372335</v>
      </c>
      <c r="Q50" s="45">
        <v>60.714846121513332</v>
      </c>
      <c r="R50" s="45">
        <v>94.188173722493786</v>
      </c>
      <c r="S50" s="45">
        <v>56.148823040224485</v>
      </c>
      <c r="T50" s="45">
        <v>69.872981339433338</v>
      </c>
      <c r="U50" s="45">
        <v>69.627093793935785</v>
      </c>
      <c r="V50" s="45">
        <v>60.349335213373358</v>
      </c>
      <c r="W50" s="45">
        <v>47.904911081616241</v>
      </c>
      <c r="X50" s="45">
        <v>45.472268927710012</v>
      </c>
      <c r="Y50" s="45">
        <v>105.7935013534594</v>
      </c>
      <c r="Z50" s="45">
        <v>109.63335729541711</v>
      </c>
      <c r="AA50" s="45">
        <v>131.87685738099859</v>
      </c>
    </row>
    <row r="51" spans="1:27" x14ac:dyDescent="0.25">
      <c r="A51" s="77" t="s">
        <v>9</v>
      </c>
      <c r="B51" s="44"/>
      <c r="C51" s="44"/>
      <c r="D51" s="45">
        <v>395.61746736172813</v>
      </c>
      <c r="E51" s="45">
        <v>438.17990085429381</v>
      </c>
      <c r="F51" s="45">
        <v>451.4408667787207</v>
      </c>
      <c r="G51" s="45">
        <v>584.35456870142855</v>
      </c>
      <c r="H51" s="45">
        <v>511.77517178766948</v>
      </c>
      <c r="I51" s="45">
        <v>659.74680666712197</v>
      </c>
      <c r="J51" s="45">
        <v>569.77755101937123</v>
      </c>
      <c r="K51" s="45">
        <v>461.53866402837832</v>
      </c>
      <c r="L51" s="45">
        <v>494.30580171394217</v>
      </c>
      <c r="M51" s="45">
        <v>414.35966956372573</v>
      </c>
      <c r="N51" s="45">
        <v>514.09031402309677</v>
      </c>
      <c r="O51" s="45">
        <v>405.61984755889057</v>
      </c>
      <c r="P51" s="45">
        <v>238.64469535501274</v>
      </c>
      <c r="Q51" s="45">
        <v>270.40299376718013</v>
      </c>
      <c r="R51" s="45">
        <v>228.25219719788203</v>
      </c>
      <c r="S51" s="45">
        <v>394.66088327207314</v>
      </c>
      <c r="T51" s="45">
        <v>331.20842939943338</v>
      </c>
      <c r="U51" s="45">
        <v>435.23873679224738</v>
      </c>
      <c r="V51" s="45">
        <v>465.03300739417898</v>
      </c>
      <c r="W51" s="45">
        <v>438.0962173971289</v>
      </c>
      <c r="X51" s="45">
        <v>363.37670674587804</v>
      </c>
      <c r="Y51" s="45">
        <v>340.12854058562539</v>
      </c>
      <c r="Z51" s="45">
        <v>283.37310634713663</v>
      </c>
      <c r="AA51" s="45">
        <v>187.92609296324619</v>
      </c>
    </row>
    <row r="52" spans="1:27" x14ac:dyDescent="0.25">
      <c r="A52" s="72" t="s">
        <v>3</v>
      </c>
      <c r="B52" s="65"/>
      <c r="C52" s="65"/>
      <c r="D52" s="66">
        <v>1707.2681161032028</v>
      </c>
      <c r="E52" s="66">
        <v>2014.5578575902105</v>
      </c>
      <c r="F52" s="66">
        <v>2147.151086652038</v>
      </c>
      <c r="G52" s="66">
        <v>1943.4960718861691</v>
      </c>
      <c r="H52" s="66">
        <v>1958.3617315809042</v>
      </c>
      <c r="I52" s="66">
        <v>1933.8507664960944</v>
      </c>
      <c r="J52" s="66">
        <v>2031.0964561055764</v>
      </c>
      <c r="K52" s="66">
        <v>2199.531518078606</v>
      </c>
      <c r="L52" s="66">
        <v>1375.3776557380229</v>
      </c>
      <c r="M52" s="66">
        <v>1220.5162083089526</v>
      </c>
      <c r="N52" s="66">
        <v>930.5773028517558</v>
      </c>
      <c r="O52" s="66">
        <v>799.24448518237091</v>
      </c>
      <c r="P52" s="66">
        <v>728.00478444096723</v>
      </c>
      <c r="Q52" s="66">
        <v>674.73636710981361</v>
      </c>
      <c r="R52" s="66">
        <v>782.49666460778258</v>
      </c>
      <c r="S52" s="66">
        <v>752.90741600000001</v>
      </c>
      <c r="T52" s="66">
        <v>751.36026279742282</v>
      </c>
      <c r="U52" s="66">
        <v>755.07882418870054</v>
      </c>
      <c r="V52" s="66">
        <v>792.36659155622033</v>
      </c>
      <c r="W52" s="66">
        <v>787.34977347527547</v>
      </c>
      <c r="X52" s="66">
        <v>791.87160094351032</v>
      </c>
      <c r="Y52" s="66">
        <v>910.761870116409</v>
      </c>
      <c r="Z52" s="66">
        <v>896.11131819940681</v>
      </c>
      <c r="AA52" s="66">
        <v>881.3</v>
      </c>
    </row>
    <row r="53" spans="1:27" x14ac:dyDescent="0.25">
      <c r="A53" s="73" t="s">
        <v>21</v>
      </c>
      <c r="B53" s="65"/>
      <c r="C53" s="65"/>
      <c r="D53" s="66">
        <v>513.82568950177927</v>
      </c>
      <c r="E53" s="66">
        <v>469.99039962422313</v>
      </c>
      <c r="F53" s="66">
        <v>554.28775036182822</v>
      </c>
      <c r="G53" s="66">
        <v>494.09182794973816</v>
      </c>
      <c r="H53" s="66">
        <v>474.84485752400121</v>
      </c>
      <c r="I53" s="66">
        <v>455.6943894424993</v>
      </c>
      <c r="J53" s="66">
        <v>448.65054405091024</v>
      </c>
      <c r="K53" s="66">
        <v>537.92079695093673</v>
      </c>
      <c r="L53" s="66">
        <v>507.36839967427341</v>
      </c>
      <c r="M53" s="66">
        <v>399.75020479812753</v>
      </c>
      <c r="N53" s="66">
        <v>355.32303747348573</v>
      </c>
      <c r="O53" s="66">
        <v>331.09086531155015</v>
      </c>
      <c r="P53" s="66">
        <v>310.69111748951241</v>
      </c>
      <c r="Q53" s="66">
        <v>313.28638327471521</v>
      </c>
      <c r="R53" s="66">
        <v>403.15243977764055</v>
      </c>
      <c r="S53" s="66">
        <v>409.911202</v>
      </c>
      <c r="T53" s="66">
        <v>405.18259753437167</v>
      </c>
      <c r="U53" s="66">
        <v>406.52738906719657</v>
      </c>
      <c r="V53" s="66">
        <v>435.11392854948076</v>
      </c>
      <c r="W53" s="66">
        <v>429.68420320182037</v>
      </c>
      <c r="X53" s="66">
        <v>461.83906495705821</v>
      </c>
      <c r="Y53" s="66">
        <v>544.75582343326425</v>
      </c>
      <c r="Z53" s="66">
        <v>533.76655211807417</v>
      </c>
      <c r="AA53" s="66">
        <v>550.79999999999995</v>
      </c>
    </row>
    <row r="54" spans="1:27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</row>
    <row r="55" spans="1:27" x14ac:dyDescent="0.25">
      <c r="A55" s="74" t="s">
        <v>17</v>
      </c>
      <c r="B55" s="44"/>
      <c r="C55" s="44"/>
      <c r="D55" s="45">
        <v>513.82568950177927</v>
      </c>
      <c r="E55" s="45">
        <v>469.99039962422313</v>
      </c>
      <c r="F55" s="45">
        <v>554.28775036182822</v>
      </c>
      <c r="G55" s="45">
        <v>494.09182794973816</v>
      </c>
      <c r="H55" s="45">
        <v>474.84485752400121</v>
      </c>
      <c r="I55" s="45">
        <v>455.6943894424993</v>
      </c>
      <c r="J55" s="45">
        <v>448.65054405091024</v>
      </c>
      <c r="K55" s="45">
        <v>537.92079695093673</v>
      </c>
      <c r="L55" s="45">
        <v>507.36839967427341</v>
      </c>
      <c r="M55" s="45">
        <v>399.75020479812753</v>
      </c>
      <c r="N55" s="45">
        <v>355.32303747348573</v>
      </c>
      <c r="O55" s="45">
        <v>331.09086531155015</v>
      </c>
      <c r="P55" s="45">
        <v>310.69111748951241</v>
      </c>
      <c r="Q55" s="45">
        <v>313.28638327471521</v>
      </c>
      <c r="R55" s="45">
        <v>403.15243977764055</v>
      </c>
      <c r="S55" s="45">
        <v>409.911202</v>
      </c>
      <c r="T55" s="45">
        <v>405.18259753437167</v>
      </c>
      <c r="U55" s="45">
        <v>406.52738906719657</v>
      </c>
      <c r="V55" s="45">
        <v>435.11392854948076</v>
      </c>
      <c r="W55" s="45">
        <v>429.68420320182037</v>
      </c>
      <c r="X55" s="45">
        <v>461.83906495705821</v>
      </c>
      <c r="Y55" s="45">
        <v>544.75582343326425</v>
      </c>
      <c r="Z55" s="45">
        <v>533.76655211807417</v>
      </c>
      <c r="AA55" s="45">
        <v>550.79999999999995</v>
      </c>
    </row>
    <row r="56" spans="1:27" x14ac:dyDescent="0.25">
      <c r="A56" s="73" t="s">
        <v>16</v>
      </c>
      <c r="B56" s="65"/>
      <c r="C56" s="65"/>
      <c r="D56" s="66">
        <v>1193.4424266014234</v>
      </c>
      <c r="E56" s="66">
        <v>1544.5674579659874</v>
      </c>
      <c r="F56" s="66">
        <v>1592.8633362902096</v>
      </c>
      <c r="G56" s="66">
        <v>1449.4042439364309</v>
      </c>
      <c r="H56" s="66">
        <v>1483.5168740569029</v>
      </c>
      <c r="I56" s="66">
        <v>1478.1563770535952</v>
      </c>
      <c r="J56" s="66">
        <v>1582.4459120546662</v>
      </c>
      <c r="K56" s="66">
        <v>1661.6107211276694</v>
      </c>
      <c r="L56" s="66">
        <v>868.00925606374938</v>
      </c>
      <c r="M56" s="66">
        <v>820.76600351082504</v>
      </c>
      <c r="N56" s="66">
        <v>575.25426537827013</v>
      </c>
      <c r="O56" s="66">
        <v>468.15361987082071</v>
      </c>
      <c r="P56" s="66">
        <v>417.31366695145482</v>
      </c>
      <c r="Q56" s="66">
        <v>361.44998383509841</v>
      </c>
      <c r="R56" s="66">
        <v>379.34422483014197</v>
      </c>
      <c r="S56" s="66">
        <v>342.99621399999995</v>
      </c>
      <c r="T56" s="66">
        <v>346.1776652630511</v>
      </c>
      <c r="U56" s="66">
        <v>348.55143512150397</v>
      </c>
      <c r="V56" s="66">
        <v>357.25266300673951</v>
      </c>
      <c r="W56" s="66">
        <v>357.6655702734551</v>
      </c>
      <c r="X56" s="66">
        <v>330.0325359864521</v>
      </c>
      <c r="Y56" s="66">
        <v>366.00604668314475</v>
      </c>
      <c r="Z56" s="66">
        <v>362.34476608133264</v>
      </c>
      <c r="AA56" s="66">
        <v>330.5</v>
      </c>
    </row>
    <row r="57" spans="1:27" x14ac:dyDescent="0.25">
      <c r="A57" s="72" t="s">
        <v>2</v>
      </c>
      <c r="B57" s="65"/>
      <c r="C57" s="65"/>
      <c r="D57" s="66">
        <v>4190.4777085804662</v>
      </c>
      <c r="E57" s="66">
        <v>4781.7308462205519</v>
      </c>
      <c r="F57" s="66">
        <v>5580.4675906905086</v>
      </c>
      <c r="G57" s="66">
        <v>5603.5871277002279</v>
      </c>
      <c r="H57" s="66">
        <v>5853.6823342882763</v>
      </c>
      <c r="I57" s="66">
        <v>6028.6026113654716</v>
      </c>
      <c r="J57" s="66">
        <v>5865.9366845756613</v>
      </c>
      <c r="K57" s="66">
        <v>5808.2365232208749</v>
      </c>
      <c r="L57" s="66">
        <v>6151.8556362332056</v>
      </c>
      <c r="M57" s="66">
        <v>6003.4490052662368</v>
      </c>
      <c r="N57" s="66">
        <v>5937.4994522743336</v>
      </c>
      <c r="O57" s="66">
        <v>5891.2122919832827</v>
      </c>
      <c r="P57" s="66">
        <v>6085.4601616572754</v>
      </c>
      <c r="Q57" s="66">
        <v>5603.4781577890335</v>
      </c>
      <c r="R57" s="66">
        <v>5806.7102532427425</v>
      </c>
      <c r="S57" s="66">
        <v>5619.6071810000003</v>
      </c>
      <c r="T57" s="66">
        <v>5767.9342012074476</v>
      </c>
      <c r="U57" s="66">
        <v>5506.9039614855583</v>
      </c>
      <c r="V57" s="66">
        <v>5651.8187199131453</v>
      </c>
      <c r="W57" s="66">
        <v>5609.5925866482476</v>
      </c>
      <c r="X57" s="66">
        <v>5610.4383976452564</v>
      </c>
      <c r="Y57" s="66">
        <v>5881.2759667517148</v>
      </c>
      <c r="Z57" s="66">
        <v>5920.4995937056628</v>
      </c>
      <c r="AA57" s="66">
        <v>6118.4</v>
      </c>
    </row>
    <row r="58" spans="1:27" x14ac:dyDescent="0.25">
      <c r="A58" s="72" t="s">
        <v>269</v>
      </c>
      <c r="B58" s="65"/>
      <c r="C58" s="65"/>
      <c r="D58" s="66">
        <v>482.04555654408858</v>
      </c>
      <c r="E58" s="66">
        <v>487.67157826275474</v>
      </c>
      <c r="F58" s="66">
        <v>563.7184789205844</v>
      </c>
      <c r="G58" s="66">
        <v>629.28599366106948</v>
      </c>
      <c r="H58" s="66">
        <v>622.42504647145017</v>
      </c>
      <c r="I58" s="66">
        <v>612.37381632103416</v>
      </c>
      <c r="J58" s="66">
        <v>783.32794116112882</v>
      </c>
      <c r="K58" s="66">
        <v>718.87239609590836</v>
      </c>
      <c r="L58" s="66">
        <v>590.33013843379808</v>
      </c>
      <c r="M58" s="66">
        <v>633.77913984786426</v>
      </c>
      <c r="N58" s="66">
        <v>342.01988027339149</v>
      </c>
      <c r="O58" s="66">
        <v>429.45609137537991</v>
      </c>
      <c r="P58" s="66">
        <v>174.90030910714114</v>
      </c>
      <c r="Q58" s="66">
        <v>357.99379953562652</v>
      </c>
      <c r="R58" s="66">
        <v>260.18977764051886</v>
      </c>
      <c r="S58" s="66">
        <v>456.11440800000003</v>
      </c>
      <c r="T58" s="66">
        <v>404.9516584648166</v>
      </c>
      <c r="U58" s="66">
        <v>472.38807274950329</v>
      </c>
      <c r="V58" s="66">
        <v>546.3110053874675</v>
      </c>
      <c r="W58" s="66">
        <v>550.48592296127754</v>
      </c>
      <c r="X58" s="66">
        <v>450.59708076287245</v>
      </c>
      <c r="Y58" s="66">
        <v>466.83634587785048</v>
      </c>
      <c r="Z58" s="66">
        <v>504.51476110629989</v>
      </c>
      <c r="AA58" s="66">
        <v>491.1</v>
      </c>
    </row>
    <row r="59" spans="1:27" x14ac:dyDescent="0.25">
      <c r="A59" s="72" t="s">
        <v>270</v>
      </c>
      <c r="B59" s="65"/>
      <c r="C59" s="65"/>
      <c r="D59" s="66">
        <v>2365.9324646599443</v>
      </c>
      <c r="E59" s="66">
        <v>2852.8376138170256</v>
      </c>
      <c r="F59" s="66">
        <v>2704.0953802698536</v>
      </c>
      <c r="G59" s="66">
        <v>2871.4371052217502</v>
      </c>
      <c r="H59" s="66">
        <v>3037.2152207667241</v>
      </c>
      <c r="I59" s="66">
        <v>3512.1691871801777</v>
      </c>
      <c r="J59" s="66">
        <v>3576.8572614887071</v>
      </c>
      <c r="K59" s="66">
        <v>3754.544879912884</v>
      </c>
      <c r="L59" s="66">
        <v>3595.7073821664699</v>
      </c>
      <c r="M59" s="66">
        <v>3043.664979520187</v>
      </c>
      <c r="N59" s="66">
        <v>3010.1611670987509</v>
      </c>
      <c r="O59" s="66">
        <v>2523.8787509498479</v>
      </c>
      <c r="P59" s="66">
        <v>2276.9813508558045</v>
      </c>
      <c r="Q59" s="66">
        <v>2219.7622387898855</v>
      </c>
      <c r="R59" s="66">
        <v>2114.3962322421248</v>
      </c>
      <c r="S59" s="66">
        <v>2144.3522429999998</v>
      </c>
      <c r="T59" s="66">
        <v>2117.1339201461114</v>
      </c>
      <c r="U59" s="66">
        <v>2225.9287757909219</v>
      </c>
      <c r="V59" s="66">
        <v>2371.7380707540406</v>
      </c>
      <c r="W59" s="66">
        <v>2467.4762758522611</v>
      </c>
      <c r="X59" s="66">
        <v>2533.805580420144</v>
      </c>
      <c r="Y59" s="66">
        <v>3160.5591871312399</v>
      </c>
      <c r="Z59" s="66">
        <v>3263.6191778297807</v>
      </c>
      <c r="AA59" s="66">
        <v>3111.7</v>
      </c>
    </row>
    <row r="60" spans="1:27" x14ac:dyDescent="0.25">
      <c r="A60" s="72" t="s">
        <v>1</v>
      </c>
      <c r="B60" s="65"/>
      <c r="C60" s="65"/>
      <c r="D60" s="66">
        <v>1761.1255980624753</v>
      </c>
      <c r="E60" s="66">
        <v>1486.1784494387434</v>
      </c>
      <c r="F60" s="66">
        <v>1788.7834014193006</v>
      </c>
      <c r="G60" s="66">
        <v>1822.6271157866342</v>
      </c>
      <c r="H60" s="66">
        <v>1799.333500995036</v>
      </c>
      <c r="I60" s="66">
        <v>1554.1667406409911</v>
      </c>
      <c r="J60" s="66">
        <v>1318.5268436701267</v>
      </c>
      <c r="K60" s="66">
        <v>1357.3091098832404</v>
      </c>
      <c r="L60" s="66">
        <v>1324.2988192411349</v>
      </c>
      <c r="M60" s="66">
        <v>1083.3638677589233</v>
      </c>
      <c r="N60" s="66">
        <v>978.74760593919393</v>
      </c>
      <c r="O60" s="66">
        <v>837.94201367781159</v>
      </c>
      <c r="P60" s="66">
        <v>758.3747319311517</v>
      </c>
      <c r="Q60" s="66">
        <v>671.50316244256567</v>
      </c>
      <c r="R60" s="66">
        <v>631.14444101297101</v>
      </c>
      <c r="S60" s="66">
        <v>671.42589999999996</v>
      </c>
      <c r="T60" s="66">
        <v>637.85371011110544</v>
      </c>
      <c r="U60" s="66">
        <v>629.61885985022172</v>
      </c>
      <c r="V60" s="66">
        <v>607.73748284409123</v>
      </c>
      <c r="W60" s="66">
        <v>585.62824143675596</v>
      </c>
      <c r="X60" s="66">
        <v>477.32547175517118</v>
      </c>
      <c r="Y60" s="66">
        <v>533.52725243182908</v>
      </c>
      <c r="Z60" s="66">
        <v>536.38768034493569</v>
      </c>
      <c r="AA60" s="66">
        <v>521.4</v>
      </c>
    </row>
    <row r="61" spans="1:27" x14ac:dyDescent="0.25">
      <c r="A61" s="72" t="s">
        <v>0</v>
      </c>
      <c r="B61" s="65"/>
      <c r="C61" s="65"/>
      <c r="D61" s="66">
        <v>553.33992561289051</v>
      </c>
      <c r="E61" s="66">
        <v>673.80367586838179</v>
      </c>
      <c r="F61" s="66">
        <v>816.09008823941349</v>
      </c>
      <c r="G61" s="66">
        <v>771.25905320655477</v>
      </c>
      <c r="H61" s="66">
        <v>786.05738075972636</v>
      </c>
      <c r="I61" s="66">
        <v>790.99817075141391</v>
      </c>
      <c r="J61" s="66">
        <v>730.73408272912218</v>
      </c>
      <c r="K61" s="66">
        <v>636.60080663050269</v>
      </c>
      <c r="L61" s="66">
        <v>711.13213835624413</v>
      </c>
      <c r="M61" s="66">
        <v>653.00409596255111</v>
      </c>
      <c r="N61" s="66">
        <v>353.92835163799197</v>
      </c>
      <c r="O61" s="66">
        <v>260.18142762158055</v>
      </c>
      <c r="P61" s="66">
        <v>169.32884392009294</v>
      </c>
      <c r="Q61" s="66">
        <v>119.62857268817416</v>
      </c>
      <c r="R61" s="66">
        <v>106.68347745521926</v>
      </c>
      <c r="S61" s="66">
        <v>98.096462000000002</v>
      </c>
      <c r="T61" s="66">
        <v>106.57838059966515</v>
      </c>
      <c r="U61" s="66">
        <v>112.47335065464365</v>
      </c>
      <c r="V61" s="66">
        <v>120.75489685970052</v>
      </c>
      <c r="W61" s="66">
        <v>127.85330340091829</v>
      </c>
      <c r="X61" s="66">
        <v>152.56978549252045</v>
      </c>
      <c r="Y61" s="66">
        <v>149.71428001913571</v>
      </c>
      <c r="Z61" s="66">
        <v>167.12313574468871</v>
      </c>
      <c r="AA61" s="66">
        <v>192.8</v>
      </c>
    </row>
    <row r="62" spans="1:27" x14ac:dyDescent="0.25">
      <c r="A62" s="78" t="s">
        <v>271</v>
      </c>
      <c r="B62" s="79"/>
      <c r="C62" s="79"/>
      <c r="D62" s="80">
        <v>1121.7261973606169</v>
      </c>
      <c r="E62" s="80">
        <v>1334.9975189092836</v>
      </c>
      <c r="F62" s="80">
        <v>1292.1426397124048</v>
      </c>
      <c r="G62" s="80">
        <v>1222.3752523209027</v>
      </c>
      <c r="H62" s="80">
        <v>1388.8216600695434</v>
      </c>
      <c r="I62" s="80">
        <v>1364.876415836251</v>
      </c>
      <c r="J62" s="80">
        <v>1529.2584434823432</v>
      </c>
      <c r="K62" s="80">
        <v>1326.6724092036543</v>
      </c>
      <c r="L62" s="80">
        <v>1522.3258419450531</v>
      </c>
      <c r="M62" s="80">
        <v>1514.6902574605031</v>
      </c>
      <c r="N62" s="80">
        <v>1373.7655479613481</v>
      </c>
      <c r="O62" s="80">
        <v>1211.4055917553192</v>
      </c>
      <c r="P62" s="80">
        <v>1043.5026562095018</v>
      </c>
      <c r="Q62" s="80">
        <v>890.91512055097826</v>
      </c>
      <c r="R62" s="80">
        <v>914.57557134033345</v>
      </c>
      <c r="S62" s="80">
        <v>1033.654483</v>
      </c>
      <c r="T62" s="80">
        <v>1031.8357627720561</v>
      </c>
      <c r="U62" s="80">
        <v>1038.1174313515717</v>
      </c>
      <c r="V62" s="80">
        <v>1075.720987565807</v>
      </c>
      <c r="W62" s="80">
        <v>1097.1570547722563</v>
      </c>
      <c r="X62" s="80">
        <v>1161.3657957340429</v>
      </c>
      <c r="Y62" s="80">
        <v>1250.4544978870995</v>
      </c>
      <c r="Z62" s="80">
        <v>1204.6705330655416</v>
      </c>
      <c r="AA62" s="80">
        <v>1295.8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6.1871111640481855E-2</v>
      </c>
      <c r="E66" s="83">
        <f t="shared" ref="E66:S66" si="55">E24/E$23</f>
        <v>6.0482637061336407E-2</v>
      </c>
      <c r="F66" s="83">
        <f t="shared" si="55"/>
        <v>5.8739483244346989E-2</v>
      </c>
      <c r="G66" s="83">
        <f t="shared" si="55"/>
        <v>5.9529429143024129E-2</v>
      </c>
      <c r="H66" s="83">
        <f t="shared" si="55"/>
        <v>5.0567654963686093E-2</v>
      </c>
      <c r="I66" s="83">
        <f t="shared" si="55"/>
        <v>5.0016174213485851E-2</v>
      </c>
      <c r="J66" s="83">
        <f t="shared" si="55"/>
        <v>3.7158731800612604E-2</v>
      </c>
      <c r="K66" s="83">
        <f t="shared" si="55"/>
        <v>3.5834120614242584E-2</v>
      </c>
      <c r="L66" s="83">
        <f t="shared" si="55"/>
        <v>3.2823765137328861E-2</v>
      </c>
      <c r="M66" s="83">
        <f t="shared" si="55"/>
        <v>3.2775231583622277E-2</v>
      </c>
      <c r="N66" s="83">
        <f t="shared" si="55"/>
        <v>3.3042826513370475E-2</v>
      </c>
      <c r="O66" s="83">
        <f t="shared" si="55"/>
        <v>3.4932404359359528E-2</v>
      </c>
      <c r="P66" s="83">
        <f t="shared" si="55"/>
        <v>3.8811427510682908E-2</v>
      </c>
      <c r="Q66" s="83">
        <f t="shared" si="55"/>
        <v>3.7830024088169933E-2</v>
      </c>
      <c r="R66" s="83">
        <f t="shared" si="55"/>
        <v>4.0046242357845298E-2</v>
      </c>
      <c r="S66" s="83">
        <f t="shared" si="55"/>
        <v>4.3297415826014367E-2</v>
      </c>
      <c r="T66" s="83">
        <f t="shared" ref="T66:Y66" si="56">T24/T$23</f>
        <v>3.9684085054428622E-2</v>
      </c>
      <c r="U66" s="83">
        <f t="shared" si="56"/>
        <v>4.3000394747978288E-2</v>
      </c>
      <c r="V66" s="83">
        <f t="shared" si="56"/>
        <v>4.0655051971176283E-2</v>
      </c>
      <c r="W66" s="83">
        <f t="shared" si="56"/>
        <v>4.2184348414696204E-2</v>
      </c>
      <c r="X66" s="83">
        <f t="shared" si="56"/>
        <v>4.4649315420178318E-2</v>
      </c>
      <c r="Y66" s="83">
        <f t="shared" si="56"/>
        <v>4.0484947402546594E-2</v>
      </c>
      <c r="Z66" s="83">
        <f t="shared" ref="Z66:AA66" si="57">Z24/Z$23</f>
        <v>4.2535604908600297E-2</v>
      </c>
      <c r="AA66" s="83">
        <f t="shared" si="57"/>
        <v>3.8311569694104812E-2</v>
      </c>
    </row>
    <row r="67" spans="1:27" x14ac:dyDescent="0.25">
      <c r="A67" s="64" t="s">
        <v>56</v>
      </c>
      <c r="B67" s="65"/>
      <c r="C67" s="65"/>
      <c r="D67" s="83">
        <f t="shared" si="51"/>
        <v>5.0417124200709089E-3</v>
      </c>
      <c r="E67" s="83">
        <f t="shared" ref="E67:S67" si="58">E25/E$23</f>
        <v>4.8104581563582476E-3</v>
      </c>
      <c r="F67" s="83">
        <f t="shared" si="58"/>
        <v>4.7289695807482511E-3</v>
      </c>
      <c r="G67" s="83">
        <f t="shared" si="58"/>
        <v>4.7955315166355464E-3</v>
      </c>
      <c r="H67" s="83">
        <f t="shared" si="58"/>
        <v>4.6438852247443719E-3</v>
      </c>
      <c r="I67" s="83">
        <f t="shared" si="58"/>
        <v>4.9395259188430452E-3</v>
      </c>
      <c r="J67" s="83">
        <f t="shared" si="58"/>
        <v>4.6510425132623053E-3</v>
      </c>
      <c r="K67" s="83">
        <f t="shared" si="58"/>
        <v>4.7345120955623824E-3</v>
      </c>
      <c r="L67" s="83">
        <f t="shared" si="58"/>
        <v>4.2357688093733071E-3</v>
      </c>
      <c r="M67" s="83">
        <f t="shared" si="58"/>
        <v>4.0902147197768102E-3</v>
      </c>
      <c r="N67" s="83">
        <f t="shared" si="58"/>
        <v>4.6105846406286604E-3</v>
      </c>
      <c r="O67" s="83">
        <f t="shared" si="58"/>
        <v>5.1690523335537831E-3</v>
      </c>
      <c r="P67" s="83">
        <f t="shared" si="58"/>
        <v>5.0083594783294719E-3</v>
      </c>
      <c r="Q67" s="83">
        <f t="shared" si="58"/>
        <v>5.3892606433778465E-3</v>
      </c>
      <c r="R67" s="83">
        <f t="shared" si="58"/>
        <v>5.5158074599894755E-3</v>
      </c>
      <c r="S67" s="83">
        <f t="shared" si="58"/>
        <v>5.8108057469734567E-3</v>
      </c>
      <c r="T67" s="83">
        <f t="shared" ref="T67:Y67" si="59">T25/T$23</f>
        <v>5.3823423385494663E-3</v>
      </c>
      <c r="U67" s="83">
        <f t="shared" si="59"/>
        <v>5.3093926114290832E-3</v>
      </c>
      <c r="V67" s="83">
        <f t="shared" si="59"/>
        <v>5.5939002099787468E-3</v>
      </c>
      <c r="W67" s="83">
        <f t="shared" si="59"/>
        <v>4.7781829271296098E-3</v>
      </c>
      <c r="X67" s="83">
        <f t="shared" si="59"/>
        <v>4.2183890793235099E-3</v>
      </c>
      <c r="Y67" s="83">
        <f t="shared" si="59"/>
        <v>4.1139421162314132E-3</v>
      </c>
      <c r="Z67" s="83">
        <f t="shared" ref="Z67:AA67" si="60">Z25/Z$23</f>
        <v>2.8946520460606533E-3</v>
      </c>
      <c r="AA67" s="83">
        <f t="shared" si="60"/>
        <v>2.7125891920799106E-3</v>
      </c>
    </row>
    <row r="68" spans="1:27" x14ac:dyDescent="0.25">
      <c r="A68" s="64" t="s">
        <v>146</v>
      </c>
      <c r="B68" s="65"/>
      <c r="C68" s="65"/>
      <c r="D68" s="83">
        <f t="shared" si="51"/>
        <v>0.74523933449396051</v>
      </c>
      <c r="E68" s="83">
        <f t="shared" ref="E68:S68" si="61">E26/E$23</f>
        <v>0.7400409439759108</v>
      </c>
      <c r="F68" s="83">
        <f t="shared" si="61"/>
        <v>0.74363817089574125</v>
      </c>
      <c r="G68" s="83">
        <f t="shared" si="61"/>
        <v>0.72731530084988727</v>
      </c>
      <c r="H68" s="83">
        <f t="shared" si="61"/>
        <v>0.73754114956338279</v>
      </c>
      <c r="I68" s="83">
        <f t="shared" si="61"/>
        <v>0.75970530245111589</v>
      </c>
      <c r="J68" s="83">
        <f t="shared" si="61"/>
        <v>0.74570254860030649</v>
      </c>
      <c r="K68" s="83">
        <f t="shared" si="61"/>
        <v>0.7648935602557847</v>
      </c>
      <c r="L68" s="83">
        <f t="shared" si="61"/>
        <v>0.79152646773734725</v>
      </c>
      <c r="M68" s="83">
        <f t="shared" si="61"/>
        <v>0.8014299855541448</v>
      </c>
      <c r="N68" s="83">
        <f t="shared" si="61"/>
        <v>0.81124915725297386</v>
      </c>
      <c r="O68" s="83">
        <f t="shared" si="61"/>
        <v>0.81646521184372534</v>
      </c>
      <c r="P68" s="83">
        <f t="shared" si="61"/>
        <v>0.81084253038783316</v>
      </c>
      <c r="Q68" s="83">
        <f t="shared" si="61"/>
        <v>0.81132517888682376</v>
      </c>
      <c r="R68" s="83">
        <f t="shared" si="61"/>
        <v>0.81826076547471327</v>
      </c>
      <c r="S68" s="83">
        <f t="shared" si="61"/>
        <v>0.81098212566691175</v>
      </c>
      <c r="T68" s="83">
        <f t="shared" ref="T68:Y68" si="62">T26/T$23</f>
        <v>0.8142993219116984</v>
      </c>
      <c r="U68" s="83">
        <f t="shared" si="62"/>
        <v>0.81816525532958229</v>
      </c>
      <c r="V68" s="83">
        <f t="shared" si="62"/>
        <v>0.81726933141975378</v>
      </c>
      <c r="W68" s="83">
        <f t="shared" si="62"/>
        <v>0.8192913375156633</v>
      </c>
      <c r="X68" s="83">
        <f t="shared" si="62"/>
        <v>0.80728801253495241</v>
      </c>
      <c r="Y68" s="83">
        <f t="shared" si="62"/>
        <v>0.80334254778855874</v>
      </c>
      <c r="Z68" s="83">
        <f t="shared" ref="Z68:AA68" si="63">Z26/Z$23</f>
        <v>0.77905199897923005</v>
      </c>
      <c r="AA68" s="83">
        <f t="shared" si="63"/>
        <v>0.79899261225239571</v>
      </c>
    </row>
    <row r="69" spans="1:27" x14ac:dyDescent="0.25">
      <c r="A69" s="68" t="s">
        <v>148</v>
      </c>
      <c r="B69" s="69"/>
      <c r="C69" s="69"/>
      <c r="D69" s="84">
        <f t="shared" si="51"/>
        <v>0.28210094193546287</v>
      </c>
      <c r="E69" s="84">
        <f t="shared" ref="E69:S69" si="64">E27/E$23</f>
        <v>0.29326658261625255</v>
      </c>
      <c r="F69" s="84">
        <f t="shared" si="64"/>
        <v>0.28690608607118856</v>
      </c>
      <c r="G69" s="84">
        <f t="shared" si="64"/>
        <v>0.28886448368544265</v>
      </c>
      <c r="H69" s="84">
        <f t="shared" si="64"/>
        <v>0.30822758445397336</v>
      </c>
      <c r="I69" s="84">
        <f t="shared" si="64"/>
        <v>0.32836979987565362</v>
      </c>
      <c r="J69" s="84">
        <f t="shared" si="64"/>
        <v>0.32016883711798944</v>
      </c>
      <c r="K69" s="84">
        <f t="shared" si="64"/>
        <v>0.32796842883831012</v>
      </c>
      <c r="L69" s="84">
        <f t="shared" si="64"/>
        <v>0.34051468461592904</v>
      </c>
      <c r="M69" s="84">
        <f t="shared" si="64"/>
        <v>0.34527986277800909</v>
      </c>
      <c r="N69" s="84">
        <f t="shared" si="64"/>
        <v>0.34912239421163554</v>
      </c>
      <c r="O69" s="84">
        <f t="shared" si="64"/>
        <v>0.34495447926601608</v>
      </c>
      <c r="P69" s="84">
        <f t="shared" si="64"/>
        <v>0.3498334821226845</v>
      </c>
      <c r="Q69" s="84">
        <f t="shared" si="64"/>
        <v>0.35289137255672387</v>
      </c>
      <c r="R69" s="84">
        <f t="shared" si="64"/>
        <v>0.35467450761286701</v>
      </c>
      <c r="S69" s="84">
        <f t="shared" si="64"/>
        <v>0.34372266291770415</v>
      </c>
      <c r="T69" s="84">
        <f t="shared" ref="T69:Y69" si="65">T27/T$23</f>
        <v>0.33967106007541331</v>
      </c>
      <c r="U69" s="84">
        <f t="shared" si="65"/>
        <v>0.34529464932359832</v>
      </c>
      <c r="V69" s="84">
        <f t="shared" si="65"/>
        <v>0.35048830113850743</v>
      </c>
      <c r="W69" s="84">
        <f t="shared" si="65"/>
        <v>0.34808308955370598</v>
      </c>
      <c r="X69" s="84">
        <f t="shared" si="65"/>
        <v>0.32699680717323093</v>
      </c>
      <c r="Y69" s="84">
        <f t="shared" si="65"/>
        <v>0.32664515319652643</v>
      </c>
      <c r="Z69" s="84">
        <f t="shared" ref="Z69:AA69" si="66">Z27/Z$23</f>
        <v>0.32396173136825029</v>
      </c>
      <c r="AA69" s="84">
        <f t="shared" si="66"/>
        <v>0.32715321625762428</v>
      </c>
    </row>
    <row r="70" spans="1:27" x14ac:dyDescent="0.25">
      <c r="A70" s="68" t="s">
        <v>150</v>
      </c>
      <c r="B70" s="71"/>
      <c r="C70" s="71"/>
      <c r="D70" s="84">
        <f t="shared" si="51"/>
        <v>0.28697378146379349</v>
      </c>
      <c r="E70" s="84">
        <f t="shared" ref="E70:S70" si="67">E28/E$23</f>
        <v>0.28249201317061828</v>
      </c>
      <c r="F70" s="84">
        <f t="shared" si="67"/>
        <v>0.29390345011183178</v>
      </c>
      <c r="G70" s="84">
        <f t="shared" si="67"/>
        <v>0.27985896361376844</v>
      </c>
      <c r="H70" s="84">
        <f t="shared" si="67"/>
        <v>0.2779826596941441</v>
      </c>
      <c r="I70" s="84">
        <f t="shared" si="67"/>
        <v>0.29026346761371846</v>
      </c>
      <c r="J70" s="84">
        <f t="shared" si="67"/>
        <v>0.29368486271165328</v>
      </c>
      <c r="K70" s="84">
        <f t="shared" si="67"/>
        <v>0.29831250238413598</v>
      </c>
      <c r="L70" s="84">
        <f t="shared" si="67"/>
        <v>0.30787756115839421</v>
      </c>
      <c r="M70" s="84">
        <f t="shared" si="67"/>
        <v>0.31595047884757244</v>
      </c>
      <c r="N70" s="84">
        <f t="shared" si="67"/>
        <v>0.32098231400700628</v>
      </c>
      <c r="O70" s="84">
        <f t="shared" si="67"/>
        <v>0.33177401620321706</v>
      </c>
      <c r="P70" s="84">
        <f t="shared" si="67"/>
        <v>0.32400947204001807</v>
      </c>
      <c r="Q70" s="84">
        <f t="shared" si="67"/>
        <v>0.32579614221716369</v>
      </c>
      <c r="R70" s="84">
        <f t="shared" si="67"/>
        <v>0.32793903527009682</v>
      </c>
      <c r="S70" s="84">
        <f t="shared" si="67"/>
        <v>0.33165719734902172</v>
      </c>
      <c r="T70" s="84">
        <f t="shared" ref="T70:Y70" si="68">T28/T$23</f>
        <v>0.33567278621404639</v>
      </c>
      <c r="U70" s="84">
        <f t="shared" si="68"/>
        <v>0.33298510230174899</v>
      </c>
      <c r="V70" s="84">
        <f t="shared" si="68"/>
        <v>0.32487523534027213</v>
      </c>
      <c r="W70" s="84">
        <f t="shared" si="68"/>
        <v>0.33771555988019852</v>
      </c>
      <c r="X70" s="84">
        <f t="shared" si="68"/>
        <v>0.34761672223493806</v>
      </c>
      <c r="Y70" s="84">
        <f t="shared" si="68"/>
        <v>0.34468876890036604</v>
      </c>
      <c r="Z70" s="84">
        <f t="shared" ref="Z70:AA70" si="69">Z28/Z$23</f>
        <v>0.32213575473791595</v>
      </c>
      <c r="AA70" s="84">
        <f t="shared" si="69"/>
        <v>0.34363584647691597</v>
      </c>
    </row>
    <row r="71" spans="1:27" x14ac:dyDescent="0.25">
      <c r="A71" s="68" t="s">
        <v>152</v>
      </c>
      <c r="B71" s="71"/>
      <c r="C71" s="71"/>
      <c r="D71" s="84">
        <f t="shared" si="51"/>
        <v>0.17616461109470419</v>
      </c>
      <c r="E71" s="84">
        <f t="shared" ref="E71:S71" si="70">E29/E$23</f>
        <v>0.16428234818904</v>
      </c>
      <c r="F71" s="84">
        <f t="shared" si="70"/>
        <v>0.16282863471272091</v>
      </c>
      <c r="G71" s="84">
        <f t="shared" si="70"/>
        <v>0.15859185355067637</v>
      </c>
      <c r="H71" s="84">
        <f t="shared" si="70"/>
        <v>0.15133090541526534</v>
      </c>
      <c r="I71" s="84">
        <f t="shared" si="70"/>
        <v>0.14107203496174364</v>
      </c>
      <c r="J71" s="84">
        <f t="shared" si="70"/>
        <v>0.13184884877066397</v>
      </c>
      <c r="K71" s="84">
        <f t="shared" si="70"/>
        <v>0.13861262903333857</v>
      </c>
      <c r="L71" s="84">
        <f t="shared" si="70"/>
        <v>0.14313422196302408</v>
      </c>
      <c r="M71" s="84">
        <f t="shared" si="70"/>
        <v>0.14019964392856321</v>
      </c>
      <c r="N71" s="84">
        <f t="shared" si="70"/>
        <v>0.14114444903433213</v>
      </c>
      <c r="O71" s="84">
        <f t="shared" si="70"/>
        <v>0.13973671637449209</v>
      </c>
      <c r="P71" s="84">
        <f t="shared" si="70"/>
        <v>0.13699957622513073</v>
      </c>
      <c r="Q71" s="84">
        <f t="shared" si="70"/>
        <v>0.1326376641129362</v>
      </c>
      <c r="R71" s="84">
        <f t="shared" si="70"/>
        <v>0.13564722259174927</v>
      </c>
      <c r="S71" s="84">
        <f t="shared" si="70"/>
        <v>0.13560226540018583</v>
      </c>
      <c r="T71" s="84">
        <f t="shared" ref="T71:Y71" si="71">T29/T$23</f>
        <v>0.13895547562223873</v>
      </c>
      <c r="U71" s="84">
        <f t="shared" si="71"/>
        <v>0.13988550370423491</v>
      </c>
      <c r="V71" s="84">
        <f t="shared" si="71"/>
        <v>0.14190579494097422</v>
      </c>
      <c r="W71" s="84">
        <f t="shared" si="71"/>
        <v>0.13349268808175882</v>
      </c>
      <c r="X71" s="84">
        <f t="shared" si="71"/>
        <v>0.13267448312678329</v>
      </c>
      <c r="Y71" s="84">
        <f t="shared" si="71"/>
        <v>0.13200862569166619</v>
      </c>
      <c r="Z71" s="84">
        <f t="shared" ref="Z71:AA71" si="72">Z29/Z$23</f>
        <v>0.13295451287306381</v>
      </c>
      <c r="AA71" s="84">
        <f t="shared" si="72"/>
        <v>0.1282035495178552</v>
      </c>
    </row>
    <row r="72" spans="1:27" x14ac:dyDescent="0.25">
      <c r="A72" s="64" t="s">
        <v>154</v>
      </c>
      <c r="B72" s="65"/>
      <c r="C72" s="65"/>
      <c r="D72" s="83">
        <f t="shared" si="51"/>
        <v>2.0799919071541731E-2</v>
      </c>
      <c r="E72" s="83">
        <f t="shared" ref="E72:S72" si="73">E30/E$23</f>
        <v>1.8523476994259273E-2</v>
      </c>
      <c r="F72" s="83">
        <f t="shared" si="73"/>
        <v>1.8755798034076562E-2</v>
      </c>
      <c r="G72" s="83">
        <f t="shared" si="73"/>
        <v>1.9498144894892128E-2</v>
      </c>
      <c r="H72" s="83">
        <f t="shared" si="73"/>
        <v>1.8973903894781527E-2</v>
      </c>
      <c r="I72" s="83">
        <f t="shared" si="73"/>
        <v>2.0181924008568362E-2</v>
      </c>
      <c r="J72" s="83">
        <f t="shared" si="73"/>
        <v>2.03135456005877E-2</v>
      </c>
      <c r="K72" s="83">
        <f t="shared" si="73"/>
        <v>2.1411143402924146E-2</v>
      </c>
      <c r="L72" s="83">
        <f t="shared" si="73"/>
        <v>2.3097026603325639E-2</v>
      </c>
      <c r="M72" s="83">
        <f t="shared" si="73"/>
        <v>2.335244630248445E-2</v>
      </c>
      <c r="N72" s="83">
        <f t="shared" si="73"/>
        <v>2.2344051700169308E-2</v>
      </c>
      <c r="O72" s="83">
        <f t="shared" si="73"/>
        <v>2.6002341479212397E-2</v>
      </c>
      <c r="P72" s="83">
        <f t="shared" si="73"/>
        <v>3.6506312047296686E-2</v>
      </c>
      <c r="Q72" s="83">
        <f t="shared" si="73"/>
        <v>3.6229215952566403E-2</v>
      </c>
      <c r="R72" s="83">
        <f t="shared" si="73"/>
        <v>3.6395651526114375E-2</v>
      </c>
      <c r="S72" s="83">
        <f t="shared" si="73"/>
        <v>3.7053093217108597E-2</v>
      </c>
      <c r="T72" s="83">
        <f t="shared" ref="T72:Y72" si="74">T30/T$23</f>
        <v>3.9194661600519952E-2</v>
      </c>
      <c r="U72" s="83">
        <f t="shared" si="74"/>
        <v>3.9161454507395214E-2</v>
      </c>
      <c r="V72" s="83">
        <f t="shared" si="74"/>
        <v>3.6143924502138408E-2</v>
      </c>
      <c r="W72" s="83">
        <f t="shared" si="74"/>
        <v>3.4264134335391445E-2</v>
      </c>
      <c r="X72" s="83">
        <f t="shared" si="74"/>
        <v>3.458929625370917E-2</v>
      </c>
      <c r="Y72" s="83">
        <f t="shared" si="74"/>
        <v>3.9966178982782027E-2</v>
      </c>
      <c r="Z72" s="83">
        <f t="shared" ref="Z72:AA72" si="75">Z30/Z$23</f>
        <v>6.6286829720170165E-2</v>
      </c>
      <c r="AA72" s="83">
        <f t="shared" si="75"/>
        <v>5.0734220704316567E-2</v>
      </c>
    </row>
    <row r="73" spans="1:27" x14ac:dyDescent="0.25">
      <c r="A73" s="64" t="s">
        <v>37</v>
      </c>
      <c r="B73" s="65"/>
      <c r="C73" s="65"/>
      <c r="D73" s="83">
        <f t="shared" si="51"/>
        <v>6.5845743179411539E-2</v>
      </c>
      <c r="E73" s="83">
        <f t="shared" ref="E73:S73" si="76">E31/E$23</f>
        <v>6.7293627672986758E-2</v>
      </c>
      <c r="F73" s="83">
        <f t="shared" si="76"/>
        <v>6.5704278353909587E-2</v>
      </c>
      <c r="G73" s="83">
        <f t="shared" si="76"/>
        <v>8.3660395171623173E-2</v>
      </c>
      <c r="H73" s="83">
        <f t="shared" si="76"/>
        <v>8.7444634813346953E-2</v>
      </c>
      <c r="I73" s="83">
        <f t="shared" si="76"/>
        <v>6.4385987854427493E-2</v>
      </c>
      <c r="J73" s="83">
        <f t="shared" si="76"/>
        <v>9.4479545545701926E-2</v>
      </c>
      <c r="K73" s="83">
        <f t="shared" si="76"/>
        <v>7.7986634967360247E-2</v>
      </c>
      <c r="L73" s="83">
        <f t="shared" si="76"/>
        <v>5.8036064111654469E-2</v>
      </c>
      <c r="M73" s="83">
        <f t="shared" si="76"/>
        <v>5.3923117631620339E-2</v>
      </c>
      <c r="N73" s="83">
        <f t="shared" si="76"/>
        <v>4.4360523257111213E-2</v>
      </c>
      <c r="O73" s="83">
        <f t="shared" si="76"/>
        <v>3.2716503137417835E-2</v>
      </c>
      <c r="P73" s="83">
        <f t="shared" si="76"/>
        <v>2.5884462117335565E-2</v>
      </c>
      <c r="Q73" s="83">
        <f t="shared" si="76"/>
        <v>2.8221372879927351E-2</v>
      </c>
      <c r="R73" s="83">
        <f t="shared" si="76"/>
        <v>1.9318929370977771E-2</v>
      </c>
      <c r="S73" s="83">
        <f t="shared" si="76"/>
        <v>2.0685408894913184E-2</v>
      </c>
      <c r="T73" s="83">
        <f t="shared" ref="T73:Y73" si="77">T31/T$23</f>
        <v>1.8952002294501353E-2</v>
      </c>
      <c r="U73" s="83">
        <f t="shared" si="77"/>
        <v>1.2471710266613171E-2</v>
      </c>
      <c r="V73" s="83">
        <f t="shared" si="77"/>
        <v>1.4876633496111017E-2</v>
      </c>
      <c r="W73" s="83">
        <f t="shared" si="77"/>
        <v>1.5292479559218228E-2</v>
      </c>
      <c r="X73" s="83">
        <f t="shared" si="77"/>
        <v>1.6126457945493063E-2</v>
      </c>
      <c r="Y73" s="83">
        <f t="shared" si="77"/>
        <v>1.8791991325053381E-2</v>
      </c>
      <c r="Z73" s="83">
        <f t="shared" ref="Z73:AA73" si="78">Z31/Z$23</f>
        <v>1.9227550274332678E-2</v>
      </c>
      <c r="AA73" s="83">
        <f t="shared" si="78"/>
        <v>2.1232078262599596E-2</v>
      </c>
    </row>
    <row r="74" spans="1:27" x14ac:dyDescent="0.25">
      <c r="A74" s="64" t="s">
        <v>58</v>
      </c>
      <c r="B74" s="65"/>
      <c r="C74" s="65"/>
      <c r="D74" s="83">
        <f t="shared" si="51"/>
        <v>0.10120217919453343</v>
      </c>
      <c r="E74" s="83">
        <f t="shared" ref="E74:S74" si="79">E32/E$23</f>
        <v>0.10884885613914828</v>
      </c>
      <c r="F74" s="83">
        <f t="shared" si="79"/>
        <v>0.10843329989117728</v>
      </c>
      <c r="G74" s="83">
        <f t="shared" si="79"/>
        <v>0.10520119842393767</v>
      </c>
      <c r="H74" s="83">
        <f t="shared" si="79"/>
        <v>0.10082877154005827</v>
      </c>
      <c r="I74" s="83">
        <f t="shared" si="79"/>
        <v>0.10077108555355958</v>
      </c>
      <c r="J74" s="83">
        <f t="shared" si="79"/>
        <v>9.7694585939528539E-2</v>
      </c>
      <c r="K74" s="83">
        <f t="shared" si="79"/>
        <v>9.5140028664125881E-2</v>
      </c>
      <c r="L74" s="83">
        <f t="shared" si="79"/>
        <v>9.0280907600970531E-2</v>
      </c>
      <c r="M74" s="83">
        <f t="shared" si="79"/>
        <v>8.4429004208351408E-2</v>
      </c>
      <c r="N74" s="83">
        <f t="shared" si="79"/>
        <v>8.4392856635746416E-2</v>
      </c>
      <c r="O74" s="83">
        <f t="shared" si="79"/>
        <v>8.471448684673108E-2</v>
      </c>
      <c r="P74" s="83">
        <f t="shared" si="79"/>
        <v>8.2946908458521942E-2</v>
      </c>
      <c r="Q74" s="83">
        <f t="shared" si="79"/>
        <v>8.100494754913487E-2</v>
      </c>
      <c r="R74" s="83">
        <f t="shared" si="79"/>
        <v>8.0462603810359995E-2</v>
      </c>
      <c r="S74" s="83">
        <f t="shared" si="79"/>
        <v>8.2171150648078631E-2</v>
      </c>
      <c r="T74" s="83">
        <f t="shared" ref="T74:Y74" si="80">T32/T$23</f>
        <v>8.2487586800302076E-2</v>
      </c>
      <c r="U74" s="83">
        <f t="shared" si="80"/>
        <v>8.1891792537001976E-2</v>
      </c>
      <c r="V74" s="83">
        <f t="shared" si="80"/>
        <v>8.5461158400841716E-2</v>
      </c>
      <c r="W74" s="83">
        <f t="shared" si="80"/>
        <v>8.4189517247901177E-2</v>
      </c>
      <c r="X74" s="83">
        <f t="shared" si="80"/>
        <v>9.3128528766343616E-2</v>
      </c>
      <c r="Y74" s="83">
        <f t="shared" si="80"/>
        <v>9.3300392384827804E-2</v>
      </c>
      <c r="Z74" s="83">
        <f t="shared" ref="Z74:AA74" si="81">Z32/Z$23</f>
        <v>9.0003364071606182E-2</v>
      </c>
      <c r="AA74" s="83">
        <f t="shared" si="81"/>
        <v>8.8016929894503632E-2</v>
      </c>
    </row>
    <row r="75" spans="1:27" x14ac:dyDescent="0.25">
      <c r="A75" s="85" t="s">
        <v>158</v>
      </c>
      <c r="B75" s="86"/>
      <c r="C75" s="86"/>
      <c r="D75" s="87">
        <f t="shared" si="51"/>
        <v>7.9166306350110221E-3</v>
      </c>
      <c r="E75" s="87">
        <f t="shared" ref="E75:S75" si="82">E33/E$23</f>
        <v>7.3449759477092194E-3</v>
      </c>
      <c r="F75" s="87">
        <f t="shared" si="82"/>
        <v>7.0306409919646791E-3</v>
      </c>
      <c r="G75" s="87">
        <f t="shared" si="82"/>
        <v>7.2033884698258551E-3</v>
      </c>
      <c r="H75" s="87">
        <f t="shared" si="82"/>
        <v>6.8879940504488054E-3</v>
      </c>
      <c r="I75" s="87">
        <f t="shared" si="82"/>
        <v>7.1298456681785543E-3</v>
      </c>
      <c r="J75" s="87">
        <f t="shared" si="82"/>
        <v>7.6586779703236782E-3</v>
      </c>
      <c r="K75" s="87">
        <f t="shared" si="82"/>
        <v>9.1377428660459892E-3</v>
      </c>
      <c r="L75" s="87">
        <f t="shared" si="82"/>
        <v>7.7040746300766662E-3</v>
      </c>
      <c r="M75" s="87">
        <f t="shared" si="82"/>
        <v>5.3848540462655727E-3</v>
      </c>
      <c r="N75" s="87">
        <f t="shared" si="82"/>
        <v>7.4281576262350676E-3</v>
      </c>
      <c r="O75" s="87">
        <f t="shared" si="82"/>
        <v>8.932010745326676E-3</v>
      </c>
      <c r="P75" s="87">
        <f t="shared" si="82"/>
        <v>7.1644820481882084E-3</v>
      </c>
      <c r="Q75" s="87">
        <f t="shared" si="82"/>
        <v>6.1548094271502395E-3</v>
      </c>
      <c r="R75" s="87">
        <f t="shared" si="82"/>
        <v>5.5221768924672079E-3</v>
      </c>
      <c r="S75" s="87">
        <f t="shared" si="82"/>
        <v>5.6402417357214012E-3</v>
      </c>
      <c r="T75" s="87">
        <f t="shared" ref="T75:Y75" si="83">T33/T$23</f>
        <v>5.3895784380024146E-3</v>
      </c>
      <c r="U75" s="87">
        <f t="shared" si="83"/>
        <v>6.4626252484941745E-3</v>
      </c>
      <c r="V75" s="87">
        <f t="shared" si="83"/>
        <v>8.4738458670449556E-3</v>
      </c>
      <c r="W75" s="87">
        <f t="shared" si="83"/>
        <v>7.5435848110464209E-3</v>
      </c>
      <c r="X75" s="87">
        <f t="shared" si="83"/>
        <v>7.9844440535384274E-3</v>
      </c>
      <c r="Y75" s="87">
        <f t="shared" si="83"/>
        <v>7.4135765895684521E-3</v>
      </c>
      <c r="Z75" s="87">
        <f t="shared" ref="Z75:AA75" si="84">Z33/Z$23</f>
        <v>7.8802150606814177E-3</v>
      </c>
      <c r="AA75" s="87">
        <f t="shared" si="84"/>
        <v>7.0855007502743884E-3</v>
      </c>
    </row>
    <row r="76" spans="1:27" x14ac:dyDescent="0.25">
      <c r="A76" s="88" t="s">
        <v>5</v>
      </c>
      <c r="B76" s="44"/>
      <c r="C76" s="44"/>
      <c r="D76" s="89">
        <f t="shared" si="51"/>
        <v>1.9152621037481163E-3</v>
      </c>
      <c r="E76" s="89">
        <f t="shared" ref="E76:S76" si="85">E34/E$23</f>
        <v>1.992266393176411E-3</v>
      </c>
      <c r="F76" s="89">
        <f t="shared" si="85"/>
        <v>2.3077044916737866E-3</v>
      </c>
      <c r="G76" s="89">
        <f t="shared" si="85"/>
        <v>2.2551791388654482E-3</v>
      </c>
      <c r="H76" s="89">
        <f t="shared" si="85"/>
        <v>2.348495711314404E-3</v>
      </c>
      <c r="I76" s="89">
        <f t="shared" si="85"/>
        <v>2.6365170802033228E-3</v>
      </c>
      <c r="J76" s="89">
        <f t="shared" si="85"/>
        <v>2.9828324664111284E-3</v>
      </c>
      <c r="K76" s="89">
        <f t="shared" si="85"/>
        <v>3.6119224252771044E-3</v>
      </c>
      <c r="L76" s="89">
        <f t="shared" si="85"/>
        <v>3.0816298520306667E-3</v>
      </c>
      <c r="M76" s="89">
        <f t="shared" si="85"/>
        <v>2.1539416185062292E-3</v>
      </c>
      <c r="N76" s="89">
        <f t="shared" si="85"/>
        <v>2.9712630504940274E-3</v>
      </c>
      <c r="O76" s="89">
        <f t="shared" si="85"/>
        <v>3.5728042981306701E-3</v>
      </c>
      <c r="P76" s="89">
        <f t="shared" si="85"/>
        <v>2.094135320872255E-3</v>
      </c>
      <c r="Q76" s="89">
        <f t="shared" si="85"/>
        <v>9.8540999816966392E-4</v>
      </c>
      <c r="R76" s="89">
        <f t="shared" si="85"/>
        <v>1.6306721076207475E-3</v>
      </c>
      <c r="S76" s="89">
        <f t="shared" si="85"/>
        <v>1.9251227053261014E-3</v>
      </c>
      <c r="T76" s="89">
        <f t="shared" ref="T76:Y76" si="86">T34/T$23</f>
        <v>1.097760903985094E-3</v>
      </c>
      <c r="U76" s="89">
        <f t="shared" si="86"/>
        <v>3.5405863544298068E-3</v>
      </c>
      <c r="V76" s="89">
        <f t="shared" si="86"/>
        <v>4.7819210963674381E-3</v>
      </c>
      <c r="W76" s="89">
        <f t="shared" si="86"/>
        <v>4.2212711436435324E-3</v>
      </c>
      <c r="X76" s="89">
        <f t="shared" si="86"/>
        <v>3.1043241290152805E-3</v>
      </c>
      <c r="Y76" s="89">
        <f t="shared" si="86"/>
        <v>2.7028002509219577E-3</v>
      </c>
      <c r="Z76" s="89">
        <f t="shared" ref="Z76:AA76" si="87">Z34/Z$23</f>
        <v>2.2035905232939451E-3</v>
      </c>
      <c r="AA76" s="89">
        <f t="shared" si="87"/>
        <v>1.7870090211531411E-3</v>
      </c>
    </row>
    <row r="77" spans="1:27" x14ac:dyDescent="0.25">
      <c r="A77" s="88" t="s">
        <v>263</v>
      </c>
      <c r="B77" s="44"/>
      <c r="C77" s="44"/>
      <c r="D77" s="89">
        <f>D37/D$23</f>
        <v>6.0013685312629052E-3</v>
      </c>
      <c r="E77" s="89">
        <f t="shared" ref="E77:S77" si="88">E37/E$23</f>
        <v>5.3527095545328083E-3</v>
      </c>
      <c r="F77" s="89">
        <f t="shared" si="88"/>
        <v>4.7229365002908917E-3</v>
      </c>
      <c r="G77" s="89">
        <f t="shared" si="88"/>
        <v>4.9482093309604069E-3</v>
      </c>
      <c r="H77" s="89">
        <f t="shared" si="88"/>
        <v>4.5394983391344014E-3</v>
      </c>
      <c r="I77" s="89">
        <f t="shared" si="88"/>
        <v>4.4933285879752306E-3</v>
      </c>
      <c r="J77" s="89">
        <f t="shared" si="88"/>
        <v>4.6758455039125502E-3</v>
      </c>
      <c r="K77" s="89">
        <f t="shared" si="88"/>
        <v>5.5258204407688848E-3</v>
      </c>
      <c r="L77" s="89">
        <f t="shared" si="88"/>
        <v>4.622444778045999E-3</v>
      </c>
      <c r="M77" s="89">
        <f t="shared" si="88"/>
        <v>3.230912427759343E-3</v>
      </c>
      <c r="N77" s="89">
        <f t="shared" si="88"/>
        <v>4.4568945757410411E-3</v>
      </c>
      <c r="O77" s="89">
        <f t="shared" si="88"/>
        <v>5.3592064471960051E-3</v>
      </c>
      <c r="P77" s="89">
        <f t="shared" si="88"/>
        <v>5.070346727315953E-3</v>
      </c>
      <c r="Q77" s="89">
        <f t="shared" si="88"/>
        <v>5.1693994289805758E-3</v>
      </c>
      <c r="R77" s="89">
        <f t="shared" si="88"/>
        <v>3.8915047848464596E-3</v>
      </c>
      <c r="S77" s="89">
        <f t="shared" si="88"/>
        <v>3.7151190303953002E-3</v>
      </c>
      <c r="T77" s="89">
        <f t="shared" ref="T77:Y77" si="89">T37/T$23</f>
        <v>4.2918175340173207E-3</v>
      </c>
      <c r="U77" s="89">
        <f t="shared" si="89"/>
        <v>2.9220388940643677E-3</v>
      </c>
      <c r="V77" s="89">
        <f t="shared" si="89"/>
        <v>3.6919247706775175E-3</v>
      </c>
      <c r="W77" s="89">
        <f t="shared" si="89"/>
        <v>3.3223136674028889E-3</v>
      </c>
      <c r="X77" s="89">
        <f t="shared" si="89"/>
        <v>4.8801199245231477E-3</v>
      </c>
      <c r="Y77" s="89">
        <f t="shared" si="89"/>
        <v>4.7107763386464935E-3</v>
      </c>
      <c r="Z77" s="89">
        <f t="shared" ref="Z77:AA77" si="90">Z37/Z$23</f>
        <v>5.6766245373874704E-3</v>
      </c>
      <c r="AA77" s="89">
        <f t="shared" si="90"/>
        <v>5.2984917291212467E-3</v>
      </c>
    </row>
    <row r="78" spans="1:27" x14ac:dyDescent="0.25">
      <c r="A78" s="68" t="s">
        <v>265</v>
      </c>
      <c r="B78" s="44"/>
      <c r="C78" s="44"/>
      <c r="D78" s="89">
        <f>D43/D$23</f>
        <v>1.1633465875438703E-2</v>
      </c>
      <c r="E78" s="89">
        <f t="shared" ref="E78:S78" si="91">E43/E$23</f>
        <v>1.4363287513617391E-2</v>
      </c>
      <c r="F78" s="89">
        <f t="shared" si="91"/>
        <v>1.171844300684868E-2</v>
      </c>
      <c r="G78" s="89">
        <f t="shared" si="91"/>
        <v>1.2128743870601044E-2</v>
      </c>
      <c r="H78" s="89">
        <f t="shared" si="91"/>
        <v>1.1562557365629104E-2</v>
      </c>
      <c r="I78" s="89">
        <f t="shared" si="91"/>
        <v>1.1498603970367925E-2</v>
      </c>
      <c r="J78" s="89">
        <f t="shared" si="91"/>
        <v>1.1188256130847712E-2</v>
      </c>
      <c r="K78" s="89">
        <f t="shared" si="91"/>
        <v>1.0189982814404986E-2</v>
      </c>
      <c r="L78" s="89">
        <f t="shared" si="91"/>
        <v>9.3862243243025036E-3</v>
      </c>
      <c r="M78" s="89">
        <f t="shared" si="91"/>
        <v>9.4918569858489822E-3</v>
      </c>
      <c r="N78" s="89">
        <f t="shared" si="91"/>
        <v>9.0569972149479993E-3</v>
      </c>
      <c r="O78" s="89">
        <f t="shared" si="91"/>
        <v>8.6438090175741372E-3</v>
      </c>
      <c r="P78" s="89">
        <f t="shared" si="91"/>
        <v>8.5084712229996171E-3</v>
      </c>
      <c r="Q78" s="89">
        <f t="shared" si="91"/>
        <v>1.0341245905296293E-2</v>
      </c>
      <c r="R78" s="89">
        <f t="shared" si="91"/>
        <v>9.5735326869873846E-3</v>
      </c>
      <c r="S78" s="89">
        <f t="shared" si="91"/>
        <v>1.0428309490982718E-2</v>
      </c>
      <c r="T78" s="89">
        <f t="shared" ref="T78:Y78" si="92">T43/T$23</f>
        <v>1.0270656432629281E-2</v>
      </c>
      <c r="U78" s="89">
        <f t="shared" si="92"/>
        <v>1.0494093962940206E-2</v>
      </c>
      <c r="V78" s="89">
        <f t="shared" si="92"/>
        <v>1.0606831555419643E-2</v>
      </c>
      <c r="W78" s="89">
        <f t="shared" si="92"/>
        <v>1.080614635736621E-2</v>
      </c>
      <c r="X78" s="89">
        <f t="shared" si="92"/>
        <v>1.3343856100703428E-2</v>
      </c>
      <c r="Y78" s="89">
        <f t="shared" si="92"/>
        <v>1.3064588852991702E-2</v>
      </c>
      <c r="Z78" s="89">
        <f t="shared" ref="Z78:AA78" si="93">Z43/Z$23</f>
        <v>1.222897278046243E-2</v>
      </c>
      <c r="AA78" s="89">
        <f t="shared" si="93"/>
        <v>1.1716390684080293E-2</v>
      </c>
    </row>
    <row r="79" spans="1:27" x14ac:dyDescent="0.25">
      <c r="A79" s="88" t="s">
        <v>266</v>
      </c>
      <c r="B79" s="44"/>
      <c r="C79" s="44"/>
      <c r="D79" s="89">
        <f>D44/D$23</f>
        <v>5.0017376775816748E-3</v>
      </c>
      <c r="E79" s="89">
        <f t="shared" ref="E79:S79" si="94">E44/E$23</f>
        <v>5.4240057774459279E-3</v>
      </c>
      <c r="F79" s="89">
        <f t="shared" si="94"/>
        <v>4.0987291744696399E-3</v>
      </c>
      <c r="G79" s="89">
        <f t="shared" si="94"/>
        <v>4.6530447096904716E-3</v>
      </c>
      <c r="H79" s="89">
        <f t="shared" si="94"/>
        <v>4.5057024377156358E-3</v>
      </c>
      <c r="I79" s="89">
        <f t="shared" si="94"/>
        <v>4.5305004370478959E-3</v>
      </c>
      <c r="J79" s="89">
        <f t="shared" si="94"/>
        <v>4.6742634222131218E-3</v>
      </c>
      <c r="K79" s="89">
        <f t="shared" si="94"/>
        <v>4.4933221900264097E-3</v>
      </c>
      <c r="L79" s="89">
        <f t="shared" si="94"/>
        <v>4.5715338669164093E-3</v>
      </c>
      <c r="M79" s="89">
        <f t="shared" si="94"/>
        <v>4.2915336268932926E-3</v>
      </c>
      <c r="N79" s="89">
        <f t="shared" si="94"/>
        <v>3.888017785386692E-3</v>
      </c>
      <c r="O79" s="89">
        <f t="shared" si="94"/>
        <v>4.0852875260797335E-3</v>
      </c>
      <c r="P79" s="89">
        <f t="shared" si="94"/>
        <v>3.7510792825381539E-3</v>
      </c>
      <c r="Q79" s="89">
        <f t="shared" si="94"/>
        <v>4.3087468384673056E-3</v>
      </c>
      <c r="R79" s="89">
        <f t="shared" si="94"/>
        <v>4.6268105260583153E-3</v>
      </c>
      <c r="S79" s="89">
        <f t="shared" si="94"/>
        <v>5.509088348281373E-3</v>
      </c>
      <c r="T79" s="89">
        <f t="shared" ref="T79:Y79" si="95">T44/T$23</f>
        <v>5.4507563697410001E-3</v>
      </c>
      <c r="U79" s="89">
        <f t="shared" si="95"/>
        <v>5.7939441396076949E-3</v>
      </c>
      <c r="V79" s="89">
        <f t="shared" si="95"/>
        <v>5.5939002099787468E-3</v>
      </c>
      <c r="W79" s="89">
        <f t="shared" si="95"/>
        <v>5.5694986580195928E-3</v>
      </c>
      <c r="X79" s="89">
        <f t="shared" si="95"/>
        <v>6.8047078064308875E-3</v>
      </c>
      <c r="Y79" s="89">
        <f t="shared" si="95"/>
        <v>6.7316542392839443E-3</v>
      </c>
      <c r="Z79" s="89">
        <f t="shared" ref="Z79:AA79" si="96">Z44/Z$23</f>
        <v>6.1000377844671484E-3</v>
      </c>
      <c r="AA79" s="89">
        <f t="shared" si="96"/>
        <v>5.8510716788082728E-3</v>
      </c>
    </row>
    <row r="80" spans="1:27" x14ac:dyDescent="0.25">
      <c r="A80" s="88" t="s">
        <v>11</v>
      </c>
      <c r="B80" s="44"/>
      <c r="C80" s="44"/>
      <c r="D80" s="89">
        <f>D47/D$23</f>
        <v>6.6317281978570276E-3</v>
      </c>
      <c r="E80" s="89">
        <f t="shared" ref="E80:S80" si="97">E47/E$23</f>
        <v>8.9392817361714626E-3</v>
      </c>
      <c r="F80" s="89">
        <f t="shared" si="97"/>
        <v>7.61971383237904E-3</v>
      </c>
      <c r="G80" s="89">
        <f t="shared" si="97"/>
        <v>7.475699160910571E-3</v>
      </c>
      <c r="H80" s="89">
        <f t="shared" si="97"/>
        <v>7.0568549279134687E-3</v>
      </c>
      <c r="I80" s="89">
        <f t="shared" si="97"/>
        <v>6.9681035333200277E-3</v>
      </c>
      <c r="J80" s="89">
        <f t="shared" si="97"/>
        <v>6.5139927086345891E-3</v>
      </c>
      <c r="K80" s="89">
        <f t="shared" si="97"/>
        <v>5.6966606243785758E-3</v>
      </c>
      <c r="L80" s="89">
        <f t="shared" si="97"/>
        <v>4.8146904573860951E-3</v>
      </c>
      <c r="M80" s="89">
        <f t="shared" si="97"/>
        <v>5.2003233589556896E-3</v>
      </c>
      <c r="N80" s="89">
        <f t="shared" si="97"/>
        <v>5.168979429561309E-3</v>
      </c>
      <c r="O80" s="89">
        <f t="shared" si="97"/>
        <v>4.5585214914944053E-3</v>
      </c>
      <c r="P80" s="89">
        <f t="shared" si="97"/>
        <v>4.7573919404614627E-3</v>
      </c>
      <c r="Q80" s="89">
        <f t="shared" si="97"/>
        <v>6.032499066828987E-3</v>
      </c>
      <c r="R80" s="89">
        <f t="shared" si="97"/>
        <v>4.9467221609290702E-3</v>
      </c>
      <c r="S80" s="89">
        <f t="shared" si="97"/>
        <v>4.9192211427013452E-3</v>
      </c>
      <c r="T80" s="89">
        <f t="shared" ref="T80:Y80" si="98">T47/T$23</f>
        <v>4.8199000628882825E-3</v>
      </c>
      <c r="U80" s="89">
        <f t="shared" si="98"/>
        <v>4.7001498233325131E-3</v>
      </c>
      <c r="V80" s="89">
        <f t="shared" si="98"/>
        <v>5.0129313454408955E-3</v>
      </c>
      <c r="W80" s="89">
        <f t="shared" si="98"/>
        <v>5.2366476993466167E-3</v>
      </c>
      <c r="X80" s="89">
        <f t="shared" si="98"/>
        <v>6.5391482942725411E-3</v>
      </c>
      <c r="Y80" s="89">
        <f t="shared" si="98"/>
        <v>6.3329346137077575E-3</v>
      </c>
      <c r="Z80" s="89">
        <f t="shared" ref="Z80:AA80" si="99">Z47/Z$23</f>
        <v>6.1289349959952819E-3</v>
      </c>
      <c r="AA80" s="89">
        <f t="shared" si="99"/>
        <v>5.8653190052720197E-3</v>
      </c>
    </row>
    <row r="81" spans="1:27" x14ac:dyDescent="0.25">
      <c r="A81" s="68" t="s">
        <v>4</v>
      </c>
      <c r="B81" s="44"/>
      <c r="C81" s="44"/>
      <c r="D81" s="89">
        <f>D48/D$23</f>
        <v>1.0978369585257969E-2</v>
      </c>
      <c r="E81" s="89">
        <f t="shared" ref="E81:S81" si="100">E48/E$23</f>
        <v>1.1054567487178233E-2</v>
      </c>
      <c r="F81" s="89">
        <f t="shared" si="100"/>
        <v>1.0301694504842505E-2</v>
      </c>
      <c r="G81" s="89">
        <f t="shared" si="100"/>
        <v>1.123217376504854E-2</v>
      </c>
      <c r="H81" s="89">
        <f t="shared" si="100"/>
        <v>9.3455964378003614E-3</v>
      </c>
      <c r="I81" s="89">
        <f t="shared" si="100"/>
        <v>8.2385249117300895E-3</v>
      </c>
      <c r="J81" s="89">
        <f t="shared" si="100"/>
        <v>8.4539941018891267E-3</v>
      </c>
      <c r="K81" s="89">
        <f t="shared" si="100"/>
        <v>7.5886118309619116E-3</v>
      </c>
      <c r="L81" s="89">
        <f t="shared" si="100"/>
        <v>7.4514197352917562E-3</v>
      </c>
      <c r="M81" s="89">
        <f t="shared" si="100"/>
        <v>6.5580102811320243E-3</v>
      </c>
      <c r="N81" s="89">
        <f t="shared" si="100"/>
        <v>6.8054256788691019E-3</v>
      </c>
      <c r="O81" s="89">
        <f t="shared" si="100"/>
        <v>5.1343642432489876E-3</v>
      </c>
      <c r="P81" s="89">
        <f t="shared" si="100"/>
        <v>4.4667336727603132E-3</v>
      </c>
      <c r="Q81" s="89">
        <f t="shared" si="100"/>
        <v>4.6085022811199073E-3</v>
      </c>
      <c r="R81" s="89">
        <f t="shared" si="100"/>
        <v>5.0921950572686879E-3</v>
      </c>
      <c r="S81" s="89">
        <f t="shared" si="100"/>
        <v>4.9237436733027265E-3</v>
      </c>
      <c r="T81" s="89">
        <f t="shared" ref="T81:Y81" si="101">T48/T$23</f>
        <v>5.1994663705567058E-3</v>
      </c>
      <c r="U81" s="89">
        <f t="shared" si="101"/>
        <v>5.090375320692354E-3</v>
      </c>
      <c r="V81" s="89">
        <f t="shared" si="101"/>
        <v>5.2185049436619816E-3</v>
      </c>
      <c r="W81" s="89">
        <f t="shared" si="101"/>
        <v>5.4245373993825775E-3</v>
      </c>
      <c r="X81" s="89">
        <f t="shared" si="101"/>
        <v>5.6195381166193395E-3</v>
      </c>
      <c r="Y81" s="89">
        <f t="shared" si="101"/>
        <v>5.1796287808495338E-3</v>
      </c>
      <c r="Z81" s="89">
        <f t="shared" ref="Z81:AA81" si="102">Z48/Z$23</f>
        <v>4.9267019503436852E-3</v>
      </c>
      <c r="AA81" s="89">
        <f t="shared" si="102"/>
        <v>5.0384652372866779E-3</v>
      </c>
    </row>
    <row r="82" spans="1:27" x14ac:dyDescent="0.25">
      <c r="A82" s="68" t="s">
        <v>3</v>
      </c>
      <c r="B82" s="44"/>
      <c r="C82" s="44"/>
      <c r="D82" s="89">
        <f>D52/D$23</f>
        <v>9.9047622155470742E-3</v>
      </c>
      <c r="E82" s="89">
        <f t="shared" ref="E82:S82" si="103">E52/E$23</f>
        <v>1.1244292936093124E-2</v>
      </c>
      <c r="F82" s="89">
        <f t="shared" si="103"/>
        <v>1.144514719386798E-2</v>
      </c>
      <c r="G82" s="89">
        <f t="shared" si="103"/>
        <v>9.7588701675288773E-3</v>
      </c>
      <c r="H82" s="89">
        <f t="shared" si="103"/>
        <v>9.2596950855012624E-3</v>
      </c>
      <c r="I82" s="89">
        <f t="shared" si="103"/>
        <v>9.0472355860227241E-3</v>
      </c>
      <c r="J82" s="89">
        <f t="shared" si="103"/>
        <v>9.0287115984218225E-3</v>
      </c>
      <c r="K82" s="89">
        <f t="shared" si="103"/>
        <v>9.4964159934527274E-3</v>
      </c>
      <c r="L82" s="89">
        <f t="shared" si="103"/>
        <v>5.9207679948937121E-3</v>
      </c>
      <c r="M82" s="89">
        <f t="shared" si="103"/>
        <v>5.432659923806993E-3</v>
      </c>
      <c r="N82" s="89">
        <f t="shared" si="103"/>
        <v>4.3986782666550362E-3</v>
      </c>
      <c r="O82" s="89">
        <f t="shared" si="103"/>
        <v>4.1458435311327963E-3</v>
      </c>
      <c r="P82" s="89">
        <f t="shared" si="103"/>
        <v>4.0692157478160931E-3</v>
      </c>
      <c r="Q82" s="89">
        <f t="shared" si="103"/>
        <v>3.8353487081047412E-3</v>
      </c>
      <c r="R82" s="89">
        <f t="shared" si="103"/>
        <v>4.4427165067966743E-3</v>
      </c>
      <c r="S82" s="89">
        <f t="shared" si="103"/>
        <v>4.2744374941045583E-3</v>
      </c>
      <c r="T82" s="89">
        <f t="shared" ref="T82:Y82" si="104">T52/T$23</f>
        <v>4.2804817400319438E-3</v>
      </c>
      <c r="U82" s="89">
        <f t="shared" si="104"/>
        <v>4.2071994019988075E-3</v>
      </c>
      <c r="V82" s="89">
        <f t="shared" si="104"/>
        <v>4.340028946294856E-3</v>
      </c>
      <c r="W82" s="89">
        <f t="shared" si="104"/>
        <v>4.2374726720030668E-3</v>
      </c>
      <c r="X82" s="89">
        <f t="shared" si="104"/>
        <v>4.6883818732201231E-3</v>
      </c>
      <c r="Y82" s="89">
        <f t="shared" si="104"/>
        <v>4.9871006127364219E-3</v>
      </c>
      <c r="Z82" s="89">
        <f t="shared" ref="Z82:AA82" si="105">Z52/Z$23</f>
        <v>4.6600842817161887E-3</v>
      </c>
      <c r="AA82" s="89">
        <f t="shared" si="105"/>
        <v>4.484346004464501E-3</v>
      </c>
    </row>
    <row r="83" spans="1:27" x14ac:dyDescent="0.25">
      <c r="A83" s="88" t="s">
        <v>21</v>
      </c>
      <c r="B83" s="44"/>
      <c r="C83" s="44"/>
      <c r="D83" s="89">
        <f>D53/D$23</f>
        <v>2.9809736541972658E-3</v>
      </c>
      <c r="E83" s="89">
        <f t="shared" ref="E83:S83" si="106">E53/E$23</f>
        <v>2.6232603400369657E-3</v>
      </c>
      <c r="F83" s="89">
        <f t="shared" si="106"/>
        <v>2.9545684652032833E-3</v>
      </c>
      <c r="G83" s="89">
        <f t="shared" si="106"/>
        <v>2.4809816029722973E-3</v>
      </c>
      <c r="H83" s="89">
        <f t="shared" si="106"/>
        <v>2.2452024683106381E-3</v>
      </c>
      <c r="I83" s="89">
        <f t="shared" si="106"/>
        <v>2.13189899031612E-3</v>
      </c>
      <c r="J83" s="89">
        <f t="shared" si="106"/>
        <v>1.9943594301166743E-3</v>
      </c>
      <c r="K83" s="89">
        <f t="shared" si="106"/>
        <v>2.3224580404458445E-3</v>
      </c>
      <c r="L83" s="89">
        <f t="shared" si="106"/>
        <v>2.1841350772853277E-3</v>
      </c>
      <c r="M83" s="89">
        <f t="shared" si="106"/>
        <v>1.77933476209166E-3</v>
      </c>
      <c r="N83" s="89">
        <f t="shared" si="106"/>
        <v>1.6795506593453402E-3</v>
      </c>
      <c r="O83" s="89">
        <f t="shared" si="106"/>
        <v>1.7174355877549031E-3</v>
      </c>
      <c r="P83" s="89">
        <f t="shared" si="106"/>
        <v>1.7366220868530865E-3</v>
      </c>
      <c r="Q83" s="89">
        <f t="shared" si="106"/>
        <v>1.7807881476824725E-3</v>
      </c>
      <c r="R83" s="89">
        <f t="shared" si="106"/>
        <v>2.2889452185118771E-3</v>
      </c>
      <c r="S83" s="89">
        <f t="shared" si="106"/>
        <v>2.3271650323102508E-3</v>
      </c>
      <c r="T83" s="89">
        <f t="shared" ref="T83:Y83" si="107">T53/T$23</f>
        <v>2.3083157254913311E-3</v>
      </c>
      <c r="U83" s="89">
        <f t="shared" si="107"/>
        <v>2.2651168770589404E-3</v>
      </c>
      <c r="V83" s="89">
        <f t="shared" si="107"/>
        <v>2.3832491992525295E-3</v>
      </c>
      <c r="W83" s="89">
        <f t="shared" si="107"/>
        <v>2.312536473621406E-3</v>
      </c>
      <c r="X83" s="89">
        <f t="shared" si="107"/>
        <v>2.7343800407915717E-3</v>
      </c>
      <c r="Y83" s="89">
        <f t="shared" si="107"/>
        <v>2.9829444885396054E-3</v>
      </c>
      <c r="Z83" s="89">
        <f t="shared" ref="Z83:AA83" si="108">Z53/Z$23</f>
        <v>2.7757679979194005E-3</v>
      </c>
      <c r="AA83" s="89">
        <f t="shared" si="108"/>
        <v>2.8026526486543144E-3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6.9237885613498088E-3</v>
      </c>
      <c r="E84" s="89">
        <f t="shared" ref="E84:S84" si="110">E56/E$23</f>
        <v>8.6210325960561583E-3</v>
      </c>
      <c r="F84" s="89">
        <f t="shared" si="110"/>
        <v>8.4905787286646967E-3</v>
      </c>
      <c r="G84" s="89">
        <f t="shared" si="110"/>
        <v>7.27788856455658E-3</v>
      </c>
      <c r="H84" s="89">
        <f t="shared" si="110"/>
        <v>7.0144926171906248E-3</v>
      </c>
      <c r="I84" s="89">
        <f t="shared" si="110"/>
        <v>6.9153365957066058E-3</v>
      </c>
      <c r="J84" s="89">
        <f t="shared" si="110"/>
        <v>7.0343521683051491E-3</v>
      </c>
      <c r="K84" s="89">
        <f t="shared" si="110"/>
        <v>7.1739579530068834E-3</v>
      </c>
      <c r="L84" s="89">
        <f t="shared" si="110"/>
        <v>3.736632917608384E-3</v>
      </c>
      <c r="M84" s="89">
        <f t="shared" si="110"/>
        <v>3.6533251617153323E-3</v>
      </c>
      <c r="N84" s="89">
        <f t="shared" si="110"/>
        <v>2.7191276073096965E-3</v>
      </c>
      <c r="O84" s="89">
        <f t="shared" si="110"/>
        <v>2.4284079433778928E-3</v>
      </c>
      <c r="P84" s="89">
        <f t="shared" si="110"/>
        <v>2.3325936609630065E-3</v>
      </c>
      <c r="Q84" s="89">
        <f t="shared" si="110"/>
        <v>2.0545605604222685E-3</v>
      </c>
      <c r="R84" s="89">
        <f t="shared" si="110"/>
        <v>2.1537712882847971E-3</v>
      </c>
      <c r="S84" s="89">
        <f t="shared" si="110"/>
        <v>1.9472724617943071E-3</v>
      </c>
      <c r="T84" s="89">
        <f t="shared" ref="T84:Y84" si="111">T56/T$23</f>
        <v>1.9721660145406127E-3</v>
      </c>
      <c r="U84" s="89">
        <f t="shared" si="111"/>
        <v>1.9420825249398673E-3</v>
      </c>
      <c r="V84" s="89">
        <f t="shared" si="111"/>
        <v>1.9567797470423261E-3</v>
      </c>
      <c r="W84" s="89">
        <f t="shared" si="111"/>
        <v>1.9249361983816604E-3</v>
      </c>
      <c r="X84" s="89">
        <f t="shared" si="111"/>
        <v>1.9540018324285518E-3</v>
      </c>
      <c r="Y84" s="89">
        <f t="shared" si="111"/>
        <v>2.0041561241968165E-3</v>
      </c>
      <c r="Z84" s="89">
        <f t="shared" ref="Z84:AA84" si="112">Z56/Z$23</f>
        <v>1.8843162837967882E-3</v>
      </c>
      <c r="AA84" s="89">
        <f t="shared" si="112"/>
        <v>1.6816933558101868E-3</v>
      </c>
    </row>
    <row r="85" spans="1:27" x14ac:dyDescent="0.25">
      <c r="A85" s="68" t="s">
        <v>2</v>
      </c>
      <c r="B85" s="44"/>
      <c r="C85" s="44"/>
      <c r="D85" s="89">
        <f t="shared" si="109"/>
        <v>2.4311169922024777E-2</v>
      </c>
      <c r="E85" s="89">
        <f t="shared" ref="E85:S85" si="113">E57/E$23</f>
        <v>2.6689321517313978E-2</v>
      </c>
      <c r="F85" s="89">
        <f t="shared" si="113"/>
        <v>2.9746054380202624E-2</v>
      </c>
      <c r="G85" s="89">
        <f t="shared" si="113"/>
        <v>2.8137272846963324E-2</v>
      </c>
      <c r="H85" s="89">
        <f t="shared" si="113"/>
        <v>2.7677886403110332E-2</v>
      </c>
      <c r="I85" s="89">
        <f t="shared" si="113"/>
        <v>2.8203928154373115E-2</v>
      </c>
      <c r="J85" s="89">
        <f t="shared" si="113"/>
        <v>2.607549750797427E-2</v>
      </c>
      <c r="K85" s="89">
        <f t="shared" si="113"/>
        <v>2.5076899221273076E-2</v>
      </c>
      <c r="L85" s="89">
        <f t="shared" si="113"/>
        <v>2.6482697176486571E-2</v>
      </c>
      <c r="M85" s="89">
        <f t="shared" si="113"/>
        <v>2.6722051369327652E-2</v>
      </c>
      <c r="N85" s="89">
        <f t="shared" si="113"/>
        <v>2.806553493079967E-2</v>
      </c>
      <c r="O85" s="89">
        <f t="shared" si="113"/>
        <v>3.0558915105527253E-2</v>
      </c>
      <c r="P85" s="89">
        <f t="shared" si="113"/>
        <v>3.4014955467001125E-2</v>
      </c>
      <c r="Q85" s="89">
        <f t="shared" si="113"/>
        <v>3.1851392278477247E-2</v>
      </c>
      <c r="R85" s="89">
        <f t="shared" si="113"/>
        <v>3.2968277897002615E-2</v>
      </c>
      <c r="S85" s="89">
        <f t="shared" si="113"/>
        <v>3.190386908953706E-2</v>
      </c>
      <c r="T85" s="89">
        <f t="shared" ref="T85:Y85" si="114">T57/T$23</f>
        <v>3.2859785443072942E-2</v>
      </c>
      <c r="U85" s="89">
        <f t="shared" si="114"/>
        <v>3.0683740970382276E-2</v>
      </c>
      <c r="V85" s="89">
        <f t="shared" si="114"/>
        <v>3.0956702497336161E-2</v>
      </c>
      <c r="W85" s="89">
        <f t="shared" si="114"/>
        <v>3.0190515178625869E-2</v>
      </c>
      <c r="X85" s="89">
        <f t="shared" si="114"/>
        <v>3.3217351970947384E-2</v>
      </c>
      <c r="Y85" s="89">
        <f t="shared" si="114"/>
        <v>3.2204372997862316E-2</v>
      </c>
      <c r="Z85" s="89">
        <f t="shared" ref="Z85:AA85" si="115">Z57/Z$23</f>
        <v>3.0788615807210887E-2</v>
      </c>
      <c r="AA85" s="89">
        <f t="shared" si="115"/>
        <v>3.113244365564008E-2</v>
      </c>
    </row>
    <row r="86" spans="1:27" x14ac:dyDescent="0.25">
      <c r="A86" s="68" t="s">
        <v>269</v>
      </c>
      <c r="B86" s="44"/>
      <c r="C86" s="44"/>
      <c r="D86" s="89">
        <f t="shared" si="109"/>
        <v>2.7966003521040584E-3</v>
      </c>
      <c r="E86" s="89">
        <f t="shared" ref="E86:S86" si="116">E58/E$23</f>
        <v>2.7219481743515675E-3</v>
      </c>
      <c r="F86" s="89">
        <f t="shared" si="116"/>
        <v>3.0048379023059507E-3</v>
      </c>
      <c r="G86" s="89">
        <f t="shared" si="116"/>
        <v>3.1598316040962206E-3</v>
      </c>
      <c r="H86" s="89">
        <f t="shared" si="116"/>
        <v>2.9430038643841225E-3</v>
      </c>
      <c r="I86" s="89">
        <f t="shared" si="116"/>
        <v>2.8649005802068922E-3</v>
      </c>
      <c r="J86" s="89">
        <f t="shared" si="116"/>
        <v>3.4820808467609997E-3</v>
      </c>
      <c r="K86" s="89">
        <f t="shared" si="116"/>
        <v>3.103711523761351E-3</v>
      </c>
      <c r="L86" s="89">
        <f t="shared" si="116"/>
        <v>2.5412713195376796E-3</v>
      </c>
      <c r="M86" s="89">
        <f t="shared" si="116"/>
        <v>2.8210248337192066E-3</v>
      </c>
      <c r="N86" s="89">
        <f t="shared" si="116"/>
        <v>1.6166689317611549E-3</v>
      </c>
      <c r="O86" s="89">
        <f t="shared" si="116"/>
        <v>2.227676000702001E-3</v>
      </c>
      <c r="P86" s="89">
        <f t="shared" si="116"/>
        <v>9.7761320712088317E-4</v>
      </c>
      <c r="Q86" s="89">
        <f t="shared" si="116"/>
        <v>2.0349148548784411E-3</v>
      </c>
      <c r="R86" s="89">
        <f t="shared" si="116"/>
        <v>1.4772579517673672E-3</v>
      </c>
      <c r="S86" s="89">
        <f t="shared" si="116"/>
        <v>2.5894718071903067E-3</v>
      </c>
      <c r="T86" s="89">
        <f t="shared" ref="T86:Y86" si="117">T58/T$23</f>
        <v>2.3070000710453398E-3</v>
      </c>
      <c r="U86" s="89">
        <f t="shared" si="117"/>
        <v>2.6320839010662068E-3</v>
      </c>
      <c r="V86" s="89">
        <f t="shared" si="117"/>
        <v>2.9923088660317719E-3</v>
      </c>
      <c r="W86" s="89">
        <f t="shared" si="117"/>
        <v>2.9626846078517986E-3</v>
      </c>
      <c r="X86" s="89">
        <f t="shared" si="117"/>
        <v>2.6678203676674846E-3</v>
      </c>
      <c r="Y86" s="89">
        <f t="shared" si="117"/>
        <v>2.5562772256566765E-3</v>
      </c>
      <c r="Z86" s="89">
        <f t="shared" ref="Z86:AA86" si="118">Z58/Z$23</f>
        <v>2.6236487145920554E-3</v>
      </c>
      <c r="AA86" s="89">
        <f t="shared" si="118"/>
        <v>2.4988792951237001E-3</v>
      </c>
    </row>
    <row r="87" spans="1:27" x14ac:dyDescent="0.25">
      <c r="A87" s="68" t="s">
        <v>270</v>
      </c>
      <c r="B87" s="44"/>
      <c r="C87" s="44"/>
      <c r="D87" s="89">
        <f t="shared" si="109"/>
        <v>1.3726021273089492E-2</v>
      </c>
      <c r="E87" s="89">
        <f t="shared" ref="E87:S87" si="119">E59/E$23</f>
        <v>1.5923167313365242E-2</v>
      </c>
      <c r="F87" s="89">
        <f t="shared" si="119"/>
        <v>1.4413876063888914E-2</v>
      </c>
      <c r="G87" s="89">
        <f t="shared" si="119"/>
        <v>1.4418337299178893E-2</v>
      </c>
      <c r="H87" s="89">
        <f t="shared" si="119"/>
        <v>1.4360823335043512E-2</v>
      </c>
      <c r="I87" s="89">
        <f t="shared" si="119"/>
        <v>1.6431165529883295E-2</v>
      </c>
      <c r="J87" s="89">
        <f t="shared" si="119"/>
        <v>1.5899989656140558E-2</v>
      </c>
      <c r="K87" s="89">
        <f t="shared" si="119"/>
        <v>1.6210142820270577E-2</v>
      </c>
      <c r="L87" s="89">
        <f t="shared" si="119"/>
        <v>1.5478911627301736E-2</v>
      </c>
      <c r="M87" s="89">
        <f t="shared" si="119"/>
        <v>1.3547707636463072E-2</v>
      </c>
      <c r="N87" s="89">
        <f t="shared" si="119"/>
        <v>1.422851219804093E-2</v>
      </c>
      <c r="O87" s="89">
        <f t="shared" si="119"/>
        <v>1.3091871870221754E-2</v>
      </c>
      <c r="P87" s="89">
        <f t="shared" si="119"/>
        <v>1.2727290490956007E-2</v>
      </c>
      <c r="Q87" s="89">
        <f t="shared" si="119"/>
        <v>1.2617612818632747E-2</v>
      </c>
      <c r="R87" s="89">
        <f t="shared" si="119"/>
        <v>1.2004732374928714E-2</v>
      </c>
      <c r="S87" s="89">
        <f t="shared" si="119"/>
        <v>1.2174006303115504E-2</v>
      </c>
      <c r="T87" s="89">
        <f t="shared" ref="T87:Y87" si="120">T59/T$23</f>
        <v>1.2061262133623128E-2</v>
      </c>
      <c r="U87" s="89">
        <f t="shared" si="120"/>
        <v>1.2402580915259691E-2</v>
      </c>
      <c r="V87" s="89">
        <f t="shared" si="120"/>
        <v>1.2990719181995838E-2</v>
      </c>
      <c r="W87" s="89">
        <f t="shared" si="120"/>
        <v>1.327982002406481E-2</v>
      </c>
      <c r="X87" s="89">
        <f t="shared" si="120"/>
        <v>1.5001735305763592E-2</v>
      </c>
      <c r="Y87" s="89">
        <f t="shared" si="120"/>
        <v>1.7306419137548337E-2</v>
      </c>
      <c r="Z87" s="89">
        <f t="shared" ref="Z87:AA87" si="121">Z59/Z$23</f>
        <v>1.6971932083919682E-2</v>
      </c>
      <c r="AA87" s="89">
        <f t="shared" si="121"/>
        <v>1.5833359199015306E-2</v>
      </c>
    </row>
    <row r="88" spans="1:27" x14ac:dyDescent="0.25">
      <c r="A88" s="68" t="s">
        <v>1</v>
      </c>
      <c r="B88" s="44"/>
      <c r="C88" s="44"/>
      <c r="D88" s="89">
        <f t="shared" si="109"/>
        <v>1.0217217855820079E-2</v>
      </c>
      <c r="E88" s="89">
        <f t="shared" ref="E88:S88" si="122">E60/E$23</f>
        <v>8.2951332362265432E-3</v>
      </c>
      <c r="F88" s="89">
        <f t="shared" si="122"/>
        <v>9.534908583966599E-3</v>
      </c>
      <c r="G88" s="89">
        <f t="shared" si="122"/>
        <v>9.1519512923518582E-3</v>
      </c>
      <c r="H88" s="89">
        <f t="shared" si="122"/>
        <v>8.5077640701708146E-3</v>
      </c>
      <c r="I88" s="89">
        <f t="shared" si="122"/>
        <v>7.2709398709274826E-3</v>
      </c>
      <c r="J88" s="89">
        <f t="shared" si="122"/>
        <v>5.8611685183582391E-3</v>
      </c>
      <c r="K88" s="89">
        <f t="shared" si="122"/>
        <v>5.8601442321744657E-3</v>
      </c>
      <c r="L88" s="89">
        <f t="shared" si="122"/>
        <v>5.7008822499963205E-3</v>
      </c>
      <c r="M88" s="89">
        <f t="shared" si="122"/>
        <v>4.822178867603057E-3</v>
      </c>
      <c r="N88" s="89">
        <f t="shared" si="122"/>
        <v>4.626370973794547E-3</v>
      </c>
      <c r="O88" s="89">
        <f t="shared" si="122"/>
        <v>4.3465754738086877E-3</v>
      </c>
      <c r="P88" s="89">
        <f t="shared" si="122"/>
        <v>4.2389699461793696E-3</v>
      </c>
      <c r="Q88" s="89">
        <f t="shared" si="122"/>
        <v>3.8169704674347084E-3</v>
      </c>
      <c r="R88" s="89">
        <f t="shared" si="122"/>
        <v>3.5833965217816704E-3</v>
      </c>
      <c r="S88" s="89">
        <f t="shared" si="122"/>
        <v>3.8118472211633751E-3</v>
      </c>
      <c r="T88" s="89">
        <f t="shared" ref="T88:Y88" si="123">T60/T$23</f>
        <v>3.6338375798273329E-3</v>
      </c>
      <c r="U88" s="89">
        <f t="shared" si="123"/>
        <v>3.5081530640131337E-3</v>
      </c>
      <c r="V88" s="89">
        <f t="shared" si="123"/>
        <v>3.3287600656047916E-3</v>
      </c>
      <c r="W88" s="89">
        <f t="shared" si="123"/>
        <v>3.1518186105370036E-3</v>
      </c>
      <c r="X88" s="89">
        <f t="shared" si="123"/>
        <v>2.8260693864216912E-3</v>
      </c>
      <c r="Y88" s="89">
        <f t="shared" si="123"/>
        <v>2.921459686464773E-3</v>
      </c>
      <c r="Z88" s="89">
        <f t="shared" ref="Z88:AA88" si="124">Z60/Z$23</f>
        <v>2.7893987580741805E-3</v>
      </c>
      <c r="AA88" s="89">
        <f t="shared" si="124"/>
        <v>2.6530557207849665E-3</v>
      </c>
    </row>
    <row r="89" spans="1:27" x14ac:dyDescent="0.25">
      <c r="A89" s="68" t="s">
        <v>0</v>
      </c>
      <c r="B89" s="44"/>
      <c r="C89" s="44"/>
      <c r="D89" s="89">
        <f t="shared" si="109"/>
        <v>3.2102165652069634E-3</v>
      </c>
      <c r="E89" s="89">
        <f t="shared" ref="E89:S89" si="125">E61/E$23</f>
        <v>3.7608480115548923E-3</v>
      </c>
      <c r="F89" s="89">
        <f t="shared" si="125"/>
        <v>4.3500763599829788E-3</v>
      </c>
      <c r="G89" s="89">
        <f t="shared" si="125"/>
        <v>3.8727204416057343E-3</v>
      </c>
      <c r="H89" s="89">
        <f t="shared" si="125"/>
        <v>3.7167044005026995E-3</v>
      </c>
      <c r="I89" s="89">
        <f t="shared" si="125"/>
        <v>3.7005682769759496E-3</v>
      </c>
      <c r="J89" s="89">
        <f t="shared" si="125"/>
        <v>3.2482885134607386E-3</v>
      </c>
      <c r="K89" s="89">
        <f t="shared" si="125"/>
        <v>2.7485062304593738E-3</v>
      </c>
      <c r="L89" s="89">
        <f t="shared" si="125"/>
        <v>3.0613034807960909E-3</v>
      </c>
      <c r="M89" s="89">
        <f t="shared" si="125"/>
        <v>2.9065973545183482E-3</v>
      </c>
      <c r="N89" s="89">
        <f t="shared" si="125"/>
        <v>1.6729582201631273E-3</v>
      </c>
      <c r="O89" s="89">
        <f t="shared" si="125"/>
        <v>1.3496139274325994E-3</v>
      </c>
      <c r="P89" s="89">
        <f t="shared" si="125"/>
        <v>9.4647124986718862E-4</v>
      </c>
      <c r="Q89" s="89">
        <f t="shared" si="125"/>
        <v>6.7999490479120741E-4</v>
      </c>
      <c r="R89" s="89">
        <f t="shared" si="125"/>
        <v>6.0570794449372209E-4</v>
      </c>
      <c r="S89" s="89">
        <f t="shared" si="125"/>
        <v>5.5691733976997114E-4</v>
      </c>
      <c r="T89" s="89">
        <f t="shared" ref="T89:Y89" si="126">T61/T$23</f>
        <v>6.0717452682487836E-4</v>
      </c>
      <c r="U89" s="89">
        <f t="shared" si="126"/>
        <v>6.2668664311100173E-4</v>
      </c>
      <c r="V89" s="89">
        <f t="shared" si="126"/>
        <v>6.6141070732001622E-4</v>
      </c>
      <c r="W89" s="89">
        <f t="shared" si="126"/>
        <v>6.8809936503235803E-4</v>
      </c>
      <c r="X89" s="89">
        <f t="shared" si="126"/>
        <v>9.0330984954117973E-4</v>
      </c>
      <c r="Y89" s="89">
        <f t="shared" si="126"/>
        <v>8.1979736099776796E-4</v>
      </c>
      <c r="Z89" s="89">
        <f t="shared" ref="Z89:AA89" si="127">Z61/Z$23</f>
        <v>8.6909726746877325E-4</v>
      </c>
      <c r="AA89" s="89">
        <f t="shared" si="127"/>
        <v>9.8103019364660822E-4</v>
      </c>
    </row>
    <row r="90" spans="1:27" x14ac:dyDescent="0.25">
      <c r="A90" s="90" t="s">
        <v>272</v>
      </c>
      <c r="B90" s="47"/>
      <c r="C90" s="47"/>
      <c r="D90" s="91">
        <f t="shared" si="109"/>
        <v>6.5077249150332778E-3</v>
      </c>
      <c r="E90" s="91">
        <f t="shared" ref="E90:S90" si="128">E62/E$23</f>
        <v>7.4513140017381302E-3</v>
      </c>
      <c r="F90" s="91">
        <f t="shared" si="128"/>
        <v>6.8876209033063842E-3</v>
      </c>
      <c r="G90" s="91">
        <f t="shared" si="128"/>
        <v>6.137908666737313E-3</v>
      </c>
      <c r="H90" s="91">
        <f t="shared" si="128"/>
        <v>6.5667465274672522E-3</v>
      </c>
      <c r="I90" s="91">
        <f t="shared" si="128"/>
        <v>6.3853730048935601E-3</v>
      </c>
      <c r="J90" s="91">
        <f t="shared" si="128"/>
        <v>6.7979210953513849E-3</v>
      </c>
      <c r="K90" s="91">
        <f t="shared" si="128"/>
        <v>5.7278711313214284E-3</v>
      </c>
      <c r="L90" s="91">
        <f t="shared" si="128"/>
        <v>6.5533550622875053E-3</v>
      </c>
      <c r="M90" s="91">
        <f t="shared" si="128"/>
        <v>6.7420629096664915E-3</v>
      </c>
      <c r="N90" s="91">
        <f t="shared" si="128"/>
        <v>6.4935525944797958E-3</v>
      </c>
      <c r="O90" s="91">
        <f t="shared" si="128"/>
        <v>6.2838069317561864E-3</v>
      </c>
      <c r="P90" s="91">
        <f t="shared" si="128"/>
        <v>5.8327054056331517E-3</v>
      </c>
      <c r="Q90" s="91">
        <f t="shared" si="128"/>
        <v>5.0641559032493363E-3</v>
      </c>
      <c r="R90" s="91">
        <f t="shared" si="128"/>
        <v>5.1926099768659474E-3</v>
      </c>
      <c r="S90" s="91">
        <f t="shared" si="128"/>
        <v>5.8683064931910073E-3</v>
      </c>
      <c r="T90" s="91">
        <f t="shared" ref="T90:Y90" si="129">T62/T$23</f>
        <v>5.8783440646880966E-3</v>
      </c>
      <c r="U90" s="91">
        <f t="shared" si="129"/>
        <v>5.7842531090441214E-3</v>
      </c>
      <c r="V90" s="91">
        <f t="shared" si="129"/>
        <v>5.8920457701316887E-3</v>
      </c>
      <c r="W90" s="91">
        <f t="shared" si="129"/>
        <v>5.9048382219910574E-3</v>
      </c>
      <c r="X90" s="91">
        <f t="shared" si="129"/>
        <v>6.8760217419209799E-3</v>
      </c>
      <c r="Y90" s="91">
        <f t="shared" si="129"/>
        <v>6.847171140151812E-3</v>
      </c>
      <c r="Z90" s="91">
        <f t="shared" ref="Z90:AA90" si="130">Z62/Z$23</f>
        <v>6.2646973671368908E-3</v>
      </c>
      <c r="AA90" s="91">
        <f t="shared" si="130"/>
        <v>6.5934591541871104E-3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4.6501728568833167E-2</v>
      </c>
      <c r="F93" s="92">
        <f t="shared" ref="F93:F94" si="132">IF(E16=0,"",F16/E16-1)</f>
        <v>4.6823614226192856E-2</v>
      </c>
      <c r="G93" s="92">
        <f t="shared" ref="G93:G94" si="133">IF(F16=0,"",G16/F16-1)</f>
        <v>5.7979172258524558E-2</v>
      </c>
      <c r="H93" s="92">
        <f t="shared" ref="H93:H94" si="134">IF(G16=0,"",H16/G16-1)</f>
        <v>5.3771313130426712E-2</v>
      </c>
      <c r="I93" s="92">
        <f t="shared" ref="I93:I94" si="135">IF(H16=0,"",I16/H16-1)</f>
        <v>1.1840054686385937E-2</v>
      </c>
      <c r="J93" s="92">
        <f t="shared" ref="J93:J94" si="136">IF(I16=0,"",J16/I16-1)</f>
        <v>6.4426910114518954E-2</v>
      </c>
      <c r="K93" s="92">
        <f t="shared" ref="K93:K94" si="137">IF(J16=0,"",K16/J16-1)</f>
        <v>3.5074593927931774E-2</v>
      </c>
      <c r="L93" s="92">
        <f t="shared" ref="L93:L94" si="138">IF(K16=0,"",L16/K16-1)</f>
        <v>5.757883805708186E-4</v>
      </c>
      <c r="M93" s="92">
        <f t="shared" ref="M93:M94" si="139">IF(L16=0,"",M16/L16-1)</f>
        <v>-4.1191547459929034E-2</v>
      </c>
      <c r="N93" s="92">
        <f t="shared" ref="N93:N94" si="140">IF(M16=0,"",N16/M16-1)</f>
        <v>-5.6944428122526092E-2</v>
      </c>
      <c r="O93" s="92">
        <f t="shared" ref="O93:O94" si="141">IF(N16=0,"",O16/N16-1)</f>
        <v>-9.876736705429956E-2</v>
      </c>
      <c r="P93" s="92">
        <f t="shared" ref="P93:P94" si="142">IF(O16=0,"",P16/O16-1)</f>
        <v>-8.3308861622926278E-2</v>
      </c>
      <c r="Q93" s="92">
        <f t="shared" ref="Q93:Q94" si="143">IF(P16=0,"",Q16/P16-1)</f>
        <v>-2.2724234730330362E-2</v>
      </c>
      <c r="R93" s="92">
        <f t="shared" ref="R93:R94" si="144">IF(Q16=0,"",R16/Q16-1)</f>
        <v>7.925640717194149E-3</v>
      </c>
      <c r="S93" s="92">
        <f t="shared" ref="S93:S94" si="145">IF(R16=0,"",S16/R16-1)</f>
        <v>-2.283244250356864E-3</v>
      </c>
      <c r="T93" s="92">
        <f t="shared" ref="T93:T94" si="146">IF(S16=0,"",T16/S16-1)</f>
        <v>-3.1759678929021984E-4</v>
      </c>
      <c r="U93" s="92">
        <f t="shared" ref="U93:U94" si="147">IF(T16=0,"",U16/T16-1)</f>
        <v>1.4727496446825139E-2</v>
      </c>
      <c r="V93" s="92">
        <f t="shared" ref="V93:V94" si="148">IF(U16=0,"",V16/U16-1)</f>
        <v>2.0645423366026039E-2</v>
      </c>
      <c r="W93" s="92">
        <f t="shared" ref="W93:W94" si="149">IF(V16=0,"",W16/V16-1)</f>
        <v>2.2779056435965339E-2</v>
      </c>
      <c r="X93" s="92">
        <f t="shared" ref="X93:X94" si="150">IF(W16=0,"",X16/W16-1)</f>
        <v>-9.1961862791466897E-2</v>
      </c>
      <c r="Y93" s="92">
        <f t="shared" ref="Y93:Y94" si="151">IF(X16=0,"",Y16/X16-1)</f>
        <v>8.6543338031122463E-2</v>
      </c>
      <c r="Z93" s="92">
        <f t="shared" ref="Z93:Z94" si="152">IF(Y16=0,"",Z16/Y16-1)</f>
        <v>5.7437350776477158E-2</v>
      </c>
      <c r="AA93" s="92">
        <f t="shared" ref="AA93:AA94" si="153">IF(Z16=0,"",AA16/Z16-1)</f>
        <v>2.331798113431538E-2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5.3896960292020735E-2</v>
      </c>
      <c r="F94" s="93">
        <f t="shared" si="132"/>
        <v>5.8712284272419035E-2</v>
      </c>
      <c r="G94" s="93">
        <f t="shared" si="133"/>
        <v>3.7201415130627469E-2</v>
      </c>
      <c r="H94" s="93">
        <f t="shared" si="134"/>
        <v>4.1916328862304786E-2</v>
      </c>
      <c r="I94" s="93">
        <f t="shared" si="135"/>
        <v>3.5112021258900894E-2</v>
      </c>
      <c r="J94" s="93">
        <f t="shared" si="136"/>
        <v>1.8459566129800375E-2</v>
      </c>
      <c r="K94" s="93">
        <f t="shared" si="137"/>
        <v>4.7170300025586309E-2</v>
      </c>
      <c r="L94" s="93">
        <f t="shared" si="138"/>
        <v>3.6750220100768116E-2</v>
      </c>
      <c r="M94" s="93">
        <f t="shared" si="139"/>
        <v>-1.5243111887336735E-2</v>
      </c>
      <c r="N94" s="93">
        <f t="shared" si="140"/>
        <v>-7.3672293611401152E-2</v>
      </c>
      <c r="O94" s="93">
        <f t="shared" si="141"/>
        <v>-7.9463692081667037E-2</v>
      </c>
      <c r="P94" s="93">
        <f t="shared" si="142"/>
        <v>-9.3879240378475837E-2</v>
      </c>
      <c r="Q94" s="93">
        <f t="shared" si="143"/>
        <v>-3.114476283525669E-2</v>
      </c>
      <c r="R94" s="93">
        <f t="shared" si="144"/>
        <v>1.1528652520036431E-3</v>
      </c>
      <c r="S94" s="93">
        <f t="shared" si="145"/>
        <v>3.8319599370650881E-3</v>
      </c>
      <c r="T94" s="93">
        <f t="shared" si="146"/>
        <v>3.390536989661852E-3</v>
      </c>
      <c r="U94" s="93">
        <f t="shared" si="147"/>
        <v>2.5677831988413669E-2</v>
      </c>
      <c r="V94" s="93">
        <f t="shared" si="148"/>
        <v>2.2642367637270233E-2</v>
      </c>
      <c r="W94" s="93">
        <f t="shared" si="149"/>
        <v>2.6149763537040682E-2</v>
      </c>
      <c r="X94" s="93">
        <f t="shared" si="150"/>
        <v>-6.1969960856649076E-2</v>
      </c>
      <c r="Y94" s="93">
        <f t="shared" si="151"/>
        <v>5.0904420188032429E-2</v>
      </c>
      <c r="Z94" s="93">
        <f t="shared" si="152"/>
        <v>8.6087527590513302E-2</v>
      </c>
      <c r="AA94" s="93">
        <f t="shared" si="153"/>
        <v>1.7825738312620798E-2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4.0672178784326052E-2</v>
      </c>
      <c r="F95" s="92">
        <f t="shared" ref="F95:F96" si="155">IF(E20=0,"",F20/E20-1)</f>
        <v>4.179681450845818E-2</v>
      </c>
      <c r="G95" s="92">
        <f t="shared" ref="G95:G96" si="156">IF(F20=0,"",G20/F20-1)</f>
        <v>5.5314202648463429E-2</v>
      </c>
      <c r="H95" s="92">
        <f t="shared" ref="H95:H96" si="157">IF(G20=0,"",H20/G20-1)</f>
        <v>5.1401948757826776E-2</v>
      </c>
      <c r="I95" s="92">
        <f t="shared" ref="I95:I96" si="158">IF(H20=0,"",I20/H20-1)</f>
        <v>9.1150746924169024E-3</v>
      </c>
      <c r="J95" s="92">
        <f t="shared" ref="J95:J96" si="159">IF(I20=0,"",J20/I20-1)</f>
        <v>6.1060506639897261E-2</v>
      </c>
      <c r="K95" s="92">
        <f t="shared" ref="K95:K96" si="160">IF(J20=0,"",K20/J20-1)</f>
        <v>3.2139696255404582E-2</v>
      </c>
      <c r="L95" s="92">
        <f t="shared" ref="L95:L96" si="161">IF(K20=0,"",L20/K20-1)</f>
        <v>-1.6792966839711543E-3</v>
      </c>
      <c r="M95" s="92">
        <f t="shared" ref="M95:M96" si="162">IF(L20=0,"",M20/L20-1)</f>
        <v>-4.4113236616685092E-2</v>
      </c>
      <c r="N95" s="92">
        <f t="shared" ref="N95:N96" si="163">IF(M20=0,"",N20/M20-1)</f>
        <v>-5.9026068050777036E-2</v>
      </c>
      <c r="O95" s="92">
        <f t="shared" ref="O95:O96" si="164">IF(N20=0,"",O20/N20-1)</f>
        <v>-9.9099797799613309E-2</v>
      </c>
      <c r="P95" s="92">
        <f t="shared" ref="P95:P96" si="165">IF(O20=0,"",P20/O20-1)</f>
        <v>-8.0250635319107477E-2</v>
      </c>
      <c r="Q95" s="92">
        <f t="shared" ref="Q95:Q96" si="166">IF(P20=0,"",Q20/P20-1)</f>
        <v>-1.5371229569531741E-2</v>
      </c>
      <c r="R95" s="92">
        <f t="shared" ref="R95:R96" si="167">IF(Q20=0,"",R20/Q20-1)</f>
        <v>1.5010670462133113E-2</v>
      </c>
      <c r="S95" s="92">
        <f t="shared" ref="S95:S96" si="168">IF(R20=0,"",S20/R20-1)</f>
        <v>4.0376089579599039E-3</v>
      </c>
      <c r="T95" s="92">
        <f t="shared" ref="T95:T96" si="169">IF(S20=0,"",T20/S20-1)</f>
        <v>6.5674316893482576E-3</v>
      </c>
      <c r="U95" s="92">
        <f t="shared" ref="U95:U96" si="170">IF(T20=0,"",U20/T20-1)</f>
        <v>1.6193302846025937E-2</v>
      </c>
      <c r="V95" s="92">
        <f t="shared" ref="V95:V96" si="171">IF(U20=0,"",V20/U20-1)</f>
        <v>2.3213674063481848E-2</v>
      </c>
      <c r="W95" s="92">
        <f t="shared" ref="W95:W96" si="172">IF(V20=0,"",W20/V20-1)</f>
        <v>2.4358915771397704E-2</v>
      </c>
      <c r="X95" s="92">
        <f t="shared" ref="X95:X96" si="173">IF(W20=0,"",X20/W20-1)</f>
        <v>-9.1450684091714085E-2</v>
      </c>
      <c r="Y95" s="92">
        <f t="shared" ref="Y95:Y96" si="174">IF(X20=0,"",Y20/X20-1)</f>
        <v>9.0606492854474086E-2</v>
      </c>
      <c r="Z95" s="92">
        <f t="shared" ref="Z95:Z96" si="175">IF(Y20=0,"",Z20/Y20-1)</f>
        <v>7.9371720287572334E-2</v>
      </c>
      <c r="AA95" s="92">
        <f t="shared" ref="AA95:AA96" si="176">IF(Z20=0,"",AA20/Z20-1)</f>
        <v>2.7999762340692014E-2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4.8026215285068119E-2</v>
      </c>
      <c r="F96" s="93">
        <f t="shared" si="155"/>
        <v>5.3628395698051445E-2</v>
      </c>
      <c r="G96" s="93">
        <f t="shared" si="156"/>
        <v>3.4588783121119127E-2</v>
      </c>
      <c r="H96" s="93">
        <f t="shared" si="157"/>
        <v>3.9573619967048668E-2</v>
      </c>
      <c r="I96" s="93">
        <f t="shared" si="158"/>
        <v>3.232436768027136E-2</v>
      </c>
      <c r="J96" s="93">
        <f t="shared" si="159"/>
        <v>1.5238541003883332E-2</v>
      </c>
      <c r="K96" s="93">
        <f t="shared" si="160"/>
        <v>4.4201105636781923E-2</v>
      </c>
      <c r="L96" s="93">
        <f t="shared" si="161"/>
        <v>3.4413605559260985E-2</v>
      </c>
      <c r="M96" s="93">
        <f t="shared" si="162"/>
        <v>-1.8243871334562622E-2</v>
      </c>
      <c r="N96" s="93">
        <f t="shared" si="163"/>
        <v>-7.5717009530341661E-2</v>
      </c>
      <c r="O96" s="93">
        <f t="shared" si="164"/>
        <v>-7.9803243225004428E-2</v>
      </c>
      <c r="P96" s="93">
        <f t="shared" si="165"/>
        <v>-9.0856278526333378E-2</v>
      </c>
      <c r="Q96" s="93">
        <f t="shared" si="166"/>
        <v>-2.3855113575435682E-2</v>
      </c>
      <c r="R96" s="93">
        <f t="shared" si="167"/>
        <v>8.1902870051537846E-3</v>
      </c>
      <c r="S96" s="93">
        <f t="shared" si="168"/>
        <v>1.0191554910301548E-2</v>
      </c>
      <c r="T96" s="93">
        <f t="shared" si="169"/>
        <v>1.0301104185985732E-2</v>
      </c>
      <c r="U96" s="93">
        <f t="shared" si="170"/>
        <v>2.715945649835505E-2</v>
      </c>
      <c r="V96" s="93">
        <f t="shared" si="171"/>
        <v>2.521564324680603E-2</v>
      </c>
      <c r="W96" s="93">
        <f t="shared" si="172"/>
        <v>2.7734829513190729E-2</v>
      </c>
      <c r="X96" s="93">
        <f t="shared" si="173"/>
        <v>-6.144189826093871E-2</v>
      </c>
      <c r="Y96" s="93">
        <f t="shared" si="174"/>
        <v>5.4834302424948911E-2</v>
      </c>
      <c r="Z96" s="93">
        <f t="shared" si="175"/>
        <v>0.10861618627092495</v>
      </c>
      <c r="AA96" s="93">
        <f t="shared" si="176"/>
        <v>2.2482391963635662E-2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3.9417243921308076E-2</v>
      </c>
      <c r="F97" s="89">
        <f t="shared" ref="F97:F106" si="178">IF(E23=0,"",F23/E23-1)</f>
        <v>4.7113187701376846E-2</v>
      </c>
      <c r="G97" s="89">
        <f t="shared" ref="G97:G106" si="179">IF(F23=0,"",G23/F23-1)</f>
        <v>6.1555987762578201E-2</v>
      </c>
      <c r="H97" s="89">
        <f t="shared" ref="H97:H106" si="180">IF(G23=0,"",H23/G23-1)</f>
        <v>6.1969639693960188E-2</v>
      </c>
      <c r="I97" s="89">
        <f t="shared" ref="I97:I106" si="181">IF(H23=0,"",I23/H23-1)</f>
        <v>1.0673385964427462E-2</v>
      </c>
      <c r="J97" s="89">
        <f t="shared" ref="J97:J106" si="182">IF(I23=0,"",J23/I23-1)</f>
        <v>5.2440882449438897E-2</v>
      </c>
      <c r="K97" s="89">
        <f t="shared" ref="K97:K106" si="183">IF(J23=0,"",K23/J23-1)</f>
        <v>2.9593260469451321E-2</v>
      </c>
      <c r="L97" s="89">
        <f t="shared" ref="L97:L106" si="184">IF(K23=0,"",L23/K23-1)</f>
        <v>2.9365582584282013E-3</v>
      </c>
      <c r="M97" s="89">
        <f t="shared" ref="M97:M106" si="185">IF(L23=0,"",M23/L23-1)</f>
        <v>-3.2864977539129092E-2</v>
      </c>
      <c r="N97" s="89">
        <f t="shared" ref="N97:N106" si="186">IF(M23=0,"",N23/M23-1)</f>
        <v>-5.8328933116279291E-2</v>
      </c>
      <c r="O97" s="89">
        <f t="shared" ref="O97:O106" si="187">IF(N23=0,"",O23/N23-1)</f>
        <v>-8.8752221130443454E-2</v>
      </c>
      <c r="P97" s="89">
        <f t="shared" ref="P97:P106" si="188">IF(O23=0,"",P23/O23-1)</f>
        <v>-7.1981196551640703E-2</v>
      </c>
      <c r="Q97" s="89">
        <f t="shared" ref="Q97:Q106" si="189">IF(P23=0,"",Q23/P23-1)</f>
        <v>-1.6655380990348023E-2</v>
      </c>
      <c r="R97" s="89">
        <f t="shared" ref="R97:R106" si="190">IF(Q23=0,"",R23/Q23-1)</f>
        <v>1.1626311921286714E-3</v>
      </c>
      <c r="S97" s="89">
        <f t="shared" ref="S97:S106" si="191">IF(R23=0,"",S23/R23-1)</f>
        <v>6.6110788553341848E-5</v>
      </c>
      <c r="T97" s="89">
        <f t="shared" ref="T97:T106" si="192">IF(S23=0,"",T23/S23-1)</f>
        <v>-3.4640514184486326E-3</v>
      </c>
      <c r="U97" s="89">
        <f t="shared" ref="U97:U106" si="193">IF(T23=0,"",U23/T23-1)</f>
        <v>2.2453629069352887E-2</v>
      </c>
      <c r="V97" s="89">
        <f t="shared" ref="V97:V106" si="194">IF(U23=0,"",V23/U23-1)</f>
        <v>1.7265545392181947E-2</v>
      </c>
      <c r="W97" s="89">
        <f t="shared" ref="W97:W106" si="195">IF(V23=0,"",W23/V23-1)</f>
        <v>1.7717556226612086E-2</v>
      </c>
      <c r="X97" s="89">
        <f t="shared" ref="X97:X106" si="196">IF(W23=0,"",X23/W23-1)</f>
        <v>-9.0985117875761135E-2</v>
      </c>
      <c r="Y97" s="89">
        <f t="shared" ref="Y97:Y106" si="197">IF(X23=0,"",Y23/X23-1)</f>
        <v>8.1247011887428888E-2</v>
      </c>
      <c r="Z97" s="89">
        <f t="shared" ref="Z97:Z108" si="198">IF(Y23=0,"",Z23/Y23-1)</f>
        <v>5.2959048789738672E-2</v>
      </c>
      <c r="AA97" s="89">
        <f t="shared" ref="AA97:AA108" si="199">IF(Z23=0,"",AA23/Z23-1)</f>
        <v>2.201310386948041E-2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1.6091262182103661E-2</v>
      </c>
      <c r="F98" s="83">
        <f t="shared" si="178"/>
        <v>1.6934620121551003E-2</v>
      </c>
      <c r="G98" s="83">
        <f t="shared" si="179"/>
        <v>7.5832105842488451E-2</v>
      </c>
      <c r="H98" s="83">
        <f t="shared" si="180"/>
        <v>-9.7903086002511519E-2</v>
      </c>
      <c r="I98" s="83">
        <f t="shared" si="181"/>
        <v>-3.4881622191751394E-4</v>
      </c>
      <c r="J98" s="83">
        <f t="shared" si="182"/>
        <v>-0.21810556081288113</v>
      </c>
      <c r="K98" s="83">
        <f t="shared" si="183"/>
        <v>-7.1090349034638178E-3</v>
      </c>
      <c r="L98" s="83">
        <f t="shared" si="184"/>
        <v>-8.1318210922380341E-2</v>
      </c>
      <c r="M98" s="83">
        <f t="shared" si="185"/>
        <v>-3.4294993241402727E-2</v>
      </c>
      <c r="N98" s="83">
        <f t="shared" si="186"/>
        <v>-5.064061511474971E-2</v>
      </c>
      <c r="O98" s="83">
        <f t="shared" si="187"/>
        <v>-3.6641860218615929E-2</v>
      </c>
      <c r="P98" s="83">
        <f t="shared" si="188"/>
        <v>3.1069437650556919E-2</v>
      </c>
      <c r="Q98" s="83">
        <f t="shared" si="189"/>
        <v>-4.1520680632835094E-2</v>
      </c>
      <c r="R98" s="83">
        <f t="shared" si="190"/>
        <v>5.9814323006887715E-2</v>
      </c>
      <c r="S98" s="83">
        <f t="shared" si="191"/>
        <v>8.1256959526794681E-2</v>
      </c>
      <c r="T98" s="83">
        <f t="shared" si="192"/>
        <v>-8.662869160091502E-2</v>
      </c>
      <c r="U98" s="83">
        <f t="shared" si="193"/>
        <v>0.10789777819455315</v>
      </c>
      <c r="V98" s="83">
        <f t="shared" si="194"/>
        <v>-3.8218512671896243E-2</v>
      </c>
      <c r="W98" s="83">
        <f t="shared" si="195"/>
        <v>5.6000420564077391E-2</v>
      </c>
      <c r="X98" s="83">
        <f t="shared" si="196"/>
        <v>-3.7868457878996731E-2</v>
      </c>
      <c r="Y98" s="83">
        <f t="shared" si="197"/>
        <v>-1.9599113816638924E-2</v>
      </c>
      <c r="Z98" s="83">
        <f t="shared" si="198"/>
        <v>0.10629389335549999</v>
      </c>
      <c r="AA98" s="83">
        <f t="shared" si="199"/>
        <v>-7.9478795674368663E-2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-8.2589520624933854E-3</v>
      </c>
      <c r="F99" s="83">
        <f t="shared" si="178"/>
        <v>2.9375217762807493E-2</v>
      </c>
      <c r="G99" s="83">
        <f t="shared" si="179"/>
        <v>7.6497767444537512E-2</v>
      </c>
      <c r="H99" s="83">
        <f t="shared" si="180"/>
        <v>2.8387594116334514E-2</v>
      </c>
      <c r="I99" s="83">
        <f t="shared" si="181"/>
        <v>7.5015239148369606E-2</v>
      </c>
      <c r="J99" s="83">
        <f t="shared" si="182"/>
        <v>-9.0248806480300869E-3</v>
      </c>
      <c r="K99" s="83">
        <f t="shared" si="183"/>
        <v>4.8070777960488087E-2</v>
      </c>
      <c r="L99" s="83">
        <f t="shared" si="184"/>
        <v>-0.10271485096995026</v>
      </c>
      <c r="M99" s="83">
        <f t="shared" si="185"/>
        <v>-6.609872188317123E-2</v>
      </c>
      <c r="N99" s="83">
        <f t="shared" si="186"/>
        <v>6.1473407864366836E-2</v>
      </c>
      <c r="O99" s="83">
        <f t="shared" si="187"/>
        <v>2.1624766695341968E-2</v>
      </c>
      <c r="P99" s="83">
        <f t="shared" si="188"/>
        <v>-0.10083097047633993</v>
      </c>
      <c r="Q99" s="83">
        <f t="shared" si="189"/>
        <v>5.8131006178042677E-2</v>
      </c>
      <c r="R99" s="83">
        <f t="shared" si="190"/>
        <v>2.4671225834617116E-2</v>
      </c>
      <c r="S99" s="83">
        <f t="shared" si="191"/>
        <v>5.3551986010513808E-2</v>
      </c>
      <c r="T99" s="83">
        <f t="shared" si="192"/>
        <v>-7.6944254980351845E-2</v>
      </c>
      <c r="U99" s="83">
        <f t="shared" si="193"/>
        <v>8.5957752684824307E-3</v>
      </c>
      <c r="V99" s="83">
        <f t="shared" si="194"/>
        <v>7.1776446843288433E-2</v>
      </c>
      <c r="W99" s="83">
        <f t="shared" si="195"/>
        <v>-0.13068870211030403</v>
      </c>
      <c r="X99" s="83">
        <f t="shared" si="196"/>
        <v>-0.19748186493165987</v>
      </c>
      <c r="Y99" s="83">
        <f t="shared" si="197"/>
        <v>5.447542571544961E-2</v>
      </c>
      <c r="Z99" s="83">
        <f t="shared" si="198"/>
        <v>-0.25911692997047353</v>
      </c>
      <c r="AA99" s="83">
        <f t="shared" si="199"/>
        <v>-4.2267721437111883E-2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3.2166825840830748E-2</v>
      </c>
      <c r="F100" s="83">
        <f t="shared" si="178"/>
        <v>5.2203046279568399E-2</v>
      </c>
      <c r="G100" s="83">
        <f t="shared" si="179"/>
        <v>3.8254816423061389E-2</v>
      </c>
      <c r="H100" s="83">
        <f t="shared" si="180"/>
        <v>7.6900634354936326E-2</v>
      </c>
      <c r="I100" s="83">
        <f t="shared" si="181"/>
        <v>4.1045548194751147E-2</v>
      </c>
      <c r="J100" s="83">
        <f t="shared" si="182"/>
        <v>3.3042478131448227E-2</v>
      </c>
      <c r="K100" s="83">
        <f t="shared" si="183"/>
        <v>5.6090335340871267E-2</v>
      </c>
      <c r="L100" s="83">
        <f t="shared" si="184"/>
        <v>3.7857909350782926E-2</v>
      </c>
      <c r="M100" s="83">
        <f t="shared" si="185"/>
        <v>-2.0764259096232585E-2</v>
      </c>
      <c r="N100" s="83">
        <f t="shared" si="186"/>
        <v>-4.6791518674320853E-2</v>
      </c>
      <c r="O100" s="83">
        <f t="shared" si="187"/>
        <v>-8.2893209607547869E-2</v>
      </c>
      <c r="P100" s="83">
        <f t="shared" si="188"/>
        <v>-7.8372104628526507E-2</v>
      </c>
      <c r="Q100" s="83">
        <f t="shared" si="189"/>
        <v>-1.6070051796862717E-2</v>
      </c>
      <c r="R100" s="83">
        <f t="shared" si="190"/>
        <v>9.7210369927711593E-3</v>
      </c>
      <c r="S100" s="83">
        <f t="shared" si="191"/>
        <v>-8.8297342910965693E-3</v>
      </c>
      <c r="T100" s="83">
        <f t="shared" si="192"/>
        <v>6.1212387790732237E-4</v>
      </c>
      <c r="U100" s="83">
        <f t="shared" si="193"/>
        <v>2.7307787173741715E-2</v>
      </c>
      <c r="V100" s="83">
        <f t="shared" si="194"/>
        <v>1.615159864508553E-2</v>
      </c>
      <c r="W100" s="83">
        <f t="shared" si="195"/>
        <v>2.0235491286073604E-2</v>
      </c>
      <c r="X100" s="83">
        <f t="shared" si="196"/>
        <v>-0.10430297019863055</v>
      </c>
      <c r="Y100" s="83">
        <f t="shared" si="197"/>
        <v>7.5962625272855355E-2</v>
      </c>
      <c r="Z100" s="83">
        <f t="shared" si="198"/>
        <v>2.1120883066710894E-2</v>
      </c>
      <c r="AA100" s="83">
        <f t="shared" si="199"/>
        <v>4.8172549055516489E-2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8.0557693093211702E-2</v>
      </c>
      <c r="F101" s="84">
        <f t="shared" si="178"/>
        <v>2.440292950131262E-2</v>
      </c>
      <c r="G101" s="84">
        <f t="shared" si="179"/>
        <v>6.8802082616472582E-2</v>
      </c>
      <c r="H101" s="84">
        <f t="shared" si="180"/>
        <v>0.1331553558614984</v>
      </c>
      <c r="I101" s="84">
        <f t="shared" si="181"/>
        <v>7.6719392512210716E-2</v>
      </c>
      <c r="J101" s="84">
        <f t="shared" si="182"/>
        <v>2.6156405360256318E-2</v>
      </c>
      <c r="K101" s="84">
        <f t="shared" si="183"/>
        <v>5.4675049009339949E-2</v>
      </c>
      <c r="L101" s="84">
        <f t="shared" si="184"/>
        <v>4.1303356651814171E-2</v>
      </c>
      <c r="M101" s="84">
        <f t="shared" si="185"/>
        <v>-1.9330845541234765E-2</v>
      </c>
      <c r="N101" s="84">
        <f t="shared" si="186"/>
        <v>-4.7849316246865614E-2</v>
      </c>
      <c r="O101" s="84">
        <f t="shared" si="187"/>
        <v>-9.9630936731856967E-2</v>
      </c>
      <c r="P101" s="84">
        <f t="shared" si="188"/>
        <v>-5.8855388176284551E-2</v>
      </c>
      <c r="Q101" s="84">
        <f t="shared" si="189"/>
        <v>-8.0599770124657466E-3</v>
      </c>
      <c r="R101" s="84">
        <f t="shared" si="190"/>
        <v>6.2214349017382098E-3</v>
      </c>
      <c r="S101" s="84">
        <f t="shared" si="191"/>
        <v>-3.0814509315687855E-2</v>
      </c>
      <c r="T101" s="84">
        <f t="shared" si="192"/>
        <v>-1.5210637597680932E-2</v>
      </c>
      <c r="U101" s="84">
        <f t="shared" si="193"/>
        <v>3.9381356836109216E-2</v>
      </c>
      <c r="V101" s="84">
        <f t="shared" si="194"/>
        <v>3.2566457399999527E-2</v>
      </c>
      <c r="W101" s="84">
        <f t="shared" si="195"/>
        <v>1.0733511257519979E-2</v>
      </c>
      <c r="X101" s="84">
        <f t="shared" si="196"/>
        <v>-0.14605169556300746</v>
      </c>
      <c r="Y101" s="84">
        <f t="shared" si="197"/>
        <v>8.0084233526328097E-2</v>
      </c>
      <c r="Z101" s="84">
        <f t="shared" si="198"/>
        <v>4.4308887389354012E-2</v>
      </c>
      <c r="AA101" s="84">
        <f t="shared" si="199"/>
        <v>3.2081389910445068E-2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2.3184307158150119E-2</v>
      </c>
      <c r="F102" s="84">
        <f t="shared" si="178"/>
        <v>8.9411962727452776E-2</v>
      </c>
      <c r="G102" s="84">
        <f t="shared" si="179"/>
        <v>1.0828414706199219E-2</v>
      </c>
      <c r="H102" s="84">
        <f t="shared" si="180"/>
        <v>5.4849704095864649E-2</v>
      </c>
      <c r="I102" s="84">
        <f t="shared" si="181"/>
        <v>5.532324195224847E-2</v>
      </c>
      <c r="J102" s="84">
        <f t="shared" si="182"/>
        <v>6.4846219248042347E-2</v>
      </c>
      <c r="K102" s="84">
        <f t="shared" si="183"/>
        <v>4.5816727265379553E-2</v>
      </c>
      <c r="L102" s="84">
        <f t="shared" si="184"/>
        <v>3.5094604099366711E-2</v>
      </c>
      <c r="M102" s="84">
        <f t="shared" si="185"/>
        <v>-7.5055411408677664E-3</v>
      </c>
      <c r="N102" s="84">
        <f t="shared" si="186"/>
        <v>-4.3331856358395648E-2</v>
      </c>
      <c r="O102" s="84">
        <f t="shared" si="187"/>
        <v>-5.8115284989768368E-2</v>
      </c>
      <c r="P102" s="84">
        <f t="shared" si="188"/>
        <v>-9.3699723716951677E-2</v>
      </c>
      <c r="Q102" s="84">
        <f t="shared" si="189"/>
        <v>-1.1232970054089408E-2</v>
      </c>
      <c r="R102" s="84">
        <f t="shared" si="190"/>
        <v>7.747682913851639E-3</v>
      </c>
      <c r="S102" s="84">
        <f t="shared" si="191"/>
        <v>1.1404827713451748E-2</v>
      </c>
      <c r="T102" s="84">
        <f t="shared" si="192"/>
        <v>8.6016558561312628E-3</v>
      </c>
      <c r="U102" s="84">
        <f t="shared" si="193"/>
        <v>1.4266989333334923E-2</v>
      </c>
      <c r="V102" s="84">
        <f t="shared" si="194"/>
        <v>-7.5100021641433257E-3</v>
      </c>
      <c r="W102" s="84">
        <f t="shared" si="195"/>
        <v>5.7941686263004E-2</v>
      </c>
      <c r="X102" s="84">
        <f t="shared" si="196"/>
        <v>-6.4334572268744172E-2</v>
      </c>
      <c r="Y102" s="84">
        <f t="shared" si="197"/>
        <v>7.2139737721797381E-2</v>
      </c>
      <c r="Z102" s="84">
        <f t="shared" si="198"/>
        <v>-1.5936147347908824E-2</v>
      </c>
      <c r="AA102" s="84">
        <f t="shared" si="199"/>
        <v>9.0224642540594813E-2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-3.0691212505926879E-2</v>
      </c>
      <c r="F103" s="84">
        <f t="shared" si="178"/>
        <v>3.78474170998917E-2</v>
      </c>
      <c r="G103" s="84">
        <f t="shared" si="179"/>
        <v>3.393443078432834E-2</v>
      </c>
      <c r="H103" s="84">
        <f t="shared" si="180"/>
        <v>1.3348564256847384E-2</v>
      </c>
      <c r="I103" s="84">
        <f t="shared" si="181"/>
        <v>-5.7841153805089363E-2</v>
      </c>
      <c r="J103" s="84">
        <f t="shared" si="182"/>
        <v>-1.6366930640999255E-2</v>
      </c>
      <c r="K103" s="84">
        <f t="shared" si="183"/>
        <v>8.2410881849362294E-2</v>
      </c>
      <c r="L103" s="84">
        <f t="shared" si="184"/>
        <v>3.5652703117448947E-2</v>
      </c>
      <c r="M103" s="84">
        <f t="shared" si="185"/>
        <v>-5.2693451501174771E-2</v>
      </c>
      <c r="N103" s="84">
        <f t="shared" si="186"/>
        <v>-5.1983013775714237E-2</v>
      </c>
      <c r="O103" s="84">
        <f t="shared" si="187"/>
        <v>-9.7840734836068144E-2</v>
      </c>
      <c r="P103" s="84">
        <f t="shared" si="188"/>
        <v>-9.0159078443993845E-2</v>
      </c>
      <c r="Q103" s="84">
        <f t="shared" si="189"/>
        <v>-4.7963965456850222E-2</v>
      </c>
      <c r="R103" s="84">
        <f t="shared" si="190"/>
        <v>2.3879085869810135E-2</v>
      </c>
      <c r="S103" s="84">
        <f t="shared" si="191"/>
        <v>-2.6533841372133882E-4</v>
      </c>
      <c r="T103" s="84">
        <f t="shared" si="192"/>
        <v>2.1178564393058874E-2</v>
      </c>
      <c r="U103" s="84">
        <f t="shared" si="193"/>
        <v>2.9296904466132201E-2</v>
      </c>
      <c r="V103" s="84">
        <f t="shared" si="194"/>
        <v>3.1957365576337438E-2</v>
      </c>
      <c r="W103" s="84">
        <f t="shared" si="195"/>
        <v>-4.2619419839766803E-2</v>
      </c>
      <c r="X103" s="84">
        <f t="shared" si="196"/>
        <v>-9.6556662590217779E-2</v>
      </c>
      <c r="Y103" s="84">
        <f t="shared" si="197"/>
        <v>7.5820524856193172E-2</v>
      </c>
      <c r="Z103" s="84">
        <f t="shared" si="198"/>
        <v>6.0503862331795943E-2</v>
      </c>
      <c r="AA103" s="84">
        <f t="shared" si="199"/>
        <v>-1.4507257117909678E-2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-7.4341523205474158E-2</v>
      </c>
      <c r="F104" s="83">
        <f t="shared" si="178"/>
        <v>6.0246058201260499E-2</v>
      </c>
      <c r="G104" s="83">
        <f t="shared" si="179"/>
        <v>0.10357194217111676</v>
      </c>
      <c r="H104" s="83">
        <f t="shared" si="180"/>
        <v>3.3416768177137124E-2</v>
      </c>
      <c r="I104" s="83">
        <f t="shared" si="181"/>
        <v>7.5020385163146353E-2</v>
      </c>
      <c r="J104" s="83">
        <f t="shared" si="182"/>
        <v>5.9304645507679554E-2</v>
      </c>
      <c r="K104" s="83">
        <f t="shared" si="183"/>
        <v>8.522507001229096E-2</v>
      </c>
      <c r="L104" s="83">
        <f t="shared" si="184"/>
        <v>8.190636677437424E-2</v>
      </c>
      <c r="M104" s="83">
        <f t="shared" si="185"/>
        <v>-2.2169863370306464E-2</v>
      </c>
      <c r="N104" s="83">
        <f t="shared" si="186"/>
        <v>-9.899174028868496E-2</v>
      </c>
      <c r="O104" s="83">
        <f t="shared" si="187"/>
        <v>6.0442225800994454E-2</v>
      </c>
      <c r="P104" s="83">
        <f t="shared" si="188"/>
        <v>0.30290358856831934</v>
      </c>
      <c r="Q104" s="83">
        <f t="shared" si="189"/>
        <v>-2.4119321838401819E-2</v>
      </c>
      <c r="R104" s="83">
        <f t="shared" si="190"/>
        <v>5.7619324012803119E-3</v>
      </c>
      <c r="S104" s="83">
        <f t="shared" si="191"/>
        <v>1.8131047873443329E-2</v>
      </c>
      <c r="T104" s="83">
        <f t="shared" si="192"/>
        <v>5.4133026048478916E-2</v>
      </c>
      <c r="U104" s="83">
        <f t="shared" si="193"/>
        <v>2.1587370464487554E-2</v>
      </c>
      <c r="V104" s="83">
        <f t="shared" si="194"/>
        <v>-6.111839987101475E-2</v>
      </c>
      <c r="W104" s="83">
        <f t="shared" si="195"/>
        <v>-3.5212375458237188E-2</v>
      </c>
      <c r="X104" s="83">
        <f t="shared" si="196"/>
        <v>-8.2358691772079329E-2</v>
      </c>
      <c r="Y104" s="83">
        <f t="shared" si="197"/>
        <v>0.24932612923737274</v>
      </c>
      <c r="Z104" s="83">
        <f t="shared" si="198"/>
        <v>0.74640956293338423</v>
      </c>
      <c r="AA104" s="83">
        <f t="shared" si="199"/>
        <v>-0.21777767026561734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6.2273028322249013E-2</v>
      </c>
      <c r="F105" s="83">
        <f t="shared" si="178"/>
        <v>2.2382337405161046E-2</v>
      </c>
      <c r="G105" s="83">
        <f t="shared" si="179"/>
        <v>0.35166530487790704</v>
      </c>
      <c r="H105" s="83">
        <f t="shared" si="180"/>
        <v>0.11000608036093107</v>
      </c>
      <c r="I105" s="83">
        <f t="shared" si="181"/>
        <v>-0.25583536951810326</v>
      </c>
      <c r="J105" s="83">
        <f t="shared" si="182"/>
        <v>0.54434434573489132</v>
      </c>
      <c r="K105" s="83">
        <f t="shared" si="183"/>
        <v>-0.15013865376559143</v>
      </c>
      <c r="L105" s="83">
        <f t="shared" si="184"/>
        <v>-0.25363505657899732</v>
      </c>
      <c r="M105" s="83">
        <f t="shared" si="185"/>
        <v>-0.10140468034694539</v>
      </c>
      <c r="N105" s="83">
        <f t="shared" si="186"/>
        <v>-0.22532258708742647</v>
      </c>
      <c r="O105" s="83">
        <f t="shared" si="187"/>
        <v>-0.32794208392093904</v>
      </c>
      <c r="P105" s="83">
        <f t="shared" si="188"/>
        <v>-0.26577521255439329</v>
      </c>
      <c r="Q105" s="83">
        <f t="shared" si="189"/>
        <v>7.2123308444397516E-2</v>
      </c>
      <c r="R105" s="83">
        <f t="shared" si="190"/>
        <v>-0.31465452644156444</v>
      </c>
      <c r="S105" s="83">
        <f t="shared" si="191"/>
        <v>7.0803460500449722E-2</v>
      </c>
      <c r="T105" s="83">
        <f t="shared" si="192"/>
        <v>-8.6972286599804827E-2</v>
      </c>
      <c r="U105" s="83">
        <f t="shared" si="193"/>
        <v>-0.32715576831162163</v>
      </c>
      <c r="V105" s="83">
        <f t="shared" si="194"/>
        <v>0.21342513284111431</v>
      </c>
      <c r="W105" s="83">
        <f t="shared" si="195"/>
        <v>4.6165782717004777E-2</v>
      </c>
      <c r="X105" s="83">
        <f t="shared" si="196"/>
        <v>-4.1411812150019323E-2</v>
      </c>
      <c r="Y105" s="83">
        <f t="shared" si="197"/>
        <v>0.25996573682239021</v>
      </c>
      <c r="Z105" s="83">
        <f t="shared" si="198"/>
        <v>7.7364431327008543E-2</v>
      </c>
      <c r="AA105" s="83">
        <f t="shared" si="199"/>
        <v>0.12856093975353056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0.1179539704837882</v>
      </c>
      <c r="F106" s="83">
        <f t="shared" si="178"/>
        <v>4.311558549482819E-2</v>
      </c>
      <c r="G106" s="83">
        <f t="shared" si="179"/>
        <v>2.9913893783627188E-2</v>
      </c>
      <c r="H106" s="83">
        <f t="shared" si="180"/>
        <v>1.7831505603987496E-2</v>
      </c>
      <c r="I106" s="83">
        <f t="shared" si="181"/>
        <v>1.0095161213626413E-2</v>
      </c>
      <c r="J106" s="83">
        <f t="shared" si="182"/>
        <v>2.0310297065149419E-2</v>
      </c>
      <c r="K106" s="83">
        <f t="shared" si="183"/>
        <v>2.6710423245703829E-3</v>
      </c>
      <c r="L106" s="83">
        <f t="shared" si="184"/>
        <v>-4.8286782996246558E-2</v>
      </c>
      <c r="M106" s="83">
        <f t="shared" si="185"/>
        <v>-9.5553544473725327E-2</v>
      </c>
      <c r="N106" s="83">
        <f t="shared" si="186"/>
        <v>-5.8732101714314533E-2</v>
      </c>
      <c r="O106" s="83">
        <f t="shared" si="187"/>
        <v>-8.5279358295119456E-2</v>
      </c>
      <c r="P106" s="83">
        <f t="shared" si="188"/>
        <v>-9.1344425225796555E-2</v>
      </c>
      <c r="Q106" s="83">
        <f t="shared" si="189"/>
        <v>-3.9677538730292894E-2</v>
      </c>
      <c r="R106" s="83">
        <f t="shared" si="190"/>
        <v>-5.540345612998987E-3</v>
      </c>
      <c r="S106" s="83">
        <f t="shared" si="191"/>
        <v>2.1301563162483994E-2</v>
      </c>
      <c r="T106" s="83">
        <f t="shared" si="192"/>
        <v>3.7354850116333438E-4</v>
      </c>
      <c r="U106" s="83">
        <f t="shared" si="193"/>
        <v>1.5068614786359458E-2</v>
      </c>
      <c r="V106" s="83">
        <f t="shared" si="194"/>
        <v>6.1604456529614104E-2</v>
      </c>
      <c r="W106" s="83">
        <f t="shared" si="195"/>
        <v>2.57416768865526E-3</v>
      </c>
      <c r="X106" s="83">
        <f t="shared" si="196"/>
        <v>5.5315835779075062E-3</v>
      </c>
      <c r="Y106" s="83">
        <f t="shared" si="197"/>
        <v>8.3242394251993312E-2</v>
      </c>
      <c r="Z106" s="83">
        <f t="shared" si="198"/>
        <v>1.5749818391183501E-2</v>
      </c>
      <c r="AA106" s="83">
        <f t="shared" si="199"/>
        <v>-5.4340587784207361E-4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-3.5638391101268652E-2</v>
      </c>
      <c r="F107" s="87">
        <f t="shared" ref="F107:F108" si="201">IF(E33=0,"",F33/E33-1)</f>
        <v>2.3010222349546527E-3</v>
      </c>
      <c r="G107" s="87">
        <f t="shared" ref="G107:G108" si="202">IF(F33=0,"",G33/F33-1)</f>
        <v>8.7639117267270805E-2</v>
      </c>
      <c r="H107" s="87">
        <f t="shared" ref="H107:H108" si="203">IF(G33=0,"",H33/G33-1)</f>
        <v>1.547217543663848E-2</v>
      </c>
      <c r="I107" s="87">
        <f t="shared" ref="I107:I108" si="204">IF(H33=0,"",I33/H33-1)</f>
        <v>4.6160204274900973E-2</v>
      </c>
      <c r="J107" s="87">
        <f t="shared" ref="J107:J108" si="205">IF(I33=0,"",J33/I33-1)</f>
        <v>0.13050214220733292</v>
      </c>
      <c r="K107" s="87">
        <f t="shared" ref="K107:K108" si="206">IF(J33=0,"",K33/J33-1)</f>
        <v>0.22843113488242706</v>
      </c>
      <c r="L107" s="87">
        <f t="shared" ref="L107:L108" si="207">IF(K33=0,"",L33/K33-1)</f>
        <v>-0.1544194001380782</v>
      </c>
      <c r="M107" s="87">
        <f t="shared" ref="M107:M108" si="208">IF(L33=0,"",M33/L33-1)</f>
        <v>-0.32400954182712272</v>
      </c>
      <c r="N107" s="87">
        <f t="shared" ref="N107:N108" si="209">IF(M33=0,"",N33/M33-1)</f>
        <v>0.29899177522336262</v>
      </c>
      <c r="O107" s="87">
        <f t="shared" ref="O107:O108" si="210">IF(N33=0,"",O33/N33-1)</f>
        <v>9.5732665091990521E-2</v>
      </c>
      <c r="P107" s="87">
        <f t="shared" ref="P107:P108" si="211">IF(O33=0,"",P33/O33-1)</f>
        <v>-0.25562404174607811</v>
      </c>
      <c r="Q107" s="87">
        <f t="shared" ref="Q107:Q108" si="212">IF(P33=0,"",Q33/P33-1)</f>
        <v>-0.15523569038063212</v>
      </c>
      <c r="R107" s="87">
        <f t="shared" ref="R107:R108" si="213">IF(Q33=0,"",R33/Q33-1)</f>
        <v>-0.10174356931622208</v>
      </c>
      <c r="S107" s="87">
        <f t="shared" ref="S107:S108" si="214">IF(R33=0,"",S33/R33-1)</f>
        <v>2.1447651241403465E-2</v>
      </c>
      <c r="T107" s="87">
        <f t="shared" ref="T107:T108" si="215">IF(S33=0,"",T33/S33-1)</f>
        <v>-4.7752044534938864E-2</v>
      </c>
      <c r="U107" s="87">
        <f t="shared" ref="U107:U108" si="216">IF(T33=0,"",U33/T33-1)</f>
        <v>0.22602068318485746</v>
      </c>
      <c r="V107" s="87">
        <f t="shared" ref="V107:V108" si="217">IF(U33=0,"",V33/U33-1)</f>
        <v>0.3338467118323647</v>
      </c>
      <c r="W107" s="87">
        <f t="shared" ref="W107:W108" si="218">IF(V33=0,"",W33/V33-1)</f>
        <v>-9.4007748129645852E-2</v>
      </c>
      <c r="X107" s="87">
        <f t="shared" ref="X107:X108" si="219">IF(W33=0,"",X33/W33-1)</f>
        <v>-3.7860824534428184E-2</v>
      </c>
      <c r="Y107" s="87">
        <f t="shared" ref="Y107:Y108" si="220">IF(X33=0,"",Y33/X33-1)</f>
        <v>3.9405976321060798E-3</v>
      </c>
      <c r="Z107" s="87">
        <f t="shared" si="198"/>
        <v>0.119236262592747</v>
      </c>
      <c r="AA107" s="87">
        <f t="shared" si="199"/>
        <v>-8.105622010381075E-2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8.120765272804098E-2</v>
      </c>
      <c r="F108" s="89">
        <f t="shared" si="201"/>
        <v>0.21290396446262494</v>
      </c>
      <c r="G108" s="89">
        <f t="shared" si="202"/>
        <v>3.7394054124969545E-2</v>
      </c>
      <c r="H108" s="89">
        <f t="shared" si="203"/>
        <v>0.10591265296205399</v>
      </c>
      <c r="I108" s="89">
        <f t="shared" si="204"/>
        <v>0.13462316825385434</v>
      </c>
      <c r="J108" s="89">
        <f t="shared" si="205"/>
        <v>0.19068253216340669</v>
      </c>
      <c r="K108" s="89">
        <f t="shared" si="206"/>
        <v>0.2467381350713822</v>
      </c>
      <c r="L108" s="89">
        <f t="shared" si="207"/>
        <v>-0.14431184457541291</v>
      </c>
      <c r="M108" s="89">
        <f t="shared" si="208"/>
        <v>-0.32400954182712272</v>
      </c>
      <c r="N108" s="89">
        <f t="shared" si="209"/>
        <v>0.29899177522336262</v>
      </c>
      <c r="O108" s="89">
        <f t="shared" si="210"/>
        <v>9.5732665091990521E-2</v>
      </c>
      <c r="P108" s="89">
        <f t="shared" si="211"/>
        <v>-0.45605838087699846</v>
      </c>
      <c r="Q108" s="89">
        <f t="shared" si="212"/>
        <v>-0.53728032302380524</v>
      </c>
      <c r="R108" s="89">
        <f t="shared" si="213"/>
        <v>0.65673981480763577</v>
      </c>
      <c r="S108" s="89">
        <f t="shared" si="214"/>
        <v>0.18064813134951607</v>
      </c>
      <c r="T108" s="89">
        <f t="shared" si="215"/>
        <v>-0.43174624623046109</v>
      </c>
      <c r="U108" s="89">
        <f t="shared" si="216"/>
        <v>2.2976993022602143</v>
      </c>
      <c r="V108" s="89">
        <f t="shared" si="217"/>
        <v>0.37392032990027202</v>
      </c>
      <c r="W108" s="89">
        <f t="shared" si="218"/>
        <v>-0.10160337949902742</v>
      </c>
      <c r="X108" s="89">
        <f t="shared" si="219"/>
        <v>-0.33151016928597676</v>
      </c>
      <c r="Y108" s="89">
        <f t="shared" si="220"/>
        <v>-5.8605166991705371E-2</v>
      </c>
      <c r="Z108" s="89">
        <f t="shared" si="198"/>
        <v>-0.14152346976503494</v>
      </c>
      <c r="AA108" s="89">
        <f t="shared" si="199"/>
        <v>-0.17119509407698585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-7.2928352308179178E-2</v>
      </c>
      <c r="F109" s="89">
        <f t="shared" ref="F109" si="222">IF(E37=0,"",F37/E37-1)</f>
        <v>-7.6084916667512714E-2</v>
      </c>
      <c r="G109" s="89">
        <f t="shared" ref="G109" si="223">IF(F37=0,"",G37/F37-1)</f>
        <v>0.11218968191932177</v>
      </c>
      <c r="H109" s="89">
        <f t="shared" ref="H109" si="224">IF(G37=0,"",H37/G37-1)</f>
        <v>-2.5746670530162996E-2</v>
      </c>
      <c r="I109" s="89">
        <f t="shared" ref="I109" si="225">IF(H37=0,"",I37/H37-1)</f>
        <v>3.941578984312244E-4</v>
      </c>
      <c r="J109" s="89">
        <f t="shared" ref="J109" si="226">IF(I37=0,"",J37/I37-1)</f>
        <v>9.5190541262523798E-2</v>
      </c>
      <c r="K109" s="89">
        <f t="shared" ref="K109" si="227">IF(J37=0,"",K37/J37-1)</f>
        <v>0.21675266636148915</v>
      </c>
      <c r="L109" s="89">
        <f t="shared" ref="L109" si="228">IF(K37=0,"",L37/K37-1)</f>
        <v>-0.16102614876352661</v>
      </c>
      <c r="M109" s="89">
        <f t="shared" ref="M109" si="229">IF(L37=0,"",M37/L37-1)</f>
        <v>-0.32400954182712272</v>
      </c>
      <c r="N109" s="89">
        <f t="shared" ref="N109" si="230">IF(M37=0,"",N37/M37-1)</f>
        <v>0.29899177522336284</v>
      </c>
      <c r="O109" s="89">
        <f t="shared" ref="O109" si="231">IF(N37=0,"",O37/N37-1)</f>
        <v>9.5732665091990521E-2</v>
      </c>
      <c r="P109" s="89">
        <f t="shared" ref="P109" si="232">IF(O37=0,"",P37/O37-1)</f>
        <v>-0.12200114899213121</v>
      </c>
      <c r="Q109" s="89">
        <f t="shared" ref="Q109" si="233">IF(P37=0,"",Q37/P37-1)</f>
        <v>2.5549307336070193E-3</v>
      </c>
      <c r="R109" s="89">
        <f t="shared" ref="R109" si="234">IF(Q37=0,"",R37/Q37-1)</f>
        <v>-0.2463284713787437</v>
      </c>
      <c r="S109" s="89">
        <f t="shared" ref="S109" si="235">IF(R37=0,"",S37/R37-1)</f>
        <v>-4.5262733760056295E-2</v>
      </c>
      <c r="T109" s="89">
        <f t="shared" ref="T109" si="236">IF(S37=0,"",T37/S37-1)</f>
        <v>0.15122837852810456</v>
      </c>
      <c r="U109" s="89">
        <f t="shared" ref="U109" si="237">IF(T37=0,"",U37/T37-1)</f>
        <v>-0.30387318476670033</v>
      </c>
      <c r="V109" s="89">
        <f t="shared" ref="V109" si="238">IF(U37=0,"",V37/U37-1)</f>
        <v>0.28529016948377395</v>
      </c>
      <c r="W109" s="89">
        <f t="shared" ref="W109" si="239">IF(V37=0,"",W37/V37-1)</f>
        <v>-8.4169598074705476E-2</v>
      </c>
      <c r="X109" s="89">
        <f t="shared" ref="X109" si="240">IF(W37=0,"",X37/W37-1)</f>
        <v>0.3352446764637782</v>
      </c>
      <c r="Y109" s="89">
        <f t="shared" ref="Y109" si="241">IF(X37=0,"",Y37/X37-1)</f>
        <v>4.3726981838305701E-2</v>
      </c>
      <c r="Z109" s="89">
        <f t="shared" ref="Z109" si="242">IF(Y37=0,"",Z37/Y37-1)</f>
        <v>0.26884673428188988</v>
      </c>
      <c r="AA109" s="89">
        <f t="shared" ref="AA109" si="243">IF(Z37=0,"",AA37/Z37-1)</f>
        <v>-4.6065502088296073E-2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0.28331907970551629</v>
      </c>
      <c r="F110" s="89">
        <f t="shared" ref="F110:F111" si="245">IF(E43=0,"",F43/E43-1)</f>
        <v>-0.14570141409723159</v>
      </c>
      <c r="G110" s="89">
        <f t="shared" ref="G110:G111" si="246">IF(F43=0,"",G43/F43-1)</f>
        <v>9.8724521026419376E-2</v>
      </c>
      <c r="H110" s="89">
        <f t="shared" ref="H110:H111" si="247">IF(G43=0,"",H43/G43-1)</f>
        <v>1.2395431094992082E-2</v>
      </c>
      <c r="I110" s="89">
        <f t="shared" ref="I110:I111" si="248">IF(H43=0,"",I43/H43-1)</f>
        <v>5.0832736312618199E-3</v>
      </c>
      <c r="J110" s="89">
        <f t="shared" ref="J110:J111" si="249">IF(I43=0,"",J43/I43-1)</f>
        <v>2.4035455587826604E-2</v>
      </c>
      <c r="K110" s="89">
        <f t="shared" ref="K110:K111" si="250">IF(J43=0,"",K43/J43-1)</f>
        <v>-6.2272305235830938E-2</v>
      </c>
      <c r="L110" s="89">
        <f t="shared" ref="L110:L111" si="251">IF(K43=0,"",L43/K43-1)</f>
        <v>-7.6172385143793542E-2</v>
      </c>
      <c r="M110" s="89">
        <f t="shared" ref="M110:M111" si="252">IF(L43=0,"",M43/L43-1)</f>
        <v>-2.1980830413767638E-2</v>
      </c>
      <c r="N110" s="89">
        <f t="shared" ref="N110:N111" si="253">IF(M43=0,"",N43/M43-1)</f>
        <v>-0.10147063500028752</v>
      </c>
      <c r="O110" s="89">
        <f t="shared" ref="O110:O111" si="254">IF(N43=0,"",O43/N43-1)</f>
        <v>-0.13032414813629822</v>
      </c>
      <c r="P110" s="89">
        <f t="shared" ref="P110:P111" si="255">IF(O43=0,"",P43/O43-1)</f>
        <v>-8.6511366980791982E-2</v>
      </c>
      <c r="Q110" s="89">
        <f t="shared" ref="Q110:Q111" si="256">IF(P43=0,"",Q43/P43-1)</f>
        <v>0.19516282635362514</v>
      </c>
      <c r="R110" s="89">
        <f t="shared" ref="R110:R111" si="257">IF(Q43=0,"",R43/Q43-1)</f>
        <v>-7.3161661323677407E-2</v>
      </c>
      <c r="S110" s="89">
        <f t="shared" ref="S110:S111" si="258">IF(R43=0,"",S43/R43-1)</f>
        <v>8.9357424863847346E-2</v>
      </c>
      <c r="T110" s="89">
        <f t="shared" ref="T110:T111" si="259">IF(S43=0,"",T43/S43-1)</f>
        <v>-1.8529478867535643E-2</v>
      </c>
      <c r="U110" s="89">
        <f t="shared" ref="U110:U111" si="260">IF(T43=0,"",U43/T43-1)</f>
        <v>4.4697048001263839E-2</v>
      </c>
      <c r="V110" s="89">
        <f t="shared" ref="V110:V111" si="261">IF(U43=0,"",V43/U43-1)</f>
        <v>2.8193984655714432E-2</v>
      </c>
      <c r="W110" s="89">
        <f t="shared" ref="W110:W111" si="262">IF(V43=0,"",W43/V43-1)</f>
        <v>3.6841662430901367E-2</v>
      </c>
      <c r="X110" s="89">
        <f t="shared" ref="X110:X111" si="263">IF(W43=0,"",X43/W43-1)</f>
        <v>0.12248746031421787</v>
      </c>
      <c r="Y110" s="89">
        <f t="shared" ref="Y110:Y111" si="264">IF(X43=0,"",Y43/X43-1)</f>
        <v>5.8618105008673593E-2</v>
      </c>
      <c r="Z110" s="89">
        <f t="shared" ref="Z110:Z111" si="265">IF(Y43=0,"",Z43/Y43-1)</f>
        <v>-1.4388612494095399E-2</v>
      </c>
      <c r="AA110" s="89">
        <f t="shared" ref="AA110:AA111" si="266">IF(Z43=0,"",AA43/Z43-1)</f>
        <v>-2.0824968364058671E-2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0.12716929587797976</v>
      </c>
      <c r="F111" s="89">
        <f t="shared" si="245"/>
        <v>-0.20873362833612463</v>
      </c>
      <c r="G111" s="89">
        <f t="shared" si="246"/>
        <v>0.20512170056662882</v>
      </c>
      <c r="H111" s="89">
        <f t="shared" si="247"/>
        <v>2.8341546855107147E-2</v>
      </c>
      <c r="I111" s="89">
        <f t="shared" si="248"/>
        <v>1.6235821188841815E-2</v>
      </c>
      <c r="J111" s="89">
        <f t="shared" si="249"/>
        <v>8.5837202585199668E-2</v>
      </c>
      <c r="K111" s="89">
        <f t="shared" si="250"/>
        <v>-1.0262403701112643E-2</v>
      </c>
      <c r="L111" s="89">
        <f t="shared" si="251"/>
        <v>2.0393875298766018E-2</v>
      </c>
      <c r="M111" s="89">
        <f t="shared" si="252"/>
        <v>-9.2100684045327452E-2</v>
      </c>
      <c r="N111" s="89">
        <f t="shared" si="253"/>
        <v>-0.1468705189481665</v>
      </c>
      <c r="O111" s="89">
        <f t="shared" si="254"/>
        <v>-4.2517449849213684E-2</v>
      </c>
      <c r="P111" s="89">
        <f t="shared" si="255"/>
        <v>-0.14790034111468142</v>
      </c>
      <c r="Q111" s="89">
        <f t="shared" si="256"/>
        <v>0.12953704764532104</v>
      </c>
      <c r="R111" s="89">
        <f t="shared" si="257"/>
        <v>7.5066596844600708E-2</v>
      </c>
      <c r="S111" s="89">
        <f t="shared" si="258"/>
        <v>0.19076684195882043</v>
      </c>
      <c r="T111" s="89">
        <f t="shared" si="259"/>
        <v>-1.4015690799128455E-2</v>
      </c>
      <c r="U111" s="89">
        <f t="shared" si="260"/>
        <v>8.682883811379849E-2</v>
      </c>
      <c r="V111" s="89">
        <f t="shared" si="261"/>
        <v>-1.7856953595211777E-2</v>
      </c>
      <c r="W111" s="89">
        <f t="shared" si="262"/>
        <v>1.3278097727923432E-2</v>
      </c>
      <c r="X111" s="89">
        <f t="shared" si="263"/>
        <v>0.11061713887765534</v>
      </c>
      <c r="Y111" s="89">
        <f t="shared" si="264"/>
        <v>6.963902614692441E-2</v>
      </c>
      <c r="Z111" s="89">
        <f t="shared" si="265"/>
        <v>-4.5837805270695697E-2</v>
      </c>
      <c r="AA111" s="89">
        <f t="shared" si="266"/>
        <v>-1.9699198806846674E-2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0.40108932507968631</v>
      </c>
      <c r="F112" s="89">
        <f t="shared" ref="F112:F113" si="268">IF(E47=0,"",F47/E47-1)</f>
        <v>-0.10745593707936663</v>
      </c>
      <c r="G112" s="89">
        <f t="shared" ref="G112:G113" si="269">IF(F47=0,"",G47/F47-1)</f>
        <v>4.1492289809333505E-2</v>
      </c>
      <c r="H112" s="89">
        <f t="shared" ref="H112:H113" si="270">IF(G47=0,"",H47/G47-1)</f>
        <v>2.4702069814153127E-3</v>
      </c>
      <c r="I112" s="89">
        <f t="shared" ref="I112:I113" si="271">IF(H47=0,"",I47/H47-1)</f>
        <v>-2.037470840636324E-3</v>
      </c>
      <c r="J112" s="89">
        <f t="shared" ref="J112:J113" si="272">IF(I47=0,"",J47/I47-1)</f>
        <v>-1.6146616972239958E-2</v>
      </c>
      <c r="K112" s="89">
        <f t="shared" ref="K112:K113" si="273">IF(J47=0,"",K47/J47-1)</f>
        <v>-9.9593191397461145E-2</v>
      </c>
      <c r="L112" s="89">
        <f t="shared" ref="L112:L113" si="274">IF(K47=0,"",L47/K47-1)</f>
        <v>-0.15234039820701739</v>
      </c>
      <c r="M112" s="89">
        <f t="shared" ref="M112:M113" si="275">IF(L47=0,"",M47/L47-1)</f>
        <v>4.4597756196746552E-2</v>
      </c>
      <c r="N112" s="89">
        <f t="shared" ref="N112:N113" si="276">IF(M47=0,"",N47/M47-1)</f>
        <v>-6.4004670834070354E-2</v>
      </c>
      <c r="O112" s="89">
        <f t="shared" ref="O112:O113" si="277">IF(N47=0,"",O47/N47-1)</f>
        <v>-0.19637084251156334</v>
      </c>
      <c r="P112" s="89">
        <f t="shared" ref="P112:P113" si="278">IF(O47=0,"",P47/O47-1)</f>
        <v>-3.1495368759449138E-2</v>
      </c>
      <c r="Q112" s="89">
        <f t="shared" ref="Q112:Q113" si="279">IF(P47=0,"",Q47/P47-1)</f>
        <v>0.24690703872753228</v>
      </c>
      <c r="R112" s="89">
        <f t="shared" ref="R112:R113" si="280">IF(Q47=0,"",R47/Q47-1)</f>
        <v>-0.1790345394921955</v>
      </c>
      <c r="S112" s="89">
        <f t="shared" ref="S112:S113" si="281">IF(R47=0,"",S47/R47-1)</f>
        <v>-5.4936994144437756E-3</v>
      </c>
      <c r="T112" s="89">
        <f t="shared" ref="T112:T113" si="282">IF(S47=0,"",T47/S47-1)</f>
        <v>-2.3584518381497666E-2</v>
      </c>
      <c r="U112" s="89">
        <f t="shared" ref="U112:U113" si="283">IF(T47=0,"",U47/T47-1)</f>
        <v>-2.9491936900779558E-3</v>
      </c>
      <c r="V112" s="89">
        <f t="shared" ref="V112:V113" si="284">IF(U47=0,"",V47/U47-1)</f>
        <v>8.4961656715412559E-2</v>
      </c>
      <c r="W112" s="89">
        <f t="shared" ref="W112:W113" si="285">IF(V47=0,"",W47/V47-1)</f>
        <v>6.3136103837867052E-2</v>
      </c>
      <c r="X112" s="89">
        <f t="shared" ref="X112:X113" si="286">IF(W47=0,"",X47/W47-1)</f>
        <v>0.13511228121241281</v>
      </c>
      <c r="Y112" s="89">
        <f t="shared" ref="Y112:Y113" si="287">IF(X47=0,"",Y47/X47-1)</f>
        <v>4.7149616341854106E-2</v>
      </c>
      <c r="Z112" s="89">
        <f t="shared" ref="Z112:Z113" si="288">IF(Y47=0,"",Z47/Y47-1)</f>
        <v>1.9040611837136678E-2</v>
      </c>
      <c r="AA112" s="89">
        <f t="shared" ref="AA112:AA113" si="289">IF(Z47=0,"",AA47/Z47-1)</f>
        <v>-2.1945430049504E-2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4.6631558632747483E-2</v>
      </c>
      <c r="F113" s="89">
        <f t="shared" si="268"/>
        <v>-2.4200613528944981E-2</v>
      </c>
      <c r="G113" s="89">
        <f t="shared" si="269"/>
        <v>0.15743883787974067</v>
      </c>
      <c r="H113" s="89">
        <f t="shared" si="270"/>
        <v>-0.11640080634622207</v>
      </c>
      <c r="I113" s="89">
        <f t="shared" si="271"/>
        <v>-0.10905013678824083</v>
      </c>
      <c r="J113" s="89">
        <f t="shared" si="272"/>
        <v>7.9966269222108144E-2</v>
      </c>
      <c r="K113" s="89">
        <f t="shared" si="273"/>
        <v>-7.5799734029717958E-2</v>
      </c>
      <c r="L113" s="89">
        <f t="shared" si="274"/>
        <v>-1.5195212257266388E-2</v>
      </c>
      <c r="M113" s="89">
        <f t="shared" si="275"/>
        <v>-0.14882241963881182</v>
      </c>
      <c r="N113" s="89">
        <f t="shared" si="276"/>
        <v>-2.2802315809677953E-2</v>
      </c>
      <c r="O113" s="89">
        <f t="shared" si="277"/>
        <v>-0.31250766177709621</v>
      </c>
      <c r="P113" s="89">
        <f t="shared" si="278"/>
        <v>-0.19265314225263042</v>
      </c>
      <c r="Q113" s="89">
        <f t="shared" si="279"/>
        <v>1.4554762346616013E-2</v>
      </c>
      <c r="R113" s="89">
        <f t="shared" si="280"/>
        <v>0.10624126692192593</v>
      </c>
      <c r="S113" s="89">
        <f t="shared" si="281"/>
        <v>-3.3016384780684915E-2</v>
      </c>
      <c r="T113" s="89">
        <f t="shared" si="282"/>
        <v>5.2340555377654363E-2</v>
      </c>
      <c r="U113" s="89">
        <f t="shared" si="283"/>
        <v>1.0013237973314215E-3</v>
      </c>
      <c r="V113" s="89">
        <f t="shared" si="284"/>
        <v>4.2871093623813028E-2</v>
      </c>
      <c r="W113" s="89">
        <f t="shared" si="285"/>
        <v>5.7898192175610985E-2</v>
      </c>
      <c r="X113" s="89">
        <f t="shared" si="286"/>
        <v>-5.8307943594818168E-2</v>
      </c>
      <c r="Y113" s="89">
        <f t="shared" si="287"/>
        <v>-3.3952923254007006E-3</v>
      </c>
      <c r="Z113" s="89">
        <f t="shared" si="288"/>
        <v>1.5419287352080868E-3</v>
      </c>
      <c r="AA113" s="89">
        <f t="shared" si="289"/>
        <v>4.5197689610311453E-2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0.17998915260503368</v>
      </c>
      <c r="F114" s="89">
        <f t="shared" ref="F114:F115" si="291">IF(E52=0,"",F52/E52-1)</f>
        <v>6.5817533391884675E-2</v>
      </c>
      <c r="G114" s="89">
        <f t="shared" ref="G114:G115" si="292">IF(F52=0,"",G52/F52-1)</f>
        <v>-9.4848944739803764E-2</v>
      </c>
      <c r="H114" s="89">
        <f t="shared" ref="H114:H115" si="293">IF(G52=0,"",H52/G52-1)</f>
        <v>7.6489270597330794E-3</v>
      </c>
      <c r="I114" s="89">
        <f t="shared" ref="I114:I115" si="294">IF(H52=0,"",I52/H52-1)</f>
        <v>-1.2516055991873998E-2</v>
      </c>
      <c r="J114" s="89">
        <f t="shared" ref="J114:J115" si="295">IF(I52=0,"",J52/I52-1)</f>
        <v>5.0286036179347793E-2</v>
      </c>
      <c r="K114" s="89">
        <f t="shared" ref="K114:K115" si="296">IF(J52=0,"",K52/J52-1)</f>
        <v>8.2928145271833564E-2</v>
      </c>
      <c r="L114" s="89">
        <f t="shared" ref="L114:L115" si="297">IF(K52=0,"",L52/K52-1)</f>
        <v>-0.37469518193606988</v>
      </c>
      <c r="M114" s="89">
        <f t="shared" ref="M114:M115" si="298">IF(L52=0,"",M52/L52-1)</f>
        <v>-0.11259558186291174</v>
      </c>
      <c r="N114" s="89">
        <f t="shared" ref="N114:N115" si="299">IF(M52=0,"",N52/M52-1)</f>
        <v>-0.23755432618048755</v>
      </c>
      <c r="O114" s="89">
        <f t="shared" ref="O114:O115" si="300">IF(N52=0,"",O52/N52-1)</f>
        <v>-0.14113047596036921</v>
      </c>
      <c r="P114" s="89">
        <f t="shared" ref="P114:P115" si="301">IF(O52=0,"",P52/O52-1)</f>
        <v>-8.913380331319809E-2</v>
      </c>
      <c r="Q114" s="89">
        <f t="shared" ref="Q114:Q115" si="302">IF(P52=0,"",Q52/P52-1)</f>
        <v>-7.3170422048885686E-2</v>
      </c>
      <c r="R114" s="89">
        <f t="shared" ref="R114:R115" si="303">IF(Q52=0,"",R52/Q52-1)</f>
        <v>0.15970726160730409</v>
      </c>
      <c r="S114" s="89">
        <f t="shared" ref="S114:S115" si="304">IF(R52=0,"",S52/R52-1)</f>
        <v>-3.7813897421037357E-2</v>
      </c>
      <c r="T114" s="89">
        <f t="shared" ref="T114:T115" si="305">IF(S52=0,"",T52/S52-1)</f>
        <v>-2.0549049852593981E-3</v>
      </c>
      <c r="U114" s="89">
        <f t="shared" ref="U114:U115" si="306">IF(T52=0,"",U52/T52-1)</f>
        <v>4.9491057424742024E-3</v>
      </c>
      <c r="V114" s="89">
        <f t="shared" ref="V114:V115" si="307">IF(U52=0,"",V52/U52-1)</f>
        <v>4.9382615659476103E-2</v>
      </c>
      <c r="W114" s="89">
        <f t="shared" ref="W114:W115" si="308">IF(V52=0,"",W52/V52-1)</f>
        <v>-6.3314356440643538E-3</v>
      </c>
      <c r="X114" s="89">
        <f t="shared" ref="X114:X115" si="309">IF(W52=0,"",X52/W52-1)</f>
        <v>5.7430987098352482E-3</v>
      </c>
      <c r="Y114" s="89">
        <f t="shared" ref="Y114:Y115" si="310">IF(X52=0,"",Y52/X52-1)</f>
        <v>0.15013831665542954</v>
      </c>
      <c r="Z114" s="89">
        <f t="shared" ref="Z114:Z115" si="311">IF(Y52=0,"",Z52/Y52-1)</f>
        <v>-1.6086040048129857E-2</v>
      </c>
      <c r="AA114" s="89">
        <f t="shared" ref="AA114:AA115" si="312">IF(Z52=0,"",AA52/Z52-1)</f>
        <v>-1.6528435584507339E-2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-8.5311596467782969E-2</v>
      </c>
      <c r="F115" s="89">
        <f t="shared" si="291"/>
        <v>0.17935972906043252</v>
      </c>
      <c r="G115" s="89">
        <f t="shared" si="292"/>
        <v>-0.10860049202385469</v>
      </c>
      <c r="H115" s="89">
        <f t="shared" si="293"/>
        <v>-3.8954237526257707E-2</v>
      </c>
      <c r="I115" s="89">
        <f t="shared" si="294"/>
        <v>-4.032994730396533E-2</v>
      </c>
      <c r="J115" s="89">
        <f t="shared" si="295"/>
        <v>-1.5457388887773149E-2</v>
      </c>
      <c r="K115" s="89">
        <f t="shared" si="296"/>
        <v>0.19897502428949831</v>
      </c>
      <c r="L115" s="89">
        <f t="shared" si="297"/>
        <v>-5.6797204067664975E-2</v>
      </c>
      <c r="M115" s="89">
        <f t="shared" si="298"/>
        <v>-0.21211055900453379</v>
      </c>
      <c r="N115" s="89">
        <f t="shared" si="299"/>
        <v>-0.11113732223621342</v>
      </c>
      <c r="O115" s="89">
        <f t="shared" si="300"/>
        <v>-6.8197582499119003E-2</v>
      </c>
      <c r="P115" s="89">
        <f t="shared" si="301"/>
        <v>-6.1613744018102046E-2</v>
      </c>
      <c r="Q115" s="89">
        <f t="shared" si="302"/>
        <v>8.3532023901211616E-3</v>
      </c>
      <c r="R115" s="89">
        <f t="shared" si="303"/>
        <v>0.28684954501876136</v>
      </c>
      <c r="S115" s="89">
        <f t="shared" si="304"/>
        <v>1.6764780652418265E-2</v>
      </c>
      <c r="T115" s="89">
        <f t="shared" si="305"/>
        <v>-1.1535680026691142E-2</v>
      </c>
      <c r="U115" s="89">
        <f t="shared" si="306"/>
        <v>3.318976533069895E-3</v>
      </c>
      <c r="V115" s="89">
        <f t="shared" si="307"/>
        <v>7.0318852434218204E-2</v>
      </c>
      <c r="W115" s="89">
        <f t="shared" si="308"/>
        <v>-1.2478858964044659E-2</v>
      </c>
      <c r="X115" s="89">
        <f t="shared" si="309"/>
        <v>7.483370697743541E-2</v>
      </c>
      <c r="Y115" s="89">
        <f t="shared" si="310"/>
        <v>0.1795360435434703</v>
      </c>
      <c r="Z115" s="89">
        <f t="shared" si="311"/>
        <v>-2.0172838623241152E-2</v>
      </c>
      <c r="AA115" s="89">
        <f t="shared" si="312"/>
        <v>3.1911793300524849E-2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0.29421195655366961</v>
      </c>
      <c r="F116" s="89">
        <f t="shared" ref="F116:F122" si="314">IF(E56=0,"",F56/E56-1)</f>
        <v>3.1268222100070853E-2</v>
      </c>
      <c r="G116" s="89">
        <f t="shared" ref="G116:G122" si="315">IF(F56=0,"",G56/F56-1)</f>
        <v>-9.0063653977933811E-2</v>
      </c>
      <c r="H116" s="89">
        <f t="shared" ref="H116:H122" si="316">IF(G56=0,"",H56/G56-1)</f>
        <v>2.3535621799909645E-2</v>
      </c>
      <c r="I116" s="89">
        <f t="shared" ref="I116:I122" si="317">IF(H56=0,"",I56/H56-1)</f>
        <v>-3.6133711028500937E-3</v>
      </c>
      <c r="J116" s="89">
        <f t="shared" ref="J116:J122" si="318">IF(I56=0,"",J56/I56-1)</f>
        <v>7.055379026199593E-2</v>
      </c>
      <c r="K116" s="89">
        <f t="shared" ref="K116:K122" si="319">IF(J56=0,"",K56/J56-1)</f>
        <v>5.0026865670381504E-2</v>
      </c>
      <c r="L116" s="89">
        <f t="shared" ref="L116:L122" si="320">IF(K56=0,"",L56/K56-1)</f>
        <v>-0.47760974033998416</v>
      </c>
      <c r="M116" s="89">
        <f t="shared" ref="M116:M122" si="321">IF(L56=0,"",M56/L56-1)</f>
        <v>-5.4427129921589934E-2</v>
      </c>
      <c r="N116" s="89">
        <f t="shared" ref="N116:N122" si="322">IF(M56=0,"",N56/M56-1)</f>
        <v>-0.29912513077098579</v>
      </c>
      <c r="O116" s="89">
        <f t="shared" ref="O116:O122" si="323">IF(N56=0,"",O56/N56-1)</f>
        <v>-0.18617966341722514</v>
      </c>
      <c r="P116" s="89">
        <f t="shared" ref="P116:P122" si="324">IF(O56=0,"",P56/O56-1)</f>
        <v>-0.10859673141776482</v>
      </c>
      <c r="Q116" s="89">
        <f t="shared" ref="Q116:Q122" si="325">IF(P56=0,"",Q56/P56-1)</f>
        <v>-0.13386497385635565</v>
      </c>
      <c r="R116" s="89">
        <f t="shared" ref="R116:R122" si="326">IF(Q56=0,"",R56/Q56-1)</f>
        <v>4.9506824720753961E-2</v>
      </c>
      <c r="S116" s="89">
        <f t="shared" ref="S116:S122" si="327">IF(R56=0,"",S56/R56-1)</f>
        <v>-9.5818015540944268E-2</v>
      </c>
      <c r="T116" s="89">
        <f t="shared" ref="T116:T122" si="328">IF(S56=0,"",T56/S56-1)</f>
        <v>9.2754704955755329E-3</v>
      </c>
      <c r="U116" s="89">
        <f t="shared" ref="U116:U122" si="329">IF(T56=0,"",U56/T56-1)</f>
        <v>6.8570855275977838E-3</v>
      </c>
      <c r="V116" s="89">
        <f t="shared" ref="V116:V122" si="330">IF(U56=0,"",V56/U56-1)</f>
        <v>2.4963970904903432E-2</v>
      </c>
      <c r="W116" s="89">
        <f t="shared" ref="W116:W122" si="331">IF(V56=0,"",W56/V56-1)</f>
        <v>1.1557849932886111E-3</v>
      </c>
      <c r="X116" s="89">
        <f t="shared" ref="X116:X122" si="332">IF(W56=0,"",X56/W56-1)</f>
        <v>-7.7259419367304516E-2</v>
      </c>
      <c r="Y116" s="89">
        <f t="shared" ref="Y116:Y122" si="333">IF(X56=0,"",Y56/X56-1)</f>
        <v>0.10899989175057989</v>
      </c>
      <c r="Z116" s="89">
        <f t="shared" ref="Z116:Z122" si="334">IF(Y56=0,"",Z56/Y56-1)</f>
        <v>-1.0003333647057744E-2</v>
      </c>
      <c r="AA116" s="89">
        <f t="shared" ref="AA116:AA122" si="335">IF(Z56=0,"",AA56/Z56-1)</f>
        <v>-8.7885265808378521E-2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0.14109444764004575</v>
      </c>
      <c r="F117" s="89">
        <f t="shared" si="314"/>
        <v>0.16703925213634152</v>
      </c>
      <c r="G117" s="89">
        <f t="shared" si="315"/>
        <v>4.1429390340494976E-3</v>
      </c>
      <c r="H117" s="89">
        <f t="shared" si="316"/>
        <v>4.4631269379528771E-2</v>
      </c>
      <c r="I117" s="89">
        <f t="shared" si="317"/>
        <v>2.9882092516805958E-2</v>
      </c>
      <c r="J117" s="89">
        <f t="shared" si="318"/>
        <v>-2.6982360138175787E-2</v>
      </c>
      <c r="K117" s="89">
        <f t="shared" si="319"/>
        <v>-9.8364787172877666E-3</v>
      </c>
      <c r="L117" s="89">
        <f t="shared" si="320"/>
        <v>5.916066118150809E-2</v>
      </c>
      <c r="M117" s="89">
        <f t="shared" si="321"/>
        <v>-2.4123880621138682E-2</v>
      </c>
      <c r="N117" s="89">
        <f t="shared" si="322"/>
        <v>-1.0985277452020048E-2</v>
      </c>
      <c r="O117" s="89">
        <f t="shared" si="323"/>
        <v>-7.7957329786902951E-3</v>
      </c>
      <c r="P117" s="89">
        <f t="shared" si="324"/>
        <v>3.2972478336644517E-2</v>
      </c>
      <c r="Q117" s="89">
        <f t="shared" si="325"/>
        <v>-7.9202228108413375E-2</v>
      </c>
      <c r="R117" s="89">
        <f t="shared" si="326"/>
        <v>3.6268919005459033E-2</v>
      </c>
      <c r="S117" s="89">
        <f t="shared" si="327"/>
        <v>-3.2221871607637897E-2</v>
      </c>
      <c r="T117" s="89">
        <f t="shared" si="328"/>
        <v>2.6394553111994012E-2</v>
      </c>
      <c r="U117" s="89">
        <f t="shared" si="329"/>
        <v>-4.5255412183316079E-2</v>
      </c>
      <c r="V117" s="89">
        <f t="shared" si="330"/>
        <v>2.6315105446018006E-2</v>
      </c>
      <c r="W117" s="89">
        <f t="shared" si="331"/>
        <v>-7.4712469308546581E-3</v>
      </c>
      <c r="X117" s="89">
        <f t="shared" si="332"/>
        <v>1.5077939867191859E-4</v>
      </c>
      <c r="Y117" s="89">
        <f t="shared" si="333"/>
        <v>4.8273869154348281E-2</v>
      </c>
      <c r="Z117" s="89">
        <f t="shared" si="334"/>
        <v>6.6692376238912665E-3</v>
      </c>
      <c r="AA117" s="89">
        <f t="shared" si="335"/>
        <v>3.3426301811545267E-2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1.1671141124089068E-2</v>
      </c>
      <c r="F118" s="89">
        <f t="shared" si="314"/>
        <v>0.15593875888509556</v>
      </c>
      <c r="G118" s="89">
        <f t="shared" si="315"/>
        <v>0.11631251625108097</v>
      </c>
      <c r="H118" s="89">
        <f t="shared" si="316"/>
        <v>-1.0902748922955618E-2</v>
      </c>
      <c r="I118" s="89">
        <f t="shared" si="317"/>
        <v>-1.6148498855238502E-2</v>
      </c>
      <c r="J118" s="89">
        <f t="shared" si="318"/>
        <v>0.27916628746006467</v>
      </c>
      <c r="K118" s="89">
        <f t="shared" si="319"/>
        <v>-8.2284240965128652E-2</v>
      </c>
      <c r="L118" s="89">
        <f t="shared" si="320"/>
        <v>-0.17881095220821475</v>
      </c>
      <c r="M118" s="89">
        <f t="shared" si="321"/>
        <v>7.360119124078679E-2</v>
      </c>
      <c r="N118" s="89">
        <f t="shared" si="322"/>
        <v>-0.46034847351477715</v>
      </c>
      <c r="O118" s="89">
        <f t="shared" si="323"/>
        <v>0.25564657537479052</v>
      </c>
      <c r="P118" s="89">
        <f t="shared" si="324"/>
        <v>-0.5927399503241324</v>
      </c>
      <c r="Q118" s="89">
        <f t="shared" si="325"/>
        <v>1.0468448647299144</v>
      </c>
      <c r="R118" s="89">
        <f t="shared" si="326"/>
        <v>-0.27320032364240565</v>
      </c>
      <c r="S118" s="89">
        <f t="shared" si="327"/>
        <v>0.75300664052287591</v>
      </c>
      <c r="T118" s="89">
        <f t="shared" si="328"/>
        <v>-0.11217086905788654</v>
      </c>
      <c r="U118" s="89">
        <f t="shared" si="329"/>
        <v>0.16652954216890992</v>
      </c>
      <c r="V118" s="89">
        <f t="shared" si="330"/>
        <v>0.1564877203772328</v>
      </c>
      <c r="W118" s="89">
        <f t="shared" si="331"/>
        <v>7.6420162373427303E-3</v>
      </c>
      <c r="X118" s="89">
        <f t="shared" si="332"/>
        <v>-0.18145576123193885</v>
      </c>
      <c r="Y118" s="89">
        <f t="shared" si="333"/>
        <v>3.6039437023170473E-2</v>
      </c>
      <c r="Z118" s="89">
        <f t="shared" si="334"/>
        <v>8.0710115142380356E-2</v>
      </c>
      <c r="AA118" s="89">
        <f t="shared" si="335"/>
        <v>-2.6589432342641439E-2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0.20579841412635758</v>
      </c>
      <c r="F119" s="89">
        <f t="shared" si="314"/>
        <v>-5.2138345634106575E-2</v>
      </c>
      <c r="G119" s="89">
        <f t="shared" si="315"/>
        <v>6.188454969927748E-2</v>
      </c>
      <c r="H119" s="89">
        <f t="shared" si="316"/>
        <v>5.7733500498236223E-2</v>
      </c>
      <c r="I119" s="89">
        <f t="shared" si="317"/>
        <v>0.15637810688093245</v>
      </c>
      <c r="J119" s="89">
        <f t="shared" si="318"/>
        <v>1.8418268272681226E-2</v>
      </c>
      <c r="K119" s="89">
        <f t="shared" si="319"/>
        <v>4.9677022434555296E-2</v>
      </c>
      <c r="L119" s="89">
        <f t="shared" si="320"/>
        <v>-4.2305393283805781E-2</v>
      </c>
      <c r="M119" s="89">
        <f t="shared" si="321"/>
        <v>-0.15352817790019069</v>
      </c>
      <c r="N119" s="89">
        <f t="shared" si="322"/>
        <v>-1.1007720181712588E-2</v>
      </c>
      <c r="O119" s="89">
        <f t="shared" si="323"/>
        <v>-0.16154697013037045</v>
      </c>
      <c r="P119" s="89">
        <f t="shared" si="324"/>
        <v>-9.7824588443927829E-2</v>
      </c>
      <c r="Q119" s="89">
        <f t="shared" si="325"/>
        <v>-2.5129372291263219E-2</v>
      </c>
      <c r="R119" s="89">
        <f t="shared" si="326"/>
        <v>-4.7467248837065323E-2</v>
      </c>
      <c r="S119" s="89">
        <f t="shared" si="327"/>
        <v>1.4167642895442256E-2</v>
      </c>
      <c r="T119" s="89">
        <f t="shared" si="328"/>
        <v>-1.2693027902826892E-2</v>
      </c>
      <c r="U119" s="89">
        <f t="shared" si="329"/>
        <v>5.1387800558833963E-2</v>
      </c>
      <c r="V119" s="89">
        <f t="shared" si="330"/>
        <v>6.5504923854227792E-2</v>
      </c>
      <c r="W119" s="89">
        <f t="shared" si="331"/>
        <v>4.0366263998023566E-2</v>
      </c>
      <c r="X119" s="89">
        <f t="shared" si="332"/>
        <v>2.6881435585423441E-2</v>
      </c>
      <c r="Y119" s="89">
        <f t="shared" si="333"/>
        <v>0.24735662891987564</v>
      </c>
      <c r="Z119" s="89">
        <f t="shared" si="334"/>
        <v>3.2608150835512717E-2</v>
      </c>
      <c r="AA119" s="89">
        <f t="shared" si="335"/>
        <v>-4.6549296824148212E-2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-0.15612012506445794</v>
      </c>
      <c r="F120" s="89">
        <f t="shared" si="314"/>
        <v>0.20361279770597962</v>
      </c>
      <c r="G120" s="89">
        <f t="shared" si="315"/>
        <v>1.8919962215928621E-2</v>
      </c>
      <c r="H120" s="89">
        <f t="shared" si="316"/>
        <v>-1.2780241547950877E-2</v>
      </c>
      <c r="I120" s="89">
        <f t="shared" si="317"/>
        <v>-0.13625420758212259</v>
      </c>
      <c r="J120" s="89">
        <f t="shared" si="318"/>
        <v>-0.15161815705416426</v>
      </c>
      <c r="K120" s="89">
        <f t="shared" si="319"/>
        <v>2.9413330793602199E-2</v>
      </c>
      <c r="L120" s="89">
        <f t="shared" si="320"/>
        <v>-2.4320392754856757E-2</v>
      </c>
      <c r="M120" s="89">
        <f t="shared" si="321"/>
        <v>-0.18193397742382256</v>
      </c>
      <c r="N120" s="89">
        <f t="shared" si="322"/>
        <v>-9.6566135287621813E-2</v>
      </c>
      <c r="O120" s="89">
        <f t="shared" si="323"/>
        <v>-0.14386302598029554</v>
      </c>
      <c r="P120" s="89">
        <f t="shared" si="324"/>
        <v>-9.4955594119730424E-2</v>
      </c>
      <c r="Q120" s="89">
        <f t="shared" si="325"/>
        <v>-0.11454966236463771</v>
      </c>
      <c r="R120" s="89">
        <f t="shared" si="326"/>
        <v>-6.0102057126270925E-2</v>
      </c>
      <c r="S120" s="89">
        <f t="shared" si="327"/>
        <v>6.3822884857194007E-2</v>
      </c>
      <c r="T120" s="89">
        <f t="shared" si="328"/>
        <v>-5.0001332818550015E-2</v>
      </c>
      <c r="U120" s="89">
        <f t="shared" si="329"/>
        <v>-1.2910249059222889E-2</v>
      </c>
      <c r="V120" s="89">
        <f t="shared" si="330"/>
        <v>-3.4753369699465186E-2</v>
      </c>
      <c r="W120" s="89">
        <f t="shared" si="331"/>
        <v>-3.6379591569485559E-2</v>
      </c>
      <c r="X120" s="89">
        <f t="shared" si="332"/>
        <v>-0.18493433550246696</v>
      </c>
      <c r="Y120" s="89">
        <f t="shared" si="333"/>
        <v>0.11774309983919062</v>
      </c>
      <c r="Z120" s="89">
        <f t="shared" si="334"/>
        <v>5.3613529582017261E-3</v>
      </c>
      <c r="AA120" s="89">
        <f t="shared" si="335"/>
        <v>-2.79418802745387E-2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0.21770297909022784</v>
      </c>
      <c r="F121" s="89">
        <f t="shared" si="314"/>
        <v>0.21116894648527462</v>
      </c>
      <c r="G121" s="89">
        <f t="shared" si="315"/>
        <v>-5.4933929083215149E-2</v>
      </c>
      <c r="H121" s="89">
        <f t="shared" si="316"/>
        <v>1.918723351336582E-2</v>
      </c>
      <c r="I121" s="89">
        <f t="shared" si="317"/>
        <v>6.2855334898226367E-3</v>
      </c>
      <c r="J121" s="89">
        <f t="shared" si="318"/>
        <v>-7.6187392399458376E-2</v>
      </c>
      <c r="K121" s="89">
        <f t="shared" si="319"/>
        <v>-0.12882015267038527</v>
      </c>
      <c r="L121" s="89">
        <f t="shared" si="320"/>
        <v>0.11707702998403691</v>
      </c>
      <c r="M121" s="89">
        <f t="shared" si="321"/>
        <v>-8.1740142595796428E-2</v>
      </c>
      <c r="N121" s="89">
        <f t="shared" si="322"/>
        <v>-0.45799979842961158</v>
      </c>
      <c r="O121" s="89">
        <f t="shared" si="323"/>
        <v>-0.26487542911594275</v>
      </c>
      <c r="P121" s="89">
        <f t="shared" si="324"/>
        <v>-0.34918935041600152</v>
      </c>
      <c r="Q121" s="89">
        <f t="shared" si="325"/>
        <v>-0.29351332047936596</v>
      </c>
      <c r="R121" s="89">
        <f t="shared" si="326"/>
        <v>-0.10821073044729712</v>
      </c>
      <c r="S121" s="89">
        <f t="shared" si="327"/>
        <v>-8.0490584484590788E-2</v>
      </c>
      <c r="T121" s="89">
        <f t="shared" si="328"/>
        <v>8.6465081683222644E-2</v>
      </c>
      <c r="U121" s="89">
        <f t="shared" si="329"/>
        <v>5.5311124280650104E-2</v>
      </c>
      <c r="V121" s="89">
        <f t="shared" si="330"/>
        <v>7.3631186026331452E-2</v>
      </c>
      <c r="W121" s="89">
        <f t="shared" si="331"/>
        <v>5.8783591604281593E-2</v>
      </c>
      <c r="X121" s="89">
        <f t="shared" si="332"/>
        <v>0.19331907298552164</v>
      </c>
      <c r="Y121" s="89">
        <f t="shared" si="333"/>
        <v>-1.8716061402109796E-2</v>
      </c>
      <c r="Z121" s="89">
        <f t="shared" si="334"/>
        <v>0.11628052930774468</v>
      </c>
      <c r="AA121" s="89">
        <f t="shared" si="335"/>
        <v>0.15364039300062826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0.1901277888048678</v>
      </c>
      <c r="F122" s="91">
        <f t="shared" si="314"/>
        <v>-3.2101092765994044E-2</v>
      </c>
      <c r="G122" s="91">
        <f t="shared" si="315"/>
        <v>-5.3993564833546892E-2</v>
      </c>
      <c r="H122" s="91">
        <f t="shared" si="316"/>
        <v>0.13616637561388112</v>
      </c>
      <c r="I122" s="91">
        <f t="shared" si="317"/>
        <v>-1.7241410414130076E-2</v>
      </c>
      <c r="J122" s="91">
        <f t="shared" si="318"/>
        <v>0.12043729801381065</v>
      </c>
      <c r="K122" s="91">
        <f t="shared" si="319"/>
        <v>-0.13247337959264172</v>
      </c>
      <c r="L122" s="91">
        <f t="shared" si="320"/>
        <v>0.14747682350523994</v>
      </c>
      <c r="M122" s="91">
        <f t="shared" si="321"/>
        <v>-5.0157359706869409E-3</v>
      </c>
      <c r="N122" s="91">
        <f t="shared" si="322"/>
        <v>-9.3038632027267587E-2</v>
      </c>
      <c r="O122" s="91">
        <f t="shared" si="323"/>
        <v>-0.11818607363313871</v>
      </c>
      <c r="P122" s="91">
        <f t="shared" si="324"/>
        <v>-0.13860175046949152</v>
      </c>
      <c r="Q122" s="91">
        <f t="shared" si="325"/>
        <v>-0.14622630306739615</v>
      </c>
      <c r="R122" s="91">
        <f t="shared" si="326"/>
        <v>2.6557469105163101E-2</v>
      </c>
      <c r="S122" s="91">
        <f t="shared" si="327"/>
        <v>0.1302012817652165</v>
      </c>
      <c r="T122" s="91">
        <f t="shared" si="328"/>
        <v>-1.7595049969361121E-3</v>
      </c>
      <c r="U122" s="91">
        <f t="shared" si="329"/>
        <v>6.0878570080180605E-3</v>
      </c>
      <c r="V122" s="91">
        <f t="shared" si="330"/>
        <v>3.6222834795556436E-2</v>
      </c>
      <c r="W122" s="91">
        <f t="shared" si="331"/>
        <v>1.9927162762674921E-2</v>
      </c>
      <c r="X122" s="91">
        <f t="shared" si="332"/>
        <v>5.8522834704931803E-2</v>
      </c>
      <c r="Y122" s="91">
        <f t="shared" si="333"/>
        <v>7.6710285837846559E-2</v>
      </c>
      <c r="Z122" s="91">
        <f t="shared" si="334"/>
        <v>-3.6613859119959513E-2</v>
      </c>
      <c r="AA122" s="91">
        <f t="shared" si="335"/>
        <v>7.5646796724212928E-2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2025-11-06T10:22:40Z</dcterms:created>
  <dcterms:modified xsi:type="dcterms:W3CDTF">2025-11-06T10:22:40Z</dcterms:modified>
</cp:coreProperties>
</file>