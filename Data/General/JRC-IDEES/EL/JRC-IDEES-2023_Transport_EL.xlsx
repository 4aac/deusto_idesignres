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EL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88" i="8"/>
  <c r="X87" i="8"/>
  <c r="X86" i="8"/>
  <c r="X84" i="8"/>
  <c r="Y12" i="3"/>
  <c r="X12" i="3"/>
  <c r="X17" i="9"/>
  <c r="X51" i="3" s="1"/>
  <c r="Y29" i="9"/>
  <c r="Y49" i="9"/>
  <c r="X27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Y44" i="12"/>
  <c r="X4" i="12"/>
  <c r="X46" i="3"/>
  <c r="Y45" i="3"/>
  <c r="X45" i="3"/>
  <c r="Y39" i="12"/>
  <c r="X48" i="1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X83" i="3"/>
  <c r="Y76" i="3"/>
  <c r="X76" i="3"/>
  <c r="Y55" i="3"/>
  <c r="Y54" i="3"/>
  <c r="X54" i="3"/>
  <c r="Y53" i="3"/>
  <c r="X53" i="3"/>
  <c r="Y44" i="3"/>
  <c r="X44" i="3"/>
  <c r="Y42" i="3"/>
  <c r="Y31" i="3"/>
  <c r="Y30" i="3"/>
  <c r="Y25" i="3"/>
  <c r="Y10" i="3"/>
  <c r="Y41" i="12" l="1"/>
  <c r="X25" i="9"/>
  <c r="Y15" i="14"/>
  <c r="Y21" i="14" s="1"/>
  <c r="Y69" i="11"/>
  <c r="X55" i="3"/>
  <c r="X52" i="3" s="1"/>
  <c r="X90" i="8"/>
  <c r="X41" i="12"/>
  <c r="X75" i="3"/>
  <c r="X227" i="3" s="1"/>
  <c r="X29" i="9"/>
  <c r="Y57" i="8"/>
  <c r="Y79" i="8" s="1"/>
  <c r="Y75" i="3"/>
  <c r="X91" i="8"/>
  <c r="Y91" i="8"/>
  <c r="X31" i="9"/>
  <c r="Y53" i="9"/>
  <c r="X84" i="3"/>
  <c r="X82" i="3" s="1"/>
  <c r="Y44" i="11"/>
  <c r="X28" i="8"/>
  <c r="X63" i="8" s="1"/>
  <c r="Y43" i="9"/>
  <c r="X19" i="12"/>
  <c r="X69" i="12" s="1"/>
  <c r="X3" i="20"/>
  <c r="X22" i="20" s="1"/>
  <c r="Y7" i="18"/>
  <c r="Y22" i="18" s="1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0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1" i="15" s="1"/>
  <c r="X13" i="14"/>
  <c r="X19" i="14" s="1"/>
  <c r="Y15" i="3"/>
  <c r="X23" i="3"/>
  <c r="X205" i="3" s="1"/>
  <c r="X14" i="20"/>
  <c r="Y15" i="18"/>
  <c r="Y29" i="13"/>
  <c r="X18" i="11"/>
  <c r="X120" i="11" s="1"/>
  <c r="Y207" i="3"/>
  <c r="X237" i="3"/>
  <c r="Y194" i="3"/>
  <c r="Y196" i="3"/>
  <c r="Y206" i="3"/>
  <c r="Y65" i="10"/>
  <c r="X46" i="10"/>
  <c r="X36" i="9"/>
  <c r="X47" i="9"/>
  <c r="X10" i="8"/>
  <c r="X21" i="3" s="1"/>
  <c r="X203" i="3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11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10" i="20" s="1"/>
  <c r="Y10" i="19"/>
  <c r="Y25" i="19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Y27" i="14"/>
  <c r="X14" i="14"/>
  <c r="X20" i="14" s="1"/>
  <c r="X4" i="14"/>
  <c r="X43" i="3"/>
  <c r="X198" i="3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Y5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2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43" i="11" l="1"/>
  <c r="X235" i="3"/>
  <c r="X26" i="8"/>
  <c r="X25" i="8" s="1"/>
  <c r="Y227" i="3"/>
  <c r="X236" i="3"/>
  <c r="Y3" i="19"/>
  <c r="Y28" i="19" s="1"/>
  <c r="X21" i="20"/>
  <c r="X117" i="11"/>
  <c r="X41" i="9"/>
  <c r="X24" i="19"/>
  <c r="Y11" i="20"/>
  <c r="X23" i="20"/>
  <c r="Y197" i="3"/>
  <c r="X113" i="8"/>
  <c r="X116" i="11"/>
  <c r="X118" i="11"/>
  <c r="Y26" i="14"/>
  <c r="X86" i="3"/>
  <c r="X238" i="3" s="1"/>
  <c r="X60" i="3"/>
  <c r="X212" i="3" s="1"/>
  <c r="X80" i="11"/>
  <c r="X25" i="14"/>
  <c r="X20" i="19"/>
  <c r="X13" i="11"/>
  <c r="X3" i="19"/>
  <c r="X29" i="19" s="1"/>
  <c r="Y21" i="18"/>
  <c r="Y13" i="18"/>
  <c r="Y23" i="18"/>
  <c r="Y20" i="16"/>
  <c r="Y10" i="17"/>
  <c r="Y3" i="16"/>
  <c r="Y27" i="16" s="1"/>
  <c r="Y57" i="3"/>
  <c r="Y209" i="3" s="1"/>
  <c r="X11" i="17"/>
  <c r="X3" i="16"/>
  <c r="X28" i="16" s="1"/>
  <c r="X22" i="15"/>
  <c r="Y73" i="3"/>
  <c r="X207" i="3"/>
  <c r="Y3" i="12"/>
  <c r="Y47" i="12" s="1"/>
  <c r="X22" i="3"/>
  <c r="X204" i="3" s="1"/>
  <c r="X122" i="11"/>
  <c r="Y96" i="11"/>
  <c r="X48" i="9"/>
  <c r="X4" i="8"/>
  <c r="X108" i="8" s="1"/>
  <c r="X96" i="8"/>
  <c r="X192" i="3"/>
  <c r="Y25" i="14"/>
  <c r="Y22" i="13"/>
  <c r="X89" i="3"/>
  <c r="X181" i="3" s="1"/>
  <c r="X112" i="8"/>
  <c r="Y36" i="8"/>
  <c r="X233" i="3"/>
  <c r="X22" i="17"/>
  <c r="X13" i="20"/>
  <c r="X44" i="10"/>
  <c r="Y13" i="15"/>
  <c r="Y18" i="15"/>
  <c r="Y13" i="3"/>
  <c r="Y43" i="11"/>
  <c r="X100" i="8"/>
  <c r="Y17" i="15"/>
  <c r="Y198" i="3"/>
  <c r="X111" i="8"/>
  <c r="X76" i="11"/>
  <c r="X41" i="3"/>
  <c r="X193" i="3" s="1"/>
  <c r="X22" i="10"/>
  <c r="X36" i="8"/>
  <c r="X224" i="3"/>
  <c r="Y111" i="11"/>
  <c r="Y42" i="13"/>
  <c r="Y12" i="14"/>
  <c r="Y24" i="14" s="1"/>
  <c r="X13" i="3"/>
  <c r="X195" i="3" s="1"/>
  <c r="X37" i="9"/>
  <c r="X3" i="12"/>
  <c r="X51" i="12" s="1"/>
  <c r="Y23" i="10"/>
  <c r="Y22" i="10"/>
  <c r="Y117" i="11"/>
  <c r="X121" i="11"/>
  <c r="Y119" i="11"/>
  <c r="X29" i="16"/>
  <c r="Y118" i="11"/>
  <c r="X53" i="11"/>
  <c r="Y76" i="11"/>
  <c r="X21" i="16"/>
  <c r="X10" i="17"/>
  <c r="X123" i="11"/>
  <c r="Y112" i="11"/>
  <c r="X21" i="14"/>
  <c r="Y13" i="11"/>
  <c r="X25" i="16"/>
  <c r="X57" i="3"/>
  <c r="X56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24" i="9" s="1"/>
  <c r="X49" i="10"/>
  <c r="X8" i="10"/>
  <c r="X60" i="10" s="1"/>
  <c r="Y44" i="10"/>
  <c r="Y55" i="10"/>
  <c r="Y33" i="10"/>
  <c r="Y81" i="3"/>
  <c r="X110" i="8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Y204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22" i="20"/>
  <c r="Y13" i="17"/>
  <c r="Y21" i="17"/>
  <c r="Y17" i="17"/>
  <c r="Y9" i="17"/>
  <c r="X33" i="10"/>
  <c r="Y82" i="3"/>
  <c r="Y234" i="3" s="1"/>
  <c r="Y26" i="8"/>
  <c r="X56" i="8"/>
  <c r="X78" i="8" s="1"/>
  <c r="Y110" i="11"/>
  <c r="Y90" i="11"/>
  <c r="X21" i="18"/>
  <c r="X22" i="18"/>
  <c r="Y86" i="3"/>
  <c r="X10" i="9"/>
  <c r="X57" i="9" s="1"/>
  <c r="Y22" i="17"/>
  <c r="X23" i="18"/>
  <c r="Y28" i="16" l="1"/>
  <c r="X95" i="11"/>
  <c r="X46" i="9"/>
  <c r="X61" i="8"/>
  <c r="Y23" i="16"/>
  <c r="Y19" i="16"/>
  <c r="Y17" i="12"/>
  <c r="Y67" i="12" s="1"/>
  <c r="X9" i="20"/>
  <c r="Y56" i="3"/>
  <c r="Y19" i="19"/>
  <c r="Y29" i="19"/>
  <c r="Y23" i="19"/>
  <c r="Y9" i="20"/>
  <c r="Y27" i="19"/>
  <c r="X28" i="19"/>
  <c r="X105" i="8"/>
  <c r="X109" i="8"/>
  <c r="X27" i="19"/>
  <c r="X23" i="19"/>
  <c r="Y195" i="3"/>
  <c r="X49" i="12"/>
  <c r="X35" i="9"/>
  <c r="X38" i="10"/>
  <c r="X59" i="3"/>
  <c r="X153" i="3" s="1"/>
  <c r="X19" i="19"/>
  <c r="Y48" i="12"/>
  <c r="X183" i="3"/>
  <c r="Y54" i="12"/>
  <c r="Y52" i="12"/>
  <c r="Y49" i="12"/>
  <c r="Y51" i="12"/>
  <c r="Y55" i="12"/>
  <c r="Y53" i="12"/>
  <c r="X19" i="16"/>
  <c r="X23" i="16"/>
  <c r="X234" i="3"/>
  <c r="X9" i="17"/>
  <c r="Y50" i="12"/>
  <c r="X27" i="16"/>
  <c r="X94" i="8"/>
  <c r="X225" i="3"/>
  <c r="Y225" i="3"/>
  <c r="X62" i="10"/>
  <c r="X107" i="8"/>
  <c r="X106" i="8"/>
  <c r="X209" i="3"/>
  <c r="Y95" i="11"/>
  <c r="X39" i="3"/>
  <c r="Y18" i="14"/>
  <c r="Y37" i="12"/>
  <c r="X182" i="3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08" i="3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208" i="3"/>
  <c r="X191" i="3"/>
  <c r="X211" i="3"/>
  <c r="X151" i="3"/>
  <c r="X60" i="9"/>
  <c r="X64" i="9"/>
  <c r="X56" i="9"/>
  <c r="X62" i="9"/>
  <c r="X45" i="9"/>
  <c r="X58" i="9"/>
  <c r="X61" i="9"/>
  <c r="X63" i="9"/>
  <c r="X59" i="9"/>
  <c r="X65" i="9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152" i="3" l="1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6" i="1"/>
  <c r="B24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N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N3" i="18"/>
  <c r="N17" i="18" s="1"/>
  <c r="U14" i="18"/>
  <c r="E21" i="20"/>
  <c r="P14" i="18"/>
  <c r="J14" i="20"/>
  <c r="O3" i="20"/>
  <c r="O23" i="20" s="1"/>
  <c r="O3" i="18"/>
  <c r="O18" i="18" s="1"/>
  <c r="N3" i="20"/>
  <c r="F20" i="19"/>
  <c r="L20" i="19"/>
  <c r="Q25" i="19"/>
  <c r="Q21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R25" i="19" l="1"/>
  <c r="E13" i="18"/>
  <c r="W23" i="20"/>
  <c r="F24" i="19"/>
  <c r="E17" i="20"/>
  <c r="I21" i="18"/>
  <c r="I22" i="18"/>
  <c r="M22" i="20"/>
  <c r="U18" i="18"/>
  <c r="L10" i="20"/>
  <c r="J11" i="20"/>
  <c r="M23" i="20"/>
  <c r="P10" i="20"/>
  <c r="R21" i="19"/>
  <c r="W24" i="19"/>
  <c r="N13" i="20"/>
  <c r="U19" i="18"/>
  <c r="G18" i="18"/>
  <c r="H25" i="19"/>
  <c r="K23" i="18"/>
  <c r="F22" i="20"/>
  <c r="H20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N241" i="3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3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F183" i="3" l="1"/>
  <c r="U121" i="3"/>
  <c r="Q9" i="20"/>
  <c r="U122" i="3"/>
  <c r="N19" i="19"/>
  <c r="F182" i="3"/>
  <c r="E23" i="19"/>
  <c r="E27" i="19"/>
  <c r="N27" i="19"/>
  <c r="N9" i="20"/>
  <c r="M28" i="19"/>
  <c r="W9" i="20"/>
  <c r="M9" i="20"/>
  <c r="N29" i="19"/>
  <c r="M29" i="19"/>
  <c r="M23" i="19"/>
  <c r="W29" i="19"/>
  <c r="H27" i="19"/>
  <c r="M27" i="19"/>
  <c r="H19" i="19"/>
  <c r="Q23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9" i="3" s="1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58" i="9" s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2" i="9"/>
  <c r="W193" i="3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7" i="9" l="1"/>
  <c r="W56" i="9"/>
  <c r="W60" i="9"/>
  <c r="W65" i="9"/>
  <c r="W45" i="9"/>
  <c r="W61" i="9"/>
  <c r="W59" i="9"/>
  <c r="W64" i="9"/>
  <c r="W63" i="9"/>
  <c r="W52" i="12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P36" i="8" s="1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K10" i="16"/>
  <c r="K3" i="16" s="1"/>
  <c r="G4" i="16"/>
  <c r="S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N80" i="8" s="1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R79" i="8" s="1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R73" i="8" s="1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K79" i="8"/>
  <c r="V77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3" i="1"/>
  <c r="B17" i="1"/>
  <c r="B6" i="1"/>
  <c r="B18" i="1"/>
  <c r="B4" i="1"/>
  <c r="B15" i="1"/>
  <c r="B22" i="1"/>
  <c r="B20" i="1"/>
  <c r="B9" i="1"/>
  <c r="B16" i="1"/>
  <c r="B12" i="1"/>
  <c r="B11" i="1"/>
  <c r="B8" i="1"/>
  <c r="B7" i="1"/>
  <c r="B21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G31" i="7" s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X58" i="4" s="1"/>
  <c r="W4" i="7"/>
  <c r="T47" i="7"/>
  <c r="T6" i="7"/>
  <c r="T58" i="4"/>
  <c r="U34" i="7"/>
  <c r="U114" i="4"/>
  <c r="T31" i="7"/>
  <c r="Y6" i="7"/>
  <c r="W36" i="7"/>
  <c r="X44" i="7"/>
  <c r="V35" i="7"/>
  <c r="X13" i="7" l="1"/>
  <c r="V42" i="7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 s="1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 s="1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 s="1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265" i="4" s="1"/>
  <c r="I184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187" i="4"/>
  <c r="X268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5" i="4" l="1"/>
  <c r="X184" i="4"/>
  <c r="D131" i="5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X241" i="4"/>
  <c r="I69" i="7"/>
  <c r="I60" i="7" s="1"/>
  <c r="X238" i="4" l="1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 s="1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 s="1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 s="1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<sst xmlns="http://schemas.openxmlformats.org/spreadsheetml/2006/main" count="2657" uniqueCount="1169">
  <si>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</si>
  <si>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</si>
  <si>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</si>
  <si>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</si>
  <si>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</si>
  <si>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</si>
  <si>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</si>
  <si>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</si>
  <si>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</si>
  <si>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</si>
  <si>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</si>
  <si>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</si>
  <si>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</si>
  <si>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</si>
  <si>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</si>
  <si>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</si>
  <si>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</si>
  <si>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</si>
  <si>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</si>
  <si>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</si>
  <si>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</si>
  <si>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</si>
  <si>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</si>
  <si>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</si>
  <si>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</si>
  <si>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</si>
  <si>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</si>
  <si>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</si>
  <si>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</si>
  <si>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</si>
  <si>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</si>
  <si>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</si>
  <si>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</si>
  <si>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</si>
  <si>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</si>
  <si>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</si>
  <si>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</si>
  <si>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</si>
  <si>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</si>
  <si>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</si>
  <si>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</si>
  <si>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</si>
  <si>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</si>
  <si>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</si>
  <si>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</si>
  <si>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</si>
  <si>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</si>
  <si>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</si>
  <si>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</si>
  <si>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</si>
  <si>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</si>
  <si>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</si>
  <si>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</si>
  <si>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</si>
  <si>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</si>
  <si>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</si>
  <si>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</si>
  <si>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</si>
  <si>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</si>
  <si>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</si>
  <si>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</si>
  <si>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</si>
  <si>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</si>
  <si>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</si>
  <si>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</si>
  <si>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</si>
  <si>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</si>
  <si>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</si>
  <si>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</si>
  <si>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</si>
  <si>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</si>
  <si>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</si>
  <si>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</si>
  <si>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</si>
  <si>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</si>
  <si>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</si>
  <si>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</si>
  <si>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</si>
  <si>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</si>
  <si>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</si>
  <si>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</si>
  <si>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</si>
  <si>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</si>
  <si>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</si>
  <si>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</si>
  <si>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</si>
  <si>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</si>
  <si>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</si>
  <si>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</si>
  <si>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</si>
  <si>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</si>
  <si>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</si>
  <si>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</si>
  <si>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</si>
  <si>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</si>
  <si>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</si>
  <si>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</si>
  <si>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</si>
  <si>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</si>
  <si>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</si>
  <si>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</si>
  <si>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</si>
  <si>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</si>
  <si>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</si>
  <si>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</si>
  <si>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</si>
  <si>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</si>
  <si>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</si>
  <si>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</si>
  <si>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</si>
  <si>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</si>
  <si>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</si>
  <si>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</si>
  <si>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</si>
  <si>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</si>
  <si>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</si>
  <si>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</si>
  <si>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</si>
  <si>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</si>
  <si>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</si>
  <si>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</si>
  <si>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</si>
  <si>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</si>
  <si>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</si>
  <si>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</si>
  <si>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</si>
  <si>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</si>
  <si>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</si>
  <si>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</si>
  <si>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</si>
  <si>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</si>
  <si>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</si>
  <si>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</si>
  <si>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</si>
  <si>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</si>
  <si>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</si>
  <si>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</si>
  <si>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</si>
  <si>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</si>
  <si>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</si>
  <si>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</si>
  <si>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</si>
  <si>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</si>
  <si>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</si>
  <si>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</si>
  <si>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</si>
  <si>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</si>
  <si>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</si>
  <si>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</si>
  <si>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</si>
  <si>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</si>
  <si>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</si>
  <si>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</si>
  <si>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</si>
  <si>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</si>
  <si>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</si>
  <si>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</si>
  <si>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</si>
  <si>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</si>
  <si>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</si>
  <si>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</si>
  <si>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</si>
  <si>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</si>
  <si>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</si>
  <si>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</si>
  <si>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</si>
  <si>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</si>
  <si>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</si>
  <si>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</si>
  <si>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</si>
  <si>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</si>
  <si>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</si>
  <si>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</si>
  <si>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</si>
  <si>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</si>
  <si>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</si>
  <si>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</si>
  <si>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</si>
  <si>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</si>
  <si>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</si>
  <si>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</si>
  <si>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</si>
  <si>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</si>
  <si>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</si>
  <si>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</si>
  <si>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</si>
  <si>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</si>
  <si>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EL</t>
  </si>
  <si>
    <t>Greece</t>
  </si>
  <si>
    <t>Aviation - EL - Greece</t>
  </si>
  <si>
    <t>Activity.Mpkm.EL.Tr.Avia.Passenger</t>
  </si>
  <si>
    <t>Activity.Mpkm.EL.Tr.Avia.Passenger.Domestic</t>
  </si>
  <si>
    <t>Activity.Mpkm.EL.Tr.Avia.Passenger.IntraEEAwCHUK</t>
  </si>
  <si>
    <t>Activity.Mpkm.EL.Tr.Avia.Passenger.ExtraEEAwCHUK</t>
  </si>
  <si>
    <t>Activity.Mtkm.EL.Tr.Avia.Freight</t>
  </si>
  <si>
    <t>Activity.Mtkm.EL.Tr.Avia.Freight.Domestic</t>
  </si>
  <si>
    <t>Activity.Mtkm.EL.Tr.Avia.Freight.IntraEEAwCHUK</t>
  </si>
  <si>
    <t>Activity.Mtkm.EL.Tr.Avia.Freight.ExtraEEAwCHUK</t>
  </si>
  <si>
    <t>VehicleKm.Mkm.EL.Tr.Avia</t>
  </si>
  <si>
    <t>VehicleKm.Mkm.EL.Tr.Avia.Passenger</t>
  </si>
  <si>
    <t>VehicleKm.Mkm.EL.Tr.Avia.Passenger.Domestic</t>
  </si>
  <si>
    <t>VehicleKm.Mkm.EL.Tr.Avia.Passenger.IntraEEAwCHUK</t>
  </si>
  <si>
    <t>VehicleKm.Mkm.EL.Tr.Avia.Passenger.ExtraEEAwCHUK</t>
  </si>
  <si>
    <t>VehicleKm.Mkm.EL.Tr.Avia.Freight</t>
  </si>
  <si>
    <t>VehicleKm.Mkm.EL.Tr.Avia.Freight.Domestic</t>
  </si>
  <si>
    <t>VehicleKm.Mkm.EL.Tr.Avia.Freight.IntraEEAwCHUK</t>
  </si>
  <si>
    <t>VehicleKm.Mkm.EL.Tr.Avia.Freight.ExtraEEAwCHUK</t>
  </si>
  <si>
    <t>Flights.number.EL.Tr.Avia</t>
  </si>
  <si>
    <t>Flights.number.EL.Tr.Avia.Passenger</t>
  </si>
  <si>
    <t>Flights.number.EL.Tr.Avia.Passenger.Domestic</t>
  </si>
  <si>
    <t>Flights.number.EL.Tr.Avia.Passenger.IntraEEAwCHUK</t>
  </si>
  <si>
    <t>Flights.number.EL.Tr.Avia.Passenger.ExtraEEAwCHUK</t>
  </si>
  <si>
    <t>Flights.number.EL.Tr.Avia.Freight</t>
  </si>
  <si>
    <t>Flights.number.EL.Tr.Avia.Freight.Domestic</t>
  </si>
  <si>
    <t>Flights.number.EL.Tr.Avia.Freight.IntraEEAwCHUK</t>
  </si>
  <si>
    <t>Flights.number.EL.Tr.Avia.Freight.ExtraEEAwCHUK</t>
  </si>
  <si>
    <t>VolCarried.passenger.EL.Tr.Avia.Passenger</t>
  </si>
  <si>
    <t>VolCarried.passenger.EL.Tr.Avia.Passenger.Domestic</t>
  </si>
  <si>
    <t>VolCarried.passenger.EL.Tr.Avia.Passenger.IntraEEAwCHUK</t>
  </si>
  <si>
    <t>VolCarried.passenger.EL.Tr.Avia.Passenger.ExtraEEAwCHUK</t>
  </si>
  <si>
    <t>VolCarried.t.EL.Tr.Avia.Freight</t>
  </si>
  <si>
    <t>VolCarried.t.EL.Tr.Avia.Freight.Domestic</t>
  </si>
  <si>
    <t>VolCarried.t.EL.Tr.Avia.Freight.IntraEEAwCHUK</t>
  </si>
  <si>
    <t>VolCarried.t.EL.Tr.Avia.Freight.ExtraEEAwCHUK</t>
  </si>
  <si>
    <t>Stock.number.EL.Tr.Avia</t>
  </si>
  <si>
    <t>Stock.number.EL.Tr.Avia.Passenger</t>
  </si>
  <si>
    <t>Stock.number.EL.Tr.Avia.Passenger.Domestic</t>
  </si>
  <si>
    <t>Stock.number.EL.Tr.Avia.Passenger.IntraEEAwCHUK</t>
  </si>
  <si>
    <t>Stock.number.EL.Tr.Avia.Passenger.ExtraEEAwCHUK</t>
  </si>
  <si>
    <t>Stock.number.EL.Tr.Avia.Freight</t>
  </si>
  <si>
    <t>Stock.number.EL.Tr.Avia.Freight.Domestic</t>
  </si>
  <si>
    <t>Stock.number.EL.Tr.Avia.Freight.IntraEEAwCHUK</t>
  </si>
  <si>
    <t>Stock.number.EL.Tr.Avia.Freight.ExtraEEAwCHUK</t>
  </si>
  <si>
    <t>StockNew.number.EL.Tr.Avia</t>
  </si>
  <si>
    <t>StockNew.number.EL.Tr.Avia.Passenger</t>
  </si>
  <si>
    <t>StockNew.number.EL.Tr.Avia.Passenger.Domestic</t>
  </si>
  <si>
    <t>StockNew.number.EL.Tr.Avia.Passenger.IntraEEAwCHUK</t>
  </si>
  <si>
    <t>StockNew.number.EL.Tr.Avia.Passenger.ExtraEEAwCHUK</t>
  </si>
  <si>
    <t>StockNew.number.EL.Tr.Avia.Freight</t>
  </si>
  <si>
    <t>StockNew.number.EL.Tr.Avia.Freight.Domestic</t>
  </si>
  <si>
    <t>StockNew.number.EL.Tr.Avia.Freight.IntraEEAwCHUK</t>
  </si>
  <si>
    <t>StockNew.number.EL.Tr.Avia.Freight.ExtraEEAwCHUK</t>
  </si>
  <si>
    <t>Load.passenger_per_movement.EL.Tr.Avia.Passenger</t>
  </si>
  <si>
    <t>Load.passenger_per_movement.EL.Tr.Avia.Passenger.Domestic</t>
  </si>
  <si>
    <t>Load.passenger_per_movement.EL.Tr.Avia.Passenger.IntraEEAwCHUK</t>
  </si>
  <si>
    <t>Load.passenger_per_movement.EL.Tr.Avia.Passenger.ExtraEEAwCHUK</t>
  </si>
  <si>
    <t>Load.t_per_movement.EL.Tr.Avia.Freight</t>
  </si>
  <si>
    <t>Load.t_per_movement.EL.Tr.Avia.Freight.Domestic</t>
  </si>
  <si>
    <t>Load.t_per_movement.EL.Tr.Avia.Freight.IntraEEAwCHUK</t>
  </si>
  <si>
    <t>Load.t_per_movement.EL.Tr.Avia.Freight.ExtraEEAwCHUK</t>
  </si>
  <si>
    <t>VehicleKm_per_flight.km.EL.Tr.Avia</t>
  </si>
  <si>
    <t>VehicleKm_per_flight.km.EL.Tr.Avia.Passenger</t>
  </si>
  <si>
    <t>VehicleKm_per_flight.km.EL.Tr.Avia.Passenger.Domestic</t>
  </si>
  <si>
    <t>VehicleKm_per_flight.km.EL.Tr.Avia.Passenger.IntraEEAwCHUK</t>
  </si>
  <si>
    <t>VehicleKm_per_flight.km.EL.Tr.Avia.Passenger.ExtraEEAwCHUK</t>
  </si>
  <si>
    <t>VehicleKm_per_flight.km.EL.Tr.Avia.Freight</t>
  </si>
  <si>
    <t>VehicleKm_per_flight.km.EL.Tr.Avia.Freight.Domestic</t>
  </si>
  <si>
    <t>VehicleKm_per_flight.km.EL.Tr.Avia.Freight.IntraEEAwCHUK</t>
  </si>
  <si>
    <t>VehicleKm_per_flight.km.EL.Tr.Avia.Freight.ExtraEEAwCHUK</t>
  </si>
  <si>
    <t>Activity_per_flight.pkm.EL.Tr.Avia.Passenger</t>
  </si>
  <si>
    <t>Activity_per_flight.pkm.EL.Tr.Avia.Passenger.Domestic</t>
  </si>
  <si>
    <t>Activity_per_flight.pkm.EL.Tr.Avia.Passenger.IntraEEAwCHUK</t>
  </si>
  <si>
    <t>Activity_per_flight.pkm.EL.Tr.Avia.Passenger.ExtraEEAwCHUK</t>
  </si>
  <si>
    <t>Activity_per_flight.tkm.EL.Tr.Avia.Freight</t>
  </si>
  <si>
    <t>Activity_per_flight.tkm.EL.Tr.Avia.Freight.Domestic</t>
  </si>
  <si>
    <t>Activity_per_flight.tkm.EL.Tr.Avia.Freight.IntraEEAwCHUK</t>
  </si>
  <si>
    <t>Activity_per_flight.tkm.EL.Tr.Avia.Freight.ExtraEEAwCHUK</t>
  </si>
  <si>
    <t>Flights_per_vehicle.number.EL.Tr.Avia</t>
  </si>
  <si>
    <t>Flights_per_vehicle.number.EL.Tr.Avia.Passenger</t>
  </si>
  <si>
    <t>Flights_per_vehicle.number.EL.Tr.Avia.Passenger.Domestic</t>
  </si>
  <si>
    <t>Flights_per_vehicle.number.EL.Tr.Avia.Passenger.IntraEEAwCHUK</t>
  </si>
  <si>
    <t>Flights_per_vehicle.number.EL.Tr.Avia.Passenger.ExtraEEAwCHUK</t>
  </si>
  <si>
    <t>Flights_per_vehicle.number.EL.Tr.Avia.Freight</t>
  </si>
  <si>
    <t>Flights_per_vehicle.number.EL.Tr.Avia.Freight.Domestic</t>
  </si>
  <si>
    <t>Flights_per_vehicle.number.EL.Tr.Avia.Freight.IntraEEAwCHUK</t>
  </si>
  <si>
    <t>Flights_per_vehicle.number.EL.Tr.Avia.Freight.ExtraEEAwCHUK</t>
  </si>
  <si>
    <t>Aviation / energy consumption - EL - Greece</t>
  </si>
  <si>
    <t>FEC.ktoe.EL.Tr.Avia</t>
  </si>
  <si>
    <t>FEC.ktoe.EL.Tr.Avia.Domestic</t>
  </si>
  <si>
    <t>FEC.ktoe.EL.Tr.Avia.International</t>
  </si>
  <si>
    <t>FEC.ktoe.EL.Tr.Avia.Passenger</t>
  </si>
  <si>
    <t>FEC.ktoe.EL.Tr.Avia.Passenger.Domestic</t>
  </si>
  <si>
    <t>FEC.ktoe.EL.Tr.Avia.Passenger.IntraEEAwCHUK</t>
  </si>
  <si>
    <t>FEC.ktoe.EL.Tr.Avia.Passenger.ExtraEEAwCHUK</t>
  </si>
  <si>
    <t>FEC.ktoe.EL.Tr.Avia.Freight</t>
  </si>
  <si>
    <t>FEC.ktoe.EL.Tr.Avia.Freight.Domestic</t>
  </si>
  <si>
    <t>FEC.ktoe.EL.Tr.Avia.Freight.IntraEEAwCHUK</t>
  </si>
  <si>
    <t>FEC.ktoe.EL.Tr.Avia.Freight.ExtraEEAwCHUK</t>
  </si>
  <si>
    <t>Eff.kgoe_per_100km.EL.Tr.Avia</t>
  </si>
  <si>
    <t>Eff.kgoe_per_100km.EL.Tr.Avia.Passenger</t>
  </si>
  <si>
    <t>Eff.kgoe_per_100km.EL.Tr.Avia.Passenger.Domestic</t>
  </si>
  <si>
    <t>Eff.kgoe_per_100km.EL.Tr.Avia.Passenger.IntraEEAwCHUK</t>
  </si>
  <si>
    <t>Eff.kgoe_per_100km.EL.Tr.Avia.Passenger.ExtraEEAwCHUK</t>
  </si>
  <si>
    <t>Eff.kgoe_per_100km.EL.Tr.Avia.Freight</t>
  </si>
  <si>
    <t>Eff.kgoe_per_100km.EL.Tr.Avia.Freight.Domestic</t>
  </si>
  <si>
    <t>Eff.kgoe_per_100km.EL.Tr.Avia.Freight.IntraEEAwCHUK</t>
  </si>
  <si>
    <t>Eff.kgoe_per_100km.EL.Tr.Avia.Freight.ExtraEEAwCHUK</t>
  </si>
  <si>
    <t>Eff.kgoe_per_kpkm.EL.Tr.Avia.Passenger</t>
  </si>
  <si>
    <t>Eff.kgoe_per_kpkm.EL.Tr.Avia.Passenger.Domestic</t>
  </si>
  <si>
    <t>Eff.kgoe_per_kpkm.EL.Tr.Avia.Passenger.IntraEEAwCHUK</t>
  </si>
  <si>
    <t>Eff.kgoe_per_kpkm.EL.Tr.Avia.Passenger.ExtraEEAwCHUK</t>
  </si>
  <si>
    <t>Eff.kgoe_per_ktkm.EL.Tr.Avia.Freight</t>
  </si>
  <si>
    <t>Eff.kgoe_per_ktkm.EL.Tr.Avia.Freight.Domestic</t>
  </si>
  <si>
    <t>Eff.kgoe_per_ktkm.EL.Tr.Avia.Freight.IntraEEAwCHUK</t>
  </si>
  <si>
    <t>Eff.kgoe_per_ktkm.EL.Tr.Avia.Freight.ExtraEEAwCHUK</t>
  </si>
  <si>
    <t>FEC_per_flight.kgoe.EL.Tr.Avia</t>
  </si>
  <si>
    <t>FEC_per_flight.kgoe.EL.Tr.Avia.Passenger</t>
  </si>
  <si>
    <t>FEC_per_flight.kgoe.EL.Tr.Avia.Passenger.Domestic</t>
  </si>
  <si>
    <t>FEC_per_flight.kgoe.EL.Tr.Avia.Passenger.IntraEEAwCHUK</t>
  </si>
  <si>
    <t>FEC_per_flight.kgoe.EL.Tr.Avia.Passenger.ExtraEEAwCHUK</t>
  </si>
  <si>
    <t>FEC_per_flight.kgoe.EL.Tr.Avia.Freight</t>
  </si>
  <si>
    <t>FEC_per_flight.kgoe.EL.Tr.Avia.Freight.Domestic</t>
  </si>
  <si>
    <t>FEC_per_flight.kgoe.EL.Tr.Avia.Freight.IntraEEAwCHUK</t>
  </si>
  <si>
    <t>FEC_per_flight.kgoe.EL.Tr.Avia.Freight.ExtraEEAwCHUK</t>
  </si>
  <si>
    <t>Eff_theor.kgoe_per_100km.EL.Tr.Avia</t>
  </si>
  <si>
    <t>Eff_theor.kgoe_per_100km.EL.Tr.Avia.Passenger</t>
  </si>
  <si>
    <t>Eff_theor.kgoe_per_100km.EL.Tr.Avia.Passenger.Domestic</t>
  </si>
  <si>
    <t>Eff_theor.kgoe_per_100km.EL.Tr.Avia.Passenger.IntraEEAwCHUK</t>
  </si>
  <si>
    <t>Eff_theor.kgoe_per_100km.EL.Tr.Avia.Passenger.ExtraEEAwCHUK</t>
  </si>
  <si>
    <t>Eff_theor.kgoe_per_100km.EL.Tr.Avia.Freight</t>
  </si>
  <si>
    <t>Eff_theor.kgoe_per_100km.EL.Tr.Avia.Freight.Domestic</t>
  </si>
  <si>
    <t>Eff_theor.kgoe_per_100km.EL.Tr.Avia.Freight.IntraEEAwCHUK</t>
  </si>
  <si>
    <t>Eff_theor.kgoe_per_100km.EL.Tr.Avia.Freight.ExtraEEAwCHUK</t>
  </si>
  <si>
    <t>Aviation / CO2 emissions - EL - Greece</t>
  </si>
  <si>
    <t>EMI.ktCO2.EL.Tr.Avia</t>
  </si>
  <si>
    <t>EMI.ktCO2.EL.Tr.Avia.Domestic</t>
  </si>
  <si>
    <t>EMI.ktCO2.EL.Tr.Avia.International</t>
  </si>
  <si>
    <t>EMI.ktCO2.EL.Tr.Avia.Passenger</t>
  </si>
  <si>
    <t>EMI.ktCO2.EL.Tr.Avia.Passenger.Domestic</t>
  </si>
  <si>
    <t>EMI.ktCO2.EL.Tr.Avia.Passenger.IntraEEAwCHUK</t>
  </si>
  <si>
    <t>EMI.ktCO2.EL.Tr.Avia.Passenger.ExtraEEAwCHUK</t>
  </si>
  <si>
    <t>EMI.ktCO2.EL.Tr.Avia.Freight</t>
  </si>
  <si>
    <t>EMI.ktCO2.EL.Tr.Avia.Freight.Domestic</t>
  </si>
  <si>
    <t>EMI.ktCO2.EL.Tr.Avia.Freight.IntraEEAwCHUK</t>
  </si>
  <si>
    <t>EMI.ktCO2.EL.Tr.Avia.Freight.ExtraEEAwCHUK</t>
  </si>
  <si>
    <t>EMIint.gCO2_per_km.EL.Tr.Avia</t>
  </si>
  <si>
    <t>EMIint.gCO2_per_km.EL.Tr.Avia.Passenger</t>
  </si>
  <si>
    <t>EMIint.gCO2_per_km.EL.Tr.Avia.Passenger.Domestic</t>
  </si>
  <si>
    <t>EMIint.gCO2_per_km.EL.Tr.Avia.Passenger.IntraEEAwCHUK</t>
  </si>
  <si>
    <t>EMIint.gCO2_per_km.EL.Tr.Avia.Passenger.ExtraEEAwCHUK</t>
  </si>
  <si>
    <t>EMIint.gCO2_per_km.EL.Tr.Avia.Freight</t>
  </si>
  <si>
    <t>EMIint.gCO2_per_km.EL.Tr.Avia.Freight.Domestic</t>
  </si>
  <si>
    <t>EMIint.gCO2_per_km.EL.Tr.Avia.Freight.IntraEEAwCHUK</t>
  </si>
  <si>
    <t>EMIint.gCO2_per_km.EL.Tr.Avia.Freight.ExtraEEAwCHUK</t>
  </si>
  <si>
    <t>EMIint.gCO2_per_pkm.EL.Tr.Avia.Passenger</t>
  </si>
  <si>
    <t>EMIint.gCO2_per_pkm.EL.Tr.Avia.Passenger.Domestic</t>
  </si>
  <si>
    <t>EMIint.gCO2_per_pkm.EL.Tr.Avia.Passenger.IntraEEAwCHUK</t>
  </si>
  <si>
    <t>EMIint.gCO2_per_pkm.EL.Tr.Avia.Passenger.ExtraEEAwCHUK</t>
  </si>
  <si>
    <t>EMIint.gCO2_per_tkm.EL.Tr.Avia.Freight</t>
  </si>
  <si>
    <t>EMIint.gCO2_per_tkm.EL.Tr.Avia.Freight.Domestic</t>
  </si>
  <si>
    <t>EMIint.gCO2_per_tkm.EL.Tr.Avia.Freight.IntraEEAwCHUK</t>
  </si>
  <si>
    <t>EMIint.gCO2_per_tkm.EL.Tr.Avia.Freight.ExtraEEAwCHUK</t>
  </si>
  <si>
    <t>EMI_per_flight.kgCO2.EL.Tr.Avia</t>
  </si>
  <si>
    <t>EMI_per_flight.kgCO2.EL.Tr.Avia.Passenger</t>
  </si>
  <si>
    <t>EMI_per_flight.kgCO2.EL.Tr.Avia.Passenger.Domestic</t>
  </si>
  <si>
    <t>EMI_per_flight.kgCO2.EL.Tr.Avia.Passenger.IntraEEAwCHUK</t>
  </si>
  <si>
    <t>EMI_per_flight.kgCO2.EL.Tr.Avia.Passenger.ExtraEEAwCHUK</t>
  </si>
  <si>
    <t>EMI_per_flight.kgCO2.EL.Tr.Avia.Freight</t>
  </si>
  <si>
    <t>EMI_per_flight.kgCO2.EL.Tr.Avia.Freight.Domestic</t>
  </si>
  <si>
    <t>EMI_per_flight.kgCO2.EL.Tr.Avia.Freight.IntraEEAwCHUK</t>
  </si>
  <si>
    <t>EMI_per_flight.kgCO2.EL.Tr.Avia.Freight.ExtraEEAwCHUK</t>
  </si>
  <si>
    <t>Aviation / passenger transport specific data - EL - Greece</t>
  </si>
  <si>
    <t>TrCap.seats.EL.Tr.Avia.Passenger</t>
  </si>
  <si>
    <t>TrCap.seats.EL.Tr.Avia.Passenger.Domestic</t>
  </si>
  <si>
    <t>TrCap.seats.EL.Tr.Avia.Passenger.IntraEEAwCHUK</t>
  </si>
  <si>
    <t>TrCap.seats.EL.Tr.Avia.Passenger.ExtraEEAwCHUK</t>
  </si>
  <si>
    <t>TrCap_per_flight.seats.EL.Tr.Avia.Passenger</t>
  </si>
  <si>
    <t>TrCap_per_flight.seats.EL.Tr.Avia.Passenger.Domestic</t>
  </si>
  <si>
    <t>TrCap_per_flight.seats.EL.Tr.Avia.Passenger.IntraEEAwCHUK</t>
  </si>
  <si>
    <t>TrCap_per_flight.seats.EL.Tr.Avia.Passenger.ExtraEEAwCHUK</t>
  </si>
  <si>
    <t>Transport overview - EL - Greece</t>
  </si>
  <si>
    <t>Activity.Mpkm.EL.Tr</t>
  </si>
  <si>
    <t>Activity.Mpkm.EL.Tr.Road.Passenger</t>
  </si>
  <si>
    <t>Activity.Mpkm.EL.Tr.Road.Passenger.P2W</t>
  </si>
  <si>
    <t>Activity.Mpkm.EL.Tr.Road.Passenger.Car</t>
  </si>
  <si>
    <t>Activity.Mpkm.EL.Tr.Road.Passenger.Bus</t>
  </si>
  <si>
    <t>Activity.Mpkm.EL.Tr.Rail.Passenger</t>
  </si>
  <si>
    <t>Activity.Mpkm.EL.Tr.Rail.Passenger.MTU</t>
  </si>
  <si>
    <t>Activity.Mpkm.EL.Tr.Rail.Passenger.CPT</t>
  </si>
  <si>
    <t>Activity.Mpkm.EL.Tr.Rail.Passenger.HST</t>
  </si>
  <si>
    <t>Activity.Mtkm.EL.Tr</t>
  </si>
  <si>
    <t>Activity.Mtkm.EL.Tr.Road.Freight</t>
  </si>
  <si>
    <t>Activity.Mtkm.EL.Tr.Road.Freight.LCV</t>
  </si>
  <si>
    <t>Activity.Mtkm.EL.Tr.Road.Freight.HGV_All</t>
  </si>
  <si>
    <t>Activity.Mtkm.EL.Tr.Rail.Freight</t>
  </si>
  <si>
    <t>Activity.Mtkm.EL.Tr.DNavi.Freight</t>
  </si>
  <si>
    <t>Activity.Mtkm.EL.Tr.DNavi.Freight.DCS</t>
  </si>
  <si>
    <t>Activity.Mtkm.EL.Tr.DNavi.Freight.IWW</t>
  </si>
  <si>
    <t>Activity.Mtkm.EL.MBunk.Freight</t>
  </si>
  <si>
    <t>Activity.Mtkm.EL.MBunk.Freight.IntraEEA</t>
  </si>
  <si>
    <t>Activity.Mtkm.EL.MBunk.Freight.ExtraEEA</t>
  </si>
  <si>
    <t>FEC.ktoe.EL.Tr.Road.Passenger</t>
  </si>
  <si>
    <t>FEC.ktoe.EL.Tr.Road.Passenger.P2W</t>
  </si>
  <si>
    <t>FEC.ktoe.EL.Tr.Road.Passenger.Car</t>
  </si>
  <si>
    <t>FEC.ktoe.EL.Tr.Road.Passenger.Bus</t>
  </si>
  <si>
    <t>FEC.ktoe.EL.Tr.Rail.Passenger</t>
  </si>
  <si>
    <t>FEC.ktoe.EL.Tr.Rail.Passenger.MTU</t>
  </si>
  <si>
    <t>FEC.ktoe.EL.Tr.Rail.Passenger.CPT</t>
  </si>
  <si>
    <t>FEC.ktoe.EL.Tr.Rail.Passenger.HST</t>
  </si>
  <si>
    <t>FEC.ktoe.EL.Tr.Road.Freight</t>
  </si>
  <si>
    <t>FEC.ktoe.EL.Tr.Road.Freight.LCV</t>
  </si>
  <si>
    <t>FEC.ktoe.EL.Tr.Road.Freight.HGV_All</t>
  </si>
  <si>
    <t>FEC.ktoe.EL.Tr.Rail.Freight</t>
  </si>
  <si>
    <t>EMI.ktCO2.EL.Tr.Road.Passenger</t>
  </si>
  <si>
    <t>EMI.ktCO2.EL.Tr.Road.Passenger.P2W</t>
  </si>
  <si>
    <t>EMI.ktCO2.EL.Tr.Road.Passenger.Car</t>
  </si>
  <si>
    <t>EMI.ktCO2.EL.Tr.Road.Passenger.Bus</t>
  </si>
  <si>
    <t>EMI.ktCO2.EL.Tr.Rail.Passenger</t>
  </si>
  <si>
    <t>EMI.ktCO2.EL.Tr.Rail.Passenger.MTU</t>
  </si>
  <si>
    <t>EMI.ktCO2.EL.Tr.Rail.Passenger.CPT</t>
  </si>
  <si>
    <t>EMI.ktCO2.EL.Tr.Rail.Passenger.HST</t>
  </si>
  <si>
    <t>EMI.ktCO2.EL.Tr.Road.Freight</t>
  </si>
  <si>
    <t>EMI.ktCO2.EL.Tr.Road.Freight.LCV</t>
  </si>
  <si>
    <t>EMI.ktCO2.EL.Tr.Road.Freight.HGV_All</t>
  </si>
  <si>
    <t>EMI.ktCO2.EL.Tr.Rail.Freight</t>
  </si>
  <si>
    <t>Eff.kgoe_per_kpkm.EL.Tr</t>
  </si>
  <si>
    <t>Eff.kgoe_per_kpkm.EL.Tr.Road.Passenger</t>
  </si>
  <si>
    <t>Eff.kgoe_per_kpkm.EL.Tr.Road.Passenger.P2W</t>
  </si>
  <si>
    <t>Eff.kgoe_per_kpkm.EL.Tr.Road.Passenger.Car</t>
  </si>
  <si>
    <t>Eff.kgoe_per_kpkm.EL.Tr.Road.Passenger.Bus</t>
  </si>
  <si>
    <t>Eff.kgoe_per_kpkm.EL.Tr.Rail.Passenger</t>
  </si>
  <si>
    <t>Eff.kgoe_per_kpkm.EL.Tr.Rail.Passenger.MTU</t>
  </si>
  <si>
    <t>Eff.kgoe_per_kpkm.EL.Tr.Rail.Passenger.CPT</t>
  </si>
  <si>
    <t>Eff.kgoe_per_kpkm.EL.Tr.Rail.Passenger.HST</t>
  </si>
  <si>
    <t>Eff.kgoe_per_ktkm.EL.Tr</t>
  </si>
  <si>
    <t>Eff.kgoe_per_ktkm.EL.Tr.Road.Freight</t>
  </si>
  <si>
    <t>Eff.kgoe_per_ktkm.EL.Tr.Road.Freight.LCV</t>
  </si>
  <si>
    <t>Eff.kgoe_per_ktkm.EL.Tr.Road.Freight.HGV_All</t>
  </si>
  <si>
    <t>Eff.kgoe_per_ktkm.EL.Tr.Rail.Freight</t>
  </si>
  <si>
    <t>Eff.kgoe_per_ktkm.EL.Tr.DNavi.Freight</t>
  </si>
  <si>
    <t>Eff.kgoe_per_ktkm.EL.Tr.DNavi.Freight.DCS</t>
  </si>
  <si>
    <t>Eff.kgoe_per_ktkm.EL.Tr.DNavi.Freight.IWW</t>
  </si>
  <si>
    <t>Eff.kgoe_per_ktkm.EL.MBunk.Freight</t>
  </si>
  <si>
    <t>Eff.kgoe_per_ktkm.EL.MBunk.Freight.IntraEEA</t>
  </si>
  <si>
    <t>Eff.kgoe_per_ktkm.EL.MBunk.Freight.ExtraEEA</t>
  </si>
  <si>
    <t>EMIint.gCO2_per_pkm.EL.Tr</t>
  </si>
  <si>
    <t>EMIint.gCO2_per_pkm.EL.Tr.Road.Passenger</t>
  </si>
  <si>
    <t>EMIint.gCO2_per_pkm.EL.Tr.Road.Passenger.P2W</t>
  </si>
  <si>
    <t>EMIint.gCO2_per_pkm.EL.Tr.Road.Passenger.Car</t>
  </si>
  <si>
    <t>EMIint.gCO2_per_pkm.EL.Tr.Road.Passenger.Bus</t>
  </si>
  <si>
    <t>EMIint.gCO2_per_pkm.EL.Tr.Rail.Passenger</t>
  </si>
  <si>
    <t>EMIint.gCO2_per_pkm.EL.Tr.Rail.Passenger.MTU</t>
  </si>
  <si>
    <t>EMIint.gCO2_per_pkm.EL.Tr.Rail.Passenger.CPT</t>
  </si>
  <si>
    <t>EMIint.gCO2_per_pkm.EL.Tr.Rail.Passenger.HST</t>
  </si>
  <si>
    <t>EMIint.gCO2_per_tkm.EL.Tr</t>
  </si>
  <si>
    <t>EMIint.gCO2_per_tkm.EL.Tr.Road.Freight</t>
  </si>
  <si>
    <t>EMIint.gCO2_per_tkm.EL.Tr.Road.Freight.LCV</t>
  </si>
  <si>
    <t>EMIint.gCO2_per_tkm.EL.Tr.Road.Freight.HGV_All</t>
  </si>
  <si>
    <t>EMIint.gCO2_per_tkm.EL.Tr.Rail.Freight</t>
  </si>
  <si>
    <t>EMIint.gCO2_per_tkm.EL.Tr.DNavi.Freight</t>
  </si>
  <si>
    <t>EMIint.gCO2_per_tkm.EL.Tr.DNavi.Freight.DCS</t>
  </si>
  <si>
    <t>EMIint.gCO2_per_tkm.EL.Tr.DNavi.Freight.IWW</t>
  </si>
  <si>
    <t>EMIint.gCO2_per_tkm.EL.MBunk.Freight</t>
  </si>
  <si>
    <t>EMIint.gCO2_per_tkm.EL.MBunk.Freight.IntraEEA</t>
  </si>
  <si>
    <t>EMIint.gCO2_per_tkm.EL.MBunk.Freight.ExtraEEA</t>
  </si>
  <si>
    <t>Road transport - EL - Greece</t>
  </si>
  <si>
    <t>Activity.Mpkm.EL.Tr.Road.Passenger.Car.ICE.Gasoline</t>
  </si>
  <si>
    <t>Activity.Mpkm.EL.Tr.Road.Passenger.Car.ICE.Diesel</t>
  </si>
  <si>
    <t>Activity.Mpkm.EL.Tr.Road.Passenger.Car.ICE.LPG</t>
  </si>
  <si>
    <t>Activity.Mpkm.EL.Tr.Road.Passenger.Car.ICE.NGas</t>
  </si>
  <si>
    <t>Activity.Mpkm.EL.Tr.Road.Passenger.Car.PHEV.Gasoline</t>
  </si>
  <si>
    <t>Activity.Mpkm.EL.Tr.Road.Passenger.Car.BEV</t>
  </si>
  <si>
    <t>Activity.Mpkm.EL.Tr.Road.Passenger.Bus.ICE.Gasoline</t>
  </si>
  <si>
    <t>Activity.Mpkm.EL.Tr.Road.Passenger.Bus.ICE.Diesel</t>
  </si>
  <si>
    <t>Activity.Mpkm.EL.Tr.Road.Passenger.Bus.ICE.LPG</t>
  </si>
  <si>
    <t>Activity.Mpkm.EL.Tr.Road.Passenger.Bus.ICE.NGas</t>
  </si>
  <si>
    <t>Activity.Mpkm.EL.Tr.Road.Passenger.Bus.BEV</t>
  </si>
  <si>
    <t>Activity.Mtkm.EL.Tr.Road.Freight.LCV.ICE.Gasoline</t>
  </si>
  <si>
    <t>Activity.Mtkm.EL.Tr.Road.Freight.LCV.ICE.Diesel</t>
  </si>
  <si>
    <t>Activity.Mtkm.EL.Tr.Road.Freight.LCV.ICE.LPG</t>
  </si>
  <si>
    <t>Activity.Mtkm.EL.Tr.Road.Freight.LCV.ICE.NGas</t>
  </si>
  <si>
    <t>Activity.Mtkm.EL.Tr.Road.Freight.LCV.BEV</t>
  </si>
  <si>
    <t>Activity.Mtkm.EL.Tr.Road.Freight.HGV_Domestic</t>
  </si>
  <si>
    <t>Activity.Mtkm.EL.Tr.Road.Freight.HGV_International</t>
  </si>
  <si>
    <t>VehicleKm.Mkm.EL.Tr.Road</t>
  </si>
  <si>
    <t>VehicleKm.Mkm.EL.Tr.Road.Passenger</t>
  </si>
  <si>
    <t>VehicleKm.Mkm.EL.Tr.Road.Passenger.P2W</t>
  </si>
  <si>
    <t>VehicleKm.Mkm.EL.Tr.Road.Passenger.Car</t>
  </si>
  <si>
    <t>VehicleKm.Mkm.EL.Tr.Road.Passenger.Car.ICE.Gasoline</t>
  </si>
  <si>
    <t>VehicleKm.Mkm.EL.Tr.Road.Passenger.Car.ICE.Diesel</t>
  </si>
  <si>
    <t>VehicleKm.Mkm.EL.Tr.Road.Passenger.Car.ICE.LPG</t>
  </si>
  <si>
    <t>VehicleKm.Mkm.EL.Tr.Road.Passenger.Car.ICE.NGas</t>
  </si>
  <si>
    <t>VehicleKm.Mkm.EL.Tr.Road.Passenger.Car.PHEV.Gasoline</t>
  </si>
  <si>
    <t>VehicleKm.Mkm.EL.Tr.Road.Passenger.Car.BEV</t>
  </si>
  <si>
    <t>VehicleKm.Mkm.EL.Tr.Road.Passenger.Bus</t>
  </si>
  <si>
    <t>VehicleKm.Mkm.EL.Tr.Road.Passenger.Bus.ICE.Gasoline</t>
  </si>
  <si>
    <t>VehicleKm.Mkm.EL.Tr.Road.Passenger.Bus.ICE.Diesel</t>
  </si>
  <si>
    <t>VehicleKm.Mkm.EL.Tr.Road.Passenger.Bus.ICE.LPG</t>
  </si>
  <si>
    <t>VehicleKm.Mkm.EL.Tr.Road.Passenger.Bus.ICE.NGas</t>
  </si>
  <si>
    <t>VehicleKm.Mkm.EL.Tr.Road.Passenger.Bus.BEV</t>
  </si>
  <si>
    <t>VehicleKm.Mkm.EL.Tr.Road.Freight</t>
  </si>
  <si>
    <t>VehicleKm.Mkm.EL.Tr.Road.Freight.LCV</t>
  </si>
  <si>
    <t>VehicleKm.Mkm.EL.Tr.Road.Freight.LCV.ICE.Gasoline</t>
  </si>
  <si>
    <t>VehicleKm.Mkm.EL.Tr.Road.Freight.LCV.ICE.Diesel</t>
  </si>
  <si>
    <t>VehicleKm.Mkm.EL.Tr.Road.Freight.LCV.ICE.LPG</t>
  </si>
  <si>
    <t>VehicleKm.Mkm.EL.Tr.Road.Freight.LCV.ICE.NGas</t>
  </si>
  <si>
    <t>VehicleKm.Mkm.EL.Tr.Road.Freight.LCV.BEV</t>
  </si>
  <si>
    <t>VehicleKm.Mkm.EL.Tr.Road.Freight.HGV_All</t>
  </si>
  <si>
    <t>VehicleKm.Mkm.EL.Tr.Road.Freight.HGV_Domestic</t>
  </si>
  <si>
    <t>VehicleKm.Mkm.EL.Tr.Road.Freight.HGV_International</t>
  </si>
  <si>
    <t>Stock.number.EL.Tr.Road</t>
  </si>
  <si>
    <t>Stock.number.EL.Tr.Road.Passenger</t>
  </si>
  <si>
    <t>Stock.number.EL.Tr.Road.Passenger.P2W</t>
  </si>
  <si>
    <t>Stock.number.EL.Tr.Road.Passenger.Car</t>
  </si>
  <si>
    <t>Stock.number.EL.Tr.Road.Passenger.Car.ICE.Gasoline</t>
  </si>
  <si>
    <t>Stock.number.EL.Tr.Road.Passenger.Car.ICE.Diesel</t>
  </si>
  <si>
    <t>Stock.number.EL.Tr.Road.Passenger.Car.ICE.LPG</t>
  </si>
  <si>
    <t>Stock.number.EL.Tr.Road.Passenger.Car.ICE.NGas</t>
  </si>
  <si>
    <t>Stock.number.EL.Tr.Road.Passenger.Car.PHEV.Gasoline</t>
  </si>
  <si>
    <t>Stock.number.EL.Tr.Road.Passenger.Car.BEV</t>
  </si>
  <si>
    <t>Stock.number.EL.Tr.Road.Passenger.Bus</t>
  </si>
  <si>
    <t>Stock.number.EL.Tr.Road.Passenger.Bus.ICE.Gasoline</t>
  </si>
  <si>
    <t>Stock.number.EL.Tr.Road.Passenger.Bus.ICE.Diesel</t>
  </si>
  <si>
    <t>Stock.number.EL.Tr.Road.Passenger.Bus.ICE.LPG</t>
  </si>
  <si>
    <t>Stock.number.EL.Tr.Road.Passenger.Bus.ICE.NGas</t>
  </si>
  <si>
    <t>Stock.number.EL.Tr.Road.Passenger.Bus.BEV</t>
  </si>
  <si>
    <t>Stock.number.EL.Tr.Road.Freight</t>
  </si>
  <si>
    <t>Stock.number.EL.Tr.Road.Freight.LCV</t>
  </si>
  <si>
    <t>Stock.number.EL.Tr.Road.Freight.LCV.ICE.Gasoline</t>
  </si>
  <si>
    <t>Stock.number.EL.Tr.Road.Freight.LCV.ICE.Diesel</t>
  </si>
  <si>
    <t>Stock.number.EL.Tr.Road.Freight.LCV.ICE.LPG</t>
  </si>
  <si>
    <t>Stock.number.EL.Tr.Road.Freight.LCV.ICE.NGas</t>
  </si>
  <si>
    <t>Stock.number.EL.Tr.Road.Freight.LCV.BEV</t>
  </si>
  <si>
    <t>Stock.number.EL.Tr.Road.Freight.HGV_All</t>
  </si>
  <si>
    <t>Stock.number.EL.Tr.Road.Freight.HGV_Domestic</t>
  </si>
  <si>
    <t>Stock.number.EL.Tr.Road.Freight.HGV_International</t>
  </si>
  <si>
    <t>StockNew.number.EL.Tr.Road</t>
  </si>
  <si>
    <t>StockNew.number.EL.Tr.Road.Passenger</t>
  </si>
  <si>
    <t>StockNew.number.EL.Tr.Road.Passenger.P2W</t>
  </si>
  <si>
    <t>StockNew.number.EL.Tr.Road.Passenger.Car</t>
  </si>
  <si>
    <t>StockNew.number.EL.Tr.Road.Passenger.Car.ICE.Gasoline</t>
  </si>
  <si>
    <t>StockNew.number.EL.Tr.Road.Passenger.Car.ICE.Diesel</t>
  </si>
  <si>
    <t>StockNew.number.EL.Tr.Road.Passenger.Car.ICE.LPG</t>
  </si>
  <si>
    <t>StockNew.number.EL.Tr.Road.Passenger.Car.ICE.NGas</t>
  </si>
  <si>
    <t>StockNew.number.EL.Tr.Road.Passenger.Car.PHEV.Gasoline</t>
  </si>
  <si>
    <t>StockNew.number.EL.Tr.Road.Passenger.Car.BEV</t>
  </si>
  <si>
    <t>StockNew.number.EL.Tr.Road.Passenger.Bus</t>
  </si>
  <si>
    <t>StockNew.number.EL.Tr.Road.Passenger.Bus.ICE.Gasoline</t>
  </si>
  <si>
    <t>StockNew.number.EL.Tr.Road.Passenger.Bus.ICE.Diesel</t>
  </si>
  <si>
    <t>StockNew.number.EL.Tr.Road.Passenger.Bus.ICE.LPG</t>
  </si>
  <si>
    <t>StockNew.number.EL.Tr.Road.Passenger.Bus.ICE.NGas</t>
  </si>
  <si>
    <t>StockNew.number.EL.Tr.Road.Passenger.Bus.BEV</t>
  </si>
  <si>
    <t>StockNew.number.EL.Tr.Road.Freight</t>
  </si>
  <si>
    <t>StockNew.number.EL.Tr.Road.Freight.LCV</t>
  </si>
  <si>
    <t>StockNew.number.EL.Tr.Road.Freight.LCV.ICE.Gasoline</t>
  </si>
  <si>
    <t>StockNew.number.EL.Tr.Road.Freight.LCV.ICE.Diesel</t>
  </si>
  <si>
    <t>StockNew.number.EL.Tr.Road.Freight.LCV.ICE.LPG</t>
  </si>
  <si>
    <t>StockNew.number.EL.Tr.Road.Freight.LCV.ICE.NGas</t>
  </si>
  <si>
    <t>StockNew.number.EL.Tr.Road.Freight.LCV.BEV</t>
  </si>
  <si>
    <t>StockNew.number.EL.Tr.Road.Freight.HGV_All</t>
  </si>
  <si>
    <t>StockNew.number.EL.Tr.Road.Freight.HGV_Domestic</t>
  </si>
  <si>
    <t>StockNew.number.EL.Tr.Road.Freight.HGV_International</t>
  </si>
  <si>
    <t>Load.passenger_per_movement.EL.Tr.Road.Passenger</t>
  </si>
  <si>
    <t>Load.passenger_per_movement.EL.Tr.Road.Passenger.P2W</t>
  </si>
  <si>
    <t>Load.passenger_per_movement.EL.Tr.Road.Passenger.Car</t>
  </si>
  <si>
    <t>Load.passenger_per_movement.EL.Tr.Road.Passenger.Car.ICE.Gasoline</t>
  </si>
  <si>
    <t>Load.passenger_per_movement.EL.Tr.Road.Passenger.Car.ICE.Diesel</t>
  </si>
  <si>
    <t>Load.passenger_per_movement.EL.Tr.Road.Passenger.Car.ICE.LPG</t>
  </si>
  <si>
    <t>Load.passenger_per_movement.EL.Tr.Road.Passenger.Car.ICE.NGas</t>
  </si>
  <si>
    <t>Load.passenger_per_movement.EL.Tr.Road.Passenger.Car.PHEV.Gasoline</t>
  </si>
  <si>
    <t>Load.passenger_per_movement.EL.Tr.Road.Passenger.Car.BEV</t>
  </si>
  <si>
    <t>Load.passenger_per_movement.EL.Tr.Road.Passenger.Bus</t>
  </si>
  <si>
    <t>Load.passenger_per_movement.EL.Tr.Road.Passenger.Bus.ICE.Gasoline</t>
  </si>
  <si>
    <t>Load.passenger_per_movement.EL.Tr.Road.Passenger.Bus.ICE.Diesel</t>
  </si>
  <si>
    <t>Load.passenger_per_movement.EL.Tr.Road.Passenger.Bus.ICE.LPG</t>
  </si>
  <si>
    <t>Load.passenger_per_movement.EL.Tr.Road.Passenger.Bus.ICE.NGas</t>
  </si>
  <si>
    <t>Load.passenger_per_movement.EL.Tr.Road.Passenger.Bus.BEV</t>
  </si>
  <si>
    <t>Load.t_per_movement.EL.Tr.Road.Freight</t>
  </si>
  <si>
    <t>Load.t_per_movement.EL.Tr.Road.Freight.LCV</t>
  </si>
  <si>
    <t>Load.t_per_movement.EL.Tr.Road.Freight.LCV.ICE.Gasoline</t>
  </si>
  <si>
    <t>Load.t_per_movement.EL.Tr.Road.Freight.LCV.ICE.Diesel</t>
  </si>
  <si>
    <t>Load.t_per_movement.EL.Tr.Road.Freight.LCV.ICE.LPG</t>
  </si>
  <si>
    <t>Load.t_per_movement.EL.Tr.Road.Freight.LCV.ICE.NGas</t>
  </si>
  <si>
    <t>Load.t_per_movement.EL.Tr.Road.Freight.LCV.BEV</t>
  </si>
  <si>
    <t>Load.t_per_movement.EL.Tr.Road.Freight.HGV_All</t>
  </si>
  <si>
    <t>Load.t_per_movement.EL.Tr.Road.Freight.HGV_Domestic</t>
  </si>
  <si>
    <t>Load.t_per_movement.EL.Tr.Road.Freight.HGV_International</t>
  </si>
  <si>
    <t>VehicleKm_per_vehicle.km.EL.Tr.Road</t>
  </si>
  <si>
    <t>VehicleKm_per_vehicle.km.EL.Tr.Road.Passenger</t>
  </si>
  <si>
    <t>VehicleKm_per_vehicle.km.EL.Tr.Road.Passenger.P2W</t>
  </si>
  <si>
    <t>VehicleKm_per_vehicle.km.EL.Tr.Road.Passenger.Car</t>
  </si>
  <si>
    <t>VehicleKm_per_vehicle.km.EL.Tr.Road.Passenger.Car.ICE.Gasoline</t>
  </si>
  <si>
    <t>VehicleKm_per_vehicle.km.EL.Tr.Road.Passenger.Car.ICE.Diesel</t>
  </si>
  <si>
    <t>VehicleKm_per_vehicle.km.EL.Tr.Road.Passenger.Car.ICE.LPG</t>
  </si>
  <si>
    <t>VehicleKm_per_vehicle.km.EL.Tr.Road.Passenger.Car.ICE.NGas</t>
  </si>
  <si>
    <t>VehicleKm_per_vehicle.km.EL.Tr.Road.Passenger.Car.PHEV.Gasoline</t>
  </si>
  <si>
    <t>VehicleKm_per_vehicle.km.EL.Tr.Road.Passenger.Car.BEV</t>
  </si>
  <si>
    <t>VehicleKm_per_vehicle.km.EL.Tr.Road.Passenger.Bus</t>
  </si>
  <si>
    <t>VehicleKm_per_vehicle.km.EL.Tr.Road.Passenger.Bus.ICE.Gasoline</t>
  </si>
  <si>
    <t>VehicleKm_per_vehicle.km.EL.Tr.Road.Passenger.Bus.ICE.Diesel</t>
  </si>
  <si>
    <t>VehicleKm_per_vehicle.km.EL.Tr.Road.Passenger.Bus.ICE.LPG</t>
  </si>
  <si>
    <t>VehicleKm_per_vehicle.km.EL.Tr.Road.Passenger.Bus.ICE.NGas</t>
  </si>
  <si>
    <t>VehicleKm_per_vehicle.km.EL.Tr.Road.Passenger.Bus.BEV</t>
  </si>
  <si>
    <t>VehicleKm_per_vehicle.km.EL.Tr.Road.Freight</t>
  </si>
  <si>
    <t>VehicleKm_per_vehicle.km.EL.Tr.Road.Freight.LCV</t>
  </si>
  <si>
    <t>VehicleKm_per_vehicle.km.EL.Tr.Road.Freight.LCV.ICE.Gasoline</t>
  </si>
  <si>
    <t>VehicleKm_per_vehicle.km.EL.Tr.Road.Freight.LCV.ICE.Diesel</t>
  </si>
  <si>
    <t>VehicleKm_per_vehicle.km.EL.Tr.Road.Freight.LCV.ICE.LPG</t>
  </si>
  <si>
    <t>VehicleKm_per_vehicle.km.EL.Tr.Road.Freight.LCV.ICE.NGas</t>
  </si>
  <si>
    <t>VehicleKm_per_vehicle.km.EL.Tr.Road.Freight.LCV.BEV</t>
  </si>
  <si>
    <t>VehicleKm_per_vehicle.km.EL.Tr.Road.Freight.HGV_All</t>
  </si>
  <si>
    <t>VehicleKm_per_vehicle.km.EL.Tr.Road.Freight.HGV_Domestic</t>
  </si>
  <si>
    <t>VehicleKm_per_vehicle.km.EL.Tr.Road.Freight.HGV_International</t>
  </si>
  <si>
    <t>Activity_per_vehicle.pkm.EL.Tr.Road.Passenger</t>
  </si>
  <si>
    <t>Activity_per_vehicle.pkm.EL.Tr.Road.Passenger.P2W</t>
  </si>
  <si>
    <t>Activity_per_vehicle.pkm.EL.Tr.Road.Passenger.Car</t>
  </si>
  <si>
    <t>Activity_per_vehicle.pkm.EL.Tr.Road.Passenger.Car.ICE.Gasoline</t>
  </si>
  <si>
    <t>Activity_per_vehicle.pkm.EL.Tr.Road.Passenger.Car.ICE.Diesel</t>
  </si>
  <si>
    <t>Activity_per_vehicle.pkm.EL.Tr.Road.Passenger.Car.ICE.LPG</t>
  </si>
  <si>
    <t>Activity_per_vehicle.pkm.EL.Tr.Road.Passenger.Car.ICE.NGas</t>
  </si>
  <si>
    <t>Activity_per_vehicle.pkm.EL.Tr.Road.Passenger.Car.PHEV.Gasoline</t>
  </si>
  <si>
    <t>Activity_per_vehicle.pkm.EL.Tr.Road.Passenger.Car.BEV</t>
  </si>
  <si>
    <t>Activity_per_vehicle.pkm.EL.Tr.Road.Passenger.Bus</t>
  </si>
  <si>
    <t>Activity_per_vehicle.pkm.EL.Tr.Road.Passenger.Bus.ICE.Gasoline</t>
  </si>
  <si>
    <t>Activity_per_vehicle.pkm.EL.Tr.Road.Passenger.Bus.ICE.Diesel</t>
  </si>
  <si>
    <t>Activity_per_vehicle.pkm.EL.Tr.Road.Passenger.Bus.ICE.LPG</t>
  </si>
  <si>
    <t>Activity_per_vehicle.pkm.EL.Tr.Road.Passenger.Bus.ICE.NGas</t>
  </si>
  <si>
    <t>Activity_per_vehicle.pkm.EL.Tr.Road.Passenger.Bus.BEV</t>
  </si>
  <si>
    <t>Activity_per_vehicle.tkm.EL.Tr.Road.Freight</t>
  </si>
  <si>
    <t>Activity_per_vehicle.tkm.EL.Tr.Road.Freight.LCV</t>
  </si>
  <si>
    <t>Activity_per_vehicle.tkm.EL.Tr.Road.Freight.LCV.ICE.Gasoline</t>
  </si>
  <si>
    <t>Activity_per_vehicle.tkm.EL.Tr.Road.Freight.LCV.ICE.Diesel</t>
  </si>
  <si>
    <t>Activity_per_vehicle.tkm.EL.Tr.Road.Freight.LCV.ICE.LPG</t>
  </si>
  <si>
    <t>Activity_per_vehicle.tkm.EL.Tr.Road.Freight.LCV.ICE.NGas</t>
  </si>
  <si>
    <t>Activity_per_vehicle.tkm.EL.Tr.Road.Freight.LCV.BEV</t>
  </si>
  <si>
    <t>Activity_per_vehicle.tkm.EL.Tr.Road.Freight.HGV_All</t>
  </si>
  <si>
    <t>Activity_per_vehicle.tkm.EL.Tr.Road.Freight.HGV_Domestic</t>
  </si>
  <si>
    <t>Activity_per_vehicle.tkm.EL.Tr.Road.Freight.HGV_International</t>
  </si>
  <si>
    <t>Road transport / energy consumption - EL - Greece</t>
  </si>
  <si>
    <t>FEC.ktoe.EL.ES.Tr.Road</t>
  </si>
  <si>
    <t>FEC.ktoe.EL.ES.Tr.Road.LPG</t>
  </si>
  <si>
    <t>FEC.ktoe.EL.ES.Tr.Road.Gasoline</t>
  </si>
  <si>
    <t>FEC.ktoe.EL.ES.Tr.Road.Diesel</t>
  </si>
  <si>
    <t>FEC.ktoe.EL.ES.Tr.Road.NG</t>
  </si>
  <si>
    <t>FEC.ktoe.EL.ES.Tr.Road.Biogas</t>
  </si>
  <si>
    <t>FEC.ktoe.EL.ES.Tr.Road.Biogasoline</t>
  </si>
  <si>
    <t>FEC.ktoe.EL.ES.Tr.Road.Biodiesel</t>
  </si>
  <si>
    <t>FEC.ktoe.EL.ES.Tr.Road.OthLiqBio</t>
  </si>
  <si>
    <t>FEC.ktoe.EL.ES.Tr.Road.Elec</t>
  </si>
  <si>
    <t>FEC.ktoe.EL.Tr.Road</t>
  </si>
  <si>
    <t>FEC.ktoe.EL.Tr.Road.Passenger.P2W.Total.Total.Biogasoline</t>
  </si>
  <si>
    <t>FEC.ktoe.EL.Tr.Road.Passenger.Car.ICE.Gasoline</t>
  </si>
  <si>
    <t>FEC.ktoe.EL.Tr.Road.Passenger.Car.ICE.Gasoline.Biogasoline</t>
  </si>
  <si>
    <t>FEC.ktoe.EL.Tr.Road.Passenger.Car.ICE.Diesel</t>
  </si>
  <si>
    <t>FEC.ktoe.EL.Tr.Road.Passenger.Car.ICE.Diesel.BioDiesel_OthLiqBio</t>
  </si>
  <si>
    <t>FEC.ktoe.EL.Tr.Road.Passenger.Car.ICE.LPG</t>
  </si>
  <si>
    <t>FEC.ktoe.EL.Tr.Road.Passenger.Car.ICE.NGas</t>
  </si>
  <si>
    <t>FEC.ktoe.EL.Tr.Road.Passenger.Car.ICE.NGas.Biogas</t>
  </si>
  <si>
    <t>FEC.ktoe.EL.Tr.Road.Passenger.Car.PHEV.Gasoline</t>
  </si>
  <si>
    <t>FEC.ktoe.EL.Tr.Road.Passenger.Car.PHEV.Gasoline.Biogasoline</t>
  </si>
  <si>
    <t>FEC.ktoe.EL.Tr.Road.Passenger.Car.PHEV.Gasoline.Elec</t>
  </si>
  <si>
    <t>FEC.ktoe.EL.Tr.Road.Passenger.Car.BEV</t>
  </si>
  <si>
    <t>FEC.ktoe.EL.Tr.Road.Passenger.Bus.ICE.Gasoline</t>
  </si>
  <si>
    <t>FEC.ktoe.EL.Tr.Road.Passenger.Bus.ICE.Gasoline.Biogasoline</t>
  </si>
  <si>
    <t>FEC.ktoe.EL.Tr.Road.Passenger.Bus.ICE.Diesel</t>
  </si>
  <si>
    <t>FEC.ktoe.EL.Tr.Road.Passenger.Bus.ICE.Diesel.BioDiesel_OthLiqBio</t>
  </si>
  <si>
    <t>FEC.ktoe.EL.Tr.Road.Passenger.Bus.ICE.LPG</t>
  </si>
  <si>
    <t>FEC.ktoe.EL.Tr.Road.Passenger.Bus.ICE.NGas</t>
  </si>
  <si>
    <t>FEC.ktoe.EL.Tr.Road.Passenger.Bus.ICE.NGas.Biogas</t>
  </si>
  <si>
    <t>FEC.ktoe.EL.Tr.Road.Passenger.Bus.BEV</t>
  </si>
  <si>
    <t>FEC.ktoe.EL.Tr.Road.Freight.LCV.ICE.Gasoline</t>
  </si>
  <si>
    <t>FEC.ktoe.EL.Tr.Road.Freight.LCV.ICE.Gasoline.Biogasoline</t>
  </si>
  <si>
    <t>FEC.ktoe.EL.Tr.Road.Freight.LCV.ICE.Diesel</t>
  </si>
  <si>
    <t>FEC.ktoe.EL.Tr.Road.Freight.LCV.ICE.Diesel.BioDiesel_OthLiqBio</t>
  </si>
  <si>
    <t>FEC.ktoe.EL.Tr.Road.Freight.LCV.ICE.LPG</t>
  </si>
  <si>
    <t>FEC.ktoe.EL.Tr.Road.Freight.LCV.ICE.NGas</t>
  </si>
  <si>
    <t>FEC.ktoe.EL.Tr.Road.Freight.LCV.ICE.NGas.Biogas</t>
  </si>
  <si>
    <t>FEC.ktoe.EL.Tr.Road.Freight.LCV.BEV</t>
  </si>
  <si>
    <t>FEC.ktoe.EL.Tr.Road.Freight.HGV_Domestic</t>
  </si>
  <si>
    <t>FEC.ktoe.EL.Tr.Road.Freight.HGV_Domestic.Total.Total.BioDiesel_OthLiqBio</t>
  </si>
  <si>
    <t>FEC.ktoe.EL.Tr.Road.Freight.HGV_International</t>
  </si>
  <si>
    <t>FEC.ktoe.EL.Tr.Road.Freight.HGV_International.Total.Total.BioDiesel_OthLiqBio</t>
  </si>
  <si>
    <t>Eff.kgoe_per_100km.EL.Tr.Road</t>
  </si>
  <si>
    <t>Eff.kgoe_per_100km.EL.Tr.Road.Passenger</t>
  </si>
  <si>
    <t>Eff.kgoe_per_100km.EL.Tr.Road.Passenger.P2W</t>
  </si>
  <si>
    <t>Eff.kgoe_per_100km.EL.Tr.Road.Passenger.Car</t>
  </si>
  <si>
    <t>Eff.kgoe_per_100km.EL.Tr.Road.Passenger.Car.ICE.Gasoline</t>
  </si>
  <si>
    <t>Eff.kgoe_per_100km.EL.Tr.Road.Passenger.Car.ICE.Diesel</t>
  </si>
  <si>
    <t>Eff.kgoe_per_100km.EL.Tr.Road.Passenger.Car.ICE.LPG</t>
  </si>
  <si>
    <t>Eff.kgoe_per_100km.EL.Tr.Road.Passenger.Car.ICE.NGas</t>
  </si>
  <si>
    <t>Eff.kgoe_per_100km.EL.Tr.Road.Passenger.Car.PHEV.Gasoline</t>
  </si>
  <si>
    <t>Eff.kgoe_per_100km.EL.Tr.Road.Passenger.Car.BEV</t>
  </si>
  <si>
    <t>Eff.kgoe_per_100km.EL.Tr.Road.Passenger.Bus</t>
  </si>
  <si>
    <t>Eff.kgoe_per_100km.EL.Tr.Road.Passenger.Bus.ICE.Gasoline</t>
  </si>
  <si>
    <t>Eff.kgoe_per_100km.EL.Tr.Road.Passenger.Bus.ICE.Diesel</t>
  </si>
  <si>
    <t>Eff.kgoe_per_100km.EL.Tr.Road.Passenger.Bus.ICE.LPG</t>
  </si>
  <si>
    <t>Eff.kgoe_per_100km.EL.Tr.Road.Passenger.Bus.ICE.NGas</t>
  </si>
  <si>
    <t>Eff.kgoe_per_100km.EL.Tr.Road.Passenger.Bus.BEV</t>
  </si>
  <si>
    <t>Eff.kgoe_per_100km.EL.Tr.Road.Freight</t>
  </si>
  <si>
    <t>Eff.kgoe_per_100km.EL.Tr.Road.Freight.LCV</t>
  </si>
  <si>
    <t>Eff.kgoe_per_100km.EL.Tr.Road.Freight.LCV.ICE.Gasoline</t>
  </si>
  <si>
    <t>Eff.kgoe_per_100km.EL.Tr.Road.Freight.LCV.ICE.Diesel</t>
  </si>
  <si>
    <t>Eff.kgoe_per_100km.EL.Tr.Road.Freight.LCV.ICE.LPG</t>
  </si>
  <si>
    <t>Eff.kgoe_per_100km.EL.Tr.Road.Freight.LCV.ICE.NGas</t>
  </si>
  <si>
    <t>Eff.kgoe_per_100km.EL.Tr.Road.Freight.LCV.BEV</t>
  </si>
  <si>
    <t>Eff.kgoe_per_100km.EL.Tr.Road.Freight.HGV_All</t>
  </si>
  <si>
    <t>Eff.kgoe_per_100km.EL.Tr.Road.Freight.HGV_Domestic</t>
  </si>
  <si>
    <t>Eff.kgoe_per_100km.EL.Tr.Road.Freight.HGV_International</t>
  </si>
  <si>
    <t>Eff.kgoe_per_kpkm.EL.Tr.Road.Passenger.Car.ICE.Gasoline</t>
  </si>
  <si>
    <t>Eff.kgoe_per_kpkm.EL.Tr.Road.Passenger.Car.ICE.Diesel</t>
  </si>
  <si>
    <t>Eff.kgoe_per_kpkm.EL.Tr.Road.Passenger.Car.ICE.LPG</t>
  </si>
  <si>
    <t>Eff.kgoe_per_kpkm.EL.Tr.Road.Passenger.Car.ICE.NGas</t>
  </si>
  <si>
    <t>Eff.kgoe_per_kpkm.EL.Tr.Road.Passenger.Car.PHEV.Gasoline</t>
  </si>
  <si>
    <t>Eff.kgoe_per_kpkm.EL.Tr.Road.Passenger.Car.BEV</t>
  </si>
  <si>
    <t>Eff.kgoe_per_kpkm.EL.Tr.Road.Passenger.Bus.ICE.Gasoline</t>
  </si>
  <si>
    <t>Eff.kgoe_per_kpkm.EL.Tr.Road.Passenger.Bus.ICE.Diesel</t>
  </si>
  <si>
    <t>Eff.kgoe_per_kpkm.EL.Tr.Road.Passenger.Bus.ICE.LPG</t>
  </si>
  <si>
    <t>Eff.kgoe_per_kpkm.EL.Tr.Road.Passenger.Bus.ICE.NGas</t>
  </si>
  <si>
    <t>Eff.kgoe_per_kpkm.EL.Tr.Road.Passenger.Bus.BEV</t>
  </si>
  <si>
    <t>Eff.kgoe_per_ktkm.EL.Tr.Road.Freight.LCV.ICE.Gasoline</t>
  </si>
  <si>
    <t>Eff.kgoe_per_ktkm.EL.Tr.Road.Freight.LCV.ICE.Diesel</t>
  </si>
  <si>
    <t>Eff.kgoe_per_ktkm.EL.Tr.Road.Freight.LCV.ICE.LPG</t>
  </si>
  <si>
    <t>Eff.kgoe_per_ktkm.EL.Tr.Road.Freight.LCV.ICE.NGas</t>
  </si>
  <si>
    <t>Eff.kgoe_per_ktkm.EL.Tr.Road.Freight.LCV.BEV</t>
  </si>
  <si>
    <t>Eff.kgoe_per_ktkm.EL.Tr.Road.Freight.HGV_Domestic</t>
  </si>
  <si>
    <t>Eff.kgoe_per_ktkm.EL.Tr.Road.Freight.HGV_International</t>
  </si>
  <si>
    <t>FEC_per_vehicle.kgoe.EL.Tr.Road.Passenger.P2W</t>
  </si>
  <si>
    <t>FEC_per_vehicle.kgoe.EL.Tr.Road.Passenger.Car</t>
  </si>
  <si>
    <t>FEC_per_vehicle.kgoe.EL.Tr.Road.Passenger.Car.ICE.Gasoline</t>
  </si>
  <si>
    <t>FEC_per_vehicle.kgoe.EL.Tr.Road.Passenger.Car.ICE.Diesel</t>
  </si>
  <si>
    <t>FEC_per_vehicle.kgoe.EL.Tr.Road.Passenger.Car.ICE.LPG</t>
  </si>
  <si>
    <t>FEC_per_vehicle.kgoe.EL.Tr.Road.Passenger.Car.ICE.NGas</t>
  </si>
  <si>
    <t>FEC_per_vehicle.kgoe.EL.Tr.Road.Passenger.Car.PHEV.Gasoline</t>
  </si>
  <si>
    <t>FEC_per_vehicle.kgoe.EL.Tr.Road.Passenger.Car.BEV</t>
  </si>
  <si>
    <t>FEC_per_vehicle.kgoe.EL.Tr.Road.Passenger.Bus</t>
  </si>
  <si>
    <t>FEC_per_vehicle.kgoe.EL.Tr.Road.Passenger.Bus.ICE.Gasoline</t>
  </si>
  <si>
    <t>FEC_per_vehicle.kgoe.EL.Tr.Road.Passenger.Bus.ICE.Diesel</t>
  </si>
  <si>
    <t>FEC_per_vehicle.kgoe.EL.Tr.Road.Passenger.Bus.ICE.LPG</t>
  </si>
  <si>
    <t>FEC_per_vehicle.kgoe.EL.Tr.Road.Passenger.Bus.ICE.NGas</t>
  </si>
  <si>
    <t>FEC_per_vehicle.kgoe.EL.Tr.Road.Passenger.Bus.BEV</t>
  </si>
  <si>
    <t>FEC_per_vehicle.kgoe.EL.Tr.Road.Freight.LCV</t>
  </si>
  <si>
    <t>FEC_per_vehicle.kgoe.EL.Tr.Road.Freight.LCV.ICE.Gasoline</t>
  </si>
  <si>
    <t>FEC_per_vehicle.kgoe.EL.Tr.Road.Freight.LCV.ICE.Diesel</t>
  </si>
  <si>
    <t>FEC_per_vehicle.kgoe.EL.Tr.Road.Freight.LCV.ICE.LPG</t>
  </si>
  <si>
    <t>FEC_per_vehicle.kgoe.EL.Tr.Road.Freight.LCV.ICE.NGas</t>
  </si>
  <si>
    <t>FEC_per_vehicle.kgoe.EL.Tr.Road.Freight.LCV.BEV</t>
  </si>
  <si>
    <t>FEC_per_vehicle.kgoe.EL.Tr.Road.Freight.HGV_All</t>
  </si>
  <si>
    <t>FEC_per_vehicle.kgoe.EL.Tr.Road.Freight.HGV_Domestic</t>
  </si>
  <si>
    <t>FEC_per_vehicle.kgoe.EL.Tr.Road.Freight.HGV_International</t>
  </si>
  <si>
    <t>Road transport / CO2 emissions - EL - Greece</t>
  </si>
  <si>
    <t>EMI.ktCO2.EL.ES.Tr.Road</t>
  </si>
  <si>
    <t>EMI.ktCO2.EL.ES.Tr.Road.LPG</t>
  </si>
  <si>
    <t>EMI.ktCO2.EL.ES.Tr.Road.Gasoline</t>
  </si>
  <si>
    <t>EMI.ktCO2.EL.ES.Tr.Road.Diesel</t>
  </si>
  <si>
    <t>EMI.ktCO2.EL.ES.Tr.Road.NG</t>
  </si>
  <si>
    <t>EMI.ktCO2.EL.ES.Tr.Road.Biogas</t>
  </si>
  <si>
    <t>EMI.ktCO2.EL.ES.Tr.Road.Biogasoline</t>
  </si>
  <si>
    <t>EMI.ktCO2.EL.ES.Tr.Road.Biodiesel</t>
  </si>
  <si>
    <t>EMI.ktCO2.EL.ES.Tr.Road.OthLiqBio</t>
  </si>
  <si>
    <t>EMI.ktCO2.EL.ES.Tr.Road.Elec</t>
  </si>
  <si>
    <t>EMI.ktCO2.EL.Tr.Road</t>
  </si>
  <si>
    <t>EMI.ktCO2.EL.Tr.Road.Passenger.Car.ICE.Gasoline</t>
  </si>
  <si>
    <t>EMI.ktCO2.EL.Tr.Road.Passenger.Car.ICE.Diesel</t>
  </si>
  <si>
    <t>EMI.ktCO2.EL.Tr.Road.Passenger.Car.ICE.LPG</t>
  </si>
  <si>
    <t>EMI.ktCO2.EL.Tr.Road.Passenger.Car.ICE.NGas</t>
  </si>
  <si>
    <t>EMI.ktCO2.EL.Tr.Road.Passenger.Car.PHEV.Gasoline</t>
  </si>
  <si>
    <t>EMI.ktCO2.EL.Tr.Road.Passenger.Car.BEV</t>
  </si>
  <si>
    <t>EMI.ktCO2.EL.Tr.Road.Passenger.Bus.ICE.Gasoline</t>
  </si>
  <si>
    <t>EMI.ktCO2.EL.Tr.Road.Passenger.Bus.ICE.Diesel</t>
  </si>
  <si>
    <t>EMI.ktCO2.EL.Tr.Road.Passenger.Bus.ICE.LPG</t>
  </si>
  <si>
    <t>EMI.ktCO2.EL.Tr.Road.Passenger.Bus.ICE.NGas</t>
  </si>
  <si>
    <t>EMI.ktCO2.EL.Tr.Road.Passenger.Bus.BEV</t>
  </si>
  <si>
    <t>EMI.ktCO2.EL.Tr.Road.Freight.LCV.ICE.Gasoline</t>
  </si>
  <si>
    <t>EMI.ktCO2.EL.Tr.Road.Freight.LCV.ICE.Diesel</t>
  </si>
  <si>
    <t>EMI.ktCO2.EL.Tr.Road.Freight.LCV.ICE.LPG</t>
  </si>
  <si>
    <t>EMI.ktCO2.EL.Tr.Road.Freight.LCV.ICE.NGas</t>
  </si>
  <si>
    <t>EMI.ktCO2.EL.Tr.Road.Freight.LCV.BEV</t>
  </si>
  <si>
    <t>EMI.ktCO2.EL.Tr.Road.Freight.HGV_Domestic</t>
  </si>
  <si>
    <t>EMI.ktCO2.EL.Tr.Road.Freight.HGV_International</t>
  </si>
  <si>
    <t>EMIint.gCO2_per_km.EL.Tr.Road</t>
  </si>
  <si>
    <t>EMIint.gCO2_per_km.EL.Tr.Road.Passenger</t>
  </si>
  <si>
    <t>EMIint.gCO2_per_km.EL.Tr.Road.Passenger.P2W</t>
  </si>
  <si>
    <t>EMIint.gCO2_per_km.EL.Tr.Road.Passenger.Car</t>
  </si>
  <si>
    <t>EMIint.gCO2_per_km.EL.Tr.Road.Passenger.Car.ICE.Gasoline</t>
  </si>
  <si>
    <t>EMIint.gCO2_per_km.EL.Tr.Road.Passenger.Car.ICE.Diesel</t>
  </si>
  <si>
    <t>EMIint.gCO2_per_km.EL.Tr.Road.Passenger.Car.ICE.LPG</t>
  </si>
  <si>
    <t>EMIint.gCO2_per_km.EL.Tr.Road.Passenger.Car.ICE.NGas</t>
  </si>
  <si>
    <t>EMIint.gCO2_per_km.EL.Tr.Road.Passenger.Car.PHEV.Gasoline</t>
  </si>
  <si>
    <t>EMIint.gCO2_per_km.EL.Tr.Road.Passenger.Car.BEV</t>
  </si>
  <si>
    <t>EMIint.gCO2_per_km.EL.Tr.Road.Passenger.Bus</t>
  </si>
  <si>
    <t>EMIint.gCO2_per_km.EL.Tr.Road.Passenger.Bus.ICE.Gasoline</t>
  </si>
  <si>
    <t>EMIint.gCO2_per_km.EL.Tr.Road.Passenger.Bus.ICE.Diesel</t>
  </si>
  <si>
    <t>EMIint.gCO2_per_km.EL.Tr.Road.Passenger.Bus.ICE.LPG</t>
  </si>
  <si>
    <t>EMIint.gCO2_per_km.EL.Tr.Road.Passenger.Bus.ICE.NGas</t>
  </si>
  <si>
    <t>EMIint.gCO2_per_km.EL.Tr.Road.Passenger.Bus.BEV</t>
  </si>
  <si>
    <t>EMIint.gCO2_per_km.EL.Tr.Road.Freight</t>
  </si>
  <si>
    <t>EMIint.gCO2_per_km.EL.Tr.Road.Freight.LCV</t>
  </si>
  <si>
    <t>EMIint.gCO2_per_km.EL.Tr.Road.Freight.LCV.ICE.Gasoline</t>
  </si>
  <si>
    <t>EMIint.gCO2_per_km.EL.Tr.Road.Freight.LCV.ICE.Diesel</t>
  </si>
  <si>
    <t>EMIint.gCO2_per_km.EL.Tr.Road.Freight.LCV.ICE.LPG</t>
  </si>
  <si>
    <t>EMIint.gCO2_per_km.EL.Tr.Road.Freight.LCV.ICE.NGas</t>
  </si>
  <si>
    <t>EMIint.gCO2_per_km.EL.Tr.Road.Freight.LCV.BEV</t>
  </si>
  <si>
    <t>EMIint.gCO2_per_km.EL.Tr.Road.Freight.HGV_All</t>
  </si>
  <si>
    <t>EMIint.gCO2_per_km.EL.Tr.Road.Freight.HGV_Domestic</t>
  </si>
  <si>
    <t>EMIint.gCO2_per_km.EL.Tr.Road.Freight.HGV_International</t>
  </si>
  <si>
    <t>EMIint.gCO2_per_pkm.EL.Tr.Road.Passenger.Car.ICE.Gasoline</t>
  </si>
  <si>
    <t>EMIint.gCO2_per_pkm.EL.Tr.Road.Passenger.Car.ICE.Diesel</t>
  </si>
  <si>
    <t>EMIint.gCO2_per_pkm.EL.Tr.Road.Passenger.Car.ICE.LPG</t>
  </si>
  <si>
    <t>EMIint.gCO2_per_pkm.EL.Tr.Road.Passenger.Car.ICE.NGas</t>
  </si>
  <si>
    <t>EMIint.gCO2_per_pkm.EL.Tr.Road.Passenger.Car.PHEV.Gasoline</t>
  </si>
  <si>
    <t>EMIint.gCO2_per_pkm.EL.Tr.Road.Passenger.Car.BEV</t>
  </si>
  <si>
    <t>EMIint.gCO2_per_pkm.EL.Tr.Road.Passenger.Bus.ICE.Gasoline</t>
  </si>
  <si>
    <t>EMIint.gCO2_per_pkm.EL.Tr.Road.Passenger.Bus.ICE.Diesel</t>
  </si>
  <si>
    <t>EMIint.gCO2_per_pkm.EL.Tr.Road.Passenger.Bus.ICE.LPG</t>
  </si>
  <si>
    <t>EMIint.gCO2_per_pkm.EL.Tr.Road.Passenger.Bus.ICE.NGas</t>
  </si>
  <si>
    <t>EMIint.gCO2_per_pkm.EL.Tr.Road.Passenger.Bus.BEV</t>
  </si>
  <si>
    <t>EMIint.gCO2_per_tkm.EL.Tr.Road.Freight.LCV.ICE.Gasoline</t>
  </si>
  <si>
    <t>EMIint.gCO2_per_tkm.EL.Tr.Road.Freight.LCV.ICE.Diesel</t>
  </si>
  <si>
    <t>EMIint.gCO2_per_tkm.EL.Tr.Road.Freight.LCV.ICE.LPG</t>
  </si>
  <si>
    <t>EMIint.gCO2_per_tkm.EL.Tr.Road.Freight.LCV.ICE.NGas</t>
  </si>
  <si>
    <t>EMIint.gCO2_per_tkm.EL.Tr.Road.Freight.LCV.BEV</t>
  </si>
  <si>
    <t>EMIint.gCO2_per_tkm.EL.Tr.Road.Freight.HGV_Domestic</t>
  </si>
  <si>
    <t>EMIint.gCO2_per_tkm.EL.Tr.Road.Freight.HGV_International</t>
  </si>
  <si>
    <t>EMI_per_vehicle.kgCO2.EL.Tr.Road.Passenger.P2W</t>
  </si>
  <si>
    <t>EMI_per_vehicle.kgCO2.EL.Tr.Road.Passenger.Car</t>
  </si>
  <si>
    <t>EMI_per_vehicle.kgCO2.EL.Tr.Road.Passenger.Car.ICE.Gasoline</t>
  </si>
  <si>
    <t>EMI_per_vehicle.kgCO2.EL.Tr.Road.Passenger.Car.ICE.Diesel</t>
  </si>
  <si>
    <t>EMI_per_vehicle.kgCO2.EL.Tr.Road.Passenger.Car.ICE.LPG</t>
  </si>
  <si>
    <t>EMI_per_vehicle.kgCO2.EL.Tr.Road.Passenger.Car.ICE.NGas</t>
  </si>
  <si>
    <t>EMI_per_vehicle.kgCO2.EL.Tr.Road.Passenger.Car.PHEV.Gasoline</t>
  </si>
  <si>
    <t>EMI_per_vehicle.kgCO2.EL.Tr.Road.Passenger.Car.BEV</t>
  </si>
  <si>
    <t>EMI_per_vehicle.kgCO2.EL.Tr.Road.Passenger.Bus</t>
  </si>
  <si>
    <t>EMI_per_vehicle.kgCO2.EL.Tr.Road.Passenger.Bus.ICE.Gasoline</t>
  </si>
  <si>
    <t>EMI_per_vehicle.kgCO2.EL.Tr.Road.Passenger.Bus.ICE.Diesel</t>
  </si>
  <si>
    <t>EMI_per_vehicle.kgCO2.EL.Tr.Road.Passenger.Bus.ICE.LPG</t>
  </si>
  <si>
    <t>EMI_per_vehicle.kgCO2.EL.Tr.Road.Passenger.Bus.ICE.NGas</t>
  </si>
  <si>
    <t>EMI_per_vehicle.kgCO2.EL.Tr.Road.Passenger.Bus.BEV</t>
  </si>
  <si>
    <t>EMI_per_vehicle.kgCO2.EL.Tr.Road.Freight.LCV</t>
  </si>
  <si>
    <t>EMI_per_vehicle.kgCO2.EL.Tr.Road.Freight.LCV.ICE.Gasoline</t>
  </si>
  <si>
    <t>EMI_per_vehicle.kgCO2.EL.Tr.Road.Freight.LCV.ICE.Diesel</t>
  </si>
  <si>
    <t>EMI_per_vehicle.kgCO2.EL.Tr.Road.Freight.LCV.ICE.LPG</t>
  </si>
  <si>
    <t>EMI_per_vehicle.kgCO2.EL.Tr.Road.Freight.LCV.ICE.NGas</t>
  </si>
  <si>
    <t>EMI_per_vehicle.kgCO2.EL.Tr.Road.Freight.LCV.BEV</t>
  </si>
  <si>
    <t>EMI_per_vehicle.kgCO2.EL.Tr.Road.Freight.HGV_All</t>
  </si>
  <si>
    <t>EMI_per_vehicle.kgCO2.EL.Tr.Road.Freight.HGV_Domestic</t>
  </si>
  <si>
    <t>EMI_per_vehicle.kgCO2.EL.Tr.Road.Freight.HGV_International</t>
  </si>
  <si>
    <t>Road transport / technologies - EL - Greece</t>
  </si>
  <si>
    <t>Stock.number.EL.Tr.Road.Freight.HGV_all</t>
  </si>
  <si>
    <t>StockVin.number.EL.Tr.Road</t>
  </si>
  <si>
    <t>StockVin.number.EL.Tr.Road.Passenger</t>
  </si>
  <si>
    <t>StockVin.number.EL.Tr.Road.Passenger.P2W</t>
  </si>
  <si>
    <t>StockVin.number.EL.Tr.Road.Passenger.Car</t>
  </si>
  <si>
    <t>StockVin.number.EL.Tr.Road.Passenger.Car.ICE.Gasoline</t>
  </si>
  <si>
    <t>StockVin.number.EL.Tr.Road.Passenger.Car.ICE.Diesel</t>
  </si>
  <si>
    <t>StockVin.number.EL.Tr.Road.Passenger.Car.ICE.LPG</t>
  </si>
  <si>
    <t>StockVin.number.EL.Tr.Road.Passenger.Car.ICE.NGas</t>
  </si>
  <si>
    <t>StockVin.number.EL.Tr.Road.Passenger.Car.PHEV.Gasoline</t>
  </si>
  <si>
    <t>StockVin.number.EL.Tr.Road.Passenger.Car.BEV</t>
  </si>
  <si>
    <t>StockVin.number.EL.Tr.Road.Passenger.Bus</t>
  </si>
  <si>
    <t>StockVin.number.EL.Tr.Road.Passenger.Bus.ICE.Gasoline</t>
  </si>
  <si>
    <t>StockVin.number.EL.Tr.Road.Passenger.Bus.ICE.Diesel</t>
  </si>
  <si>
    <t>StockVin.number.EL.Tr.Road.Passenger.Bus.ICE.LPG</t>
  </si>
  <si>
    <t>StockVin.number.EL.Tr.Road.Passenger.Bus.ICE.NGas</t>
  </si>
  <si>
    <t>StockVin.number.EL.Tr.Road.Passenger.Bus.BEV</t>
  </si>
  <si>
    <t>StockVin.number.EL.Tr.Road.Freight</t>
  </si>
  <si>
    <t>StockVin.number.EL.Tr.Road.Freight.LCV</t>
  </si>
  <si>
    <t>StockVin.number.EL.Tr.Road.Freight.LCV.ICE.Gasoline</t>
  </si>
  <si>
    <t>StockVin.number.EL.Tr.Road.Freight.LCV.ICE.Diesel</t>
  </si>
  <si>
    <t>StockVin.number.EL.Tr.Road.Freight.LCV.ICE.LPG</t>
  </si>
  <si>
    <t>StockVin.number.EL.Tr.Road.Freight.LCV.ICE.NGas</t>
  </si>
  <si>
    <t>StockVin.number.EL.Tr.Road.Freight.LCV.BEV</t>
  </si>
  <si>
    <t>StockVin.number.EL.Tr.Road.Freight.HGV_All</t>
  </si>
  <si>
    <t>StockVin.number.EL.Tr.Road.Freight.HGV_Domestic</t>
  </si>
  <si>
    <t>StockVin.number.EL.Tr.Road.Freight.HGV_International</t>
  </si>
  <si>
    <t>Eff_test_stock.kgoe_per_100km.EL.Tr.Road.Passenger.P2W</t>
  </si>
  <si>
    <t>Eff_test_stock.kgoe_per_100km.EL.Tr.Road.Passenger.Car</t>
  </si>
  <si>
    <t>Eff_test_stock.kgoe_per_100km.EL.Tr.Road.Passenger.Car.ICE.Gasoline</t>
  </si>
  <si>
    <t>Eff_test_stock.kgoe_per_100km.EL.Tr.Road.Passenger.Car.ICE.Diesel</t>
  </si>
  <si>
    <t>Eff_test_stock.kgoe_per_100km.EL.Tr.Road.Passenger.Car.ICE.LPG</t>
  </si>
  <si>
    <t>Eff_test_stock.kgoe_per_100km.EL.Tr.Road.Passenger.Car.ICE.NGas</t>
  </si>
  <si>
    <t>Eff_test_stock.kgoe_per_100km.EL.Tr.Road.Passenger.Car.PHEV.Gasoline</t>
  </si>
  <si>
    <t>Eff_test_stock.kgoe_per_100km.EL.Tr.Road.Passenger.Car.BEV</t>
  </si>
  <si>
    <t>Eff_test_stock.kgoe_per_100km.EL.Tr.Road.Passenger.Bus</t>
  </si>
  <si>
    <t>Eff_test_stock.kgoe_per_100km.EL.Tr.Road.Passenger.Bus.ICE.Gasoline</t>
  </si>
  <si>
    <t>Eff_test_stock.kgoe_per_100km.EL.Tr.Road.Passenger.Bus.ICE.Diesel</t>
  </si>
  <si>
    <t>Eff_test_stock.kgoe_per_100km.EL.Tr.Road.Passenger.Bus.ICE.LPG</t>
  </si>
  <si>
    <t>Eff_test_stock.kgoe_per_100km.EL.Tr.Road.Passenger.Bus.ICE.NGas</t>
  </si>
  <si>
    <t>Eff_test_stock.kgoe_per_100km.EL.Tr.Road.Passenger.Bus.BEV</t>
  </si>
  <si>
    <t>Eff_test_stock.kgoe_per_100km.EL.Tr.Road.Freight.LCV</t>
  </si>
  <si>
    <t>Eff_test_stock.kgoe_per_100km.EL.Tr.Road.Freight.LCV.ICE.Gasoline</t>
  </si>
  <si>
    <t>Eff_test_stock.kgoe_per_100km.EL.Tr.Road.Freight.LCV.ICE.Diesel</t>
  </si>
  <si>
    <t>Eff_test_stock.kgoe_per_100km.EL.Tr.Road.Freight.LCV.ICE.LPG</t>
  </si>
  <si>
    <t>Eff_test_stock.kgoe_per_100km.EL.Tr.Road.Freight.LCV.ICE.NGas</t>
  </si>
  <si>
    <t>Eff_test_stock.kgoe_per_100km.EL.Tr.Road.Freight.LCV.BEV</t>
  </si>
  <si>
    <t>Eff_test_stock.kgoe_per_100km.EL.Tr.Road.Freight.HGV_All</t>
  </si>
  <si>
    <t>Eff_test_stock.kgoe_per_100km.EL.Tr.Road.Freight.HGV_Domestic</t>
  </si>
  <si>
    <t>Eff_test_stock.kgoe_per_100km.EL.Tr.Road.Freight.HGV_International</t>
  </si>
  <si>
    <t>Eff_test_new.kgoe_per_100km.EL.Tr.Road.Passenger.P2W</t>
  </si>
  <si>
    <t>Eff_test_new.kgoe_per_100km.EL.Tr.Road.Passenger.Car</t>
  </si>
  <si>
    <t>Eff_test_new.kgoe_per_100km.EL.Tr.Road.Passenger.Car.ICE.Gasoline</t>
  </si>
  <si>
    <t>Eff_test_new.kgoe_per_100km.EL.Tr.Road.Passenger.Car.ICE.Diesel</t>
  </si>
  <si>
    <t>Eff_test_new.kgoe_per_100km.EL.Tr.Road.Passenger.Car.ICE.LPG</t>
  </si>
  <si>
    <t>Eff_test_new.kgoe_per_100km.EL.Tr.Road.Passenger.Car.ICE.NGas</t>
  </si>
  <si>
    <t>Eff_test_new.kgoe_per_100km.EL.Tr.Road.Passenger.Car.PHEV.Gasoline</t>
  </si>
  <si>
    <t>Eff_test_new.kgoe_per_100km.EL.Tr.Road.Passenger.Car.BEV</t>
  </si>
  <si>
    <t>Eff_test_new.kgoe_per_100km.EL.Tr.Road.Passenger.Bus</t>
  </si>
  <si>
    <t>Eff_test_new.kgoe_per_100km.EL.Tr.Road.Passenger.Bus.ICE.Gasoline</t>
  </si>
  <si>
    <t>Eff_test_new.kgoe_per_100km.EL.Tr.Road.Passenger.Bus.ICE.Diesel</t>
  </si>
  <si>
    <t>Eff_test_new.kgoe_per_100km.EL.Tr.Road.Passenger.Bus.ICE.LPG</t>
  </si>
  <si>
    <t>Eff_test_new.kgoe_per_100km.EL.Tr.Road.Passenger.Bus.ICE.NGas</t>
  </si>
  <si>
    <t>Eff_test_new.kgoe_per_100km.EL.Tr.Road.Passenger.Bus.BEV</t>
  </si>
  <si>
    <t>Eff_test_new.kgoe_per_100km.EL.Tr.Road.Freight.LCV</t>
  </si>
  <si>
    <t>Eff_test_new.kgoe_per_100km.EL.Tr.Road.Freight.LCV.ICE.Gasoline</t>
  </si>
  <si>
    <t>Eff_test_new.kgoe_per_100km.EL.Tr.Road.Freight.LCV.ICE.Diesel</t>
  </si>
  <si>
    <t>Eff_test_new.kgoe_per_100km.EL.Tr.Road.Freight.LCV.ICE.LPG</t>
  </si>
  <si>
    <t>Eff_test_new.kgoe_per_100km.EL.Tr.Road.Freight.LCV.ICE.NGas</t>
  </si>
  <si>
    <t>Eff_test_new.kgoe_per_100km.EL.Tr.Road.Freight.LCV.BEV</t>
  </si>
  <si>
    <t>Eff_test_new.kgoe_per_100km.EL.Tr.Road.Freight.HGV_All</t>
  </si>
  <si>
    <t>Eff_test_new.kgoe_per_100km.EL.Tr.Road.Freight.HGV_Domestic</t>
  </si>
  <si>
    <t>Eff_test_new.kgoe_per_100km.EL.Tr.Road.Freight.HGV_International</t>
  </si>
  <si>
    <t>EMIint_test_stock.gCO2_per_km.EL.Tr.Road.Passenger.P2W</t>
  </si>
  <si>
    <t>EMIint_test_stock.gCO2_per_km.EL.Tr.Road.Passenger.Car</t>
  </si>
  <si>
    <t>EMIint_test_stock.gCO2_per_km.EL.Tr.Road.Passenger.Car.ICE.Gasoline</t>
  </si>
  <si>
    <t>EMIint_test_stock.gCO2_per_km.EL.Tr.Road.Passenger.Car.ICE.Diesel</t>
  </si>
  <si>
    <t>EMIint_test_stock.gCO2_per_km.EL.Tr.Road.Passenger.Car.ICE.LPG</t>
  </si>
  <si>
    <t>EMIint_test_stock.gCO2_per_km.EL.Tr.Road.Passenger.Car.ICE.NGas</t>
  </si>
  <si>
    <t>EMIint_test_stock.gCO2_per_km.EL.Tr.Road.Passenger.Car.PHEV.Gasoline</t>
  </si>
  <si>
    <t>EMIint_test_stock.gCO2_per_km.EL.Tr.Road.Passenger.Car.BEV</t>
  </si>
  <si>
    <t>EMIint_test_stock.gCO2_per_km.EL.Tr.Road.Passenger.Bus</t>
  </si>
  <si>
    <t>EMIint_test_stock.gCO2_per_km.EL.Tr.Road.Passenger.Bus.ICE.Gasoline</t>
  </si>
  <si>
    <t>EMIint_test_stock.gCO2_per_km.EL.Tr.Road.Passenger.Bus.ICE.Diesel</t>
  </si>
  <si>
    <t>EMIint_test_stock.gCO2_per_km.EL.Tr.Road.Passenger.Bus.ICE.LPG</t>
  </si>
  <si>
    <t>EMIint_test_stock.gCO2_per_km.EL.Tr.Road.Passenger.Bus.ICE.NGas</t>
  </si>
  <si>
    <t>EMIint_test_stock.gCO2_per_km.EL.Tr.Road.Passenger.Bus.BEV</t>
  </si>
  <si>
    <t>EMIint_test_stock.gCO2_per_km.EL.Tr.Road.Freight.LCV</t>
  </si>
  <si>
    <t>EMIint_test_stock.gCO2_per_km.EL.Tr.Road.Freight.LCV.ICE.Gasoline</t>
  </si>
  <si>
    <t>EMIint_test_stock.gCO2_per_km.EL.Tr.Road.Freight.LCV.ICE.Diesel</t>
  </si>
  <si>
    <t>EMIint_test_stock.gCO2_per_km.EL.Tr.Road.Freight.LCV.ICE.LPG</t>
  </si>
  <si>
    <t>EMIint_test_stock.gCO2_per_km.EL.Tr.Road.Freight.LCV.ICE.NGas</t>
  </si>
  <si>
    <t>EMIint_test_stock.gCO2_per_km.EL.Tr.Road.Freight.LCV.BEV</t>
  </si>
  <si>
    <t>EMIint_test_stock.gCO2_per_km.EL.Tr.Road.Freight.HGV_All</t>
  </si>
  <si>
    <t>EMIint_test_stock.gCO2_per_km.EL.Tr.Road.Freight.HGV_Domestic</t>
  </si>
  <si>
    <t>EMIint_test_stock.gCO2_per_km.EL.Tr.Road.Freight.HGV_International</t>
  </si>
  <si>
    <t>EMIint_test_new.gCO2_per_km.EL.Tr.Road.Passenger.P2W</t>
  </si>
  <si>
    <t>EMIint_test_new.gCO2_per_km.EL.Tr.Road.Passenger.Car</t>
  </si>
  <si>
    <t>EMIint_test_new.gCO2_per_km.EL.Tr.Road.Passenger.Car.ICE.Gasoline</t>
  </si>
  <si>
    <t>EMIint_test_new.gCO2_per_km.EL.Tr.Road.Passenger.Car.ICE.Diesel</t>
  </si>
  <si>
    <t>EMIint_test_new.gCO2_per_km.EL.Tr.Road.Passenger.Car.ICE.LPG</t>
  </si>
  <si>
    <t>EMIint_test_new.gCO2_per_km.EL.Tr.Road.Passenger.Car.ICE.NGas</t>
  </si>
  <si>
    <t>EMIint_test_new.gCO2_per_km.EL.Tr.Road.Passenger.Car.PHEV.Gasoline</t>
  </si>
  <si>
    <t>EMIint_test_new.gCO2_per_km.EL.Tr.Road.Passenger.Car.BEV</t>
  </si>
  <si>
    <t>EMIint_test_new.gCO2_per_km.EL.Tr.Road.Passenger.Bus</t>
  </si>
  <si>
    <t>EMIint_test_new.gCO2_per_km.EL.Tr.Road.Passenger.Bus.ICE.Gasoline</t>
  </si>
  <si>
    <t>EMIint_test_new.gCO2_per_km.EL.Tr.Road.Passenger.Bus.ICE.Diesel</t>
  </si>
  <si>
    <t>EMIint_test_new.gCO2_per_km.EL.Tr.Road.Passenger.Bus.ICE.LPG</t>
  </si>
  <si>
    <t>EMIint_test_new.gCO2_per_km.EL.Tr.Road.Passenger.Bus.ICE.NGas</t>
  </si>
  <si>
    <t>EMIint_test_new.gCO2_per_km.EL.Tr.Road.Passenger.Bus.BEV</t>
  </si>
  <si>
    <t>EMIint_test_new.gCO2_per_km.EL.Tr.Road.Freight.LCV</t>
  </si>
  <si>
    <t>EMIint_test_new.gCO2_per_km.EL.Tr.Road.Freight.LCV.ICE.Gasoline</t>
  </si>
  <si>
    <t>EMIint_test_new.gCO2_per_km.EL.Tr.Road.Freight.LCV.ICE.Diesel</t>
  </si>
  <si>
    <t>EMIint_test_new.gCO2_per_km.EL.Tr.Road.Freight.LCV.ICE.LPG</t>
  </si>
  <si>
    <t>EMIint_test_new.gCO2_per_km.EL.Tr.Road.Freight.LCV.ICE.NGas</t>
  </si>
  <si>
    <t>EMIint_test_new.gCO2_per_km.EL.Tr.Road.Freight.LCV.BEV</t>
  </si>
  <si>
    <t>EMIint_test_new.gCO2_per_km.EL.Tr.Road.Freight.HGV_All</t>
  </si>
  <si>
    <t>EMIint_test_new.gCO2_per_km.EL.Tr.Road.Freight.HGV_Domestic</t>
  </si>
  <si>
    <t>EMIint_test_new.gCO2_per_km.EL.Tr.Road.Freight.HGV_International</t>
  </si>
  <si>
    <t>FEC.ktoe.EL.MBunk</t>
  </si>
  <si>
    <t>FEC.ktoe.EL.MBunk.IntraEEA</t>
  </si>
  <si>
    <t>FEC.ktoe.EL.MBunk.ExtraEEA</t>
  </si>
  <si>
    <t>EMI.ktCO2.EL.MBunk</t>
  </si>
  <si>
    <t>EMI.ktCO2.EL.MBunk.IntraEEA</t>
  </si>
  <si>
    <t>EMI.ktCO2.EL.MBunk.ExtraEEA</t>
  </si>
  <si>
    <t>International maritime bunkers - EL - Greece</t>
  </si>
  <si>
    <t>VehicleKm.Mkm.EL.MBunk.Freight</t>
  </si>
  <si>
    <t>VehicleKm.Mkm.EL.MBunk.Freight.IntraEEA</t>
  </si>
  <si>
    <t>VehicleKm.Mkm.EL.MBunk.Freight.ExtraEEA</t>
  </si>
  <si>
    <t>Load.t_per_movement.EL.MBunk.Freight</t>
  </si>
  <si>
    <t>Load.t_per_movement.EL.MBunk.Freight.IntraEEA</t>
  </si>
  <si>
    <t>Load.t_per_movement.EL.MBunk.Freight.ExtraEEA</t>
  </si>
  <si>
    <t>International maritime bunkers / energy consumption - EL - Greece</t>
  </si>
  <si>
    <t>FEC.ktoe.EL.ES.MBunk</t>
  </si>
  <si>
    <t>FEC.ktoe.EL.ES.MBunk.IntraEEA</t>
  </si>
  <si>
    <t>FEC.ktoe.EL.ES.MBunk.IntraEEA.Diesel</t>
  </si>
  <si>
    <t>FEC.ktoe.EL.ES.MBunk.IntraEEA.RFO_Other</t>
  </si>
  <si>
    <t>FEC.ktoe.EL.ES.MBunk.IntraEEA.LiqBio</t>
  </si>
  <si>
    <t>FEC.ktoe.EL.ES.MBunk.IntraEEA.NG</t>
  </si>
  <si>
    <t>FEC.ktoe.EL.ES.MBunk.IntraEEA.Biogas</t>
  </si>
  <si>
    <t>FEC.ktoe.EL.ES.MBunk.ExtraEEA</t>
  </si>
  <si>
    <t>FEC.ktoe.EL.ES.MBunk.ExtraEEA.Diesel</t>
  </si>
  <si>
    <t>FEC.ktoe.EL.ES.MBunk.ExtraEEA.RFO_Other</t>
  </si>
  <si>
    <t>FEC.ktoe.EL.ES.MBunk.ExtraEEA.LiqBio</t>
  </si>
  <si>
    <t>FEC.ktoe.EL.ES.MBunk.ExtraEEA.NG</t>
  </si>
  <si>
    <t>FEC.ktoe.EL.ES.MBunk.ExtraEEA.Biogas</t>
  </si>
  <si>
    <t>Eff.kgoe_per_100km.EL.MBunk.Freight</t>
  </si>
  <si>
    <t>Eff.kgoe_per_100km.EL.MBunk.Freight.IntraEEA</t>
  </si>
  <si>
    <t>Eff.kgoe_per_100km.EL.MBunk.Freight.ExtraEEA</t>
  </si>
  <si>
    <t>International maritime bunkers / CO2 emissions - EL - Greece</t>
  </si>
  <si>
    <t>EMI.ktCO2.EL.ES.MBunk</t>
  </si>
  <si>
    <t>EMI.ktCO2.EL.ES.MBunk.IntraEEA</t>
  </si>
  <si>
    <t>EMI.ktCO2.EL.ES.MBunk.ExtraEEA</t>
  </si>
  <si>
    <t>EMIint.gCO2_per_km.EL.MBunk.Freight</t>
  </si>
  <si>
    <t>EMIint.gCO2_per_km.EL.MBunk.Freight.IntraEEA</t>
  </si>
  <si>
    <t>EMIint.gCO2_per_km.EL.MBunk.Freight.ExtraEEA</t>
  </si>
  <si>
    <t>FEC.ktoe.EL.Tr.DNavi</t>
  </si>
  <si>
    <t>FEC.ktoe.EL.Tr.Dnavi.DCS</t>
  </si>
  <si>
    <t>FEC.ktoe.EL.Tr.Dnavi.IWW</t>
  </si>
  <si>
    <t>EMI.ktCO2.EL.Tr.DNavi</t>
  </si>
  <si>
    <t>EMI.ktCO2.EL.Tr.Dnavi.DCS</t>
  </si>
  <si>
    <t>EMI.ktCO2.EL.Tr.Dnavi.IWW</t>
  </si>
  <si>
    <t>Domestic navigation - EL - Greece</t>
  </si>
  <si>
    <t>VehicleKm.Mkm.EL.Tr.DNavi.Freight</t>
  </si>
  <si>
    <t>VehicleKm.Mkm.EL.Tr.DNavi.Freight.DCS</t>
  </si>
  <si>
    <t>VehicleKm.Mkm.EL.Tr.DNavi.Freight.IWW</t>
  </si>
  <si>
    <t>Load.t_per_movement.EL.Tr.DNavi.Freight</t>
  </si>
  <si>
    <t>Load.t_per_movement.EL.Tr.DNavi.Freight.DCS</t>
  </si>
  <si>
    <t>Load.t_per_movement.EL.Tr.DNavi.Freight.IWW</t>
  </si>
  <si>
    <t>Domestic navigation / energy consumption - EL - Greece</t>
  </si>
  <si>
    <t>FEC.ktoe.EL.ES.Tr.DNavi</t>
  </si>
  <si>
    <t>FEC.ktoe.EL.ES.Tr.DNavi.DCS</t>
  </si>
  <si>
    <t>FEC.ktoe.EL.ES.Tr.DNavi.DCS.Diesel</t>
  </si>
  <si>
    <t>FEC.ktoe.EL.ES.Tr.DNavi.DCS.RFO_Other</t>
  </si>
  <si>
    <t>FEC.ktoe.EL.ES.Tr.DNavi.DCS.LiqBio</t>
  </si>
  <si>
    <t>FEC.ktoe.EL.ES.Tr.DNavi.DCS.NG</t>
  </si>
  <si>
    <t>FEC.ktoe.EL.ES.Tr.DNavi.DCS.Biogas</t>
  </si>
  <si>
    <t>FEC.ktoe.EL.ES.Tr.DNavi.IWW</t>
  </si>
  <si>
    <t>FEC.ktoe.EL.ES.Tr.DNavi.IWW.Diesel</t>
  </si>
  <si>
    <t>FEC.ktoe.EL.ES.Tr.DNavi.IWW.RFO_Other</t>
  </si>
  <si>
    <t>FEC.ktoe.EL.ES.Tr.DNavi.IWW.LiqBio</t>
  </si>
  <si>
    <t>FEC.ktoe.EL.ES.Tr.DNavi.IWW.NG</t>
  </si>
  <si>
    <t>FEC.ktoe.EL.ES.Tr.DNavi.IWW.Biogas</t>
  </si>
  <si>
    <t>Eff.kgoe_per_100km.EL.Tr.DNavi.Freight</t>
  </si>
  <si>
    <t>Eff.kgoe_per_100km.EL.Tr.DNavi.Freight.DCS</t>
  </si>
  <si>
    <t>Eff.kgoe_per_100km.EL.Tr.DNavi.Freight.IWW</t>
  </si>
  <si>
    <t>Domestic navigation / CO2 emissions - EL - Greece</t>
  </si>
  <si>
    <t>EMI.ktCO2.EL.ES.Tr.DNavi</t>
  </si>
  <si>
    <t>EMI.ktCO2.EL.ES.Tr.DNavi.DCS</t>
  </si>
  <si>
    <t>EMI.ktCO2.EL.ES.Tr.DNavi.IWW</t>
  </si>
  <si>
    <t>EMIint.gCO2_per_km.EL.Tr.DNavi.Freight</t>
  </si>
  <si>
    <t>EMIint.gCO2_per_km.EL.Tr.DNavi.Freight.DCS</t>
  </si>
  <si>
    <t>EMIint.gCO2_per_km.EL.Tr.DNavi.Freight.IWW</t>
  </si>
  <si>
    <t>Rail, metro and tram - EL - Greece</t>
  </si>
  <si>
    <t>Activity.Mpkm.EL.Tr.Rail.Passenger.CPT.Diesel</t>
  </si>
  <si>
    <t>Activity.Mpkm.EL.Tr.Rail.Passenger.CPT.Elc</t>
  </si>
  <si>
    <t>Activity.Mtkm.EL.Tr.Rail.Freight.Diesel</t>
  </si>
  <si>
    <t>Activity.Mtkm.EL.Tr.Rail.Freight.Elc</t>
  </si>
  <si>
    <t>VehicleKm.Mkm.EL.Tr.Rail</t>
  </si>
  <si>
    <t>VehicleKm.Mkm.EL.Tr.Rail.Passenger</t>
  </si>
  <si>
    <t>VehicleKm.Mkm.EL.Tr.Rail.Passenger.MTU</t>
  </si>
  <si>
    <t>VehicleKm.Mkm.EL.Tr.Rail.Passenger.CPT</t>
  </si>
  <si>
    <t>VehicleKm.Mkm.EL.Tr.Rail.Passenger.CPT.Diesel</t>
  </si>
  <si>
    <t>VehicleKm.Mkm.EL.Tr.Rail.Passenger.CPT.Elc</t>
  </si>
  <si>
    <t>VehicleKm.Mkm.EL.Tr.Rail.Passenger.HST</t>
  </si>
  <si>
    <t>VehicleKm.Mkm.EL.Tr.Rail.Freight</t>
  </si>
  <si>
    <t>VehicleKm.Mkm.EL.Tr.Rail.Freight.Diesel</t>
  </si>
  <si>
    <t>VehicleKm.Mkm.EL.Tr.Rail.Freight.Elc</t>
  </si>
  <si>
    <t>Stock.number.EL.Tr.Rail</t>
  </si>
  <si>
    <t>Stock.number.EL.Tr.Rail.Passenger</t>
  </si>
  <si>
    <t>Stock.number.EL.Tr.Rail.Passenger.MTU</t>
  </si>
  <si>
    <t>Stock.number.EL.Tr.Rail.Passenger.CPT</t>
  </si>
  <si>
    <t>Stock.number.EL.Tr.Rail.Passenger.CPT.Diesel</t>
  </si>
  <si>
    <t>Stock.number.EL.Tr.Rail.Passenger.CPT.Elc</t>
  </si>
  <si>
    <t>Stock.number.EL.Tr.Rail.Passenger.HST</t>
  </si>
  <si>
    <t>Stock.number.EL.Tr.Rail.Freight</t>
  </si>
  <si>
    <t>Stock.number.EL.Tr.Rail.Freight.Diesel</t>
  </si>
  <si>
    <t>Stock.number.EL.Tr.Rail.Freight.Elc</t>
  </si>
  <si>
    <t>StockNew.number.EL.Tr.Rail</t>
  </si>
  <si>
    <t>StockNew.number.EL.Tr.Rail.Passenger</t>
  </si>
  <si>
    <t>StockNew.number.EL.Tr.Rail.Passenger.MTU</t>
  </si>
  <si>
    <t>StockNew.number.EL.Tr.Rail.Passenger.CPT</t>
  </si>
  <si>
    <t>StockNew.number.EL.Tr.Rail.Passenger.CPT.Diesel</t>
  </si>
  <si>
    <t>StockNew.number.EL.Tr.Rail.Passenger.CPT.Elc</t>
  </si>
  <si>
    <t>StockNew.number.EL.Tr.Rail.Passenger.HST</t>
  </si>
  <si>
    <t>StockNew.number.EL.Tr.Rail.Freight</t>
  </si>
  <si>
    <t>StockNew.number.EL.Tr.Rail.Freight.Diesel</t>
  </si>
  <si>
    <t>StockNew.number.EL.Tr.Rail.Freight.Elc</t>
  </si>
  <si>
    <t>Load.passenger_per_movement.EL.Tr.Rail.Passenger</t>
  </si>
  <si>
    <t>Load.passenger_per_movement.EL.Tr.Rail.Passenger.MTU</t>
  </si>
  <si>
    <t>Load.passenger_per_movement.EL.Tr.Rail.Passenger.CPT</t>
  </si>
  <si>
    <t>Load.passenger_per_movement.EL.Tr.Rail.Passenger.CPT.Diesel</t>
  </si>
  <si>
    <t>Load.passenger_per_movement.EL.Tr.Rail.Passenger.CPT.Elc</t>
  </si>
  <si>
    <t>Load.passenger_per_movement.EL.Tr.Rail.Passenger.HST</t>
  </si>
  <si>
    <t>Load.t_per_movement.EL.Tr.Rail.Freight</t>
  </si>
  <si>
    <t>Load.t_per_movement.EL.Tr.Rail.Freight.Diesel</t>
  </si>
  <si>
    <t>Load.t_per_movement.EL.Tr.Rail.Freight.Elc</t>
  </si>
  <si>
    <t>TrCap.seats.EL.Tr.Rail.Passenger</t>
  </si>
  <si>
    <t>TrCap.seats.EL.Tr.Rail.Passenger.MTU</t>
  </si>
  <si>
    <t>TrCap.seats.EL.Tr.Rail.Passenger.CPT</t>
  </si>
  <si>
    <t>TrCap.seats.EL.Tr.Rail.Passenger.CPT.Diesel</t>
  </si>
  <si>
    <t>TrCap.seats.EL.Tr.Rail.Passenger.CPT.Elc</t>
  </si>
  <si>
    <t>TrCap.seats.EL.Tr.Rail.Passenger.HST</t>
  </si>
  <si>
    <t>TrCap.t.EL.Tr.Rail.Freight</t>
  </si>
  <si>
    <t>TrCap.t.EL.Tr.Rail.Freight.Diesel</t>
  </si>
  <si>
    <t>TrCap.t.EL.Tr.Rail.Freight.Elc</t>
  </si>
  <si>
    <t>VehicleKm_per_vehicle.km.EL.Tr.Rail</t>
  </si>
  <si>
    <t>VehicleKm_per_vehicle.km.EL.Tr.Rail.Passenger</t>
  </si>
  <si>
    <t>VehicleKm_per_vehicle.km.EL.Tr.Rail.Passenger.MTU</t>
  </si>
  <si>
    <t>VehicleKm_per_vehicle.km.EL.Tr.Rail.Passenger.CPT</t>
  </si>
  <si>
    <t>VehicleKm_per_vehicle.km.EL.Tr.Rail.Passenger.CPT.Diesel</t>
  </si>
  <si>
    <t>VehicleKm_per_vehicle.km.EL.Tr.Rail.Passenger.CPT.Elc</t>
  </si>
  <si>
    <t>VehicleKm_per_vehicle.km.EL.Tr.Rail.Passenger.HST</t>
  </si>
  <si>
    <t>VehicleKm_per_vehicle.km.EL.Tr.Rail.Freight</t>
  </si>
  <si>
    <t>VehicleKm_per_vehicle.km.EL.Tr.Rail.Freight.Diesel</t>
  </si>
  <si>
    <t>VehicleKm_per_vehicle.km.EL.Tr.Rail.Freight.Elc</t>
  </si>
  <si>
    <t>Activity_per_vehicle.pkm.EL.Tr.Rail.Passenger</t>
  </si>
  <si>
    <t>Activity_per_vehicle.pkm.EL.Tr.Rail.Passenger.MTU</t>
  </si>
  <si>
    <t>Activity_per_vehicle.pkm.EL.Tr.Rail.Passenger.CPT</t>
  </si>
  <si>
    <t>Activity_per_vehicle.pkm.EL.Tr.Rail.Passenger.CPT.Diesel</t>
  </si>
  <si>
    <t>Activity_per_vehicle.pkm.EL.Tr.Rail.Passenger.CPT.Elc</t>
  </si>
  <si>
    <t>Activity_per_vehicle.pkm.EL.Tr.Rail.Passenger.HST</t>
  </si>
  <si>
    <t>Activity_per_vehicle.tkm.EL.Tr.Rail.Freight</t>
  </si>
  <si>
    <t>Activity_per_vehicle.tkm.EL.Tr.Rail.Freight.Diesel</t>
  </si>
  <si>
    <t>Activity_per_vehicle.tkm.EL.Tr.Rail.Freight.Elc</t>
  </si>
  <si>
    <t>Rail, metro and tram / energy consumption - EL - Greece</t>
  </si>
  <si>
    <t>FEC.ktoe.EL.ES.Tr.Rail</t>
  </si>
  <si>
    <t>FEC.ktoe.EL.ES.Tr.Rail.Diesel</t>
  </si>
  <si>
    <t>FEC.ktoe.EL.ES.Tr.Rail.LiqBio</t>
  </si>
  <si>
    <t>FEC.ktoe.EL.ES.Tr.Rail.Elec</t>
  </si>
  <si>
    <t>FEC.ktoe.EL.Tr.Rail</t>
  </si>
  <si>
    <t>FEC.ktoe.EL.Tr.Rail.Passenger.CPT.Diesel</t>
  </si>
  <si>
    <t>FEC.ktoe.EL.Tr.Rail.Passenger.CPT.Elc</t>
  </si>
  <si>
    <t>FEC.ktoe.EL.Tr.Rail.Freight.Diesel</t>
  </si>
  <si>
    <t>FEC.ktoe.EL.Tr.Rail.Freight.Elc</t>
  </si>
  <si>
    <t>Eff.kgoe_per_100km.EL.Tr.Rail</t>
  </si>
  <si>
    <t>Eff.kgoe_per_100km.EL.Tr.Rail.Passenger</t>
  </si>
  <si>
    <t>Eff.kgoe_per_100km.EL.Tr.Rail.Passenger.MTU</t>
  </si>
  <si>
    <t>Eff.kgoe_per_100km.EL.Tr.Rail.Passenger.CPT</t>
  </si>
  <si>
    <t>Eff.kgoe_per_100km.EL.Tr.Rail.Passenger.CPT.Diesel</t>
  </si>
  <si>
    <t>Eff.kgoe_per_100km.EL.Tr.Rail.Passenger.CPT.Elc</t>
  </si>
  <si>
    <t>Eff.kgoe_per_100km.EL.Tr.Rail.Passenger.HST</t>
  </si>
  <si>
    <t>Eff.kgoe_per_100km.EL.Tr.Rail.Freight</t>
  </si>
  <si>
    <t>Eff.kgoe_per_100km.EL.Tr.Rail.Freight.Diesel</t>
  </si>
  <si>
    <t>Eff.kgoe_per_100km.EL.Tr.Rail.Freight.Elc</t>
  </si>
  <si>
    <t>Eff.kgoe_per_kpkm.EL.Tr.Rail.Passenger.CPT.Diesel</t>
  </si>
  <si>
    <t>Eff.kgoe_per_kpkm.EL.Tr.Rail.Passenger.CPT.Elc</t>
  </si>
  <si>
    <t>Eff.kgoe_per_ktkm.EL.Tr.Rail.Freight.Diesel</t>
  </si>
  <si>
    <t>Eff.kgoe_per_ktkm.EL.Tr.Rail.Freight.Elc</t>
  </si>
  <si>
    <t>FEC_per_vehicle.kgoe.EL.Tr.Rail</t>
  </si>
  <si>
    <t>FEC_per_vehicle.kgoe.EL.Tr.Rail.Passenger</t>
  </si>
  <si>
    <t>FEC_per_vehicle.kgoe.EL.Tr.Rail.Passenger.MTU</t>
  </si>
  <si>
    <t>FEC_per_vehicle.kgoe.EL.Tr.Rail.Passenger.CPT</t>
  </si>
  <si>
    <t>FEC_per_vehicle.kgoe.EL.Tr.Rail.Passenger.CPT.Diesel</t>
  </si>
  <si>
    <t>FEC_per_vehicle.kgoe.EL.Tr.Rail.Passenger.CPT.Elc</t>
  </si>
  <si>
    <t>FEC_per_vehicle.kgoe.EL.Tr.Rail.Passenger.HST</t>
  </si>
  <si>
    <t>FEC_per_vehicle.kgoe.EL.Tr.Rail.Freight</t>
  </si>
  <si>
    <t>FEC_per_vehicle.kgoe.EL.Tr.Rail.Freight.Diesel</t>
  </si>
  <si>
    <t>FEC_per_vehicle.kgoe.EL.Tr.Rail.Freight.Elc</t>
  </si>
  <si>
    <t>Rail, metro and tram / CO2 emissions - EL - Greece</t>
  </si>
  <si>
    <t>EMI.ktCO2.EL.ES.Tr.Rail</t>
  </si>
  <si>
    <t>EMI.ktCO2.EL.ES.Tr.Rail.Diesel</t>
  </si>
  <si>
    <t>EMI.ktCO2.EL.ES.Tr.Rail.Elec</t>
  </si>
  <si>
    <t>EMI.ktCO2.EL.Tr.Rail</t>
  </si>
  <si>
    <t>EMI.ktCO2.EL.Tr.Rail.Passenger.CPT.Diesel</t>
  </si>
  <si>
    <t>EMI.ktCO2.EL.Tr.Rail.Passenger.CPT.Elc</t>
  </si>
  <si>
    <t>EMI.ktCO2.EL.Tr.Rail.Freight.Diesel</t>
  </si>
  <si>
    <t>EMI.ktCO2.EL.Tr.Rail.Freight.Elc</t>
  </si>
  <si>
    <t>EMIint.gCO2_per_km.EL.Tr.Rail</t>
  </si>
  <si>
    <t>EMIint.gCO2_per_km.EL.Tr.Rail.Passenger</t>
  </si>
  <si>
    <t>EMIint.gCO2_per_km.EL.Tr.Rail.Passenger.MTU</t>
  </si>
  <si>
    <t>EMIint.gCO2_per_km.EL.Tr.Rail.Passenger.CPT</t>
  </si>
  <si>
    <t>EMIint.gCO2_per_km.EL.Tr.Rail.Passenger.CPT.Diesel</t>
  </si>
  <si>
    <t>EMIint.gCO2_per_km.EL.Tr.Rail.Passenger.CPT.Elc</t>
  </si>
  <si>
    <t>EMIint.gCO2_per_km.EL.Tr.Rail.Passenger.HST</t>
  </si>
  <si>
    <t>EMIint.gCO2_per_km.EL.Tr.Rail.Freight</t>
  </si>
  <si>
    <t>EMIint.gCO2_per_km.EL.Tr.Rail.Freight.Diesel</t>
  </si>
  <si>
    <t>EMIint.gCO2_per_km.EL.Tr.Rail.Freight.Elc</t>
  </si>
  <si>
    <t>EMIint.gCO2_per_pkm.EL.Tr.Rail.Passenger.CPT.Diesel</t>
  </si>
  <si>
    <t>EMIint.gCO2_per_pkm.EL.Tr.Rail.Passenger.CPT.Elc</t>
  </si>
  <si>
    <t>EMIint.gCO2_per_tkm.EL.Tr.Rail.Freight.Diesel</t>
  </si>
  <si>
    <t>EMIint.gCO2_per_tkm.EL.Tr.Rail.Freight.Elc</t>
  </si>
  <si>
    <t>EMI_per_vehicle.tCO2.EL.Tr.Rail</t>
  </si>
  <si>
    <t>EMI_per_vehicle.tCO2.EL.Tr.Rail.Passenger</t>
  </si>
  <si>
    <t>EMI_per_vehicle.tCO2.EL.Tr.Rail.Passenger.MTU</t>
  </si>
  <si>
    <t>EMI_per_vehicle.tCO2.EL.Tr.Rail.Passenger.CPT</t>
  </si>
  <si>
    <t>EMI_per_vehicle.tCO2.EL.Tr.Rail.Passenger.CPT.Diesel</t>
  </si>
  <si>
    <t>EMI_per_vehicle.tCO2.EL.Tr.Rail.Passenger.CPT.Elc</t>
  </si>
  <si>
    <t>EMI_per_vehicle.tCO2.EL.Tr.Rail.Passenger.HST</t>
  </si>
  <si>
    <t>EMI_per_vehicle.tCO2.EL.Tr.Rail.Freight</t>
  </si>
  <si>
    <t>EMI_per_vehicle.tCO2.EL.Tr.Rail.Freight.Diesel</t>
  </si>
  <si>
    <t>EMI_per_vehicle.tCO2.EL.Tr.Rail.Freight.Elc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</si>
</sst>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45967.474259259259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125666.8048344425</v>
      </c>
      <c r="C4" s="28">
        <f t="shared" si="0"/>
        <v>128768.9338446005</v>
      </c>
      <c r="D4" s="28">
        <f t="shared" si="0"/>
        <v>133190.11552680939</v>
      </c>
      <c r="E4" s="28">
        <f t="shared" si="0"/>
        <v>137677.47806458175</v>
      </c>
      <c r="F4" s="28">
        <f t="shared" si="0"/>
        <v>143939.19892837844</v>
      </c>
      <c r="G4" s="28">
        <f t="shared" si="0"/>
        <v>150241.47421188487</v>
      </c>
      <c r="H4" s="28">
        <f t="shared" si="0"/>
        <v>156561.14633657294</v>
      </c>
      <c r="I4" s="28">
        <f t="shared" si="0"/>
        <v>162806.52252143103</v>
      </c>
      <c r="J4" s="28">
        <f t="shared" si="0"/>
        <v>166744.50065144774</v>
      </c>
      <c r="K4" s="28">
        <f t="shared" si="0"/>
        <v>164308.95232546379</v>
      </c>
      <c r="L4" s="28">
        <f t="shared" si="0"/>
        <v>163501.3805746194</v>
      </c>
      <c r="M4" s="28">
        <f t="shared" si="0"/>
        <v>163590.891550095</v>
      </c>
      <c r="N4" s="28">
        <f t="shared" si="0"/>
        <v>159997.37241375766</v>
      </c>
      <c r="O4" s="28">
        <f t="shared" si="0"/>
        <v>161130.10238824549</v>
      </c>
      <c r="P4" s="28">
        <f t="shared" si="0"/>
        <v>166604.61553777335</v>
      </c>
      <c r="Q4" s="28">
        <f t="shared" si="0"/>
        <v>169625.1404513288</v>
      </c>
      <c r="R4" s="28">
        <f t="shared" ref="R4:V4" si="1">R5+R9+R13</f>
        <v>174622.92837209639</v>
      </c>
      <c r="S4" s="28">
        <f t="shared" si="1"/>
        <v>180669.39382534282</v>
      </c>
      <c r="T4" s="28">
        <f t="shared" si="1"/>
        <v>186150.25847405853</v>
      </c>
      <c r="U4" s="28">
        <f t="shared" si="1"/>
        <v>190537.83905029751</v>
      </c>
      <c r="V4" s="28">
        <f t="shared" si="1"/>
        <v>129232.65735698838</v>
      </c>
      <c r="W4" s="28">
        <f t="shared" ref="W4:Y4" si="2">W5+W9+W13</f>
        <v>150979.20729155469</v>
      </c>
      <c r="X4" s="28">
        <f t="shared" si="2"/>
        <v>187502.0005390053</v>
      </c>
      <c r="Y4" s="28">
        <f t="shared" si="2"/>
        <v>198657.30745001358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89081.033687696428</v>
      </c>
      <c r="C5" s="137">
        <f t="shared" si="3"/>
        <v>94433.61652752696</v>
      </c>
      <c r="D5" s="137">
        <f t="shared" si="3"/>
        <v>99135.280132350381</v>
      </c>
      <c r="E5" s="137">
        <f t="shared" si="3"/>
        <v>103397.50953702383</v>
      </c>
      <c r="F5" s="137">
        <f t="shared" si="3"/>
        <v>107255.69052107683</v>
      </c>
      <c r="G5" s="137">
        <f t="shared" si="3"/>
        <v>112483.56888770049</v>
      </c>
      <c r="H5" s="137">
        <f t="shared" si="3"/>
        <v>117284.73761886568</v>
      </c>
      <c r="I5" s="137">
        <f t="shared" si="3"/>
        <v>122620.69964971418</v>
      </c>
      <c r="J5" s="137">
        <f t="shared" si="3"/>
        <v>128108.34182156908</v>
      </c>
      <c r="K5" s="137">
        <f t="shared" si="3"/>
        <v>128366.59142603923</v>
      </c>
      <c r="L5" s="137">
        <f t="shared" si="3"/>
        <v>128026.7719637641</v>
      </c>
      <c r="M5" s="137">
        <f t="shared" si="3"/>
        <v>127065.51332408059</v>
      </c>
      <c r="N5" s="137">
        <f t="shared" si="3"/>
        <v>125924.11353632176</v>
      </c>
      <c r="O5" s="137">
        <f t="shared" si="3"/>
        <v>124883.37127318948</v>
      </c>
      <c r="P5" s="137">
        <f t="shared" si="3"/>
        <v>126305.87703236123</v>
      </c>
      <c r="Q5" s="137">
        <f t="shared" si="3"/>
        <v>127938.38420213384</v>
      </c>
      <c r="R5" s="137">
        <f t="shared" ref="R5:V5" si="4">R6+R7+R8</f>
        <v>129597.33451912021</v>
      </c>
      <c r="S5" s="137">
        <f t="shared" si="4"/>
        <v>130577.28472203088</v>
      </c>
      <c r="T5" s="137">
        <f t="shared" si="4"/>
        <v>131643.50825034044</v>
      </c>
      <c r="U5" s="137">
        <f t="shared" si="4"/>
        <v>133816.09163567756</v>
      </c>
      <c r="V5" s="137">
        <f t="shared" si="4"/>
        <v>111667.6044267128</v>
      </c>
      <c r="W5" s="137">
        <f t="shared" ref="W5:Y5" si="5">W6+W7+W8</f>
        <v>119011.0304613154</v>
      </c>
      <c r="X5" s="137">
        <f t="shared" si="5"/>
        <v>128997.35986960675</v>
      </c>
      <c r="Y5" s="137">
        <f t="shared" si="5"/>
        <v>136665.38405608569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4381.0336876964257</v>
      </c>
      <c r="C6" s="102">
        <f>TrRoad_act!C$5</f>
        <v>4633.6165275269504</v>
      </c>
      <c r="D6" s="102">
        <f>TrRoad_act!D$5</f>
        <v>5135.2801323503791</v>
      </c>
      <c r="E6" s="102">
        <f>TrRoad_act!E$5</f>
        <v>5447.5095370238278</v>
      </c>
      <c r="F6" s="102">
        <f>TrRoad_act!F$5</f>
        <v>5655.6905210768255</v>
      </c>
      <c r="G6" s="102">
        <f>TrRoad_act!G$5</f>
        <v>5783.5688877004877</v>
      </c>
      <c r="H6" s="102">
        <f>TrRoad_act!H$5</f>
        <v>5484.7376188656744</v>
      </c>
      <c r="I6" s="102">
        <f>TrRoad_act!I$5</f>
        <v>5620.6996497141854</v>
      </c>
      <c r="J6" s="102">
        <f>TrRoad_act!J$5</f>
        <v>6008.3418215690799</v>
      </c>
      <c r="K6" s="102">
        <f>TrRoad_act!K$5</f>
        <v>6147.5484182387845</v>
      </c>
      <c r="L6" s="102">
        <f>TrRoad_act!L$5</f>
        <v>7326.7719637640967</v>
      </c>
      <c r="M6" s="102">
        <f>TrRoad_act!M$5</f>
        <v>7581.7104733309743</v>
      </c>
      <c r="N6" s="102">
        <f>TrRoad_act!N$5</f>
        <v>7893.5315545565272</v>
      </c>
      <c r="O6" s="102">
        <f>TrRoad_act!O$5</f>
        <v>8043.8635150545433</v>
      </c>
      <c r="P6" s="102">
        <f>TrRoad_act!P$5</f>
        <v>8429.7146217443478</v>
      </c>
      <c r="Q6" s="102">
        <f>TrRoad_act!Q$5</f>
        <v>8514.3277175809253</v>
      </c>
      <c r="R6" s="102">
        <f>TrRoad_act!R$5</f>
        <v>8772.2549090320354</v>
      </c>
      <c r="S6" s="102">
        <f>TrRoad_act!S$5</f>
        <v>8235.2478066252388</v>
      </c>
      <c r="T6" s="102">
        <f>TrRoad_act!T$5</f>
        <v>7699.3908690823419</v>
      </c>
      <c r="U6" s="102">
        <f>TrRoad_act!U$5</f>
        <v>8175.413024369409</v>
      </c>
      <c r="V6" s="102">
        <f>TrRoad_act!V$5</f>
        <v>7307.8063895468194</v>
      </c>
      <c r="W6" s="102">
        <f>TrRoad_act!W$5</f>
        <v>7595.5854443140688</v>
      </c>
      <c r="X6" s="102">
        <f>TrRoad_act!X$5</f>
        <v>7687.1656781717402</v>
      </c>
      <c r="Y6" s="102">
        <f>TrRoad_act!Y$5</f>
        <v>8352.9655498947031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63000</v>
      </c>
      <c r="C7" s="102">
        <f>TrRoad_act!C$6</f>
        <v>68000.000000000015</v>
      </c>
      <c r="D7" s="102">
        <f>TrRoad_act!D$6</f>
        <v>72000</v>
      </c>
      <c r="E7" s="102">
        <f>TrRoad_act!E$6</f>
        <v>76000</v>
      </c>
      <c r="F7" s="102">
        <f>TrRoad_act!F$6</f>
        <v>80000</v>
      </c>
      <c r="G7" s="102">
        <f>TrRoad_act!G$6</f>
        <v>85000</v>
      </c>
      <c r="H7" s="102">
        <f>TrRoad_act!H$6</f>
        <v>90000</v>
      </c>
      <c r="I7" s="102">
        <f>TrRoad_act!I$6</f>
        <v>95000</v>
      </c>
      <c r="J7" s="102">
        <f>TrRoad_act!J$6</f>
        <v>100000</v>
      </c>
      <c r="K7" s="102">
        <f>TrRoad_act!K$6</f>
        <v>101300</v>
      </c>
      <c r="L7" s="102">
        <f>TrRoad_act!L$6</f>
        <v>99600</v>
      </c>
      <c r="M7" s="102">
        <f>TrRoad_act!M$6</f>
        <v>98322.079941260134</v>
      </c>
      <c r="N7" s="102">
        <f>TrRoad_act!N$6</f>
        <v>96934.481527791082</v>
      </c>
      <c r="O7" s="102">
        <f>TrRoad_act!O$6</f>
        <v>95811.379215017092</v>
      </c>
      <c r="P7" s="102">
        <f>TrRoad_act!P$6</f>
        <v>96870.041465995091</v>
      </c>
      <c r="Q7" s="102">
        <f>TrRoad_act!Q$6</f>
        <v>98275.784515578431</v>
      </c>
      <c r="R7" s="102">
        <f>TrRoad_act!R$6</f>
        <v>99922.362971391893</v>
      </c>
      <c r="S7" s="102">
        <f>TrRoad_act!S$6</f>
        <v>101877.08750292296</v>
      </c>
      <c r="T7" s="102">
        <f>TrRoad_act!T$6</f>
        <v>103395.3545725447</v>
      </c>
      <c r="U7" s="102">
        <f>TrRoad_act!U$6</f>
        <v>105305.16484643624</v>
      </c>
      <c r="V7" s="102">
        <f>TrRoad_act!V$6</f>
        <v>91046.951931119649</v>
      </c>
      <c r="W7" s="102">
        <f>TrRoad_act!W$6</f>
        <v>97646.14209748985</v>
      </c>
      <c r="X7" s="102">
        <f>TrRoad_act!X$6</f>
        <v>103634.25935803835</v>
      </c>
      <c r="Y7" s="102">
        <f>TrRoad_act!Y$6</f>
        <v>109406.65568117968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21700</v>
      </c>
      <c r="C8" s="102">
        <f>TrRoad_act!C$13</f>
        <v>21800</v>
      </c>
      <c r="D8" s="102">
        <f>TrRoad_act!D$13</f>
        <v>22000</v>
      </c>
      <c r="E8" s="102">
        <f>TrRoad_act!E$13</f>
        <v>21950</v>
      </c>
      <c r="F8" s="102">
        <f>TrRoad_act!F$13</f>
        <v>21600</v>
      </c>
      <c r="G8" s="102">
        <f>TrRoad_act!G$13</f>
        <v>21700</v>
      </c>
      <c r="H8" s="102">
        <f>TrRoad_act!H$13</f>
        <v>21800</v>
      </c>
      <c r="I8" s="102">
        <f>TrRoad_act!I$13</f>
        <v>22000</v>
      </c>
      <c r="J8" s="102">
        <f>TrRoad_act!J$13</f>
        <v>22100</v>
      </c>
      <c r="K8" s="102">
        <f>TrRoad_act!K$13</f>
        <v>20919.04300780045</v>
      </c>
      <c r="L8" s="102">
        <f>TrRoad_act!L$13</f>
        <v>21100</v>
      </c>
      <c r="M8" s="102">
        <f>TrRoad_act!M$13</f>
        <v>21161.722909489494</v>
      </c>
      <c r="N8" s="102">
        <f>TrRoad_act!N$13</f>
        <v>21096.100453974148</v>
      </c>
      <c r="O8" s="102">
        <f>TrRoad_act!O$13</f>
        <v>21028.128543117837</v>
      </c>
      <c r="P8" s="102">
        <f>TrRoad_act!P$13</f>
        <v>21006.120944621787</v>
      </c>
      <c r="Q8" s="102">
        <f>TrRoad_act!Q$13</f>
        <v>21148.271968974477</v>
      </c>
      <c r="R8" s="102">
        <f>TrRoad_act!R$13</f>
        <v>20902.716638696274</v>
      </c>
      <c r="S8" s="102">
        <f>TrRoad_act!S$13</f>
        <v>20464.949412482678</v>
      </c>
      <c r="T8" s="102">
        <f>TrRoad_act!T$13</f>
        <v>20548.762808713404</v>
      </c>
      <c r="U8" s="102">
        <f>TrRoad_act!U$13</f>
        <v>20335.513764871921</v>
      </c>
      <c r="V8" s="102">
        <f>TrRoad_act!V$13</f>
        <v>13312.846106046329</v>
      </c>
      <c r="W8" s="102">
        <f>TrRoad_act!W$13</f>
        <v>13769.302919511481</v>
      </c>
      <c r="X8" s="102">
        <f>TrRoad_act!X$13</f>
        <v>17675.934833396652</v>
      </c>
      <c r="Y8" s="102">
        <f>TrRoad_act!Y$13</f>
        <v>18905.762825011305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3076</v>
      </c>
      <c r="C9" s="110">
        <f t="shared" si="6"/>
        <v>3077</v>
      </c>
      <c r="D9" s="110">
        <f t="shared" si="6"/>
        <v>3186</v>
      </c>
      <c r="E9" s="110">
        <f t="shared" si="6"/>
        <v>2974</v>
      </c>
      <c r="F9" s="110">
        <f t="shared" si="6"/>
        <v>3168</v>
      </c>
      <c r="G9" s="110">
        <f t="shared" si="6"/>
        <v>3354</v>
      </c>
      <c r="H9" s="110">
        <f t="shared" si="6"/>
        <v>3361</v>
      </c>
      <c r="I9" s="110">
        <f t="shared" si="6"/>
        <v>3530</v>
      </c>
      <c r="J9" s="110">
        <f t="shared" si="6"/>
        <v>3317</v>
      </c>
      <c r="K9" s="110">
        <f t="shared" si="6"/>
        <v>3138</v>
      </c>
      <c r="L9" s="110">
        <f t="shared" si="6"/>
        <v>3075.7464982806518</v>
      </c>
      <c r="M9" s="110">
        <f t="shared" si="6"/>
        <v>2632.5821660935508</v>
      </c>
      <c r="N9" s="110">
        <f t="shared" si="6"/>
        <v>2501.3892905336879</v>
      </c>
      <c r="O9" s="110">
        <f t="shared" si="6"/>
        <v>2720.0104964628026</v>
      </c>
      <c r="P9" s="110">
        <f t="shared" si="6"/>
        <v>2734.2689779617967</v>
      </c>
      <c r="Q9" s="110">
        <f t="shared" si="6"/>
        <v>2936.9048608075291</v>
      </c>
      <c r="R9" s="110">
        <f t="shared" ref="R9:V9" si="7">R10+R11+R12</f>
        <v>2845.8180024778389</v>
      </c>
      <c r="S9" s="110">
        <f t="shared" si="7"/>
        <v>2800.5481805298732</v>
      </c>
      <c r="T9" s="110">
        <f t="shared" si="7"/>
        <v>2799.4635632585059</v>
      </c>
      <c r="U9" s="110">
        <f t="shared" si="7"/>
        <v>2929.8685388232807</v>
      </c>
      <c r="V9" s="110">
        <f t="shared" si="7"/>
        <v>1728.4600413566914</v>
      </c>
      <c r="W9" s="110">
        <f t="shared" ref="W9:Y9" si="8">W10+W11+W12</f>
        <v>1778.7800102126505</v>
      </c>
      <c r="X9" s="110">
        <f t="shared" si="8"/>
        <v>2562.1867471854139</v>
      </c>
      <c r="Y9" s="110">
        <f t="shared" si="8"/>
        <v>2202.9280139865318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1190</v>
      </c>
      <c r="C10" s="102">
        <f>TrRail_act!C$5</f>
        <v>1330</v>
      </c>
      <c r="D10" s="102">
        <f>TrRail_act!D$5</f>
        <v>1350</v>
      </c>
      <c r="E10" s="102">
        <f>TrRail_act!E$5</f>
        <v>1400</v>
      </c>
      <c r="F10" s="102">
        <f>TrRail_act!F$5</f>
        <v>1500</v>
      </c>
      <c r="G10" s="102">
        <f>TrRail_act!G$5</f>
        <v>1500</v>
      </c>
      <c r="H10" s="102">
        <f>TrRail_act!H$5</f>
        <v>1550</v>
      </c>
      <c r="I10" s="102">
        <f>TrRail_act!I$5</f>
        <v>1600</v>
      </c>
      <c r="J10" s="102">
        <f>TrRail_act!J$5</f>
        <v>1660</v>
      </c>
      <c r="K10" s="102">
        <f>TrRail_act!K$5</f>
        <v>1671</v>
      </c>
      <c r="L10" s="102">
        <f>TrRail_act!L$5</f>
        <v>1692.7464982806518</v>
      </c>
      <c r="M10" s="102">
        <f>TrRail_act!M$5</f>
        <v>1674.5821660935505</v>
      </c>
      <c r="N10" s="102">
        <f>TrRail_act!N$5</f>
        <v>1669.3892905336882</v>
      </c>
      <c r="O10" s="102">
        <f>TrRail_act!O$5</f>
        <v>1664.0104964628028</v>
      </c>
      <c r="P10" s="102">
        <f>TrRail_act!P$5</f>
        <v>1662.268977961797</v>
      </c>
      <c r="Q10" s="102">
        <f>TrRail_act!Q$5</f>
        <v>1673.9048608075293</v>
      </c>
      <c r="R10" s="102">
        <f>TrRail_act!R$5</f>
        <v>1653.8180024778389</v>
      </c>
      <c r="S10" s="102">
        <f>TrRail_act!S$5</f>
        <v>1688.5481805298734</v>
      </c>
      <c r="T10" s="102">
        <f>TrRail_act!T$5</f>
        <v>1695.4635632585057</v>
      </c>
      <c r="U10" s="102">
        <f>TrRail_act!U$5</f>
        <v>1677.8685388232809</v>
      </c>
      <c r="V10" s="102">
        <f>TrRail_act!V$5</f>
        <v>1088.4600413566914</v>
      </c>
      <c r="W10" s="102">
        <f>TrRail_act!W$5</f>
        <v>1125.7800102126505</v>
      </c>
      <c r="X10" s="102">
        <f>TrRail_act!X$5</f>
        <v>1445.1867471854141</v>
      </c>
      <c r="Y10" s="102">
        <f>TrRail_act!Y$5</f>
        <v>1529.9280139865318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1886</v>
      </c>
      <c r="C11" s="102">
        <f>TrRail_act!C$6</f>
        <v>1747</v>
      </c>
      <c r="D11" s="102">
        <f>TrRail_act!D$6</f>
        <v>1836</v>
      </c>
      <c r="E11" s="102">
        <f>TrRail_act!E$6</f>
        <v>1574</v>
      </c>
      <c r="F11" s="102">
        <f>TrRail_act!F$6</f>
        <v>1668</v>
      </c>
      <c r="G11" s="102">
        <f>TrRail_act!G$6</f>
        <v>1854</v>
      </c>
      <c r="H11" s="102">
        <f>TrRail_act!H$6</f>
        <v>1811</v>
      </c>
      <c r="I11" s="102">
        <f>TrRail_act!I$6</f>
        <v>1930</v>
      </c>
      <c r="J11" s="102">
        <f>TrRail_act!J$6</f>
        <v>1657</v>
      </c>
      <c r="K11" s="102">
        <f>TrRail_act!K$6</f>
        <v>1467</v>
      </c>
      <c r="L11" s="102">
        <f>TrRail_act!L$6</f>
        <v>1383</v>
      </c>
      <c r="M11" s="102">
        <f>TrRail_act!M$6</f>
        <v>958</v>
      </c>
      <c r="N11" s="102">
        <f>TrRail_act!N$6</f>
        <v>832</v>
      </c>
      <c r="O11" s="102">
        <f>TrRail_act!O$6</f>
        <v>1056</v>
      </c>
      <c r="P11" s="102">
        <f>TrRail_act!P$6</f>
        <v>1072</v>
      </c>
      <c r="Q11" s="102">
        <f>TrRail_act!Q$6</f>
        <v>1263</v>
      </c>
      <c r="R11" s="102">
        <f>TrRail_act!R$6</f>
        <v>1192</v>
      </c>
      <c r="S11" s="102">
        <f>TrRail_act!S$6</f>
        <v>1112</v>
      </c>
      <c r="T11" s="102">
        <f>TrRail_act!T$6</f>
        <v>1104</v>
      </c>
      <c r="U11" s="102">
        <f>TrRail_act!U$6</f>
        <v>1252</v>
      </c>
      <c r="V11" s="102">
        <f>TrRail_act!V$6</f>
        <v>640</v>
      </c>
      <c r="W11" s="102">
        <f>TrRail_act!W$6</f>
        <v>653</v>
      </c>
      <c r="X11" s="102">
        <f>TrRail_act!X$6</f>
        <v>1117</v>
      </c>
      <c r="Y11" s="102">
        <f>TrRail_act!Y$6</f>
        <v>673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X12" s="102">
        <f>TrRail_act!X$9</f>
        <v>0</v>
      </c>
      <c r="Y12" s="102">
        <f>TrRail_act!Y$9</f>
        <v>0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33509.771146746083</v>
      </c>
      <c r="C13" s="110">
        <f t="shared" ref="C13:V13" si="10">C14+C15+C16</f>
        <v>31258.317317073543</v>
      </c>
      <c r="D13" s="110">
        <f t="shared" si="10"/>
        <v>30868.835394458998</v>
      </c>
      <c r="E13" s="110">
        <f t="shared" si="10"/>
        <v>31305.968527557918</v>
      </c>
      <c r="F13" s="110">
        <f t="shared" si="10"/>
        <v>33515.508407301604</v>
      </c>
      <c r="G13" s="110">
        <f t="shared" si="10"/>
        <v>34403.905324184372</v>
      </c>
      <c r="H13" s="110">
        <f t="shared" si="10"/>
        <v>35915.408717707272</v>
      </c>
      <c r="I13" s="110">
        <f t="shared" si="10"/>
        <v>36655.822871716839</v>
      </c>
      <c r="J13" s="110">
        <f t="shared" si="10"/>
        <v>35319.158829878681</v>
      </c>
      <c r="K13" s="110">
        <f t="shared" si="10"/>
        <v>32804.360899424566</v>
      </c>
      <c r="L13" s="110">
        <f t="shared" si="10"/>
        <v>32398.862112574672</v>
      </c>
      <c r="M13" s="110">
        <f t="shared" si="10"/>
        <v>33892.796059920853</v>
      </c>
      <c r="N13" s="110">
        <f t="shared" si="10"/>
        <v>31571.869586902234</v>
      </c>
      <c r="O13" s="110">
        <f t="shared" si="10"/>
        <v>33526.720618593208</v>
      </c>
      <c r="P13" s="110">
        <f t="shared" si="10"/>
        <v>37564.469527450317</v>
      </c>
      <c r="Q13" s="110">
        <f t="shared" si="10"/>
        <v>38749.85138838744</v>
      </c>
      <c r="R13" s="110">
        <f t="shared" si="10"/>
        <v>42179.775850498365</v>
      </c>
      <c r="S13" s="110">
        <f t="shared" si="10"/>
        <v>47291.560922782068</v>
      </c>
      <c r="T13" s="110">
        <f t="shared" si="10"/>
        <v>51707.286660459606</v>
      </c>
      <c r="U13" s="110">
        <f t="shared" si="10"/>
        <v>53791.878875796698</v>
      </c>
      <c r="V13" s="110">
        <f t="shared" si="10"/>
        <v>15836.592888918885</v>
      </c>
      <c r="W13" s="110">
        <f t="shared" ref="W13:Y13" si="11">W14+W15+W16</f>
        <v>30189.396820026639</v>
      </c>
      <c r="X13" s="110">
        <f t="shared" si="11"/>
        <v>55942.453922213143</v>
      </c>
      <c r="Y13" s="110">
        <f t="shared" si="11"/>
        <v>59788.995379941349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2488.4994358538765</v>
      </c>
      <c r="C14" s="102">
        <f>TrAvia_act!C$5</f>
        <v>2371.6997311843511</v>
      </c>
      <c r="D14" s="102">
        <f>TrAvia_act!D$5</f>
        <v>2186.3134820959676</v>
      </c>
      <c r="E14" s="102">
        <f>TrAvia_act!E$5</f>
        <v>2103.3315914289128</v>
      </c>
      <c r="F14" s="102">
        <f>TrAvia_act!F$5</f>
        <v>2447.2823035056063</v>
      </c>
      <c r="G14" s="102">
        <f>TrAvia_act!G$5</f>
        <v>2500.19867597142</v>
      </c>
      <c r="H14" s="102">
        <f>TrAvia_act!H$5</f>
        <v>2628.2753061787575</v>
      </c>
      <c r="I14" s="102">
        <f>TrAvia_act!I$5</f>
        <v>2814.9848275215627</v>
      </c>
      <c r="J14" s="102">
        <f>TrAvia_act!J$5</f>
        <v>2773.7820833300066</v>
      </c>
      <c r="K14" s="102">
        <f>TrAvia_act!K$5</f>
        <v>2822.8819278819528</v>
      </c>
      <c r="L14" s="102">
        <f>TrAvia_act!L$5</f>
        <v>2518.3467328982974</v>
      </c>
      <c r="M14" s="102">
        <f>TrAvia_act!M$5</f>
        <v>2112.7297660140375</v>
      </c>
      <c r="N14" s="102">
        <f>TrAvia_act!N$5</f>
        <v>1927.8941127530386</v>
      </c>
      <c r="O14" s="102">
        <f>TrAvia_act!O$5</f>
        <v>1863.265565023773</v>
      </c>
      <c r="P14" s="102">
        <f>TrAvia_act!P$5</f>
        <v>2263.1055060039307</v>
      </c>
      <c r="Q14" s="102">
        <f>TrAvia_act!Q$5</f>
        <v>2709.3657201810311</v>
      </c>
      <c r="R14" s="102">
        <f>TrAvia_act!R$5</f>
        <v>2909.6572246752266</v>
      </c>
      <c r="S14" s="102">
        <f>TrAvia_act!S$5</f>
        <v>2897.4105677939197</v>
      </c>
      <c r="T14" s="102">
        <f>TrAvia_act!T$5</f>
        <v>2905.7054341795629</v>
      </c>
      <c r="U14" s="102">
        <f>TrAvia_act!U$5</f>
        <v>2874.8653443847465</v>
      </c>
      <c r="V14" s="102">
        <f>TrAvia_act!V$5</f>
        <v>1278.9326746311604</v>
      </c>
      <c r="W14" s="102">
        <f>TrAvia_act!W$5</f>
        <v>2002.4896026004908</v>
      </c>
      <c r="X14" s="102">
        <f>TrAvia_act!X$5</f>
        <v>3065.4430636253173</v>
      </c>
      <c r="Y14" s="102">
        <f>TrAvia_act!Y$5</f>
        <v>3156.5721719700414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28112.860263007406</v>
      </c>
      <c r="C15" s="102">
        <f>TrAvia_act!C$6</f>
        <v>26167.236659985385</v>
      </c>
      <c r="D15" s="102">
        <f>TrAvia_act!D$6</f>
        <v>25943.418289721372</v>
      </c>
      <c r="E15" s="102">
        <f>TrAvia_act!E$6</f>
        <v>26350.181990477478</v>
      </c>
      <c r="F15" s="102">
        <f>TrAvia_act!F$6</f>
        <v>27671.298629019722</v>
      </c>
      <c r="G15" s="102">
        <f>TrAvia_act!G$6</f>
        <v>28192.381531957471</v>
      </c>
      <c r="H15" s="102">
        <f>TrAvia_act!H$6</f>
        <v>28783.502864691483</v>
      </c>
      <c r="I15" s="102">
        <f>TrAvia_act!I$6</f>
        <v>28555.7070544528</v>
      </c>
      <c r="J15" s="102">
        <f>TrAvia_act!J$6</f>
        <v>26761.756401092731</v>
      </c>
      <c r="K15" s="102">
        <f>TrAvia_act!K$6</f>
        <v>25063.890330256829</v>
      </c>
      <c r="L15" s="102">
        <f>TrAvia_act!L$6</f>
        <v>24354.747066003511</v>
      </c>
      <c r="M15" s="102">
        <f>TrAvia_act!M$6</f>
        <v>25652.858568210489</v>
      </c>
      <c r="N15" s="102">
        <f>TrAvia_act!N$6</f>
        <v>23913.846072556677</v>
      </c>
      <c r="O15" s="102">
        <f>TrAvia_act!O$6</f>
        <v>24622.112595218361</v>
      </c>
      <c r="P15" s="102">
        <f>TrAvia_act!P$6</f>
        <v>28130.34271617675</v>
      </c>
      <c r="Q15" s="102">
        <f>TrAvia_act!Q$6</f>
        <v>29749.980324809861</v>
      </c>
      <c r="R15" s="102">
        <f>TrAvia_act!R$6</f>
        <v>32204.701911153737</v>
      </c>
      <c r="S15" s="102">
        <f>TrAvia_act!S$6</f>
        <v>35795.405477569788</v>
      </c>
      <c r="T15" s="102">
        <f>TrAvia_act!T$6</f>
        <v>38888.696572049463</v>
      </c>
      <c r="U15" s="102">
        <f>TrAvia_act!U$6</f>
        <v>40099.615630931956</v>
      </c>
      <c r="V15" s="102">
        <f>TrAvia_act!V$6</f>
        <v>13090.847785271751</v>
      </c>
      <c r="W15" s="102">
        <f>TrAvia_act!W$6</f>
        <v>23203.903783292288</v>
      </c>
      <c r="X15" s="102">
        <f>TrAvia_act!X$6</f>
        <v>43964.785538262971</v>
      </c>
      <c r="Y15" s="102">
        <f>TrAvia_act!Y$6</f>
        <v>46529.085257340812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2908.4114478848001</v>
      </c>
      <c r="C16" s="102">
        <f>TrAvia_act!C$7</f>
        <v>2719.3809259038048</v>
      </c>
      <c r="D16" s="102">
        <f>TrAvia_act!D$7</f>
        <v>2739.1036226416595</v>
      </c>
      <c r="E16" s="102">
        <f>TrAvia_act!E$7</f>
        <v>2852.4549456515269</v>
      </c>
      <c r="F16" s="102">
        <f>TrAvia_act!F$7</f>
        <v>3396.9274747762761</v>
      </c>
      <c r="G16" s="102">
        <f>TrAvia_act!G$7</f>
        <v>3711.3251162554793</v>
      </c>
      <c r="H16" s="102">
        <f>TrAvia_act!H$7</f>
        <v>4503.6305468370319</v>
      </c>
      <c r="I16" s="102">
        <f>TrAvia_act!I$7</f>
        <v>5285.1309897424781</v>
      </c>
      <c r="J16" s="102">
        <f>TrAvia_act!J$7</f>
        <v>5783.6203454559436</v>
      </c>
      <c r="K16" s="102">
        <f>TrAvia_act!K$7</f>
        <v>4917.5886412857844</v>
      </c>
      <c r="L16" s="102">
        <f>TrAvia_act!L$7</f>
        <v>5525.7683136728629</v>
      </c>
      <c r="M16" s="102">
        <f>TrAvia_act!M$7</f>
        <v>6127.2077256963257</v>
      </c>
      <c r="N16" s="102">
        <f>TrAvia_act!N$7</f>
        <v>5730.1294015925178</v>
      </c>
      <c r="O16" s="102">
        <f>TrAvia_act!O$7</f>
        <v>7041.3424583510769</v>
      </c>
      <c r="P16" s="102">
        <f>TrAvia_act!P$7</f>
        <v>7171.0213052696354</v>
      </c>
      <c r="Q16" s="102">
        <f>TrAvia_act!Q$7</f>
        <v>6290.5053433965495</v>
      </c>
      <c r="R16" s="102">
        <f>TrAvia_act!R$7</f>
        <v>7065.4167146694053</v>
      </c>
      <c r="S16" s="102">
        <f>TrAvia_act!S$7</f>
        <v>8598.744877418354</v>
      </c>
      <c r="T16" s="102">
        <f>TrAvia_act!T$7</f>
        <v>9912.8846542305801</v>
      </c>
      <c r="U16" s="102">
        <f>TrAvia_act!U$7</f>
        <v>10817.397900479998</v>
      </c>
      <c r="V16" s="102">
        <f>TrAvia_act!V$7</f>
        <v>1466.8124290159733</v>
      </c>
      <c r="W16" s="102">
        <f>TrAvia_act!W$7</f>
        <v>4983.0034341338633</v>
      </c>
      <c r="X16" s="102">
        <f>TrAvia_act!X$7</f>
        <v>8912.2253203248529</v>
      </c>
      <c r="Y16" s="102">
        <f>TrAvia_act!Y$7</f>
        <v>10103.337950630495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37662.249090980331</v>
      </c>
      <c r="C17" s="28">
        <f t="shared" si="12"/>
        <v>31696.142050160965</v>
      </c>
      <c r="D17" s="28">
        <f t="shared" si="12"/>
        <v>33618.330983632812</v>
      </c>
      <c r="E17" s="28">
        <f t="shared" si="12"/>
        <v>26268.600843680906</v>
      </c>
      <c r="F17" s="28">
        <f t="shared" si="12"/>
        <v>42970.930674546638</v>
      </c>
      <c r="G17" s="28">
        <f t="shared" si="12"/>
        <v>30469.567166108412</v>
      </c>
      <c r="H17" s="28">
        <f t="shared" si="12"/>
        <v>37869.844331850247</v>
      </c>
      <c r="I17" s="28">
        <f t="shared" si="12"/>
        <v>33520.647275260031</v>
      </c>
      <c r="J17" s="28">
        <f t="shared" si="12"/>
        <v>35073.50781509497</v>
      </c>
      <c r="K17" s="28">
        <f t="shared" si="12"/>
        <v>33838.588988474476</v>
      </c>
      <c r="L17" s="28">
        <f t="shared" si="12"/>
        <v>35082.207517057745</v>
      </c>
      <c r="M17" s="28">
        <f t="shared" si="12"/>
        <v>25706.869647774245</v>
      </c>
      <c r="N17" s="28">
        <f t="shared" si="12"/>
        <v>25335.246666014744</v>
      </c>
      <c r="O17" s="28">
        <f t="shared" si="12"/>
        <v>22234.099753393861</v>
      </c>
      <c r="P17" s="28">
        <f t="shared" si="12"/>
        <v>24656.112207731992</v>
      </c>
      <c r="Q17" s="28">
        <f t="shared" si="12"/>
        <v>25769.384150746901</v>
      </c>
      <c r="R17" s="28">
        <f t="shared" ref="R17:V17" si="13">R18+R21+R22+R26</f>
        <v>27455.04736243463</v>
      </c>
      <c r="S17" s="28">
        <f t="shared" si="13"/>
        <v>27662.133456340423</v>
      </c>
      <c r="T17" s="28">
        <f t="shared" si="13"/>
        <v>27462.029508373726</v>
      </c>
      <c r="U17" s="28">
        <f t="shared" si="13"/>
        <v>27256.052818464523</v>
      </c>
      <c r="V17" s="28">
        <f t="shared" si="13"/>
        <v>24001.080795490016</v>
      </c>
      <c r="W17" s="28">
        <f t="shared" ref="W17:Y17" si="14">W18+W21+W22+W26</f>
        <v>27233.0691654189</v>
      </c>
      <c r="X17" s="28">
        <f t="shared" si="14"/>
        <v>27070.083763176379</v>
      </c>
      <c r="Y17" s="28">
        <f t="shared" si="14"/>
        <v>25927.02358880953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25980.033103545898</v>
      </c>
      <c r="C18" s="137">
        <f t="shared" si="15"/>
        <v>26665.249220601938</v>
      </c>
      <c r="D18" s="137">
        <f t="shared" si="15"/>
        <v>27360.150448473341</v>
      </c>
      <c r="E18" s="137">
        <f t="shared" si="15"/>
        <v>18787.847796381404</v>
      </c>
      <c r="F18" s="137">
        <f t="shared" si="15"/>
        <v>35600.570093889743</v>
      </c>
      <c r="G18" s="137">
        <f t="shared" si="15"/>
        <v>23589.424736984452</v>
      </c>
      <c r="H18" s="137">
        <f t="shared" si="15"/>
        <v>30749.178381915335</v>
      </c>
      <c r="I18" s="137">
        <f t="shared" si="15"/>
        <v>26102.110661258917</v>
      </c>
      <c r="J18" s="137">
        <f t="shared" si="15"/>
        <v>28413.754007327734</v>
      </c>
      <c r="K18" s="137">
        <f t="shared" si="15"/>
        <v>28063.892528767192</v>
      </c>
      <c r="L18" s="137">
        <f t="shared" si="15"/>
        <v>29731.98565867998</v>
      </c>
      <c r="M18" s="137">
        <f t="shared" si="15"/>
        <v>20589.042813228403</v>
      </c>
      <c r="N18" s="137">
        <f t="shared" si="15"/>
        <v>20204.00586452584</v>
      </c>
      <c r="O18" s="137">
        <f t="shared" si="15"/>
        <v>17047.582168411776</v>
      </c>
      <c r="P18" s="137">
        <f t="shared" si="15"/>
        <v>19401.555743017529</v>
      </c>
      <c r="Q18" s="137">
        <f t="shared" si="15"/>
        <v>19953.040596018338</v>
      </c>
      <c r="R18" s="137">
        <f t="shared" ref="R18:V18" si="16">R19+R20</f>
        <v>21830.085276806149</v>
      </c>
      <c r="S18" s="137">
        <f t="shared" si="16"/>
        <v>21897.564168721383</v>
      </c>
      <c r="T18" s="137">
        <f t="shared" si="16"/>
        <v>21500.465764557975</v>
      </c>
      <c r="U18" s="137">
        <f t="shared" si="16"/>
        <v>21110.28763820128</v>
      </c>
      <c r="V18" s="137">
        <f t="shared" si="16"/>
        <v>18663.407882900974</v>
      </c>
      <c r="W18" s="137">
        <f t="shared" ref="W18:Y18" si="17">W19+W20</f>
        <v>21724.015798613538</v>
      </c>
      <c r="X18" s="137">
        <f t="shared" si="17"/>
        <v>21647.039575711304</v>
      </c>
      <c r="Y18" s="137">
        <f t="shared" si="17"/>
        <v>20302.752400601152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1312.1663412330745</v>
      </c>
      <c r="C19" s="102">
        <f>TrRoad_act!C$20</f>
        <v>1378.897061869498</v>
      </c>
      <c r="D19" s="102">
        <f>TrRoad_act!D$20</f>
        <v>1468.7122404917318</v>
      </c>
      <c r="E19" s="102">
        <f>TrRoad_act!E$20</f>
        <v>1591.2658083409483</v>
      </c>
      <c r="F19" s="102">
        <f>TrRoad_act!F$20</f>
        <v>1624.6819806162507</v>
      </c>
      <c r="G19" s="102">
        <f>TrRoad_act!G$20</f>
        <v>1672.8258816729697</v>
      </c>
      <c r="H19" s="102">
        <f>TrRoad_act!H$20</f>
        <v>1778.2382669931735</v>
      </c>
      <c r="I19" s="102">
        <f>TrRoad_act!I$20</f>
        <v>1958.9204863213949</v>
      </c>
      <c r="J19" s="102">
        <f>TrRoad_act!J$20</f>
        <v>1968.5934717812288</v>
      </c>
      <c r="K19" s="102">
        <f>TrRoad_act!K$20</f>
        <v>1988.2450152949655</v>
      </c>
      <c r="L19" s="102">
        <f>TrRoad_act!L$20</f>
        <v>2086.4409968351206</v>
      </c>
      <c r="M19" s="102">
        <f>TrRoad_act!M$20</f>
        <v>1854.1960829526467</v>
      </c>
      <c r="N19" s="102">
        <f>TrRoad_act!N$20</f>
        <v>1574.2593815858384</v>
      </c>
      <c r="O19" s="102">
        <f>TrRoad_act!O$20</f>
        <v>1859.8833758023934</v>
      </c>
      <c r="P19" s="102">
        <f>TrRoad_act!P$20</f>
        <v>1871.2760833429832</v>
      </c>
      <c r="Q19" s="102">
        <f>TrRoad_act!Q$20</f>
        <v>2300.3175131766948</v>
      </c>
      <c r="R19" s="102">
        <f>TrRoad_act!R$20</f>
        <v>2488.1968882790325</v>
      </c>
      <c r="S19" s="102">
        <f>TrRoad_act!S$20</f>
        <v>2180.5342062630707</v>
      </c>
      <c r="T19" s="102">
        <f>TrRoad_act!T$20</f>
        <v>2121.4657645579769</v>
      </c>
      <c r="U19" s="102">
        <f>TrRoad_act!U$20</f>
        <v>2133.2876382012805</v>
      </c>
      <c r="V19" s="102">
        <f>TrRoad_act!V$20</f>
        <v>1880.4078829009752</v>
      </c>
      <c r="W19" s="102">
        <f>TrRoad_act!W$20</f>
        <v>2009.0157986135364</v>
      </c>
      <c r="X19" s="102">
        <f>TrRoad_act!X$20</f>
        <v>2091.0395757113038</v>
      </c>
      <c r="Y19" s="102">
        <f>TrRoad_act!Y$20</f>
        <v>2172.7524006011536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24667.866762312824</v>
      </c>
      <c r="C20" s="102">
        <f>TrRoad_act!C$26</f>
        <v>25286.352158732439</v>
      </c>
      <c r="D20" s="102">
        <f>TrRoad_act!D$26</f>
        <v>25891.43820798161</v>
      </c>
      <c r="E20" s="102">
        <f>TrRoad_act!E$26</f>
        <v>17196.581988040456</v>
      </c>
      <c r="F20" s="102">
        <f>TrRoad_act!F$26</f>
        <v>33975.88811327349</v>
      </c>
      <c r="G20" s="102">
        <f>TrRoad_act!G$26</f>
        <v>21916.598855311484</v>
      </c>
      <c r="H20" s="102">
        <f>TrRoad_act!H$26</f>
        <v>28970.940114922163</v>
      </c>
      <c r="I20" s="102">
        <f>TrRoad_act!I$26</f>
        <v>24143.190174937521</v>
      </c>
      <c r="J20" s="102">
        <f>TrRoad_act!J$26</f>
        <v>26445.160535546504</v>
      </c>
      <c r="K20" s="102">
        <f>TrRoad_act!K$26</f>
        <v>26075.647513472228</v>
      </c>
      <c r="L20" s="102">
        <f>TrRoad_act!L$26</f>
        <v>27645.544661844859</v>
      </c>
      <c r="M20" s="102">
        <f>TrRoad_act!M$26</f>
        <v>18734.846730275756</v>
      </c>
      <c r="N20" s="102">
        <f>TrRoad_act!N$26</f>
        <v>18629.746482940001</v>
      </c>
      <c r="O20" s="102">
        <f>TrRoad_act!O$26</f>
        <v>15187.698792609384</v>
      </c>
      <c r="P20" s="102">
        <f>TrRoad_act!P$26</f>
        <v>17530.279659674547</v>
      </c>
      <c r="Q20" s="102">
        <f>TrRoad_act!Q$26</f>
        <v>17652.723082841643</v>
      </c>
      <c r="R20" s="102">
        <f>TrRoad_act!R$26</f>
        <v>19341.888388527117</v>
      </c>
      <c r="S20" s="102">
        <f>TrRoad_act!S$26</f>
        <v>19717.029962458313</v>
      </c>
      <c r="T20" s="102">
        <f>TrRoad_act!T$26</f>
        <v>19379</v>
      </c>
      <c r="U20" s="102">
        <f>TrRoad_act!U$26</f>
        <v>18977</v>
      </c>
      <c r="V20" s="102">
        <f>TrRoad_act!V$26</f>
        <v>16783</v>
      </c>
      <c r="W20" s="102">
        <f>TrRoad_act!W$26</f>
        <v>19715</v>
      </c>
      <c r="X20" s="102">
        <f>TrRoad_act!X$26</f>
        <v>19556</v>
      </c>
      <c r="Y20" s="102">
        <f>TrRoad_act!Y$26</f>
        <v>18130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427</v>
      </c>
      <c r="C21" s="110">
        <f>TrRail_act!C$10</f>
        <v>380</v>
      </c>
      <c r="D21" s="110">
        <f>TrRail_act!D$10</f>
        <v>327</v>
      </c>
      <c r="E21" s="110">
        <f>TrRail_act!E$10</f>
        <v>456</v>
      </c>
      <c r="F21" s="110">
        <f>TrRail_act!F$10</f>
        <v>592</v>
      </c>
      <c r="G21" s="110">
        <f>TrRail_act!G$10</f>
        <v>613</v>
      </c>
      <c r="H21" s="110">
        <f>TrRail_act!H$10</f>
        <v>662</v>
      </c>
      <c r="I21" s="110">
        <f>TrRail_act!I$10</f>
        <v>835</v>
      </c>
      <c r="J21" s="110">
        <f>TrRail_act!J$10</f>
        <v>786</v>
      </c>
      <c r="K21" s="110">
        <f>TrRail_act!K$10</f>
        <v>552</v>
      </c>
      <c r="L21" s="110">
        <f>TrRail_act!L$10</f>
        <v>614</v>
      </c>
      <c r="M21" s="110">
        <f>TrRail_act!M$10</f>
        <v>352</v>
      </c>
      <c r="N21" s="110">
        <f>TrRail_act!N$10</f>
        <v>283</v>
      </c>
      <c r="O21" s="110">
        <f>TrRail_act!O$10</f>
        <v>237</v>
      </c>
      <c r="P21" s="110">
        <f>TrRail_act!P$10</f>
        <v>311</v>
      </c>
      <c r="Q21" s="110">
        <f>TrRail_act!Q$10</f>
        <v>294</v>
      </c>
      <c r="R21" s="110">
        <f>TrRail_act!R$10</f>
        <v>254</v>
      </c>
      <c r="S21" s="110">
        <f>TrRail_act!S$10</f>
        <v>358</v>
      </c>
      <c r="T21" s="110">
        <f>TrRail_act!T$10</f>
        <v>408</v>
      </c>
      <c r="U21" s="110">
        <f>TrRail_act!U$10</f>
        <v>491</v>
      </c>
      <c r="V21" s="110">
        <f>TrRail_act!V$10</f>
        <v>555</v>
      </c>
      <c r="W21" s="110">
        <f>TrRail_act!W$10</f>
        <v>578</v>
      </c>
      <c r="X21" s="110">
        <f>TrRail_act!X$10</f>
        <v>458</v>
      </c>
      <c r="Y21" s="110">
        <f>TrRail_act!Y$10</f>
        <v>211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150.25398743443088</v>
      </c>
      <c r="C22" s="110">
        <f t="shared" ref="C22:V22" si="19">C23+C24+C25</f>
        <v>174.60882955902792</v>
      </c>
      <c r="D22" s="110">
        <f t="shared" si="19"/>
        <v>163.1265351594696</v>
      </c>
      <c r="E22" s="110">
        <f t="shared" si="19"/>
        <v>144.57304729950323</v>
      </c>
      <c r="F22" s="110">
        <f t="shared" si="19"/>
        <v>101.53058065689154</v>
      </c>
      <c r="G22" s="110">
        <f t="shared" si="19"/>
        <v>96.278429123962155</v>
      </c>
      <c r="H22" s="110">
        <f t="shared" si="19"/>
        <v>99.082949934912079</v>
      </c>
      <c r="I22" s="110">
        <f t="shared" si="19"/>
        <v>92.832614001117051</v>
      </c>
      <c r="J22" s="110">
        <f t="shared" si="19"/>
        <v>94.587807767239894</v>
      </c>
      <c r="K22" s="110">
        <f t="shared" si="19"/>
        <v>85.063459707285702</v>
      </c>
      <c r="L22" s="110">
        <f t="shared" si="19"/>
        <v>73.626858377762034</v>
      </c>
      <c r="M22" s="110">
        <f t="shared" si="19"/>
        <v>73.784834545841221</v>
      </c>
      <c r="N22" s="110">
        <f t="shared" si="19"/>
        <v>68.969801488903798</v>
      </c>
      <c r="O22" s="110">
        <f t="shared" si="19"/>
        <v>63.20058498208369</v>
      </c>
      <c r="P22" s="110">
        <f t="shared" si="19"/>
        <v>59.647464714465805</v>
      </c>
      <c r="Q22" s="110">
        <f t="shared" si="19"/>
        <v>59.684554728561352</v>
      </c>
      <c r="R22" s="110">
        <f t="shared" si="19"/>
        <v>64.98208562848356</v>
      </c>
      <c r="S22" s="110">
        <f t="shared" si="19"/>
        <v>65.957287619038553</v>
      </c>
      <c r="T22" s="110">
        <f t="shared" si="19"/>
        <v>100.34974381574926</v>
      </c>
      <c r="U22" s="110">
        <f t="shared" si="19"/>
        <v>110.24718026324118</v>
      </c>
      <c r="V22" s="110">
        <f t="shared" si="19"/>
        <v>64.702912589040864</v>
      </c>
      <c r="W22" s="110">
        <f t="shared" ref="W22:Y22" si="20">W23+W24+W25</f>
        <v>92.703366805359934</v>
      </c>
      <c r="X22" s="110">
        <f t="shared" si="20"/>
        <v>97.062187465075738</v>
      </c>
      <c r="Y22" s="110">
        <f t="shared" si="20"/>
        <v>81.178188208376028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14.195775275511203</v>
      </c>
      <c r="C23" s="102">
        <f>TrAvia_act!C$9</f>
        <v>16.572055328863129</v>
      </c>
      <c r="D23" s="102">
        <f>TrAvia_act!D$9</f>
        <v>16.242009184220763</v>
      </c>
      <c r="E23" s="102">
        <f>TrAvia_act!E$9</f>
        <v>14.258437312992569</v>
      </c>
      <c r="F23" s="102">
        <f>TrAvia_act!F$9</f>
        <v>8.0384934583499579</v>
      </c>
      <c r="G23" s="102">
        <f>TrAvia_act!G$9</f>
        <v>7.4111975957468257</v>
      </c>
      <c r="H23" s="102">
        <f>TrAvia_act!H$9</f>
        <v>7.3494450883921321</v>
      </c>
      <c r="I23" s="102">
        <f>TrAvia_act!I$9</f>
        <v>6.0370818989282125</v>
      </c>
      <c r="J23" s="102">
        <f>TrAvia_act!J$9</f>
        <v>6.2566855635557532</v>
      </c>
      <c r="K23" s="102">
        <f>TrAvia_act!K$9</f>
        <v>5.1702934060386161</v>
      </c>
      <c r="L23" s="102">
        <f>TrAvia_act!L$9</f>
        <v>4.7864565527578931</v>
      </c>
      <c r="M23" s="102">
        <f>TrAvia_act!M$9</f>
        <v>3.9233609453970617</v>
      </c>
      <c r="N23" s="102">
        <f>TrAvia_act!N$9</f>
        <v>3.4107114865963197</v>
      </c>
      <c r="O23" s="102">
        <f>TrAvia_act!O$9</f>
        <v>3.2139492125054292</v>
      </c>
      <c r="P23" s="102">
        <f>TrAvia_act!P$9</f>
        <v>2.3334392241221384</v>
      </c>
      <c r="Q23" s="102">
        <f>TrAvia_act!Q$9</f>
        <v>2.2877794122643333</v>
      </c>
      <c r="R23" s="102">
        <f>TrAvia_act!R$9</f>
        <v>2.1511864177377258</v>
      </c>
      <c r="S23" s="102">
        <f>TrAvia_act!S$9</f>
        <v>1.3229397759968982</v>
      </c>
      <c r="T23" s="102">
        <f>TrAvia_act!T$9</f>
        <v>2.4715417910423949</v>
      </c>
      <c r="U23" s="102">
        <f>TrAvia_act!U$9</f>
        <v>2.4438029445853551</v>
      </c>
      <c r="V23" s="102">
        <f>TrAvia_act!V$9</f>
        <v>1.46397585537246</v>
      </c>
      <c r="W23" s="102">
        <f>TrAvia_act!W$9</f>
        <v>1.6535863966631026</v>
      </c>
      <c r="X23" s="102">
        <f>TrAvia_act!X$9</f>
        <v>1.7367323581152621</v>
      </c>
      <c r="Y23" s="102">
        <f>TrAvia_act!Y$9</f>
        <v>1.7154652278438389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101.14203140074987</v>
      </c>
      <c r="C24" s="102">
        <f>TrAvia_act!C$10</f>
        <v>122.64052218940023</v>
      </c>
      <c r="D24" s="102">
        <f>TrAvia_act!D$10</f>
        <v>112.96345626094684</v>
      </c>
      <c r="E24" s="102">
        <f>TrAvia_act!E$10</f>
        <v>96.422221263024596</v>
      </c>
      <c r="F24" s="102">
        <f>TrAvia_act!F$10</f>
        <v>68.434337178973252</v>
      </c>
      <c r="G24" s="102">
        <f>TrAvia_act!G$10</f>
        <v>65.969018037803892</v>
      </c>
      <c r="H24" s="102">
        <f>TrAvia_act!H$10</f>
        <v>65.923920810957284</v>
      </c>
      <c r="I24" s="102">
        <f>TrAvia_act!I$10</f>
        <v>61.250295673694431</v>
      </c>
      <c r="J24" s="102">
        <f>TrAvia_act!J$10</f>
        <v>59.963863421363172</v>
      </c>
      <c r="K24" s="102">
        <f>TrAvia_act!K$10</f>
        <v>54.387111489622349</v>
      </c>
      <c r="L24" s="102">
        <f>TrAvia_act!L$10</f>
        <v>53.021179927619137</v>
      </c>
      <c r="M24" s="102">
        <f>TrAvia_act!M$10</f>
        <v>53.593654437364705</v>
      </c>
      <c r="N24" s="102">
        <f>TrAvia_act!N$10</f>
        <v>51.943417503091169</v>
      </c>
      <c r="O24" s="102">
        <f>TrAvia_act!O$10</f>
        <v>48.760252536655713</v>
      </c>
      <c r="P24" s="102">
        <f>TrAvia_act!P$10</f>
        <v>46.897382926955579</v>
      </c>
      <c r="Q24" s="102">
        <f>TrAvia_act!Q$10</f>
        <v>44.143269411597672</v>
      </c>
      <c r="R24" s="102">
        <f>TrAvia_act!R$10</f>
        <v>47.517404390397139</v>
      </c>
      <c r="S24" s="102">
        <f>TrAvia_act!S$10</f>
        <v>43.08876326811302</v>
      </c>
      <c r="T24" s="102">
        <f>TrAvia_act!T$10</f>
        <v>57.49969903385297</v>
      </c>
      <c r="U24" s="102">
        <f>TrAvia_act!U$10</f>
        <v>58.413802828392406</v>
      </c>
      <c r="V24" s="102">
        <f>TrAvia_act!V$10</f>
        <v>44.351584714062923</v>
      </c>
      <c r="W24" s="102">
        <f>TrAvia_act!W$10</f>
        <v>45.793866203334062</v>
      </c>
      <c r="X24" s="102">
        <f>TrAvia_act!X$10</f>
        <v>42.508960149311612</v>
      </c>
      <c r="Y24" s="102">
        <f>TrAvia_act!Y$10</f>
        <v>36.477236119489397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34.916180758169808</v>
      </c>
      <c r="C25" s="102">
        <f>TrAvia_act!C$11</f>
        <v>35.396252040764594</v>
      </c>
      <c r="D25" s="102">
        <f>TrAvia_act!D$11</f>
        <v>33.921069714302</v>
      </c>
      <c r="E25" s="102">
        <f>TrAvia_act!E$11</f>
        <v>33.892388723486079</v>
      </c>
      <c r="F25" s="102">
        <f>TrAvia_act!F$11</f>
        <v>25.057750019568338</v>
      </c>
      <c r="G25" s="102">
        <f>TrAvia_act!G$11</f>
        <v>22.898213490411433</v>
      </c>
      <c r="H25" s="102">
        <f>TrAvia_act!H$11</f>
        <v>25.809584035562668</v>
      </c>
      <c r="I25" s="102">
        <f>TrAvia_act!I$11</f>
        <v>25.545236428494402</v>
      </c>
      <c r="J25" s="102">
        <f>TrAvia_act!J$11</f>
        <v>28.36725878232097</v>
      </c>
      <c r="K25" s="102">
        <f>TrAvia_act!K$11</f>
        <v>25.506054811624736</v>
      </c>
      <c r="L25" s="102">
        <f>TrAvia_act!L$11</f>
        <v>15.819221897385008</v>
      </c>
      <c r="M25" s="102">
        <f>TrAvia_act!M$11</f>
        <v>16.267819163079452</v>
      </c>
      <c r="N25" s="102">
        <f>TrAvia_act!N$11</f>
        <v>13.615672499216306</v>
      </c>
      <c r="O25" s="102">
        <f>TrAvia_act!O$11</f>
        <v>11.226383232922549</v>
      </c>
      <c r="P25" s="102">
        <f>TrAvia_act!P$11</f>
        <v>10.416642563388088</v>
      </c>
      <c r="Q25" s="102">
        <f>TrAvia_act!Q$11</f>
        <v>13.253505904699344</v>
      </c>
      <c r="R25" s="102">
        <f>TrAvia_act!R$11</f>
        <v>15.313494820348691</v>
      </c>
      <c r="S25" s="102">
        <f>TrAvia_act!S$11</f>
        <v>21.545584574928636</v>
      </c>
      <c r="T25" s="102">
        <f>TrAvia_act!T$11</f>
        <v>40.378502990853903</v>
      </c>
      <c r="U25" s="102">
        <f>TrAvia_act!U$11</f>
        <v>49.389574490263406</v>
      </c>
      <c r="V25" s="102">
        <f>TrAvia_act!V$11</f>
        <v>18.887352019605473</v>
      </c>
      <c r="W25" s="102">
        <f>TrAvia_act!W$11</f>
        <v>45.255914205362778</v>
      </c>
      <c r="X25" s="102">
        <f>TrAvia_act!X$11</f>
        <v>52.816494957648871</v>
      </c>
      <c r="Y25" s="102">
        <f>TrAvia_act!Y$11</f>
        <v>42.985486861042794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11104.962</v>
      </c>
      <c r="C26" s="110">
        <f t="shared" si="21"/>
        <v>4476.2839999999997</v>
      </c>
      <c r="D26" s="110">
        <f t="shared" si="21"/>
        <v>5768.0540000000001</v>
      </c>
      <c r="E26" s="110">
        <f t="shared" si="21"/>
        <v>6880.18</v>
      </c>
      <c r="F26" s="110">
        <f t="shared" si="21"/>
        <v>6676.83</v>
      </c>
      <c r="G26" s="110">
        <f t="shared" si="21"/>
        <v>6170.8639999999996</v>
      </c>
      <c r="H26" s="110">
        <f t="shared" si="21"/>
        <v>6359.5829999999996</v>
      </c>
      <c r="I26" s="110">
        <f t="shared" si="21"/>
        <v>6490.7039999999997</v>
      </c>
      <c r="J26" s="110">
        <f t="shared" si="21"/>
        <v>5779.1660000000002</v>
      </c>
      <c r="K26" s="110">
        <f t="shared" si="21"/>
        <v>5137.6329999999998</v>
      </c>
      <c r="L26" s="110">
        <f t="shared" si="21"/>
        <v>4662.5950000000003</v>
      </c>
      <c r="M26" s="110">
        <f t="shared" si="21"/>
        <v>4692.0420000000004</v>
      </c>
      <c r="N26" s="110">
        <f t="shared" si="21"/>
        <v>4779.2709999999997</v>
      </c>
      <c r="O26" s="110">
        <f t="shared" si="21"/>
        <v>4886.317</v>
      </c>
      <c r="P26" s="110">
        <f t="shared" si="21"/>
        <v>4883.9089999999997</v>
      </c>
      <c r="Q26" s="110">
        <f t="shared" si="21"/>
        <v>5462.6589999999997</v>
      </c>
      <c r="R26" s="110">
        <f t="shared" ref="R26:V26" si="22">R27+R28</f>
        <v>5305.98</v>
      </c>
      <c r="S26" s="110">
        <f t="shared" si="22"/>
        <v>5340.6120000000001</v>
      </c>
      <c r="T26" s="110">
        <f t="shared" si="22"/>
        <v>5453.2139999999999</v>
      </c>
      <c r="U26" s="110">
        <f t="shared" si="22"/>
        <v>5544.518</v>
      </c>
      <c r="V26" s="110">
        <f t="shared" si="22"/>
        <v>4717.97</v>
      </c>
      <c r="W26" s="110">
        <f t="shared" ref="W26:Y26" si="23">W27+W28</f>
        <v>4838.3500000000004</v>
      </c>
      <c r="X26" s="110">
        <f t="shared" si="23"/>
        <v>4867.982</v>
      </c>
      <c r="Y26" s="110">
        <f t="shared" si="23"/>
        <v>5332.0929999999998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11104.962</v>
      </c>
      <c r="C27" s="102">
        <f>TrNavi_act!C4</f>
        <v>4476.2839999999997</v>
      </c>
      <c r="D27" s="102">
        <f>TrNavi_act!D4</f>
        <v>5768.0540000000001</v>
      </c>
      <c r="E27" s="102">
        <f>TrNavi_act!E4</f>
        <v>6880.18</v>
      </c>
      <c r="F27" s="102">
        <f>TrNavi_act!F4</f>
        <v>6676.83</v>
      </c>
      <c r="G27" s="102">
        <f>TrNavi_act!G4</f>
        <v>6170.8639999999996</v>
      </c>
      <c r="H27" s="102">
        <f>TrNavi_act!H4</f>
        <v>6359.5829999999996</v>
      </c>
      <c r="I27" s="102">
        <f>TrNavi_act!I4</f>
        <v>6490.7039999999997</v>
      </c>
      <c r="J27" s="102">
        <f>TrNavi_act!J4</f>
        <v>5779.1660000000002</v>
      </c>
      <c r="K27" s="102">
        <f>TrNavi_act!K4</f>
        <v>5137.6329999999998</v>
      </c>
      <c r="L27" s="102">
        <f>TrNavi_act!L4</f>
        <v>4662.5950000000003</v>
      </c>
      <c r="M27" s="102">
        <f>TrNavi_act!M4</f>
        <v>4692.0420000000004</v>
      </c>
      <c r="N27" s="102">
        <f>TrNavi_act!N4</f>
        <v>4779.2709999999997</v>
      </c>
      <c r="O27" s="102">
        <f>TrNavi_act!O4</f>
        <v>4886.317</v>
      </c>
      <c r="P27" s="102">
        <f>TrNavi_act!P4</f>
        <v>4883.9089999999997</v>
      </c>
      <c r="Q27" s="102">
        <f>TrNavi_act!Q4</f>
        <v>5462.6589999999997</v>
      </c>
      <c r="R27" s="102">
        <f>TrNavi_act!R4</f>
        <v>5305.98</v>
      </c>
      <c r="S27" s="102">
        <f>TrNavi_act!S4</f>
        <v>5340.6120000000001</v>
      </c>
      <c r="T27" s="102">
        <f>TrNavi_act!T4</f>
        <v>5453.2139999999999</v>
      </c>
      <c r="U27" s="102">
        <f>TrNavi_act!U4</f>
        <v>5544.518</v>
      </c>
      <c r="V27" s="102">
        <f>TrNavi_act!V4</f>
        <v>4717.97</v>
      </c>
      <c r="W27" s="102">
        <f>TrNavi_act!W4</f>
        <v>4838.3500000000004</v>
      </c>
      <c r="X27" s="102">
        <f>TrNavi_act!X4</f>
        <v>4867.982</v>
      </c>
      <c r="Y27" s="102">
        <f>TrNavi_act!Y4</f>
        <v>5332.0929999999998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X28" s="169">
        <f>TrNavi_act!X5</f>
        <v>0</v>
      </c>
      <c r="Y28" s="169">
        <f>TrNavi_act!Y5</f>
        <v>0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76319.078676000005</v>
      </c>
      <c r="C29" s="28">
        <f t="shared" si="24"/>
        <v>107675.05111900001</v>
      </c>
      <c r="D29" s="28">
        <f t="shared" si="24"/>
        <v>113285.97455599999</v>
      </c>
      <c r="E29" s="28">
        <f t="shared" si="24"/>
        <v>128164.97952399999</v>
      </c>
      <c r="F29" s="28">
        <f t="shared" si="24"/>
        <v>129305.38149699999</v>
      </c>
      <c r="G29" s="28">
        <f t="shared" si="24"/>
        <v>128433.737788</v>
      </c>
      <c r="H29" s="28">
        <f t="shared" si="24"/>
        <v>127172.196205</v>
      </c>
      <c r="I29" s="28">
        <f t="shared" si="24"/>
        <v>132434.087486</v>
      </c>
      <c r="J29" s="28">
        <f t="shared" si="24"/>
        <v>110262.345714</v>
      </c>
      <c r="K29" s="28">
        <f t="shared" si="24"/>
        <v>99718.654808000007</v>
      </c>
      <c r="L29" s="28">
        <f t="shared" si="24"/>
        <v>103575.33001000001</v>
      </c>
      <c r="M29" s="28">
        <f t="shared" si="24"/>
        <v>131568.88694900001</v>
      </c>
      <c r="N29" s="28">
        <f t="shared" si="24"/>
        <v>171151.44077400002</v>
      </c>
      <c r="O29" s="28">
        <f t="shared" si="24"/>
        <v>183469.47256200001</v>
      </c>
      <c r="P29" s="28">
        <f t="shared" si="24"/>
        <v>205875.90151499998</v>
      </c>
      <c r="Q29" s="28">
        <f t="shared" si="24"/>
        <v>207668.46083699999</v>
      </c>
      <c r="R29" s="28">
        <f t="shared" si="24"/>
        <v>230835.14663799998</v>
      </c>
      <c r="S29" s="28">
        <f t="shared" si="24"/>
        <v>237551.273308</v>
      </c>
      <c r="T29" s="28">
        <f t="shared" si="24"/>
        <v>252349.85549600003</v>
      </c>
      <c r="U29" s="28">
        <f t="shared" si="24"/>
        <v>268500.297617</v>
      </c>
      <c r="V29" s="28">
        <f t="shared" si="24"/>
        <v>261093.36698300001</v>
      </c>
      <c r="W29" s="28">
        <f t="shared" si="24"/>
        <v>267094.16463200003</v>
      </c>
      <c r="X29" s="28">
        <f t="shared" ref="X29:Y29" si="25">X30+X31</f>
        <v>234823.89479200001</v>
      </c>
      <c r="Y29" s="28">
        <f t="shared" si="25"/>
        <v>258739.42531800002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42664.711851</v>
      </c>
      <c r="C30" s="102">
        <f>MBunk_act!C$4</f>
        <v>34945.89183</v>
      </c>
      <c r="D30" s="102">
        <f>MBunk_act!D$4</f>
        <v>32645.760199</v>
      </c>
      <c r="E30" s="102">
        <f>MBunk_act!E$4</f>
        <v>39228.227635000003</v>
      </c>
      <c r="F30" s="102">
        <f>MBunk_act!F$4</f>
        <v>35441.027677999999</v>
      </c>
      <c r="G30" s="102">
        <f>MBunk_act!G$4</f>
        <v>32943.818490999998</v>
      </c>
      <c r="H30" s="102">
        <f>MBunk_act!H$4</f>
        <v>29876.122778000001</v>
      </c>
      <c r="I30" s="102">
        <f>MBunk_act!I$4</f>
        <v>36134.745738000005</v>
      </c>
      <c r="J30" s="102">
        <f>MBunk_act!J$4</f>
        <v>33632.609439</v>
      </c>
      <c r="K30" s="102">
        <f>MBunk_act!K$4</f>
        <v>31069.483886000002</v>
      </c>
      <c r="L30" s="102">
        <f>MBunk_act!L$4</f>
        <v>29064.891910999999</v>
      </c>
      <c r="M30" s="102">
        <f>MBunk_act!M$4</f>
        <v>30706.255432000002</v>
      </c>
      <c r="N30" s="102">
        <f>MBunk_act!N$4</f>
        <v>35510.680774</v>
      </c>
      <c r="O30" s="102">
        <f>MBunk_act!O$4</f>
        <v>34505.919642000001</v>
      </c>
      <c r="P30" s="102">
        <f>MBunk_act!P$4</f>
        <v>35867.444308999999</v>
      </c>
      <c r="Q30" s="102">
        <f>MBunk_act!Q$4</f>
        <v>37683.285981000001</v>
      </c>
      <c r="R30" s="102">
        <f>MBunk_act!R$4</f>
        <v>39657.924308000001</v>
      </c>
      <c r="S30" s="102">
        <f>MBunk_act!S$4</f>
        <v>41335.494875000004</v>
      </c>
      <c r="T30" s="102">
        <f>MBunk_act!T$4</f>
        <v>44131.421795999995</v>
      </c>
      <c r="U30" s="102">
        <f>MBunk_act!U$4</f>
        <v>48557.972991000002</v>
      </c>
      <c r="V30" s="102">
        <f>MBunk_act!V$4</f>
        <v>46718.189897000004</v>
      </c>
      <c r="W30" s="102">
        <f>MBunk_act!W$4</f>
        <v>48249.522215000005</v>
      </c>
      <c r="X30" s="102">
        <f>MBunk_act!X$4</f>
        <v>49599.329690999999</v>
      </c>
      <c r="Y30" s="102">
        <f>MBunk_act!Y$4</f>
        <v>52606.578126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33654.366824999997</v>
      </c>
      <c r="C31" s="86">
        <f>MBunk_act!C$5</f>
        <v>72729.159289000003</v>
      </c>
      <c r="D31" s="86">
        <f>MBunk_act!D$5</f>
        <v>80640.21435699999</v>
      </c>
      <c r="E31" s="86">
        <f>MBunk_act!E$5</f>
        <v>88936.751888999992</v>
      </c>
      <c r="F31" s="86">
        <f>MBunk_act!F$5</f>
        <v>93864.353818999996</v>
      </c>
      <c r="G31" s="86">
        <f>MBunk_act!G$5</f>
        <v>95489.919297</v>
      </c>
      <c r="H31" s="86">
        <f>MBunk_act!H$5</f>
        <v>97296.073426999996</v>
      </c>
      <c r="I31" s="86">
        <f>MBunk_act!I$5</f>
        <v>96299.341748000006</v>
      </c>
      <c r="J31" s="86">
        <f>MBunk_act!J$5</f>
        <v>76629.736275000003</v>
      </c>
      <c r="K31" s="86">
        <f>MBunk_act!K$5</f>
        <v>68649.170922000005</v>
      </c>
      <c r="L31" s="86">
        <f>MBunk_act!L$5</f>
        <v>74510.438099000006</v>
      </c>
      <c r="M31" s="86">
        <f>MBunk_act!M$5</f>
        <v>100862.631517</v>
      </c>
      <c r="N31" s="86">
        <f>MBunk_act!N$5</f>
        <v>135640.76</v>
      </c>
      <c r="O31" s="86">
        <f>MBunk_act!O$5</f>
        <v>148963.55292000002</v>
      </c>
      <c r="P31" s="86">
        <f>MBunk_act!P$5</f>
        <v>170008.45720599999</v>
      </c>
      <c r="Q31" s="86">
        <f>MBunk_act!Q$5</f>
        <v>169985.174856</v>
      </c>
      <c r="R31" s="86">
        <f>MBunk_act!R$5</f>
        <v>191177.22232999999</v>
      </c>
      <c r="S31" s="86">
        <f>MBunk_act!S$5</f>
        <v>196215.778433</v>
      </c>
      <c r="T31" s="86">
        <f>MBunk_act!T$5</f>
        <v>208218.43370000002</v>
      </c>
      <c r="U31" s="86">
        <f>MBunk_act!U$5</f>
        <v>219942.32462599999</v>
      </c>
      <c r="V31" s="86">
        <f>MBunk_act!V$5</f>
        <v>214375.17708600001</v>
      </c>
      <c r="W31" s="86">
        <f>MBunk_act!W$5</f>
        <v>218844.642417</v>
      </c>
      <c r="X31" s="86">
        <f>MBunk_act!X$5</f>
        <v>185224.56510100001</v>
      </c>
      <c r="Y31" s="86">
        <f>MBunk_act!Y$5</f>
        <v>206132.84719200002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4860.464884011988</v>
      </c>
      <c r="C34" s="28">
        <f t="shared" si="26"/>
        <v>4835.1503598033705</v>
      </c>
      <c r="D34" s="28">
        <f t="shared" si="26"/>
        <v>4958.962792557496</v>
      </c>
      <c r="E34" s="28">
        <f t="shared" si="26"/>
        <v>5306.2682314306639</v>
      </c>
      <c r="F34" s="28">
        <f t="shared" si="26"/>
        <v>5291.6175047539591</v>
      </c>
      <c r="G34" s="28">
        <f t="shared" si="26"/>
        <v>5515.4063172850338</v>
      </c>
      <c r="H34" s="28">
        <f t="shared" si="26"/>
        <v>5714.118144190792</v>
      </c>
      <c r="I34" s="28">
        <f t="shared" si="26"/>
        <v>5939.5997856395297</v>
      </c>
      <c r="J34" s="28">
        <f t="shared" si="26"/>
        <v>5826.6253851417696</v>
      </c>
      <c r="K34" s="28">
        <f t="shared" si="26"/>
        <v>5825.0198326230475</v>
      </c>
      <c r="L34" s="28">
        <f t="shared" si="26"/>
        <v>5177.571442444063</v>
      </c>
      <c r="M34" s="28">
        <f t="shared" si="26"/>
        <v>5099.4795792942696</v>
      </c>
      <c r="N34" s="28">
        <f t="shared" si="26"/>
        <v>4377.2677820802073</v>
      </c>
      <c r="O34" s="28">
        <f t="shared" si="26"/>
        <v>4243.556484367863</v>
      </c>
      <c r="P34" s="28">
        <f t="shared" si="26"/>
        <v>4279.7674409400242</v>
      </c>
      <c r="Q34" s="28">
        <f t="shared" si="26"/>
        <v>4368.6191578079597</v>
      </c>
      <c r="R34" s="28">
        <f t="shared" ref="R34:V34" si="27">R35+R39+R43</f>
        <v>4468.318400180513</v>
      </c>
      <c r="S34" s="28">
        <f t="shared" si="27"/>
        <v>4565.9832929527875</v>
      </c>
      <c r="T34" s="28">
        <f t="shared" si="27"/>
        <v>4667.7840382792219</v>
      </c>
      <c r="U34" s="28">
        <f t="shared" si="27"/>
        <v>4755.1754086929741</v>
      </c>
      <c r="V34" s="28">
        <f t="shared" si="27"/>
        <v>3315.8429674039062</v>
      </c>
      <c r="W34" s="28">
        <f t="shared" ref="W34:Y34" si="28">W35+W39+W43</f>
        <v>3905.7716269365969</v>
      </c>
      <c r="X34" s="28">
        <f t="shared" si="28"/>
        <v>4599.4088777489278</v>
      </c>
      <c r="Y34" s="28">
        <f t="shared" si="28"/>
        <v>4905.160052993986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3489.3261808551579</v>
      </c>
      <c r="C35" s="137">
        <f t="shared" si="29"/>
        <v>3602.8369351956153</v>
      </c>
      <c r="D35" s="137">
        <f t="shared" si="29"/>
        <v>3763.600368777586</v>
      </c>
      <c r="E35" s="137">
        <f t="shared" si="29"/>
        <v>4098.6437745790645</v>
      </c>
      <c r="F35" s="137">
        <f t="shared" si="29"/>
        <v>4027.1268105027407</v>
      </c>
      <c r="G35" s="137">
        <f t="shared" si="29"/>
        <v>4281.4316704533157</v>
      </c>
      <c r="H35" s="137">
        <f t="shared" si="29"/>
        <v>4364.0647262956236</v>
      </c>
      <c r="I35" s="137">
        <f t="shared" si="29"/>
        <v>4572.1559578312281</v>
      </c>
      <c r="J35" s="137">
        <f t="shared" si="29"/>
        <v>4441.1820372897328</v>
      </c>
      <c r="K35" s="137">
        <f t="shared" si="29"/>
        <v>4662.482878134897</v>
      </c>
      <c r="L35" s="137">
        <f t="shared" si="29"/>
        <v>4249.5601559449415</v>
      </c>
      <c r="M35" s="137">
        <f t="shared" si="29"/>
        <v>4131.9446852887795</v>
      </c>
      <c r="N35" s="137">
        <f t="shared" si="29"/>
        <v>3513.9147989736107</v>
      </c>
      <c r="O35" s="137">
        <f t="shared" si="29"/>
        <v>3377.2689524214475</v>
      </c>
      <c r="P35" s="137">
        <f t="shared" si="29"/>
        <v>3274.4646101797271</v>
      </c>
      <c r="Q35" s="137">
        <f t="shared" si="29"/>
        <v>3327.7359825578724</v>
      </c>
      <c r="R35" s="137">
        <f t="shared" ref="R35:V35" si="30">R36+R37+R38</f>
        <v>3352.4882203760417</v>
      </c>
      <c r="S35" s="137">
        <f t="shared" si="30"/>
        <v>3338.0769336069898</v>
      </c>
      <c r="T35" s="137">
        <f t="shared" si="30"/>
        <v>3314.0560130462882</v>
      </c>
      <c r="U35" s="137">
        <f t="shared" si="30"/>
        <v>3385.4674192274065</v>
      </c>
      <c r="V35" s="137">
        <f t="shared" si="30"/>
        <v>2858.716957995342</v>
      </c>
      <c r="W35" s="137">
        <f t="shared" ref="W35:Y35" si="31">W36+W37+W38</f>
        <v>3046.9378450679901</v>
      </c>
      <c r="X35" s="137">
        <f t="shared" si="31"/>
        <v>3199.9526302960548</v>
      </c>
      <c r="Y35" s="137">
        <f t="shared" si="31"/>
        <v>3409.7077424736008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169.12613630501815</v>
      </c>
      <c r="C36" s="102">
        <f>TrRoad_ene!C$19</f>
        <v>183.28186231972487</v>
      </c>
      <c r="D36" s="102">
        <f>TrRoad_ene!D$19</f>
        <v>201.62988306851202</v>
      </c>
      <c r="E36" s="102">
        <f>TrRoad_ene!E$19</f>
        <v>211.32153798493738</v>
      </c>
      <c r="F36" s="102">
        <f>TrRoad_ene!F$19</f>
        <v>212.7974655393098</v>
      </c>
      <c r="G36" s="102">
        <f>TrRoad_ene!G$19</f>
        <v>219.16179676446617</v>
      </c>
      <c r="H36" s="102">
        <f>TrRoad_ene!H$19</f>
        <v>200.05889410906664</v>
      </c>
      <c r="I36" s="102">
        <f>TrRoad_ene!I$19</f>
        <v>200.25704370551344</v>
      </c>
      <c r="J36" s="102">
        <f>TrRoad_ene!J$19</f>
        <v>214.65443739189141</v>
      </c>
      <c r="K36" s="102">
        <f>TrRoad_ene!K$19</f>
        <v>220.15018560252608</v>
      </c>
      <c r="L36" s="102">
        <f>TrRoad_ene!L$19</f>
        <v>260.32986246540059</v>
      </c>
      <c r="M36" s="102">
        <f>TrRoad_ene!M$19</f>
        <v>266.29532727829229</v>
      </c>
      <c r="N36" s="102">
        <f>TrRoad_ene!N$19</f>
        <v>273.80394809097936</v>
      </c>
      <c r="O36" s="102">
        <f>TrRoad_ene!O$19</f>
        <v>274.02632057896244</v>
      </c>
      <c r="P36" s="102">
        <f>TrRoad_ene!P$19</f>
        <v>275.64601899474479</v>
      </c>
      <c r="Q36" s="102">
        <f>TrRoad_ene!Q$19</f>
        <v>274.08171252706563</v>
      </c>
      <c r="R36" s="102">
        <f>TrRoad_ene!R$19</f>
        <v>279.00707105206783</v>
      </c>
      <c r="S36" s="102">
        <f>TrRoad_ene!S$19</f>
        <v>260.45704764687378</v>
      </c>
      <c r="T36" s="102">
        <f>TrRoad_ene!T$19</f>
        <v>239.4043884335658</v>
      </c>
      <c r="U36" s="102">
        <f>TrRoad_ene!U$19</f>
        <v>250.84450286097444</v>
      </c>
      <c r="V36" s="102">
        <f>TrRoad_ene!V$19</f>
        <v>222.00303891567873</v>
      </c>
      <c r="W36" s="102">
        <f>TrRoad_ene!W$19</f>
        <v>228.3889868278971</v>
      </c>
      <c r="X36" s="102">
        <f>TrRoad_ene!X$19</f>
        <v>229.78835282308739</v>
      </c>
      <c r="Y36" s="102">
        <f>TrRoad_ene!Y$19</f>
        <v>243.49835669860846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2753.778466124802</v>
      </c>
      <c r="C37" s="102">
        <f>TrRoad_ene!C$21</f>
        <v>2871.0518348222881</v>
      </c>
      <c r="D37" s="102">
        <f>TrRoad_ene!D$21</f>
        <v>3015.7592653342058</v>
      </c>
      <c r="E37" s="102">
        <f>TrRoad_ene!E$21</f>
        <v>3184.1351117840018</v>
      </c>
      <c r="F37" s="102">
        <f>TrRoad_ene!F$21</f>
        <v>3282.7506277676898</v>
      </c>
      <c r="G37" s="102">
        <f>TrRoad_ene!G$21</f>
        <v>3461.6524317848725</v>
      </c>
      <c r="H37" s="102">
        <f>TrRoad_ene!H$21</f>
        <v>3576.0107833675384</v>
      </c>
      <c r="I37" s="102">
        <f>TrRoad_ene!I$21</f>
        <v>3765.8208322897744</v>
      </c>
      <c r="J37" s="102">
        <f>TrRoad_ene!J$21</f>
        <v>3671.3394373513956</v>
      </c>
      <c r="K37" s="102">
        <f>TrRoad_ene!K$21</f>
        <v>3783.969926516078</v>
      </c>
      <c r="L37" s="102">
        <f>TrRoad_ene!L$21</f>
        <v>3411.7969710416655</v>
      </c>
      <c r="M37" s="102">
        <f>TrRoad_ene!M$21</f>
        <v>3250.7005366487087</v>
      </c>
      <c r="N37" s="102">
        <f>TrRoad_ene!N$21</f>
        <v>2733.8541231021113</v>
      </c>
      <c r="O37" s="102">
        <f>TrRoad_ene!O$21</f>
        <v>2529.7538325826508</v>
      </c>
      <c r="P37" s="102">
        <f>TrRoad_ene!P$21</f>
        <v>2444.0724243747509</v>
      </c>
      <c r="Q37" s="102">
        <f>TrRoad_ene!Q$21</f>
        <v>2521.7481131310669</v>
      </c>
      <c r="R37" s="102">
        <f>TrRoad_ene!R$21</f>
        <v>2534.5163119580202</v>
      </c>
      <c r="S37" s="102">
        <f>TrRoad_ene!S$21</f>
        <v>2535.1078257328645</v>
      </c>
      <c r="T37" s="102">
        <f>TrRoad_ene!T$21</f>
        <v>2524.5762758432202</v>
      </c>
      <c r="U37" s="102">
        <f>TrRoad_ene!U$21</f>
        <v>2567.6085500982358</v>
      </c>
      <c r="V37" s="102">
        <f>TrRoad_ene!V$21</f>
        <v>2079.9116460616838</v>
      </c>
      <c r="W37" s="102">
        <f>TrRoad_ene!W$21</f>
        <v>2271.397616344927</v>
      </c>
      <c r="X37" s="102">
        <f>TrRoad_ene!X$21</f>
        <v>2406.4688174678809</v>
      </c>
      <c r="Y37" s="102">
        <f>TrRoad_ene!Y$21</f>
        <v>2582.937034429493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566.421578425338</v>
      </c>
      <c r="C38" s="102">
        <f>TrRoad_ene!C$33</f>
        <v>548.50323805360222</v>
      </c>
      <c r="D38" s="102">
        <f>TrRoad_ene!D$33</f>
        <v>546.2112203748685</v>
      </c>
      <c r="E38" s="102">
        <f>TrRoad_ene!E$33</f>
        <v>703.18712481012483</v>
      </c>
      <c r="F38" s="102">
        <f>TrRoad_ene!F$33</f>
        <v>531.57871719574075</v>
      </c>
      <c r="G38" s="102">
        <f>TrRoad_ene!G$33</f>
        <v>600.61744190397758</v>
      </c>
      <c r="H38" s="102">
        <f>TrRoad_ene!H$33</f>
        <v>587.99504881901873</v>
      </c>
      <c r="I38" s="102">
        <f>TrRoad_ene!I$33</f>
        <v>606.07808183594011</v>
      </c>
      <c r="J38" s="102">
        <f>TrRoad_ene!J$33</f>
        <v>555.18816254644526</v>
      </c>
      <c r="K38" s="102">
        <f>TrRoad_ene!K$33</f>
        <v>658.36276601629265</v>
      </c>
      <c r="L38" s="102">
        <f>TrRoad_ene!L$33</f>
        <v>577.43332243787484</v>
      </c>
      <c r="M38" s="102">
        <f>TrRoad_ene!M$33</f>
        <v>614.9488213617783</v>
      </c>
      <c r="N38" s="102">
        <f>TrRoad_ene!N$33</f>
        <v>506.25672778052029</v>
      </c>
      <c r="O38" s="102">
        <f>TrRoad_ene!O$33</f>
        <v>573.48879925983431</v>
      </c>
      <c r="P38" s="102">
        <f>TrRoad_ene!P$33</f>
        <v>554.74616681023122</v>
      </c>
      <c r="Q38" s="102">
        <f>TrRoad_ene!Q$33</f>
        <v>531.90615689974004</v>
      </c>
      <c r="R38" s="102">
        <f>TrRoad_ene!R$33</f>
        <v>538.96483736595405</v>
      </c>
      <c r="S38" s="102">
        <f>TrRoad_ene!S$33</f>
        <v>542.51206022725114</v>
      </c>
      <c r="T38" s="102">
        <f>TrRoad_ene!T$33</f>
        <v>550.07534876950228</v>
      </c>
      <c r="U38" s="102">
        <f>TrRoad_ene!U$33</f>
        <v>567.01436626819623</v>
      </c>
      <c r="V38" s="102">
        <f>TrRoad_ene!V$33</f>
        <v>556.80227301797947</v>
      </c>
      <c r="W38" s="102">
        <f>TrRoad_ene!W$33</f>
        <v>547.15124189516598</v>
      </c>
      <c r="X38" s="102">
        <f>TrRoad_ene!X$33</f>
        <v>563.69546000508672</v>
      </c>
      <c r="Y38" s="102">
        <f>TrRoad_ene!Y$33</f>
        <v>583.27235134549949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46.185353891968248</v>
      </c>
      <c r="C39" s="110">
        <f t="shared" si="32"/>
        <v>47.37889236418583</v>
      </c>
      <c r="D39" s="110">
        <f t="shared" si="32"/>
        <v>47.15853741434438</v>
      </c>
      <c r="E39" s="110">
        <f t="shared" si="32"/>
        <v>46.517173864461824</v>
      </c>
      <c r="F39" s="110">
        <f t="shared" si="32"/>
        <v>45.753406903228715</v>
      </c>
      <c r="G39" s="110">
        <f t="shared" si="32"/>
        <v>42.320721303173457</v>
      </c>
      <c r="H39" s="110">
        <f t="shared" si="32"/>
        <v>44.980934065137198</v>
      </c>
      <c r="I39" s="110">
        <f t="shared" si="32"/>
        <v>42.567322188335559</v>
      </c>
      <c r="J39" s="110">
        <f t="shared" si="32"/>
        <v>38.209476137661454</v>
      </c>
      <c r="K39" s="110">
        <f t="shared" si="32"/>
        <v>35.484875409236324</v>
      </c>
      <c r="L39" s="110">
        <f t="shared" si="32"/>
        <v>21.332741390057578</v>
      </c>
      <c r="M39" s="110">
        <f t="shared" si="32"/>
        <v>18.593533846903739</v>
      </c>
      <c r="N39" s="110">
        <f t="shared" si="32"/>
        <v>28.691420061947159</v>
      </c>
      <c r="O39" s="110">
        <f t="shared" si="32"/>
        <v>25.978980133041674</v>
      </c>
      <c r="P39" s="110">
        <f t="shared" si="32"/>
        <v>56.174996804607844</v>
      </c>
      <c r="Q39" s="110">
        <f t="shared" si="32"/>
        <v>57.385958593648894</v>
      </c>
      <c r="R39" s="110">
        <f t="shared" ref="R39:V39" si="33">R40+R41+R42</f>
        <v>55.111727809493715</v>
      </c>
      <c r="S39" s="110">
        <f t="shared" si="33"/>
        <v>53.59584277323502</v>
      </c>
      <c r="T39" s="110">
        <f t="shared" si="33"/>
        <v>52.532292522796752</v>
      </c>
      <c r="U39" s="110">
        <f t="shared" si="33"/>
        <v>24.444212556512287</v>
      </c>
      <c r="V39" s="110">
        <f t="shared" si="33"/>
        <v>18.161081263047052</v>
      </c>
      <c r="W39" s="110">
        <f t="shared" ref="W39:Y39" si="34">W40+W41+W42</f>
        <v>19.318125616512507</v>
      </c>
      <c r="X39" s="110">
        <f t="shared" si="34"/>
        <v>22.37952739858326</v>
      </c>
      <c r="Y39" s="110">
        <f t="shared" si="34"/>
        <v>18.280591518336944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6.3868449216908427</v>
      </c>
      <c r="C40" s="102">
        <f>TrRail_ene!C$12</f>
        <v>7.0782011059166887</v>
      </c>
      <c r="D40" s="102">
        <f>TrRail_ene!D$12</f>
        <v>7.1672254278843441</v>
      </c>
      <c r="E40" s="102">
        <f>TrRail_ene!E$12</f>
        <v>7.51099639605519</v>
      </c>
      <c r="F40" s="102">
        <f>TrRail_ene!F$12</f>
        <v>7.929635339295305</v>
      </c>
      <c r="G40" s="102">
        <f>TrRail_ene!G$12</f>
        <v>3.9245082507562237</v>
      </c>
      <c r="H40" s="102">
        <f>TrRail_ene!H$12</f>
        <v>6.5000833995550584</v>
      </c>
      <c r="I40" s="102">
        <f>TrRail_ene!I$12</f>
        <v>7.7806673962993766</v>
      </c>
      <c r="J40" s="102">
        <f>TrRail_ene!J$12</f>
        <v>5.1846150159068722</v>
      </c>
      <c r="K40" s="102">
        <f>TrRail_ene!K$12</f>
        <v>5.9639066283912561</v>
      </c>
      <c r="L40" s="102">
        <f>TrRail_ene!L$12</f>
        <v>3.509690514767752</v>
      </c>
      <c r="M40" s="102">
        <f>TrRail_ene!M$12</f>
        <v>4.4985378652250976</v>
      </c>
      <c r="N40" s="102">
        <f>TrRail_ene!N$12</f>
        <v>4.0070328534278019</v>
      </c>
      <c r="O40" s="102">
        <f>TrRail_ene!O$12</f>
        <v>6.3950253609356817</v>
      </c>
      <c r="P40" s="102">
        <f>TrRail_ene!P$12</f>
        <v>8.1955716151250098</v>
      </c>
      <c r="Q40" s="102">
        <f>TrRail_ene!Q$12</f>
        <v>7.5813342045070176</v>
      </c>
      <c r="R40" s="102">
        <f>TrRail_ene!R$12</f>
        <v>7.2868495174609516</v>
      </c>
      <c r="S40" s="102">
        <f>TrRail_ene!S$12</f>
        <v>7.5058881826350277</v>
      </c>
      <c r="T40" s="102">
        <f>TrRail_ene!T$12</f>
        <v>7.4663698076742548</v>
      </c>
      <c r="U40" s="102">
        <f>TrRail_ene!U$12</f>
        <v>6.4840247496996826</v>
      </c>
      <c r="V40" s="102">
        <f>TrRail_ene!V$12</f>
        <v>6.3581134236903809</v>
      </c>
      <c r="W40" s="102">
        <f>TrRail_ene!W$12</f>
        <v>6.341696688621286</v>
      </c>
      <c r="X40" s="102">
        <f>TrRail_ene!X$12</f>
        <v>7.0953555935762438</v>
      </c>
      <c r="Y40" s="102">
        <f>TrRail_ene!Y$12</f>
        <v>7.1695183778520528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39.798508970277403</v>
      </c>
      <c r="C41" s="102">
        <f>TrRail_ene!C$13</f>
        <v>40.30069125826914</v>
      </c>
      <c r="D41" s="102">
        <f>TrRail_ene!D$13</f>
        <v>39.991311986460033</v>
      </c>
      <c r="E41" s="102">
        <f>TrRail_ene!E$13</f>
        <v>39.006177468406634</v>
      </c>
      <c r="F41" s="102">
        <f>TrRail_ene!F$13</f>
        <v>37.823771563933413</v>
      </c>
      <c r="G41" s="102">
        <f>TrRail_ene!G$13</f>
        <v>38.396213052417231</v>
      </c>
      <c r="H41" s="102">
        <f>TrRail_ene!H$13</f>
        <v>38.480850665582139</v>
      </c>
      <c r="I41" s="102">
        <f>TrRail_ene!I$13</f>
        <v>34.786654792036181</v>
      </c>
      <c r="J41" s="102">
        <f>TrRail_ene!J$13</f>
        <v>33.024861121754583</v>
      </c>
      <c r="K41" s="102">
        <f>TrRail_ene!K$13</f>
        <v>29.52096878084507</v>
      </c>
      <c r="L41" s="102">
        <f>TrRail_ene!L$13</f>
        <v>17.823050875289827</v>
      </c>
      <c r="M41" s="102">
        <f>TrRail_ene!M$13</f>
        <v>14.09499598167864</v>
      </c>
      <c r="N41" s="102">
        <f>TrRail_ene!N$13</f>
        <v>24.684387208519357</v>
      </c>
      <c r="O41" s="102">
        <f>TrRail_ene!O$13</f>
        <v>19.583954772105994</v>
      </c>
      <c r="P41" s="102">
        <f>TrRail_ene!P$13</f>
        <v>47.979425189482832</v>
      </c>
      <c r="Q41" s="102">
        <f>TrRail_ene!Q$13</f>
        <v>49.804624389141878</v>
      </c>
      <c r="R41" s="102">
        <f>TrRail_ene!R$13</f>
        <v>47.824878292032764</v>
      </c>
      <c r="S41" s="102">
        <f>TrRail_ene!S$13</f>
        <v>46.089954590599994</v>
      </c>
      <c r="T41" s="102">
        <f>TrRail_ene!T$13</f>
        <v>45.065922715122497</v>
      </c>
      <c r="U41" s="102">
        <f>TrRail_ene!U$13</f>
        <v>17.960187806812606</v>
      </c>
      <c r="V41" s="102">
        <f>TrRail_ene!V$13</f>
        <v>11.802967839356672</v>
      </c>
      <c r="W41" s="102">
        <f>TrRail_ene!W$13</f>
        <v>12.97642892789122</v>
      </c>
      <c r="X41" s="102">
        <f>TrRail_ene!X$13</f>
        <v>15.284171805007016</v>
      </c>
      <c r="Y41" s="102">
        <f>TrRail_ene!Y$13</f>
        <v>11.111073140484891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X42" s="102">
        <f>TrRail_ene!X$16</f>
        <v>0</v>
      </c>
      <c r="Y42" s="102">
        <f>TrRail_ene!Y$16</f>
        <v>0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1324.9533492648625</v>
      </c>
      <c r="C43" s="110">
        <f t="shared" si="35"/>
        <v>1184.9345322435695</v>
      </c>
      <c r="D43" s="110">
        <f t="shared" si="35"/>
        <v>1148.2038863655657</v>
      </c>
      <c r="E43" s="110">
        <f t="shared" si="35"/>
        <v>1161.1072829871368</v>
      </c>
      <c r="F43" s="110">
        <f t="shared" si="35"/>
        <v>1218.7372873479896</v>
      </c>
      <c r="G43" s="110">
        <f t="shared" si="35"/>
        <v>1191.6539255285443</v>
      </c>
      <c r="H43" s="110">
        <f t="shared" si="35"/>
        <v>1305.0724838300307</v>
      </c>
      <c r="I43" s="110">
        <f t="shared" si="35"/>
        <v>1324.8765056199668</v>
      </c>
      <c r="J43" s="110">
        <f t="shared" si="35"/>
        <v>1347.2338717143762</v>
      </c>
      <c r="K43" s="110">
        <f t="shared" si="35"/>
        <v>1127.0520790789146</v>
      </c>
      <c r="L43" s="110">
        <f t="shared" si="35"/>
        <v>906.67854510906318</v>
      </c>
      <c r="M43" s="110">
        <f t="shared" si="35"/>
        <v>948.94136015858692</v>
      </c>
      <c r="N43" s="110">
        <f t="shared" si="35"/>
        <v>834.66156304464971</v>
      </c>
      <c r="O43" s="110">
        <f t="shared" si="35"/>
        <v>840.3085518133737</v>
      </c>
      <c r="P43" s="110">
        <f t="shared" si="35"/>
        <v>949.12783395568943</v>
      </c>
      <c r="Q43" s="110">
        <f t="shared" si="35"/>
        <v>983.49721665643801</v>
      </c>
      <c r="R43" s="110">
        <f t="shared" ref="R43:V43" si="36">R44+R45+R46</f>
        <v>1060.7184519949772</v>
      </c>
      <c r="S43" s="110">
        <f t="shared" si="36"/>
        <v>1174.3105165725624</v>
      </c>
      <c r="T43" s="110">
        <f t="shared" si="36"/>
        <v>1301.1957327101377</v>
      </c>
      <c r="U43" s="110">
        <f t="shared" si="36"/>
        <v>1345.2637769090557</v>
      </c>
      <c r="V43" s="110">
        <f t="shared" si="36"/>
        <v>438.96492814551726</v>
      </c>
      <c r="W43" s="110">
        <f t="shared" ref="W43:Y43" si="37">W44+W45+W46</f>
        <v>839.51565625209435</v>
      </c>
      <c r="X43" s="110">
        <f t="shared" si="37"/>
        <v>1377.0767200542898</v>
      </c>
      <c r="Y43" s="110">
        <f t="shared" si="37"/>
        <v>1477.1717190020481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507.78469107467771</v>
      </c>
      <c r="C44" s="102">
        <f>TrAvia_ene!C$7</f>
        <v>429.05997316269395</v>
      </c>
      <c r="D44" s="102">
        <f>TrAvia_ene!D$7</f>
        <v>391.95348172725431</v>
      </c>
      <c r="E44" s="102">
        <f>TrAvia_ene!E$7</f>
        <v>376.75398176740214</v>
      </c>
      <c r="F44" s="102">
        <f>TrAvia_ene!F$7</f>
        <v>405.60303071247887</v>
      </c>
      <c r="G44" s="102">
        <f>TrAvia_ene!G$7</f>
        <v>406.72328136423977</v>
      </c>
      <c r="H44" s="102">
        <f>TrAvia_ene!H$7</f>
        <v>365.37877180743044</v>
      </c>
      <c r="I44" s="102">
        <f>TrAvia_ene!I$7</f>
        <v>362.39887626665097</v>
      </c>
      <c r="J44" s="102">
        <f>TrAvia_ene!J$7</f>
        <v>347.17397269078594</v>
      </c>
      <c r="K44" s="102">
        <f>TrAvia_ene!K$7</f>
        <v>287.18619709710464</v>
      </c>
      <c r="L44" s="102">
        <f>TrAvia_ene!L$7</f>
        <v>234.45638596924061</v>
      </c>
      <c r="M44" s="102">
        <f>TrAvia_ene!M$7</f>
        <v>219.56811103647067</v>
      </c>
      <c r="N44" s="102">
        <f>TrAvia_ene!N$7</f>
        <v>185.27215132428353</v>
      </c>
      <c r="O44" s="102">
        <f>TrAvia_ene!O$7</f>
        <v>175.09210204889413</v>
      </c>
      <c r="P44" s="102">
        <f>TrAvia_ene!P$7</f>
        <v>178.78135559097163</v>
      </c>
      <c r="Q44" s="102">
        <f>TrAvia_ene!Q$7</f>
        <v>166.6257362633113</v>
      </c>
      <c r="R44" s="102">
        <f>TrAvia_ene!R$7</f>
        <v>188.30235730190117</v>
      </c>
      <c r="S44" s="102">
        <f>TrAvia_ene!S$7</f>
        <v>194.65952058302594</v>
      </c>
      <c r="T44" s="102">
        <f>TrAvia_ene!T$7</f>
        <v>221.13384967654437</v>
      </c>
      <c r="U44" s="102">
        <f>TrAvia_ene!U$7</f>
        <v>223.76444346776836</v>
      </c>
      <c r="V44" s="102">
        <f>TrAvia_ene!V$7</f>
        <v>90.198796814516228</v>
      </c>
      <c r="W44" s="102">
        <f>TrAvia_ene!W$7</f>
        <v>150.88709740334011</v>
      </c>
      <c r="X44" s="102">
        <f>TrAvia_ene!X$7</f>
        <v>228.13484885785971</v>
      </c>
      <c r="Y44" s="102">
        <f>TrAvia_ene!Y$7</f>
        <v>280.50088046698488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699.93473428739935</v>
      </c>
      <c r="C45" s="102">
        <f>TrAvia_ene!C$8</f>
        <v>647.43141484715989</v>
      </c>
      <c r="D45" s="102">
        <f>TrAvia_ene!D$8</f>
        <v>647.75839173168572</v>
      </c>
      <c r="E45" s="102">
        <f>TrAvia_ene!E$8</f>
        <v>671.83919484047249</v>
      </c>
      <c r="F45" s="102">
        <f>TrAvia_ene!F$8</f>
        <v>677.67943115106993</v>
      </c>
      <c r="G45" s="102">
        <f>TrAvia_ene!G$8</f>
        <v>653.07512166808795</v>
      </c>
      <c r="H45" s="102">
        <f>TrAvia_ene!H$8</f>
        <v>785.26199311184678</v>
      </c>
      <c r="I45" s="102">
        <f>TrAvia_ene!I$8</f>
        <v>806.14343630061546</v>
      </c>
      <c r="J45" s="102">
        <f>TrAvia_ene!J$8</f>
        <v>833.10186701716236</v>
      </c>
      <c r="K45" s="102">
        <f>TrAvia_ene!K$8</f>
        <v>693.69691107719075</v>
      </c>
      <c r="L45" s="102">
        <f>TrAvia_ene!L$8</f>
        <v>552.34095324341558</v>
      </c>
      <c r="M45" s="102">
        <f>TrAvia_ene!M$8</f>
        <v>600.10067458892001</v>
      </c>
      <c r="N45" s="102">
        <f>TrAvia_ene!N$8</f>
        <v>532.2245575000743</v>
      </c>
      <c r="O45" s="102">
        <f>TrAvia_ene!O$8</f>
        <v>544.72237280268359</v>
      </c>
      <c r="P45" s="102">
        <f>TrAvia_ene!P$8</f>
        <v>636.47259128461803</v>
      </c>
      <c r="Q45" s="102">
        <f>TrAvia_ene!Q$8</f>
        <v>677.04235949690735</v>
      </c>
      <c r="R45" s="102">
        <f>TrAvia_ene!R$8</f>
        <v>731.05532042487948</v>
      </c>
      <c r="S45" s="102">
        <f>TrAvia_ene!S$8</f>
        <v>826.3830761177004</v>
      </c>
      <c r="T45" s="102">
        <f>TrAvia_ene!T$8</f>
        <v>911.8980529475856</v>
      </c>
      <c r="U45" s="102">
        <f>TrAvia_ene!U$8</f>
        <v>942.71679151271917</v>
      </c>
      <c r="V45" s="102">
        <f>TrAvia_ene!V$8</f>
        <v>272.5848968072068</v>
      </c>
      <c r="W45" s="102">
        <f>TrAvia_ene!W$8</f>
        <v>561.82565106294646</v>
      </c>
      <c r="X45" s="102">
        <f>TrAvia_ene!X$8</f>
        <v>987.77144175140734</v>
      </c>
      <c r="Y45" s="102">
        <f>TrAvia_ene!Y$8</f>
        <v>1025.9499762502862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117.23392390278526</v>
      </c>
      <c r="C46" s="102">
        <f>TrAvia_ene!C$9</f>
        <v>108.44314423371576</v>
      </c>
      <c r="D46" s="102">
        <f>TrAvia_ene!D$9</f>
        <v>108.49201290662553</v>
      </c>
      <c r="E46" s="102">
        <f>TrAvia_ene!E$9</f>
        <v>112.51410637926206</v>
      </c>
      <c r="F46" s="102">
        <f>TrAvia_ene!F$9</f>
        <v>135.45482548444079</v>
      </c>
      <c r="G46" s="102">
        <f>TrAvia_ene!G$9</f>
        <v>131.85552249621657</v>
      </c>
      <c r="H46" s="102">
        <f>TrAvia_ene!H$9</f>
        <v>154.43171891075352</v>
      </c>
      <c r="I46" s="102">
        <f>TrAvia_ene!I$9</f>
        <v>156.33419305270047</v>
      </c>
      <c r="J46" s="102">
        <f>TrAvia_ene!J$9</f>
        <v>166.95803200642774</v>
      </c>
      <c r="K46" s="102">
        <f>TrAvia_ene!K$9</f>
        <v>146.1689709046193</v>
      </c>
      <c r="L46" s="102">
        <f>TrAvia_ene!L$9</f>
        <v>119.88120589640704</v>
      </c>
      <c r="M46" s="102">
        <f>TrAvia_ene!M$9</f>
        <v>129.27257453319623</v>
      </c>
      <c r="N46" s="102">
        <f>TrAvia_ene!N$9</f>
        <v>117.16485422029186</v>
      </c>
      <c r="O46" s="102">
        <f>TrAvia_ene!O$9</f>
        <v>120.49407696179594</v>
      </c>
      <c r="P46" s="102">
        <f>TrAvia_ene!P$9</f>
        <v>133.87388708009971</v>
      </c>
      <c r="Q46" s="102">
        <f>TrAvia_ene!Q$9</f>
        <v>139.82912089621931</v>
      </c>
      <c r="R46" s="102">
        <f>TrAvia_ene!R$9</f>
        <v>141.36077426819656</v>
      </c>
      <c r="S46" s="102">
        <f>TrAvia_ene!S$9</f>
        <v>153.26791987183609</v>
      </c>
      <c r="T46" s="102">
        <f>TrAvia_ene!T$9</f>
        <v>168.16383008600769</v>
      </c>
      <c r="U46" s="102">
        <f>TrAvia_ene!U$9</f>
        <v>178.78254192856826</v>
      </c>
      <c r="V46" s="102">
        <f>TrAvia_ene!V$9</f>
        <v>76.181234523794203</v>
      </c>
      <c r="W46" s="102">
        <f>TrAvia_ene!W$9</f>
        <v>126.80290778580776</v>
      </c>
      <c r="X46" s="102">
        <f>TrAvia_ene!X$9</f>
        <v>161.17042944502285</v>
      </c>
      <c r="Y46" s="102">
        <f>TrAvia_ene!Y$9</f>
        <v>170.72086228477704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2421.3994324110549</v>
      </c>
      <c r="C47" s="28">
        <f t="shared" si="38"/>
        <v>2614.8400099300761</v>
      </c>
      <c r="D47" s="28">
        <f t="shared" si="38"/>
        <v>2586.5255995319276</v>
      </c>
      <c r="E47" s="28">
        <f t="shared" si="38"/>
        <v>2582.7210205039883</v>
      </c>
      <c r="F47" s="28">
        <f t="shared" si="38"/>
        <v>2759.1468976536075</v>
      </c>
      <c r="G47" s="28">
        <f t="shared" si="38"/>
        <v>2641.9144909694792</v>
      </c>
      <c r="H47" s="28">
        <f t="shared" si="38"/>
        <v>2812.5109185779093</v>
      </c>
      <c r="I47" s="28">
        <f t="shared" si="38"/>
        <v>2851.7204207233231</v>
      </c>
      <c r="J47" s="28">
        <f t="shared" si="38"/>
        <v>2758.4635228547922</v>
      </c>
      <c r="K47" s="28">
        <f t="shared" si="38"/>
        <v>3368.9253092514155</v>
      </c>
      <c r="L47" s="28">
        <f t="shared" si="38"/>
        <v>2969.1657028697809</v>
      </c>
      <c r="M47" s="28">
        <f t="shared" si="38"/>
        <v>2334.5918738441633</v>
      </c>
      <c r="N47" s="28">
        <f t="shared" si="38"/>
        <v>1885.2598000999355</v>
      </c>
      <c r="O47" s="28">
        <f t="shared" si="38"/>
        <v>2029.9177873393078</v>
      </c>
      <c r="P47" s="28">
        <f t="shared" si="38"/>
        <v>2123.0080727440982</v>
      </c>
      <c r="Q47" s="28">
        <f t="shared" si="38"/>
        <v>2195.5342792470228</v>
      </c>
      <c r="R47" s="28">
        <f t="shared" ref="R47:V47" si="39">R48+R51+R52+R56</f>
        <v>2310.6750930132121</v>
      </c>
      <c r="S47" s="28">
        <f t="shared" si="39"/>
        <v>2238.6019550737565</v>
      </c>
      <c r="T47" s="28">
        <f t="shared" si="39"/>
        <v>2321.6064994411145</v>
      </c>
      <c r="U47" s="28">
        <f t="shared" si="39"/>
        <v>2423.8024788284274</v>
      </c>
      <c r="V47" s="28">
        <f t="shared" si="39"/>
        <v>2184.9903274241333</v>
      </c>
      <c r="W47" s="28">
        <f t="shared" ref="W47:Y47" si="40">W48+W51+W52+W56</f>
        <v>2325.94866182956</v>
      </c>
      <c r="X47" s="28">
        <f t="shared" si="40"/>
        <v>2427.4045272071439</v>
      </c>
      <c r="Y47" s="28">
        <f t="shared" si="40"/>
        <v>2429.5641919130198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1886.3425207785476</v>
      </c>
      <c r="C48" s="137">
        <f t="shared" si="41"/>
        <v>1897.3588515627675</v>
      </c>
      <c r="D48" s="137">
        <f t="shared" si="41"/>
        <v>1935.9435693135576</v>
      </c>
      <c r="E48" s="137">
        <f t="shared" si="41"/>
        <v>1944.3508943805227</v>
      </c>
      <c r="F48" s="137">
        <f t="shared" si="41"/>
        <v>2056.2066374766227</v>
      </c>
      <c r="G48" s="137">
        <f t="shared" si="41"/>
        <v>1967.266781825273</v>
      </c>
      <c r="H48" s="137">
        <f t="shared" si="41"/>
        <v>2071.3610690612113</v>
      </c>
      <c r="I48" s="137">
        <f t="shared" si="41"/>
        <v>2160.3197945333454</v>
      </c>
      <c r="J48" s="137">
        <f t="shared" si="41"/>
        <v>2131.1142653757893</v>
      </c>
      <c r="K48" s="137">
        <f t="shared" si="41"/>
        <v>2469.4244305495404</v>
      </c>
      <c r="L48" s="137">
        <f t="shared" si="41"/>
        <v>2236.5484425073369</v>
      </c>
      <c r="M48" s="137">
        <f t="shared" si="41"/>
        <v>1805.0310670757935</v>
      </c>
      <c r="N48" s="137">
        <f t="shared" si="41"/>
        <v>1347.7721125272549</v>
      </c>
      <c r="O48" s="137">
        <f t="shared" si="41"/>
        <v>1588.0367036365403</v>
      </c>
      <c r="P48" s="137">
        <f t="shared" si="41"/>
        <v>1664.0949103831579</v>
      </c>
      <c r="Q48" s="137">
        <f t="shared" si="41"/>
        <v>1652.0332756493021</v>
      </c>
      <c r="R48" s="137">
        <f t="shared" ref="R48:V48" si="42">R49+R50</f>
        <v>1745.0254791805373</v>
      </c>
      <c r="S48" s="137">
        <f t="shared" si="42"/>
        <v>1658.7658380652974</v>
      </c>
      <c r="T48" s="137">
        <f t="shared" si="42"/>
        <v>1693.5187035218564</v>
      </c>
      <c r="U48" s="137">
        <f t="shared" si="42"/>
        <v>1770.9861346740472</v>
      </c>
      <c r="V48" s="137">
        <f t="shared" si="42"/>
        <v>1660.5852104354492</v>
      </c>
      <c r="W48" s="137">
        <f t="shared" ref="W48:Y48" si="43">W49+W50</f>
        <v>1740.4271556500155</v>
      </c>
      <c r="X48" s="137">
        <f t="shared" si="43"/>
        <v>1799.1248331294928</v>
      </c>
      <c r="Y48" s="137">
        <f t="shared" si="43"/>
        <v>1778.7888154170676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797.28471499988768</v>
      </c>
      <c r="C49" s="102">
        <f>TrRoad_ene!C$43</f>
        <v>789.62906088934983</v>
      </c>
      <c r="D49" s="102">
        <f>TrRoad_ene!D$43</f>
        <v>805.56547249314758</v>
      </c>
      <c r="E49" s="102">
        <f>TrRoad_ene!E$43</f>
        <v>825.06912074054878</v>
      </c>
      <c r="F49" s="102">
        <f>TrRoad_ene!F$43</f>
        <v>808.4224746122643</v>
      </c>
      <c r="G49" s="102">
        <f>TrRoad_ene!G$43</f>
        <v>808.48632286917814</v>
      </c>
      <c r="H49" s="102">
        <f>TrRoad_ene!H$43</f>
        <v>809.25437501589363</v>
      </c>
      <c r="I49" s="102">
        <f>TrRoad_ene!I$43</f>
        <v>855.01783135017797</v>
      </c>
      <c r="J49" s="102">
        <f>TrRoad_ene!J$43</f>
        <v>834.76513333849732</v>
      </c>
      <c r="K49" s="102">
        <f>TrRoad_ene!K$43</f>
        <v>780.85194367478812</v>
      </c>
      <c r="L49" s="102">
        <f>TrRoad_ene!L$43</f>
        <v>785.00845649218945</v>
      </c>
      <c r="M49" s="102">
        <f>TrRoad_ene!M$43</f>
        <v>668.28988634949883</v>
      </c>
      <c r="N49" s="102">
        <f>TrRoad_ene!N$43</f>
        <v>550.38622624366803</v>
      </c>
      <c r="O49" s="102">
        <f>TrRoad_ene!O$43</f>
        <v>638.55666696712888</v>
      </c>
      <c r="P49" s="102">
        <f>TrRoad_ene!P$43</f>
        <v>637.2962186688053</v>
      </c>
      <c r="Q49" s="102">
        <f>TrRoad_ene!Q$43</f>
        <v>763.41094894014554</v>
      </c>
      <c r="R49" s="102">
        <f>TrRoad_ene!R$43</f>
        <v>808.93267668582666</v>
      </c>
      <c r="S49" s="102">
        <f>TrRoad_ene!S$43</f>
        <v>714.3138553390454</v>
      </c>
      <c r="T49" s="102">
        <f>TrRoad_ene!T$43</f>
        <v>710.22109071975501</v>
      </c>
      <c r="U49" s="102">
        <f>TrRoad_ene!U$43</f>
        <v>711.44820366551573</v>
      </c>
      <c r="V49" s="102">
        <f>TrRoad_ene!V$43</f>
        <v>613.02210218365553</v>
      </c>
      <c r="W49" s="102">
        <f>TrRoad_ene!W$43</f>
        <v>666.64756312989243</v>
      </c>
      <c r="X49" s="102">
        <f>TrRoad_ene!X$43</f>
        <v>683.20523461571304</v>
      </c>
      <c r="Y49" s="102">
        <f>TrRoad_ene!Y$43</f>
        <v>697.83697927224989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1089.0578057786599</v>
      </c>
      <c r="C50" s="102">
        <f>TrRoad_ene!C$52</f>
        <v>1107.7297906734177</v>
      </c>
      <c r="D50" s="102">
        <f>TrRoad_ene!D$52</f>
        <v>1130.3780968204101</v>
      </c>
      <c r="E50" s="102">
        <f>TrRoad_ene!E$52</f>
        <v>1119.2817736399738</v>
      </c>
      <c r="F50" s="102">
        <f>TrRoad_ene!F$52</f>
        <v>1247.7841628643584</v>
      </c>
      <c r="G50" s="102">
        <f>TrRoad_ene!G$52</f>
        <v>1158.7804589560949</v>
      </c>
      <c r="H50" s="102">
        <f>TrRoad_ene!H$52</f>
        <v>1262.1066940453175</v>
      </c>
      <c r="I50" s="102">
        <f>TrRoad_ene!I$52</f>
        <v>1305.3019631831673</v>
      </c>
      <c r="J50" s="102">
        <f>TrRoad_ene!J$52</f>
        <v>1296.3491320372918</v>
      </c>
      <c r="K50" s="102">
        <f>TrRoad_ene!K$52</f>
        <v>1688.572486874752</v>
      </c>
      <c r="L50" s="102">
        <f>TrRoad_ene!L$52</f>
        <v>1451.5399860151474</v>
      </c>
      <c r="M50" s="102">
        <f>TrRoad_ene!M$52</f>
        <v>1136.7411807262947</v>
      </c>
      <c r="N50" s="102">
        <f>TrRoad_ene!N$52</f>
        <v>797.38588628358684</v>
      </c>
      <c r="O50" s="102">
        <f>TrRoad_ene!O$52</f>
        <v>949.48003666941145</v>
      </c>
      <c r="P50" s="102">
        <f>TrRoad_ene!P$52</f>
        <v>1026.7986917143526</v>
      </c>
      <c r="Q50" s="102">
        <f>TrRoad_ene!Q$52</f>
        <v>888.6223267091566</v>
      </c>
      <c r="R50" s="102">
        <f>TrRoad_ene!R$52</f>
        <v>936.09280249471055</v>
      </c>
      <c r="S50" s="102">
        <f>TrRoad_ene!S$52</f>
        <v>944.45198272625191</v>
      </c>
      <c r="T50" s="102">
        <f>TrRoad_ene!T$52</f>
        <v>983.29761280210141</v>
      </c>
      <c r="U50" s="102">
        <f>TrRoad_ene!U$52</f>
        <v>1059.5379310085316</v>
      </c>
      <c r="V50" s="102">
        <f>TrRoad_ene!V$52</f>
        <v>1047.5631082517937</v>
      </c>
      <c r="W50" s="102">
        <f>TrRoad_ene!W$52</f>
        <v>1073.7795925201231</v>
      </c>
      <c r="X50" s="102">
        <f>TrRoad_ene!X$52</f>
        <v>1115.9195985137799</v>
      </c>
      <c r="Y50" s="102">
        <f>TrRoad_ene!Y$52</f>
        <v>1080.9518361448177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3.3226426686508406</v>
      </c>
      <c r="C51" s="110">
        <f>TrRail_ene!C$17</f>
        <v>2.9029649015063477</v>
      </c>
      <c r="D51" s="110">
        <f>TrRail_ene!D$17</f>
        <v>2.779381760204203</v>
      </c>
      <c r="E51" s="110">
        <f>TrRail_ene!E$17</f>
        <v>3.6786988784444548</v>
      </c>
      <c r="F51" s="110">
        <f>TrRail_ene!F$17</f>
        <v>4.7004194080352484</v>
      </c>
      <c r="G51" s="110">
        <f>TrRail_ene!G$17</f>
        <v>3.4899407776519946</v>
      </c>
      <c r="H51" s="110">
        <f>TrRail_ene!H$17</f>
        <v>3.8343711799186866</v>
      </c>
      <c r="I51" s="110">
        <f>TrRail_ene!I$17</f>
        <v>4.8053347334185244</v>
      </c>
      <c r="J51" s="110">
        <f>TrRail_ene!J$17</f>
        <v>6.1585376198621873</v>
      </c>
      <c r="K51" s="110">
        <f>TrRail_ene!K$17</f>
        <v>2.7782372304885179</v>
      </c>
      <c r="L51" s="110">
        <f>TrRail_ene!L$17</f>
        <v>2.9722457122640065</v>
      </c>
      <c r="M51" s="110">
        <f>TrRail_ene!M$17</f>
        <v>1.5698367463894705</v>
      </c>
      <c r="N51" s="110">
        <f>TrRail_ene!N$17</f>
        <v>1.6467570661697799</v>
      </c>
      <c r="O51" s="110">
        <f>TrRail_ene!O$17</f>
        <v>1.225577046665977</v>
      </c>
      <c r="P51" s="110">
        <f>TrRail_ene!P$17</f>
        <v>1.6925870303018691</v>
      </c>
      <c r="Q51" s="110">
        <f>TrRail_ene!Q$17</f>
        <v>1.599424037477492</v>
      </c>
      <c r="R51" s="110">
        <f>TrRail_ene!R$17</f>
        <v>1.3609291122603675</v>
      </c>
      <c r="S51" s="110">
        <f>TrRail_ene!S$17</f>
        <v>1.8756103652000609</v>
      </c>
      <c r="T51" s="110">
        <f>TrRail_ene!T$17</f>
        <v>2.1129353361886265</v>
      </c>
      <c r="U51" s="110">
        <f>TrRail_ene!U$17</f>
        <v>2.0777134967981188</v>
      </c>
      <c r="V51" s="110">
        <f>TrRail_ene!V$17</f>
        <v>2.5807931995496771</v>
      </c>
      <c r="W51" s="110">
        <f>TrRail_ene!W$17</f>
        <v>2.5129147962131988</v>
      </c>
      <c r="X51" s="110">
        <f>TrRail_ene!X$17</f>
        <v>1.9137658086394391</v>
      </c>
      <c r="Y51" s="110">
        <f>TrRail_ene!Y$17</f>
        <v>1.1052210354033791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33.898241448809138</v>
      </c>
      <c r="C52" s="110">
        <f t="shared" si="44"/>
        <v>36.996336200110456</v>
      </c>
      <c r="D52" s="110">
        <f t="shared" si="44"/>
        <v>35.802992396257245</v>
      </c>
      <c r="E52" s="110">
        <f t="shared" si="44"/>
        <v>30.282312885606046</v>
      </c>
      <c r="F52" s="110">
        <f t="shared" si="44"/>
        <v>20.060820992509321</v>
      </c>
      <c r="G52" s="110">
        <f t="shared" si="44"/>
        <v>19.719935176528566</v>
      </c>
      <c r="H52" s="110">
        <f t="shared" si="44"/>
        <v>23.223560881920793</v>
      </c>
      <c r="I52" s="110">
        <f t="shared" si="44"/>
        <v>20.215239865845472</v>
      </c>
      <c r="J52" s="110">
        <f t="shared" si="44"/>
        <v>22.0744687843343</v>
      </c>
      <c r="K52" s="110">
        <f t="shared" si="44"/>
        <v>16.040526252125687</v>
      </c>
      <c r="L52" s="110">
        <f t="shared" si="44"/>
        <v>12.519821185003773</v>
      </c>
      <c r="M52" s="110">
        <f t="shared" si="44"/>
        <v>12.36560458775859</v>
      </c>
      <c r="N52" s="110">
        <f t="shared" si="44"/>
        <v>10.628376766184072</v>
      </c>
      <c r="O52" s="110">
        <f t="shared" si="44"/>
        <v>10.126185933831719</v>
      </c>
      <c r="P52" s="110">
        <f t="shared" si="44"/>
        <v>8.1186836711374717</v>
      </c>
      <c r="Q52" s="110">
        <f t="shared" si="44"/>
        <v>7.6176586660037122</v>
      </c>
      <c r="R52" s="110">
        <f t="shared" si="44"/>
        <v>7.4481000256591132</v>
      </c>
      <c r="S52" s="110">
        <f t="shared" si="44"/>
        <v>7.4098617593379617</v>
      </c>
      <c r="T52" s="110">
        <f t="shared" si="44"/>
        <v>10.316477092097552</v>
      </c>
      <c r="U52" s="110">
        <f t="shared" si="44"/>
        <v>10.014297037633654</v>
      </c>
      <c r="V52" s="110">
        <f t="shared" si="44"/>
        <v>7.0271612783864619</v>
      </c>
      <c r="W52" s="110">
        <f t="shared" ref="W52:Y52" si="45">W53+W54+W55</f>
        <v>8.3546790875443566</v>
      </c>
      <c r="X52" s="110">
        <f t="shared" si="45"/>
        <v>8.462230934532041</v>
      </c>
      <c r="Y52" s="110">
        <f t="shared" si="45"/>
        <v>7.6127177993277018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15.791749166078899</v>
      </c>
      <c r="C53" s="102">
        <f>TrAvia_ene!C$11</f>
        <v>16.581127439197633</v>
      </c>
      <c r="D53" s="102">
        <f>TrAvia_ene!D$11</f>
        <v>15.763629192780035</v>
      </c>
      <c r="E53" s="102">
        <f>TrAvia_ene!E$11</f>
        <v>13.066396564498159</v>
      </c>
      <c r="F53" s="102">
        <f>TrAvia_ene!F$11</f>
        <v>7.3997207922502888</v>
      </c>
      <c r="G53" s="102">
        <f>TrAvia_ene!G$11</f>
        <v>7.294603416499605</v>
      </c>
      <c r="H53" s="102">
        <f>TrAvia_ene!H$11</f>
        <v>6.5114259569719914</v>
      </c>
      <c r="I53" s="102">
        <f>TrAvia_ene!I$11</f>
        <v>5.2208141890669379</v>
      </c>
      <c r="J53" s="102">
        <f>TrAvia_ene!J$11</f>
        <v>5.689827825121224</v>
      </c>
      <c r="K53" s="102">
        <f>TrAvia_ene!K$11</f>
        <v>3.4653936165669132</v>
      </c>
      <c r="L53" s="102">
        <f>TrAvia_ene!L$11</f>
        <v>2.7891858278358899</v>
      </c>
      <c r="M53" s="102">
        <f>TrAvia_ene!M$11</f>
        <v>2.2719577511475815</v>
      </c>
      <c r="N53" s="102">
        <f>TrAvia_ene!N$11</f>
        <v>1.6868340583475179</v>
      </c>
      <c r="O53" s="102">
        <f>TrAvia_ene!O$11</f>
        <v>1.6060922761273664</v>
      </c>
      <c r="P53" s="102">
        <f>TrAvia_ene!P$11</f>
        <v>0.99792213903697879</v>
      </c>
      <c r="Q53" s="102">
        <f>TrAvia_ene!Q$11</f>
        <v>0.80521816489164189</v>
      </c>
      <c r="R53" s="102">
        <f>TrAvia_ene!R$11</f>
        <v>0.72025662759153297</v>
      </c>
      <c r="S53" s="102">
        <f>TrAvia_ene!S$11</f>
        <v>0.50350607217615961</v>
      </c>
      <c r="T53" s="102">
        <f>TrAvia_ene!T$11</f>
        <v>1.0207504954246427</v>
      </c>
      <c r="U53" s="102">
        <f>TrAvia_ene!U$11</f>
        <v>0.8886949673132819</v>
      </c>
      <c r="V53" s="102">
        <f>TrAvia_ene!V$11</f>
        <v>0.37549381317078229</v>
      </c>
      <c r="W53" s="102">
        <f>TrAvia_ene!W$11</f>
        <v>0.51195676690925074</v>
      </c>
      <c r="X53" s="102">
        <f>TrAvia_ene!X$11</f>
        <v>0.6658390183225672</v>
      </c>
      <c r="Y53" s="102">
        <f>TrAvia_ene!Y$11</f>
        <v>0.85268789071074613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16.556128506155375</v>
      </c>
      <c r="C54" s="102">
        <f>TrAvia_ene!C$12</f>
        <v>18.923989163611196</v>
      </c>
      <c r="D54" s="102">
        <f>TrAvia_ene!D$12</f>
        <v>18.526554940649163</v>
      </c>
      <c r="E54" s="102">
        <f>TrAvia_ene!E$12</f>
        <v>15.546626856302765</v>
      </c>
      <c r="F54" s="102">
        <f>TrAvia_ene!F$12</f>
        <v>11.44090279654081</v>
      </c>
      <c r="G54" s="102">
        <f>TrAvia_ene!G$12</f>
        <v>11.231341186771436</v>
      </c>
      <c r="H54" s="102">
        <f>TrAvia_ene!H$12</f>
        <v>15.419369677180423</v>
      </c>
      <c r="I54" s="102">
        <f>TrAvia_ene!I$12</f>
        <v>13.922976331510561</v>
      </c>
      <c r="J54" s="102">
        <f>TrAvia_ene!J$12</f>
        <v>15.234233798665956</v>
      </c>
      <c r="K54" s="102">
        <f>TrAvia_ene!K$12</f>
        <v>11.647672984642213</v>
      </c>
      <c r="L54" s="102">
        <f>TrAvia_ene!L$12</f>
        <v>9.2623426207000588</v>
      </c>
      <c r="M54" s="102">
        <f>TrAvia_ene!M$12</f>
        <v>9.5370682971448897</v>
      </c>
      <c r="N54" s="102">
        <f>TrAvia_ene!N$12</f>
        <v>8.4059499562586861</v>
      </c>
      <c r="O54" s="102">
        <f>TrAvia_ene!O$12</f>
        <v>8.130573940700943</v>
      </c>
      <c r="P54" s="102">
        <f>TrAvia_ene!P$12</f>
        <v>6.7971214457365292</v>
      </c>
      <c r="Q54" s="102">
        <f>TrAvia_ene!Q$12</f>
        <v>6.3384416457661974</v>
      </c>
      <c r="R54" s="102">
        <f>TrAvia_ene!R$12</f>
        <v>6.3059061242681951</v>
      </c>
      <c r="S54" s="102">
        <f>TrAvia_ene!S$12</f>
        <v>6.3992859124121173</v>
      </c>
      <c r="T54" s="102">
        <f>TrAvia_ene!T$12</f>
        <v>8.4413346316399895</v>
      </c>
      <c r="U54" s="102">
        <f>TrAvia_ene!U$12</f>
        <v>8.1197129998931565</v>
      </c>
      <c r="V54" s="102">
        <f>TrAvia_ene!V$12</f>
        <v>5.4373032811904576</v>
      </c>
      <c r="W54" s="102">
        <f>TrAvia_ene!W$12</f>
        <v>6.4005618603292476</v>
      </c>
      <c r="X54" s="102">
        <f>TrAvia_ene!X$12</f>
        <v>6.374368043459631</v>
      </c>
      <c r="Y54" s="102">
        <f>TrAvia_ene!Y$12</f>
        <v>5.5903649901927848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1.5503637765748637</v>
      </c>
      <c r="C55" s="102">
        <f>TrAvia_ene!C$13</f>
        <v>1.4912195973016309</v>
      </c>
      <c r="D55" s="102">
        <f>TrAvia_ene!D$13</f>
        <v>1.5128082628280459</v>
      </c>
      <c r="E55" s="102">
        <f>TrAvia_ene!E$13</f>
        <v>1.669289464805122</v>
      </c>
      <c r="F55" s="102">
        <f>TrAvia_ene!F$13</f>
        <v>1.2201974037182253</v>
      </c>
      <c r="G55" s="102">
        <f>TrAvia_ene!G$13</f>
        <v>1.1939905732575216</v>
      </c>
      <c r="H55" s="102">
        <f>TrAvia_ene!H$13</f>
        <v>1.2927652477683791</v>
      </c>
      <c r="I55" s="102">
        <f>TrAvia_ene!I$13</f>
        <v>1.0714493452679714</v>
      </c>
      <c r="J55" s="102">
        <f>TrAvia_ene!J$13</f>
        <v>1.1504071605471176</v>
      </c>
      <c r="K55" s="102">
        <f>TrAvia_ene!K$13</f>
        <v>0.92745965091656024</v>
      </c>
      <c r="L55" s="102">
        <f>TrAvia_ene!L$13</f>
        <v>0.4682927364678236</v>
      </c>
      <c r="M55" s="102">
        <f>TrAvia_ene!M$13</f>
        <v>0.55657853946611868</v>
      </c>
      <c r="N55" s="102">
        <f>TrAvia_ene!N$13</f>
        <v>0.53559275157786823</v>
      </c>
      <c r="O55" s="102">
        <f>TrAvia_ene!O$13</f>
        <v>0.38951971700341015</v>
      </c>
      <c r="P55" s="102">
        <f>TrAvia_ene!P$13</f>
        <v>0.32364008636396324</v>
      </c>
      <c r="Q55" s="102">
        <f>TrAvia_ene!Q$13</f>
        <v>0.47399885534587355</v>
      </c>
      <c r="R55" s="102">
        <f>TrAvia_ene!R$13</f>
        <v>0.42193727379938523</v>
      </c>
      <c r="S55" s="102">
        <f>TrAvia_ene!S$13</f>
        <v>0.5070697747496844</v>
      </c>
      <c r="T55" s="102">
        <f>TrAvia_ene!T$13</f>
        <v>0.85439196503291914</v>
      </c>
      <c r="U55" s="102">
        <f>TrAvia_ene!U$13</f>
        <v>1.0058890704272165</v>
      </c>
      <c r="V55" s="102">
        <f>TrAvia_ene!V$13</f>
        <v>1.2143641840252228</v>
      </c>
      <c r="W55" s="102">
        <f>TrAvia_ene!W$13</f>
        <v>1.4421604603058586</v>
      </c>
      <c r="X55" s="102">
        <f>TrAvia_ene!X$13</f>
        <v>1.4220238727498415</v>
      </c>
      <c r="Y55" s="102">
        <f>TrAvia_ene!Y$13</f>
        <v>1.1696649184241708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497.83602751504731</v>
      </c>
      <c r="C56" s="110">
        <f t="shared" si="46"/>
        <v>677.58185726569207</v>
      </c>
      <c r="D56" s="110">
        <f t="shared" si="46"/>
        <v>611.99965606190881</v>
      </c>
      <c r="E56" s="110">
        <f t="shared" si="46"/>
        <v>604.4091143594153</v>
      </c>
      <c r="F56" s="110">
        <f t="shared" si="46"/>
        <v>678.17901977644021</v>
      </c>
      <c r="G56" s="110">
        <f t="shared" si="46"/>
        <v>651.43783319002569</v>
      </c>
      <c r="H56" s="110">
        <f t="shared" si="46"/>
        <v>714.09191745485805</v>
      </c>
      <c r="I56" s="110">
        <f t="shared" si="46"/>
        <v>666.38005159071372</v>
      </c>
      <c r="J56" s="110">
        <f t="shared" si="46"/>
        <v>599.11625107480654</v>
      </c>
      <c r="K56" s="110">
        <f t="shared" si="46"/>
        <v>880.6821152192606</v>
      </c>
      <c r="L56" s="110">
        <f t="shared" si="46"/>
        <v>717.12519346517615</v>
      </c>
      <c r="M56" s="110">
        <f t="shared" si="46"/>
        <v>515.62536543422175</v>
      </c>
      <c r="N56" s="110">
        <f t="shared" si="46"/>
        <v>525.21255374032671</v>
      </c>
      <c r="O56" s="110">
        <f t="shared" si="46"/>
        <v>430.52932072226992</v>
      </c>
      <c r="P56" s="110">
        <f t="shared" si="46"/>
        <v>449.10189165950123</v>
      </c>
      <c r="Q56" s="110">
        <f t="shared" si="46"/>
        <v>534.28392089423915</v>
      </c>
      <c r="R56" s="110">
        <f t="shared" ref="R56:V56" si="47">R57+R58</f>
        <v>556.84058469475485</v>
      </c>
      <c r="S56" s="110">
        <f t="shared" si="47"/>
        <v>570.55064488392077</v>
      </c>
      <c r="T56" s="110">
        <f t="shared" si="47"/>
        <v>615.65838349097157</v>
      </c>
      <c r="U56" s="110">
        <f t="shared" si="47"/>
        <v>640.72433361994854</v>
      </c>
      <c r="V56" s="110">
        <f t="shared" si="47"/>
        <v>514.79716251074797</v>
      </c>
      <c r="W56" s="110">
        <f t="shared" ref="W56:Y56" si="48">W57+W58</f>
        <v>574.65391229578688</v>
      </c>
      <c r="X56" s="110">
        <f t="shared" si="48"/>
        <v>617.9036973344796</v>
      </c>
      <c r="Y56" s="110">
        <f t="shared" si="48"/>
        <v>642.05743766122089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497.83602751504731</v>
      </c>
      <c r="C57" s="102">
        <f>TrNavi_ene!C4</f>
        <v>677.58185726569207</v>
      </c>
      <c r="D57" s="102">
        <f>TrNavi_ene!D4</f>
        <v>611.99965606190881</v>
      </c>
      <c r="E57" s="102">
        <f>TrNavi_ene!E4</f>
        <v>604.4091143594153</v>
      </c>
      <c r="F57" s="102">
        <f>TrNavi_ene!F4</f>
        <v>678.17901977644021</v>
      </c>
      <c r="G57" s="102">
        <f>TrNavi_ene!G4</f>
        <v>651.43783319002569</v>
      </c>
      <c r="H57" s="102">
        <f>TrNavi_ene!H4</f>
        <v>714.09191745485805</v>
      </c>
      <c r="I57" s="102">
        <f>TrNavi_ene!I4</f>
        <v>666.38005159071372</v>
      </c>
      <c r="J57" s="102">
        <f>TrNavi_ene!J4</f>
        <v>599.11625107480654</v>
      </c>
      <c r="K57" s="102">
        <f>TrNavi_ene!K4</f>
        <v>880.6821152192606</v>
      </c>
      <c r="L57" s="102">
        <f>TrNavi_ene!L4</f>
        <v>717.12519346517615</v>
      </c>
      <c r="M57" s="102">
        <f>TrNavi_ene!M4</f>
        <v>515.62536543422175</v>
      </c>
      <c r="N57" s="102">
        <f>TrNavi_ene!N4</f>
        <v>525.21255374032671</v>
      </c>
      <c r="O57" s="102">
        <f>TrNavi_ene!O4</f>
        <v>430.52932072226992</v>
      </c>
      <c r="P57" s="102">
        <f>TrNavi_ene!P4</f>
        <v>449.10189165950123</v>
      </c>
      <c r="Q57" s="102">
        <f>TrNavi_ene!Q4</f>
        <v>534.28392089423915</v>
      </c>
      <c r="R57" s="102">
        <f>TrNavi_ene!R4</f>
        <v>556.84058469475485</v>
      </c>
      <c r="S57" s="102">
        <f>TrNavi_ene!S4</f>
        <v>570.55064488392077</v>
      </c>
      <c r="T57" s="102">
        <f>TrNavi_ene!T4</f>
        <v>615.65838349097157</v>
      </c>
      <c r="U57" s="102">
        <f>TrNavi_ene!U4</f>
        <v>640.72433361994854</v>
      </c>
      <c r="V57" s="102">
        <f>TrNavi_ene!V4</f>
        <v>514.79716251074797</v>
      </c>
      <c r="W57" s="102">
        <f>TrNavi_ene!W4</f>
        <v>574.65391229578688</v>
      </c>
      <c r="X57" s="102">
        <f>TrNavi_ene!X4</f>
        <v>617.9036973344796</v>
      </c>
      <c r="Y57" s="102">
        <f>TrNavi_ene!Y4</f>
        <v>642.05743766122089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X58" s="169">
        <f>TrNavi_ene!X10</f>
        <v>0</v>
      </c>
      <c r="Y58" s="169">
        <f>TrNavi_ene!Y10</f>
        <v>0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3603.1527085124681</v>
      </c>
      <c r="C59" s="28">
        <f t="shared" ref="C59:W59" si="49">C60+C61</f>
        <v>3496.154600171968</v>
      </c>
      <c r="D59" s="28">
        <f t="shared" si="49"/>
        <v>3142.8871883061047</v>
      </c>
      <c r="E59" s="28">
        <f t="shared" si="49"/>
        <v>3212.0570077386074</v>
      </c>
      <c r="F59" s="28">
        <f t="shared" si="49"/>
        <v>3244.2390369733448</v>
      </c>
      <c r="G59" s="28">
        <f t="shared" si="49"/>
        <v>2869.3369733447976</v>
      </c>
      <c r="H59" s="28">
        <f t="shared" si="49"/>
        <v>3096.9571797076524</v>
      </c>
      <c r="I59" s="28">
        <f t="shared" si="49"/>
        <v>3227.7252794496985</v>
      </c>
      <c r="J59" s="28">
        <f t="shared" si="49"/>
        <v>3087.5084264832321</v>
      </c>
      <c r="K59" s="28">
        <f t="shared" si="49"/>
        <v>2598.3758383490976</v>
      </c>
      <c r="L59" s="28">
        <f t="shared" si="49"/>
        <v>2710.0507308684437</v>
      </c>
      <c r="M59" s="28">
        <f t="shared" si="49"/>
        <v>2752.3073086844365</v>
      </c>
      <c r="N59" s="28">
        <f t="shared" si="49"/>
        <v>2248.5525365434223</v>
      </c>
      <c r="O59" s="28">
        <f t="shared" si="49"/>
        <v>2120.6314703353391</v>
      </c>
      <c r="P59" s="28">
        <f t="shared" si="49"/>
        <v>1864.9183147033536</v>
      </c>
      <c r="Q59" s="28">
        <f t="shared" si="49"/>
        <v>1783.0563198624243</v>
      </c>
      <c r="R59" s="28">
        <f t="shared" si="49"/>
        <v>1719.1983662940672</v>
      </c>
      <c r="S59" s="28">
        <f t="shared" si="49"/>
        <v>2134.2343078245913</v>
      </c>
      <c r="T59" s="28">
        <f t="shared" si="49"/>
        <v>2185.1139294926907</v>
      </c>
      <c r="U59" s="28">
        <f t="shared" si="49"/>
        <v>2518.2967325881336</v>
      </c>
      <c r="V59" s="28">
        <f t="shared" si="49"/>
        <v>1626.8252794496993</v>
      </c>
      <c r="W59" s="28">
        <f t="shared" si="49"/>
        <v>1810.7943250214962</v>
      </c>
      <c r="X59" s="28">
        <f t="shared" ref="X59:Y59" si="50">X60+X61</f>
        <v>1953.7924333619947</v>
      </c>
      <c r="Y59" s="28">
        <f t="shared" si="50"/>
        <v>2020.9736027515046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2203.1935745592918</v>
      </c>
      <c r="C60" s="102">
        <f>MBunk_ene!C$4</f>
        <v>1863.7342438870264</v>
      </c>
      <c r="D60" s="102">
        <f>MBunk_ene!D$4</f>
        <v>1596.2332189515373</v>
      </c>
      <c r="E60" s="102">
        <f>MBunk_ene!E$4</f>
        <v>1700.4677173403516</v>
      </c>
      <c r="F60" s="102">
        <f>MBunk_ene!F$4</f>
        <v>1654.0195894446433</v>
      </c>
      <c r="G60" s="102">
        <f>MBunk_ene!G$4</f>
        <v>1438.7040966464424</v>
      </c>
      <c r="H60" s="102">
        <f>MBunk_ene!H$4</f>
        <v>1483.9514918918401</v>
      </c>
      <c r="I60" s="102">
        <f>MBunk_ene!I$4</f>
        <v>1634.0298160059745</v>
      </c>
      <c r="J60" s="102">
        <f>MBunk_ene!J$4</f>
        <v>1644.4025550146614</v>
      </c>
      <c r="K60" s="102">
        <f>MBunk_ene!K$4</f>
        <v>1407.4493159668748</v>
      </c>
      <c r="L60" s="102">
        <f>MBunk_ene!L$4</f>
        <v>1403.0998171071387</v>
      </c>
      <c r="M60" s="102">
        <f>MBunk_ene!M$4</f>
        <v>1365.467616696536</v>
      </c>
      <c r="N60" s="102">
        <f>MBunk_ene!N$4</f>
        <v>1076.5688197119189</v>
      </c>
      <c r="O60" s="102">
        <f>MBunk_ene!O$4</f>
        <v>967.08428914217302</v>
      </c>
      <c r="P60" s="102">
        <f>MBunk_ene!P$4</f>
        <v>826.17533954880787</v>
      </c>
      <c r="Q60" s="102">
        <f>MBunk_ene!Q$4</f>
        <v>812.53383326319499</v>
      </c>
      <c r="R60" s="102">
        <f>MBunk_ene!R$4</f>
        <v>750.59031251205079</v>
      </c>
      <c r="S60" s="102">
        <f>MBunk_ene!S$4</f>
        <v>948.45108166467935</v>
      </c>
      <c r="T60" s="102">
        <f>MBunk_ene!T$4</f>
        <v>970.27247906684977</v>
      </c>
      <c r="U60" s="102">
        <f>MBunk_ene!U$4</f>
        <v>1141.8390781401129</v>
      </c>
      <c r="V60" s="102">
        <f>MBunk_ene!V$4</f>
        <v>662.96952094011124</v>
      </c>
      <c r="W60" s="102">
        <f>MBunk_ene!W$4</f>
        <v>748.22078760989655</v>
      </c>
      <c r="X60" s="102">
        <f>MBunk_ene!X$4</f>
        <v>923.61902446978684</v>
      </c>
      <c r="Y60" s="102">
        <f>MBunk_ene!Y$4</f>
        <v>940.1940746504888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1399.959133953176</v>
      </c>
      <c r="C61" s="86">
        <f>MBunk_ene!C$10</f>
        <v>1632.4203562849414</v>
      </c>
      <c r="D61" s="86">
        <f>MBunk_ene!D$10</f>
        <v>1546.6539693545674</v>
      </c>
      <c r="E61" s="86">
        <f>MBunk_ene!E$10</f>
        <v>1511.5892903982556</v>
      </c>
      <c r="F61" s="86">
        <f>MBunk_ene!F$10</f>
        <v>1590.2194475287015</v>
      </c>
      <c r="G61" s="86">
        <f>MBunk_ene!G$10</f>
        <v>1430.6328766983552</v>
      </c>
      <c r="H61" s="86">
        <f>MBunk_ene!H$10</f>
        <v>1613.0056878158123</v>
      </c>
      <c r="I61" s="86">
        <f>MBunk_ene!I$10</f>
        <v>1593.6954634437241</v>
      </c>
      <c r="J61" s="86">
        <f>MBunk_ene!J$10</f>
        <v>1443.1058714685707</v>
      </c>
      <c r="K61" s="86">
        <f>MBunk_ene!K$10</f>
        <v>1190.9265223822231</v>
      </c>
      <c r="L61" s="86">
        <f>MBunk_ene!L$10</f>
        <v>1306.9509137613049</v>
      </c>
      <c r="M61" s="86">
        <f>MBunk_ene!M$10</f>
        <v>1386.8396919879006</v>
      </c>
      <c r="N61" s="86">
        <f>MBunk_ene!N$10</f>
        <v>1171.9837168315034</v>
      </c>
      <c r="O61" s="86">
        <f>MBunk_ene!O$10</f>
        <v>1153.5471811931664</v>
      </c>
      <c r="P61" s="86">
        <f>MBunk_ene!P$10</f>
        <v>1038.7429751545458</v>
      </c>
      <c r="Q61" s="86">
        <f>MBunk_ene!Q$10</f>
        <v>970.5224865992293</v>
      </c>
      <c r="R61" s="86">
        <f>MBunk_ene!R$10</f>
        <v>968.60805378201644</v>
      </c>
      <c r="S61" s="86">
        <f>MBunk_ene!S$10</f>
        <v>1185.7832261599119</v>
      </c>
      <c r="T61" s="86">
        <f>MBunk_ene!T$10</f>
        <v>1214.8414504258408</v>
      </c>
      <c r="U61" s="86">
        <f>MBunk_ene!U$10</f>
        <v>1376.4576544480208</v>
      </c>
      <c r="V61" s="86">
        <f>MBunk_ene!V$10</f>
        <v>963.8557585095881</v>
      </c>
      <c r="W61" s="86">
        <f>MBunk_ene!W$10</f>
        <v>1062.5735374115998</v>
      </c>
      <c r="X61" s="86">
        <f>MBunk_ene!X$10</f>
        <v>1030.1734088922078</v>
      </c>
      <c r="Y61" s="86">
        <f>MBunk_ene!Y$10</f>
        <v>1080.7795281010158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14371.278547514001</v>
      </c>
      <c r="C64" s="28">
        <f t="shared" si="51"/>
        <v>14271.091853915201</v>
      </c>
      <c r="D64" s="28">
        <f t="shared" si="51"/>
        <v>14623.881296577192</v>
      </c>
      <c r="E64" s="28">
        <f t="shared" si="51"/>
        <v>15665.724693668642</v>
      </c>
      <c r="F64" s="28">
        <f t="shared" si="51"/>
        <v>15591.573587523118</v>
      </c>
      <c r="G64" s="28">
        <f t="shared" si="51"/>
        <v>16264.961227436383</v>
      </c>
      <c r="H64" s="28">
        <f t="shared" si="51"/>
        <v>16802.290888778316</v>
      </c>
      <c r="I64" s="28">
        <f t="shared" si="51"/>
        <v>17418.268219282581</v>
      </c>
      <c r="J64" s="28">
        <f t="shared" si="51"/>
        <v>17103.913796124816</v>
      </c>
      <c r="K64" s="28">
        <f t="shared" si="51"/>
        <v>17093.958022102459</v>
      </c>
      <c r="L64" s="28">
        <f t="shared" si="51"/>
        <v>15131.49171975804</v>
      </c>
      <c r="M64" s="28">
        <f t="shared" si="51"/>
        <v>14873.273176601868</v>
      </c>
      <c r="N64" s="28">
        <f t="shared" si="51"/>
        <v>12762.747711309352</v>
      </c>
      <c r="O64" s="28">
        <f t="shared" si="51"/>
        <v>12312.005805243842</v>
      </c>
      <c r="P64" s="28">
        <f t="shared" si="51"/>
        <v>12403.437383856412</v>
      </c>
      <c r="Q64" s="28">
        <f t="shared" si="51"/>
        <v>12648.649804064726</v>
      </c>
      <c r="R64" s="28">
        <f t="shared" ref="R64:V64" si="52">R65+R69+R73</f>
        <v>12951.732524795279</v>
      </c>
      <c r="S64" s="28">
        <f t="shared" si="52"/>
        <v>13235.186759174221</v>
      </c>
      <c r="T64" s="28">
        <f t="shared" si="52"/>
        <v>13555.142069856403</v>
      </c>
      <c r="U64" s="28">
        <f t="shared" si="52"/>
        <v>13756.405224284852</v>
      </c>
      <c r="V64" s="28">
        <f t="shared" si="52"/>
        <v>9423.4049865692359</v>
      </c>
      <c r="W64" s="28">
        <f t="shared" ref="W64:Y64" si="53">W65+W69+W73</f>
        <v>11153.221359571147</v>
      </c>
      <c r="X64" s="28">
        <f t="shared" si="53"/>
        <v>13587.295255535486</v>
      </c>
      <c r="Y64" s="28">
        <f t="shared" si="53"/>
        <v>14508.50187115283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10264.410344570928</v>
      </c>
      <c r="C65" s="137">
        <f t="shared" si="54"/>
        <v>10584.277859351563</v>
      </c>
      <c r="D65" s="137">
        <f t="shared" si="54"/>
        <v>11047.7837273529</v>
      </c>
      <c r="E65" s="137">
        <f t="shared" si="54"/>
        <v>12053.241294043437</v>
      </c>
      <c r="F65" s="137">
        <f t="shared" si="54"/>
        <v>11808.491235937785</v>
      </c>
      <c r="G65" s="137">
        <f t="shared" si="54"/>
        <v>12560.380311185007</v>
      </c>
      <c r="H65" s="137">
        <f t="shared" si="54"/>
        <v>12754.38814368832</v>
      </c>
      <c r="I65" s="137">
        <f t="shared" si="54"/>
        <v>13324.802694046684</v>
      </c>
      <c r="J65" s="137">
        <f t="shared" si="54"/>
        <v>12951.453024281805</v>
      </c>
      <c r="K65" s="137">
        <f t="shared" si="54"/>
        <v>13614.471935247186</v>
      </c>
      <c r="L65" s="137">
        <f t="shared" si="54"/>
        <v>12347.453759607863</v>
      </c>
      <c r="M65" s="137">
        <f t="shared" si="54"/>
        <v>11973.351633009444</v>
      </c>
      <c r="N65" s="137">
        <f t="shared" si="54"/>
        <v>10175.489164986329</v>
      </c>
      <c r="O65" s="137">
        <f t="shared" si="54"/>
        <v>9731.5000363974395</v>
      </c>
      <c r="P65" s="137">
        <f t="shared" si="54"/>
        <v>9423.8062318868724</v>
      </c>
      <c r="Q65" s="137">
        <f t="shared" si="54"/>
        <v>9565.2431913633518</v>
      </c>
      <c r="R65" s="137">
        <f t="shared" ref="R65:V65" si="55">R66+R67+R68</f>
        <v>9635.5351586377728</v>
      </c>
      <c r="S65" s="137">
        <f t="shared" si="55"/>
        <v>9581.2606449176601</v>
      </c>
      <c r="T65" s="137">
        <f t="shared" si="55"/>
        <v>9526.1195986584335</v>
      </c>
      <c r="U65" s="137">
        <f t="shared" si="55"/>
        <v>9675.9653199409768</v>
      </c>
      <c r="V65" s="137">
        <f t="shared" si="55"/>
        <v>8082.3193662961658</v>
      </c>
      <c r="W65" s="137">
        <f t="shared" ref="W65:Y65" si="56">W66+W67+W68</f>
        <v>8608.7555042480217</v>
      </c>
      <c r="X65" s="137">
        <f t="shared" si="56"/>
        <v>9422.8354226154261</v>
      </c>
      <c r="Y65" s="137">
        <f t="shared" si="56"/>
        <v>10049.837950989986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490.71143408492213</v>
      </c>
      <c r="C66" s="102">
        <f>TrRoad_emi!C$19</f>
        <v>531.78359930403531</v>
      </c>
      <c r="D66" s="102">
        <f>TrRoad_emi!D$19</f>
        <v>585.01950814085353</v>
      </c>
      <c r="E66" s="102">
        <f>TrRoad_emi!E$19</f>
        <v>613.13938355808773</v>
      </c>
      <c r="F66" s="102">
        <f>TrRoad_emi!F$19</f>
        <v>617.4217171029477</v>
      </c>
      <c r="G66" s="102">
        <f>TrRoad_emi!G$19</f>
        <v>635.88752121057269</v>
      </c>
      <c r="H66" s="102">
        <f>TrRoad_emi!H$19</f>
        <v>580.46135845409731</v>
      </c>
      <c r="I66" s="102">
        <f>TrRoad_emi!I$19</f>
        <v>581.03628007626685</v>
      </c>
      <c r="J66" s="102">
        <f>TrRoad_emi!J$19</f>
        <v>622.80963254135304</v>
      </c>
      <c r="K66" s="102">
        <f>TrRoad_emi!K$19</f>
        <v>638.75528437689479</v>
      </c>
      <c r="L66" s="102">
        <f>TrRoad_emi!L$19</f>
        <v>755.33470424190648</v>
      </c>
      <c r="M66" s="102">
        <f>TrRoad_emi!M$19</f>
        <v>772.64321644038671</v>
      </c>
      <c r="N66" s="102">
        <f>TrRoad_emi!N$19</f>
        <v>794.42912231804758</v>
      </c>
      <c r="O66" s="102">
        <f>TrRoad_emi!O$19</f>
        <v>795.07432550700003</v>
      </c>
      <c r="P66" s="102">
        <f>TrRoad_emi!P$19</f>
        <v>799.77380336274791</v>
      </c>
      <c r="Q66" s="102">
        <f>TrRoad_emi!Q$19</f>
        <v>795.23504260776474</v>
      </c>
      <c r="R66" s="102">
        <f>TrRoad_emi!R$19</f>
        <v>809.52573592099282</v>
      </c>
      <c r="S66" s="102">
        <f>TrRoad_emi!S$19</f>
        <v>755.70372599193627</v>
      </c>
      <c r="T66" s="102">
        <f>TrRoad_emi!T$19</f>
        <v>694.62088314906839</v>
      </c>
      <c r="U66" s="102">
        <f>TrRoad_emi!U$19</f>
        <v>720.09083865849448</v>
      </c>
      <c r="V66" s="102">
        <f>TrRoad_emi!V$19</f>
        <v>623.3603452931095</v>
      </c>
      <c r="W66" s="102">
        <f>TrRoad_emi!W$19</f>
        <v>641.0293831990499</v>
      </c>
      <c r="X66" s="102">
        <f>TrRoad_emi!X$19</f>
        <v>666.7200159594189</v>
      </c>
      <c r="Y66" s="102">
        <f>TrRoad_emi!Y$19</f>
        <v>706.4988914392336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8016.4219568535627</v>
      </c>
      <c r="C67" s="102">
        <f>TrRoad_emi!C$20</f>
        <v>8354.7032708771403</v>
      </c>
      <c r="D67" s="102">
        <f>TrRoad_emi!D$20</f>
        <v>8774.324312208204</v>
      </c>
      <c r="E67" s="102">
        <f>TrRoad_emi!E$20</f>
        <v>9265.290360338382</v>
      </c>
      <c r="F67" s="102">
        <f>TrRoad_emi!F$20</f>
        <v>9548.6368724398744</v>
      </c>
      <c r="G67" s="102">
        <f>TrRoad_emi!G$20</f>
        <v>10068.697102748332</v>
      </c>
      <c r="H67" s="102">
        <f>TrRoad_emi!H$20</f>
        <v>10393.579355095748</v>
      </c>
      <c r="I67" s="102">
        <f>TrRoad_emi!I$20</f>
        <v>10937.566089260921</v>
      </c>
      <c r="J67" s="102">
        <f>TrRoad_emi!J$20</f>
        <v>10664.988676125195</v>
      </c>
      <c r="K67" s="102">
        <f>TrRoad_emi!K$20</f>
        <v>10995.774135833366</v>
      </c>
      <c r="L67" s="102">
        <f>TrRoad_emi!L$20</f>
        <v>9894.6820398255095</v>
      </c>
      <c r="M67" s="102">
        <f>TrRoad_emi!M$20</f>
        <v>9388.6564852514421</v>
      </c>
      <c r="N67" s="102">
        <f>TrRoad_emi!N$20</f>
        <v>7911.1000406895655</v>
      </c>
      <c r="O67" s="102">
        <f>TrRoad_emi!O$20</f>
        <v>7286.4109821125458</v>
      </c>
      <c r="P67" s="102">
        <f>TrRoad_emi!P$20</f>
        <v>7032.5336546538856</v>
      </c>
      <c r="Q67" s="102">
        <f>TrRoad_emi!Q$20</f>
        <v>7247.9553276745219</v>
      </c>
      <c r="R67" s="102">
        <f>TrRoad_emi!R$20</f>
        <v>7284.4055688079216</v>
      </c>
      <c r="S67" s="102">
        <f>TrRoad_emi!S$20</f>
        <v>7282.124884379803</v>
      </c>
      <c r="T67" s="102">
        <f>TrRoad_emi!T$20</f>
        <v>7259.4084231766492</v>
      </c>
      <c r="U67" s="102">
        <f>TrRoad_emi!U$20</f>
        <v>7330.9207236787979</v>
      </c>
      <c r="V67" s="102">
        <f>TrRoad_emi!V$20</f>
        <v>5853.8063338521824</v>
      </c>
      <c r="W67" s="102">
        <f>TrRoad_emi!W$20</f>
        <v>6395.0785418616488</v>
      </c>
      <c r="X67" s="102">
        <f>TrRoad_emi!X$20</f>
        <v>7037.9645004890926</v>
      </c>
      <c r="Y67" s="102">
        <f>TrRoad_emi!Y$20</f>
        <v>7558.9290234412993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1757.2769536324431</v>
      </c>
      <c r="C68" s="102">
        <f>TrRoad_emi!C$27</f>
        <v>1697.790989170388</v>
      </c>
      <c r="D68" s="102">
        <f>TrRoad_emi!D$27</f>
        <v>1688.439907003843</v>
      </c>
      <c r="E68" s="102">
        <f>TrRoad_emi!E$27</f>
        <v>2174.8115501469683</v>
      </c>
      <c r="F68" s="102">
        <f>TrRoad_emi!F$27</f>
        <v>1642.4326463949621</v>
      </c>
      <c r="G68" s="102">
        <f>TrRoad_emi!G$27</f>
        <v>1855.795687226102</v>
      </c>
      <c r="H68" s="102">
        <f>TrRoad_emi!H$27</f>
        <v>1780.3474301384749</v>
      </c>
      <c r="I68" s="102">
        <f>TrRoad_emi!I$27</f>
        <v>1806.200324709496</v>
      </c>
      <c r="J68" s="102">
        <f>TrRoad_emi!J$27</f>
        <v>1663.6547156152576</v>
      </c>
      <c r="K68" s="102">
        <f>TrRoad_emi!K$27</f>
        <v>1979.9425150369245</v>
      </c>
      <c r="L68" s="102">
        <f>TrRoad_emi!L$27</f>
        <v>1697.4370155404472</v>
      </c>
      <c r="M68" s="102">
        <f>TrRoad_emi!M$27</f>
        <v>1812.0519313176151</v>
      </c>
      <c r="N68" s="102">
        <f>TrRoad_emi!N$27</f>
        <v>1469.9600019787165</v>
      </c>
      <c r="O68" s="102">
        <f>TrRoad_emi!O$27</f>
        <v>1650.0147287778946</v>
      </c>
      <c r="P68" s="102">
        <f>TrRoad_emi!P$27</f>
        <v>1591.498773870238</v>
      </c>
      <c r="Q68" s="102">
        <f>TrRoad_emi!Q$27</f>
        <v>1522.0528210810653</v>
      </c>
      <c r="R68" s="102">
        <f>TrRoad_emi!R$27</f>
        <v>1541.6038539088579</v>
      </c>
      <c r="S68" s="102">
        <f>TrRoad_emi!S$27</f>
        <v>1543.4320345459212</v>
      </c>
      <c r="T68" s="102">
        <f>TrRoad_emi!T$27</f>
        <v>1572.0902923327153</v>
      </c>
      <c r="U68" s="102">
        <f>TrRoad_emi!U$27</f>
        <v>1624.9537576036839</v>
      </c>
      <c r="V68" s="102">
        <f>TrRoad_emi!V$27</f>
        <v>1605.1526871508736</v>
      </c>
      <c r="W68" s="102">
        <f>TrRoad_emi!W$27</f>
        <v>1572.647579187322</v>
      </c>
      <c r="X68" s="102">
        <f>TrRoad_emi!X$27</f>
        <v>1718.150906166914</v>
      </c>
      <c r="Y68" s="102">
        <f>TrRoad_emi!Y$27</f>
        <v>1784.4100361094524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118.34894608024219</v>
      </c>
      <c r="C69" s="110">
        <f t="shared" si="57"/>
        <v>119.79467075312287</v>
      </c>
      <c r="D69" s="110">
        <f t="shared" si="57"/>
        <v>119.64884662227415</v>
      </c>
      <c r="E69" s="110">
        <f t="shared" si="57"/>
        <v>117.19146346202432</v>
      </c>
      <c r="F69" s="110">
        <f t="shared" si="57"/>
        <v>114.30628309863761</v>
      </c>
      <c r="G69" s="110">
        <f t="shared" si="57"/>
        <v>117.3341410166842</v>
      </c>
      <c r="H69" s="110">
        <f t="shared" si="57"/>
        <v>119.23104034960228</v>
      </c>
      <c r="I69" s="110">
        <f t="shared" si="57"/>
        <v>105.17759150425856</v>
      </c>
      <c r="J69" s="110">
        <f t="shared" si="57"/>
        <v>96.870253269603836</v>
      </c>
      <c r="K69" s="110">
        <f t="shared" si="57"/>
        <v>87.11447234118009</v>
      </c>
      <c r="L69" s="110">
        <f t="shared" si="57"/>
        <v>54.897410585867405</v>
      </c>
      <c r="M69" s="110">
        <f t="shared" si="57"/>
        <v>43.476364150383965</v>
      </c>
      <c r="N69" s="110">
        <f t="shared" si="57"/>
        <v>74.834100242018081</v>
      </c>
      <c r="O69" s="110">
        <f t="shared" si="57"/>
        <v>51.082881712797779</v>
      </c>
      <c r="P69" s="110">
        <f t="shared" si="57"/>
        <v>122.62917031667635</v>
      </c>
      <c r="Q69" s="110">
        <f t="shared" si="57"/>
        <v>122.85908965969148</v>
      </c>
      <c r="R69" s="110">
        <f t="shared" ref="R69:V69" si="58">R70+R71+R72</f>
        <v>123.27341137567468</v>
      </c>
      <c r="S69" s="110">
        <f t="shared" si="58"/>
        <v>119.08647697843118</v>
      </c>
      <c r="T69" s="110">
        <f t="shared" si="58"/>
        <v>112.2049317715958</v>
      </c>
      <c r="U69" s="110">
        <f t="shared" si="58"/>
        <v>30.968212383462205</v>
      </c>
      <c r="V69" s="110">
        <f t="shared" si="58"/>
        <v>19.852331462752925</v>
      </c>
      <c r="W69" s="110">
        <f t="shared" ref="W69:Y69" si="59">W70+W71+W72</f>
        <v>17.456214373286908</v>
      </c>
      <c r="X69" s="110">
        <f t="shared" si="59"/>
        <v>19.212341604484067</v>
      </c>
      <c r="Y69" s="110">
        <f t="shared" si="59"/>
        <v>12.112570343763998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118.34894608024219</v>
      </c>
      <c r="C71" s="102">
        <f>TrRail_emi!C$11</f>
        <v>119.79467075312287</v>
      </c>
      <c r="D71" s="102">
        <f>TrRail_emi!D$11</f>
        <v>119.64884662227415</v>
      </c>
      <c r="E71" s="102">
        <f>TrRail_emi!E$11</f>
        <v>117.19146346202432</v>
      </c>
      <c r="F71" s="102">
        <f>TrRail_emi!F$11</f>
        <v>114.30628309863761</v>
      </c>
      <c r="G71" s="102">
        <f>TrRail_emi!G$11</f>
        <v>117.3341410166842</v>
      </c>
      <c r="H71" s="102">
        <f>TrRail_emi!H$11</f>
        <v>119.23104034960228</v>
      </c>
      <c r="I71" s="102">
        <f>TrRail_emi!I$11</f>
        <v>105.17759150425856</v>
      </c>
      <c r="J71" s="102">
        <f>TrRail_emi!J$11</f>
        <v>96.870253269603836</v>
      </c>
      <c r="K71" s="102">
        <f>TrRail_emi!K$11</f>
        <v>87.11447234118009</v>
      </c>
      <c r="L71" s="102">
        <f>TrRail_emi!L$11</f>
        <v>54.897410585867405</v>
      </c>
      <c r="M71" s="102">
        <f>TrRail_emi!M$11</f>
        <v>43.476364150383965</v>
      </c>
      <c r="N71" s="102">
        <f>TrRail_emi!N$11</f>
        <v>74.834100242018081</v>
      </c>
      <c r="O71" s="102">
        <f>TrRail_emi!O$11</f>
        <v>51.082881712797779</v>
      </c>
      <c r="P71" s="102">
        <f>TrRail_emi!P$11</f>
        <v>122.62917031667635</v>
      </c>
      <c r="Q71" s="102">
        <f>TrRail_emi!Q$11</f>
        <v>122.85908965969148</v>
      </c>
      <c r="R71" s="102">
        <f>TrRail_emi!R$11</f>
        <v>123.27341137567468</v>
      </c>
      <c r="S71" s="102">
        <f>TrRail_emi!S$11</f>
        <v>119.08647697843118</v>
      </c>
      <c r="T71" s="102">
        <f>TrRail_emi!T$11</f>
        <v>112.2049317715958</v>
      </c>
      <c r="U71" s="102">
        <f>TrRail_emi!U$11</f>
        <v>30.968212383462205</v>
      </c>
      <c r="V71" s="102">
        <f>TrRail_emi!V$11</f>
        <v>19.852331462752925</v>
      </c>
      <c r="W71" s="102">
        <f>TrRail_emi!W$11</f>
        <v>17.456214373286908</v>
      </c>
      <c r="X71" s="102">
        <f>TrRail_emi!X$11</f>
        <v>19.212341604484067</v>
      </c>
      <c r="Y71" s="102">
        <f>TrRail_emi!Y$11</f>
        <v>12.112570343763998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3988.5192568628295</v>
      </c>
      <c r="C73" s="110">
        <f t="shared" si="60"/>
        <v>3567.0193238105139</v>
      </c>
      <c r="D73" s="110">
        <f t="shared" si="60"/>
        <v>3456.4487226020169</v>
      </c>
      <c r="E73" s="110">
        <f t="shared" si="60"/>
        <v>3495.2919361631816</v>
      </c>
      <c r="F73" s="110">
        <f t="shared" si="60"/>
        <v>3668.7760684866962</v>
      </c>
      <c r="G73" s="110">
        <f t="shared" si="60"/>
        <v>3587.246775234692</v>
      </c>
      <c r="H73" s="110">
        <f t="shared" si="60"/>
        <v>3928.6717047403936</v>
      </c>
      <c r="I73" s="110">
        <f t="shared" si="60"/>
        <v>3988.287933731639</v>
      </c>
      <c r="J73" s="110">
        <f t="shared" si="60"/>
        <v>4055.5905185734055</v>
      </c>
      <c r="K73" s="110">
        <f t="shared" si="60"/>
        <v>3392.3716145140952</v>
      </c>
      <c r="L73" s="110">
        <f t="shared" si="60"/>
        <v>2729.1405495643098</v>
      </c>
      <c r="M73" s="110">
        <f t="shared" si="60"/>
        <v>2856.4451794420397</v>
      </c>
      <c r="N73" s="110">
        <f t="shared" si="60"/>
        <v>2512.4244460810032</v>
      </c>
      <c r="O73" s="110">
        <f t="shared" si="60"/>
        <v>2529.4228871336036</v>
      </c>
      <c r="P73" s="110">
        <f t="shared" si="60"/>
        <v>2857.0019816528616</v>
      </c>
      <c r="Q73" s="110">
        <f t="shared" si="60"/>
        <v>2960.5475230416832</v>
      </c>
      <c r="R73" s="110">
        <f t="shared" ref="R73:V73" si="61">R74+R75+R76</f>
        <v>3192.9239547818329</v>
      </c>
      <c r="S73" s="110">
        <f t="shared" si="61"/>
        <v>3534.8396372781303</v>
      </c>
      <c r="T73" s="110">
        <f t="shared" si="61"/>
        <v>3916.8175394263735</v>
      </c>
      <c r="U73" s="110">
        <f t="shared" si="61"/>
        <v>4049.4716919604134</v>
      </c>
      <c r="V73" s="110">
        <f t="shared" si="61"/>
        <v>1321.2332888103167</v>
      </c>
      <c r="W73" s="110">
        <f t="shared" ref="W73:Y73" si="62">W74+W75+W76</f>
        <v>2527.0096409498374</v>
      </c>
      <c r="X73" s="110">
        <f t="shared" si="62"/>
        <v>4145.2474913155775</v>
      </c>
      <c r="Y73" s="110">
        <f t="shared" si="62"/>
        <v>4446.5513498190794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1528.5889271612609</v>
      </c>
      <c r="C74" s="102">
        <f>TrAvia_emi!C$7</f>
        <v>1291.6031845634107</v>
      </c>
      <c r="D74" s="102">
        <f>TrAvia_emi!D$7</f>
        <v>1179.9011720155856</v>
      </c>
      <c r="E74" s="102">
        <f>TrAvia_emi!E$7</f>
        <v>1134.1459774510431</v>
      </c>
      <c r="F74" s="102">
        <f>TrAvia_emi!F$7</f>
        <v>1220.9905349016578</v>
      </c>
      <c r="G74" s="102">
        <f>TrAvia_emi!G$7</f>
        <v>1224.3628357449597</v>
      </c>
      <c r="H74" s="102">
        <f>TrAvia_emi!H$7</f>
        <v>1099.9030782566085</v>
      </c>
      <c r="I74" s="102">
        <f>TrAvia_emi!I$7</f>
        <v>1090.9326712951611</v>
      </c>
      <c r="J74" s="102">
        <f>TrAvia_emi!J$7</f>
        <v>1045.1010039916218</v>
      </c>
      <c r="K74" s="102">
        <f>TrAvia_emi!K$7</f>
        <v>864.1156232181379</v>
      </c>
      <c r="L74" s="102">
        <f>TrAvia_emi!L$7</f>
        <v>705.54399946183764</v>
      </c>
      <c r="M74" s="102">
        <f>TrAvia_emi!M$7</f>
        <v>660.80617737584032</v>
      </c>
      <c r="N74" s="102">
        <f>TrAvia_emi!N$7</f>
        <v>557.5615255965962</v>
      </c>
      <c r="O74" s="102">
        <f>TrAvia_emi!O$7</f>
        <v>526.91568841625235</v>
      </c>
      <c r="P74" s="102">
        <f>TrAvia_emi!P$7</f>
        <v>538.02089064395057</v>
      </c>
      <c r="Q74" s="102">
        <f>TrAvia_emi!Q$7</f>
        <v>501.5117903966327</v>
      </c>
      <c r="R74" s="102">
        <f>TrAvia_emi!R$7</f>
        <v>566.68175869919514</v>
      </c>
      <c r="S74" s="102">
        <f>TrAvia_emi!S$7</f>
        <v>585.80164699346153</v>
      </c>
      <c r="T74" s="102">
        <f>TrAvia_emi!T$7</f>
        <v>665.51932704254591</v>
      </c>
      <c r="U74" s="102">
        <f>TrAvia_emi!U$7</f>
        <v>673.42113231507483</v>
      </c>
      <c r="V74" s="102">
        <f>TrAvia_emi!V$7</f>
        <v>271.36558802318143</v>
      </c>
      <c r="W74" s="102">
        <f>TrAvia_emi!W$7</f>
        <v>454.05418057816019</v>
      </c>
      <c r="X74" s="102">
        <f>TrAvia_emi!X$7</f>
        <v>686.62597958538038</v>
      </c>
      <c r="Y74" s="102">
        <f>TrAvia_emi!Y$7</f>
        <v>844.20868552930392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2107.0199700249141</v>
      </c>
      <c r="C75" s="102">
        <f>TrAvia_emi!C$8</f>
        <v>1948.9687444834217</v>
      </c>
      <c r="D75" s="102">
        <f>TrAvia_emi!D$8</f>
        <v>1949.9530460070973</v>
      </c>
      <c r="E75" s="102">
        <f>TrAvia_emi!E$8</f>
        <v>2022.4437091488669</v>
      </c>
      <c r="F75" s="102">
        <f>TrAvia_emi!F$8</f>
        <v>2040.024626244832</v>
      </c>
      <c r="G75" s="102">
        <f>TrAvia_emi!G$8</f>
        <v>1965.9580470485646</v>
      </c>
      <c r="H75" s="102">
        <f>TrAvia_emi!H$8</f>
        <v>2363.8814022749298</v>
      </c>
      <c r="I75" s="102">
        <f>TrAvia_emi!I$8</f>
        <v>2426.7410028153577</v>
      </c>
      <c r="J75" s="102">
        <f>TrAvia_emi!J$8</f>
        <v>2507.8942148189399</v>
      </c>
      <c r="K75" s="102">
        <f>TrAvia_emi!K$8</f>
        <v>2088.2421934272493</v>
      </c>
      <c r="L75" s="102">
        <f>TrAvia_emi!L$8</f>
        <v>1662.7170530854239</v>
      </c>
      <c r="M75" s="102">
        <f>TrAvia_emi!M$8</f>
        <v>1806.4885816412332</v>
      </c>
      <c r="N75" s="102">
        <f>TrAvia_emi!N$8</f>
        <v>1602.1604819084034</v>
      </c>
      <c r="O75" s="102">
        <f>TrAvia_emi!O$8</f>
        <v>1639.7827702937486</v>
      </c>
      <c r="P75" s="102">
        <f>TrAvia_emi!P$8</f>
        <v>1915.9792970919257</v>
      </c>
      <c r="Q75" s="102">
        <f>TrAvia_emi!Q$8</f>
        <v>2038.1068435832492</v>
      </c>
      <c r="R75" s="102">
        <f>TrAvia_emi!R$8</f>
        <v>2200.7025567839623</v>
      </c>
      <c r="S75" s="102">
        <f>TrAvia_emi!S$8</f>
        <v>2487.6564163932471</v>
      </c>
      <c r="T75" s="102">
        <f>TrAvia_emi!T$8</f>
        <v>2745.0765145950086</v>
      </c>
      <c r="U75" s="102">
        <f>TrAvia_emi!U$8</f>
        <v>2837.8612957420823</v>
      </c>
      <c r="V75" s="102">
        <f>TrAvia_emi!V$8</f>
        <v>820.54435098997544</v>
      </c>
      <c r="W75" s="102">
        <f>TrAvia_emi!W$8</f>
        <v>1691.244918878831</v>
      </c>
      <c r="X75" s="102">
        <f>TrAvia_emi!X$8</f>
        <v>2973.4555270029782</v>
      </c>
      <c r="Y75" s="102">
        <f>TrAvia_emi!Y$8</f>
        <v>3088.4210192652727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352.91035967665448</v>
      </c>
      <c r="C76" s="102">
        <f>TrAvia_emi!C$9</f>
        <v>326.44739476368147</v>
      </c>
      <c r="D76" s="102">
        <f>TrAvia_emi!D$9</f>
        <v>326.5945045793336</v>
      </c>
      <c r="E76" s="102">
        <f>TrAvia_emi!E$9</f>
        <v>338.70224956327132</v>
      </c>
      <c r="F76" s="102">
        <f>TrAvia_emi!F$9</f>
        <v>407.76090734020659</v>
      </c>
      <c r="G76" s="102">
        <f>TrAvia_emi!G$9</f>
        <v>396.92589244116772</v>
      </c>
      <c r="H76" s="102">
        <f>TrAvia_emi!H$9</f>
        <v>464.88722420885551</v>
      </c>
      <c r="I76" s="102">
        <f>TrAvia_emi!I$9</f>
        <v>470.61425962112042</v>
      </c>
      <c r="J76" s="102">
        <f>TrAvia_emi!J$9</f>
        <v>502.59529976284387</v>
      </c>
      <c r="K76" s="102">
        <f>TrAvia_emi!K$9</f>
        <v>440.0137978687078</v>
      </c>
      <c r="L76" s="102">
        <f>TrAvia_emi!L$9</f>
        <v>360.87949701704838</v>
      </c>
      <c r="M76" s="102">
        <f>TrAvia_emi!M$9</f>
        <v>389.15042042496651</v>
      </c>
      <c r="N76" s="102">
        <f>TrAvia_emi!N$9</f>
        <v>352.70243857600349</v>
      </c>
      <c r="O76" s="102">
        <f>TrAvia_emi!O$9</f>
        <v>362.72442842360249</v>
      </c>
      <c r="P76" s="102">
        <f>TrAvia_emi!P$9</f>
        <v>403.00179391698538</v>
      </c>
      <c r="Q76" s="102">
        <f>TrAvia_emi!Q$9</f>
        <v>420.9288890618015</v>
      </c>
      <c r="R76" s="102">
        <f>TrAvia_emi!R$9</f>
        <v>425.53963929867535</v>
      </c>
      <c r="S76" s="102">
        <f>TrAvia_emi!S$9</f>
        <v>461.38157389142162</v>
      </c>
      <c r="T76" s="102">
        <f>TrAvia_emi!T$9</f>
        <v>506.22169778881909</v>
      </c>
      <c r="U76" s="102">
        <f>TrAvia_emi!U$9</f>
        <v>538.18926390325635</v>
      </c>
      <c r="V76" s="102">
        <f>TrAvia_emi!V$9</f>
        <v>229.32334979715992</v>
      </c>
      <c r="W76" s="102">
        <f>TrAvia_emi!W$9</f>
        <v>381.71054149284646</v>
      </c>
      <c r="X76" s="102">
        <f>TrAvia_emi!X$9</f>
        <v>485.16598472721932</v>
      </c>
      <c r="Y76" s="102">
        <f>TrAvia_emi!Y$9</f>
        <v>513.9216450245035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7405.6402859260024</v>
      </c>
      <c r="C77" s="28">
        <f t="shared" si="63"/>
        <v>8023.1730147247981</v>
      </c>
      <c r="D77" s="28">
        <f t="shared" si="63"/>
        <v>7928.7487482628076</v>
      </c>
      <c r="E77" s="28">
        <f t="shared" si="63"/>
        <v>7921.6061983713562</v>
      </c>
      <c r="F77" s="28">
        <f t="shared" si="63"/>
        <v>8485.2250369168796</v>
      </c>
      <c r="G77" s="28">
        <f t="shared" si="63"/>
        <v>8118.2654002836161</v>
      </c>
      <c r="H77" s="28">
        <f t="shared" si="63"/>
        <v>8564.7227970216827</v>
      </c>
      <c r="I77" s="28">
        <f t="shared" si="63"/>
        <v>8601.4843308374166</v>
      </c>
      <c r="J77" s="28">
        <f t="shared" si="63"/>
        <v>8338.0323888351886</v>
      </c>
      <c r="K77" s="28">
        <f t="shared" si="63"/>
        <v>10273.807978897543</v>
      </c>
      <c r="L77" s="28">
        <f t="shared" si="63"/>
        <v>8911.1924266419574</v>
      </c>
      <c r="M77" s="28">
        <f t="shared" si="63"/>
        <v>6996.0420457981309</v>
      </c>
      <c r="N77" s="28">
        <f t="shared" si="63"/>
        <v>5637.2323352906515</v>
      </c>
      <c r="O77" s="28">
        <f t="shared" si="63"/>
        <v>6024.953125196158</v>
      </c>
      <c r="P77" s="28">
        <f t="shared" si="63"/>
        <v>6287.1058335835878</v>
      </c>
      <c r="Q77" s="28">
        <f t="shared" si="63"/>
        <v>6518.3199866552777</v>
      </c>
      <c r="R77" s="28">
        <f t="shared" si="63"/>
        <v>6856.9286115247196</v>
      </c>
      <c r="S77" s="28">
        <f t="shared" si="63"/>
        <v>6621.3372123457757</v>
      </c>
      <c r="T77" s="28">
        <f t="shared" si="63"/>
        <v>6896.7736760635944</v>
      </c>
      <c r="U77" s="28">
        <f t="shared" si="63"/>
        <v>7201.5172073551466</v>
      </c>
      <c r="V77" s="28">
        <f t="shared" si="63"/>
        <v>6484.072684430761</v>
      </c>
      <c r="W77" s="28">
        <f t="shared" si="63"/>
        <v>6897.6058405488548</v>
      </c>
      <c r="X77" s="28">
        <f t="shared" si="63"/>
        <v>7513.02321194451</v>
      </c>
      <c r="Y77" s="28">
        <f t="shared" si="63"/>
        <v>7522.3081391271717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5718.533618829073</v>
      </c>
      <c r="C78" s="137">
        <f t="shared" si="64"/>
        <v>5757.3403277284351</v>
      </c>
      <c r="D78" s="137">
        <f t="shared" si="64"/>
        <v>5876.7586583270986</v>
      </c>
      <c r="E78" s="137">
        <f t="shared" si="64"/>
        <v>5904.2603581965614</v>
      </c>
      <c r="F78" s="137">
        <f t="shared" si="64"/>
        <v>6257.6996499822126</v>
      </c>
      <c r="G78" s="137">
        <f t="shared" si="64"/>
        <v>5984.2890842949928</v>
      </c>
      <c r="H78" s="137">
        <f t="shared" si="64"/>
        <v>6220.1314253916789</v>
      </c>
      <c r="I78" s="137">
        <f t="shared" si="64"/>
        <v>6413.8628157133135</v>
      </c>
      <c r="J78" s="137">
        <f t="shared" si="64"/>
        <v>6356.105903598198</v>
      </c>
      <c r="K78" s="137">
        <f t="shared" si="64"/>
        <v>7402.5358268728169</v>
      </c>
      <c r="L78" s="137">
        <f t="shared" si="64"/>
        <v>6579.4642187121344</v>
      </c>
      <c r="M78" s="137">
        <f t="shared" si="64"/>
        <v>5320.1480573905537</v>
      </c>
      <c r="N78" s="137">
        <f t="shared" si="64"/>
        <v>3926.7155237336719</v>
      </c>
      <c r="O78" s="137">
        <f t="shared" si="64"/>
        <v>4621.8890071625592</v>
      </c>
      <c r="P78" s="137">
        <f t="shared" si="64"/>
        <v>4832.8145416731268</v>
      </c>
      <c r="Q78" s="137">
        <f t="shared" si="64"/>
        <v>4791.3771812366513</v>
      </c>
      <c r="R78" s="137">
        <f t="shared" ref="R78:V78" si="65">R79+R80</f>
        <v>5064.317383082227</v>
      </c>
      <c r="S78" s="137">
        <f t="shared" si="65"/>
        <v>4782.9065524023354</v>
      </c>
      <c r="T78" s="137">
        <f t="shared" si="65"/>
        <v>4905.0492132215632</v>
      </c>
      <c r="U78" s="137">
        <f t="shared" si="65"/>
        <v>5134.531764139022</v>
      </c>
      <c r="V78" s="137">
        <f t="shared" si="65"/>
        <v>4823.5087131838318</v>
      </c>
      <c r="W78" s="137">
        <f t="shared" ref="W78:Y78" si="66">W79+W80</f>
        <v>5046.3888209919787</v>
      </c>
      <c r="X78" s="137">
        <f t="shared" si="66"/>
        <v>5524.7796419045717</v>
      </c>
      <c r="Y78" s="137">
        <f t="shared" si="66"/>
        <v>5462.4637556900152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2339.8202078946092</v>
      </c>
      <c r="C79" s="102">
        <f>TrRoad_emi!C$34</f>
        <v>2320.6985998231589</v>
      </c>
      <c r="D79" s="102">
        <f>TrRoad_emi!D$34</f>
        <v>2369.8523996432377</v>
      </c>
      <c r="E79" s="102">
        <f>TrRoad_emi!E$34</f>
        <v>2431.7795411585621</v>
      </c>
      <c r="F79" s="102">
        <f>TrRoad_emi!F$34</f>
        <v>2386.5506047695653</v>
      </c>
      <c r="G79" s="102">
        <f>TrRoad_emi!G$34</f>
        <v>2389.2668033569748</v>
      </c>
      <c r="H79" s="102">
        <f>TrRoad_emi!H$34</f>
        <v>2382.9418662806852</v>
      </c>
      <c r="I79" s="102">
        <f>TrRoad_emi!I$34</f>
        <v>2506.9361625557754</v>
      </c>
      <c r="J79" s="102">
        <f>TrRoad_emi!J$34</f>
        <v>2452.792402379187</v>
      </c>
      <c r="K79" s="102">
        <f>TrRoad_emi!K$34</f>
        <v>2303.5425529622407</v>
      </c>
      <c r="L79" s="102">
        <f>TrRoad_emi!L$34</f>
        <v>2295.5078469066411</v>
      </c>
      <c r="M79" s="102">
        <f>TrRoad_emi!M$34</f>
        <v>1957.1716864128007</v>
      </c>
      <c r="N79" s="102">
        <f>TrRoad_emi!N$34</f>
        <v>1600.9740159651556</v>
      </c>
      <c r="O79" s="102">
        <f>TrRoad_emi!O$34</f>
        <v>1856.6492546475415</v>
      </c>
      <c r="P79" s="102">
        <f>TrRoad_emi!P$34</f>
        <v>1850.2663651027494</v>
      </c>
      <c r="Q79" s="102">
        <f>TrRoad_emi!Q$34</f>
        <v>2214.3234955392008</v>
      </c>
      <c r="R79" s="102">
        <f>TrRoad_emi!R$34</f>
        <v>2347.5143630234797</v>
      </c>
      <c r="S79" s="102">
        <f>TrRoad_emi!S$34</f>
        <v>2062.9412642037928</v>
      </c>
      <c r="T79" s="102">
        <f>TrRoad_emi!T$34</f>
        <v>2058.1207507542467</v>
      </c>
      <c r="U79" s="102">
        <f>TrRoad_emi!U$34</f>
        <v>2056.6087042285531</v>
      </c>
      <c r="V79" s="102">
        <f>TrRoad_emi!V$34</f>
        <v>1761.587551399954</v>
      </c>
      <c r="W79" s="102">
        <f>TrRoad_emi!W$34</f>
        <v>1913.2475845965978</v>
      </c>
      <c r="X79" s="102">
        <f>TrRoad_emi!X$34</f>
        <v>2062.7297001869692</v>
      </c>
      <c r="Y79" s="102">
        <f>TrRoad_emi!Y$34</f>
        <v>2108.8957015859555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3378.7134109344634</v>
      </c>
      <c r="C80" s="102">
        <f>TrRoad_emi!C$40</f>
        <v>3436.6417279052762</v>
      </c>
      <c r="D80" s="102">
        <f>TrRoad_emi!D$40</f>
        <v>3506.9062586838604</v>
      </c>
      <c r="E80" s="102">
        <f>TrRoad_emi!E$40</f>
        <v>3472.4808170379993</v>
      </c>
      <c r="F80" s="102">
        <f>TrRoad_emi!F$40</f>
        <v>3871.1490452126477</v>
      </c>
      <c r="G80" s="102">
        <f>TrRoad_emi!G$40</f>
        <v>3595.0222809380175</v>
      </c>
      <c r="H80" s="102">
        <f>TrRoad_emi!H$40</f>
        <v>3837.1895591109933</v>
      </c>
      <c r="I80" s="102">
        <f>TrRoad_emi!I$40</f>
        <v>3906.9266531575377</v>
      </c>
      <c r="J80" s="102">
        <f>TrRoad_emi!J$40</f>
        <v>3903.3135012190114</v>
      </c>
      <c r="K80" s="102">
        <f>TrRoad_emi!K$40</f>
        <v>5098.9932739105761</v>
      </c>
      <c r="L80" s="102">
        <f>TrRoad_emi!L$40</f>
        <v>4283.9563718054933</v>
      </c>
      <c r="M80" s="102">
        <f>TrRoad_emi!M$40</f>
        <v>3362.9763709777535</v>
      </c>
      <c r="N80" s="102">
        <f>TrRoad_emi!N$40</f>
        <v>2325.7415077685164</v>
      </c>
      <c r="O80" s="102">
        <f>TrRoad_emi!O$40</f>
        <v>2765.2397525150172</v>
      </c>
      <c r="P80" s="102">
        <f>TrRoad_emi!P$40</f>
        <v>2982.5481765703776</v>
      </c>
      <c r="Q80" s="102">
        <f>TrRoad_emi!Q$40</f>
        <v>2577.0536856974504</v>
      </c>
      <c r="R80" s="102">
        <f>TrRoad_emi!R$40</f>
        <v>2716.8030200587468</v>
      </c>
      <c r="S80" s="102">
        <f>TrRoad_emi!S$40</f>
        <v>2719.965288198543</v>
      </c>
      <c r="T80" s="102">
        <f>TrRoad_emi!T$40</f>
        <v>2846.9284624673164</v>
      </c>
      <c r="U80" s="102">
        <f>TrRoad_emi!U$40</f>
        <v>3077.923059910469</v>
      </c>
      <c r="V80" s="102">
        <f>TrRoad_emi!V$40</f>
        <v>3061.9211617838782</v>
      </c>
      <c r="W80" s="102">
        <f>TrRoad_emi!W$40</f>
        <v>3133.1412363953805</v>
      </c>
      <c r="X80" s="102">
        <f>TrRoad_emi!X$40</f>
        <v>3462.0499417176029</v>
      </c>
      <c r="Y80" s="102">
        <f>TrRoad_emi!Y$40</f>
        <v>3353.5680541040597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9.1031131997578019</v>
      </c>
      <c r="C81" s="110">
        <f>TrRail_emi!C$15</f>
        <v>7.6573885268771296</v>
      </c>
      <c r="D81" s="110">
        <f>TrRail_emi!D$15</f>
        <v>7.8032126577258554</v>
      </c>
      <c r="E81" s="110">
        <f>TrRail_emi!E$15</f>
        <v>10.260595817975695</v>
      </c>
      <c r="F81" s="110">
        <f>TrRail_emi!F$15</f>
        <v>13.145776181362388</v>
      </c>
      <c r="G81" s="110">
        <f>TrRail_emi!G$15</f>
        <v>10.117918263315806</v>
      </c>
      <c r="H81" s="110">
        <f>TrRail_emi!H$15</f>
        <v>11.40720037039771</v>
      </c>
      <c r="I81" s="110">
        <f>TrRail_emi!I$15</f>
        <v>12.715389935741431</v>
      </c>
      <c r="J81" s="110">
        <f>TrRail_emi!J$15</f>
        <v>17.836546730396158</v>
      </c>
      <c r="K81" s="110">
        <f>TrRail_emi!K$15</f>
        <v>7.585327658819903</v>
      </c>
      <c r="L81" s="110">
        <f>TrRail_emi!L$15</f>
        <v>8.2358783341326038</v>
      </c>
      <c r="M81" s="110">
        <f>TrRail_emi!M$15</f>
        <v>3.873535849616033</v>
      </c>
      <c r="N81" s="110">
        <f>TrRail_emi!N$15</f>
        <v>4.082310837981928</v>
      </c>
      <c r="O81" s="110">
        <f>TrRail_emi!O$15</f>
        <v>2.5804272072022125</v>
      </c>
      <c r="P81" s="110">
        <f>TrRail_emi!P$15</f>
        <v>3.6371407633236603</v>
      </c>
      <c r="Q81" s="110">
        <f>TrRail_emi!Q$15</f>
        <v>3.4072214203085314</v>
      </c>
      <c r="R81" s="110">
        <f>TrRail_emi!R$15</f>
        <v>2.9928997043253096</v>
      </c>
      <c r="S81" s="110">
        <f>TrRail_emi!S$15</f>
        <v>4.0990228615688125</v>
      </c>
      <c r="T81" s="110">
        <f>TrRail_emi!T$15</f>
        <v>4.5092559484041939</v>
      </c>
      <c r="U81" s="110">
        <f>TrRail_emi!U$15</f>
        <v>2.9289948565378077</v>
      </c>
      <c r="V81" s="110">
        <f>TrRail_emi!V$15</f>
        <v>3.1471822172470727</v>
      </c>
      <c r="W81" s="110">
        <f>TrRail_emi!W$15</f>
        <v>3.3556005467130876</v>
      </c>
      <c r="X81" s="110">
        <f>TrRail_emi!X$15</f>
        <v>2.3634739555159339</v>
      </c>
      <c r="Y81" s="110">
        <f>TrRail_emi!Y$15</f>
        <v>0.85490001623599887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102.04418809717153</v>
      </c>
      <c r="C82" s="110">
        <f t="shared" si="67"/>
        <v>111.37041122948555</v>
      </c>
      <c r="D82" s="110">
        <f t="shared" si="67"/>
        <v>107.77807739798322</v>
      </c>
      <c r="E82" s="110">
        <f t="shared" si="67"/>
        <v>91.159125076818441</v>
      </c>
      <c r="F82" s="110">
        <f t="shared" si="67"/>
        <v>60.389273993303952</v>
      </c>
      <c r="G82" s="110">
        <f t="shared" si="67"/>
        <v>59.363102285307562</v>
      </c>
      <c r="H82" s="110">
        <f t="shared" si="67"/>
        <v>69.910098979606303</v>
      </c>
      <c r="I82" s="110">
        <f t="shared" si="67"/>
        <v>60.854122548361403</v>
      </c>
      <c r="J82" s="110">
        <f t="shared" si="67"/>
        <v>66.450976466594341</v>
      </c>
      <c r="K82" s="110">
        <f t="shared" si="67"/>
        <v>48.282073285904978</v>
      </c>
      <c r="L82" s="110">
        <f t="shared" si="67"/>
        <v>37.685651395690094</v>
      </c>
      <c r="M82" s="110">
        <f t="shared" si="67"/>
        <v>37.222619797960846</v>
      </c>
      <c r="N82" s="110">
        <f t="shared" si="67"/>
        <v>31.993198678996944</v>
      </c>
      <c r="O82" s="110">
        <f t="shared" si="67"/>
        <v>30.481430946396959</v>
      </c>
      <c r="P82" s="110">
        <f t="shared" si="67"/>
        <v>24.43882006713778</v>
      </c>
      <c r="Q82" s="110">
        <f t="shared" si="67"/>
        <v>22.931105918317716</v>
      </c>
      <c r="R82" s="110">
        <f t="shared" si="67"/>
        <v>22.42044693816711</v>
      </c>
      <c r="S82" s="110">
        <f t="shared" si="67"/>
        <v>22.305398241870115</v>
      </c>
      <c r="T82" s="110">
        <f t="shared" si="67"/>
        <v>31.054848973626711</v>
      </c>
      <c r="U82" s="110">
        <f t="shared" si="67"/>
        <v>30.145344599586664</v>
      </c>
      <c r="V82" s="110">
        <f t="shared" si="67"/>
        <v>21.152759789683195</v>
      </c>
      <c r="W82" s="110">
        <f t="shared" ref="W82:Y82" si="68">W83+W84+W85</f>
        <v>25.149280370162458</v>
      </c>
      <c r="X82" s="110">
        <f t="shared" si="68"/>
        <v>25.473219924422025</v>
      </c>
      <c r="Y82" s="110">
        <f t="shared" si="68"/>
        <v>22.916032820921039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47.538047798739655</v>
      </c>
      <c r="C83" s="102">
        <f>TrAvia_emi!C$11</f>
        <v>49.914320476589076</v>
      </c>
      <c r="D83" s="102">
        <f>TrAvia_emi!D$11</f>
        <v>47.453397984414316</v>
      </c>
      <c r="E83" s="102">
        <f>TrAvia_emi!E$11</f>
        <v>39.333893788957212</v>
      </c>
      <c r="F83" s="102">
        <f>TrAvia_emi!F$11</f>
        <v>22.275447578342337</v>
      </c>
      <c r="G83" s="102">
        <f>TrAvia_emi!G$11</f>
        <v>21.959011775040199</v>
      </c>
      <c r="H83" s="102">
        <f>TrAvia_emi!H$11</f>
        <v>19.601405463391593</v>
      </c>
      <c r="I83" s="102">
        <f>TrAvia_emi!I$11</f>
        <v>15.716264984838745</v>
      </c>
      <c r="J83" s="102">
        <f>TrAvia_emi!J$11</f>
        <v>17.128141048378417</v>
      </c>
      <c r="K83" s="102">
        <f>TrAvia_emi!K$11</f>
        <v>10.427035821862153</v>
      </c>
      <c r="L83" s="102">
        <f>TrAvia_emi!L$11</f>
        <v>8.393430258162331</v>
      </c>
      <c r="M83" s="102">
        <f>TrAvia_emi!M$11</f>
        <v>6.8376218641598259</v>
      </c>
      <c r="N83" s="102">
        <f>TrAvia_emi!N$11</f>
        <v>5.0763904034036402</v>
      </c>
      <c r="O83" s="102">
        <f>TrAvia_emi!O$11</f>
        <v>4.8333146237478841</v>
      </c>
      <c r="P83" s="102">
        <f>TrAvia_emi!P$11</f>
        <v>3.003126116049569</v>
      </c>
      <c r="Q83" s="102">
        <f>TrAvia_emi!Q$11</f>
        <v>2.4235536033674254</v>
      </c>
      <c r="R83" s="102">
        <f>TrAvia_emi!R$11</f>
        <v>2.1675580608050109</v>
      </c>
      <c r="S83" s="102">
        <f>TrAvia_emi!S$11</f>
        <v>1.5152338065386293</v>
      </c>
      <c r="T83" s="102">
        <f>TrAvia_emi!T$11</f>
        <v>3.0720271174540579</v>
      </c>
      <c r="U83" s="102">
        <f>TrAvia_emi!U$11</f>
        <v>2.6745356049252007</v>
      </c>
      <c r="V83" s="102">
        <f>TrAvia_emi!V$11</f>
        <v>1.1296835768185904</v>
      </c>
      <c r="W83" s="102">
        <f>TrAvia_emi!W$11</f>
        <v>1.5405963418398838</v>
      </c>
      <c r="X83" s="102">
        <f>TrAvia_emi!X$11</f>
        <v>2.004000574619575</v>
      </c>
      <c r="Y83" s="102">
        <f>TrAvia_emi!Y$11</f>
        <v>2.5662897106962914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49.839065958461809</v>
      </c>
      <c r="C84" s="102">
        <f>TrAvia_emi!C$12</f>
        <v>56.967058679919091</v>
      </c>
      <c r="D84" s="102">
        <f>TrAvia_emi!D$12</f>
        <v>55.770658782141631</v>
      </c>
      <c r="E84" s="102">
        <f>TrAvia_emi!E$12</f>
        <v>46.800153854495299</v>
      </c>
      <c r="F84" s="102">
        <f>TrAvia_emi!F$12</f>
        <v>34.440654944732529</v>
      </c>
      <c r="G84" s="102">
        <f>TrAvia_emi!G$12</f>
        <v>33.809809702876976</v>
      </c>
      <c r="H84" s="102">
        <f>TrAvia_emi!H$12</f>
        <v>46.417070397417277</v>
      </c>
      <c r="I84" s="102">
        <f>TrAvia_emi!I$12</f>
        <v>41.912463742128509</v>
      </c>
      <c r="J84" s="102">
        <f>TrAvia_emi!J$12</f>
        <v>45.859754159075067</v>
      </c>
      <c r="K84" s="102">
        <f>TrAvia_emi!K$12</f>
        <v>35.063097144259913</v>
      </c>
      <c r="L84" s="102">
        <f>TrAvia_emi!L$12</f>
        <v>27.882515204645497</v>
      </c>
      <c r="M84" s="102">
        <f>TrAvia_emi!M$12</f>
        <v>28.709524435923601</v>
      </c>
      <c r="N84" s="102">
        <f>TrAvia_emi!N$12</f>
        <v>25.304508488065132</v>
      </c>
      <c r="O84" s="102">
        <f>TrAvia_emi!O$12</f>
        <v>24.475541534972312</v>
      </c>
      <c r="P84" s="102">
        <f>TrAvia_emi!P$12</f>
        <v>20.461437221617977</v>
      </c>
      <c r="Q84" s="102">
        <f>TrAvia_emi!Q$12</f>
        <v>19.080669199913135</v>
      </c>
      <c r="R84" s="102">
        <f>TrAvia_emi!R$12</f>
        <v>18.982727220220891</v>
      </c>
      <c r="S84" s="102">
        <f>TrAvia_emi!S$12</f>
        <v>19.263735088978962</v>
      </c>
      <c r="T84" s="102">
        <f>TrAvia_emi!T$12</f>
        <v>25.410855275161261</v>
      </c>
      <c r="U84" s="102">
        <f>TrAvia_emi!U$12</f>
        <v>24.442780124830026</v>
      </c>
      <c r="V84" s="102">
        <f>TrAvia_emi!V$12</f>
        <v>16.367555738627885</v>
      </c>
      <c r="W84" s="102">
        <f>TrAvia_emi!W$12</f>
        <v>19.267396751592361</v>
      </c>
      <c r="X84" s="102">
        <f>TrAvia_emi!X$12</f>
        <v>19.188548168966328</v>
      </c>
      <c r="Y84" s="102">
        <f>TrAvia_emi!Y$12</f>
        <v>16.828696467423189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4.6670743399700569</v>
      </c>
      <c r="C85" s="102">
        <f>TrAvia_emi!C$13</f>
        <v>4.4890320729773938</v>
      </c>
      <c r="D85" s="102">
        <f>TrAvia_emi!D$13</f>
        <v>4.5540206314272842</v>
      </c>
      <c r="E85" s="102">
        <f>TrAvia_emi!E$13</f>
        <v>5.0250774333659356</v>
      </c>
      <c r="F85" s="102">
        <f>TrAvia_emi!F$13</f>
        <v>3.6731714702290881</v>
      </c>
      <c r="G85" s="102">
        <f>TrAvia_emi!G$13</f>
        <v>3.5942808073903914</v>
      </c>
      <c r="H85" s="102">
        <f>TrAvia_emi!H$13</f>
        <v>3.8916231187974328</v>
      </c>
      <c r="I85" s="102">
        <f>TrAvia_emi!I$13</f>
        <v>3.2253938213941518</v>
      </c>
      <c r="J85" s="102">
        <f>TrAvia_emi!J$13</f>
        <v>3.4630812591408642</v>
      </c>
      <c r="K85" s="102">
        <f>TrAvia_emi!K$13</f>
        <v>2.7919403197829098</v>
      </c>
      <c r="L85" s="102">
        <f>TrAvia_emi!L$13</f>
        <v>1.409705932882265</v>
      </c>
      <c r="M85" s="102">
        <f>TrAvia_emi!M$13</f>
        <v>1.6754734978774208</v>
      </c>
      <c r="N85" s="102">
        <f>TrAvia_emi!N$13</f>
        <v>1.6122997875281717</v>
      </c>
      <c r="O85" s="102">
        <f>TrAvia_emi!O$13</f>
        <v>1.1725747876767623</v>
      </c>
      <c r="P85" s="102">
        <f>TrAvia_emi!P$13</f>
        <v>0.97425672947023334</v>
      </c>
      <c r="Q85" s="102">
        <f>TrAvia_emi!Q$13</f>
        <v>1.4268831150371533</v>
      </c>
      <c r="R85" s="102">
        <f>TrAvia_emi!R$13</f>
        <v>1.2701616571412084</v>
      </c>
      <c r="S85" s="102">
        <f>TrAvia_emi!S$13</f>
        <v>1.5264293463525258</v>
      </c>
      <c r="T85" s="102">
        <f>TrAvia_emi!T$13</f>
        <v>2.5719665810113908</v>
      </c>
      <c r="U85" s="102">
        <f>TrAvia_emi!U$13</f>
        <v>3.0280288698314388</v>
      </c>
      <c r="V85" s="102">
        <f>TrAvia_emi!V$13</f>
        <v>3.6555204742367189</v>
      </c>
      <c r="W85" s="102">
        <f>TrAvia_emi!W$13</f>
        <v>4.3412872767302151</v>
      </c>
      <c r="X85" s="102">
        <f>TrAvia_emi!X$13</f>
        <v>4.280671180836122</v>
      </c>
      <c r="Y85" s="102">
        <f>TrAvia_emi!Y$13</f>
        <v>3.5210466428015592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1575.9593658000001</v>
      </c>
      <c r="C86" s="110">
        <f t="shared" si="69"/>
        <v>2146.80488724</v>
      </c>
      <c r="D86" s="110">
        <f t="shared" si="69"/>
        <v>1936.4087998800001</v>
      </c>
      <c r="E86" s="110">
        <f t="shared" si="69"/>
        <v>1915.9261192800002</v>
      </c>
      <c r="F86" s="110">
        <f t="shared" si="69"/>
        <v>2153.99033676</v>
      </c>
      <c r="G86" s="110">
        <f t="shared" si="69"/>
        <v>2064.4952954399996</v>
      </c>
      <c r="H86" s="110">
        <f t="shared" si="69"/>
        <v>2263.2740722799999</v>
      </c>
      <c r="I86" s="110">
        <f t="shared" si="69"/>
        <v>2114.0520026400004</v>
      </c>
      <c r="J86" s="110">
        <f t="shared" si="69"/>
        <v>1897.6389620400003</v>
      </c>
      <c r="K86" s="110">
        <f t="shared" si="69"/>
        <v>2815.4047510800006</v>
      </c>
      <c r="L86" s="110">
        <f t="shared" si="69"/>
        <v>2285.8066782000001</v>
      </c>
      <c r="M86" s="110">
        <f t="shared" si="69"/>
        <v>1634.7978327599999</v>
      </c>
      <c r="N86" s="110">
        <f t="shared" si="69"/>
        <v>1674.4413020400002</v>
      </c>
      <c r="O86" s="110">
        <f t="shared" si="69"/>
        <v>1370.0022598799999</v>
      </c>
      <c r="P86" s="110">
        <f t="shared" si="69"/>
        <v>1426.2153310799999</v>
      </c>
      <c r="Q86" s="110">
        <f t="shared" si="69"/>
        <v>1700.6044780800003</v>
      </c>
      <c r="R86" s="110">
        <f t="shared" ref="R86:V86" si="70">R87+R88</f>
        <v>1767.1978817999998</v>
      </c>
      <c r="S86" s="110">
        <f t="shared" si="70"/>
        <v>1812.0262388400004</v>
      </c>
      <c r="T86" s="110">
        <f t="shared" si="70"/>
        <v>1956.1603579199998</v>
      </c>
      <c r="U86" s="110">
        <f t="shared" si="70"/>
        <v>2033.9111037600005</v>
      </c>
      <c r="V86" s="110">
        <f t="shared" si="70"/>
        <v>1636.2640292399997</v>
      </c>
      <c r="W86" s="110">
        <f t="shared" ref="W86:Y86" si="71">W87+W88</f>
        <v>1822.7121386400001</v>
      </c>
      <c r="X86" s="110">
        <f t="shared" si="71"/>
        <v>1960.4068761599997</v>
      </c>
      <c r="Y86" s="110">
        <f t="shared" si="71"/>
        <v>2036.0734505999999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1575.9593658000001</v>
      </c>
      <c r="C87" s="102">
        <f>TrNavi_emi!C$4</f>
        <v>2146.80488724</v>
      </c>
      <c r="D87" s="102">
        <f>TrNavi_emi!D$4</f>
        <v>1936.4087998800001</v>
      </c>
      <c r="E87" s="102">
        <f>TrNavi_emi!E$4</f>
        <v>1915.9261192800002</v>
      </c>
      <c r="F87" s="102">
        <f>TrNavi_emi!F$4</f>
        <v>2153.99033676</v>
      </c>
      <c r="G87" s="102">
        <f>TrNavi_emi!G$4</f>
        <v>2064.4952954399996</v>
      </c>
      <c r="H87" s="102">
        <f>TrNavi_emi!H$4</f>
        <v>2263.2740722799999</v>
      </c>
      <c r="I87" s="102">
        <f>TrNavi_emi!I$4</f>
        <v>2114.0520026400004</v>
      </c>
      <c r="J87" s="102">
        <f>TrNavi_emi!J$4</f>
        <v>1897.6389620400003</v>
      </c>
      <c r="K87" s="102">
        <f>TrNavi_emi!K$4</f>
        <v>2815.4047510800006</v>
      </c>
      <c r="L87" s="102">
        <f>TrNavi_emi!L$4</f>
        <v>2285.8066782000001</v>
      </c>
      <c r="M87" s="102">
        <f>TrNavi_emi!M$4</f>
        <v>1634.7978327599999</v>
      </c>
      <c r="N87" s="102">
        <f>TrNavi_emi!N$4</f>
        <v>1674.4413020400002</v>
      </c>
      <c r="O87" s="102">
        <f>TrNavi_emi!O$4</f>
        <v>1370.0022598799999</v>
      </c>
      <c r="P87" s="102">
        <f>TrNavi_emi!P$4</f>
        <v>1426.2153310799999</v>
      </c>
      <c r="Q87" s="102">
        <f>TrNavi_emi!Q$4</f>
        <v>1700.6044780800003</v>
      </c>
      <c r="R87" s="102">
        <f>TrNavi_emi!R$4</f>
        <v>1767.1978817999998</v>
      </c>
      <c r="S87" s="102">
        <f>TrNavi_emi!S$4</f>
        <v>1812.0262388400004</v>
      </c>
      <c r="T87" s="102">
        <f>TrNavi_emi!T$4</f>
        <v>1956.1603579199998</v>
      </c>
      <c r="U87" s="102">
        <f>TrNavi_emi!U$4</f>
        <v>2033.9111037600005</v>
      </c>
      <c r="V87" s="102">
        <f>TrNavi_emi!V$4</f>
        <v>1636.2640292399997</v>
      </c>
      <c r="W87" s="102">
        <f>TrNavi_emi!W$4</f>
        <v>1822.7121386400001</v>
      </c>
      <c r="X87" s="102">
        <f>TrNavi_emi!X$4</f>
        <v>1960.4068761599997</v>
      </c>
      <c r="Y87" s="102">
        <f>TrNavi_emi!Y$4</f>
        <v>2036.0734505999999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X88" s="169">
        <f>TrNavi_emi!X$5</f>
        <v>0</v>
      </c>
      <c r="Y88" s="169">
        <f>TrNavi_emi!Y$5</f>
        <v>0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11563.627983120005</v>
      </c>
      <c r="C89" s="28">
        <f t="shared" si="72"/>
        <v>11236.309081919999</v>
      </c>
      <c r="D89" s="28">
        <f t="shared" si="72"/>
        <v>10098.808137</v>
      </c>
      <c r="E89" s="28">
        <f t="shared" si="72"/>
        <v>10331.326410480004</v>
      </c>
      <c r="F89" s="28">
        <f t="shared" si="72"/>
        <v>10437.843897359999</v>
      </c>
      <c r="G89" s="28">
        <f t="shared" si="72"/>
        <v>9240.0447319200011</v>
      </c>
      <c r="H89" s="28">
        <f t="shared" si="72"/>
        <v>9975.3507014400002</v>
      </c>
      <c r="I89" s="28">
        <f t="shared" si="72"/>
        <v>10391.931272519996</v>
      </c>
      <c r="J89" s="28">
        <f t="shared" si="72"/>
        <v>9953.2681527599998</v>
      </c>
      <c r="K89" s="28">
        <f t="shared" si="72"/>
        <v>8371.9324490400031</v>
      </c>
      <c r="L89" s="28">
        <f t="shared" si="72"/>
        <v>8729.4803407200015</v>
      </c>
      <c r="M89" s="28">
        <f t="shared" si="72"/>
        <v>8872.7915408400004</v>
      </c>
      <c r="N89" s="28">
        <f t="shared" si="72"/>
        <v>7248.1308591600018</v>
      </c>
      <c r="O89" s="28">
        <f t="shared" si="72"/>
        <v>6831.202137119999</v>
      </c>
      <c r="P89" s="28">
        <f t="shared" si="72"/>
        <v>6003.3824449200019</v>
      </c>
      <c r="Q89" s="28">
        <f t="shared" si="72"/>
        <v>5733.5434459199996</v>
      </c>
      <c r="R89" s="28">
        <f t="shared" si="72"/>
        <v>5526.3885282000019</v>
      </c>
      <c r="S89" s="28">
        <f t="shared" si="72"/>
        <v>6867.1262318400022</v>
      </c>
      <c r="T89" s="28">
        <f t="shared" si="72"/>
        <v>7034.3287822799975</v>
      </c>
      <c r="U89" s="28">
        <f t="shared" si="72"/>
        <v>8105.5124323199998</v>
      </c>
      <c r="V89" s="28">
        <f t="shared" si="72"/>
        <v>5222.4896235600008</v>
      </c>
      <c r="W89" s="28">
        <f t="shared" si="72"/>
        <v>5812.9823473200022</v>
      </c>
      <c r="X89" s="28">
        <f t="shared" ref="X89:Y89" si="73">X90+X91</f>
        <v>6261.8465930399998</v>
      </c>
      <c r="Y89" s="28">
        <f t="shared" si="73"/>
        <v>6480.9356317199999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7041.7614840749575</v>
      </c>
      <c r="C90" s="102">
        <f>MBunk_emi!C$4</f>
        <v>5962.5287536288943</v>
      </c>
      <c r="D90" s="102">
        <f>MBunk_emi!D$4</f>
        <v>5103.884669443768</v>
      </c>
      <c r="E90" s="102">
        <f>MBunk_emi!E$4</f>
        <v>5447.0117868351745</v>
      </c>
      <c r="F90" s="102">
        <f>MBunk_emi!F$4</f>
        <v>5299.9385843524933</v>
      </c>
      <c r="G90" s="102">
        <f>MBunk_emi!G$4</f>
        <v>4614.9345812293896</v>
      </c>
      <c r="H90" s="102">
        <f>MBunk_emi!H$4</f>
        <v>4760.596752682045</v>
      </c>
      <c r="I90" s="102">
        <f>MBunk_emi!I$4</f>
        <v>5244.4406359154855</v>
      </c>
      <c r="J90" s="102">
        <f>MBunk_emi!J$4</f>
        <v>5285.4835247322762</v>
      </c>
      <c r="K90" s="102">
        <f>MBunk_emi!K$4</f>
        <v>4520.6828239316364</v>
      </c>
      <c r="L90" s="102">
        <f>MBunk_emi!L$4</f>
        <v>4503.7666649411276</v>
      </c>
      <c r="M90" s="102">
        <f>MBunk_emi!M$4</f>
        <v>4387.6230259484391</v>
      </c>
      <c r="N90" s="102">
        <f>MBunk_emi!N$4</f>
        <v>3457.2989886387859</v>
      </c>
      <c r="O90" s="102">
        <f>MBunk_emi!O$4</f>
        <v>3101.3970125062806</v>
      </c>
      <c r="P90" s="102">
        <f>MBunk_emi!P$4</f>
        <v>2646.3429909510519</v>
      </c>
      <c r="Q90" s="102">
        <f>MBunk_emi!Q$4</f>
        <v>2597.6012115100157</v>
      </c>
      <c r="R90" s="102">
        <f>MBunk_emi!R$4</f>
        <v>2397.2218819883647</v>
      </c>
      <c r="S90" s="102">
        <f>MBunk_emi!S$4</f>
        <v>3034.7909679798759</v>
      </c>
      <c r="T90" s="102">
        <f>MBunk_emi!T$4</f>
        <v>3107.4020039963457</v>
      </c>
      <c r="U90" s="102">
        <f>MBunk_emi!U$4</f>
        <v>3655.8609547172778</v>
      </c>
      <c r="V90" s="102">
        <f>MBunk_emi!V$4</f>
        <v>2110.5397370688879</v>
      </c>
      <c r="W90" s="102">
        <f>MBunk_emi!W$4</f>
        <v>2381.3953385634545</v>
      </c>
      <c r="X90" s="102">
        <f>MBunk_emi!X$4</f>
        <v>2936.2894843066483</v>
      </c>
      <c r="Y90" s="102">
        <f>MBunk_emi!Y$4</f>
        <v>2991.1236626909522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4521.8664990450461</v>
      </c>
      <c r="C91" s="86">
        <f>MBunk_emi!C$5</f>
        <v>5273.7803282911045</v>
      </c>
      <c r="D91" s="86">
        <f>MBunk_emi!D$5</f>
        <v>4994.9234675562311</v>
      </c>
      <c r="E91" s="86">
        <f>MBunk_emi!E$5</f>
        <v>4884.3146236448292</v>
      </c>
      <c r="F91" s="86">
        <f>MBunk_emi!F$5</f>
        <v>5137.9053130075063</v>
      </c>
      <c r="G91" s="86">
        <f>MBunk_emi!G$5</f>
        <v>4625.1101506906116</v>
      </c>
      <c r="H91" s="86">
        <f>MBunk_emi!H$5</f>
        <v>5214.7539487579552</v>
      </c>
      <c r="I91" s="86">
        <f>MBunk_emi!I$5</f>
        <v>5147.4906366045116</v>
      </c>
      <c r="J91" s="86">
        <f>MBunk_emi!J$5</f>
        <v>4667.7846280277226</v>
      </c>
      <c r="K91" s="86">
        <f>MBunk_emi!K$5</f>
        <v>3851.2496251083662</v>
      </c>
      <c r="L91" s="86">
        <f>MBunk_emi!L$5</f>
        <v>4225.7136757788749</v>
      </c>
      <c r="M91" s="86">
        <f>MBunk_emi!M$5</f>
        <v>4485.1685148915612</v>
      </c>
      <c r="N91" s="86">
        <f>MBunk_emi!N$5</f>
        <v>3790.8318705212159</v>
      </c>
      <c r="O91" s="86">
        <f>MBunk_emi!O$5</f>
        <v>3729.8051246137184</v>
      </c>
      <c r="P91" s="86">
        <f>MBunk_emi!P$5</f>
        <v>3357.0394539689505</v>
      </c>
      <c r="Q91" s="86">
        <f>MBunk_emi!Q$5</f>
        <v>3135.9422344099839</v>
      </c>
      <c r="R91" s="86">
        <f>MBunk_emi!R$5</f>
        <v>3129.1666462116373</v>
      </c>
      <c r="S91" s="86">
        <f>MBunk_emi!S$5</f>
        <v>3832.3352638601264</v>
      </c>
      <c r="T91" s="86">
        <f>MBunk_emi!T$5</f>
        <v>3926.9267782836519</v>
      </c>
      <c r="U91" s="86">
        <f>MBunk_emi!U$5</f>
        <v>4449.6514776027216</v>
      </c>
      <c r="V91" s="86">
        <f>MBunk_emi!V$5</f>
        <v>3111.9498864911134</v>
      </c>
      <c r="W91" s="86">
        <f>MBunk_emi!W$5</f>
        <v>3431.5870087565477</v>
      </c>
      <c r="X91" s="86">
        <f>MBunk_emi!X$5</f>
        <v>3325.5571087333515</v>
      </c>
      <c r="Y91" s="86">
        <f>MBunk_emi!Y$5</f>
        <v>3489.8119690290478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0.70886686269341093</v>
      </c>
      <c r="C97" s="139">
        <f t="shared" si="75"/>
        <v>0.73335713598040886</v>
      </c>
      <c r="D97" s="139">
        <f t="shared" si="75"/>
        <v>0.74431409373164614</v>
      </c>
      <c r="E97" s="139">
        <f t="shared" si="75"/>
        <v>0.75101251846378336</v>
      </c>
      <c r="F97" s="139">
        <f t="shared" si="75"/>
        <v>0.74514580683782561</v>
      </c>
      <c r="G97" s="139">
        <f t="shared" si="75"/>
        <v>0.74868520478616596</v>
      </c>
      <c r="H97" s="139">
        <f t="shared" si="75"/>
        <v>0.74913054971332804</v>
      </c>
      <c r="I97" s="139">
        <f t="shared" si="75"/>
        <v>0.75316822539203243</v>
      </c>
      <c r="J97" s="139">
        <f t="shared" si="75"/>
        <v>0.76829125590989489</v>
      </c>
      <c r="K97" s="139">
        <f t="shared" si="75"/>
        <v>0.78125135368017073</v>
      </c>
      <c r="L97" s="139">
        <f t="shared" si="75"/>
        <v>0.78303174880737314</v>
      </c>
      <c r="M97" s="139">
        <f t="shared" si="75"/>
        <v>0.77672731116066107</v>
      </c>
      <c r="N97" s="139">
        <f t="shared" si="75"/>
        <v>0.78703863467631519</v>
      </c>
      <c r="O97" s="139">
        <f t="shared" si="75"/>
        <v>0.77504680641411772</v>
      </c>
      <c r="P97" s="139">
        <f t="shared" si="75"/>
        <v>0.75811751447981091</v>
      </c>
      <c r="Q97" s="139">
        <f t="shared" si="75"/>
        <v>0.75424187630278594</v>
      </c>
      <c r="R97" s="139">
        <f t="shared" si="75"/>
        <v>0.74215531561220238</v>
      </c>
      <c r="S97" s="139">
        <f t="shared" si="75"/>
        <v>0.72274158869577476</v>
      </c>
      <c r="T97" s="139">
        <f t="shared" si="75"/>
        <v>0.70718950018909577</v>
      </c>
      <c r="U97" s="139">
        <f t="shared" si="75"/>
        <v>0.70230717584843216</v>
      </c>
      <c r="V97" s="139">
        <f t="shared" si="75"/>
        <v>0.8640819333943246</v>
      </c>
      <c r="W97" s="139">
        <f t="shared" si="75"/>
        <v>0.78826106320385025</v>
      </c>
      <c r="X97" s="139">
        <f t="shared" si="75"/>
        <v>0.68797857888866598</v>
      </c>
      <c r="Y97" s="139">
        <f t="shared" si="75"/>
        <v>0.68794541620611471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3.4862298707030392E-2</v>
      </c>
      <c r="C98" s="140">
        <f t="shared" si="76"/>
        <v>3.5983962817606616E-2</v>
      </c>
      <c r="D98" s="140">
        <f t="shared" si="76"/>
        <v>3.8556015302176956E-2</v>
      </c>
      <c r="E98" s="140">
        <f t="shared" si="76"/>
        <v>3.9567179858338991E-2</v>
      </c>
      <c r="F98" s="140">
        <f t="shared" si="76"/>
        <v>3.929221895899946E-2</v>
      </c>
      <c r="G98" s="140">
        <f t="shared" si="76"/>
        <v>3.8495155336028895E-2</v>
      </c>
      <c r="H98" s="140">
        <f t="shared" si="76"/>
        <v>3.5032559145132106E-2</v>
      </c>
      <c r="I98" s="140">
        <f t="shared" si="76"/>
        <v>3.4523798940391377E-2</v>
      </c>
      <c r="J98" s="140">
        <f t="shared" si="76"/>
        <v>3.6033223273303272E-2</v>
      </c>
      <c r="K98" s="140">
        <f t="shared" si="76"/>
        <v>3.7414567686255451E-2</v>
      </c>
      <c r="L98" s="140">
        <f t="shared" si="76"/>
        <v>4.4811682555917477E-2</v>
      </c>
      <c r="M98" s="140">
        <f t="shared" si="76"/>
        <v>4.6345553847717089E-2</v>
      </c>
      <c r="N98" s="140">
        <f t="shared" si="76"/>
        <v>4.9335382422054E-2</v>
      </c>
      <c r="O98" s="140">
        <f t="shared" si="76"/>
        <v>4.9921544117639355E-2</v>
      </c>
      <c r="P98" s="140">
        <f t="shared" si="76"/>
        <v>5.0597125382958699E-2</v>
      </c>
      <c r="Q98" s="140">
        <f t="shared" si="76"/>
        <v>5.0194963405344822E-2</v>
      </c>
      <c r="R98" s="140">
        <f t="shared" si="76"/>
        <v>5.0235412902592147E-2</v>
      </c>
      <c r="S98" s="140">
        <f t="shared" si="76"/>
        <v>4.5581864378127258E-2</v>
      </c>
      <c r="T98" s="140">
        <f t="shared" si="76"/>
        <v>4.1361161312356232E-2</v>
      </c>
      <c r="U98" s="140">
        <f t="shared" si="76"/>
        <v>4.2907031302119952E-2</v>
      </c>
      <c r="V98" s="140">
        <f t="shared" si="76"/>
        <v>5.6547675634030771E-2</v>
      </c>
      <c r="W98" s="140">
        <f t="shared" si="76"/>
        <v>5.0308817886732554E-2</v>
      </c>
      <c r="X98" s="140">
        <f t="shared" si="76"/>
        <v>4.0997779522744929E-2</v>
      </c>
      <c r="Y98" s="140">
        <f t="shared" si="76"/>
        <v>4.2047109452525364E-2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0.50132570875020044</v>
      </c>
      <c r="C99" s="140">
        <f t="shared" si="77"/>
        <v>0.52807768123686594</v>
      </c>
      <c r="D99" s="140">
        <f t="shared" si="77"/>
        <v>0.54058065581831682</v>
      </c>
      <c r="E99" s="140">
        <f t="shared" si="77"/>
        <v>0.55201475991846627</v>
      </c>
      <c r="F99" s="140">
        <f t="shared" si="77"/>
        <v>0.55579022667624101</v>
      </c>
      <c r="G99" s="140">
        <f t="shared" si="77"/>
        <v>0.56575589693778483</v>
      </c>
      <c r="H99" s="140">
        <f t="shared" si="77"/>
        <v>0.57485526968817202</v>
      </c>
      <c r="I99" s="140">
        <f t="shared" si="77"/>
        <v>0.58351470523851201</v>
      </c>
      <c r="J99" s="140">
        <f t="shared" si="77"/>
        <v>0.599719928449297</v>
      </c>
      <c r="K99" s="140">
        <f t="shared" si="77"/>
        <v>0.6165214893424954</v>
      </c>
      <c r="L99" s="140">
        <f t="shared" si="77"/>
        <v>0.60916916817435784</v>
      </c>
      <c r="M99" s="140">
        <f t="shared" si="77"/>
        <v>0.60102417078124326</v>
      </c>
      <c r="N99" s="140">
        <f t="shared" si="77"/>
        <v>0.60585045907576418</v>
      </c>
      <c r="O99" s="140">
        <f t="shared" si="77"/>
        <v>0.59462122716311616</v>
      </c>
      <c r="P99" s="140">
        <f t="shared" si="77"/>
        <v>0.58143672162571192</v>
      </c>
      <c r="Q99" s="140">
        <f t="shared" si="77"/>
        <v>0.5793703943536429</v>
      </c>
      <c r="R99" s="140">
        <f t="shared" si="77"/>
        <v>0.57221788629309711</v>
      </c>
      <c r="S99" s="140">
        <f t="shared" si="77"/>
        <v>0.56388680642505418</v>
      </c>
      <c r="T99" s="140">
        <f t="shared" si="77"/>
        <v>0.55544029549093343</v>
      </c>
      <c r="U99" s="140">
        <f t="shared" si="77"/>
        <v>0.55267323997853335</v>
      </c>
      <c r="V99" s="140">
        <f t="shared" si="77"/>
        <v>0.70451969179597007</v>
      </c>
      <c r="W99" s="140">
        <f t="shared" si="77"/>
        <v>0.64675225051967722</v>
      </c>
      <c r="X99" s="140">
        <f t="shared" si="77"/>
        <v>0.55271015274570223</v>
      </c>
      <c r="Y99" s="140">
        <f t="shared" si="77"/>
        <v>0.5507305876916142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0.17267885523618015</v>
      </c>
      <c r="C100" s="140">
        <f t="shared" si="78"/>
        <v>0.16929549192593638</v>
      </c>
      <c r="D100" s="140">
        <f t="shared" si="78"/>
        <v>0.16517742261115237</v>
      </c>
      <c r="E100" s="140">
        <f t="shared" si="78"/>
        <v>0.15943057868697807</v>
      </c>
      <c r="F100" s="140">
        <f t="shared" si="78"/>
        <v>0.15006336120258507</v>
      </c>
      <c r="G100" s="140">
        <f t="shared" si="78"/>
        <v>0.14443415251235214</v>
      </c>
      <c r="H100" s="140">
        <f t="shared" si="78"/>
        <v>0.13924272088002387</v>
      </c>
      <c r="I100" s="140">
        <f t="shared" si="78"/>
        <v>0.13512972121312911</v>
      </c>
      <c r="J100" s="140">
        <f t="shared" si="78"/>
        <v>0.13253810418729464</v>
      </c>
      <c r="K100" s="140">
        <f t="shared" si="78"/>
        <v>0.12731529665142002</v>
      </c>
      <c r="L100" s="140">
        <f t="shared" si="78"/>
        <v>0.12905089807709788</v>
      </c>
      <c r="M100" s="140">
        <f t="shared" si="78"/>
        <v>0.12935758653170079</v>
      </c>
      <c r="N100" s="140">
        <f t="shared" si="78"/>
        <v>0.13185279317849699</v>
      </c>
      <c r="O100" s="140">
        <f t="shared" si="78"/>
        <v>0.1305040351333622</v>
      </c>
      <c r="P100" s="140">
        <f t="shared" si="78"/>
        <v>0.12608366747114028</v>
      </c>
      <c r="Q100" s="140">
        <f t="shared" si="78"/>
        <v>0.12467651854379824</v>
      </c>
      <c r="R100" s="140">
        <f t="shared" si="78"/>
        <v>0.11970201641651311</v>
      </c>
      <c r="S100" s="140">
        <f t="shared" si="78"/>
        <v>0.1132729178925934</v>
      </c>
      <c r="T100" s="140">
        <f t="shared" si="78"/>
        <v>0.11038804338580616</v>
      </c>
      <c r="U100" s="140">
        <f t="shared" si="78"/>
        <v>0.10672690456777892</v>
      </c>
      <c r="V100" s="140">
        <f t="shared" si="78"/>
        <v>0.10301456596432375</v>
      </c>
      <c r="W100" s="140">
        <f t="shared" si="78"/>
        <v>9.1199994797440523E-2</v>
      </c>
      <c r="X100" s="140">
        <f t="shared" si="78"/>
        <v>9.4270646620218848E-2</v>
      </c>
      <c r="Y100" s="140">
        <f t="shared" si="78"/>
        <v>9.516771906197509E-2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2.4477426668501848E-2</v>
      </c>
      <c r="C101" s="124">
        <f t="shared" si="79"/>
        <v>2.3895515075968175E-2</v>
      </c>
      <c r="D101" s="124">
        <f t="shared" si="79"/>
        <v>2.3920694019960519E-2</v>
      </c>
      <c r="E101" s="124">
        <f t="shared" si="79"/>
        <v>2.1601209157862088E-2</v>
      </c>
      <c r="F101" s="124">
        <f t="shared" si="79"/>
        <v>2.2009292976379144E-2</v>
      </c>
      <c r="G101" s="124">
        <f t="shared" si="79"/>
        <v>2.2324062097992124E-2</v>
      </c>
      <c r="H101" s="124">
        <f t="shared" si="79"/>
        <v>2.1467650682466068E-2</v>
      </c>
      <c r="I101" s="124">
        <f t="shared" si="79"/>
        <v>2.168217799465208E-2</v>
      </c>
      <c r="J101" s="124">
        <f t="shared" si="79"/>
        <v>1.9892710026663183E-2</v>
      </c>
      <c r="K101" s="124">
        <f t="shared" si="79"/>
        <v>1.9098168149622414E-2</v>
      </c>
      <c r="L101" s="124">
        <f t="shared" si="79"/>
        <v>1.8811746344104603E-2</v>
      </c>
      <c r="M101" s="124">
        <f t="shared" si="79"/>
        <v>1.6092473982803612E-2</v>
      </c>
      <c r="N101" s="124">
        <f t="shared" si="79"/>
        <v>1.5633939812867835E-2</v>
      </c>
      <c r="O101" s="124">
        <f t="shared" si="79"/>
        <v>1.6880833910903222E-2</v>
      </c>
      <c r="P101" s="124">
        <f t="shared" si="79"/>
        <v>1.6411724063802247E-2</v>
      </c>
      <c r="Q101" s="124">
        <f t="shared" si="79"/>
        <v>1.7314089485751829E-2</v>
      </c>
      <c r="R101" s="124">
        <f t="shared" si="79"/>
        <v>1.6296932075344706E-2</v>
      </c>
      <c r="S101" s="124">
        <f t="shared" si="79"/>
        <v>1.5500955204605526E-2</v>
      </c>
      <c r="T101" s="124">
        <f t="shared" si="79"/>
        <v>1.5038730465413954E-2</v>
      </c>
      <c r="U101" s="124">
        <f t="shared" si="79"/>
        <v>1.5376833039708529E-2</v>
      </c>
      <c r="V101" s="124">
        <f t="shared" si="79"/>
        <v>1.3374793002840186E-2</v>
      </c>
      <c r="W101" s="124">
        <f t="shared" si="79"/>
        <v>1.1781622397696546E-2</v>
      </c>
      <c r="X101" s="124">
        <f t="shared" si="79"/>
        <v>1.36648501873046E-2</v>
      </c>
      <c r="Y101" s="124">
        <f t="shared" si="79"/>
        <v>1.1089086237317676E-2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9.4694856097260072E-3</v>
      </c>
      <c r="C102" s="140">
        <f t="shared" si="80"/>
        <v>1.0328578177132817E-2</v>
      </c>
      <c r="D102" s="140">
        <f t="shared" si="80"/>
        <v>1.013588729659344E-2</v>
      </c>
      <c r="E102" s="140">
        <f t="shared" si="80"/>
        <v>1.0168692945866484E-2</v>
      </c>
      <c r="F102" s="140">
        <f t="shared" si="80"/>
        <v>1.0421066750179519E-2</v>
      </c>
      <c r="G102" s="140">
        <f t="shared" si="80"/>
        <v>9.9839275930197341E-3</v>
      </c>
      <c r="H102" s="140">
        <f t="shared" si="80"/>
        <v>9.9002852001851844E-3</v>
      </c>
      <c r="I102" s="140">
        <f t="shared" si="80"/>
        <v>9.8276160882275702E-3</v>
      </c>
      <c r="J102" s="140">
        <f t="shared" si="80"/>
        <v>9.95535081225833E-3</v>
      </c>
      <c r="K102" s="140">
        <f t="shared" si="80"/>
        <v>1.0169865831108684E-2</v>
      </c>
      <c r="L102" s="140">
        <f t="shared" si="80"/>
        <v>1.0353102171563069E-2</v>
      </c>
      <c r="M102" s="140">
        <f t="shared" si="80"/>
        <v>1.0236402224024544E-2</v>
      </c>
      <c r="N102" s="140">
        <f t="shared" si="80"/>
        <v>1.043385441491252E-2</v>
      </c>
      <c r="O102" s="140">
        <f t="shared" si="80"/>
        <v>1.0327123683278892E-2</v>
      </c>
      <c r="P102" s="140">
        <f t="shared" si="80"/>
        <v>9.9773284947494139E-3</v>
      </c>
      <c r="Q102" s="140">
        <f t="shared" si="80"/>
        <v>9.8682592471475618E-3</v>
      </c>
      <c r="R102" s="140">
        <f t="shared" si="80"/>
        <v>9.4707952609395622E-3</v>
      </c>
      <c r="S102" s="140">
        <f t="shared" si="80"/>
        <v>9.3460665626754202E-3</v>
      </c>
      <c r="T102" s="140">
        <f t="shared" si="80"/>
        <v>9.1080376527910203E-3</v>
      </c>
      <c r="U102" s="140">
        <f t="shared" si="80"/>
        <v>8.8059597358001052E-3</v>
      </c>
      <c r="V102" s="140">
        <f t="shared" si="80"/>
        <v>8.4224844061664868E-3</v>
      </c>
      <c r="W102" s="140">
        <f t="shared" si="80"/>
        <v>7.4565235200809215E-3</v>
      </c>
      <c r="X102" s="140">
        <f t="shared" si="80"/>
        <v>7.7075804153075031E-3</v>
      </c>
      <c r="Y102" s="140">
        <f t="shared" si="80"/>
        <v>7.7013427475930846E-3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1.500794105877584E-2</v>
      </c>
      <c r="C103" s="140">
        <f t="shared" si="81"/>
        <v>1.356693689883536E-2</v>
      </c>
      <c r="D103" s="140">
        <f t="shared" si="81"/>
        <v>1.3784806723367078E-2</v>
      </c>
      <c r="E103" s="140">
        <f t="shared" si="81"/>
        <v>1.1432516211995604E-2</v>
      </c>
      <c r="F103" s="140">
        <f t="shared" si="81"/>
        <v>1.1588226226199625E-2</v>
      </c>
      <c r="G103" s="140">
        <f t="shared" si="81"/>
        <v>1.2340134504972391E-2</v>
      </c>
      <c r="H103" s="140">
        <f t="shared" si="81"/>
        <v>1.1567365482280883E-2</v>
      </c>
      <c r="I103" s="140">
        <f t="shared" si="81"/>
        <v>1.1854561906424508E-2</v>
      </c>
      <c r="J103" s="140">
        <f t="shared" si="81"/>
        <v>9.9373592144048513E-3</v>
      </c>
      <c r="K103" s="140">
        <f t="shared" si="81"/>
        <v>8.9283023185137284E-3</v>
      </c>
      <c r="L103" s="140">
        <f t="shared" si="81"/>
        <v>8.4586441725415344E-3</v>
      </c>
      <c r="M103" s="140">
        <f t="shared" si="81"/>
        <v>5.8560717587790648E-3</v>
      </c>
      <c r="N103" s="140">
        <f t="shared" si="81"/>
        <v>5.2000853979553164E-3</v>
      </c>
      <c r="O103" s="140">
        <f t="shared" si="81"/>
        <v>6.5537102276243299E-3</v>
      </c>
      <c r="P103" s="140">
        <f t="shared" si="81"/>
        <v>6.4343955690528351E-3</v>
      </c>
      <c r="Q103" s="140">
        <f t="shared" si="81"/>
        <v>7.4458302386042679E-3</v>
      </c>
      <c r="R103" s="140">
        <f t="shared" si="81"/>
        <v>6.8261368144051458E-3</v>
      </c>
      <c r="S103" s="140">
        <f t="shared" si="81"/>
        <v>6.154888641930107E-3</v>
      </c>
      <c r="T103" s="140">
        <f t="shared" si="81"/>
        <v>5.930692812622932E-3</v>
      </c>
      <c r="U103" s="140">
        <f t="shared" si="81"/>
        <v>6.5708733039084241E-3</v>
      </c>
      <c r="V103" s="140">
        <f t="shared" si="81"/>
        <v>4.9523085966736982E-3</v>
      </c>
      <c r="W103" s="140">
        <f t="shared" si="81"/>
        <v>4.3250988776156254E-3</v>
      </c>
      <c r="X103" s="140">
        <f t="shared" si="81"/>
        <v>5.9572697719970985E-3</v>
      </c>
      <c r="Y103" s="140">
        <f t="shared" si="81"/>
        <v>3.3877434897245911E-3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0</v>
      </c>
      <c r="C104" s="140">
        <f t="shared" si="82"/>
        <v>0</v>
      </c>
      <c r="D104" s="140">
        <f t="shared" si="82"/>
        <v>0</v>
      </c>
      <c r="E104" s="140">
        <f t="shared" si="82"/>
        <v>0</v>
      </c>
      <c r="F104" s="140">
        <f t="shared" si="82"/>
        <v>0</v>
      </c>
      <c r="G104" s="140">
        <f t="shared" si="82"/>
        <v>0</v>
      </c>
      <c r="H104" s="140">
        <f t="shared" si="82"/>
        <v>0</v>
      </c>
      <c r="I104" s="140">
        <f t="shared" si="82"/>
        <v>0</v>
      </c>
      <c r="J104" s="140">
        <f t="shared" si="82"/>
        <v>0</v>
      </c>
      <c r="K104" s="140">
        <f t="shared" si="82"/>
        <v>0</v>
      </c>
      <c r="L104" s="140">
        <f t="shared" si="82"/>
        <v>0</v>
      </c>
      <c r="M104" s="140">
        <f t="shared" si="82"/>
        <v>0</v>
      </c>
      <c r="N104" s="140">
        <f t="shared" si="82"/>
        <v>0</v>
      </c>
      <c r="O104" s="140">
        <f t="shared" si="82"/>
        <v>0</v>
      </c>
      <c r="P104" s="140">
        <f t="shared" si="82"/>
        <v>0</v>
      </c>
      <c r="Q104" s="140">
        <f t="shared" si="82"/>
        <v>0</v>
      </c>
      <c r="R104" s="140">
        <f t="shared" si="82"/>
        <v>0</v>
      </c>
      <c r="S104" s="140">
        <f t="shared" si="82"/>
        <v>0</v>
      </c>
      <c r="T104" s="140">
        <f t="shared" si="82"/>
        <v>0</v>
      </c>
      <c r="U104" s="140">
        <f t="shared" si="82"/>
        <v>0</v>
      </c>
      <c r="V104" s="140">
        <f t="shared" si="82"/>
        <v>0</v>
      </c>
      <c r="W104" s="140">
        <f t="shared" si="82"/>
        <v>0</v>
      </c>
      <c r="X104" s="140">
        <f t="shared" si="82"/>
        <v>0</v>
      </c>
      <c r="Y104" s="140">
        <f t="shared" si="82"/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0.26665571063808724</v>
      </c>
      <c r="C105" s="124">
        <f t="shared" si="83"/>
        <v>0.24274734894362299</v>
      </c>
      <c r="D105" s="124">
        <f t="shared" si="83"/>
        <v>0.23176521224839328</v>
      </c>
      <c r="E105" s="124">
        <f t="shared" si="83"/>
        <v>0.22738627237835454</v>
      </c>
      <c r="F105" s="124">
        <f t="shared" si="83"/>
        <v>0.23284490018579526</v>
      </c>
      <c r="G105" s="124">
        <f t="shared" si="83"/>
        <v>0.22899073311584192</v>
      </c>
      <c r="H105" s="124">
        <f t="shared" si="83"/>
        <v>0.22940179960420598</v>
      </c>
      <c r="I105" s="124">
        <f t="shared" si="83"/>
        <v>0.22514959661331535</v>
      </c>
      <c r="J105" s="124">
        <f t="shared" si="83"/>
        <v>0.21181603406344199</v>
      </c>
      <c r="K105" s="124">
        <f t="shared" si="83"/>
        <v>0.19965047817020684</v>
      </c>
      <c r="L105" s="124">
        <f t="shared" si="83"/>
        <v>0.19815650484852237</v>
      </c>
      <c r="M105" s="124">
        <f t="shared" si="83"/>
        <v>0.20718021485653534</v>
      </c>
      <c r="N105" s="124">
        <f t="shared" si="83"/>
        <v>0.19732742551081714</v>
      </c>
      <c r="O105" s="124">
        <f t="shared" si="83"/>
        <v>0.208072359674979</v>
      </c>
      <c r="P105" s="124">
        <f t="shared" si="83"/>
        <v>0.22547076145638673</v>
      </c>
      <c r="Q105" s="124">
        <f t="shared" si="83"/>
        <v>0.22844403421146223</v>
      </c>
      <c r="R105" s="124">
        <f t="shared" si="83"/>
        <v>0.24154775231245304</v>
      </c>
      <c r="S105" s="124">
        <f t="shared" si="83"/>
        <v>0.26175745609961965</v>
      </c>
      <c r="T105" s="124">
        <f t="shared" si="83"/>
        <v>0.27777176934549042</v>
      </c>
      <c r="U105" s="124">
        <f t="shared" si="83"/>
        <v>0.28231599111185945</v>
      </c>
      <c r="V105" s="124">
        <f t="shared" si="83"/>
        <v>0.12254327360283525</v>
      </c>
      <c r="W105" s="124">
        <f t="shared" si="83"/>
        <v>0.19995731439845321</v>
      </c>
      <c r="X105" s="124">
        <f t="shared" si="83"/>
        <v>0.29835657092402945</v>
      </c>
      <c r="Y105" s="124">
        <f t="shared" si="83"/>
        <v>0.30096549755656754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1.9802361006411407E-2</v>
      </c>
      <c r="C106" s="140">
        <f t="shared" si="84"/>
        <v>1.8418260215204853E-2</v>
      </c>
      <c r="D106" s="140">
        <f t="shared" si="84"/>
        <v>1.6414982999664807E-2</v>
      </c>
      <c r="E106" s="140">
        <f t="shared" si="84"/>
        <v>1.5277237940415222E-2</v>
      </c>
      <c r="F106" s="140">
        <f t="shared" si="84"/>
        <v>1.7002194827576679E-2</v>
      </c>
      <c r="G106" s="140">
        <f t="shared" si="84"/>
        <v>1.6641201699374976E-2</v>
      </c>
      <c r="H106" s="140">
        <f t="shared" si="84"/>
        <v>1.678753233275725E-2</v>
      </c>
      <c r="I106" s="140">
        <f t="shared" si="84"/>
        <v>1.7290368861917139E-2</v>
      </c>
      <c r="J106" s="140">
        <f t="shared" si="84"/>
        <v>1.6634923925486135E-2</v>
      </c>
      <c r="K106" s="140">
        <f t="shared" si="84"/>
        <v>1.7180329421676171E-2</v>
      </c>
      <c r="L106" s="140">
        <f t="shared" si="84"/>
        <v>1.5402602253556903E-2</v>
      </c>
      <c r="M106" s="140">
        <f t="shared" si="84"/>
        <v>1.2914715153117647E-2</v>
      </c>
      <c r="N106" s="140">
        <f t="shared" si="84"/>
        <v>1.2049536087176798E-2</v>
      </c>
      <c r="O106" s="140">
        <f t="shared" si="84"/>
        <v>1.1563733513519438E-2</v>
      </c>
      <c r="P106" s="140">
        <f t="shared" si="84"/>
        <v>1.3583690335942878E-2</v>
      </c>
      <c r="Q106" s="140">
        <f t="shared" si="84"/>
        <v>1.5972666038607877E-2</v>
      </c>
      <c r="R106" s="140">
        <f t="shared" si="84"/>
        <v>1.6662515351221031E-2</v>
      </c>
      <c r="S106" s="140">
        <f t="shared" si="84"/>
        <v>1.6037085786621455E-2</v>
      </c>
      <c r="T106" s="140">
        <f t="shared" si="84"/>
        <v>1.5609462259137799E-2</v>
      </c>
      <c r="U106" s="140">
        <f t="shared" si="84"/>
        <v>1.5088159699480215E-2</v>
      </c>
      <c r="V106" s="140">
        <f t="shared" si="84"/>
        <v>9.8963582486605965E-3</v>
      </c>
      <c r="W106" s="140">
        <f t="shared" si="84"/>
        <v>1.3263346910634521E-2</v>
      </c>
      <c r="X106" s="140">
        <f t="shared" si="84"/>
        <v>1.6348855237881182E-2</v>
      </c>
      <c r="Y106" s="140">
        <f t="shared" si="84"/>
        <v>1.5889534658896462E-2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0.2237095174023418</v>
      </c>
      <c r="C107" s="140">
        <f t="shared" si="85"/>
        <v>0.20321078911443222</v>
      </c>
      <c r="D107" s="140">
        <f t="shared" si="85"/>
        <v>0.19478486212814575</v>
      </c>
      <c r="E107" s="140">
        <f t="shared" si="85"/>
        <v>0.19139064980633314</v>
      </c>
      <c r="F107" s="140">
        <f t="shared" si="85"/>
        <v>0.19224296671811036</v>
      </c>
      <c r="G107" s="140">
        <f t="shared" si="85"/>
        <v>0.18764713059323343</v>
      </c>
      <c r="H107" s="140">
        <f t="shared" si="85"/>
        <v>0.1838483144650277</v>
      </c>
      <c r="I107" s="140">
        <f t="shared" si="85"/>
        <v>0.17539657878690867</v>
      </c>
      <c r="J107" s="140">
        <f t="shared" si="85"/>
        <v>0.1604955863404085</v>
      </c>
      <c r="K107" s="140">
        <f t="shared" si="85"/>
        <v>0.15254123391043345</v>
      </c>
      <c r="L107" s="140">
        <f t="shared" si="85"/>
        <v>0.14895743987243212</v>
      </c>
      <c r="M107" s="140">
        <f t="shared" si="85"/>
        <v>0.15681104446059602</v>
      </c>
      <c r="N107" s="140">
        <f t="shared" si="85"/>
        <v>0.14946399251304454</v>
      </c>
      <c r="O107" s="140">
        <f t="shared" si="85"/>
        <v>0.15280889312594736</v>
      </c>
      <c r="P107" s="140">
        <f t="shared" si="85"/>
        <v>0.16884491840382965</v>
      </c>
      <c r="Q107" s="140">
        <f t="shared" si="85"/>
        <v>0.17538662161548005</v>
      </c>
      <c r="R107" s="140">
        <f t="shared" si="85"/>
        <v>0.18442424606767641</v>
      </c>
      <c r="S107" s="140">
        <f t="shared" si="85"/>
        <v>0.1981265598985405</v>
      </c>
      <c r="T107" s="140">
        <f t="shared" si="85"/>
        <v>0.20891024751098533</v>
      </c>
      <c r="U107" s="140">
        <f t="shared" si="85"/>
        <v>0.21045486728936083</v>
      </c>
      <c r="V107" s="140">
        <f t="shared" si="85"/>
        <v>0.10129674691366897</v>
      </c>
      <c r="W107" s="140">
        <f t="shared" si="85"/>
        <v>0.15368940001442333</v>
      </c>
      <c r="X107" s="140">
        <f t="shared" si="85"/>
        <v>0.23447635444890708</v>
      </c>
      <c r="Y107" s="140">
        <f t="shared" si="85"/>
        <v>0.23421783902436372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2.3143832229334031E-2</v>
      </c>
      <c r="C108" s="140">
        <f t="shared" si="86"/>
        <v>2.1118299613985918E-2</v>
      </c>
      <c r="D108" s="140">
        <f t="shared" si="86"/>
        <v>2.0565367120582718E-2</v>
      </c>
      <c r="E108" s="140">
        <f t="shared" si="86"/>
        <v>2.0718384631606176E-2</v>
      </c>
      <c r="F108" s="140">
        <f t="shared" si="86"/>
        <v>2.3599738640108218E-2</v>
      </c>
      <c r="G108" s="140">
        <f t="shared" si="86"/>
        <v>2.4702400823233498E-2</v>
      </c>
      <c r="H108" s="140">
        <f t="shared" si="86"/>
        <v>2.8765952806421018E-2</v>
      </c>
      <c r="I108" s="140">
        <f t="shared" si="86"/>
        <v>3.2462648964489554E-2</v>
      </c>
      <c r="J108" s="140">
        <f t="shared" si="86"/>
        <v>3.4685523797547371E-2</v>
      </c>
      <c r="K108" s="140">
        <f t="shared" si="86"/>
        <v>2.9928914838097235E-2</v>
      </c>
      <c r="L108" s="140">
        <f t="shared" si="86"/>
        <v>3.3796462722533352E-2</v>
      </c>
      <c r="M108" s="140">
        <f t="shared" si="86"/>
        <v>3.7454455242821663E-2</v>
      </c>
      <c r="N108" s="140">
        <f t="shared" si="86"/>
        <v>3.5813896910595777E-2</v>
      </c>
      <c r="O108" s="140">
        <f t="shared" si="86"/>
        <v>4.3699733035512216E-2</v>
      </c>
      <c r="P108" s="140">
        <f t="shared" si="86"/>
        <v>4.3042152716614199E-2</v>
      </c>
      <c r="Q108" s="140">
        <f t="shared" si="86"/>
        <v>3.7084746557374308E-2</v>
      </c>
      <c r="R108" s="140">
        <f t="shared" si="86"/>
        <v>4.0460990893555607E-2</v>
      </c>
      <c r="S108" s="140">
        <f t="shared" si="86"/>
        <v>4.7593810414457663E-2</v>
      </c>
      <c r="T108" s="140">
        <f t="shared" si="86"/>
        <v>5.3252059575367265E-2</v>
      </c>
      <c r="U108" s="140">
        <f t="shared" si="86"/>
        <v>5.6772964123018417E-2</v>
      </c>
      <c r="V108" s="140">
        <f t="shared" si="86"/>
        <v>1.1350168440505678E-2</v>
      </c>
      <c r="W108" s="140">
        <f t="shared" si="86"/>
        <v>3.300456747339537E-2</v>
      </c>
      <c r="X108" s="140">
        <f t="shared" si="86"/>
        <v>4.7531361237241186E-2</v>
      </c>
      <c r="Y108" s="140">
        <f t="shared" si="86"/>
        <v>5.0858123873307355E-2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0.68981629431599223</v>
      </c>
      <c r="C110" s="139">
        <f t="shared" si="88"/>
        <v>0.84127743933008159</v>
      </c>
      <c r="D110" s="139">
        <f t="shared" si="88"/>
        <v>0.81384618593331459</v>
      </c>
      <c r="E110" s="139">
        <f t="shared" si="88"/>
        <v>0.71522072714051499</v>
      </c>
      <c r="F110" s="139">
        <f t="shared" si="88"/>
        <v>0.82848031297067881</v>
      </c>
      <c r="G110" s="139">
        <f t="shared" si="88"/>
        <v>0.77419625321173557</v>
      </c>
      <c r="H110" s="139">
        <f t="shared" si="88"/>
        <v>0.81197002323175349</v>
      </c>
      <c r="I110" s="139">
        <f t="shared" si="88"/>
        <v>0.7786875488088687</v>
      </c>
      <c r="J110" s="139">
        <f t="shared" si="88"/>
        <v>0.81012010994517625</v>
      </c>
      <c r="K110" s="139">
        <f t="shared" si="88"/>
        <v>0.82934582580632532</v>
      </c>
      <c r="L110" s="139">
        <f t="shared" si="88"/>
        <v>0.84749472062793174</v>
      </c>
      <c r="M110" s="139">
        <f t="shared" si="88"/>
        <v>0.80091598453377022</v>
      </c>
      <c r="N110" s="139">
        <f t="shared" si="88"/>
        <v>0.79746631761150111</v>
      </c>
      <c r="O110" s="139">
        <f t="shared" si="88"/>
        <v>0.76673138816018838</v>
      </c>
      <c r="P110" s="139">
        <f t="shared" si="88"/>
        <v>0.78688625276994517</v>
      </c>
      <c r="Q110" s="139">
        <f t="shared" si="88"/>
        <v>0.77429248907525861</v>
      </c>
      <c r="R110" s="139">
        <f t="shared" si="88"/>
        <v>0.79512102050405364</v>
      </c>
      <c r="S110" s="139">
        <f t="shared" si="88"/>
        <v>0.79160792869728036</v>
      </c>
      <c r="T110" s="139">
        <f t="shared" si="88"/>
        <v>0.78291612635555763</v>
      </c>
      <c r="U110" s="139">
        <f t="shared" si="88"/>
        <v>0.77451741742664171</v>
      </c>
      <c r="V110" s="139">
        <f t="shared" si="88"/>
        <v>0.77760697703279968</v>
      </c>
      <c r="W110" s="139">
        <f t="shared" si="88"/>
        <v>0.79770721642344788</v>
      </c>
      <c r="X110" s="139">
        <f t="shared" si="88"/>
        <v>0.79966651618411022</v>
      </c>
      <c r="Y110" s="139">
        <f t="shared" si="88"/>
        <v>0.78307300994488649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3.4840360650350087E-2</v>
      </c>
      <c r="C111" s="140">
        <f t="shared" si="89"/>
        <v>4.3503624500651032E-2</v>
      </c>
      <c r="D111" s="140">
        <f t="shared" si="89"/>
        <v>4.368783926860554E-2</v>
      </c>
      <c r="E111" s="140">
        <f t="shared" si="89"/>
        <v>6.0576724958068651E-2</v>
      </c>
      <c r="F111" s="140">
        <f t="shared" si="89"/>
        <v>3.7808861830833311E-2</v>
      </c>
      <c r="G111" s="140">
        <f t="shared" si="89"/>
        <v>5.490153084726683E-2</v>
      </c>
      <c r="H111" s="140">
        <f t="shared" si="89"/>
        <v>4.6956577149106338E-2</v>
      </c>
      <c r="I111" s="140">
        <f t="shared" si="89"/>
        <v>5.8439220168853348E-2</v>
      </c>
      <c r="J111" s="140">
        <f t="shared" si="89"/>
        <v>5.6127647173459611E-2</v>
      </c>
      <c r="K111" s="140">
        <f t="shared" si="89"/>
        <v>5.8756735275580424E-2</v>
      </c>
      <c r="L111" s="140">
        <f t="shared" si="89"/>
        <v>5.9472910757415905E-2</v>
      </c>
      <c r="M111" s="140">
        <f t="shared" si="89"/>
        <v>7.2128427473206053E-2</v>
      </c>
      <c r="N111" s="140">
        <f t="shared" si="89"/>
        <v>6.2137124707673935E-2</v>
      </c>
      <c r="O111" s="140">
        <f t="shared" si="89"/>
        <v>8.3650041892004048E-2</v>
      </c>
      <c r="P111" s="140">
        <f t="shared" si="89"/>
        <v>7.5895018143053522E-2</v>
      </c>
      <c r="Q111" s="140">
        <f t="shared" si="89"/>
        <v>8.9265521431175623E-2</v>
      </c>
      <c r="R111" s="140">
        <f t="shared" si="89"/>
        <v>9.0628031175189597E-2</v>
      </c>
      <c r="S111" s="140">
        <f t="shared" si="89"/>
        <v>7.8827405330273673E-2</v>
      </c>
      <c r="T111" s="140">
        <f t="shared" si="89"/>
        <v>7.7250873389058852E-2</v>
      </c>
      <c r="U111" s="140">
        <f t="shared" si="89"/>
        <v>7.8268399771961553E-2</v>
      </c>
      <c r="V111" s="140">
        <f t="shared" si="89"/>
        <v>7.8346800251358595E-2</v>
      </c>
      <c r="W111" s="140">
        <f t="shared" si="89"/>
        <v>7.3771185554238783E-2</v>
      </c>
      <c r="X111" s="140">
        <f t="shared" si="89"/>
        <v>7.7245404705978751E-2</v>
      </c>
      <c r="Y111" s="140">
        <f t="shared" si="89"/>
        <v>8.3802615952374274E-2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0.65497593366564211</v>
      </c>
      <c r="C112" s="140">
        <f t="shared" si="90"/>
        <v>0.79777381482943055</v>
      </c>
      <c r="D112" s="140">
        <f t="shared" si="90"/>
        <v>0.77015834666470906</v>
      </c>
      <c r="E112" s="140">
        <f t="shared" si="90"/>
        <v>0.65464400218244634</v>
      </c>
      <c r="F112" s="140">
        <f t="shared" si="90"/>
        <v>0.79067145113984549</v>
      </c>
      <c r="G112" s="140">
        <f t="shared" si="90"/>
        <v>0.71929472236446879</v>
      </c>
      <c r="H112" s="140">
        <f t="shared" si="90"/>
        <v>0.76501344608264721</v>
      </c>
      <c r="I112" s="140">
        <f t="shared" si="90"/>
        <v>0.72024832864001531</v>
      </c>
      <c r="J112" s="140">
        <f t="shared" si="90"/>
        <v>0.7539924627717165</v>
      </c>
      <c r="K112" s="140">
        <f t="shared" si="90"/>
        <v>0.77058909053074498</v>
      </c>
      <c r="L112" s="140">
        <f t="shared" si="90"/>
        <v>0.78802180987051584</v>
      </c>
      <c r="M112" s="140">
        <f t="shared" si="90"/>
        <v>0.72878755706056408</v>
      </c>
      <c r="N112" s="140">
        <f t="shared" si="90"/>
        <v>0.73532919290382726</v>
      </c>
      <c r="O112" s="140">
        <f t="shared" si="90"/>
        <v>0.6830813462681844</v>
      </c>
      <c r="P112" s="140">
        <f t="shared" si="90"/>
        <v>0.71099123462689173</v>
      </c>
      <c r="Q112" s="140">
        <f t="shared" si="90"/>
        <v>0.685026967644083</v>
      </c>
      <c r="R112" s="140">
        <f t="shared" si="90"/>
        <v>0.70449298932886406</v>
      </c>
      <c r="S112" s="140">
        <f t="shared" si="90"/>
        <v>0.7127805233670067</v>
      </c>
      <c r="T112" s="140">
        <f t="shared" si="90"/>
        <v>0.70566525296649885</v>
      </c>
      <c r="U112" s="140">
        <f t="shared" si="90"/>
        <v>0.69624901765468017</v>
      </c>
      <c r="V112" s="140">
        <f t="shared" si="90"/>
        <v>0.69926017678144115</v>
      </c>
      <c r="W112" s="140">
        <f t="shared" si="90"/>
        <v>0.72393603086920899</v>
      </c>
      <c r="X112" s="140">
        <f t="shared" si="90"/>
        <v>0.72242111147813148</v>
      </c>
      <c r="Y112" s="140">
        <f t="shared" si="90"/>
        <v>0.69927039399251223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1.1337612869812958E-2</v>
      </c>
      <c r="C113" s="124">
        <f t="shared" si="91"/>
        <v>1.1988840768022436E-2</v>
      </c>
      <c r="D113" s="124">
        <f t="shared" si="91"/>
        <v>9.7268362358381485E-3</v>
      </c>
      <c r="E113" s="124">
        <f t="shared" si="91"/>
        <v>1.7359127831495982E-2</v>
      </c>
      <c r="F113" s="124">
        <f t="shared" si="91"/>
        <v>1.3776755371757977E-2</v>
      </c>
      <c r="G113" s="124">
        <f t="shared" si="91"/>
        <v>2.011843478636105E-2</v>
      </c>
      <c r="H113" s="124">
        <f t="shared" si="91"/>
        <v>1.7480927415464132E-2</v>
      </c>
      <c r="I113" s="124">
        <f t="shared" si="91"/>
        <v>2.4910020177810622E-2</v>
      </c>
      <c r="J113" s="124">
        <f t="shared" si="91"/>
        <v>2.2410076692178493E-2</v>
      </c>
      <c r="K113" s="124">
        <f t="shared" si="91"/>
        <v>1.6312736922571236E-2</v>
      </c>
      <c r="L113" s="124">
        <f t="shared" si="91"/>
        <v>1.7501749275653754E-2</v>
      </c>
      <c r="M113" s="124">
        <f t="shared" si="91"/>
        <v>1.3692837938767737E-2</v>
      </c>
      <c r="N113" s="124">
        <f t="shared" si="91"/>
        <v>1.1170208987135003E-2</v>
      </c>
      <c r="O113" s="124">
        <f t="shared" si="91"/>
        <v>1.0659302720984861E-2</v>
      </c>
      <c r="P113" s="124">
        <f t="shared" si="91"/>
        <v>1.2613505218493954E-2</v>
      </c>
      <c r="Q113" s="124">
        <f t="shared" si="91"/>
        <v>1.1408887316830919E-2</v>
      </c>
      <c r="R113" s="124">
        <f t="shared" si="91"/>
        <v>9.251486498891839E-3</v>
      </c>
      <c r="S113" s="124">
        <f t="shared" si="91"/>
        <v>1.2941879575739773E-2</v>
      </c>
      <c r="T113" s="124">
        <f t="shared" si="91"/>
        <v>1.4856877197498917E-2</v>
      </c>
      <c r="U113" s="124">
        <f t="shared" si="91"/>
        <v>1.8014347245004371E-2</v>
      </c>
      <c r="V113" s="124">
        <f t="shared" si="91"/>
        <v>2.3123958655407246E-2</v>
      </c>
      <c r="W113" s="124">
        <f t="shared" si="91"/>
        <v>2.1224196086350636E-2</v>
      </c>
      <c r="X113" s="124">
        <f t="shared" si="91"/>
        <v>1.6919046280271233E-2</v>
      </c>
      <c r="Y113" s="124">
        <f t="shared" si="91"/>
        <v>8.1382268688593544E-3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3.9895118072068338E-3</v>
      </c>
      <c r="C114" s="124">
        <f t="shared" si="92"/>
        <v>5.508835405984092E-3</v>
      </c>
      <c r="D114" s="124">
        <f t="shared" si="92"/>
        <v>4.8523091535653054E-3</v>
      </c>
      <c r="E114" s="124">
        <f t="shared" si="92"/>
        <v>5.5036447567127006E-3</v>
      </c>
      <c r="F114" s="124">
        <f t="shared" si="92"/>
        <v>2.3627736021326639E-3</v>
      </c>
      <c r="G114" s="124">
        <f t="shared" si="92"/>
        <v>3.1598226715558193E-3</v>
      </c>
      <c r="H114" s="124">
        <f t="shared" si="92"/>
        <v>2.6164076373448109E-3</v>
      </c>
      <c r="I114" s="124">
        <f t="shared" si="92"/>
        <v>2.7694159136847072E-3</v>
      </c>
      <c r="J114" s="124">
        <f t="shared" si="92"/>
        <v>2.6968448170596468E-3</v>
      </c>
      <c r="K114" s="124">
        <f t="shared" si="92"/>
        <v>2.513800434653424E-3</v>
      </c>
      <c r="L114" s="124">
        <f t="shared" si="92"/>
        <v>2.0986951388952085E-3</v>
      </c>
      <c r="M114" s="124">
        <f t="shared" si="92"/>
        <v>2.870238016406236E-3</v>
      </c>
      <c r="N114" s="124">
        <f t="shared" si="92"/>
        <v>2.7222865598313436E-3</v>
      </c>
      <c r="O114" s="124">
        <f t="shared" si="92"/>
        <v>2.8425070357272555E-3</v>
      </c>
      <c r="P114" s="124">
        <f t="shared" si="92"/>
        <v>2.4191755866425995E-3</v>
      </c>
      <c r="Q114" s="124">
        <f t="shared" si="92"/>
        <v>2.3161032634468857E-3</v>
      </c>
      <c r="R114" s="124">
        <f t="shared" si="92"/>
        <v>2.3668538892194849E-3</v>
      </c>
      <c r="S114" s="124">
        <f t="shared" si="92"/>
        <v>2.3843890321453322E-3</v>
      </c>
      <c r="T114" s="124">
        <f t="shared" si="92"/>
        <v>3.6541270114486845E-3</v>
      </c>
      <c r="U114" s="124">
        <f t="shared" si="92"/>
        <v>4.0448696294187762E-3</v>
      </c>
      <c r="V114" s="124">
        <f t="shared" si="92"/>
        <v>2.6958332893574953E-3</v>
      </c>
      <c r="W114" s="124">
        <f t="shared" si="92"/>
        <v>3.4040734168544078E-3</v>
      </c>
      <c r="X114" s="124">
        <f t="shared" si="92"/>
        <v>3.5855887375239709E-3</v>
      </c>
      <c r="Y114" s="124">
        <f t="shared" si="92"/>
        <v>3.1310261253209831E-3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3.7692319545809934E-4</v>
      </c>
      <c r="C115" s="140">
        <f t="shared" si="93"/>
        <v>5.2284140141209932E-4</v>
      </c>
      <c r="D115" s="140">
        <f t="shared" si="93"/>
        <v>4.8312955191405054E-4</v>
      </c>
      <c r="E115" s="140">
        <f t="shared" si="93"/>
        <v>5.427939385824782E-4</v>
      </c>
      <c r="F115" s="140">
        <f t="shared" si="93"/>
        <v>1.8706817218439888E-4</v>
      </c>
      <c r="G115" s="140">
        <f t="shared" si="93"/>
        <v>2.4323278224937735E-4</v>
      </c>
      <c r="H115" s="140">
        <f t="shared" si="93"/>
        <v>1.9407117240803965E-4</v>
      </c>
      <c r="I115" s="140">
        <f t="shared" si="93"/>
        <v>1.8010039750586472E-4</v>
      </c>
      <c r="J115" s="140">
        <f t="shared" si="93"/>
        <v>1.78387790481082E-4</v>
      </c>
      <c r="K115" s="140">
        <f t="shared" si="93"/>
        <v>1.5279281910364625E-4</v>
      </c>
      <c r="L115" s="140">
        <f t="shared" si="93"/>
        <v>1.3643544381950913E-4</v>
      </c>
      <c r="M115" s="140">
        <f t="shared" si="93"/>
        <v>1.5261916363810382E-4</v>
      </c>
      <c r="N115" s="140">
        <f t="shared" si="93"/>
        <v>1.3462318056573427E-4</v>
      </c>
      <c r="O115" s="140">
        <f t="shared" si="93"/>
        <v>1.4455045394922477E-4</v>
      </c>
      <c r="P115" s="140">
        <f t="shared" si="93"/>
        <v>9.4639382091649769E-5</v>
      </c>
      <c r="Q115" s="140">
        <f t="shared" si="93"/>
        <v>8.87789711574471E-5</v>
      </c>
      <c r="R115" s="140">
        <f t="shared" ref="R115:V116" si="94">IF(R23=0,0,R23/R$17)</f>
        <v>7.835303976496091E-5</v>
      </c>
      <c r="S115" s="140">
        <f t="shared" si="94"/>
        <v>4.7824936499743037E-5</v>
      </c>
      <c r="T115" s="140">
        <f t="shared" si="94"/>
        <v>8.9998511955890659E-5</v>
      </c>
      <c r="U115" s="140">
        <f t="shared" si="94"/>
        <v>8.9660926358706234E-5</v>
      </c>
      <c r="V115" s="140">
        <f t="shared" si="94"/>
        <v>6.0996247120985991E-5</v>
      </c>
      <c r="W115" s="140">
        <f t="shared" ref="W115:Y120" si="95">IF(W23=0,0,W23/W$17)</f>
        <v>6.0719795724047877E-5</v>
      </c>
      <c r="X115" s="140">
        <f t="shared" si="95"/>
        <v>6.4156888959381462E-5</v>
      </c>
      <c r="Y115" s="140">
        <f t="shared" si="95"/>
        <v>6.616514317456239E-5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2.6855016320565996E-3</v>
      </c>
      <c r="C116" s="140">
        <f t="shared" si="96"/>
        <v>3.8692570848311621E-3</v>
      </c>
      <c r="D116" s="140">
        <f t="shared" si="96"/>
        <v>3.3601744332859194E-3</v>
      </c>
      <c r="E116" s="140">
        <f t="shared" si="96"/>
        <v>3.6706264576790212E-3</v>
      </c>
      <c r="F116" s="140">
        <f t="shared" si="96"/>
        <v>1.5925728417958047E-3</v>
      </c>
      <c r="G116" s="140">
        <f t="shared" si="96"/>
        <v>2.1650789352591084E-3</v>
      </c>
      <c r="H116" s="140">
        <f t="shared" si="96"/>
        <v>1.7408025296663894E-3</v>
      </c>
      <c r="I116" s="140">
        <f t="shared" si="96"/>
        <v>1.8272408396749638E-3</v>
      </c>
      <c r="J116" s="140">
        <f t="shared" si="96"/>
        <v>1.709662567470821E-3</v>
      </c>
      <c r="K116" s="140">
        <f t="shared" si="96"/>
        <v>1.6072511625158708E-3</v>
      </c>
      <c r="L116" s="140">
        <f t="shared" si="96"/>
        <v>1.5113410380985595E-3</v>
      </c>
      <c r="M116" s="140">
        <f t="shared" si="96"/>
        <v>2.0847989339691912E-3</v>
      </c>
      <c r="N116" s="140">
        <f t="shared" si="96"/>
        <v>2.0502432120690266E-3</v>
      </c>
      <c r="O116" s="140">
        <f t="shared" si="96"/>
        <v>2.1930392090290431E-3</v>
      </c>
      <c r="P116" s="140">
        <f t="shared" si="96"/>
        <v>1.9020591134497218E-3</v>
      </c>
      <c r="Q116" s="140">
        <f t="shared" si="96"/>
        <v>1.7130121990252616E-3</v>
      </c>
      <c r="R116" s="140">
        <f t="shared" si="94"/>
        <v>1.7307347448037125E-3</v>
      </c>
      <c r="S116" s="140">
        <f t="shared" si="94"/>
        <v>1.5576804058197711E-3</v>
      </c>
      <c r="T116" s="140">
        <f t="shared" si="94"/>
        <v>2.0937891358801487E-3</v>
      </c>
      <c r="U116" s="140">
        <f t="shared" si="94"/>
        <v>2.1431497516331555E-3</v>
      </c>
      <c r="V116" s="140">
        <f t="shared" si="94"/>
        <v>1.8478994796933029E-3</v>
      </c>
      <c r="W116" s="140">
        <f t="shared" si="95"/>
        <v>1.6815536260409473E-3</v>
      </c>
      <c r="X116" s="140">
        <f t="shared" si="95"/>
        <v>1.570329834262901E-3</v>
      </c>
      <c r="Y116" s="140">
        <f t="shared" si="95"/>
        <v>1.4069195407078461E-3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9.2708697969213496E-4</v>
      </c>
      <c r="C117" s="140">
        <f t="shared" si="97"/>
        <v>1.1167369197408314E-3</v>
      </c>
      <c r="D117" s="140">
        <f t="shared" si="97"/>
        <v>1.0090051683653354E-3</v>
      </c>
      <c r="E117" s="140">
        <f t="shared" si="97"/>
        <v>1.2902243604512012E-3</v>
      </c>
      <c r="F117" s="140">
        <f t="shared" si="97"/>
        <v>5.8313258815246053E-4</v>
      </c>
      <c r="G117" s="140">
        <f t="shared" si="97"/>
        <v>7.5151095404733326E-4</v>
      </c>
      <c r="H117" s="140">
        <f t="shared" si="97"/>
        <v>6.8153393527038198E-4</v>
      </c>
      <c r="I117" s="140">
        <f t="shared" si="97"/>
        <v>7.6207467650387837E-4</v>
      </c>
      <c r="J117" s="140">
        <f t="shared" si="97"/>
        <v>8.0879445910774406E-4</v>
      </c>
      <c r="K117" s="140">
        <f t="shared" si="97"/>
        <v>7.5375645303390679E-4</v>
      </c>
      <c r="L117" s="140">
        <f t="shared" si="97"/>
        <v>4.5091865697714014E-4</v>
      </c>
      <c r="M117" s="140">
        <f t="shared" si="97"/>
        <v>6.3281991879894075E-4</v>
      </c>
      <c r="N117" s="140">
        <f t="shared" si="97"/>
        <v>5.3742016719658258E-4</v>
      </c>
      <c r="O117" s="140">
        <f t="shared" si="97"/>
        <v>5.0491737274898794E-4</v>
      </c>
      <c r="P117" s="140">
        <f t="shared" si="97"/>
        <v>4.2247709110122795E-4</v>
      </c>
      <c r="Q117" s="140">
        <f t="shared" si="97"/>
        <v>5.1431209326417693E-4</v>
      </c>
      <c r="R117" s="140">
        <f t="shared" ref="R117:V120" si="98">IF(R25=0,0,R25/R$17)</f>
        <v>5.5776610465081114E-4</v>
      </c>
      <c r="S117" s="140">
        <f t="shared" si="98"/>
        <v>7.7888368982581796E-4</v>
      </c>
      <c r="T117" s="140">
        <f t="shared" si="98"/>
        <v>1.470339363612645E-3</v>
      </c>
      <c r="U117" s="140">
        <f t="shared" si="98"/>
        <v>1.8120589514269139E-3</v>
      </c>
      <c r="V117" s="140">
        <f t="shared" si="98"/>
        <v>7.8693756254320638E-4</v>
      </c>
      <c r="W117" s="140">
        <f t="shared" si="95"/>
        <v>1.6617999950894133E-3</v>
      </c>
      <c r="X117" s="140">
        <f t="shared" si="95"/>
        <v>1.9511020143016887E-3</v>
      </c>
      <c r="Y117" s="140">
        <f t="shared" si="95"/>
        <v>1.6579414414385745E-3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0.29485658100698792</v>
      </c>
      <c r="C118" s="124">
        <f t="shared" si="99"/>
        <v>0.14122488449591195</v>
      </c>
      <c r="D118" s="124">
        <f t="shared" si="99"/>
        <v>0.17157466867728191</v>
      </c>
      <c r="E118" s="124">
        <f t="shared" si="99"/>
        <v>0.26191650027127633</v>
      </c>
      <c r="F118" s="124">
        <f t="shared" si="99"/>
        <v>0.15538015805543043</v>
      </c>
      <c r="G118" s="124">
        <f t="shared" si="99"/>
        <v>0.20252548933034761</v>
      </c>
      <c r="H118" s="124">
        <f t="shared" si="99"/>
        <v>0.16793264171543751</v>
      </c>
      <c r="I118" s="124">
        <f t="shared" si="99"/>
        <v>0.19363301509963604</v>
      </c>
      <c r="J118" s="124">
        <f t="shared" si="99"/>
        <v>0.16477296854558576</v>
      </c>
      <c r="K118" s="124">
        <f t="shared" si="99"/>
        <v>0.15182763683645004</v>
      </c>
      <c r="L118" s="124">
        <f t="shared" si="99"/>
        <v>0.13290483495751923</v>
      </c>
      <c r="M118" s="124">
        <f t="shared" si="99"/>
        <v>0.18252093951105583</v>
      </c>
      <c r="N118" s="124">
        <f t="shared" si="99"/>
        <v>0.18864118684153247</v>
      </c>
      <c r="O118" s="124">
        <f t="shared" si="99"/>
        <v>0.21976680208309951</v>
      </c>
      <c r="P118" s="124">
        <f t="shared" si="99"/>
        <v>0.1980810664249183</v>
      </c>
      <c r="Q118" s="124">
        <f t="shared" si="99"/>
        <v>0.21198252034446349</v>
      </c>
      <c r="R118" s="124">
        <f t="shared" si="98"/>
        <v>0.19326063910783511</v>
      </c>
      <c r="S118" s="124">
        <f t="shared" si="98"/>
        <v>0.19306580269483448</v>
      </c>
      <c r="T118" s="124">
        <f t="shared" si="98"/>
        <v>0.19857286943549476</v>
      </c>
      <c r="U118" s="124">
        <f t="shared" si="98"/>
        <v>0.20342336569893513</v>
      </c>
      <c r="V118" s="124">
        <f t="shared" si="98"/>
        <v>0.19657323102243557</v>
      </c>
      <c r="W118" s="124">
        <f t="shared" si="95"/>
        <v>0.17766451407334707</v>
      </c>
      <c r="X118" s="124">
        <f t="shared" si="95"/>
        <v>0.17982884879809458</v>
      </c>
      <c r="Y118" s="124">
        <f t="shared" si="95"/>
        <v>0.20565773706093307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0.29485658100698792</v>
      </c>
      <c r="C119" s="140">
        <f t="shared" si="100"/>
        <v>0.14122488449591195</v>
      </c>
      <c r="D119" s="140">
        <f t="shared" si="100"/>
        <v>0.17157466867728191</v>
      </c>
      <c r="E119" s="140">
        <f t="shared" si="100"/>
        <v>0.26191650027127633</v>
      </c>
      <c r="F119" s="140">
        <f t="shared" si="100"/>
        <v>0.15538015805543043</v>
      </c>
      <c r="G119" s="140">
        <f t="shared" si="100"/>
        <v>0.20252548933034761</v>
      </c>
      <c r="H119" s="140">
        <f t="shared" si="100"/>
        <v>0.16793264171543751</v>
      </c>
      <c r="I119" s="140">
        <f t="shared" si="100"/>
        <v>0.19363301509963604</v>
      </c>
      <c r="J119" s="140">
        <f t="shared" si="100"/>
        <v>0.16477296854558576</v>
      </c>
      <c r="K119" s="140">
        <f t="shared" si="100"/>
        <v>0.15182763683645004</v>
      </c>
      <c r="L119" s="140">
        <f t="shared" si="100"/>
        <v>0.13290483495751923</v>
      </c>
      <c r="M119" s="140">
        <f t="shared" si="100"/>
        <v>0.18252093951105583</v>
      </c>
      <c r="N119" s="140">
        <f t="shared" si="100"/>
        <v>0.18864118684153247</v>
      </c>
      <c r="O119" s="140">
        <f t="shared" si="100"/>
        <v>0.21976680208309951</v>
      </c>
      <c r="P119" s="140">
        <f t="shared" si="100"/>
        <v>0.1980810664249183</v>
      </c>
      <c r="Q119" s="140">
        <f t="shared" si="100"/>
        <v>0.21198252034446349</v>
      </c>
      <c r="R119" s="140">
        <f t="shared" si="98"/>
        <v>0.19326063910783511</v>
      </c>
      <c r="S119" s="140">
        <f t="shared" si="98"/>
        <v>0.19306580269483448</v>
      </c>
      <c r="T119" s="140">
        <f t="shared" si="98"/>
        <v>0.19857286943549476</v>
      </c>
      <c r="U119" s="140">
        <f t="shared" si="98"/>
        <v>0.20342336569893513</v>
      </c>
      <c r="V119" s="140">
        <f t="shared" si="98"/>
        <v>0.19657323102243557</v>
      </c>
      <c r="W119" s="140">
        <f t="shared" si="95"/>
        <v>0.17766451407334707</v>
      </c>
      <c r="X119" s="140">
        <f t="shared" si="95"/>
        <v>0.17982884879809458</v>
      </c>
      <c r="Y119" s="140">
        <f t="shared" si="95"/>
        <v>0.20565773706093307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</v>
      </c>
      <c r="C120" s="127">
        <f t="shared" si="101"/>
        <v>0</v>
      </c>
      <c r="D120" s="127">
        <f t="shared" si="101"/>
        <v>0</v>
      </c>
      <c r="E120" s="127">
        <f t="shared" si="101"/>
        <v>0</v>
      </c>
      <c r="F120" s="127">
        <f t="shared" si="101"/>
        <v>0</v>
      </c>
      <c r="G120" s="127">
        <f t="shared" si="101"/>
        <v>0</v>
      </c>
      <c r="H120" s="127">
        <f t="shared" si="101"/>
        <v>0</v>
      </c>
      <c r="I120" s="127">
        <f t="shared" si="101"/>
        <v>0</v>
      </c>
      <c r="J120" s="127">
        <f t="shared" si="101"/>
        <v>0</v>
      </c>
      <c r="K120" s="127">
        <f t="shared" si="101"/>
        <v>0</v>
      </c>
      <c r="L120" s="127">
        <f t="shared" si="101"/>
        <v>0</v>
      </c>
      <c r="M120" s="127">
        <f t="shared" si="101"/>
        <v>0</v>
      </c>
      <c r="N120" s="127">
        <f t="shared" si="101"/>
        <v>0</v>
      </c>
      <c r="O120" s="127">
        <f t="shared" si="101"/>
        <v>0</v>
      </c>
      <c r="P120" s="127">
        <f t="shared" si="101"/>
        <v>0</v>
      </c>
      <c r="Q120" s="127">
        <f t="shared" si="101"/>
        <v>0</v>
      </c>
      <c r="R120" s="127">
        <f t="shared" si="98"/>
        <v>0</v>
      </c>
      <c r="S120" s="127">
        <f t="shared" si="98"/>
        <v>0</v>
      </c>
      <c r="T120" s="127">
        <f t="shared" si="98"/>
        <v>0</v>
      </c>
      <c r="U120" s="127">
        <f t="shared" si="98"/>
        <v>0</v>
      </c>
      <c r="V120" s="127">
        <f t="shared" si="98"/>
        <v>0</v>
      </c>
      <c r="W120" s="127">
        <f t="shared" si="95"/>
        <v>0</v>
      </c>
      <c r="X120" s="127">
        <f t="shared" si="95"/>
        <v>0</v>
      </c>
      <c r="Y120" s="127">
        <f t="shared" si="95"/>
        <v>0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0.55903075077892328</v>
      </c>
      <c r="C122" s="140">
        <f t="shared" si="103"/>
        <v>0.32454957268957874</v>
      </c>
      <c r="D122" s="140">
        <f t="shared" si="103"/>
        <v>0.28817124385386661</v>
      </c>
      <c r="E122" s="140">
        <f t="shared" si="103"/>
        <v>0.3060760262334703</v>
      </c>
      <c r="F122" s="140">
        <f t="shared" si="103"/>
        <v>0.2740878010465656</v>
      </c>
      <c r="G122" s="140">
        <f t="shared" si="103"/>
        <v>0.25650439719646662</v>
      </c>
      <c r="H122" s="140">
        <f t="shared" si="103"/>
        <v>0.23492653008712738</v>
      </c>
      <c r="I122" s="140">
        <f t="shared" si="103"/>
        <v>0.27285079260141326</v>
      </c>
      <c r="J122" s="140">
        <f t="shared" si="103"/>
        <v>0.30502352567608826</v>
      </c>
      <c r="K122" s="140">
        <f t="shared" si="103"/>
        <v>0.31157143009822702</v>
      </c>
      <c r="L122" s="140">
        <f t="shared" si="103"/>
        <v>0.28061597204849686</v>
      </c>
      <c r="M122" s="140">
        <f t="shared" si="103"/>
        <v>0.23338538574019141</v>
      </c>
      <c r="N122" s="140">
        <f t="shared" si="103"/>
        <v>0.20748105077824447</v>
      </c>
      <c r="O122" s="140">
        <f t="shared" si="103"/>
        <v>0.18807444726445913</v>
      </c>
      <c r="P122" s="140">
        <f t="shared" si="103"/>
        <v>0.17421876016113874</v>
      </c>
      <c r="Q122" s="140">
        <f t="shared" si="103"/>
        <v>0.18145887839260194</v>
      </c>
      <c r="R122" s="140">
        <f t="shared" si="103"/>
        <v>0.17180193261554014</v>
      </c>
      <c r="S122" s="140">
        <f t="shared" si="103"/>
        <v>0.17400662307293113</v>
      </c>
      <c r="T122" s="140">
        <f t="shared" si="103"/>
        <v>0.1748818984233558</v>
      </c>
      <c r="U122" s="140">
        <f t="shared" si="103"/>
        <v>0.18084886095830371</v>
      </c>
      <c r="V122" s="140">
        <f t="shared" si="103"/>
        <v>0.1789328868704729</v>
      </c>
      <c r="W122" s="140">
        <f t="shared" si="103"/>
        <v>0.18064611138726211</v>
      </c>
      <c r="X122" s="140">
        <f t="shared" si="103"/>
        <v>0.21121926171496988</v>
      </c>
      <c r="Y122" s="140">
        <f t="shared" si="103"/>
        <v>0.20331875616305722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0.44096924922107655</v>
      </c>
      <c r="C123" s="127">
        <f t="shared" si="104"/>
        <v>0.67545042731042115</v>
      </c>
      <c r="D123" s="127">
        <f t="shared" si="104"/>
        <v>0.71182875614613339</v>
      </c>
      <c r="E123" s="127">
        <f t="shared" si="104"/>
        <v>0.6939239737665297</v>
      </c>
      <c r="F123" s="127">
        <f t="shared" si="104"/>
        <v>0.7259121989534344</v>
      </c>
      <c r="G123" s="127">
        <f t="shared" si="104"/>
        <v>0.74349560280353333</v>
      </c>
      <c r="H123" s="127">
        <f t="shared" si="104"/>
        <v>0.76507346991287262</v>
      </c>
      <c r="I123" s="127">
        <f t="shared" si="104"/>
        <v>0.72714920739858679</v>
      </c>
      <c r="J123" s="127">
        <f t="shared" si="104"/>
        <v>0.69497647432391174</v>
      </c>
      <c r="K123" s="127">
        <f t="shared" si="104"/>
        <v>0.68842856990177304</v>
      </c>
      <c r="L123" s="127">
        <f t="shared" si="104"/>
        <v>0.71938402795150314</v>
      </c>
      <c r="M123" s="127">
        <f t="shared" si="104"/>
        <v>0.76661461425980859</v>
      </c>
      <c r="N123" s="127">
        <f t="shared" si="104"/>
        <v>0.79251894922175548</v>
      </c>
      <c r="O123" s="127">
        <f t="shared" si="104"/>
        <v>0.8119255527355409</v>
      </c>
      <c r="P123" s="127">
        <f t="shared" si="104"/>
        <v>0.82578123983886131</v>
      </c>
      <c r="Q123" s="127">
        <f t="shared" si="104"/>
        <v>0.81854112160739811</v>
      </c>
      <c r="R123" s="127">
        <f t="shared" si="104"/>
        <v>0.82819806738445989</v>
      </c>
      <c r="S123" s="127">
        <f t="shared" si="104"/>
        <v>0.82599337692706887</v>
      </c>
      <c r="T123" s="127">
        <f t="shared" si="104"/>
        <v>0.82511810157664411</v>
      </c>
      <c r="U123" s="127">
        <f t="shared" si="104"/>
        <v>0.81915113904169623</v>
      </c>
      <c r="V123" s="127">
        <f t="shared" si="104"/>
        <v>0.82106711312952707</v>
      </c>
      <c r="W123" s="127">
        <f t="shared" si="104"/>
        <v>0.81935388861273772</v>
      </c>
      <c r="X123" s="127">
        <f t="shared" si="104"/>
        <v>0.78878073828503015</v>
      </c>
      <c r="Y123" s="127">
        <f t="shared" si="104"/>
        <v>0.79668124383694272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0.717899679171214</v>
      </c>
      <c r="C127" s="139">
        <f t="shared" ref="C127:Y127" si="107">IF(C35=0,0,C35/C$34)</f>
        <v>0.74513441508407008</v>
      </c>
      <c r="D127" s="139">
        <f t="shared" si="107"/>
        <v>0.75894910412033501</v>
      </c>
      <c r="E127" s="139">
        <f t="shared" si="107"/>
        <v>0.77241548972242546</v>
      </c>
      <c r="F127" s="139">
        <f t="shared" si="107"/>
        <v>0.76103890859170997</v>
      </c>
      <c r="G127" s="139">
        <f t="shared" si="107"/>
        <v>0.77626768077548569</v>
      </c>
      <c r="H127" s="139">
        <f t="shared" si="107"/>
        <v>0.76373372341492651</v>
      </c>
      <c r="I127" s="139">
        <f t="shared" si="107"/>
        <v>0.7697750897098421</v>
      </c>
      <c r="J127" s="139">
        <f t="shared" si="107"/>
        <v>0.76222199707827498</v>
      </c>
      <c r="K127" s="139">
        <f t="shared" si="107"/>
        <v>0.80042351993767347</v>
      </c>
      <c r="L127" s="139">
        <f t="shared" si="107"/>
        <v>0.82076320977599959</v>
      </c>
      <c r="M127" s="139">
        <f t="shared" si="107"/>
        <v>0.81026791480173166</v>
      </c>
      <c r="N127" s="139">
        <f t="shared" si="107"/>
        <v>0.80276441239418395</v>
      </c>
      <c r="O127" s="139">
        <f t="shared" si="107"/>
        <v>0.79585813570819919</v>
      </c>
      <c r="P127" s="139">
        <f t="shared" si="107"/>
        <v>0.76510339764174462</v>
      </c>
      <c r="Q127" s="139">
        <f t="shared" si="107"/>
        <v>0.76173634330432893</v>
      </c>
      <c r="R127" s="139">
        <f t="shared" si="107"/>
        <v>0.75027961754932382</v>
      </c>
      <c r="S127" s="139">
        <f t="shared" si="107"/>
        <v>0.73107515280641344</v>
      </c>
      <c r="T127" s="139">
        <f t="shared" si="107"/>
        <v>0.70998486345311185</v>
      </c>
      <c r="U127" s="139">
        <f t="shared" si="107"/>
        <v>0.71195426630075653</v>
      </c>
      <c r="V127" s="139">
        <f t="shared" si="107"/>
        <v>0.86213882445510837</v>
      </c>
      <c r="W127" s="139">
        <f t="shared" si="107"/>
        <v>0.78011162354051566</v>
      </c>
      <c r="X127" s="139">
        <f t="shared" si="107"/>
        <v>0.6957312809863071</v>
      </c>
      <c r="Y127" s="139">
        <f t="shared" si="107"/>
        <v>0.69512670445736036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3.4796288079632386E-2</v>
      </c>
      <c r="C128" s="140">
        <f t="shared" ref="C128:Y128" si="108">IF(C36=0,0,C36/C$34)</f>
        <v>3.7906135007387515E-2</v>
      </c>
      <c r="D128" s="140">
        <f t="shared" si="108"/>
        <v>4.0659688629066125E-2</v>
      </c>
      <c r="E128" s="140">
        <f t="shared" si="108"/>
        <v>3.9824887994394008E-2</v>
      </c>
      <c r="F128" s="140">
        <f t="shared" si="108"/>
        <v>4.0214067881537877E-2</v>
      </c>
      <c r="G128" s="140">
        <f t="shared" si="108"/>
        <v>3.9736292152696535E-2</v>
      </c>
      <c r="H128" s="140">
        <f t="shared" si="108"/>
        <v>3.5011333168260578E-2</v>
      </c>
      <c r="I128" s="140">
        <f t="shared" si="108"/>
        <v>3.3715578647181749E-2</v>
      </c>
      <c r="J128" s="140">
        <f t="shared" si="108"/>
        <v>3.6840267428084973E-2</v>
      </c>
      <c r="K128" s="140">
        <f t="shared" si="108"/>
        <v>3.7793894600937503E-2</v>
      </c>
      <c r="L128" s="140">
        <f t="shared" si="108"/>
        <v>5.0280303296503112E-2</v>
      </c>
      <c r="M128" s="140">
        <f t="shared" si="108"/>
        <v>5.2220098764498943E-2</v>
      </c>
      <c r="N128" s="140">
        <f t="shared" si="108"/>
        <v>6.2551336066732383E-2</v>
      </c>
      <c r="O128" s="140">
        <f t="shared" si="108"/>
        <v>6.4574684368737104E-2</v>
      </c>
      <c r="P128" s="140">
        <f t="shared" si="108"/>
        <v>6.4406775087339996E-2</v>
      </c>
      <c r="Q128" s="140">
        <f t="shared" si="108"/>
        <v>6.2738751680197158E-2</v>
      </c>
      <c r="R128" s="140">
        <f t="shared" si="108"/>
        <v>6.2441179447014425E-2</v>
      </c>
      <c r="S128" s="140">
        <f t="shared" si="108"/>
        <v>5.70429261203972E-2</v>
      </c>
      <c r="T128" s="140">
        <f t="shared" si="108"/>
        <v>5.1288659987324993E-2</v>
      </c>
      <c r="U128" s="140">
        <f t="shared" si="108"/>
        <v>5.2751892685683817E-2</v>
      </c>
      <c r="V128" s="140">
        <f t="shared" si="108"/>
        <v>6.6952217308859155E-2</v>
      </c>
      <c r="W128" s="140">
        <f t="shared" si="108"/>
        <v>5.8474741649713093E-2</v>
      </c>
      <c r="X128" s="140">
        <f t="shared" si="108"/>
        <v>4.9960409898489364E-2</v>
      </c>
      <c r="Y128" s="140">
        <f t="shared" si="108"/>
        <v>4.9641266353782527E-2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0.56656688852605031</v>
      </c>
      <c r="C129" s="140">
        <f t="shared" ref="C129:Y129" si="109">IF(C37=0,0,C37/C$34)</f>
        <v>0.59378749804567488</v>
      </c>
      <c r="D129" s="140">
        <f t="shared" si="109"/>
        <v>0.60814315240685279</v>
      </c>
      <c r="E129" s="140">
        <f t="shared" si="109"/>
        <v>0.60007051526784627</v>
      </c>
      <c r="F129" s="140">
        <f t="shared" si="109"/>
        <v>0.62036808685028444</v>
      </c>
      <c r="G129" s="140">
        <f t="shared" si="109"/>
        <v>0.62763325721555829</v>
      </c>
      <c r="H129" s="140">
        <f t="shared" si="109"/>
        <v>0.62582023912177209</v>
      </c>
      <c r="I129" s="140">
        <f t="shared" si="109"/>
        <v>0.63401928887441028</v>
      </c>
      <c r="J129" s="140">
        <f t="shared" si="109"/>
        <v>0.63009704497452723</v>
      </c>
      <c r="K129" s="140">
        <f t="shared" si="109"/>
        <v>0.64960635933356636</v>
      </c>
      <c r="L129" s="140">
        <f t="shared" si="109"/>
        <v>0.65895700502997467</v>
      </c>
      <c r="M129" s="140">
        <f t="shared" si="109"/>
        <v>0.63745731032000363</v>
      </c>
      <c r="N129" s="140">
        <f t="shared" si="109"/>
        <v>0.62455720307860696</v>
      </c>
      <c r="O129" s="140">
        <f t="shared" si="109"/>
        <v>0.59614001649361648</v>
      </c>
      <c r="P129" s="140">
        <f t="shared" si="109"/>
        <v>0.57107598908176316</v>
      </c>
      <c r="Q129" s="140">
        <f t="shared" si="109"/>
        <v>0.57724146281416833</v>
      </c>
      <c r="R129" s="140">
        <f t="shared" si="109"/>
        <v>0.56721927243493431</v>
      </c>
      <c r="S129" s="140">
        <f t="shared" si="109"/>
        <v>0.55521618522905924</v>
      </c>
      <c r="T129" s="140">
        <f t="shared" si="109"/>
        <v>0.54085113088777448</v>
      </c>
      <c r="U129" s="140">
        <f t="shared" si="109"/>
        <v>0.53996084884784068</v>
      </c>
      <c r="V129" s="140">
        <f t="shared" si="109"/>
        <v>0.62726482119571603</v>
      </c>
      <c r="W129" s="140">
        <f t="shared" si="109"/>
        <v>0.58154900831374157</v>
      </c>
      <c r="X129" s="140">
        <f t="shared" si="109"/>
        <v>0.52321263045560551</v>
      </c>
      <c r="Y129" s="140">
        <f t="shared" si="109"/>
        <v>0.52657548510632868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0.11653650256553133</v>
      </c>
      <c r="C130" s="140">
        <f t="shared" ref="C130:Y130" si="110">IF(C38=0,0,C38/C$34)</f>
        <v>0.11344078203100762</v>
      </c>
      <c r="D130" s="140">
        <f t="shared" si="110"/>
        <v>0.11014626308441607</v>
      </c>
      <c r="E130" s="140">
        <f t="shared" si="110"/>
        <v>0.13252008646018507</v>
      </c>
      <c r="F130" s="140">
        <f t="shared" si="110"/>
        <v>0.10045675385988755</v>
      </c>
      <c r="G130" s="140">
        <f t="shared" si="110"/>
        <v>0.10889813140723099</v>
      </c>
      <c r="H130" s="140">
        <f t="shared" si="110"/>
        <v>0.10290215112489383</v>
      </c>
      <c r="I130" s="140">
        <f t="shared" si="110"/>
        <v>0.10204022218825007</v>
      </c>
      <c r="J130" s="140">
        <f t="shared" si="110"/>
        <v>9.5284684675662701E-2</v>
      </c>
      <c r="K130" s="140">
        <f t="shared" si="110"/>
        <v>0.11302326600316952</v>
      </c>
      <c r="L130" s="140">
        <f t="shared" si="110"/>
        <v>0.11152590144952176</v>
      </c>
      <c r="M130" s="140">
        <f t="shared" si="110"/>
        <v>0.12059050571722903</v>
      </c>
      <c r="N130" s="140">
        <f t="shared" si="110"/>
        <v>0.11565587324884476</v>
      </c>
      <c r="O130" s="140">
        <f t="shared" si="110"/>
        <v>0.13514343484584571</v>
      </c>
      <c r="P130" s="140">
        <f t="shared" si="110"/>
        <v>0.12962063347264138</v>
      </c>
      <c r="Q130" s="140">
        <f t="shared" si="110"/>
        <v>0.12175612880996346</v>
      </c>
      <c r="R130" s="140">
        <f t="shared" si="110"/>
        <v>0.12061916566737517</v>
      </c>
      <c r="S130" s="140">
        <f t="shared" si="110"/>
        <v>0.11881604145695694</v>
      </c>
      <c r="T130" s="140">
        <f t="shared" si="110"/>
        <v>0.1178450725780123</v>
      </c>
      <c r="U130" s="140">
        <f t="shared" si="110"/>
        <v>0.11924152476723208</v>
      </c>
      <c r="V130" s="140">
        <f t="shared" si="110"/>
        <v>0.16792178595053317</v>
      </c>
      <c r="W130" s="140">
        <f t="shared" si="110"/>
        <v>0.14008787357706104</v>
      </c>
      <c r="X130" s="140">
        <f t="shared" si="110"/>
        <v>0.12255824063221232</v>
      </c>
      <c r="Y130" s="140">
        <f t="shared" si="110"/>
        <v>0.11890995299724924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9.502250297886183E-3</v>
      </c>
      <c r="C131" s="124">
        <f t="shared" ref="C131:Y131" si="111">IF(C39=0,0,C39/C$34)</f>
        <v>9.7988457107903819E-3</v>
      </c>
      <c r="D131" s="124">
        <f t="shared" si="111"/>
        <v>9.5097582674185006E-3</v>
      </c>
      <c r="E131" s="124">
        <f t="shared" si="111"/>
        <v>8.7664572983563571E-3</v>
      </c>
      <c r="F131" s="124">
        <f t="shared" si="111"/>
        <v>8.6463934443719928E-3</v>
      </c>
      <c r="G131" s="124">
        <f t="shared" si="111"/>
        <v>7.6731828751296586E-3</v>
      </c>
      <c r="H131" s="124">
        <f t="shared" si="111"/>
        <v>7.8718943028622309E-3</v>
      </c>
      <c r="I131" s="124">
        <f t="shared" si="111"/>
        <v>7.1666987212257501E-3</v>
      </c>
      <c r="J131" s="124">
        <f t="shared" si="111"/>
        <v>6.5577368737481942E-3</v>
      </c>
      <c r="K131" s="124">
        <f t="shared" si="111"/>
        <v>6.0918033635702206E-3</v>
      </c>
      <c r="L131" s="124">
        <f t="shared" si="111"/>
        <v>4.1202215415471885E-3</v>
      </c>
      <c r="M131" s="124">
        <f t="shared" si="111"/>
        <v>3.6461630167910091E-3</v>
      </c>
      <c r="N131" s="124">
        <f t="shared" si="111"/>
        <v>6.5546412717551739E-3</v>
      </c>
      <c r="O131" s="124">
        <f t="shared" si="111"/>
        <v>6.121982876566236E-3</v>
      </c>
      <c r="P131" s="124">
        <f t="shared" si="111"/>
        <v>1.3125712455130355E-2</v>
      </c>
      <c r="Q131" s="124">
        <f t="shared" si="111"/>
        <v>1.3135949031190768E-2</v>
      </c>
      <c r="R131" s="124">
        <f t="shared" si="111"/>
        <v>1.2333885563586357E-2</v>
      </c>
      <c r="S131" s="124">
        <f t="shared" si="111"/>
        <v>1.1738072466440189E-2</v>
      </c>
      <c r="T131" s="124">
        <f t="shared" si="111"/>
        <v>1.1254225150948238E-2</v>
      </c>
      <c r="U131" s="124">
        <f t="shared" si="111"/>
        <v>5.1405490766598489E-3</v>
      </c>
      <c r="V131" s="124">
        <f t="shared" si="111"/>
        <v>5.4770631304250274E-3</v>
      </c>
      <c r="W131" s="124">
        <f t="shared" si="111"/>
        <v>4.9460458679362771E-3</v>
      </c>
      <c r="X131" s="124">
        <f t="shared" si="111"/>
        <v>4.8657399229825359E-3</v>
      </c>
      <c r="Y131" s="124">
        <f t="shared" si="111"/>
        <v>3.7268083652395667E-3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1.3140399270653571E-3</v>
      </c>
      <c r="C132" s="140">
        <f t="shared" ref="C132:Y132" si="112">IF(C40=0,0,C40/C$34)</f>
        <v>1.4639050658611856E-3</v>
      </c>
      <c r="D132" s="140">
        <f t="shared" si="112"/>
        <v>1.4453073611766256E-3</v>
      </c>
      <c r="E132" s="140">
        <f t="shared" si="112"/>
        <v>1.4154950463237499E-3</v>
      </c>
      <c r="F132" s="140">
        <f t="shared" si="112"/>
        <v>1.4985276868880574E-3</v>
      </c>
      <c r="G132" s="140">
        <f t="shared" si="112"/>
        <v>7.1155378679119119E-4</v>
      </c>
      <c r="H132" s="140">
        <f t="shared" si="112"/>
        <v>1.1375479532503736E-3</v>
      </c>
      <c r="I132" s="140">
        <f t="shared" si="112"/>
        <v>1.3099649264435441E-3</v>
      </c>
      <c r="J132" s="140">
        <f t="shared" si="112"/>
        <v>8.8981437336402975E-4</v>
      </c>
      <c r="K132" s="140">
        <f t="shared" si="112"/>
        <v>1.0238431455615606E-3</v>
      </c>
      <c r="L132" s="140">
        <f t="shared" si="112"/>
        <v>6.778642368884453E-4</v>
      </c>
      <c r="M132" s="140">
        <f t="shared" si="112"/>
        <v>8.8215626619837588E-4</v>
      </c>
      <c r="N132" s="140">
        <f t="shared" si="112"/>
        <v>9.1541871617539957E-4</v>
      </c>
      <c r="O132" s="140">
        <f t="shared" si="112"/>
        <v>1.5069966393738978E-3</v>
      </c>
      <c r="P132" s="140">
        <f t="shared" si="112"/>
        <v>1.9149572326586286E-3</v>
      </c>
      <c r="Q132" s="140">
        <f t="shared" si="112"/>
        <v>1.735407443552736E-3</v>
      </c>
      <c r="R132" s="140">
        <f t="shared" si="112"/>
        <v>1.6307811719877827E-3</v>
      </c>
      <c r="S132" s="140">
        <f t="shared" si="112"/>
        <v>1.6438711447367179E-3</v>
      </c>
      <c r="T132" s="140">
        <f t="shared" si="112"/>
        <v>1.5995533954537304E-3</v>
      </c>
      <c r="U132" s="140">
        <f t="shared" si="112"/>
        <v>1.3635721487468549E-3</v>
      </c>
      <c r="V132" s="140">
        <f t="shared" si="112"/>
        <v>1.9174953356335745E-3</v>
      </c>
      <c r="W132" s="140">
        <f t="shared" si="112"/>
        <v>1.6236731929959898E-3</v>
      </c>
      <c r="X132" s="140">
        <f t="shared" si="112"/>
        <v>1.5426668474512529E-3</v>
      </c>
      <c r="Y132" s="140">
        <f t="shared" si="112"/>
        <v>1.46162781650233E-3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8.1882103708208268E-3</v>
      </c>
      <c r="C133" s="140">
        <f t="shared" ref="C133:Y133" si="113">IF(C41=0,0,C41/C$34)</f>
        <v>8.3349406449291959E-3</v>
      </c>
      <c r="D133" s="140">
        <f t="shared" si="113"/>
        <v>8.064450906241874E-3</v>
      </c>
      <c r="E133" s="140">
        <f t="shared" si="113"/>
        <v>7.3509622520326074E-3</v>
      </c>
      <c r="F133" s="140">
        <f t="shared" si="113"/>
        <v>7.1478657574839356E-3</v>
      </c>
      <c r="G133" s="140">
        <f t="shared" si="113"/>
        <v>6.9616290883384672E-3</v>
      </c>
      <c r="H133" s="140">
        <f t="shared" si="113"/>
        <v>6.7343463496118573E-3</v>
      </c>
      <c r="I133" s="140">
        <f t="shared" si="113"/>
        <v>5.8567337947822064E-3</v>
      </c>
      <c r="J133" s="140">
        <f t="shared" si="113"/>
        <v>5.6679225003841644E-3</v>
      </c>
      <c r="K133" s="140">
        <f t="shared" si="113"/>
        <v>5.0679602180086604E-3</v>
      </c>
      <c r="L133" s="140">
        <f t="shared" si="113"/>
        <v>3.4423573046587432E-3</v>
      </c>
      <c r="M133" s="140">
        <f t="shared" si="113"/>
        <v>2.7640067505926326E-3</v>
      </c>
      <c r="N133" s="140">
        <f t="shared" si="113"/>
        <v>5.6392225555797742E-3</v>
      </c>
      <c r="O133" s="140">
        <f t="shared" si="113"/>
        <v>4.6149862371923384E-3</v>
      </c>
      <c r="P133" s="140">
        <f t="shared" si="113"/>
        <v>1.1210755222471726E-2</v>
      </c>
      <c r="Q133" s="140">
        <f t="shared" si="113"/>
        <v>1.1400541587638032E-2</v>
      </c>
      <c r="R133" s="140">
        <f t="shared" si="113"/>
        <v>1.0703104391598574E-2</v>
      </c>
      <c r="S133" s="140">
        <f t="shared" si="113"/>
        <v>1.0094201321703472E-2</v>
      </c>
      <c r="T133" s="140">
        <f t="shared" si="113"/>
        <v>9.6546717554945073E-3</v>
      </c>
      <c r="U133" s="140">
        <f t="shared" si="113"/>
        <v>3.7769769279129943E-3</v>
      </c>
      <c r="V133" s="140">
        <f t="shared" si="113"/>
        <v>3.5595677947914536E-3</v>
      </c>
      <c r="W133" s="140">
        <f t="shared" si="113"/>
        <v>3.3223726749402873E-3</v>
      </c>
      <c r="X133" s="140">
        <f t="shared" si="113"/>
        <v>3.3230730755312828E-3</v>
      </c>
      <c r="Y133" s="140">
        <f t="shared" si="113"/>
        <v>2.265180548737237E-3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0</v>
      </c>
      <c r="C134" s="140">
        <f t="shared" ref="C134:Y134" si="114">IF(C42=0,0,C42/C$34)</f>
        <v>0</v>
      </c>
      <c r="D134" s="140">
        <f t="shared" si="114"/>
        <v>0</v>
      </c>
      <c r="E134" s="140">
        <f t="shared" si="114"/>
        <v>0</v>
      </c>
      <c r="F134" s="140">
        <f t="shared" si="114"/>
        <v>0</v>
      </c>
      <c r="G134" s="140">
        <f t="shared" si="114"/>
        <v>0</v>
      </c>
      <c r="H134" s="140">
        <f t="shared" si="114"/>
        <v>0</v>
      </c>
      <c r="I134" s="140">
        <f t="shared" si="114"/>
        <v>0</v>
      </c>
      <c r="J134" s="140">
        <f t="shared" si="114"/>
        <v>0</v>
      </c>
      <c r="K134" s="140">
        <f t="shared" si="114"/>
        <v>0</v>
      </c>
      <c r="L134" s="140">
        <f t="shared" si="114"/>
        <v>0</v>
      </c>
      <c r="M134" s="140">
        <f t="shared" si="114"/>
        <v>0</v>
      </c>
      <c r="N134" s="140">
        <f t="shared" si="114"/>
        <v>0</v>
      </c>
      <c r="O134" s="140">
        <f t="shared" si="114"/>
        <v>0</v>
      </c>
      <c r="P134" s="140">
        <f t="shared" si="114"/>
        <v>0</v>
      </c>
      <c r="Q134" s="140">
        <f t="shared" si="114"/>
        <v>0</v>
      </c>
      <c r="R134" s="140">
        <f t="shared" si="114"/>
        <v>0</v>
      </c>
      <c r="S134" s="140">
        <f t="shared" si="114"/>
        <v>0</v>
      </c>
      <c r="T134" s="140">
        <f t="shared" si="114"/>
        <v>0</v>
      </c>
      <c r="U134" s="140">
        <f t="shared" si="114"/>
        <v>0</v>
      </c>
      <c r="V134" s="140">
        <f t="shared" si="114"/>
        <v>0</v>
      </c>
      <c r="W134" s="140">
        <f t="shared" si="114"/>
        <v>0</v>
      </c>
      <c r="X134" s="140">
        <f t="shared" si="114"/>
        <v>0</v>
      </c>
      <c r="Y134" s="140">
        <f t="shared" si="114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0.27259807053089996</v>
      </c>
      <c r="C135" s="124">
        <f t="shared" ref="C135:Y135" si="115">IF(C43=0,0,C43/C$34)</f>
        <v>0.24506673920513961</v>
      </c>
      <c r="D135" s="124">
        <f t="shared" si="115"/>
        <v>0.23154113761224657</v>
      </c>
      <c r="E135" s="124">
        <f t="shared" si="115"/>
        <v>0.21881805297921808</v>
      </c>
      <c r="F135" s="124">
        <f t="shared" si="115"/>
        <v>0.23031469796391801</v>
      </c>
      <c r="G135" s="124">
        <f t="shared" si="115"/>
        <v>0.21605913634938459</v>
      </c>
      <c r="H135" s="124">
        <f t="shared" si="115"/>
        <v>0.22839438228221115</v>
      </c>
      <c r="I135" s="124">
        <f t="shared" si="115"/>
        <v>0.22305821156893224</v>
      </c>
      <c r="J135" s="124">
        <f t="shared" si="115"/>
        <v>0.23122026604797696</v>
      </c>
      <c r="K135" s="124">
        <f t="shared" si="115"/>
        <v>0.19348467669875644</v>
      </c>
      <c r="L135" s="124">
        <f t="shared" si="115"/>
        <v>0.17511656868245304</v>
      </c>
      <c r="M135" s="124">
        <f t="shared" si="115"/>
        <v>0.18608592218147746</v>
      </c>
      <c r="N135" s="124">
        <f t="shared" si="115"/>
        <v>0.19068094633406088</v>
      </c>
      <c r="O135" s="124">
        <f t="shared" si="115"/>
        <v>0.19801988141523452</v>
      </c>
      <c r="P135" s="124">
        <f t="shared" si="115"/>
        <v>0.22177088990312507</v>
      </c>
      <c r="Q135" s="124">
        <f t="shared" si="115"/>
        <v>0.2251277076644802</v>
      </c>
      <c r="R135" s="124">
        <f t="shared" si="115"/>
        <v>0.23738649688708974</v>
      </c>
      <c r="S135" s="124">
        <f t="shared" si="115"/>
        <v>0.25718677472714635</v>
      </c>
      <c r="T135" s="124">
        <f t="shared" si="115"/>
        <v>0.27876091139594011</v>
      </c>
      <c r="U135" s="124">
        <f t="shared" si="115"/>
        <v>0.28290518462258368</v>
      </c>
      <c r="V135" s="124">
        <f t="shared" si="115"/>
        <v>0.1323841124144666</v>
      </c>
      <c r="W135" s="124">
        <f t="shared" si="115"/>
        <v>0.21494233059154802</v>
      </c>
      <c r="X135" s="124">
        <f t="shared" si="115"/>
        <v>0.29940297909071034</v>
      </c>
      <c r="Y135" s="124">
        <f t="shared" si="115"/>
        <v>0.3011464871774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0.10447245339535001</v>
      </c>
      <c r="C136" s="140">
        <f t="shared" ref="C136:Y136" si="116">IF(C44=0,0,C44/C$34)</f>
        <v>8.873766920045531E-2</v>
      </c>
      <c r="D136" s="140">
        <f t="shared" si="116"/>
        <v>7.9039407659098684E-2</v>
      </c>
      <c r="E136" s="140">
        <f t="shared" si="116"/>
        <v>7.1001684297784279E-2</v>
      </c>
      <c r="F136" s="140">
        <f t="shared" si="116"/>
        <v>7.665010374390957E-2</v>
      </c>
      <c r="G136" s="140">
        <f t="shared" si="116"/>
        <v>7.3743122077803661E-2</v>
      </c>
      <c r="H136" s="140">
        <f t="shared" si="116"/>
        <v>6.3943160184549139E-2</v>
      </c>
      <c r="I136" s="140">
        <f t="shared" si="116"/>
        <v>6.1014022719652096E-2</v>
      </c>
      <c r="J136" s="140">
        <f t="shared" si="116"/>
        <v>5.9584055905859259E-2</v>
      </c>
      <c r="K136" s="140">
        <f t="shared" si="116"/>
        <v>4.9302183571756641E-2</v>
      </c>
      <c r="L136" s="140">
        <f t="shared" si="116"/>
        <v>4.5283080798700852E-2</v>
      </c>
      <c r="M136" s="140">
        <f t="shared" si="116"/>
        <v>4.3056964465157693E-2</v>
      </c>
      <c r="N136" s="140">
        <f t="shared" si="116"/>
        <v>4.2325980622605799E-2</v>
      </c>
      <c r="O136" s="140">
        <f t="shared" si="116"/>
        <v>4.1260697882516004E-2</v>
      </c>
      <c r="P136" s="140">
        <f t="shared" si="116"/>
        <v>4.1773614584932547E-2</v>
      </c>
      <c r="Q136" s="140">
        <f t="shared" si="116"/>
        <v>3.814151113756481E-2</v>
      </c>
      <c r="R136" s="140">
        <f t="shared" si="116"/>
        <v>4.214166056167664E-2</v>
      </c>
      <c r="S136" s="140">
        <f t="shared" si="116"/>
        <v>4.2632552090908125E-2</v>
      </c>
      <c r="T136" s="140">
        <f t="shared" si="116"/>
        <v>4.7374481737605272E-2</v>
      </c>
      <c r="U136" s="140">
        <f t="shared" si="116"/>
        <v>4.7057032440633591E-2</v>
      </c>
      <c r="V136" s="140">
        <f t="shared" si="116"/>
        <v>2.7202372881106652E-2</v>
      </c>
      <c r="W136" s="140">
        <f t="shared" si="116"/>
        <v>3.863182792427753E-2</v>
      </c>
      <c r="X136" s="140">
        <f t="shared" si="116"/>
        <v>4.9600906316794979E-2</v>
      </c>
      <c r="Y136" s="140">
        <f t="shared" si="116"/>
        <v>5.7184857871411192E-2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0.1440057177636988</v>
      </c>
      <c r="C137" s="140">
        <f t="shared" ref="C137:Y137" si="117">IF(C45=0,0,C45/C$34)</f>
        <v>0.13390098893915034</v>
      </c>
      <c r="D137" s="140">
        <f t="shared" si="117"/>
        <v>0.13062376525668909</v>
      </c>
      <c r="E137" s="140">
        <f t="shared" si="117"/>
        <v>0.12661236966140565</v>
      </c>
      <c r="F137" s="140">
        <f t="shared" si="117"/>
        <v>0.12806659410704696</v>
      </c>
      <c r="G137" s="140">
        <f t="shared" si="117"/>
        <v>0.11840924930977072</v>
      </c>
      <c r="H137" s="140">
        <f t="shared" si="117"/>
        <v>0.13742487874706905</v>
      </c>
      <c r="I137" s="140">
        <f t="shared" si="117"/>
        <v>0.13572352774502908</v>
      </c>
      <c r="J137" s="140">
        <f t="shared" si="117"/>
        <v>0.14298188264198691</v>
      </c>
      <c r="K137" s="140">
        <f t="shared" si="117"/>
        <v>0.11908919300019175</v>
      </c>
      <c r="L137" s="140">
        <f t="shared" si="117"/>
        <v>0.10667954259703737</v>
      </c>
      <c r="M137" s="140">
        <f t="shared" si="117"/>
        <v>0.11767880726997039</v>
      </c>
      <c r="N137" s="140">
        <f t="shared" si="117"/>
        <v>0.12158830210911735</v>
      </c>
      <c r="O137" s="140">
        <f t="shared" si="117"/>
        <v>0.12836458635799863</v>
      </c>
      <c r="P137" s="140">
        <f t="shared" si="117"/>
        <v>0.14871663006642735</v>
      </c>
      <c r="Q137" s="140">
        <f t="shared" si="117"/>
        <v>0.15497857218495251</v>
      </c>
      <c r="R137" s="140">
        <f t="shared" si="117"/>
        <v>0.16360860058570267</v>
      </c>
      <c r="S137" s="140">
        <f t="shared" si="117"/>
        <v>0.18098688126895984</v>
      </c>
      <c r="T137" s="140">
        <f t="shared" si="117"/>
        <v>0.1953599492755789</v>
      </c>
      <c r="U137" s="140">
        <f t="shared" si="117"/>
        <v>0.19825068698608492</v>
      </c>
      <c r="V137" s="140">
        <f t="shared" si="117"/>
        <v>8.2206817236771437E-2</v>
      </c>
      <c r="W137" s="140">
        <f t="shared" si="117"/>
        <v>0.14384498243272908</v>
      </c>
      <c r="X137" s="140">
        <f t="shared" si="117"/>
        <v>0.21476051988551381</v>
      </c>
      <c r="Y137" s="140">
        <f t="shared" si="117"/>
        <v>0.20915728848115206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2.4119899371851137E-2</v>
      </c>
      <c r="C138" s="140">
        <f t="shared" ref="C138:Y138" si="118">IF(C46=0,0,C46/C$34)</f>
        <v>2.2428081065533973E-2</v>
      </c>
      <c r="D138" s="140">
        <f t="shared" si="118"/>
        <v>2.1877964696458779E-2</v>
      </c>
      <c r="E138" s="140">
        <f t="shared" si="118"/>
        <v>2.1203999020028105E-2</v>
      </c>
      <c r="F138" s="140">
        <f t="shared" si="118"/>
        <v>2.559800011296148E-2</v>
      </c>
      <c r="G138" s="140">
        <f t="shared" si="118"/>
        <v>2.3906764961810215E-2</v>
      </c>
      <c r="H138" s="140">
        <f t="shared" si="118"/>
        <v>2.702634335059298E-2</v>
      </c>
      <c r="I138" s="140">
        <f t="shared" si="118"/>
        <v>2.6320661104251089E-2</v>
      </c>
      <c r="J138" s="140">
        <f t="shared" si="118"/>
        <v>2.8654327500130753E-2</v>
      </c>
      <c r="K138" s="140">
        <f t="shared" si="118"/>
        <v>2.5093300126808046E-2</v>
      </c>
      <c r="L138" s="140">
        <f t="shared" si="118"/>
        <v>2.3153945286714835E-2</v>
      </c>
      <c r="M138" s="140">
        <f t="shared" si="118"/>
        <v>2.535015044634939E-2</v>
      </c>
      <c r="N138" s="140">
        <f t="shared" si="118"/>
        <v>2.6766663602337724E-2</v>
      </c>
      <c r="O138" s="140">
        <f t="shared" si="118"/>
        <v>2.8394597174719878E-2</v>
      </c>
      <c r="P138" s="140">
        <f t="shared" si="118"/>
        <v>3.128064525176516E-2</v>
      </c>
      <c r="Q138" s="140">
        <f t="shared" si="118"/>
        <v>3.2007624341962852E-2</v>
      </c>
      <c r="R138" s="140">
        <f t="shared" si="118"/>
        <v>3.1636235739710451E-2</v>
      </c>
      <c r="S138" s="140">
        <f t="shared" si="118"/>
        <v>3.3567341367278389E-2</v>
      </c>
      <c r="T138" s="140">
        <f t="shared" si="118"/>
        <v>3.6026480382755938E-2</v>
      </c>
      <c r="U138" s="140">
        <f t="shared" si="118"/>
        <v>3.7597465195865216E-2</v>
      </c>
      <c r="V138" s="140">
        <f t="shared" si="118"/>
        <v>2.2974922296588506E-2</v>
      </c>
      <c r="W138" s="140">
        <f t="shared" si="118"/>
        <v>3.2465520234541398E-2</v>
      </c>
      <c r="X138" s="140">
        <f t="shared" si="118"/>
        <v>3.5041552888401585E-2</v>
      </c>
      <c r="Y138" s="140">
        <f t="shared" si="118"/>
        <v>3.4804340824836764E-2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0.77902988475563639</v>
      </c>
      <c r="C140" s="139">
        <f t="shared" ref="C140:Y140" si="121">IF(C48=0,0,C48/C$47)</f>
        <v>0.72561183260061302</v>
      </c>
      <c r="D140" s="139">
        <f t="shared" si="121"/>
        <v>0.74847261115988839</v>
      </c>
      <c r="E140" s="139">
        <f t="shared" si="121"/>
        <v>0.75283039822903719</v>
      </c>
      <c r="F140" s="139">
        <f t="shared" si="121"/>
        <v>0.7452327526400393</v>
      </c>
      <c r="G140" s="139">
        <f t="shared" si="121"/>
        <v>0.74463681112682911</v>
      </c>
      <c r="H140" s="139">
        <f t="shared" si="121"/>
        <v>0.7364810765280706</v>
      </c>
      <c r="I140" s="139">
        <f t="shared" si="121"/>
        <v>0.75754964576274708</v>
      </c>
      <c r="J140" s="139">
        <f t="shared" si="121"/>
        <v>0.77257293696972795</v>
      </c>
      <c r="K140" s="139">
        <f t="shared" si="121"/>
        <v>0.73300064675469268</v>
      </c>
      <c r="L140" s="139">
        <f t="shared" si="121"/>
        <v>0.75325820998998161</v>
      </c>
      <c r="M140" s="139">
        <f t="shared" si="121"/>
        <v>0.77316771607861834</v>
      </c>
      <c r="N140" s="139">
        <f t="shared" si="121"/>
        <v>0.71489993710989375</v>
      </c>
      <c r="O140" s="139">
        <f t="shared" si="121"/>
        <v>0.78231577334865454</v>
      </c>
      <c r="P140" s="139">
        <f t="shared" si="121"/>
        <v>0.78383823959379895</v>
      </c>
      <c r="Q140" s="139">
        <f t="shared" si="121"/>
        <v>0.75245159743799628</v>
      </c>
      <c r="R140" s="139">
        <f t="shared" si="121"/>
        <v>0.75520157916488151</v>
      </c>
      <c r="S140" s="139">
        <f t="shared" si="121"/>
        <v>0.74098293102341417</v>
      </c>
      <c r="T140" s="139">
        <f t="shared" si="121"/>
        <v>0.72945983909398127</v>
      </c>
      <c r="U140" s="139">
        <f t="shared" si="121"/>
        <v>0.73066437968578757</v>
      </c>
      <c r="V140" s="139">
        <f t="shared" si="121"/>
        <v>0.759996595679716</v>
      </c>
      <c r="W140" s="139">
        <f t="shared" si="121"/>
        <v>0.74826550740849918</v>
      </c>
      <c r="X140" s="139">
        <f t="shared" si="121"/>
        <v>0.74117223271371258</v>
      </c>
      <c r="Y140" s="139">
        <f t="shared" si="121"/>
        <v>0.73214316433288518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0.3292660865151063</v>
      </c>
      <c r="C141" s="140">
        <f t="shared" ref="C141:Y141" si="122">IF(C49=0,0,C49/C$47)</f>
        <v>0.30197987559111328</v>
      </c>
      <c r="D141" s="140">
        <f t="shared" si="122"/>
        <v>0.31144693585825223</v>
      </c>
      <c r="E141" s="140">
        <f t="shared" si="122"/>
        <v>0.3194573142783908</v>
      </c>
      <c r="F141" s="140">
        <f t="shared" si="122"/>
        <v>0.29299725770300628</v>
      </c>
      <c r="G141" s="140">
        <f t="shared" si="122"/>
        <v>0.30602289575712016</v>
      </c>
      <c r="H141" s="140">
        <f t="shared" si="122"/>
        <v>0.28773377186570254</v>
      </c>
      <c r="I141" s="140">
        <f t="shared" si="122"/>
        <v>0.299825265175647</v>
      </c>
      <c r="J141" s="140">
        <f t="shared" si="122"/>
        <v>0.30261960197123838</v>
      </c>
      <c r="K141" s="140">
        <f t="shared" si="122"/>
        <v>0.23178072292979851</v>
      </c>
      <c r="L141" s="140">
        <f t="shared" si="122"/>
        <v>0.2643868800361856</v>
      </c>
      <c r="M141" s="140">
        <f t="shared" si="122"/>
        <v>0.28625555234589495</v>
      </c>
      <c r="N141" s="140">
        <f t="shared" si="122"/>
        <v>0.29194184600684353</v>
      </c>
      <c r="O141" s="140">
        <f t="shared" si="122"/>
        <v>0.3145726742973714</v>
      </c>
      <c r="P141" s="140">
        <f t="shared" si="122"/>
        <v>0.30018549003681688</v>
      </c>
      <c r="Q141" s="140">
        <f t="shared" si="122"/>
        <v>0.34771078555055118</v>
      </c>
      <c r="R141" s="140">
        <f t="shared" si="122"/>
        <v>0.35008499426500778</v>
      </c>
      <c r="S141" s="140">
        <f t="shared" si="122"/>
        <v>0.31908926628070888</v>
      </c>
      <c r="T141" s="140">
        <f t="shared" si="122"/>
        <v>0.30591794556516277</v>
      </c>
      <c r="U141" s="140">
        <f t="shared" si="122"/>
        <v>0.29352565230868249</v>
      </c>
      <c r="V141" s="140">
        <f t="shared" si="122"/>
        <v>0.28056055648829448</v>
      </c>
      <c r="W141" s="140">
        <f t="shared" si="122"/>
        <v>0.28661318887645454</v>
      </c>
      <c r="X141" s="140">
        <f t="shared" si="122"/>
        <v>0.28145503848168912</v>
      </c>
      <c r="Y141" s="140">
        <f t="shared" si="122"/>
        <v>0.28722722437013631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0.44976379824053014</v>
      </c>
      <c r="C142" s="140">
        <f t="shared" ref="C142:Y142" si="123">IF(C50=0,0,C50/C$47)</f>
        <v>0.42363195700949968</v>
      </c>
      <c r="D142" s="140">
        <f t="shared" si="123"/>
        <v>0.43702567530163622</v>
      </c>
      <c r="E142" s="140">
        <f t="shared" si="123"/>
        <v>0.43337308395064633</v>
      </c>
      <c r="F142" s="140">
        <f t="shared" si="123"/>
        <v>0.45223549493703302</v>
      </c>
      <c r="G142" s="140">
        <f t="shared" si="123"/>
        <v>0.43861391536970895</v>
      </c>
      <c r="H142" s="140">
        <f t="shared" si="123"/>
        <v>0.44874730466236795</v>
      </c>
      <c r="I142" s="140">
        <f t="shared" si="123"/>
        <v>0.45772438058710002</v>
      </c>
      <c r="J142" s="140">
        <f t="shared" si="123"/>
        <v>0.46995333499848957</v>
      </c>
      <c r="K142" s="140">
        <f t="shared" si="123"/>
        <v>0.501219923824894</v>
      </c>
      <c r="L142" s="140">
        <f t="shared" si="123"/>
        <v>0.48887132995379606</v>
      </c>
      <c r="M142" s="140">
        <f t="shared" si="123"/>
        <v>0.48691216373272339</v>
      </c>
      <c r="N142" s="140">
        <f t="shared" si="123"/>
        <v>0.42295809110305027</v>
      </c>
      <c r="O142" s="140">
        <f t="shared" si="123"/>
        <v>0.4677430990512832</v>
      </c>
      <c r="P142" s="140">
        <f t="shared" si="123"/>
        <v>0.48365274955698212</v>
      </c>
      <c r="Q142" s="140">
        <f t="shared" si="123"/>
        <v>0.4047408118874451</v>
      </c>
      <c r="R142" s="140">
        <f t="shared" si="123"/>
        <v>0.40511658489987373</v>
      </c>
      <c r="S142" s="140">
        <f t="shared" si="123"/>
        <v>0.42189366474270523</v>
      </c>
      <c r="T142" s="140">
        <f t="shared" si="123"/>
        <v>0.42354189352881844</v>
      </c>
      <c r="U142" s="140">
        <f t="shared" si="123"/>
        <v>0.43713872737710513</v>
      </c>
      <c r="V142" s="140">
        <f t="shared" si="123"/>
        <v>0.47943603919142153</v>
      </c>
      <c r="W142" s="140">
        <f t="shared" si="123"/>
        <v>0.46165231853204464</v>
      </c>
      <c r="X142" s="140">
        <f t="shared" si="123"/>
        <v>0.45971719423202356</v>
      </c>
      <c r="Y142" s="140">
        <f t="shared" si="123"/>
        <v>0.44491593996274892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1.3721993258016059E-3</v>
      </c>
      <c r="C143" s="124">
        <f t="shared" ref="C143:Y143" si="124">IF(C51=0,0,C51/C$47)</f>
        <v>1.110188344404282E-3</v>
      </c>
      <c r="D143" s="124">
        <f t="shared" si="124"/>
        <v>1.0745618603995939E-3</v>
      </c>
      <c r="E143" s="124">
        <f t="shared" si="124"/>
        <v>1.4243500746846437E-3</v>
      </c>
      <c r="F143" s="124">
        <f t="shared" si="124"/>
        <v>1.703577077404798E-3</v>
      </c>
      <c r="G143" s="124">
        <f t="shared" si="124"/>
        <v>1.3209893013499173E-3</v>
      </c>
      <c r="H143" s="124">
        <f t="shared" si="124"/>
        <v>1.3633266824284759E-3</v>
      </c>
      <c r="I143" s="124">
        <f t="shared" si="124"/>
        <v>1.6850651622432461E-3</v>
      </c>
      <c r="J143" s="124">
        <f t="shared" si="124"/>
        <v>2.2325970848759264E-3</v>
      </c>
      <c r="K143" s="124">
        <f t="shared" si="124"/>
        <v>8.2466572436592546E-4</v>
      </c>
      <c r="L143" s="124">
        <f t="shared" si="124"/>
        <v>1.001037331594949E-3</v>
      </c>
      <c r="M143" s="124">
        <f t="shared" si="124"/>
        <v>6.7242448839871993E-4</v>
      </c>
      <c r="N143" s="124">
        <f t="shared" si="124"/>
        <v>8.7349078683080558E-4</v>
      </c>
      <c r="O143" s="124">
        <f t="shared" si="124"/>
        <v>6.0375698676565052E-4</v>
      </c>
      <c r="P143" s="124">
        <f t="shared" si="124"/>
        <v>7.9725887622938355E-4</v>
      </c>
      <c r="Q143" s="124">
        <f t="shared" si="124"/>
        <v>7.2848966768399904E-4</v>
      </c>
      <c r="R143" s="124">
        <f t="shared" si="124"/>
        <v>5.8897467513949003E-4</v>
      </c>
      <c r="S143" s="124">
        <f t="shared" si="124"/>
        <v>8.3784898023028125E-4</v>
      </c>
      <c r="T143" s="124">
        <f t="shared" si="124"/>
        <v>9.1011777262739316E-4</v>
      </c>
      <c r="U143" s="124">
        <f t="shared" si="124"/>
        <v>8.5721238217497211E-4</v>
      </c>
      <c r="V143" s="124">
        <f t="shared" si="124"/>
        <v>1.181146281133497E-3</v>
      </c>
      <c r="W143" s="124">
        <f t="shared" si="124"/>
        <v>1.0803827433734387E-3</v>
      </c>
      <c r="X143" s="124">
        <f t="shared" si="124"/>
        <v>7.884000327054374E-4</v>
      </c>
      <c r="Y143" s="124">
        <f t="shared" si="124"/>
        <v>4.5490505625749147E-4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1.3999442221333848E-2</v>
      </c>
      <c r="C144" s="124">
        <f t="shared" ref="C144:Y144" si="125">IF(C52=0,0,C52/C$47)</f>
        <v>1.4148604143891687E-2</v>
      </c>
      <c r="D144" s="124">
        <f t="shared" si="125"/>
        <v>1.3842117937180425E-2</v>
      </c>
      <c r="E144" s="124">
        <f t="shared" si="125"/>
        <v>1.1724964734943305E-2</v>
      </c>
      <c r="F144" s="124">
        <f t="shared" si="125"/>
        <v>7.2706607283465566E-3</v>
      </c>
      <c r="G144" s="124">
        <f t="shared" si="125"/>
        <v>7.4642594391055106E-3</v>
      </c>
      <c r="H144" s="124">
        <f t="shared" si="125"/>
        <v>8.2572340354373913E-3</v>
      </c>
      <c r="I144" s="124">
        <f t="shared" si="125"/>
        <v>7.0887874277373898E-3</v>
      </c>
      <c r="J144" s="124">
        <f t="shared" si="125"/>
        <v>8.002450857674915E-3</v>
      </c>
      <c r="K144" s="124">
        <f t="shared" si="125"/>
        <v>4.7613184560894696E-3</v>
      </c>
      <c r="L144" s="124">
        <f t="shared" si="125"/>
        <v>4.2166124891254864E-3</v>
      </c>
      <c r="M144" s="124">
        <f t="shared" si="125"/>
        <v>5.2966879248993771E-3</v>
      </c>
      <c r="N144" s="124">
        <f t="shared" si="125"/>
        <v>5.637619157646428E-3</v>
      </c>
      <c r="O144" s="124">
        <f t="shared" si="125"/>
        <v>4.9884709602473626E-3</v>
      </c>
      <c r="P144" s="124">
        <f t="shared" si="125"/>
        <v>3.8241416862083107E-3</v>
      </c>
      <c r="Q144" s="124">
        <f t="shared" si="125"/>
        <v>3.4696149989588199E-3</v>
      </c>
      <c r="R144" s="124">
        <f t="shared" si="125"/>
        <v>3.2233437094552723E-3</v>
      </c>
      <c r="S144" s="124">
        <f t="shared" si="125"/>
        <v>3.3100398856275568E-3</v>
      </c>
      <c r="T144" s="124">
        <f t="shared" si="125"/>
        <v>4.4436803112762905E-3</v>
      </c>
      <c r="U144" s="124">
        <f t="shared" si="125"/>
        <v>4.1316473289829203E-3</v>
      </c>
      <c r="V144" s="124">
        <f t="shared" si="125"/>
        <v>3.2161063553405853E-3</v>
      </c>
      <c r="W144" s="124">
        <f t="shared" si="125"/>
        <v>3.5919447512537434E-3</v>
      </c>
      <c r="X144" s="124">
        <f t="shared" si="125"/>
        <v>3.4861230749488143E-3</v>
      </c>
      <c r="Y144" s="124">
        <f t="shared" si="125"/>
        <v>3.1333676322145279E-3</v>
      </c>
      <c r="DA144" s="176"/>
    </row>
    <row r="145" spans="1:105" ht="11.45" customHeight="1" x14ac:dyDescent="0.25">
      <c r="A145" s="128" t="s">
        <v>27</v>
      </c>
      <c r="B145" s="140">
        <f t="shared" si="119"/>
        <v>6.5217448037288971E-3</v>
      </c>
      <c r="C145" s="140">
        <f t="shared" ref="C145:Y145" si="126">IF(C53=0,0,C53/C$47)</f>
        <v>6.3411632743224818E-3</v>
      </c>
      <c r="D145" s="140">
        <f t="shared" si="126"/>
        <v>6.0945189158896056E-3</v>
      </c>
      <c r="E145" s="140">
        <f t="shared" si="126"/>
        <v>5.0591591042025916E-3</v>
      </c>
      <c r="F145" s="140">
        <f t="shared" si="126"/>
        <v>2.6818872161330186E-3</v>
      </c>
      <c r="G145" s="140">
        <f t="shared" si="126"/>
        <v>2.7611050400888526E-3</v>
      </c>
      <c r="H145" s="140">
        <f t="shared" si="126"/>
        <v>2.31516468574791E-3</v>
      </c>
      <c r="I145" s="140">
        <f t="shared" si="126"/>
        <v>1.8307594780776959E-3</v>
      </c>
      <c r="J145" s="140">
        <f t="shared" si="126"/>
        <v>2.0626801036080769E-3</v>
      </c>
      <c r="K145" s="140">
        <f t="shared" si="126"/>
        <v>1.0286347420794951E-3</v>
      </c>
      <c r="L145" s="140">
        <f t="shared" si="126"/>
        <v>9.3938368786223832E-4</v>
      </c>
      <c r="M145" s="140">
        <f t="shared" si="126"/>
        <v>9.7317127528870914E-4</v>
      </c>
      <c r="N145" s="140">
        <f t="shared" si="126"/>
        <v>8.9474886074486959E-4</v>
      </c>
      <c r="O145" s="140">
        <f t="shared" si="126"/>
        <v>7.9121050426014252E-4</v>
      </c>
      <c r="P145" s="140">
        <f t="shared" si="126"/>
        <v>4.7005103364826709E-4</v>
      </c>
      <c r="Q145" s="140">
        <f t="shared" si="126"/>
        <v>3.6675271823485183E-4</v>
      </c>
      <c r="R145" s="140">
        <f t="shared" si="126"/>
        <v>3.1170830973570139E-4</v>
      </c>
      <c r="S145" s="140">
        <f t="shared" si="126"/>
        <v>2.2491987511892006E-4</v>
      </c>
      <c r="T145" s="140">
        <f t="shared" si="126"/>
        <v>4.3967420649036358E-4</v>
      </c>
      <c r="U145" s="140">
        <f t="shared" si="126"/>
        <v>3.6665321331911616E-4</v>
      </c>
      <c r="V145" s="140">
        <f t="shared" si="126"/>
        <v>1.7185147616348892E-4</v>
      </c>
      <c r="W145" s="140">
        <f t="shared" si="126"/>
        <v>2.2010664951932019E-4</v>
      </c>
      <c r="X145" s="140">
        <f t="shared" si="126"/>
        <v>2.7430080600889786E-4</v>
      </c>
      <c r="Y145" s="140">
        <f t="shared" si="126"/>
        <v>3.5096331002448073E-4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6.8374214863303143E-3</v>
      </c>
      <c r="C146" s="140">
        <f t="shared" ref="C146:Y146" si="127">IF(C54=0,0,C54/C$47)</f>
        <v>7.237149918062194E-3</v>
      </c>
      <c r="D146" s="140">
        <f t="shared" si="127"/>
        <v>7.1627185688793622E-3</v>
      </c>
      <c r="E146" s="140">
        <f t="shared" si="127"/>
        <v>6.0194758678461602E-3</v>
      </c>
      <c r="F146" s="140">
        <f t="shared" si="127"/>
        <v>4.1465363102885936E-3</v>
      </c>
      <c r="G146" s="140">
        <f t="shared" si="127"/>
        <v>4.2512129840545955E-3</v>
      </c>
      <c r="H146" s="140">
        <f t="shared" si="127"/>
        <v>5.4824212682441512E-3</v>
      </c>
      <c r="I146" s="140">
        <f t="shared" si="127"/>
        <v>4.8823076169504289E-3</v>
      </c>
      <c r="J146" s="140">
        <f t="shared" si="127"/>
        <v>5.5227243980010025E-3</v>
      </c>
      <c r="K146" s="140">
        <f t="shared" si="127"/>
        <v>3.4573853426362717E-3</v>
      </c>
      <c r="L146" s="140">
        <f t="shared" si="127"/>
        <v>3.1195101747766209E-3</v>
      </c>
      <c r="M146" s="140">
        <f t="shared" si="127"/>
        <v>4.0851115794560931E-3</v>
      </c>
      <c r="N146" s="140">
        <f t="shared" si="127"/>
        <v>4.4587753665638529E-3</v>
      </c>
      <c r="O146" s="140">
        <f t="shared" si="127"/>
        <v>4.0053710506956063E-3</v>
      </c>
      <c r="P146" s="140">
        <f t="shared" si="127"/>
        <v>3.2016465377594618E-3</v>
      </c>
      <c r="Q146" s="140">
        <f t="shared" si="127"/>
        <v>2.8869700216842069E-3</v>
      </c>
      <c r="R146" s="140">
        <f t="shared" si="127"/>
        <v>2.7290319367423671E-3</v>
      </c>
      <c r="S146" s="140">
        <f t="shared" si="127"/>
        <v>2.8586082031726253E-3</v>
      </c>
      <c r="T146" s="140">
        <f t="shared" si="127"/>
        <v>3.6359885422753988E-3</v>
      </c>
      <c r="U146" s="140">
        <f t="shared" si="127"/>
        <v>3.3499895601302927E-3</v>
      </c>
      <c r="V146" s="140">
        <f t="shared" si="127"/>
        <v>2.4884793369316415E-3</v>
      </c>
      <c r="W146" s="140">
        <f t="shared" si="127"/>
        <v>2.7518070219549264E-3</v>
      </c>
      <c r="X146" s="140">
        <f t="shared" si="127"/>
        <v>2.6260015469253802E-3</v>
      </c>
      <c r="Y146" s="140">
        <f t="shared" si="127"/>
        <v>2.3009743923625148E-3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6.4027593127463623E-4</v>
      </c>
      <c r="C147" s="140">
        <f t="shared" ref="C147:Y147" si="128">IF(C55=0,0,C55/C$47)</f>
        <v>5.7029095150701314E-4</v>
      </c>
      <c r="D147" s="140">
        <f t="shared" si="128"/>
        <v>5.8488045241145582E-4</v>
      </c>
      <c r="E147" s="140">
        <f t="shared" si="128"/>
        <v>6.4632976289455348E-4</v>
      </c>
      <c r="F147" s="140">
        <f t="shared" si="128"/>
        <v>4.4223720192494546E-4</v>
      </c>
      <c r="G147" s="140">
        <f t="shared" si="128"/>
        <v>4.5194141496206176E-4</v>
      </c>
      <c r="H147" s="140">
        <f t="shared" si="128"/>
        <v>4.5964808144533014E-4</v>
      </c>
      <c r="I147" s="140">
        <f t="shared" si="128"/>
        <v>3.7572033270926478E-4</v>
      </c>
      <c r="J147" s="140">
        <f t="shared" si="128"/>
        <v>4.1704635606583509E-4</v>
      </c>
      <c r="K147" s="140">
        <f t="shared" si="128"/>
        <v>2.7529837137370207E-4</v>
      </c>
      <c r="L147" s="140">
        <f t="shared" si="128"/>
        <v>1.5771862648662744E-4</v>
      </c>
      <c r="M147" s="140">
        <f t="shared" si="128"/>
        <v>2.3840507015457509E-4</v>
      </c>
      <c r="N147" s="140">
        <f t="shared" si="128"/>
        <v>2.8409493033770573E-4</v>
      </c>
      <c r="O147" s="140">
        <f t="shared" si="128"/>
        <v>1.9188940529161469E-4</v>
      </c>
      <c r="P147" s="140">
        <f t="shared" si="128"/>
        <v>1.5244411480058181E-4</v>
      </c>
      <c r="Q147" s="140">
        <f t="shared" si="128"/>
        <v>2.1589225903976116E-4</v>
      </c>
      <c r="R147" s="140">
        <f t="shared" si="128"/>
        <v>1.826034629772039E-4</v>
      </c>
      <c r="S147" s="140">
        <f t="shared" si="128"/>
        <v>2.2651180733601105E-4</v>
      </c>
      <c r="T147" s="140">
        <f t="shared" si="128"/>
        <v>3.6801756251052828E-4</v>
      </c>
      <c r="U147" s="140">
        <f t="shared" si="128"/>
        <v>4.1500455553351216E-4</v>
      </c>
      <c r="V147" s="140">
        <f t="shared" si="128"/>
        <v>5.5577554224545546E-4</v>
      </c>
      <c r="W147" s="140">
        <f t="shared" si="128"/>
        <v>6.2003107977949719E-4</v>
      </c>
      <c r="X147" s="140">
        <f t="shared" si="128"/>
        <v>5.8582072201453564E-4</v>
      </c>
      <c r="Y147" s="140">
        <f t="shared" si="128"/>
        <v>4.8142992982753248E-4</v>
      </c>
      <c r="DA147" s="175"/>
    </row>
    <row r="148" spans="1:105" ht="11.45" customHeight="1" x14ac:dyDescent="0.25">
      <c r="A148" s="109" t="s">
        <v>141</v>
      </c>
      <c r="B148" s="124">
        <f t="shared" si="119"/>
        <v>0.20559847369722808</v>
      </c>
      <c r="C148" s="124">
        <f t="shared" ref="C148:Y148" si="129">IF(C56=0,0,C56/C$47)</f>
        <v>0.25912937491109117</v>
      </c>
      <c r="D148" s="124">
        <f t="shared" si="129"/>
        <v>0.2366107090425317</v>
      </c>
      <c r="E148" s="124">
        <f t="shared" si="129"/>
        <v>0.23402028696133501</v>
      </c>
      <c r="F148" s="124">
        <f t="shared" si="129"/>
        <v>0.24579300955420935</v>
      </c>
      <c r="G148" s="124">
        <f t="shared" si="129"/>
        <v>0.24657794013271547</v>
      </c>
      <c r="H148" s="124">
        <f t="shared" si="129"/>
        <v>0.25389836275406341</v>
      </c>
      <c r="I148" s="124">
        <f t="shared" si="129"/>
        <v>0.23367650164727233</v>
      </c>
      <c r="J148" s="124">
        <f t="shared" si="129"/>
        <v>0.21719201508772118</v>
      </c>
      <c r="K148" s="124">
        <f t="shared" si="129"/>
        <v>0.26141336906485191</v>
      </c>
      <c r="L148" s="124">
        <f t="shared" si="129"/>
        <v>0.24152414018929788</v>
      </c>
      <c r="M148" s="124">
        <f t="shared" si="129"/>
        <v>0.22086317150808363</v>
      </c>
      <c r="N148" s="124">
        <f t="shared" si="129"/>
        <v>0.27858895294562891</v>
      </c>
      <c r="O148" s="124">
        <f t="shared" si="129"/>
        <v>0.21209199870433249</v>
      </c>
      <c r="P148" s="124">
        <f t="shared" si="129"/>
        <v>0.21154035984376343</v>
      </c>
      <c r="Q148" s="124">
        <f t="shared" si="129"/>
        <v>0.24335029789536075</v>
      </c>
      <c r="R148" s="124">
        <f t="shared" si="129"/>
        <v>0.24098610245052351</v>
      </c>
      <c r="S148" s="124">
        <f t="shared" si="129"/>
        <v>0.25486918011072784</v>
      </c>
      <c r="T148" s="124">
        <f t="shared" si="129"/>
        <v>0.26518636282211494</v>
      </c>
      <c r="U148" s="124">
        <f t="shared" si="129"/>
        <v>0.26434676060305456</v>
      </c>
      <c r="V148" s="124">
        <f t="shared" si="129"/>
        <v>0.23560615168380997</v>
      </c>
      <c r="W148" s="124">
        <f t="shared" si="129"/>
        <v>0.24706216509687356</v>
      </c>
      <c r="X148" s="124">
        <f t="shared" si="129"/>
        <v>0.25455324417863312</v>
      </c>
      <c r="Y148" s="124">
        <f t="shared" si="129"/>
        <v>0.26426856297864265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0.20559847369722808</v>
      </c>
      <c r="C149" s="140">
        <f t="shared" ref="C149:Y149" si="130">IF(C57=0,0,C57/C$47)</f>
        <v>0.25912937491109117</v>
      </c>
      <c r="D149" s="140">
        <f t="shared" si="130"/>
        <v>0.2366107090425317</v>
      </c>
      <c r="E149" s="140">
        <f t="shared" si="130"/>
        <v>0.23402028696133501</v>
      </c>
      <c r="F149" s="140">
        <f t="shared" si="130"/>
        <v>0.24579300955420935</v>
      </c>
      <c r="G149" s="140">
        <f t="shared" si="130"/>
        <v>0.24657794013271547</v>
      </c>
      <c r="H149" s="140">
        <f t="shared" si="130"/>
        <v>0.25389836275406341</v>
      </c>
      <c r="I149" s="140">
        <f t="shared" si="130"/>
        <v>0.23367650164727233</v>
      </c>
      <c r="J149" s="140">
        <f t="shared" si="130"/>
        <v>0.21719201508772118</v>
      </c>
      <c r="K149" s="140">
        <f t="shared" si="130"/>
        <v>0.26141336906485191</v>
      </c>
      <c r="L149" s="140">
        <f t="shared" si="130"/>
        <v>0.24152414018929788</v>
      </c>
      <c r="M149" s="140">
        <f t="shared" si="130"/>
        <v>0.22086317150808363</v>
      </c>
      <c r="N149" s="140">
        <f t="shared" si="130"/>
        <v>0.27858895294562891</v>
      </c>
      <c r="O149" s="140">
        <f t="shared" si="130"/>
        <v>0.21209199870433249</v>
      </c>
      <c r="P149" s="140">
        <f t="shared" si="130"/>
        <v>0.21154035984376343</v>
      </c>
      <c r="Q149" s="140">
        <f t="shared" si="130"/>
        <v>0.24335029789536075</v>
      </c>
      <c r="R149" s="140">
        <f t="shared" si="130"/>
        <v>0.24098610245052351</v>
      </c>
      <c r="S149" s="140">
        <f t="shared" si="130"/>
        <v>0.25486918011072784</v>
      </c>
      <c r="T149" s="140">
        <f t="shared" si="130"/>
        <v>0.26518636282211494</v>
      </c>
      <c r="U149" s="140">
        <f t="shared" si="130"/>
        <v>0.26434676060305456</v>
      </c>
      <c r="V149" s="140">
        <f t="shared" si="130"/>
        <v>0.23560615168380997</v>
      </c>
      <c r="W149" s="140">
        <f t="shared" si="130"/>
        <v>0.24706216509687356</v>
      </c>
      <c r="X149" s="140">
        <f t="shared" si="130"/>
        <v>0.25455324417863312</v>
      </c>
      <c r="Y149" s="140">
        <f t="shared" si="130"/>
        <v>0.26426856297864265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0</v>
      </c>
      <c r="C150" s="127">
        <f t="shared" ref="C150:Y150" si="131">IF(C58=0,0,C58/C$47)</f>
        <v>0</v>
      </c>
      <c r="D150" s="127">
        <f t="shared" si="131"/>
        <v>0</v>
      </c>
      <c r="E150" s="127">
        <f t="shared" si="131"/>
        <v>0</v>
      </c>
      <c r="F150" s="127">
        <f t="shared" si="131"/>
        <v>0</v>
      </c>
      <c r="G150" s="127">
        <f t="shared" si="131"/>
        <v>0</v>
      </c>
      <c r="H150" s="127">
        <f t="shared" si="131"/>
        <v>0</v>
      </c>
      <c r="I150" s="127">
        <f t="shared" si="131"/>
        <v>0</v>
      </c>
      <c r="J150" s="127">
        <f t="shared" si="131"/>
        <v>0</v>
      </c>
      <c r="K150" s="127">
        <f t="shared" si="131"/>
        <v>0</v>
      </c>
      <c r="L150" s="127">
        <f t="shared" si="131"/>
        <v>0</v>
      </c>
      <c r="M150" s="127">
        <f t="shared" si="131"/>
        <v>0</v>
      </c>
      <c r="N150" s="127">
        <f t="shared" si="131"/>
        <v>0</v>
      </c>
      <c r="O150" s="127">
        <f t="shared" si="131"/>
        <v>0</v>
      </c>
      <c r="P150" s="127">
        <f t="shared" si="131"/>
        <v>0</v>
      </c>
      <c r="Q150" s="127">
        <f t="shared" si="131"/>
        <v>0</v>
      </c>
      <c r="R150" s="127">
        <f t="shared" si="131"/>
        <v>0</v>
      </c>
      <c r="S150" s="127">
        <f t="shared" si="131"/>
        <v>0</v>
      </c>
      <c r="T150" s="127">
        <f t="shared" si="131"/>
        <v>0</v>
      </c>
      <c r="U150" s="127">
        <f t="shared" si="131"/>
        <v>0</v>
      </c>
      <c r="V150" s="127">
        <f t="shared" si="131"/>
        <v>0</v>
      </c>
      <c r="W150" s="127">
        <f t="shared" si="131"/>
        <v>0</v>
      </c>
      <c r="X150" s="127">
        <f t="shared" si="131"/>
        <v>0</v>
      </c>
      <c r="Y150" s="127">
        <f t="shared" si="131"/>
        <v>0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0.61146272522789136</v>
      </c>
      <c r="C152" s="140">
        <f t="shared" si="133"/>
        <v>0.53308118691185835</v>
      </c>
      <c r="D152" s="140">
        <f t="shared" si="133"/>
        <v>0.50788753248628238</v>
      </c>
      <c r="E152" s="140">
        <f t="shared" si="133"/>
        <v>0.52940147489397649</v>
      </c>
      <c r="F152" s="140">
        <f t="shared" si="133"/>
        <v>0.50983283617341946</v>
      </c>
      <c r="G152" s="140">
        <f t="shared" si="133"/>
        <v>0.50140646079966666</v>
      </c>
      <c r="H152" s="140">
        <f t="shared" si="133"/>
        <v>0.4791643557796697</v>
      </c>
      <c r="I152" s="140">
        <f t="shared" si="133"/>
        <v>0.50624810804361997</v>
      </c>
      <c r="J152" s="140">
        <f t="shared" si="133"/>
        <v>0.53259856423701712</v>
      </c>
      <c r="K152" s="140">
        <f t="shared" si="133"/>
        <v>0.54166502597295962</v>
      </c>
      <c r="L152" s="140">
        <f t="shared" si="133"/>
        <v>0.51773931798594464</v>
      </c>
      <c r="M152" s="140">
        <f t="shared" si="133"/>
        <v>0.49611742569154094</v>
      </c>
      <c r="N152" s="140">
        <f t="shared" si="133"/>
        <v>0.47878304029616742</v>
      </c>
      <c r="O152" s="140">
        <f t="shared" si="133"/>
        <v>0.45603599808374357</v>
      </c>
      <c r="P152" s="140">
        <f t="shared" si="133"/>
        <v>0.44300886158663999</v>
      </c>
      <c r="Q152" s="140">
        <f t="shared" si="133"/>
        <v>0.45569723413217134</v>
      </c>
      <c r="R152" s="140">
        <f t="shared" si="133"/>
        <v>0.43659319786932782</v>
      </c>
      <c r="S152" s="140">
        <f t="shared" si="133"/>
        <v>0.44439876080495971</v>
      </c>
      <c r="T152" s="140">
        <f t="shared" si="133"/>
        <v>0.44403747830764784</v>
      </c>
      <c r="U152" s="140">
        <f t="shared" si="133"/>
        <v>0.45341720988003209</v>
      </c>
      <c r="V152" s="140">
        <f t="shared" si="133"/>
        <v>0.40752349334304155</v>
      </c>
      <c r="W152" s="140">
        <f t="shared" si="133"/>
        <v>0.41320031616567737</v>
      </c>
      <c r="X152" s="140">
        <f t="shared" si="133"/>
        <v>0.47273139597560343</v>
      </c>
      <c r="Y152" s="140">
        <f t="shared" si="133"/>
        <v>0.46521838453032649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0.38853727477210853</v>
      </c>
      <c r="C153" s="127">
        <f t="shared" si="134"/>
        <v>0.46691881308814154</v>
      </c>
      <c r="D153" s="127">
        <f t="shared" si="134"/>
        <v>0.49211246751371768</v>
      </c>
      <c r="E153" s="127">
        <f t="shared" si="134"/>
        <v>0.47059852510602346</v>
      </c>
      <c r="F153" s="127">
        <f t="shared" si="134"/>
        <v>0.4901671638265806</v>
      </c>
      <c r="G153" s="127">
        <f t="shared" si="134"/>
        <v>0.49859353920033334</v>
      </c>
      <c r="H153" s="127">
        <f t="shared" si="134"/>
        <v>0.52083564422033024</v>
      </c>
      <c r="I153" s="127">
        <f t="shared" si="134"/>
        <v>0.49375189195638003</v>
      </c>
      <c r="J153" s="127">
        <f t="shared" si="134"/>
        <v>0.46740143576298288</v>
      </c>
      <c r="K153" s="127">
        <f t="shared" si="134"/>
        <v>0.45833497402704043</v>
      </c>
      <c r="L153" s="127">
        <f t="shared" si="134"/>
        <v>0.48226068201405542</v>
      </c>
      <c r="M153" s="127">
        <f t="shared" si="134"/>
        <v>0.50388257430845906</v>
      </c>
      <c r="N153" s="127">
        <f t="shared" si="134"/>
        <v>0.52121695970383253</v>
      </c>
      <c r="O153" s="127">
        <f t="shared" si="134"/>
        <v>0.54396400191625649</v>
      </c>
      <c r="P153" s="127">
        <f t="shared" si="134"/>
        <v>0.55699113841336001</v>
      </c>
      <c r="Q153" s="127">
        <f t="shared" si="134"/>
        <v>0.54430276586782866</v>
      </c>
      <c r="R153" s="127">
        <f t="shared" si="134"/>
        <v>0.56340680213067218</v>
      </c>
      <c r="S153" s="127">
        <f t="shared" si="134"/>
        <v>0.55560123919504023</v>
      </c>
      <c r="T153" s="127">
        <f t="shared" si="134"/>
        <v>0.55596252169235205</v>
      </c>
      <c r="U153" s="127">
        <f t="shared" si="134"/>
        <v>0.54658279011996791</v>
      </c>
      <c r="V153" s="127">
        <f t="shared" si="134"/>
        <v>0.5924765066569585</v>
      </c>
      <c r="W153" s="127">
        <f t="shared" si="134"/>
        <v>0.58679968383432268</v>
      </c>
      <c r="X153" s="127">
        <f t="shared" si="134"/>
        <v>0.52726860402439657</v>
      </c>
      <c r="Y153" s="127">
        <f t="shared" si="134"/>
        <v>0.53478161546967351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0.71423083970121126</v>
      </c>
      <c r="C157" s="139">
        <f t="shared" ref="C157:W157" si="138">IF(C65=0,0,C65/C$64)</f>
        <v>0.74165858980494337</v>
      </c>
      <c r="D157" s="139">
        <f t="shared" si="138"/>
        <v>0.75546180273896923</v>
      </c>
      <c r="E157" s="139">
        <f t="shared" si="138"/>
        <v>0.76940208830012169</v>
      </c>
      <c r="F157" s="139">
        <f t="shared" si="138"/>
        <v>0.75736365990584309</v>
      </c>
      <c r="G157" s="139">
        <f t="shared" si="138"/>
        <v>0.77223549048476414</v>
      </c>
      <c r="H157" s="139">
        <f t="shared" si="138"/>
        <v>0.75908625961276188</v>
      </c>
      <c r="I157" s="139">
        <f t="shared" si="138"/>
        <v>0.76499009696587983</v>
      </c>
      <c r="J157" s="139">
        <f t="shared" si="138"/>
        <v>0.75722160311730402</v>
      </c>
      <c r="K157" s="139">
        <f t="shared" si="138"/>
        <v>0.79644936050759552</v>
      </c>
      <c r="L157" s="139">
        <f t="shared" si="138"/>
        <v>0.81601034374456938</v>
      </c>
      <c r="M157" s="139">
        <f t="shared" si="138"/>
        <v>0.80502465670068624</v>
      </c>
      <c r="N157" s="139">
        <f t="shared" si="138"/>
        <v>0.79728044423926081</v>
      </c>
      <c r="O157" s="139">
        <f t="shared" si="138"/>
        <v>0.79040736256416222</v>
      </c>
      <c r="P157" s="139">
        <f t="shared" si="138"/>
        <v>0.75977375789007873</v>
      </c>
      <c r="Q157" s="139">
        <f t="shared" si="138"/>
        <v>0.75622642254586725</v>
      </c>
      <c r="R157" s="139">
        <f t="shared" si="138"/>
        <v>0.74395723816803239</v>
      </c>
      <c r="S157" s="139">
        <f t="shared" si="138"/>
        <v>0.72392334307456807</v>
      </c>
      <c r="T157" s="139">
        <f t="shared" si="138"/>
        <v>0.70276796433158661</v>
      </c>
      <c r="U157" s="139">
        <f t="shared" si="138"/>
        <v>0.70337891056447832</v>
      </c>
      <c r="V157" s="139">
        <f t="shared" si="138"/>
        <v>0.85768566434484561</v>
      </c>
      <c r="W157" s="139">
        <f t="shared" si="138"/>
        <v>0.77186269569198585</v>
      </c>
      <c r="X157" s="139">
        <f t="shared" ref="X157:Y157" si="139">IF(X65=0,0,X65/X$64)</f>
        <v>0.69350339750485279</v>
      </c>
      <c r="Y157" s="139">
        <f t="shared" si="139"/>
        <v>0.69268612571033406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3.4145287245149619E-2</v>
      </c>
      <c r="C158" s="140">
        <f t="shared" ref="C158:W158" si="140">IF(C66=0,0,C66/C$64)</f>
        <v>3.7262993241693923E-2</v>
      </c>
      <c r="D158" s="140">
        <f t="shared" si="140"/>
        <v>4.0004393927744811E-2</v>
      </c>
      <c r="E158" s="140">
        <f t="shared" si="140"/>
        <v>3.9138909660903859E-2</v>
      </c>
      <c r="F158" s="140">
        <f t="shared" si="140"/>
        <v>3.9599705163629442E-2</v>
      </c>
      <c r="G158" s="140">
        <f t="shared" si="140"/>
        <v>3.9095544853677999E-2</v>
      </c>
      <c r="H158" s="140">
        <f t="shared" si="140"/>
        <v>3.4546560483711651E-2</v>
      </c>
      <c r="I158" s="140">
        <f t="shared" si="140"/>
        <v>3.3357867312724068E-2</v>
      </c>
      <c r="J158" s="140">
        <f t="shared" si="140"/>
        <v>3.6413281776622446E-2</v>
      </c>
      <c r="K158" s="140">
        <f t="shared" si="140"/>
        <v>3.7367313266534599E-2</v>
      </c>
      <c r="L158" s="140">
        <f t="shared" si="140"/>
        <v>4.9918059516605585E-2</v>
      </c>
      <c r="M158" s="140">
        <f t="shared" si="140"/>
        <v>5.1948431745063556E-2</v>
      </c>
      <c r="N158" s="140">
        <f t="shared" si="140"/>
        <v>6.2245931698084608E-2</v>
      </c>
      <c r="O158" s="140">
        <f t="shared" si="140"/>
        <v>6.457715648317576E-2</v>
      </c>
      <c r="P158" s="140">
        <f t="shared" si="140"/>
        <v>6.4480012968315278E-2</v>
      </c>
      <c r="Q158" s="140">
        <f t="shared" si="140"/>
        <v>6.287114078786582E-2</v>
      </c>
      <c r="R158" s="140">
        <f t="shared" si="140"/>
        <v>6.2503277794782014E-2</v>
      </c>
      <c r="S158" s="140">
        <f t="shared" si="140"/>
        <v>5.7098078005443018E-2</v>
      </c>
      <c r="T158" s="140">
        <f t="shared" si="140"/>
        <v>5.124408726735144E-2</v>
      </c>
      <c r="U158" s="140">
        <f t="shared" si="140"/>
        <v>5.2345858305139416E-2</v>
      </c>
      <c r="V158" s="140">
        <f t="shared" si="140"/>
        <v>6.6150223425774188E-2</v>
      </c>
      <c r="W158" s="140">
        <f t="shared" si="140"/>
        <v>5.747481938471076E-2</v>
      </c>
      <c r="X158" s="140">
        <f t="shared" ref="X158:Y158" si="141">IF(X66=0,0,X66/X$64)</f>
        <v>4.9069369835604046E-2</v>
      </c>
      <c r="Y158" s="140">
        <f t="shared" si="141"/>
        <v>4.8695509551124727E-2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0.55780854364139187</v>
      </c>
      <c r="C159" s="140">
        <f t="shared" ref="C159:W159" si="142">IF(C67=0,0,C67/C$64)</f>
        <v>0.58542845609847782</v>
      </c>
      <c r="D159" s="140">
        <f t="shared" si="142"/>
        <v>0.59999969462702685</v>
      </c>
      <c r="E159" s="140">
        <f t="shared" si="142"/>
        <v>0.59143707306965387</v>
      </c>
      <c r="F159" s="140">
        <f t="shared" si="142"/>
        <v>0.61242291028796492</v>
      </c>
      <c r="G159" s="140">
        <f t="shared" si="142"/>
        <v>0.61904218288353829</v>
      </c>
      <c r="H159" s="140">
        <f t="shared" si="142"/>
        <v>0.61858108658488165</v>
      </c>
      <c r="I159" s="140">
        <f t="shared" si="142"/>
        <v>0.62793648321207296</v>
      </c>
      <c r="J159" s="140">
        <f t="shared" si="142"/>
        <v>0.62354083417688466</v>
      </c>
      <c r="K159" s="140">
        <f t="shared" si="142"/>
        <v>0.64325500984709616</v>
      </c>
      <c r="L159" s="140">
        <f t="shared" si="142"/>
        <v>0.65391319131513426</v>
      </c>
      <c r="M159" s="140">
        <f t="shared" si="142"/>
        <v>0.63124346428473865</v>
      </c>
      <c r="N159" s="140">
        <f t="shared" si="142"/>
        <v>0.61985868714456882</v>
      </c>
      <c r="O159" s="140">
        <f t="shared" si="142"/>
        <v>0.59181347843494103</v>
      </c>
      <c r="P159" s="140">
        <f t="shared" si="142"/>
        <v>0.56698263852301301</v>
      </c>
      <c r="Q159" s="140">
        <f t="shared" si="142"/>
        <v>0.57302205689538055</v>
      </c>
      <c r="R159" s="140">
        <f t="shared" si="142"/>
        <v>0.56242711582117555</v>
      </c>
      <c r="S159" s="140">
        <f t="shared" si="142"/>
        <v>0.55020945430422885</v>
      </c>
      <c r="T159" s="140">
        <f t="shared" si="142"/>
        <v>0.53554646537567063</v>
      </c>
      <c r="U159" s="140">
        <f t="shared" si="142"/>
        <v>0.53290962312866208</v>
      </c>
      <c r="V159" s="140">
        <f t="shared" si="142"/>
        <v>0.6211986370314504</v>
      </c>
      <c r="W159" s="140">
        <f t="shared" si="142"/>
        <v>0.57338398796987078</v>
      </c>
      <c r="X159" s="140">
        <f t="shared" ref="X159:Y159" si="143">IF(X67=0,0,X67/X$64)</f>
        <v>0.51798127354462353</v>
      </c>
      <c r="Y159" s="140">
        <f t="shared" si="143"/>
        <v>0.52099996888518685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0.1222770088146697</v>
      </c>
      <c r="C160" s="140">
        <f t="shared" ref="C160:W160" si="144">IF(C68=0,0,C68/C$64)</f>
        <v>0.11896714046477164</v>
      </c>
      <c r="D160" s="140">
        <f t="shared" si="144"/>
        <v>0.11545771418419763</v>
      </c>
      <c r="E160" s="140">
        <f t="shared" si="144"/>
        <v>0.13882610556956398</v>
      </c>
      <c r="F160" s="140">
        <f t="shared" si="144"/>
        <v>0.10534104445424866</v>
      </c>
      <c r="G160" s="140">
        <f t="shared" si="144"/>
        <v>0.1140977627475479</v>
      </c>
      <c r="H160" s="140">
        <f t="shared" si="144"/>
        <v>0.10595861254416855</v>
      </c>
      <c r="I160" s="140">
        <f t="shared" si="144"/>
        <v>0.10369574644108272</v>
      </c>
      <c r="J160" s="140">
        <f t="shared" si="144"/>
        <v>9.7267487163796809E-2</v>
      </c>
      <c r="K160" s="140">
        <f t="shared" si="144"/>
        <v>0.11582703739396472</v>
      </c>
      <c r="L160" s="140">
        <f t="shared" si="144"/>
        <v>0.11217909291282949</v>
      </c>
      <c r="M160" s="140">
        <f t="shared" si="144"/>
        <v>0.12183276067088407</v>
      </c>
      <c r="N160" s="140">
        <f t="shared" si="144"/>
        <v>0.1151758253966074</v>
      </c>
      <c r="O160" s="140">
        <f t="shared" si="144"/>
        <v>0.13401672764604547</v>
      </c>
      <c r="P160" s="140">
        <f t="shared" si="144"/>
        <v>0.12831110639875037</v>
      </c>
      <c r="Q160" s="140">
        <f t="shared" si="144"/>
        <v>0.12033322486262081</v>
      </c>
      <c r="R160" s="140">
        <f t="shared" si="144"/>
        <v>0.11902684455207471</v>
      </c>
      <c r="S160" s="140">
        <f t="shared" si="144"/>
        <v>0.11661581076489623</v>
      </c>
      <c r="T160" s="140">
        <f t="shared" si="144"/>
        <v>0.11597741168856442</v>
      </c>
      <c r="U160" s="140">
        <f t="shared" si="144"/>
        <v>0.1181234291306768</v>
      </c>
      <c r="V160" s="140">
        <f t="shared" si="144"/>
        <v>0.17033680388762099</v>
      </c>
      <c r="W160" s="140">
        <f t="shared" si="144"/>
        <v>0.14100388833740424</v>
      </c>
      <c r="X160" s="140">
        <f t="shared" ref="X160:Y160" si="145">IF(X68=0,0,X68/X$64)</f>
        <v>0.12645275412462509</v>
      </c>
      <c r="Y160" s="140">
        <f t="shared" si="145"/>
        <v>0.12299064727402245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8.235102095402267E-3</v>
      </c>
      <c r="C161" s="124">
        <f t="shared" ref="C161:W161" si="146">IF(C69=0,0,C69/C$64)</f>
        <v>8.3942190253829679E-3</v>
      </c>
      <c r="D161" s="124">
        <f t="shared" si="146"/>
        <v>8.1817435601230348E-3</v>
      </c>
      <c r="E161" s="124">
        <f t="shared" si="146"/>
        <v>7.4807559658818497E-3</v>
      </c>
      <c r="F161" s="124">
        <f t="shared" si="146"/>
        <v>7.3312858677785538E-3</v>
      </c>
      <c r="G161" s="124">
        <f t="shared" si="146"/>
        <v>7.2139207327934054E-3</v>
      </c>
      <c r="H161" s="124">
        <f t="shared" si="146"/>
        <v>7.0961180912081862E-3</v>
      </c>
      <c r="I161" s="124">
        <f t="shared" si="146"/>
        <v>6.0383495178828166E-3</v>
      </c>
      <c r="J161" s="124">
        <f t="shared" si="146"/>
        <v>5.6636308171496659E-3</v>
      </c>
      <c r="K161" s="124">
        <f t="shared" si="146"/>
        <v>5.0962142429822992E-3</v>
      </c>
      <c r="L161" s="124">
        <f t="shared" si="146"/>
        <v>3.6280237006761713E-3</v>
      </c>
      <c r="M161" s="124">
        <f t="shared" si="146"/>
        <v>2.9231201252175962E-3</v>
      </c>
      <c r="N161" s="124">
        <f t="shared" si="146"/>
        <v>5.8634787692078199E-3</v>
      </c>
      <c r="O161" s="124">
        <f t="shared" si="146"/>
        <v>4.1490300216590961E-3</v>
      </c>
      <c r="P161" s="124">
        <f t="shared" si="146"/>
        <v>9.8867085406730316E-3</v>
      </c>
      <c r="Q161" s="124">
        <f t="shared" si="146"/>
        <v>9.7132177396681424E-3</v>
      </c>
      <c r="R161" s="124">
        <f t="shared" si="146"/>
        <v>9.5179089855102761E-3</v>
      </c>
      <c r="S161" s="124">
        <f t="shared" si="146"/>
        <v>8.9977179125095546E-3</v>
      </c>
      <c r="T161" s="124">
        <f t="shared" si="146"/>
        <v>8.2776654935335873E-3</v>
      </c>
      <c r="U161" s="124">
        <f t="shared" si="146"/>
        <v>2.2511849482881262E-3</v>
      </c>
      <c r="V161" s="124">
        <f t="shared" si="146"/>
        <v>2.1067046880663179E-3</v>
      </c>
      <c r="W161" s="124">
        <f t="shared" si="146"/>
        <v>1.5651275815759581E-3</v>
      </c>
      <c r="X161" s="124">
        <f t="shared" ref="X161:Y161" si="147">IF(X69=0,0,X69/X$64)</f>
        <v>1.4139930901006165E-3</v>
      </c>
      <c r="Y161" s="124">
        <f t="shared" si="147"/>
        <v>8.3486017035620688E-4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8.235102095402267E-3</v>
      </c>
      <c r="C163" s="140">
        <f t="shared" ref="C163:W163" si="150">IF(C71=0,0,C71/C$64)</f>
        <v>8.3942190253829679E-3</v>
      </c>
      <c r="D163" s="140">
        <f t="shared" si="150"/>
        <v>8.1817435601230348E-3</v>
      </c>
      <c r="E163" s="140">
        <f t="shared" si="150"/>
        <v>7.4807559658818497E-3</v>
      </c>
      <c r="F163" s="140">
        <f t="shared" si="150"/>
        <v>7.3312858677785538E-3</v>
      </c>
      <c r="G163" s="140">
        <f t="shared" si="150"/>
        <v>7.2139207327934054E-3</v>
      </c>
      <c r="H163" s="140">
        <f t="shared" si="150"/>
        <v>7.0961180912081862E-3</v>
      </c>
      <c r="I163" s="140">
        <f t="shared" si="150"/>
        <v>6.0383495178828166E-3</v>
      </c>
      <c r="J163" s="140">
        <f t="shared" si="150"/>
        <v>5.6636308171496659E-3</v>
      </c>
      <c r="K163" s="140">
        <f t="shared" si="150"/>
        <v>5.0962142429822992E-3</v>
      </c>
      <c r="L163" s="140">
        <f t="shared" si="150"/>
        <v>3.6280237006761713E-3</v>
      </c>
      <c r="M163" s="140">
        <f t="shared" si="150"/>
        <v>2.9231201252175962E-3</v>
      </c>
      <c r="N163" s="140">
        <f t="shared" si="150"/>
        <v>5.8634787692078199E-3</v>
      </c>
      <c r="O163" s="140">
        <f t="shared" si="150"/>
        <v>4.1490300216590961E-3</v>
      </c>
      <c r="P163" s="140">
        <f t="shared" si="150"/>
        <v>9.8867085406730316E-3</v>
      </c>
      <c r="Q163" s="140">
        <f t="shared" si="150"/>
        <v>9.7132177396681424E-3</v>
      </c>
      <c r="R163" s="140">
        <f t="shared" si="150"/>
        <v>9.5179089855102761E-3</v>
      </c>
      <c r="S163" s="140">
        <f t="shared" si="150"/>
        <v>8.9977179125095546E-3</v>
      </c>
      <c r="T163" s="140">
        <f t="shared" si="150"/>
        <v>8.2776654935335873E-3</v>
      </c>
      <c r="U163" s="140">
        <f t="shared" si="150"/>
        <v>2.2511849482881262E-3</v>
      </c>
      <c r="V163" s="140">
        <f t="shared" si="150"/>
        <v>2.1067046880663179E-3</v>
      </c>
      <c r="W163" s="140">
        <f t="shared" si="150"/>
        <v>1.5651275815759581E-3</v>
      </c>
      <c r="X163" s="140">
        <f t="shared" ref="X163:Y163" si="151">IF(X71=0,0,X71/X$64)</f>
        <v>1.4139930901006165E-3</v>
      </c>
      <c r="Y163" s="140">
        <f t="shared" si="151"/>
        <v>8.3486017035620688E-4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0.27753405820338645</v>
      </c>
      <c r="C165" s="124">
        <f t="shared" ref="C165:W165" si="154">IF(C73=0,0,C73/C$64)</f>
        <v>0.24994719116967357</v>
      </c>
      <c r="D165" s="124">
        <f t="shared" si="154"/>
        <v>0.23635645370090769</v>
      </c>
      <c r="E165" s="124">
        <f t="shared" si="154"/>
        <v>0.22311715573399654</v>
      </c>
      <c r="F165" s="124">
        <f t="shared" si="154"/>
        <v>0.23530505422637837</v>
      </c>
      <c r="G165" s="124">
        <f t="shared" si="154"/>
        <v>0.22055058878244244</v>
      </c>
      <c r="H165" s="124">
        <f t="shared" si="154"/>
        <v>0.23381762229602995</v>
      </c>
      <c r="I165" s="124">
        <f t="shared" si="154"/>
        <v>0.22897155351623741</v>
      </c>
      <c r="J165" s="124">
        <f t="shared" si="154"/>
        <v>0.2371147660655463</v>
      </c>
      <c r="K165" s="124">
        <f t="shared" si="154"/>
        <v>0.19845442524942231</v>
      </c>
      <c r="L165" s="124">
        <f t="shared" si="154"/>
        <v>0.18036163255475449</v>
      </c>
      <c r="M165" s="124">
        <f t="shared" si="154"/>
        <v>0.19205222317409615</v>
      </c>
      <c r="N165" s="124">
        <f t="shared" si="154"/>
        <v>0.19685607699153126</v>
      </c>
      <c r="O165" s="124">
        <f t="shared" si="154"/>
        <v>0.20544360741417858</v>
      </c>
      <c r="P165" s="124">
        <f t="shared" si="154"/>
        <v>0.23033953356924816</v>
      </c>
      <c r="Q165" s="124">
        <f t="shared" si="154"/>
        <v>0.23406035971446471</v>
      </c>
      <c r="R165" s="124">
        <f t="shared" si="154"/>
        <v>0.24652485284645745</v>
      </c>
      <c r="S165" s="124">
        <f t="shared" si="154"/>
        <v>0.26707893901292246</v>
      </c>
      <c r="T165" s="124">
        <f t="shared" si="154"/>
        <v>0.28895437017487979</v>
      </c>
      <c r="U165" s="124">
        <f t="shared" si="154"/>
        <v>0.2943699044872336</v>
      </c>
      <c r="V165" s="124">
        <f t="shared" si="154"/>
        <v>0.14020763096708805</v>
      </c>
      <c r="W165" s="124">
        <f t="shared" si="154"/>
        <v>0.22657217672643803</v>
      </c>
      <c r="X165" s="124">
        <f t="shared" ref="X165:Y165" si="155">IF(X73=0,0,X73/X$64)</f>
        <v>0.30508260940504672</v>
      </c>
      <c r="Y165" s="124">
        <f t="shared" si="155"/>
        <v>0.30647901411930972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0.10636415696122473</v>
      </c>
      <c r="C166" s="140">
        <f t="shared" ref="C166:W166" si="156">IF(C74=0,0,C74/C$64)</f>
        <v>9.050486100046129E-2</v>
      </c>
      <c r="D166" s="140">
        <f t="shared" si="156"/>
        <v>8.0683174875862032E-2</v>
      </c>
      <c r="E166" s="140">
        <f t="shared" si="156"/>
        <v>7.2396649349353887E-2</v>
      </c>
      <c r="F166" s="140">
        <f t="shared" si="156"/>
        <v>7.8310924041607569E-2</v>
      </c>
      <c r="G166" s="140">
        <f t="shared" si="156"/>
        <v>7.5276099255598333E-2</v>
      </c>
      <c r="H166" s="140">
        <f t="shared" si="156"/>
        <v>6.5461494836468806E-2</v>
      </c>
      <c r="I166" s="140">
        <f t="shared" si="156"/>
        <v>6.2631523269773948E-2</v>
      </c>
      <c r="J166" s="140">
        <f t="shared" si="156"/>
        <v>6.1103032700527721E-2</v>
      </c>
      <c r="K166" s="140">
        <f t="shared" si="156"/>
        <v>5.0550938647493916E-2</v>
      </c>
      <c r="L166" s="140">
        <f t="shared" si="156"/>
        <v>4.6627524405975729E-2</v>
      </c>
      <c r="M166" s="140">
        <f t="shared" si="156"/>
        <v>4.4429102426182712E-2</v>
      </c>
      <c r="N166" s="140">
        <f t="shared" si="156"/>
        <v>4.3686636938104532E-2</v>
      </c>
      <c r="O166" s="140">
        <f t="shared" si="156"/>
        <v>4.2796900582343145E-2</v>
      </c>
      <c r="P166" s="140">
        <f t="shared" si="156"/>
        <v>4.3376757103172632E-2</v>
      </c>
      <c r="Q166" s="140">
        <f t="shared" si="156"/>
        <v>3.9649432798389964E-2</v>
      </c>
      <c r="R166" s="140">
        <f t="shared" si="156"/>
        <v>4.3753355592722323E-2</v>
      </c>
      <c r="S166" s="140">
        <f t="shared" si="156"/>
        <v>4.4260927907753322E-2</v>
      </c>
      <c r="T166" s="140">
        <f t="shared" si="156"/>
        <v>4.9097185674100138E-2</v>
      </c>
      <c r="U166" s="140">
        <f t="shared" si="156"/>
        <v>4.895327822462308E-2</v>
      </c>
      <c r="V166" s="140">
        <f t="shared" si="156"/>
        <v>2.8796978205855191E-2</v>
      </c>
      <c r="W166" s="140">
        <f t="shared" si="156"/>
        <v>4.0710586290705432E-2</v>
      </c>
      <c r="X166" s="140">
        <f t="shared" ref="X166:Y166" si="157">IF(X74=0,0,X74/X$64)</f>
        <v>5.053441223378493E-2</v>
      </c>
      <c r="Y166" s="140">
        <f t="shared" si="157"/>
        <v>5.8187171427247025E-2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0.14661325803815795</v>
      </c>
      <c r="C167" s="140">
        <f t="shared" ref="C167:W167" si="158">IF(C75=0,0,C75/C$64)</f>
        <v>0.13656759864163667</v>
      </c>
      <c r="D167" s="140">
        <f t="shared" si="158"/>
        <v>0.13334032234407533</v>
      </c>
      <c r="E167" s="140">
        <f t="shared" si="158"/>
        <v>0.12909991390096653</v>
      </c>
      <c r="F167" s="140">
        <f t="shared" si="158"/>
        <v>0.13084148401014031</v>
      </c>
      <c r="G167" s="140">
        <f t="shared" si="158"/>
        <v>0.120870749063472</v>
      </c>
      <c r="H167" s="140">
        <f t="shared" si="158"/>
        <v>0.14068804176302449</v>
      </c>
      <c r="I167" s="140">
        <f t="shared" si="158"/>
        <v>0.13932160030288646</v>
      </c>
      <c r="J167" s="140">
        <f t="shared" si="158"/>
        <v>0.14662692087393156</v>
      </c>
      <c r="K167" s="140">
        <f t="shared" si="158"/>
        <v>0.12216259047361387</v>
      </c>
      <c r="L167" s="140">
        <f t="shared" si="158"/>
        <v>0.109884543036449</v>
      </c>
      <c r="M167" s="140">
        <f t="shared" si="158"/>
        <v>0.12145871054685797</v>
      </c>
      <c r="N167" s="140">
        <f t="shared" si="158"/>
        <v>0.12553413403985833</v>
      </c>
      <c r="O167" s="140">
        <f t="shared" si="158"/>
        <v>0.13318567228057543</v>
      </c>
      <c r="P167" s="140">
        <f t="shared" si="158"/>
        <v>0.15447163861089444</v>
      </c>
      <c r="Q167" s="140">
        <f t="shared" si="158"/>
        <v>0.16113236394040178</v>
      </c>
      <c r="R167" s="140">
        <f t="shared" si="158"/>
        <v>0.1699156890841326</v>
      </c>
      <c r="S167" s="140">
        <f t="shared" si="158"/>
        <v>0.18795778719698691</v>
      </c>
      <c r="T167" s="140">
        <f t="shared" si="158"/>
        <v>0.20251182174618762</v>
      </c>
      <c r="U167" s="140">
        <f t="shared" si="158"/>
        <v>0.2062938136434268</v>
      </c>
      <c r="V167" s="140">
        <f t="shared" si="158"/>
        <v>8.7075144510870658E-2</v>
      </c>
      <c r="W167" s="140">
        <f t="shared" si="158"/>
        <v>0.15163734891960048</v>
      </c>
      <c r="X167" s="140">
        <f t="shared" ref="X167:Y167" si="159">IF(X75=0,0,X75/X$64)</f>
        <v>0.21884087090781276</v>
      </c>
      <c r="Y167" s="140">
        <f t="shared" si="159"/>
        <v>0.21286973987341604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2.4556643204003744E-2</v>
      </c>
      <c r="C168" s="140">
        <f t="shared" ref="C168:W168" si="160">IF(C76=0,0,C76/C$64)</f>
        <v>2.2874731527575607E-2</v>
      </c>
      <c r="D168" s="140">
        <f t="shared" si="160"/>
        <v>2.2332956480970275E-2</v>
      </c>
      <c r="E168" s="140">
        <f t="shared" si="160"/>
        <v>2.16205924836761E-2</v>
      </c>
      <c r="F168" s="140">
        <f t="shared" si="160"/>
        <v>2.615264617463051E-2</v>
      </c>
      <c r="G168" s="140">
        <f t="shared" si="160"/>
        <v>2.4403740463372108E-2</v>
      </c>
      <c r="H168" s="140">
        <f t="shared" si="160"/>
        <v>2.7668085696536657E-2</v>
      </c>
      <c r="I168" s="140">
        <f t="shared" si="160"/>
        <v>2.7018429943577019E-2</v>
      </c>
      <c r="J168" s="140">
        <f t="shared" si="160"/>
        <v>2.9384812491087004E-2</v>
      </c>
      <c r="K168" s="140">
        <f t="shared" si="160"/>
        <v>2.5740896128314501E-2</v>
      </c>
      <c r="L168" s="140">
        <f t="shared" si="160"/>
        <v>2.3849565112329787E-2</v>
      </c>
      <c r="M168" s="140">
        <f t="shared" si="160"/>
        <v>2.6164410201055463E-2</v>
      </c>
      <c r="N168" s="140">
        <f t="shared" si="160"/>
        <v>2.7635306013568384E-2</v>
      </c>
      <c r="O168" s="140">
        <f t="shared" si="160"/>
        <v>2.9461034551259997E-2</v>
      </c>
      <c r="P168" s="140">
        <f t="shared" si="160"/>
        <v>3.2491137855181089E-2</v>
      </c>
      <c r="Q168" s="140">
        <f t="shared" si="160"/>
        <v>3.3278562975672964E-2</v>
      </c>
      <c r="R168" s="140">
        <f t="shared" si="160"/>
        <v>3.2855808169602513E-2</v>
      </c>
      <c r="S168" s="140">
        <f t="shared" si="160"/>
        <v>3.4860223908182199E-2</v>
      </c>
      <c r="T168" s="140">
        <f t="shared" si="160"/>
        <v>3.7345362754592049E-2</v>
      </c>
      <c r="U168" s="140">
        <f t="shared" si="160"/>
        <v>3.9122812619183725E-2</v>
      </c>
      <c r="V168" s="140">
        <f t="shared" si="160"/>
        <v>2.4335508250362198E-2</v>
      </c>
      <c r="W168" s="140">
        <f t="shared" si="160"/>
        <v>3.4224241516132126E-2</v>
      </c>
      <c r="X168" s="140">
        <f t="shared" ref="X168:Y168" si="161">IF(X76=0,0,X76/X$64)</f>
        <v>3.570732626344908E-2</v>
      </c>
      <c r="Y168" s="140">
        <f t="shared" si="161"/>
        <v>3.5422102818646696E-2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0.77218625237534433</v>
      </c>
      <c r="C170" s="139">
        <f t="shared" ref="C170:W170" si="165">IF(C78=0,0,C78/C$77)</f>
        <v>0.71758895354270469</v>
      </c>
      <c r="D170" s="139">
        <f t="shared" si="165"/>
        <v>0.74119622716190858</v>
      </c>
      <c r="E170" s="139">
        <f t="shared" si="165"/>
        <v>0.74533626266481778</v>
      </c>
      <c r="F170" s="139">
        <f t="shared" si="165"/>
        <v>0.73748187263822507</v>
      </c>
      <c r="G170" s="139">
        <f t="shared" si="165"/>
        <v>0.73713888241272929</v>
      </c>
      <c r="H170" s="139">
        <f t="shared" si="165"/>
        <v>0.72625017444285322</v>
      </c>
      <c r="I170" s="139">
        <f t="shared" si="165"/>
        <v>0.74566930183419611</v>
      </c>
      <c r="J170" s="139">
        <f t="shared" si="165"/>
        <v>0.7623028560202243</v>
      </c>
      <c r="K170" s="139">
        <f t="shared" si="165"/>
        <v>0.72052503240061183</v>
      </c>
      <c r="L170" s="139">
        <f t="shared" si="165"/>
        <v>0.73833712748042435</v>
      </c>
      <c r="M170" s="139">
        <f t="shared" si="165"/>
        <v>0.76045112687478345</v>
      </c>
      <c r="N170" s="139">
        <f t="shared" si="165"/>
        <v>0.69656797701087003</v>
      </c>
      <c r="O170" s="139">
        <f t="shared" si="165"/>
        <v>0.76712447567997999</v>
      </c>
      <c r="P170" s="139">
        <f t="shared" si="165"/>
        <v>0.76868668503365567</v>
      </c>
      <c r="Q170" s="139">
        <f t="shared" si="165"/>
        <v>0.73506320509669143</v>
      </c>
      <c r="R170" s="139">
        <f t="shared" si="165"/>
        <v>0.73856936100667903</v>
      </c>
      <c r="S170" s="139">
        <f t="shared" si="165"/>
        <v>0.72234752573609973</v>
      </c>
      <c r="T170" s="139">
        <f t="shared" si="165"/>
        <v>0.71120924704914645</v>
      </c>
      <c r="U170" s="139">
        <f t="shared" si="165"/>
        <v>0.7129791704024474</v>
      </c>
      <c r="V170" s="139">
        <f t="shared" si="165"/>
        <v>0.74390108623640283</v>
      </c>
      <c r="W170" s="139">
        <f t="shared" si="165"/>
        <v>0.73161455404219333</v>
      </c>
      <c r="X170" s="139">
        <f t="shared" ref="X170:Y170" si="166">IF(X78=0,0,X78/X$77)</f>
        <v>0.73536038503395706</v>
      </c>
      <c r="Y170" s="139">
        <f t="shared" si="166"/>
        <v>0.72616857148899461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0.31595110180294661</v>
      </c>
      <c r="C171" s="140">
        <f t="shared" ref="C171:W171" si="167">IF(C79=0,0,C79/C$77)</f>
        <v>0.28924947717866967</v>
      </c>
      <c r="D171" s="140">
        <f t="shared" si="167"/>
        <v>0.29889361800781916</v>
      </c>
      <c r="E171" s="140">
        <f t="shared" si="167"/>
        <v>0.30698061482260053</v>
      </c>
      <c r="F171" s="140">
        <f t="shared" si="167"/>
        <v>0.28125955344570597</v>
      </c>
      <c r="G171" s="140">
        <f t="shared" si="167"/>
        <v>0.29430755038798123</v>
      </c>
      <c r="H171" s="140">
        <f t="shared" si="167"/>
        <v>0.27822755303993435</v>
      </c>
      <c r="I171" s="140">
        <f t="shared" si="167"/>
        <v>0.29145390099335411</v>
      </c>
      <c r="J171" s="140">
        <f t="shared" si="167"/>
        <v>0.29416921019202691</v>
      </c>
      <c r="K171" s="140">
        <f t="shared" si="167"/>
        <v>0.22421506783986322</v>
      </c>
      <c r="L171" s="140">
        <f t="shared" si="167"/>
        <v>0.2575982805672245</v>
      </c>
      <c r="M171" s="140">
        <f t="shared" si="167"/>
        <v>0.27975413435204993</v>
      </c>
      <c r="N171" s="140">
        <f t="shared" si="167"/>
        <v>0.28400000580827767</v>
      </c>
      <c r="O171" s="140">
        <f t="shared" si="167"/>
        <v>0.30815995013854874</v>
      </c>
      <c r="P171" s="140">
        <f t="shared" si="167"/>
        <v>0.29429540619775379</v>
      </c>
      <c r="Q171" s="140">
        <f t="shared" si="167"/>
        <v>0.3397077007683737</v>
      </c>
      <c r="R171" s="140">
        <f t="shared" si="167"/>
        <v>0.34235654124762455</v>
      </c>
      <c r="S171" s="140">
        <f t="shared" si="167"/>
        <v>0.31155961372233809</v>
      </c>
      <c r="T171" s="140">
        <f t="shared" si="167"/>
        <v>0.29841790486721331</v>
      </c>
      <c r="U171" s="140">
        <f t="shared" si="167"/>
        <v>0.2855799194825322</v>
      </c>
      <c r="V171" s="140">
        <f t="shared" si="167"/>
        <v>0.27167918022106569</v>
      </c>
      <c r="W171" s="140">
        <f t="shared" si="167"/>
        <v>0.27737850332780933</v>
      </c>
      <c r="X171" s="140">
        <f t="shared" ref="X171:Y171" si="168">IF(X79=0,0,X79/X$77)</f>
        <v>0.27455388356947408</v>
      </c>
      <c r="Y171" s="140">
        <f t="shared" si="168"/>
        <v>0.28035220873451949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0.45623515057239761</v>
      </c>
      <c r="C172" s="140">
        <f t="shared" ref="C172:W172" si="169">IF(C80=0,0,C80/C$77)</f>
        <v>0.42833947636403502</v>
      </c>
      <c r="D172" s="140">
        <f t="shared" si="169"/>
        <v>0.44230260915408942</v>
      </c>
      <c r="E172" s="140">
        <f t="shared" si="169"/>
        <v>0.4383556478422172</v>
      </c>
      <c r="F172" s="140">
        <f t="shared" si="169"/>
        <v>0.45622231919251915</v>
      </c>
      <c r="G172" s="140">
        <f t="shared" si="169"/>
        <v>0.44283133202474795</v>
      </c>
      <c r="H172" s="140">
        <f t="shared" si="169"/>
        <v>0.44802262140291882</v>
      </c>
      <c r="I172" s="140">
        <f t="shared" si="169"/>
        <v>0.45421540084084189</v>
      </c>
      <c r="J172" s="140">
        <f t="shared" si="169"/>
        <v>0.46813364582819744</v>
      </c>
      <c r="K172" s="140">
        <f t="shared" si="169"/>
        <v>0.49630996456074866</v>
      </c>
      <c r="L172" s="140">
        <f t="shared" si="169"/>
        <v>0.48073884691319979</v>
      </c>
      <c r="M172" s="140">
        <f t="shared" si="169"/>
        <v>0.48069699252273351</v>
      </c>
      <c r="N172" s="140">
        <f t="shared" si="169"/>
        <v>0.41256797120259242</v>
      </c>
      <c r="O172" s="140">
        <f t="shared" si="169"/>
        <v>0.45896452554143113</v>
      </c>
      <c r="P172" s="140">
        <f t="shared" si="169"/>
        <v>0.47439127883590193</v>
      </c>
      <c r="Q172" s="140">
        <f t="shared" si="169"/>
        <v>0.39535550432831768</v>
      </c>
      <c r="R172" s="140">
        <f t="shared" si="169"/>
        <v>0.39621281975905437</v>
      </c>
      <c r="S172" s="140">
        <f t="shared" si="169"/>
        <v>0.41078791201376175</v>
      </c>
      <c r="T172" s="140">
        <f t="shared" si="169"/>
        <v>0.4127913421819332</v>
      </c>
      <c r="U172" s="140">
        <f t="shared" si="169"/>
        <v>0.42739925091991515</v>
      </c>
      <c r="V172" s="140">
        <f t="shared" si="169"/>
        <v>0.47222190601533726</v>
      </c>
      <c r="W172" s="140">
        <f t="shared" si="169"/>
        <v>0.45423605071438394</v>
      </c>
      <c r="X172" s="140">
        <f t="shared" ref="X172:Y172" si="170">IF(X80=0,0,X80/X$77)</f>
        <v>0.46080650146448304</v>
      </c>
      <c r="Y172" s="140">
        <f t="shared" si="170"/>
        <v>0.44581636275447512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1.2292135248666816E-3</v>
      </c>
      <c r="C173" s="124">
        <f t="shared" ref="C173:W173" si="171">IF(C81=0,0,C81/C$77)</f>
        <v>9.5440899913583441E-4</v>
      </c>
      <c r="D173" s="124">
        <f t="shared" si="171"/>
        <v>9.8416697331158874E-4</v>
      </c>
      <c r="E173" s="124">
        <f t="shared" si="171"/>
        <v>1.2952670911721442E-3</v>
      </c>
      <c r="F173" s="124">
        <f t="shared" si="171"/>
        <v>1.5492548664494733E-3</v>
      </c>
      <c r="G173" s="124">
        <f t="shared" si="171"/>
        <v>1.246315285893749E-3</v>
      </c>
      <c r="H173" s="124">
        <f t="shared" si="171"/>
        <v>1.3318820282618461E-3</v>
      </c>
      <c r="I173" s="124">
        <f t="shared" si="171"/>
        <v>1.4782785675903796E-3</v>
      </c>
      <c r="J173" s="124">
        <f t="shared" si="171"/>
        <v>2.1391793529465888E-3</v>
      </c>
      <c r="K173" s="124">
        <f t="shared" si="171"/>
        <v>7.3831705579861014E-4</v>
      </c>
      <c r="L173" s="124">
        <f t="shared" si="171"/>
        <v>9.2421731456607823E-4</v>
      </c>
      <c r="M173" s="124">
        <f t="shared" si="171"/>
        <v>5.5367532445613362E-4</v>
      </c>
      <c r="N173" s="124">
        <f t="shared" si="171"/>
        <v>7.2416934324766433E-4</v>
      </c>
      <c r="O173" s="124">
        <f t="shared" si="171"/>
        <v>4.2829000551239973E-4</v>
      </c>
      <c r="P173" s="124">
        <f t="shared" si="171"/>
        <v>5.7850795892368907E-4</v>
      </c>
      <c r="Q173" s="124">
        <f t="shared" si="171"/>
        <v>5.2271466072301045E-4</v>
      </c>
      <c r="R173" s="124">
        <f t="shared" si="171"/>
        <v>4.3647817760491495E-4</v>
      </c>
      <c r="S173" s="124">
        <f t="shared" si="171"/>
        <v>6.1906269536099196E-4</v>
      </c>
      <c r="T173" s="124">
        <f t="shared" si="171"/>
        <v>6.5382107057598837E-4</v>
      </c>
      <c r="U173" s="124">
        <f t="shared" si="171"/>
        <v>4.0671913601016309E-4</v>
      </c>
      <c r="V173" s="124">
        <f t="shared" si="171"/>
        <v>4.8537121195509314E-4</v>
      </c>
      <c r="W173" s="124">
        <f t="shared" si="171"/>
        <v>4.8648772114326508E-4</v>
      </c>
      <c r="X173" s="124">
        <f t="shared" ref="X173:Y173" si="172">IF(X81=0,0,X81/X$77)</f>
        <v>3.1458360886711846E-4</v>
      </c>
      <c r="Y173" s="124">
        <f t="shared" si="172"/>
        <v>1.1364863023747318E-4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1.3779252590907055E-2</v>
      </c>
      <c r="C174" s="124">
        <f t="shared" ref="C174:W174" si="173">IF(C82=0,0,C82/C$77)</f>
        <v>1.3881093056960041E-2</v>
      </c>
      <c r="D174" s="124">
        <f t="shared" si="173"/>
        <v>1.3593327373578013E-2</v>
      </c>
      <c r="E174" s="124">
        <f t="shared" si="173"/>
        <v>1.1507656754707185E-2</v>
      </c>
      <c r="F174" s="124">
        <f t="shared" si="173"/>
        <v>7.1169914446071658E-3</v>
      </c>
      <c r="G174" s="124">
        <f t="shared" si="173"/>
        <v>7.3122889383776092E-3</v>
      </c>
      <c r="H174" s="124">
        <f t="shared" si="173"/>
        <v>8.162564117535364E-3</v>
      </c>
      <c r="I174" s="124">
        <f t="shared" si="173"/>
        <v>7.074839668101426E-3</v>
      </c>
      <c r="J174" s="124">
        <f t="shared" si="173"/>
        <v>7.9696232117752001E-3</v>
      </c>
      <c r="K174" s="124">
        <f t="shared" si="173"/>
        <v>4.6995304355577422E-3</v>
      </c>
      <c r="L174" s="124">
        <f t="shared" si="173"/>
        <v>4.2290245335765168E-3</v>
      </c>
      <c r="M174" s="124">
        <f t="shared" si="173"/>
        <v>5.3205254562923897E-3</v>
      </c>
      <c r="N174" s="124">
        <f t="shared" si="173"/>
        <v>5.6753379630480319E-3</v>
      </c>
      <c r="O174" s="124">
        <f t="shared" si="173"/>
        <v>5.0591980241181641E-3</v>
      </c>
      <c r="P174" s="124">
        <f t="shared" si="173"/>
        <v>3.8871335577960035E-3</v>
      </c>
      <c r="Q174" s="124">
        <f t="shared" si="173"/>
        <v>3.5179472571557923E-3</v>
      </c>
      <c r="R174" s="124">
        <f t="shared" si="173"/>
        <v>3.2697506724051568E-3</v>
      </c>
      <c r="S174" s="124">
        <f t="shared" si="173"/>
        <v>3.368715038448837E-3</v>
      </c>
      <c r="T174" s="124">
        <f t="shared" si="173"/>
        <v>4.502808187168408E-3</v>
      </c>
      <c r="U174" s="124">
        <f t="shared" si="173"/>
        <v>4.1859713351511865E-3</v>
      </c>
      <c r="V174" s="124">
        <f t="shared" si="173"/>
        <v>3.2622644469230224E-3</v>
      </c>
      <c r="W174" s="124">
        <f t="shared" si="173"/>
        <v>3.6460883604449751E-3</v>
      </c>
      <c r="X174" s="124">
        <f t="shared" ref="X174:Y174" si="174">IF(X82=0,0,X82/X$77)</f>
        <v>3.390541890503368E-3</v>
      </c>
      <c r="Y174" s="124">
        <f t="shared" si="174"/>
        <v>3.0464097451317691E-3</v>
      </c>
      <c r="DA174" s="176"/>
    </row>
    <row r="175" spans="1:105" ht="11.45" customHeight="1" x14ac:dyDescent="0.25">
      <c r="A175" s="128" t="s">
        <v>27</v>
      </c>
      <c r="B175" s="140">
        <f t="shared" si="162"/>
        <v>6.4191678184914013E-3</v>
      </c>
      <c r="C175" s="140">
        <f t="shared" ref="C175:W175" si="175">IF(C83=0,0,C83/C$77)</f>
        <v>6.2212693637519892E-3</v>
      </c>
      <c r="D175" s="140">
        <f t="shared" si="175"/>
        <v>5.9849794073511759E-3</v>
      </c>
      <c r="E175" s="140">
        <f t="shared" si="175"/>
        <v>4.9653937350538921E-3</v>
      </c>
      <c r="F175" s="140">
        <f t="shared" si="175"/>
        <v>2.6252041025933894E-3</v>
      </c>
      <c r="G175" s="140">
        <f t="shared" si="175"/>
        <v>2.704889615246263E-3</v>
      </c>
      <c r="H175" s="140">
        <f t="shared" si="175"/>
        <v>2.2886211180363986E-3</v>
      </c>
      <c r="I175" s="140">
        <f t="shared" si="175"/>
        <v>1.8271573114995901E-3</v>
      </c>
      <c r="J175" s="140">
        <f t="shared" si="175"/>
        <v>2.0542185793513325E-3</v>
      </c>
      <c r="K175" s="140">
        <f t="shared" si="175"/>
        <v>1.0149144156946812E-3</v>
      </c>
      <c r="L175" s="140">
        <f t="shared" si="175"/>
        <v>9.4189754370788093E-4</v>
      </c>
      <c r="M175" s="140">
        <f t="shared" si="175"/>
        <v>9.7735574191789589E-4</v>
      </c>
      <c r="N175" s="140">
        <f t="shared" si="175"/>
        <v>9.0051111990258341E-4</v>
      </c>
      <c r="O175" s="140">
        <f t="shared" si="175"/>
        <v>8.0221613733974452E-4</v>
      </c>
      <c r="P175" s="140">
        <f t="shared" si="175"/>
        <v>4.7766431734103912E-4</v>
      </c>
      <c r="Q175" s="140">
        <f t="shared" si="175"/>
        <v>3.7180647902052672E-4</v>
      </c>
      <c r="R175" s="140">
        <f t="shared" si="175"/>
        <v>3.1611209385524412E-4</v>
      </c>
      <c r="S175" s="140">
        <f t="shared" si="175"/>
        <v>2.2884105701691327E-4</v>
      </c>
      <c r="T175" s="140">
        <f t="shared" si="175"/>
        <v>4.4542959675710999E-4</v>
      </c>
      <c r="U175" s="140">
        <f t="shared" si="175"/>
        <v>3.7138501900594077E-4</v>
      </c>
      <c r="V175" s="140">
        <f t="shared" si="175"/>
        <v>1.7422438516630627E-4</v>
      </c>
      <c r="W175" s="140">
        <f t="shared" si="175"/>
        <v>2.2335233085996341E-4</v>
      </c>
      <c r="X175" s="140">
        <f t="shared" ref="X175:Y175" si="176">IF(X83=0,0,X83/X$77)</f>
        <v>2.6673690711264319E-4</v>
      </c>
      <c r="Y175" s="140">
        <f t="shared" si="176"/>
        <v>3.4115721707115058E-4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6.729879393842301E-3</v>
      </c>
      <c r="C176" s="140">
        <f t="shared" ref="C176:W176" si="177">IF(C84=0,0,C84/C$77)</f>
        <v>7.1003153709097858E-3</v>
      </c>
      <c r="D176" s="140">
        <f t="shared" si="177"/>
        <v>7.0339798312263344E-3</v>
      </c>
      <c r="E176" s="140">
        <f t="shared" si="177"/>
        <v>5.9079121938827488E-3</v>
      </c>
      <c r="F176" s="140">
        <f t="shared" si="177"/>
        <v>4.0588970586979975E-3</v>
      </c>
      <c r="G176" s="140">
        <f t="shared" si="177"/>
        <v>4.1646593250937334E-3</v>
      </c>
      <c r="H176" s="140">
        <f t="shared" si="177"/>
        <v>5.4195648239261712E-3</v>
      </c>
      <c r="I176" s="140">
        <f t="shared" si="177"/>
        <v>4.8727012838780618E-3</v>
      </c>
      <c r="J176" s="140">
        <f t="shared" si="177"/>
        <v>5.5000690835025181E-3</v>
      </c>
      <c r="K176" s="140">
        <f t="shared" si="177"/>
        <v>3.4128628076638872E-3</v>
      </c>
      <c r="L176" s="140">
        <f t="shared" si="177"/>
        <v>3.1289320070437064E-3</v>
      </c>
      <c r="M176" s="140">
        <f t="shared" si="177"/>
        <v>4.103680945309174E-3</v>
      </c>
      <c r="N176" s="140">
        <f t="shared" si="177"/>
        <v>4.4888177359041648E-3</v>
      </c>
      <c r="O176" s="140">
        <f t="shared" si="177"/>
        <v>4.062362150606018E-3</v>
      </c>
      <c r="P176" s="140">
        <f t="shared" si="177"/>
        <v>3.2545081573654949E-3</v>
      </c>
      <c r="Q176" s="140">
        <f t="shared" si="177"/>
        <v>2.9272372695688924E-3</v>
      </c>
      <c r="R176" s="140">
        <f t="shared" si="177"/>
        <v>2.7684008826219728E-3</v>
      </c>
      <c r="S176" s="140">
        <f t="shared" si="177"/>
        <v>2.9093420967989483E-3</v>
      </c>
      <c r="T176" s="140">
        <f t="shared" si="177"/>
        <v>3.6844554379613587E-3</v>
      </c>
      <c r="U176" s="140">
        <f t="shared" si="177"/>
        <v>3.3941153538959556E-3</v>
      </c>
      <c r="V176" s="140">
        <f t="shared" si="177"/>
        <v>2.5242708611100031E-3</v>
      </c>
      <c r="W176" s="140">
        <f t="shared" si="177"/>
        <v>2.7933455748261806E-3</v>
      </c>
      <c r="X176" s="140">
        <f t="shared" ref="X176:Y176" si="178">IF(X84=0,0,X84/X$77)</f>
        <v>2.5540381851156262E-3</v>
      </c>
      <c r="Y176" s="140">
        <f t="shared" si="178"/>
        <v>2.2371719100270542E-3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6.3020537857335116E-4</v>
      </c>
      <c r="C177" s="140">
        <f t="shared" ref="C177:W177" si="179">IF(C85=0,0,C85/C$77)</f>
        <v>5.595083222982661E-4</v>
      </c>
      <c r="D177" s="140">
        <f t="shared" si="179"/>
        <v>5.743681350005033E-4</v>
      </c>
      <c r="E177" s="140">
        <f t="shared" si="179"/>
        <v>6.3435082577054471E-4</v>
      </c>
      <c r="F177" s="140">
        <f t="shared" si="179"/>
        <v>4.3289028331577883E-4</v>
      </c>
      <c r="G177" s="140">
        <f t="shared" si="179"/>
        <v>4.4273999803761321E-4</v>
      </c>
      <c r="H177" s="140">
        <f t="shared" si="179"/>
        <v>4.5437817557279439E-4</v>
      </c>
      <c r="I177" s="140">
        <f t="shared" si="179"/>
        <v>3.7498107272377446E-4</v>
      </c>
      <c r="J177" s="140">
        <f t="shared" si="179"/>
        <v>4.1533554892135072E-4</v>
      </c>
      <c r="K177" s="140">
        <f t="shared" si="179"/>
        <v>2.7175321219917388E-4</v>
      </c>
      <c r="L177" s="140">
        <f t="shared" si="179"/>
        <v>1.5819498282492936E-4</v>
      </c>
      <c r="M177" s="140">
        <f t="shared" si="179"/>
        <v>2.3948876906532048E-4</v>
      </c>
      <c r="N177" s="140">
        <f t="shared" si="179"/>
        <v>2.860091072412829E-4</v>
      </c>
      <c r="O177" s="140">
        <f t="shared" si="179"/>
        <v>1.9461973617240151E-4</v>
      </c>
      <c r="P177" s="140">
        <f t="shared" si="179"/>
        <v>1.5496108308946929E-4</v>
      </c>
      <c r="Q177" s="140">
        <f t="shared" si="179"/>
        <v>2.1890350856637291E-4</v>
      </c>
      <c r="R177" s="140">
        <f t="shared" si="179"/>
        <v>1.852376959279401E-4</v>
      </c>
      <c r="S177" s="140">
        <f t="shared" si="179"/>
        <v>2.3053188463297578E-4</v>
      </c>
      <c r="T177" s="140">
        <f t="shared" si="179"/>
        <v>3.7292315244993911E-4</v>
      </c>
      <c r="U177" s="140">
        <f t="shared" si="179"/>
        <v>4.2047096224929006E-4</v>
      </c>
      <c r="V177" s="140">
        <f t="shared" si="179"/>
        <v>5.6376920064671332E-4</v>
      </c>
      <c r="W177" s="140">
        <f t="shared" si="179"/>
        <v>6.2939045475883136E-4</v>
      </c>
      <c r="X177" s="140">
        <f t="shared" ref="X177:Y177" si="180">IF(X85=0,0,X85/X$77)</f>
        <v>5.6976679827509878E-4</v>
      </c>
      <c r="Y177" s="140">
        <f t="shared" si="180"/>
        <v>4.6808061803356454E-4</v>
      </c>
      <c r="DA177" s="175"/>
    </row>
    <row r="178" spans="1:105" ht="11.45" customHeight="1" x14ac:dyDescent="0.25">
      <c r="A178" s="109" t="s">
        <v>141</v>
      </c>
      <c r="B178" s="124">
        <f t="shared" si="162"/>
        <v>0.21280528150888198</v>
      </c>
      <c r="C178" s="124">
        <f t="shared" ref="C178:W178" si="181">IF(C86=0,0,C86/C$77)</f>
        <v>0.26757554440119941</v>
      </c>
      <c r="D178" s="124">
        <f t="shared" si="181"/>
        <v>0.24422627849120179</v>
      </c>
      <c r="E178" s="124">
        <f t="shared" si="181"/>
        <v>0.24186081348930288</v>
      </c>
      <c r="F178" s="124">
        <f t="shared" si="181"/>
        <v>0.25385188105071826</v>
      </c>
      <c r="G178" s="124">
        <f t="shared" si="181"/>
        <v>0.25430251336299936</v>
      </c>
      <c r="H178" s="124">
        <f t="shared" si="181"/>
        <v>0.26425537941134958</v>
      </c>
      <c r="I178" s="124">
        <f t="shared" si="181"/>
        <v>0.24577757993011215</v>
      </c>
      <c r="J178" s="124">
        <f t="shared" si="181"/>
        <v>0.22758834141505388</v>
      </c>
      <c r="K178" s="124">
        <f t="shared" si="181"/>
        <v>0.27403712010803172</v>
      </c>
      <c r="L178" s="124">
        <f t="shared" si="181"/>
        <v>0.25650963067143306</v>
      </c>
      <c r="M178" s="124">
        <f t="shared" si="181"/>
        <v>0.23367467234446801</v>
      </c>
      <c r="N178" s="124">
        <f t="shared" si="181"/>
        <v>0.29703251568283418</v>
      </c>
      <c r="O178" s="124">
        <f t="shared" si="181"/>
        <v>0.22738803629038953</v>
      </c>
      <c r="P178" s="124">
        <f t="shared" si="181"/>
        <v>0.22684767344962464</v>
      </c>
      <c r="Q178" s="124">
        <f t="shared" si="181"/>
        <v>0.2608961329854298</v>
      </c>
      <c r="R178" s="124">
        <f t="shared" si="181"/>
        <v>0.25772441014331082</v>
      </c>
      <c r="S178" s="124">
        <f t="shared" si="181"/>
        <v>0.27366469653009023</v>
      </c>
      <c r="T178" s="124">
        <f t="shared" si="181"/>
        <v>0.28363412369310903</v>
      </c>
      <c r="U178" s="124">
        <f t="shared" si="181"/>
        <v>0.28242813912639131</v>
      </c>
      <c r="V178" s="124">
        <f t="shared" si="181"/>
        <v>0.25235127810471913</v>
      </c>
      <c r="W178" s="124">
        <f t="shared" si="181"/>
        <v>0.26425286987621832</v>
      </c>
      <c r="X178" s="124">
        <f t="shared" ref="X178:Y178" si="182">IF(X86=0,0,X86/X$77)</f>
        <v>0.26093448946667236</v>
      </c>
      <c r="Y178" s="124">
        <f t="shared" si="182"/>
        <v>0.27067137013563625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0.21280528150888198</v>
      </c>
      <c r="C179" s="140">
        <f t="shared" ref="C179:W179" si="183">IF(C87=0,0,C87/C$77)</f>
        <v>0.26757554440119941</v>
      </c>
      <c r="D179" s="140">
        <f t="shared" si="183"/>
        <v>0.24422627849120179</v>
      </c>
      <c r="E179" s="140">
        <f t="shared" si="183"/>
        <v>0.24186081348930288</v>
      </c>
      <c r="F179" s="140">
        <f t="shared" si="183"/>
        <v>0.25385188105071826</v>
      </c>
      <c r="G179" s="140">
        <f t="shared" si="183"/>
        <v>0.25430251336299936</v>
      </c>
      <c r="H179" s="140">
        <f t="shared" si="183"/>
        <v>0.26425537941134958</v>
      </c>
      <c r="I179" s="140">
        <f t="shared" si="183"/>
        <v>0.24577757993011215</v>
      </c>
      <c r="J179" s="140">
        <f t="shared" si="183"/>
        <v>0.22758834141505388</v>
      </c>
      <c r="K179" s="140">
        <f t="shared" si="183"/>
        <v>0.27403712010803172</v>
      </c>
      <c r="L179" s="140">
        <f t="shared" si="183"/>
        <v>0.25650963067143306</v>
      </c>
      <c r="M179" s="140">
        <f t="shared" si="183"/>
        <v>0.23367467234446801</v>
      </c>
      <c r="N179" s="140">
        <f t="shared" si="183"/>
        <v>0.29703251568283418</v>
      </c>
      <c r="O179" s="140">
        <f t="shared" si="183"/>
        <v>0.22738803629038953</v>
      </c>
      <c r="P179" s="140">
        <f t="shared" si="183"/>
        <v>0.22684767344962464</v>
      </c>
      <c r="Q179" s="140">
        <f t="shared" si="183"/>
        <v>0.2608961329854298</v>
      </c>
      <c r="R179" s="140">
        <f t="shared" si="183"/>
        <v>0.25772441014331082</v>
      </c>
      <c r="S179" s="140">
        <f t="shared" si="183"/>
        <v>0.27366469653009023</v>
      </c>
      <c r="T179" s="140">
        <f t="shared" si="183"/>
        <v>0.28363412369310903</v>
      </c>
      <c r="U179" s="140">
        <f t="shared" si="183"/>
        <v>0.28242813912639131</v>
      </c>
      <c r="V179" s="140">
        <f t="shared" si="183"/>
        <v>0.25235127810471913</v>
      </c>
      <c r="W179" s="140">
        <f t="shared" si="183"/>
        <v>0.26425286987621832</v>
      </c>
      <c r="X179" s="140">
        <f t="shared" ref="X179:Y179" si="184">IF(X87=0,0,X87/X$77)</f>
        <v>0.26093448946667236</v>
      </c>
      <c r="Y179" s="140">
        <f t="shared" si="184"/>
        <v>0.27067137013563625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0</v>
      </c>
      <c r="C180" s="127">
        <f t="shared" ref="C180:W180" si="185">IF(C88=0,0,C88/C$77)</f>
        <v>0</v>
      </c>
      <c r="D180" s="127">
        <f t="shared" si="185"/>
        <v>0</v>
      </c>
      <c r="E180" s="127">
        <f t="shared" si="185"/>
        <v>0</v>
      </c>
      <c r="F180" s="127">
        <f t="shared" si="185"/>
        <v>0</v>
      </c>
      <c r="G180" s="127">
        <f t="shared" si="185"/>
        <v>0</v>
      </c>
      <c r="H180" s="127">
        <f t="shared" si="185"/>
        <v>0</v>
      </c>
      <c r="I180" s="127">
        <f t="shared" si="185"/>
        <v>0</v>
      </c>
      <c r="J180" s="127">
        <f t="shared" si="185"/>
        <v>0</v>
      </c>
      <c r="K180" s="127">
        <f t="shared" si="185"/>
        <v>0</v>
      </c>
      <c r="L180" s="127">
        <f t="shared" si="185"/>
        <v>0</v>
      </c>
      <c r="M180" s="127">
        <f t="shared" si="185"/>
        <v>0</v>
      </c>
      <c r="N180" s="127">
        <f t="shared" si="185"/>
        <v>0</v>
      </c>
      <c r="O180" s="127">
        <f t="shared" si="185"/>
        <v>0</v>
      </c>
      <c r="P180" s="127">
        <f t="shared" si="185"/>
        <v>0</v>
      </c>
      <c r="Q180" s="127">
        <f t="shared" si="185"/>
        <v>0</v>
      </c>
      <c r="R180" s="127">
        <f t="shared" si="185"/>
        <v>0</v>
      </c>
      <c r="S180" s="127">
        <f t="shared" si="185"/>
        <v>0</v>
      </c>
      <c r="T180" s="127">
        <f t="shared" si="185"/>
        <v>0</v>
      </c>
      <c r="U180" s="127">
        <f t="shared" si="185"/>
        <v>0</v>
      </c>
      <c r="V180" s="127">
        <f t="shared" si="185"/>
        <v>0</v>
      </c>
      <c r="W180" s="127">
        <f t="shared" si="185"/>
        <v>0</v>
      </c>
      <c r="X180" s="127">
        <f t="shared" ref="X180:Y180" si="186">IF(X88=0,0,X88/X$77)</f>
        <v>0</v>
      </c>
      <c r="Y180" s="127">
        <f t="shared" si="186"/>
        <v>0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0.60895780237432084</v>
      </c>
      <c r="C182" s="140">
        <f t="shared" ref="C182:W182" si="189">IF(C90=0,0,C90/C$89)</f>
        <v>0.53064833925074351</v>
      </c>
      <c r="D182" s="140">
        <f t="shared" si="189"/>
        <v>0.50539475552012536</v>
      </c>
      <c r="E182" s="140">
        <f t="shared" si="189"/>
        <v>0.52723257115463651</v>
      </c>
      <c r="F182" s="140">
        <f t="shared" si="189"/>
        <v>0.50776181714050972</v>
      </c>
      <c r="G182" s="140">
        <f t="shared" si="189"/>
        <v>0.49944937661253574</v>
      </c>
      <c r="H182" s="140">
        <f t="shared" si="189"/>
        <v>0.47723602860346803</v>
      </c>
      <c r="I182" s="140">
        <f t="shared" si="189"/>
        <v>0.50466467669812953</v>
      </c>
      <c r="J182" s="140">
        <f t="shared" si="189"/>
        <v>0.53102995354009763</v>
      </c>
      <c r="K182" s="140">
        <f t="shared" si="189"/>
        <v>0.53998080508282364</v>
      </c>
      <c r="L182" s="140">
        <f t="shared" si="189"/>
        <v>0.51592609057524497</v>
      </c>
      <c r="M182" s="140">
        <f t="shared" si="189"/>
        <v>0.49450311164788802</v>
      </c>
      <c r="N182" s="140">
        <f t="shared" si="189"/>
        <v>0.47699180048184975</v>
      </c>
      <c r="O182" s="140">
        <f t="shared" si="189"/>
        <v>0.4540045734635243</v>
      </c>
      <c r="P182" s="140">
        <f t="shared" si="189"/>
        <v>0.44080866332118473</v>
      </c>
      <c r="Q182" s="140">
        <f t="shared" si="189"/>
        <v>0.45305337545815122</v>
      </c>
      <c r="R182" s="140">
        <f t="shared" si="189"/>
        <v>0.43377729773356399</v>
      </c>
      <c r="S182" s="140">
        <f t="shared" si="189"/>
        <v>0.44193027265303714</v>
      </c>
      <c r="T182" s="140">
        <f t="shared" si="189"/>
        <v>0.44174818951086348</v>
      </c>
      <c r="U182" s="140">
        <f t="shared" si="189"/>
        <v>0.45103390874337096</v>
      </c>
      <c r="V182" s="140">
        <f t="shared" si="189"/>
        <v>0.40412521406413093</v>
      </c>
      <c r="W182" s="140">
        <f t="shared" si="189"/>
        <v>0.40966842771531298</v>
      </c>
      <c r="X182" s="140">
        <f t="shared" ref="X182:Y182" si="190">IF(X90=0,0,X90/X$89)</f>
        <v>0.46891750551192268</v>
      </c>
      <c r="Y182" s="140">
        <f t="shared" si="190"/>
        <v>0.46152651911111892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0.3910421976256791</v>
      </c>
      <c r="C183" s="127">
        <f t="shared" ref="C183:W183" si="191">IF(C91=0,0,C91/C$89)</f>
        <v>0.46935166074925644</v>
      </c>
      <c r="D183" s="127">
        <f t="shared" si="191"/>
        <v>0.49460524447987453</v>
      </c>
      <c r="E183" s="127">
        <f t="shared" si="191"/>
        <v>0.47276742884536344</v>
      </c>
      <c r="F183" s="127">
        <f t="shared" si="191"/>
        <v>0.49223818285949034</v>
      </c>
      <c r="G183" s="127">
        <f t="shared" si="191"/>
        <v>0.50055062338746426</v>
      </c>
      <c r="H183" s="127">
        <f t="shared" si="191"/>
        <v>0.52276397139653197</v>
      </c>
      <c r="I183" s="127">
        <f t="shared" si="191"/>
        <v>0.49533532330187058</v>
      </c>
      <c r="J183" s="127">
        <f t="shared" si="191"/>
        <v>0.46897004645990226</v>
      </c>
      <c r="K183" s="127">
        <f t="shared" si="191"/>
        <v>0.4600191949171763</v>
      </c>
      <c r="L183" s="127">
        <f t="shared" si="191"/>
        <v>0.48407390942475514</v>
      </c>
      <c r="M183" s="127">
        <f t="shared" si="191"/>
        <v>0.50549688835211193</v>
      </c>
      <c r="N183" s="127">
        <f t="shared" si="191"/>
        <v>0.52300819951815025</v>
      </c>
      <c r="O183" s="127">
        <f t="shared" si="191"/>
        <v>0.5459954265364757</v>
      </c>
      <c r="P183" s="127">
        <f t="shared" si="191"/>
        <v>0.55919133667881538</v>
      </c>
      <c r="Q183" s="127">
        <f t="shared" si="191"/>
        <v>0.54694662454184884</v>
      </c>
      <c r="R183" s="127">
        <f t="shared" si="191"/>
        <v>0.56622270226643601</v>
      </c>
      <c r="S183" s="127">
        <f t="shared" si="191"/>
        <v>0.55806972734696281</v>
      </c>
      <c r="T183" s="127">
        <f t="shared" si="191"/>
        <v>0.55825181048913652</v>
      </c>
      <c r="U183" s="127">
        <f t="shared" si="191"/>
        <v>0.54896609125662899</v>
      </c>
      <c r="V183" s="127">
        <f t="shared" si="191"/>
        <v>0.59587478593586918</v>
      </c>
      <c r="W183" s="127">
        <f t="shared" si="191"/>
        <v>0.59033157228468702</v>
      </c>
      <c r="X183" s="127">
        <f t="shared" ref="X183:Y183" si="192">IF(X91=0,0,X91/X$89)</f>
        <v>0.53108249448807732</v>
      </c>
      <c r="Y183" s="127">
        <f t="shared" si="192"/>
        <v>0.53847348088888103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38.677396870361441</v>
      </c>
      <c r="C186" s="32">
        <f t="shared" si="193"/>
        <v>37.549043977008253</v>
      </c>
      <c r="D186" s="32">
        <f t="shared" si="193"/>
        <v>37.232213313602266</v>
      </c>
      <c r="E186" s="32">
        <f t="shared" si="193"/>
        <v>38.541294524160293</v>
      </c>
      <c r="F186" s="32">
        <f t="shared" si="193"/>
        <v>36.7628661556396</v>
      </c>
      <c r="G186" s="32">
        <f t="shared" si="193"/>
        <v>36.710278211904928</v>
      </c>
      <c r="H186" s="32">
        <f t="shared" si="193"/>
        <v>36.497676964543047</v>
      </c>
      <c r="I186" s="32">
        <f t="shared" si="193"/>
        <v>36.482566506865041</v>
      </c>
      <c r="J186" s="32">
        <f t="shared" si="193"/>
        <v>34.943433590780792</v>
      </c>
      <c r="K186" s="32">
        <f t="shared" si="193"/>
        <v>35.45162786434684</v>
      </c>
      <c r="L186" s="32">
        <f t="shared" si="193"/>
        <v>31.666836232499591</v>
      </c>
      <c r="M186" s="32">
        <f t="shared" si="193"/>
        <v>31.172148589536238</v>
      </c>
      <c r="N186" s="32">
        <f t="shared" si="193"/>
        <v>27.358372928528293</v>
      </c>
      <c r="O186" s="32">
        <f t="shared" si="193"/>
        <v>26.33621167907501</v>
      </c>
      <c r="P186" s="32">
        <f t="shared" si="193"/>
        <v>25.688168524777129</v>
      </c>
      <c r="Q186" s="32">
        <f t="shared" si="193"/>
        <v>25.754549981118302</v>
      </c>
      <c r="R186" s="32">
        <f t="shared" si="193"/>
        <v>25.588383162714855</v>
      </c>
      <c r="S186" s="32">
        <f t="shared" si="193"/>
        <v>25.272588767120272</v>
      </c>
      <c r="T186" s="32">
        <f t="shared" si="193"/>
        <v>25.075356201719771</v>
      </c>
      <c r="U186" s="32">
        <f t="shared" si="193"/>
        <v>24.956593568995604</v>
      </c>
      <c r="V186" s="32">
        <f t="shared" si="193"/>
        <v>25.657933801084983</v>
      </c>
      <c r="W186" s="32">
        <f t="shared" si="193"/>
        <v>25.869599509780137</v>
      </c>
      <c r="X186" s="32">
        <f t="shared" si="193"/>
        <v>24.529918958342691</v>
      </c>
      <c r="Y186" s="32">
        <f t="shared" si="193"/>
        <v>24.691566174721405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39.170247991151136</v>
      </c>
      <c r="C187" s="141">
        <f t="shared" si="194"/>
        <v>38.152059273779962</v>
      </c>
      <c r="D187" s="141">
        <f t="shared" si="194"/>
        <v>37.964288432463178</v>
      </c>
      <c r="E187" s="141">
        <f t="shared" si="194"/>
        <v>39.63967597412443</v>
      </c>
      <c r="F187" s="141">
        <f t="shared" si="194"/>
        <v>37.546975744950046</v>
      </c>
      <c r="G187" s="141">
        <f t="shared" si="194"/>
        <v>38.062729630562679</v>
      </c>
      <c r="H187" s="141">
        <f t="shared" si="194"/>
        <v>37.20914430040596</v>
      </c>
      <c r="I187" s="141">
        <f t="shared" si="194"/>
        <v>37.286983118611531</v>
      </c>
      <c r="J187" s="141">
        <f t="shared" si="194"/>
        <v>34.667391476157484</v>
      </c>
      <c r="K187" s="141">
        <f t="shared" si="194"/>
        <v>36.32162252139625</v>
      </c>
      <c r="L187" s="141">
        <f t="shared" si="194"/>
        <v>33.19274625738209</v>
      </c>
      <c r="M187" s="141">
        <f t="shared" si="194"/>
        <v>32.518222900892503</v>
      </c>
      <c r="N187" s="141">
        <f t="shared" si="194"/>
        <v>27.905019144407564</v>
      </c>
      <c r="O187" s="141">
        <f t="shared" si="194"/>
        <v>27.043383902837469</v>
      </c>
      <c r="P187" s="141">
        <f t="shared" si="194"/>
        <v>25.924879246440497</v>
      </c>
      <c r="Q187" s="141">
        <f t="shared" si="194"/>
        <v>26.010458106929651</v>
      </c>
      <c r="R187" s="141">
        <f t="shared" si="194"/>
        <v>25.868496700303901</v>
      </c>
      <c r="S187" s="141">
        <f t="shared" si="194"/>
        <v>25.563994079927383</v>
      </c>
      <c r="T187" s="141">
        <f t="shared" si="194"/>
        <v>25.174473523936321</v>
      </c>
      <c r="U187" s="141">
        <f t="shared" si="194"/>
        <v>25.29940441277083</v>
      </c>
      <c r="V187" s="141">
        <f t="shared" si="194"/>
        <v>25.600235383141147</v>
      </c>
      <c r="W187" s="141">
        <f t="shared" si="194"/>
        <v>25.602146567904889</v>
      </c>
      <c r="X187" s="141">
        <f t="shared" si="194"/>
        <v>24.806342033128697</v>
      </c>
      <c r="Y187" s="141">
        <f t="shared" si="194"/>
        <v>24.949315190701846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38.604162478820314</v>
      </c>
      <c r="C188" s="97">
        <f t="shared" si="195"/>
        <v>39.554818839863273</v>
      </c>
      <c r="D188" s="97">
        <f t="shared" si="195"/>
        <v>39.263658042395349</v>
      </c>
      <c r="E188" s="97">
        <f t="shared" si="195"/>
        <v>38.792320885112211</v>
      </c>
      <c r="F188" s="97">
        <f t="shared" si="195"/>
        <v>37.625373019666895</v>
      </c>
      <c r="G188" s="97">
        <f t="shared" si="195"/>
        <v>37.893868132277682</v>
      </c>
      <c r="H188" s="97">
        <f t="shared" si="195"/>
        <v>36.47556328327002</v>
      </c>
      <c r="I188" s="97">
        <f t="shared" si="195"/>
        <v>35.628490434584343</v>
      </c>
      <c r="J188" s="97">
        <f t="shared" si="195"/>
        <v>35.726069482483993</v>
      </c>
      <c r="K188" s="97">
        <f t="shared" si="195"/>
        <v>35.811053549310159</v>
      </c>
      <c r="L188" s="97">
        <f t="shared" si="195"/>
        <v>35.531317714391825</v>
      </c>
      <c r="M188" s="97">
        <f t="shared" si="195"/>
        <v>35.123383861069172</v>
      </c>
      <c r="N188" s="97">
        <f t="shared" si="195"/>
        <v>34.687129100399488</v>
      </c>
      <c r="O188" s="97">
        <f t="shared" si="195"/>
        <v>34.066505487830163</v>
      </c>
      <c r="P188" s="97">
        <f t="shared" si="195"/>
        <v>32.699329854384295</v>
      </c>
      <c r="Q188" s="97">
        <f t="shared" si="195"/>
        <v>32.190646357330635</v>
      </c>
      <c r="R188" s="97">
        <f t="shared" si="195"/>
        <v>31.805627395163619</v>
      </c>
      <c r="S188" s="97">
        <f t="shared" si="195"/>
        <v>31.627105068694672</v>
      </c>
      <c r="T188" s="97">
        <f t="shared" si="195"/>
        <v>31.0939387939009</v>
      </c>
      <c r="U188" s="97">
        <f t="shared" si="195"/>
        <v>30.68279267521444</v>
      </c>
      <c r="V188" s="97">
        <f t="shared" si="195"/>
        <v>30.378888969094028</v>
      </c>
      <c r="W188" s="97">
        <f t="shared" si="195"/>
        <v>30.068648230251345</v>
      </c>
      <c r="X188" s="97">
        <f t="shared" si="195"/>
        <v>29.892467840986953</v>
      </c>
      <c r="Y188" s="97">
        <f t="shared" si="195"/>
        <v>29.151126656050675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43.710769303568284</v>
      </c>
      <c r="C189" s="97">
        <f t="shared" si="196"/>
        <v>42.221350512092464</v>
      </c>
      <c r="D189" s="97">
        <f t="shared" si="196"/>
        <v>41.885545351863975</v>
      </c>
      <c r="E189" s="97">
        <f t="shared" si="196"/>
        <v>41.896514628736867</v>
      </c>
      <c r="F189" s="97">
        <f t="shared" si="196"/>
        <v>41.034382847096126</v>
      </c>
      <c r="G189" s="97">
        <f t="shared" si="196"/>
        <v>40.725322726880854</v>
      </c>
      <c r="H189" s="97">
        <f t="shared" si="196"/>
        <v>39.733453148528206</v>
      </c>
      <c r="I189" s="97">
        <f t="shared" si="196"/>
        <v>39.640219287260784</v>
      </c>
      <c r="J189" s="97">
        <f t="shared" si="196"/>
        <v>36.713394373513957</v>
      </c>
      <c r="K189" s="97">
        <f t="shared" si="196"/>
        <v>37.354096016940552</v>
      </c>
      <c r="L189" s="97">
        <f t="shared" si="196"/>
        <v>34.254989669093028</v>
      </c>
      <c r="M189" s="97">
        <f t="shared" si="196"/>
        <v>33.061755188567531</v>
      </c>
      <c r="N189" s="97">
        <f t="shared" si="196"/>
        <v>28.203112865655719</v>
      </c>
      <c r="O189" s="97">
        <f t="shared" si="196"/>
        <v>26.40347997606267</v>
      </c>
      <c r="P189" s="97">
        <f t="shared" si="196"/>
        <v>25.23042611923222</v>
      </c>
      <c r="Q189" s="97">
        <f t="shared" si="196"/>
        <v>25.659913330239817</v>
      </c>
      <c r="R189" s="97">
        <f t="shared" si="196"/>
        <v>25.364855639809686</v>
      </c>
      <c r="S189" s="97">
        <f t="shared" si="196"/>
        <v>24.883984101529499</v>
      </c>
      <c r="T189" s="97">
        <f t="shared" si="196"/>
        <v>24.416728259023628</v>
      </c>
      <c r="U189" s="97">
        <f t="shared" si="196"/>
        <v>24.382550977841515</v>
      </c>
      <c r="V189" s="97">
        <f t="shared" si="196"/>
        <v>22.844385253393359</v>
      </c>
      <c r="W189" s="97">
        <f t="shared" si="196"/>
        <v>23.261519273103129</v>
      </c>
      <c r="X189" s="97">
        <f t="shared" si="196"/>
        <v>23.220784636033816</v>
      </c>
      <c r="Y189" s="97">
        <f t="shared" si="196"/>
        <v>23.608591436670832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26.102376885960279</v>
      </c>
      <c r="C190" s="97">
        <f t="shared" si="197"/>
        <v>25.160698993284505</v>
      </c>
      <c r="D190" s="97">
        <f t="shared" si="197"/>
        <v>24.827782744312206</v>
      </c>
      <c r="E190" s="97">
        <f t="shared" si="197"/>
        <v>32.035859900233476</v>
      </c>
      <c r="F190" s="97">
        <f t="shared" si="197"/>
        <v>24.610125796099112</v>
      </c>
      <c r="G190" s="97">
        <f t="shared" si="197"/>
        <v>27.678223129215556</v>
      </c>
      <c r="H190" s="97">
        <f t="shared" si="197"/>
        <v>26.972249945826547</v>
      </c>
      <c r="I190" s="97">
        <f t="shared" si="197"/>
        <v>27.54900371981546</v>
      </c>
      <c r="J190" s="97">
        <f t="shared" si="197"/>
        <v>25.121636314318788</v>
      </c>
      <c r="K190" s="97">
        <f t="shared" si="197"/>
        <v>31.471935201375963</v>
      </c>
      <c r="L190" s="97">
        <f t="shared" si="197"/>
        <v>27.366508172411127</v>
      </c>
      <c r="M190" s="97">
        <f t="shared" si="197"/>
        <v>29.059487452508819</v>
      </c>
      <c r="N190" s="97">
        <f t="shared" si="197"/>
        <v>23.997644914757224</v>
      </c>
      <c r="O190" s="97">
        <f t="shared" si="197"/>
        <v>27.272460223167496</v>
      </c>
      <c r="P190" s="97">
        <f t="shared" si="197"/>
        <v>26.408786670928091</v>
      </c>
      <c r="Q190" s="97">
        <f t="shared" si="197"/>
        <v>25.15128222674986</v>
      </c>
      <c r="R190" s="97">
        <f t="shared" si="197"/>
        <v>25.784439730106289</v>
      </c>
      <c r="S190" s="97">
        <f t="shared" si="197"/>
        <v>26.509328183159042</v>
      </c>
      <c r="T190" s="97">
        <f t="shared" si="197"/>
        <v>26.769268490278687</v>
      </c>
      <c r="U190" s="97">
        <f t="shared" si="197"/>
        <v>27.882962428403022</v>
      </c>
      <c r="V190" s="97">
        <f t="shared" si="197"/>
        <v>41.824435480035717</v>
      </c>
      <c r="W190" s="97">
        <f t="shared" si="197"/>
        <v>39.737032810850408</v>
      </c>
      <c r="X190" s="97">
        <f t="shared" si="197"/>
        <v>31.890559979891346</v>
      </c>
      <c r="Y190" s="97">
        <f t="shared" si="197"/>
        <v>30.851563977829112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15.014744438221147</v>
      </c>
      <c r="C191" s="130">
        <f t="shared" si="198"/>
        <v>15.397755074483532</v>
      </c>
      <c r="D191" s="130">
        <f t="shared" si="198"/>
        <v>14.801800820572623</v>
      </c>
      <c r="E191" s="130">
        <f t="shared" si="198"/>
        <v>15.641282402307271</v>
      </c>
      <c r="F191" s="130">
        <f t="shared" si="198"/>
        <v>14.442363290160579</v>
      </c>
      <c r="G191" s="130">
        <f t="shared" si="198"/>
        <v>12.6179848846671</v>
      </c>
      <c r="H191" s="130">
        <f t="shared" si="198"/>
        <v>13.383199662343706</v>
      </c>
      <c r="I191" s="130">
        <f t="shared" si="198"/>
        <v>12.058731498112056</v>
      </c>
      <c r="J191" s="130">
        <f t="shared" si="198"/>
        <v>11.519287349310057</v>
      </c>
      <c r="K191" s="130">
        <f t="shared" si="198"/>
        <v>11.308118358583915</v>
      </c>
      <c r="L191" s="130">
        <f t="shared" si="198"/>
        <v>6.9357931162345858</v>
      </c>
      <c r="M191" s="130">
        <f t="shared" si="198"/>
        <v>7.062850340012143</v>
      </c>
      <c r="N191" s="130">
        <f t="shared" si="198"/>
        <v>11.470193852083558</v>
      </c>
      <c r="O191" s="130">
        <f t="shared" si="198"/>
        <v>9.5510587796722302</v>
      </c>
      <c r="P191" s="130">
        <f t="shared" si="198"/>
        <v>20.544795430653757</v>
      </c>
      <c r="Q191" s="130">
        <f t="shared" si="198"/>
        <v>19.539604213760636</v>
      </c>
      <c r="R191" s="130">
        <f t="shared" si="198"/>
        <v>19.365865196406876</v>
      </c>
      <c r="S191" s="130">
        <f t="shared" si="198"/>
        <v>19.137625678375048</v>
      </c>
      <c r="T191" s="130">
        <f t="shared" si="198"/>
        <v>18.765128152498782</v>
      </c>
      <c r="U191" s="130">
        <f t="shared" si="198"/>
        <v>8.3431089936648775</v>
      </c>
      <c r="V191" s="130">
        <f t="shared" si="198"/>
        <v>10.507087713055938</v>
      </c>
      <c r="W191" s="130">
        <f t="shared" si="198"/>
        <v>10.860323089758049</v>
      </c>
      <c r="X191" s="130">
        <f t="shared" si="198"/>
        <v>8.7345418608410874</v>
      </c>
      <c r="Y191" s="130">
        <f t="shared" si="198"/>
        <v>8.2983154248674005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5.367096572849448</v>
      </c>
      <c r="C192" s="97">
        <f t="shared" si="199"/>
        <v>5.321955718734352</v>
      </c>
      <c r="D192" s="97">
        <f t="shared" si="199"/>
        <v>5.3090558725069217</v>
      </c>
      <c r="E192" s="97">
        <f t="shared" si="199"/>
        <v>5.3649974257537076</v>
      </c>
      <c r="F192" s="97">
        <f t="shared" si="199"/>
        <v>5.2864235595302036</v>
      </c>
      <c r="G192" s="97">
        <f t="shared" si="199"/>
        <v>2.6163388338374824</v>
      </c>
      <c r="H192" s="97">
        <f t="shared" si="199"/>
        <v>4.1936021932613281</v>
      </c>
      <c r="I192" s="97">
        <f t="shared" si="199"/>
        <v>4.8629171226871097</v>
      </c>
      <c r="J192" s="97">
        <f t="shared" si="199"/>
        <v>3.1232620577752241</v>
      </c>
      <c r="K192" s="97">
        <f t="shared" si="199"/>
        <v>3.5690644095698718</v>
      </c>
      <c r="L192" s="97">
        <f t="shared" si="199"/>
        <v>2.0733704180351857</v>
      </c>
      <c r="M192" s="97">
        <f t="shared" si="199"/>
        <v>2.6863643697575283</v>
      </c>
      <c r="N192" s="97">
        <f t="shared" si="199"/>
        <v>2.4002986458280149</v>
      </c>
      <c r="O192" s="97">
        <f t="shared" si="199"/>
        <v>3.8431400369947339</v>
      </c>
      <c r="P192" s="97">
        <f t="shared" si="199"/>
        <v>4.9303522617465125</v>
      </c>
      <c r="Q192" s="97">
        <f t="shared" si="199"/>
        <v>4.529130885520944</v>
      </c>
      <c r="R192" s="97">
        <f t="shared" si="199"/>
        <v>4.4060770329887582</v>
      </c>
      <c r="S192" s="97">
        <f t="shared" si="199"/>
        <v>4.44517264546141</v>
      </c>
      <c r="T192" s="97">
        <f t="shared" si="199"/>
        <v>4.4037335684906509</v>
      </c>
      <c r="U192" s="97">
        <f t="shared" si="199"/>
        <v>3.8644414622894381</v>
      </c>
      <c r="V192" s="97">
        <f t="shared" si="199"/>
        <v>5.8413843247432631</v>
      </c>
      <c r="W192" s="97">
        <f t="shared" si="199"/>
        <v>5.6331580158572825</v>
      </c>
      <c r="X192" s="97">
        <f t="shared" si="199"/>
        <v>4.9096461806025173</v>
      </c>
      <c r="Y192" s="97">
        <f t="shared" si="199"/>
        <v>4.6861802073748855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21.102072624749418</v>
      </c>
      <c r="C193" s="97">
        <f t="shared" si="200"/>
        <v>23.068512454647475</v>
      </c>
      <c r="D193" s="97">
        <f t="shared" si="200"/>
        <v>21.781760341209168</v>
      </c>
      <c r="E193" s="97">
        <f t="shared" si="200"/>
        <v>24.781561288695446</v>
      </c>
      <c r="F193" s="97">
        <f t="shared" si="200"/>
        <v>22.676122040727467</v>
      </c>
      <c r="G193" s="97">
        <f t="shared" si="200"/>
        <v>20.709931527733136</v>
      </c>
      <c r="H193" s="97">
        <f t="shared" si="200"/>
        <v>21.248399042287211</v>
      </c>
      <c r="I193" s="97">
        <f t="shared" si="200"/>
        <v>18.024173467376261</v>
      </c>
      <c r="J193" s="97">
        <f t="shared" si="200"/>
        <v>19.930513652235717</v>
      </c>
      <c r="K193" s="97">
        <f t="shared" si="200"/>
        <v>20.123359768810548</v>
      </c>
      <c r="L193" s="97">
        <f t="shared" si="200"/>
        <v>12.887238521540004</v>
      </c>
      <c r="M193" s="97">
        <f t="shared" si="200"/>
        <v>14.712939438077912</v>
      </c>
      <c r="N193" s="97">
        <f t="shared" si="200"/>
        <v>29.668734625624229</v>
      </c>
      <c r="O193" s="97">
        <f t="shared" si="200"/>
        <v>18.545411716009465</v>
      </c>
      <c r="P193" s="97">
        <f t="shared" si="200"/>
        <v>44.75692648272652</v>
      </c>
      <c r="Q193" s="97">
        <f t="shared" si="200"/>
        <v>39.43359017350901</v>
      </c>
      <c r="R193" s="97">
        <f t="shared" si="200"/>
        <v>40.121542191302659</v>
      </c>
      <c r="S193" s="97">
        <f t="shared" si="200"/>
        <v>41.447800890827338</v>
      </c>
      <c r="T193" s="97">
        <f t="shared" si="200"/>
        <v>40.820582169495019</v>
      </c>
      <c r="U193" s="97">
        <f t="shared" si="200"/>
        <v>14.345197928764062</v>
      </c>
      <c r="V193" s="97">
        <f t="shared" si="200"/>
        <v>18.442137248994801</v>
      </c>
      <c r="W193" s="97">
        <f t="shared" si="200"/>
        <v>19.872019797689465</v>
      </c>
      <c r="X193" s="97">
        <f t="shared" si="200"/>
        <v>13.683233487025081</v>
      </c>
      <c r="Y193" s="97">
        <f t="shared" si="200"/>
        <v>16.509766924940401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0</v>
      </c>
      <c r="C194" s="97">
        <f t="shared" si="201"/>
        <v>0</v>
      </c>
      <c r="D194" s="97">
        <f t="shared" si="201"/>
        <v>0</v>
      </c>
      <c r="E194" s="97">
        <f t="shared" si="201"/>
        <v>0</v>
      </c>
      <c r="F194" s="97">
        <f t="shared" si="201"/>
        <v>0</v>
      </c>
      <c r="G194" s="97">
        <f t="shared" si="201"/>
        <v>0</v>
      </c>
      <c r="H194" s="97">
        <f t="shared" si="201"/>
        <v>0</v>
      </c>
      <c r="I194" s="97">
        <f t="shared" si="201"/>
        <v>0</v>
      </c>
      <c r="J194" s="97">
        <f t="shared" si="201"/>
        <v>0</v>
      </c>
      <c r="K194" s="97">
        <f t="shared" si="201"/>
        <v>0</v>
      </c>
      <c r="L194" s="97">
        <f t="shared" si="201"/>
        <v>0</v>
      </c>
      <c r="M194" s="97">
        <f t="shared" si="201"/>
        <v>0</v>
      </c>
      <c r="N194" s="97">
        <f t="shared" si="201"/>
        <v>0</v>
      </c>
      <c r="O194" s="97">
        <f t="shared" si="201"/>
        <v>0</v>
      </c>
      <c r="P194" s="97">
        <f t="shared" si="201"/>
        <v>0</v>
      </c>
      <c r="Q194" s="97">
        <f t="shared" si="201"/>
        <v>0</v>
      </c>
      <c r="R194" s="97">
        <f t="shared" si="201"/>
        <v>0</v>
      </c>
      <c r="S194" s="97">
        <f t="shared" si="201"/>
        <v>0</v>
      </c>
      <c r="T194" s="97">
        <f t="shared" si="201"/>
        <v>0</v>
      </c>
      <c r="U194" s="97">
        <f t="shared" si="201"/>
        <v>0</v>
      </c>
      <c r="V194" s="97">
        <f t="shared" si="201"/>
        <v>0</v>
      </c>
      <c r="W194" s="97">
        <f t="shared" si="201"/>
        <v>0</v>
      </c>
      <c r="X194" s="97">
        <f t="shared" si="201"/>
        <v>0</v>
      </c>
      <c r="Y194" s="97">
        <f t="shared" si="201"/>
        <v>0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39.53931357700484</v>
      </c>
      <c r="C195" s="130">
        <f t="shared" si="202"/>
        <v>37.907815709463954</v>
      </c>
      <c r="D195" s="130">
        <f t="shared" si="202"/>
        <v>37.19621656253576</v>
      </c>
      <c r="E195" s="130">
        <f t="shared" si="202"/>
        <v>37.089006908220739</v>
      </c>
      <c r="F195" s="130">
        <f t="shared" si="202"/>
        <v>36.363383557758553</v>
      </c>
      <c r="G195" s="130">
        <f t="shared" si="202"/>
        <v>34.637170236916859</v>
      </c>
      <c r="H195" s="130">
        <f t="shared" si="202"/>
        <v>36.337397524494676</v>
      </c>
      <c r="I195" s="130">
        <f t="shared" si="202"/>
        <v>36.14368473616301</v>
      </c>
      <c r="J195" s="130">
        <f t="shared" si="202"/>
        <v>38.144562791078336</v>
      </c>
      <c r="K195" s="130">
        <f t="shared" si="202"/>
        <v>34.356775994946595</v>
      </c>
      <c r="L195" s="130">
        <f t="shared" si="202"/>
        <v>27.984888542031925</v>
      </c>
      <c r="M195" s="130">
        <f t="shared" si="202"/>
        <v>27.998320306206182</v>
      </c>
      <c r="N195" s="130">
        <f t="shared" si="202"/>
        <v>26.436874786500251</v>
      </c>
      <c r="O195" s="130">
        <f t="shared" si="202"/>
        <v>25.063845682161837</v>
      </c>
      <c r="P195" s="130">
        <f t="shared" si="202"/>
        <v>25.266637487376528</v>
      </c>
      <c r="Q195" s="130">
        <f t="shared" si="202"/>
        <v>25.380670671453789</v>
      </c>
      <c r="R195" s="130">
        <f t="shared" si="202"/>
        <v>25.14756018985446</v>
      </c>
      <c r="S195" s="130">
        <f t="shared" si="202"/>
        <v>24.831291115342616</v>
      </c>
      <c r="T195" s="130">
        <f t="shared" si="202"/>
        <v>25.164649254457164</v>
      </c>
      <c r="U195" s="130">
        <f t="shared" si="202"/>
        <v>25.008677983069081</v>
      </c>
      <c r="V195" s="130">
        <f t="shared" si="202"/>
        <v>27.71839443146057</v>
      </c>
      <c r="W195" s="130">
        <f t="shared" si="202"/>
        <v>27.808295119536396</v>
      </c>
      <c r="X195" s="130">
        <f t="shared" si="202"/>
        <v>24.615951276808261</v>
      </c>
      <c r="Y195" s="130">
        <f t="shared" si="202"/>
        <v>24.706414777753992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204.05256427170619</v>
      </c>
      <c r="C196" s="97">
        <f t="shared" si="203"/>
        <v>180.90821849038838</v>
      </c>
      <c r="D196" s="97">
        <f t="shared" si="203"/>
        <v>179.27597526018897</v>
      </c>
      <c r="E196" s="97">
        <f t="shared" si="203"/>
        <v>179.12248515767871</v>
      </c>
      <c r="F196" s="97">
        <f t="shared" si="203"/>
        <v>165.73610250500047</v>
      </c>
      <c r="G196" s="97">
        <f t="shared" si="203"/>
        <v>162.67638459020168</v>
      </c>
      <c r="H196" s="97">
        <f t="shared" si="203"/>
        <v>139.01845478229359</v>
      </c>
      <c r="I196" s="97">
        <f t="shared" si="203"/>
        <v>128.73919344912525</v>
      </c>
      <c r="J196" s="97">
        <f t="shared" si="203"/>
        <v>125.16267041208712</v>
      </c>
      <c r="K196" s="97">
        <f t="shared" si="203"/>
        <v>101.73510774947091</v>
      </c>
      <c r="L196" s="97">
        <f t="shared" si="203"/>
        <v>93.099326993551472</v>
      </c>
      <c r="M196" s="97">
        <f t="shared" si="203"/>
        <v>103.92626381684245</v>
      </c>
      <c r="N196" s="97">
        <f t="shared" si="203"/>
        <v>96.10079210196578</v>
      </c>
      <c r="O196" s="97">
        <f t="shared" si="203"/>
        <v>93.97055649802671</v>
      </c>
      <c r="P196" s="97">
        <f t="shared" si="203"/>
        <v>78.998241627123278</v>
      </c>
      <c r="Q196" s="97">
        <f t="shared" si="203"/>
        <v>61.499905687216675</v>
      </c>
      <c r="R196" s="97">
        <f t="shared" si="203"/>
        <v>64.716336929659917</v>
      </c>
      <c r="S196" s="97">
        <f t="shared" si="203"/>
        <v>67.183961688674017</v>
      </c>
      <c r="T196" s="97">
        <f t="shared" si="203"/>
        <v>76.103326605431477</v>
      </c>
      <c r="U196" s="97">
        <f t="shared" si="203"/>
        <v>77.834756297309809</v>
      </c>
      <c r="V196" s="97">
        <f t="shared" si="203"/>
        <v>70.526618487192252</v>
      </c>
      <c r="W196" s="97">
        <f t="shared" si="203"/>
        <v>75.349753230875095</v>
      </c>
      <c r="X196" s="97">
        <f t="shared" si="203"/>
        <v>74.421492790036751</v>
      </c>
      <c r="Y196" s="97">
        <f t="shared" si="203"/>
        <v>88.862495512631384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24.897314885046246</v>
      </c>
      <c r="C197" s="97">
        <f t="shared" si="204"/>
        <v>24.742062880380644</v>
      </c>
      <c r="D197" s="97">
        <f t="shared" si="204"/>
        <v>24.968120411037884</v>
      </c>
      <c r="E197" s="97">
        <f t="shared" si="204"/>
        <v>25.496567541099491</v>
      </c>
      <c r="F197" s="97">
        <f t="shared" si="204"/>
        <v>24.490337090300748</v>
      </c>
      <c r="G197" s="97">
        <f t="shared" si="204"/>
        <v>23.164950464642182</v>
      </c>
      <c r="H197" s="97">
        <f t="shared" si="204"/>
        <v>27.281668836600218</v>
      </c>
      <c r="I197" s="97">
        <f t="shared" si="204"/>
        <v>28.230554220330905</v>
      </c>
      <c r="J197" s="97">
        <f t="shared" si="204"/>
        <v>31.130313516460575</v>
      </c>
      <c r="K197" s="97">
        <f t="shared" si="204"/>
        <v>27.677144367319869</v>
      </c>
      <c r="L197" s="97">
        <f t="shared" si="204"/>
        <v>22.678985404632737</v>
      </c>
      <c r="M197" s="97">
        <f t="shared" si="204"/>
        <v>23.393130749669208</v>
      </c>
      <c r="N197" s="97">
        <f t="shared" si="204"/>
        <v>22.255916337558542</v>
      </c>
      <c r="O197" s="97">
        <f t="shared" si="204"/>
        <v>22.123299562380737</v>
      </c>
      <c r="P197" s="97">
        <f t="shared" si="204"/>
        <v>22.625838501377569</v>
      </c>
      <c r="Q197" s="97">
        <f t="shared" si="204"/>
        <v>22.757741420497375</v>
      </c>
      <c r="R197" s="97">
        <f t="shared" si="204"/>
        <v>22.700266639378107</v>
      </c>
      <c r="S197" s="97">
        <f t="shared" si="204"/>
        <v>23.086289010904785</v>
      </c>
      <c r="T197" s="97">
        <f t="shared" si="204"/>
        <v>23.44892303752334</v>
      </c>
      <c r="U197" s="97">
        <f t="shared" si="204"/>
        <v>23.509372264045549</v>
      </c>
      <c r="V197" s="97">
        <f t="shared" si="204"/>
        <v>20.822554908467161</v>
      </c>
      <c r="W197" s="97">
        <f t="shared" si="204"/>
        <v>24.212548729299712</v>
      </c>
      <c r="X197" s="97">
        <f t="shared" si="204"/>
        <v>22.467332199124236</v>
      </c>
      <c r="Y197" s="97">
        <f t="shared" si="204"/>
        <v>22.049648527926387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40.308576005656271</v>
      </c>
      <c r="C198" s="97">
        <f t="shared" si="205"/>
        <v>39.877879263153964</v>
      </c>
      <c r="D198" s="97">
        <f t="shared" si="205"/>
        <v>39.608582899099353</v>
      </c>
      <c r="E198" s="97">
        <f t="shared" si="205"/>
        <v>39.444656803707311</v>
      </c>
      <c r="F198" s="97">
        <f t="shared" si="205"/>
        <v>39.875689572489897</v>
      </c>
      <c r="G198" s="97">
        <f t="shared" si="205"/>
        <v>35.527882458665189</v>
      </c>
      <c r="H198" s="97">
        <f t="shared" si="205"/>
        <v>34.290494592016046</v>
      </c>
      <c r="I198" s="97">
        <f t="shared" si="205"/>
        <v>29.580003476946551</v>
      </c>
      <c r="J198" s="97">
        <f t="shared" si="205"/>
        <v>28.86739136285161</v>
      </c>
      <c r="K198" s="97">
        <f t="shared" si="205"/>
        <v>29.723708420312484</v>
      </c>
      <c r="L198" s="97">
        <f t="shared" si="205"/>
        <v>21.694938891986318</v>
      </c>
      <c r="M198" s="97">
        <f t="shared" si="205"/>
        <v>21.098121741662524</v>
      </c>
      <c r="N198" s="97">
        <f t="shared" si="205"/>
        <v>20.447156775853859</v>
      </c>
      <c r="O198" s="97">
        <f t="shared" si="205"/>
        <v>17.112372771883749</v>
      </c>
      <c r="P198" s="97">
        <f t="shared" si="205"/>
        <v>18.668733696512977</v>
      </c>
      <c r="Q198" s="97">
        <f t="shared" si="205"/>
        <v>22.228599017566172</v>
      </c>
      <c r="R198" s="97">
        <f t="shared" si="205"/>
        <v>20.007422063966811</v>
      </c>
      <c r="S198" s="97">
        <f t="shared" si="205"/>
        <v>17.824452528454653</v>
      </c>
      <c r="T198" s="97">
        <f t="shared" si="205"/>
        <v>16.964166935427766</v>
      </c>
      <c r="U198" s="97">
        <f t="shared" si="205"/>
        <v>16.527314939633971</v>
      </c>
      <c r="V198" s="97">
        <f t="shared" si="205"/>
        <v>51.936589175823379</v>
      </c>
      <c r="W198" s="97">
        <f t="shared" si="205"/>
        <v>25.447084165585853</v>
      </c>
      <c r="X198" s="97">
        <f t="shared" si="205"/>
        <v>18.08419599507479</v>
      </c>
      <c r="Y198" s="97">
        <f t="shared" si="205"/>
        <v>16.897471223767511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64.292480955178846</v>
      </c>
      <c r="C199" s="32">
        <f t="shared" si="206"/>
        <v>82.49710661291023</v>
      </c>
      <c r="D199" s="32">
        <f t="shared" si="206"/>
        <v>76.937953903517268</v>
      </c>
      <c r="E199" s="32">
        <f t="shared" si="206"/>
        <v>98.319702517588766</v>
      </c>
      <c r="F199" s="32">
        <f t="shared" si="206"/>
        <v>64.209614600876165</v>
      </c>
      <c r="G199" s="32">
        <f t="shared" si="206"/>
        <v>86.706662965271974</v>
      </c>
      <c r="H199" s="32">
        <f t="shared" si="206"/>
        <v>74.267823599487599</v>
      </c>
      <c r="I199" s="32">
        <f t="shared" si="206"/>
        <v>85.073548768494106</v>
      </c>
      <c r="J199" s="32">
        <f t="shared" si="206"/>
        <v>78.648065012408082</v>
      </c>
      <c r="K199" s="32">
        <f t="shared" si="206"/>
        <v>99.558681669583848</v>
      </c>
      <c r="L199" s="32">
        <f t="shared" si="206"/>
        <v>84.634517409604484</v>
      </c>
      <c r="M199" s="32">
        <f t="shared" si="206"/>
        <v>90.815875516227905</v>
      </c>
      <c r="N199" s="32">
        <f t="shared" si="206"/>
        <v>74.412529901627693</v>
      </c>
      <c r="O199" s="32">
        <f t="shared" si="206"/>
        <v>91.297502928107392</v>
      </c>
      <c r="P199" s="32">
        <f t="shared" si="206"/>
        <v>86.104737634927588</v>
      </c>
      <c r="Q199" s="32">
        <f t="shared" si="206"/>
        <v>85.199330585608394</v>
      </c>
      <c r="R199" s="32">
        <f t="shared" si="206"/>
        <v>84.162123725737715</v>
      </c>
      <c r="S199" s="32">
        <f t="shared" si="206"/>
        <v>80.926583577039594</v>
      </c>
      <c r="T199" s="32">
        <f t="shared" si="206"/>
        <v>84.538781037039158</v>
      </c>
      <c r="U199" s="32">
        <f t="shared" si="206"/>
        <v>88.927127305331254</v>
      </c>
      <c r="V199" s="32">
        <f t="shared" si="206"/>
        <v>91.037163952829559</v>
      </c>
      <c r="W199" s="32">
        <f t="shared" si="206"/>
        <v>85.408980078642642</v>
      </c>
      <c r="X199" s="32">
        <f t="shared" si="206"/>
        <v>89.671112525671575</v>
      </c>
      <c r="Y199" s="32">
        <f t="shared" si="206"/>
        <v>93.707794247607126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72.607394812021596</v>
      </c>
      <c r="C200" s="141">
        <f t="shared" si="207"/>
        <v>71.154739108788903</v>
      </c>
      <c r="D200" s="141">
        <f t="shared" si="207"/>
        <v>70.757782306770196</v>
      </c>
      <c r="E200" s="141">
        <f t="shared" si="207"/>
        <v>103.48981508967783</v>
      </c>
      <c r="F200" s="141">
        <f t="shared" si="207"/>
        <v>57.75768848795871</v>
      </c>
      <c r="G200" s="141">
        <f t="shared" si="207"/>
        <v>83.396132112578087</v>
      </c>
      <c r="H200" s="141">
        <f t="shared" si="207"/>
        <v>67.363135474196966</v>
      </c>
      <c r="I200" s="141">
        <f t="shared" si="207"/>
        <v>82.764180359549215</v>
      </c>
      <c r="J200" s="141">
        <f t="shared" si="207"/>
        <v>75.002911084054148</v>
      </c>
      <c r="K200" s="141">
        <f t="shared" si="207"/>
        <v>87.992940680564189</v>
      </c>
      <c r="L200" s="141">
        <f t="shared" si="207"/>
        <v>75.223648638293923</v>
      </c>
      <c r="M200" s="141">
        <f t="shared" si="207"/>
        <v>87.669498939312803</v>
      </c>
      <c r="N200" s="141">
        <f t="shared" si="207"/>
        <v>66.708162805162857</v>
      </c>
      <c r="O200" s="141">
        <f t="shared" si="207"/>
        <v>93.153192514248985</v>
      </c>
      <c r="P200" s="141">
        <f t="shared" si="207"/>
        <v>85.771209918671232</v>
      </c>
      <c r="Q200" s="141">
        <f t="shared" si="207"/>
        <v>82.796066479159478</v>
      </c>
      <c r="R200" s="141">
        <f t="shared" si="207"/>
        <v>79.93672296986297</v>
      </c>
      <c r="S200" s="141">
        <f t="shared" si="207"/>
        <v>75.751157767341482</v>
      </c>
      <c r="T200" s="141">
        <f t="shared" si="207"/>
        <v>78.766605433892721</v>
      </c>
      <c r="U200" s="141">
        <f t="shared" si="207"/>
        <v>83.892089251747663</v>
      </c>
      <c r="V200" s="141">
        <f t="shared" si="207"/>
        <v>88.975455118078557</v>
      </c>
      <c r="W200" s="141">
        <f t="shared" si="207"/>
        <v>80.115351221623229</v>
      </c>
      <c r="X200" s="141">
        <f t="shared" si="207"/>
        <v>83.111818908862276</v>
      </c>
      <c r="Y200" s="141">
        <f t="shared" si="207"/>
        <v>87.613185656758475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607.60948512873745</v>
      </c>
      <c r="C201" s="97">
        <f t="shared" si="208"/>
        <v>572.65265314205317</v>
      </c>
      <c r="D201" s="97">
        <f t="shared" si="208"/>
        <v>548.48420969341169</v>
      </c>
      <c r="E201" s="97">
        <f t="shared" si="208"/>
        <v>518.49861689717625</v>
      </c>
      <c r="F201" s="97">
        <f t="shared" si="208"/>
        <v>497.58813371317461</v>
      </c>
      <c r="G201" s="97">
        <f t="shared" si="208"/>
        <v>483.30572340297743</v>
      </c>
      <c r="H201" s="97">
        <f t="shared" si="208"/>
        <v>455.08770676961268</v>
      </c>
      <c r="I201" s="97">
        <f t="shared" si="208"/>
        <v>436.47398519773174</v>
      </c>
      <c r="J201" s="97">
        <f t="shared" si="208"/>
        <v>424.04140077899507</v>
      </c>
      <c r="K201" s="97">
        <f t="shared" si="208"/>
        <v>392.73426447340802</v>
      </c>
      <c r="L201" s="97">
        <f t="shared" si="208"/>
        <v>376.24282578944366</v>
      </c>
      <c r="M201" s="97">
        <f t="shared" si="208"/>
        <v>360.42028806646221</v>
      </c>
      <c r="N201" s="97">
        <f t="shared" si="208"/>
        <v>349.61597350573425</v>
      </c>
      <c r="O201" s="97">
        <f t="shared" si="208"/>
        <v>343.33156329850084</v>
      </c>
      <c r="P201" s="97">
        <f t="shared" si="208"/>
        <v>340.5677143750446</v>
      </c>
      <c r="Q201" s="97">
        <f t="shared" si="208"/>
        <v>331.87198922199633</v>
      </c>
      <c r="R201" s="97">
        <f t="shared" si="208"/>
        <v>325.10798502176692</v>
      </c>
      <c r="S201" s="97">
        <f t="shared" si="208"/>
        <v>327.5866314260731</v>
      </c>
      <c r="T201" s="97">
        <f t="shared" si="208"/>
        <v>334.77848315300758</v>
      </c>
      <c r="U201" s="97">
        <f t="shared" si="208"/>
        <v>333.49848887015816</v>
      </c>
      <c r="V201" s="97">
        <f t="shared" si="208"/>
        <v>326.00485658352142</v>
      </c>
      <c r="W201" s="97">
        <f t="shared" si="208"/>
        <v>331.82793464837846</v>
      </c>
      <c r="X201" s="97">
        <f t="shared" si="208"/>
        <v>326.72993976372197</v>
      </c>
      <c r="Y201" s="97">
        <f t="shared" si="208"/>
        <v>321.17648521717132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44.148844173364239</v>
      </c>
      <c r="C202" s="97">
        <f t="shared" si="209"/>
        <v>43.807417682066571</v>
      </c>
      <c r="D202" s="97">
        <f t="shared" si="209"/>
        <v>43.658374159838907</v>
      </c>
      <c r="E202" s="97">
        <f t="shared" si="209"/>
        <v>65.087456008315499</v>
      </c>
      <c r="F202" s="97">
        <f t="shared" si="209"/>
        <v>36.725578996031658</v>
      </c>
      <c r="G202" s="97">
        <f t="shared" si="209"/>
        <v>52.872275785403843</v>
      </c>
      <c r="H202" s="97">
        <f t="shared" si="209"/>
        <v>43.564575020305945</v>
      </c>
      <c r="I202" s="97">
        <f t="shared" si="209"/>
        <v>54.065016003484516</v>
      </c>
      <c r="J202" s="97">
        <f t="shared" si="209"/>
        <v>49.020278409533283</v>
      </c>
      <c r="K202" s="97">
        <f t="shared" si="209"/>
        <v>64.756684795740355</v>
      </c>
      <c r="L202" s="97">
        <f t="shared" si="209"/>
        <v>52.505385723816026</v>
      </c>
      <c r="M202" s="97">
        <f t="shared" si="209"/>
        <v>60.675232474109656</v>
      </c>
      <c r="N202" s="97">
        <f t="shared" si="209"/>
        <v>42.801757233453749</v>
      </c>
      <c r="O202" s="97">
        <f t="shared" si="209"/>
        <v>62.516385769478518</v>
      </c>
      <c r="P202" s="97">
        <f t="shared" si="209"/>
        <v>58.572864303832525</v>
      </c>
      <c r="Q202" s="97">
        <f t="shared" si="209"/>
        <v>50.339107600509124</v>
      </c>
      <c r="R202" s="97">
        <f t="shared" si="209"/>
        <v>48.397177343343877</v>
      </c>
      <c r="S202" s="97">
        <f t="shared" si="209"/>
        <v>47.90031685930947</v>
      </c>
      <c r="T202" s="97">
        <f t="shared" si="209"/>
        <v>50.740369100681221</v>
      </c>
      <c r="U202" s="97">
        <f t="shared" si="209"/>
        <v>55.832741266192315</v>
      </c>
      <c r="V202" s="97">
        <f t="shared" si="209"/>
        <v>62.418108100565675</v>
      </c>
      <c r="W202" s="97">
        <f t="shared" si="209"/>
        <v>54.465107406549478</v>
      </c>
      <c r="X202" s="97">
        <f t="shared" si="209"/>
        <v>57.062773497329715</v>
      </c>
      <c r="Y202" s="97">
        <f t="shared" si="209"/>
        <v>59.622274470205056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7.7813645635851065</v>
      </c>
      <c r="C203" s="130">
        <f t="shared" si="210"/>
        <v>7.6393813197535465</v>
      </c>
      <c r="D203" s="130">
        <f t="shared" si="210"/>
        <v>8.499638410410407</v>
      </c>
      <c r="E203" s="130">
        <f t="shared" si="210"/>
        <v>8.0673221018518735</v>
      </c>
      <c r="F203" s="130">
        <f t="shared" si="210"/>
        <v>7.9398976487081896</v>
      </c>
      <c r="G203" s="130">
        <f t="shared" si="210"/>
        <v>5.6932149716998284</v>
      </c>
      <c r="H203" s="130">
        <f t="shared" si="210"/>
        <v>5.7921014802397082</v>
      </c>
      <c r="I203" s="130">
        <f t="shared" si="210"/>
        <v>5.7548918963096094</v>
      </c>
      <c r="J203" s="130">
        <f t="shared" si="210"/>
        <v>7.8352895926999837</v>
      </c>
      <c r="K203" s="130">
        <f t="shared" si="210"/>
        <v>5.0330384610299239</v>
      </c>
      <c r="L203" s="130">
        <f t="shared" si="210"/>
        <v>4.8407910623192283</v>
      </c>
      <c r="M203" s="130">
        <f t="shared" si="210"/>
        <v>4.4597634840609954</v>
      </c>
      <c r="N203" s="130">
        <f t="shared" si="210"/>
        <v>5.8189295624373845</v>
      </c>
      <c r="O203" s="130">
        <f t="shared" si="210"/>
        <v>5.1712111673669909</v>
      </c>
      <c r="P203" s="130">
        <f t="shared" si="210"/>
        <v>5.4424020266941131</v>
      </c>
      <c r="Q203" s="130">
        <f t="shared" si="210"/>
        <v>5.4402178145492925</v>
      </c>
      <c r="R203" s="130">
        <f t="shared" si="210"/>
        <v>5.3579886309463287</v>
      </c>
      <c r="S203" s="130">
        <f t="shared" si="210"/>
        <v>5.2391350983241924</v>
      </c>
      <c r="T203" s="130">
        <f t="shared" si="210"/>
        <v>5.1787630788936925</v>
      </c>
      <c r="U203" s="130">
        <f t="shared" si="210"/>
        <v>4.2315957164931133</v>
      </c>
      <c r="V203" s="130">
        <f t="shared" si="210"/>
        <v>4.6500778370264451</v>
      </c>
      <c r="W203" s="130">
        <f t="shared" si="210"/>
        <v>4.3476034536560535</v>
      </c>
      <c r="X203" s="130">
        <f t="shared" si="210"/>
        <v>4.1785279664616573</v>
      </c>
      <c r="Y203" s="130">
        <f t="shared" si="210"/>
        <v>5.2380143857980057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225.60626860968958</v>
      </c>
      <c r="C204" s="130">
        <f t="shared" si="211"/>
        <v>211.88124502949918</v>
      </c>
      <c r="D204" s="130">
        <f t="shared" si="211"/>
        <v>219.4798802123571</v>
      </c>
      <c r="E204" s="130">
        <f t="shared" si="211"/>
        <v>209.46029326525857</v>
      </c>
      <c r="F204" s="130">
        <f t="shared" si="211"/>
        <v>197.58402702632097</v>
      </c>
      <c r="G204" s="130">
        <f t="shared" si="211"/>
        <v>204.82194564203365</v>
      </c>
      <c r="H204" s="130">
        <f t="shared" si="211"/>
        <v>234.38503695314307</v>
      </c>
      <c r="I204" s="130">
        <f t="shared" si="211"/>
        <v>217.76010600759582</v>
      </c>
      <c r="J204" s="130">
        <f t="shared" si="211"/>
        <v>233.37541386575728</v>
      </c>
      <c r="K204" s="130">
        <f t="shared" si="211"/>
        <v>188.57128909784765</v>
      </c>
      <c r="L204" s="130">
        <f t="shared" si="211"/>
        <v>170.04421295239197</v>
      </c>
      <c r="M204" s="130">
        <f t="shared" si="211"/>
        <v>167.59005646446298</v>
      </c>
      <c r="N204" s="130">
        <f t="shared" si="211"/>
        <v>154.1018900553747</v>
      </c>
      <c r="O204" s="130">
        <f t="shared" si="211"/>
        <v>160.22297794715544</v>
      </c>
      <c r="P204" s="130">
        <f t="shared" si="211"/>
        <v>136.11112743855674</v>
      </c>
      <c r="Q204" s="130">
        <f t="shared" si="211"/>
        <v>127.63199291086225</v>
      </c>
      <c r="R204" s="130">
        <f t="shared" si="211"/>
        <v>114.61774354614424</v>
      </c>
      <c r="S204" s="130">
        <f t="shared" si="211"/>
        <v>112.34333652615373</v>
      </c>
      <c r="T204" s="130">
        <f t="shared" si="211"/>
        <v>102.80521603562326</v>
      </c>
      <c r="U204" s="130">
        <f t="shared" si="211"/>
        <v>90.8349493721486</v>
      </c>
      <c r="V204" s="130">
        <f t="shared" si="211"/>
        <v>108.60656803843318</v>
      </c>
      <c r="W204" s="130">
        <f t="shared" si="211"/>
        <v>90.122714799407959</v>
      </c>
      <c r="X204" s="130">
        <f t="shared" si="211"/>
        <v>87.183600076774113</v>
      </c>
      <c r="Y204" s="130">
        <f t="shared" si="211"/>
        <v>93.777872693914304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1112.4259760099806</v>
      </c>
      <c r="C205" s="97">
        <f t="shared" si="212"/>
        <v>1000.5474342291569</v>
      </c>
      <c r="D205" s="97">
        <f t="shared" si="212"/>
        <v>970.54674787984493</v>
      </c>
      <c r="E205" s="97">
        <f t="shared" si="212"/>
        <v>916.39751802196452</v>
      </c>
      <c r="F205" s="97">
        <f t="shared" si="212"/>
        <v>920.53577334989973</v>
      </c>
      <c r="G205" s="97">
        <f t="shared" si="212"/>
        <v>984.26783556356236</v>
      </c>
      <c r="H205" s="97">
        <f t="shared" si="212"/>
        <v>885.97518297759302</v>
      </c>
      <c r="I205" s="97">
        <f t="shared" si="212"/>
        <v>864.79101600291528</v>
      </c>
      <c r="J205" s="97">
        <f t="shared" si="212"/>
        <v>909.39967612622411</v>
      </c>
      <c r="K205" s="97">
        <f t="shared" si="212"/>
        <v>670.25086284649251</v>
      </c>
      <c r="L205" s="97">
        <f t="shared" si="212"/>
        <v>582.72456818370108</v>
      </c>
      <c r="M205" s="97">
        <f t="shared" si="212"/>
        <v>579.08456111158273</v>
      </c>
      <c r="N205" s="97">
        <f t="shared" si="212"/>
        <v>494.56955388239965</v>
      </c>
      <c r="O205" s="97">
        <f t="shared" si="212"/>
        <v>499.72546855379198</v>
      </c>
      <c r="P205" s="97">
        <f t="shared" si="212"/>
        <v>427.6615086953492</v>
      </c>
      <c r="Q205" s="97">
        <f t="shared" si="212"/>
        <v>351.96494931942584</v>
      </c>
      <c r="R205" s="97">
        <f t="shared" si="212"/>
        <v>334.81832241623385</v>
      </c>
      <c r="S205" s="97">
        <f t="shared" si="212"/>
        <v>380.59636675202677</v>
      </c>
      <c r="T205" s="97">
        <f t="shared" si="212"/>
        <v>413.00151149543461</v>
      </c>
      <c r="U205" s="97">
        <f t="shared" si="212"/>
        <v>363.65246603959247</v>
      </c>
      <c r="V205" s="97">
        <f t="shared" si="212"/>
        <v>256.48907513932352</v>
      </c>
      <c r="W205" s="97">
        <f t="shared" si="212"/>
        <v>309.60388156455997</v>
      </c>
      <c r="X205" s="97">
        <f t="shared" si="212"/>
        <v>383.38608433895337</v>
      </c>
      <c r="Y205" s="97">
        <f t="shared" si="212"/>
        <v>497.05926816277469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163.69187247738657</v>
      </c>
      <c r="C206" s="97">
        <f t="shared" si="213"/>
        <v>154.30453838402516</v>
      </c>
      <c r="D206" s="97">
        <f t="shared" si="213"/>
        <v>164.004852134239</v>
      </c>
      <c r="E206" s="97">
        <f t="shared" si="213"/>
        <v>161.23489640312292</v>
      </c>
      <c r="F206" s="97">
        <f t="shared" si="213"/>
        <v>167.18073511284152</v>
      </c>
      <c r="G206" s="97">
        <f t="shared" si="213"/>
        <v>170.2517563674399</v>
      </c>
      <c r="H206" s="97">
        <f t="shared" si="213"/>
        <v>233.89642920961634</v>
      </c>
      <c r="I206" s="97">
        <f t="shared" si="213"/>
        <v>227.31280197705485</v>
      </c>
      <c r="J206" s="97">
        <f t="shared" si="213"/>
        <v>254.0569091023327</v>
      </c>
      <c r="K206" s="97">
        <f t="shared" si="213"/>
        <v>214.16237534263456</v>
      </c>
      <c r="L206" s="97">
        <f t="shared" si="213"/>
        <v>174.69137113403303</v>
      </c>
      <c r="M206" s="97">
        <f t="shared" si="213"/>
        <v>177.95144588042473</v>
      </c>
      <c r="N206" s="97">
        <f t="shared" si="213"/>
        <v>161.82897391682874</v>
      </c>
      <c r="O206" s="97">
        <f t="shared" si="213"/>
        <v>166.7459358334691</v>
      </c>
      <c r="P206" s="97">
        <f t="shared" si="213"/>
        <v>144.93605019118655</v>
      </c>
      <c r="Q206" s="97">
        <f t="shared" si="213"/>
        <v>143.58795191778231</v>
      </c>
      <c r="R206" s="97">
        <f t="shared" si="213"/>
        <v>132.70729336265185</v>
      </c>
      <c r="S206" s="97">
        <f t="shared" si="213"/>
        <v>148.51403073682044</v>
      </c>
      <c r="T206" s="97">
        <f t="shared" si="213"/>
        <v>146.80658809483768</v>
      </c>
      <c r="U206" s="97">
        <f t="shared" si="213"/>
        <v>139.00332809605263</v>
      </c>
      <c r="V206" s="97">
        <f t="shared" si="213"/>
        <v>122.59546792397717</v>
      </c>
      <c r="W206" s="97">
        <f t="shared" si="213"/>
        <v>139.76897761611684</v>
      </c>
      <c r="X206" s="97">
        <f t="shared" si="213"/>
        <v>149.95351617799707</v>
      </c>
      <c r="Y206" s="97">
        <f t="shared" si="213"/>
        <v>153.25626568526974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44.402444451548561</v>
      </c>
      <c r="C207" s="97">
        <f t="shared" si="214"/>
        <v>42.129307803104318</v>
      </c>
      <c r="D207" s="97">
        <f t="shared" si="214"/>
        <v>44.597893744789744</v>
      </c>
      <c r="E207" s="97">
        <f t="shared" si="214"/>
        <v>49.252635405080511</v>
      </c>
      <c r="F207" s="97">
        <f t="shared" si="214"/>
        <v>48.695409714173735</v>
      </c>
      <c r="G207" s="97">
        <f t="shared" si="214"/>
        <v>52.143394232807807</v>
      </c>
      <c r="H207" s="97">
        <f t="shared" si="214"/>
        <v>50.088573530944771</v>
      </c>
      <c r="I207" s="97">
        <f t="shared" si="214"/>
        <v>41.943215059572694</v>
      </c>
      <c r="J207" s="97">
        <f t="shared" si="214"/>
        <v>40.554047515654695</v>
      </c>
      <c r="K207" s="97">
        <f t="shared" si="214"/>
        <v>36.36233269967952</v>
      </c>
      <c r="L207" s="97">
        <f t="shared" si="214"/>
        <v>29.602766779903035</v>
      </c>
      <c r="M207" s="97">
        <f t="shared" si="214"/>
        <v>34.213469788826934</v>
      </c>
      <c r="N207" s="97">
        <f t="shared" si="214"/>
        <v>39.336489006231318</v>
      </c>
      <c r="O207" s="97">
        <f t="shared" si="214"/>
        <v>34.696812759883578</v>
      </c>
      <c r="P207" s="97">
        <f t="shared" si="214"/>
        <v>31.069520183161298</v>
      </c>
      <c r="Q207" s="97">
        <f t="shared" si="214"/>
        <v>35.764035475157257</v>
      </c>
      <c r="R207" s="97">
        <f t="shared" si="214"/>
        <v>27.553297189790516</v>
      </c>
      <c r="S207" s="97">
        <f t="shared" si="214"/>
        <v>23.534742025042686</v>
      </c>
      <c r="T207" s="97">
        <f t="shared" si="214"/>
        <v>21.159575064643846</v>
      </c>
      <c r="U207" s="97">
        <f t="shared" si="214"/>
        <v>20.366425117218132</v>
      </c>
      <c r="V207" s="97">
        <f t="shared" si="214"/>
        <v>64.295099851196028</v>
      </c>
      <c r="W207" s="97">
        <f t="shared" si="214"/>
        <v>31.866784388922238</v>
      </c>
      <c r="X207" s="97">
        <f t="shared" si="214"/>
        <v>26.923859182440967</v>
      </c>
      <c r="Y207" s="97">
        <f t="shared" si="214"/>
        <v>27.210693744269843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44.83005232391136</v>
      </c>
      <c r="C208" s="130">
        <f t="shared" si="215"/>
        <v>151.37150754190128</v>
      </c>
      <c r="D208" s="130">
        <f t="shared" si="215"/>
        <v>106.10158227747327</v>
      </c>
      <c r="E208" s="130">
        <f t="shared" si="215"/>
        <v>87.847863625575968</v>
      </c>
      <c r="F208" s="130">
        <f t="shared" si="215"/>
        <v>101.57200644264422</v>
      </c>
      <c r="G208" s="130">
        <f t="shared" si="215"/>
        <v>105.56671370330406</v>
      </c>
      <c r="H208" s="130">
        <f t="shared" si="215"/>
        <v>112.2859655192578</v>
      </c>
      <c r="I208" s="130">
        <f t="shared" si="215"/>
        <v>102.66683730928321</v>
      </c>
      <c r="J208" s="130">
        <f t="shared" si="215"/>
        <v>103.6682890013553</v>
      </c>
      <c r="K208" s="130">
        <f t="shared" si="215"/>
        <v>171.41787185251664</v>
      </c>
      <c r="L208" s="130">
        <f t="shared" si="215"/>
        <v>153.80387819769382</v>
      </c>
      <c r="M208" s="130">
        <f t="shared" si="215"/>
        <v>109.89359546104271</v>
      </c>
      <c r="N208" s="130">
        <f t="shared" si="215"/>
        <v>109.89386325661941</v>
      </c>
      <c r="O208" s="130">
        <f t="shared" si="215"/>
        <v>88.109167031584306</v>
      </c>
      <c r="P208" s="130">
        <f t="shared" si="215"/>
        <v>91.955417609030235</v>
      </c>
      <c r="Q208" s="130">
        <f t="shared" si="215"/>
        <v>97.80656652634535</v>
      </c>
      <c r="R208" s="130">
        <f t="shared" si="215"/>
        <v>104.9458506618485</v>
      </c>
      <c r="S208" s="130">
        <f t="shared" si="215"/>
        <v>106.83244633459999</v>
      </c>
      <c r="T208" s="130">
        <f t="shared" si="215"/>
        <v>112.89826210579149</v>
      </c>
      <c r="U208" s="130">
        <f t="shared" si="215"/>
        <v>115.55996997754332</v>
      </c>
      <c r="V208" s="130">
        <f t="shared" si="215"/>
        <v>109.11412376737196</v>
      </c>
      <c r="W208" s="130">
        <f t="shared" si="215"/>
        <v>118.7706371584914</v>
      </c>
      <c r="X208" s="130">
        <f t="shared" si="215"/>
        <v>126.93220667917005</v>
      </c>
      <c r="Y208" s="130">
        <f t="shared" si="215"/>
        <v>120.41377328962959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44.83005232391136</v>
      </c>
      <c r="C209" s="97">
        <f t="shared" si="216"/>
        <v>151.37150754190128</v>
      </c>
      <c r="D209" s="97">
        <f t="shared" si="216"/>
        <v>106.10158227747327</v>
      </c>
      <c r="E209" s="97">
        <f t="shared" si="216"/>
        <v>87.847863625575968</v>
      </c>
      <c r="F209" s="97">
        <f t="shared" si="216"/>
        <v>101.57200644264422</v>
      </c>
      <c r="G209" s="97">
        <f t="shared" si="216"/>
        <v>105.56671370330406</v>
      </c>
      <c r="H209" s="97">
        <f t="shared" si="216"/>
        <v>112.2859655192578</v>
      </c>
      <c r="I209" s="97">
        <f t="shared" si="216"/>
        <v>102.66683730928321</v>
      </c>
      <c r="J209" s="97">
        <f t="shared" si="216"/>
        <v>103.6682890013553</v>
      </c>
      <c r="K209" s="97">
        <f t="shared" si="216"/>
        <v>171.41787185251664</v>
      </c>
      <c r="L209" s="97">
        <f t="shared" si="216"/>
        <v>153.80387819769382</v>
      </c>
      <c r="M209" s="97">
        <f t="shared" si="216"/>
        <v>109.89359546104271</v>
      </c>
      <c r="N209" s="97">
        <f t="shared" si="216"/>
        <v>109.89386325661941</v>
      </c>
      <c r="O209" s="97">
        <f t="shared" si="216"/>
        <v>88.109167031584306</v>
      </c>
      <c r="P209" s="97">
        <f t="shared" si="216"/>
        <v>91.955417609030235</v>
      </c>
      <c r="Q209" s="97">
        <f t="shared" si="216"/>
        <v>97.80656652634535</v>
      </c>
      <c r="R209" s="97">
        <f t="shared" si="216"/>
        <v>104.9458506618485</v>
      </c>
      <c r="S209" s="97">
        <f t="shared" si="216"/>
        <v>106.83244633459999</v>
      </c>
      <c r="T209" s="97">
        <f t="shared" si="216"/>
        <v>112.89826210579149</v>
      </c>
      <c r="U209" s="97">
        <f t="shared" si="216"/>
        <v>115.55996997754332</v>
      </c>
      <c r="V209" s="97">
        <f t="shared" si="216"/>
        <v>109.11412376737196</v>
      </c>
      <c r="W209" s="97">
        <f t="shared" si="216"/>
        <v>118.7706371584914</v>
      </c>
      <c r="X209" s="97">
        <f t="shared" si="216"/>
        <v>126.93220667917005</v>
      </c>
      <c r="Y209" s="97">
        <f t="shared" si="216"/>
        <v>120.41377328962959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0</v>
      </c>
      <c r="C210" s="98">
        <f t="shared" si="217"/>
        <v>0</v>
      </c>
      <c r="D210" s="98">
        <f t="shared" si="217"/>
        <v>0</v>
      </c>
      <c r="E210" s="98">
        <f t="shared" si="217"/>
        <v>0</v>
      </c>
      <c r="F210" s="98">
        <f t="shared" si="217"/>
        <v>0</v>
      </c>
      <c r="G210" s="98">
        <f t="shared" si="217"/>
        <v>0</v>
      </c>
      <c r="H210" s="98">
        <f t="shared" si="217"/>
        <v>0</v>
      </c>
      <c r="I210" s="98">
        <f t="shared" si="217"/>
        <v>0</v>
      </c>
      <c r="J210" s="98">
        <f t="shared" si="217"/>
        <v>0</v>
      </c>
      <c r="K210" s="98">
        <f t="shared" si="217"/>
        <v>0</v>
      </c>
      <c r="L210" s="98">
        <f t="shared" si="217"/>
        <v>0</v>
      </c>
      <c r="M210" s="98">
        <f t="shared" si="217"/>
        <v>0</v>
      </c>
      <c r="N210" s="98">
        <f t="shared" si="217"/>
        <v>0</v>
      </c>
      <c r="O210" s="98">
        <f t="shared" si="217"/>
        <v>0</v>
      </c>
      <c r="P210" s="98">
        <f t="shared" si="217"/>
        <v>0</v>
      </c>
      <c r="Q210" s="98">
        <f t="shared" si="217"/>
        <v>0</v>
      </c>
      <c r="R210" s="98">
        <f t="shared" si="217"/>
        <v>0</v>
      </c>
      <c r="S210" s="98">
        <f t="shared" si="217"/>
        <v>0</v>
      </c>
      <c r="T210" s="98">
        <f t="shared" si="217"/>
        <v>0</v>
      </c>
      <c r="U210" s="98">
        <f t="shared" si="217"/>
        <v>0</v>
      </c>
      <c r="V210" s="98">
        <f t="shared" si="217"/>
        <v>0</v>
      </c>
      <c r="W210" s="98">
        <f t="shared" si="217"/>
        <v>0</v>
      </c>
      <c r="X210" s="98">
        <f t="shared" si="217"/>
        <v>0</v>
      </c>
      <c r="Y210" s="98">
        <f t="shared" si="217"/>
        <v>0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47.211690327251667</v>
      </c>
      <c r="C211" s="32">
        <f t="shared" si="218"/>
        <v>32.469495615173635</v>
      </c>
      <c r="D211" s="32">
        <f t="shared" si="218"/>
        <v>27.742950534026608</v>
      </c>
      <c r="E211" s="32">
        <f t="shared" si="218"/>
        <v>25.061893035586387</v>
      </c>
      <c r="F211" s="32">
        <f t="shared" si="218"/>
        <v>25.08974490786073</v>
      </c>
      <c r="G211" s="32">
        <f t="shared" si="218"/>
        <v>22.340990948041142</v>
      </c>
      <c r="H211" s="32">
        <f t="shared" si="218"/>
        <v>24.352470682470528</v>
      </c>
      <c r="I211" s="32">
        <f t="shared" si="218"/>
        <v>24.372314867884075</v>
      </c>
      <c r="J211" s="32">
        <f t="shared" si="218"/>
        <v>28.001475993369983</v>
      </c>
      <c r="K211" s="32">
        <f t="shared" si="218"/>
        <v>26.057068693436097</v>
      </c>
      <c r="L211" s="32">
        <f t="shared" si="218"/>
        <v>26.16502144484399</v>
      </c>
      <c r="M211" s="32">
        <f t="shared" si="218"/>
        <v>20.919135006069574</v>
      </c>
      <c r="N211" s="32">
        <f t="shared" si="218"/>
        <v>13.137794963190311</v>
      </c>
      <c r="O211" s="32">
        <f t="shared" si="218"/>
        <v>11.558497665701374</v>
      </c>
      <c r="P211" s="32">
        <f t="shared" si="218"/>
        <v>9.0584585227303887</v>
      </c>
      <c r="Q211" s="32">
        <f t="shared" si="218"/>
        <v>8.5860718217676499</v>
      </c>
      <c r="R211" s="32">
        <f t="shared" si="218"/>
        <v>7.4477322510603052</v>
      </c>
      <c r="S211" s="32">
        <f t="shared" si="218"/>
        <v>8.984310115894111</v>
      </c>
      <c r="T211" s="32">
        <f t="shared" si="218"/>
        <v>8.6590655072807294</v>
      </c>
      <c r="U211" s="32">
        <f t="shared" si="218"/>
        <v>9.3791208238448096</v>
      </c>
      <c r="V211" s="32">
        <f t="shared" si="218"/>
        <v>6.2308181101958953</v>
      </c>
      <c r="W211" s="32">
        <f t="shared" si="218"/>
        <v>6.7796102079444251</v>
      </c>
      <c r="X211" s="32">
        <f t="shared" si="218"/>
        <v>8.3202454123870382</v>
      </c>
      <c r="Y211" s="32">
        <f t="shared" si="218"/>
        <v>7.8108452172205896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51.639715328527458</v>
      </c>
      <c r="C212" s="97">
        <f t="shared" si="219"/>
        <v>53.331998306223404</v>
      </c>
      <c r="D212" s="97">
        <f t="shared" si="219"/>
        <v>48.895575082991414</v>
      </c>
      <c r="E212" s="97">
        <f t="shared" si="219"/>
        <v>43.348063877940007</v>
      </c>
      <c r="F212" s="97">
        <f t="shared" si="219"/>
        <v>46.669628332233017</v>
      </c>
      <c r="G212" s="97">
        <f t="shared" si="219"/>
        <v>43.671443158281285</v>
      </c>
      <c r="H212" s="97">
        <f t="shared" si="219"/>
        <v>49.670149735245545</v>
      </c>
      <c r="I212" s="97">
        <f t="shared" si="219"/>
        <v>45.220459771703794</v>
      </c>
      <c r="J212" s="97">
        <f t="shared" si="219"/>
        <v>48.893100548654736</v>
      </c>
      <c r="K212" s="97">
        <f t="shared" si="219"/>
        <v>45.30005458510611</v>
      </c>
      <c r="L212" s="97">
        <f t="shared" si="219"/>
        <v>48.274730262324383</v>
      </c>
      <c r="M212" s="97">
        <f t="shared" si="219"/>
        <v>44.468711586158989</v>
      </c>
      <c r="N212" s="97">
        <f t="shared" si="219"/>
        <v>30.316760936336504</v>
      </c>
      <c r="O212" s="97">
        <f t="shared" si="219"/>
        <v>28.026619756137581</v>
      </c>
      <c r="P212" s="97">
        <f t="shared" si="219"/>
        <v>23.0341290121276</v>
      </c>
      <c r="Q212" s="97">
        <f t="shared" si="219"/>
        <v>21.562181007061763</v>
      </c>
      <c r="R212" s="97">
        <f t="shared" si="219"/>
        <v>18.926616196113873</v>
      </c>
      <c r="S212" s="97">
        <f t="shared" si="219"/>
        <v>22.945197209633726</v>
      </c>
      <c r="T212" s="97">
        <f t="shared" si="219"/>
        <v>21.985978234555628</v>
      </c>
      <c r="U212" s="97">
        <f t="shared" si="219"/>
        <v>23.514965881128266</v>
      </c>
      <c r="V212" s="97">
        <f t="shared" si="219"/>
        <v>14.190822084540644</v>
      </c>
      <c r="W212" s="97">
        <f t="shared" si="219"/>
        <v>15.507320140411395</v>
      </c>
      <c r="X212" s="97">
        <f t="shared" si="219"/>
        <v>18.621602957617821</v>
      </c>
      <c r="Y212" s="97">
        <f t="shared" si="219"/>
        <v>17.872176981338619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41.598142114301275</v>
      </c>
      <c r="C213" s="98">
        <f t="shared" si="220"/>
        <v>22.445197665468388</v>
      </c>
      <c r="D213" s="98">
        <f t="shared" si="220"/>
        <v>19.179685739765272</v>
      </c>
      <c r="E213" s="98">
        <f t="shared" si="220"/>
        <v>16.996227749410465</v>
      </c>
      <c r="F213" s="98">
        <f t="shared" si="220"/>
        <v>16.941675756860214</v>
      </c>
      <c r="G213" s="98">
        <f t="shared" si="220"/>
        <v>14.982030430339899</v>
      </c>
      <c r="H213" s="98">
        <f t="shared" si="220"/>
        <v>16.578322546860331</v>
      </c>
      <c r="I213" s="98">
        <f t="shared" si="220"/>
        <v>16.549391039599946</v>
      </c>
      <c r="J213" s="98">
        <f t="shared" si="220"/>
        <v>18.832191543628937</v>
      </c>
      <c r="K213" s="98">
        <f t="shared" si="220"/>
        <v>17.348010272918923</v>
      </c>
      <c r="L213" s="98">
        <f t="shared" si="220"/>
        <v>17.540507707454282</v>
      </c>
      <c r="M213" s="98">
        <f t="shared" si="220"/>
        <v>13.749786924349223</v>
      </c>
      <c r="N213" s="98">
        <f t="shared" si="220"/>
        <v>8.6403505615237144</v>
      </c>
      <c r="O213" s="98">
        <f t="shared" si="220"/>
        <v>7.7438216166384803</v>
      </c>
      <c r="P213" s="98">
        <f t="shared" si="220"/>
        <v>6.1099488356387841</v>
      </c>
      <c r="Q213" s="98">
        <f t="shared" si="220"/>
        <v>5.7094537063093336</v>
      </c>
      <c r="R213" s="98">
        <f t="shared" si="220"/>
        <v>5.0665452817912406</v>
      </c>
      <c r="S213" s="98">
        <f t="shared" si="220"/>
        <v>6.0432613301014957</v>
      </c>
      <c r="T213" s="98">
        <f t="shared" si="220"/>
        <v>5.8344567713739393</v>
      </c>
      <c r="U213" s="98">
        <f t="shared" si="220"/>
        <v>6.2582663740988123</v>
      </c>
      <c r="V213" s="98">
        <f t="shared" si="220"/>
        <v>4.4961164422638449</v>
      </c>
      <c r="W213" s="98">
        <f t="shared" si="220"/>
        <v>4.855378343632955</v>
      </c>
      <c r="X213" s="98">
        <f t="shared" si="220"/>
        <v>5.5617536925000772</v>
      </c>
      <c r="Y213" s="98">
        <f t="shared" si="220"/>
        <v>5.2431213308490143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114.36018100760329</v>
      </c>
      <c r="C216" s="32">
        <f t="shared" si="221"/>
        <v>110.82713374902741</v>
      </c>
      <c r="D216" s="32">
        <f t="shared" si="221"/>
        <v>109.79704641545716</v>
      </c>
      <c r="E216" s="32">
        <f t="shared" si="221"/>
        <v>113.78567441742479</v>
      </c>
      <c r="F216" s="32">
        <f t="shared" si="221"/>
        <v>108.32055273060959</v>
      </c>
      <c r="G216" s="32">
        <f t="shared" si="221"/>
        <v>108.25879679866547</v>
      </c>
      <c r="H216" s="32">
        <f t="shared" si="221"/>
        <v>107.3209495583086</v>
      </c>
      <c r="I216" s="32">
        <f t="shared" si="221"/>
        <v>106.98753311305282</v>
      </c>
      <c r="J216" s="32">
        <f t="shared" si="221"/>
        <v>102.5755795801492</v>
      </c>
      <c r="K216" s="32">
        <f t="shared" si="221"/>
        <v>104.03546355917773</v>
      </c>
      <c r="L216" s="32">
        <f t="shared" si="221"/>
        <v>92.546568515684612</v>
      </c>
      <c r="M216" s="32">
        <f t="shared" si="221"/>
        <v>90.917489572134016</v>
      </c>
      <c r="N216" s="32">
        <f t="shared" si="221"/>
        <v>79.768483186739658</v>
      </c>
      <c r="O216" s="32">
        <f t="shared" si="221"/>
        <v>76.410339364012017</v>
      </c>
      <c r="P216" s="32">
        <f t="shared" si="221"/>
        <v>74.448341925102596</v>
      </c>
      <c r="Q216" s="32">
        <f t="shared" si="221"/>
        <v>74.568249555519472</v>
      </c>
      <c r="R216" s="32">
        <f t="shared" si="221"/>
        <v>74.169713253216088</v>
      </c>
      <c r="S216" s="32">
        <f t="shared" si="221"/>
        <v>73.256385483691687</v>
      </c>
      <c r="T216" s="32">
        <f t="shared" si="221"/>
        <v>72.818282289655897</v>
      </c>
      <c r="U216" s="32">
        <f t="shared" si="221"/>
        <v>72.197760260383163</v>
      </c>
      <c r="V216" s="32">
        <f t="shared" si="221"/>
        <v>72.918139882694732</v>
      </c>
      <c r="W216" s="32">
        <f t="shared" si="221"/>
        <v>73.872565366125244</v>
      </c>
      <c r="X216" s="32">
        <f t="shared" si="221"/>
        <v>72.464801529992073</v>
      </c>
      <c r="Y216" s="32">
        <f t="shared" si="221"/>
        <v>73.032812421478525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115.22554150590884</v>
      </c>
      <c r="C217" s="141">
        <f t="shared" si="222"/>
        <v>112.08167439257498</v>
      </c>
      <c r="D217" s="141">
        <f t="shared" si="222"/>
        <v>111.44149401306554</v>
      </c>
      <c r="E217" s="141">
        <f t="shared" si="222"/>
        <v>116.57187245624615</v>
      </c>
      <c r="F217" s="141">
        <f t="shared" si="222"/>
        <v>110.09664082687804</v>
      </c>
      <c r="G217" s="141">
        <f t="shared" si="222"/>
        <v>111.66413401876353</v>
      </c>
      <c r="H217" s="141">
        <f t="shared" si="222"/>
        <v>108.74721129645714</v>
      </c>
      <c r="I217" s="141">
        <f t="shared" si="222"/>
        <v>108.66682976129752</v>
      </c>
      <c r="J217" s="141">
        <f t="shared" si="222"/>
        <v>101.09765562589791</v>
      </c>
      <c r="K217" s="141">
        <f t="shared" si="222"/>
        <v>106.05930860983727</v>
      </c>
      <c r="L217" s="141">
        <f t="shared" si="222"/>
        <v>96.444310593901477</v>
      </c>
      <c r="M217" s="141">
        <f t="shared" si="222"/>
        <v>94.22975062062207</v>
      </c>
      <c r="N217" s="141">
        <f t="shared" si="222"/>
        <v>80.806518141986317</v>
      </c>
      <c r="O217" s="141">
        <f t="shared" si="222"/>
        <v>77.924706365503454</v>
      </c>
      <c r="P217" s="141">
        <f t="shared" si="222"/>
        <v>74.610987653981994</v>
      </c>
      <c r="Q217" s="141">
        <f t="shared" si="222"/>
        <v>74.764452052567165</v>
      </c>
      <c r="R217" s="141">
        <f t="shared" si="222"/>
        <v>74.349794263833331</v>
      </c>
      <c r="S217" s="141">
        <f t="shared" si="222"/>
        <v>73.376166959773812</v>
      </c>
      <c r="T217" s="141">
        <f t="shared" si="222"/>
        <v>72.363003123124372</v>
      </c>
      <c r="U217" s="141">
        <f t="shared" si="222"/>
        <v>72.307935478226199</v>
      </c>
      <c r="V217" s="141">
        <f t="shared" si="222"/>
        <v>72.378371576875494</v>
      </c>
      <c r="W217" s="141">
        <f t="shared" si="222"/>
        <v>72.33577821214061</v>
      </c>
      <c r="X217" s="141">
        <f t="shared" si="222"/>
        <v>73.046730817903764</v>
      </c>
      <c r="Y217" s="141">
        <f t="shared" si="222"/>
        <v>73.536089774318157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112.00813987416316</v>
      </c>
      <c r="C218" s="97">
        <f t="shared" si="223"/>
        <v>114.76642405448652</v>
      </c>
      <c r="D218" s="97">
        <f t="shared" si="223"/>
        <v>113.92163485988728</v>
      </c>
      <c r="E218" s="97">
        <f t="shared" si="223"/>
        <v>112.55407253367895</v>
      </c>
      <c r="F218" s="97">
        <f t="shared" si="223"/>
        <v>109.16822884880777</v>
      </c>
      <c r="G218" s="97">
        <f t="shared" si="223"/>
        <v>109.9472546376806</v>
      </c>
      <c r="H218" s="97">
        <f t="shared" si="223"/>
        <v>105.83211062959569</v>
      </c>
      <c r="I218" s="97">
        <f t="shared" si="223"/>
        <v>103.3743690798018</v>
      </c>
      <c r="J218" s="97">
        <f t="shared" si="223"/>
        <v>103.65749004251994</v>
      </c>
      <c r="K218" s="97">
        <f t="shared" si="223"/>
        <v>103.9040672671745</v>
      </c>
      <c r="L218" s="97">
        <f t="shared" si="223"/>
        <v>103.09242705758466</v>
      </c>
      <c r="M218" s="97">
        <f t="shared" si="223"/>
        <v>101.90882639982044</v>
      </c>
      <c r="N218" s="97">
        <f t="shared" si="223"/>
        <v>100.64305397746396</v>
      </c>
      <c r="O218" s="97">
        <f t="shared" si="223"/>
        <v>98.842344107278009</v>
      </c>
      <c r="P218" s="97">
        <f t="shared" si="223"/>
        <v>94.875549084394976</v>
      </c>
      <c r="Q218" s="97">
        <f t="shared" si="223"/>
        <v>93.399628131028223</v>
      </c>
      <c r="R218" s="97">
        <f t="shared" si="223"/>
        <v>92.282513939203241</v>
      </c>
      <c r="S218" s="97">
        <f t="shared" si="223"/>
        <v>91.764539906616321</v>
      </c>
      <c r="T218" s="97">
        <f t="shared" si="223"/>
        <v>90.217641234241867</v>
      </c>
      <c r="U218" s="97">
        <f t="shared" si="223"/>
        <v>88.080056201691036</v>
      </c>
      <c r="V218" s="97">
        <f t="shared" si="223"/>
        <v>85.300610342492405</v>
      </c>
      <c r="W218" s="97">
        <f t="shared" si="223"/>
        <v>84.394993368011413</v>
      </c>
      <c r="X218" s="97">
        <f t="shared" si="223"/>
        <v>86.731578825290356</v>
      </c>
      <c r="Y218" s="97">
        <f t="shared" si="223"/>
        <v>84.580606398902205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127.24479296592955</v>
      </c>
      <c r="C219" s="97">
        <f t="shared" si="224"/>
        <v>122.86328339525204</v>
      </c>
      <c r="D219" s="97">
        <f t="shared" si="224"/>
        <v>121.86561544733617</v>
      </c>
      <c r="E219" s="97">
        <f t="shared" si="224"/>
        <v>121.91171526761029</v>
      </c>
      <c r="F219" s="97">
        <f t="shared" si="224"/>
        <v>119.35796090549843</v>
      </c>
      <c r="G219" s="97">
        <f t="shared" si="224"/>
        <v>118.45526003233333</v>
      </c>
      <c r="H219" s="97">
        <f t="shared" si="224"/>
        <v>115.48421505661942</v>
      </c>
      <c r="I219" s="97">
        <f t="shared" si="224"/>
        <v>115.13227462379918</v>
      </c>
      <c r="J219" s="97">
        <f t="shared" si="224"/>
        <v>106.64988676125195</v>
      </c>
      <c r="K219" s="97">
        <f t="shared" si="224"/>
        <v>108.54663510200756</v>
      </c>
      <c r="L219" s="97">
        <f t="shared" si="224"/>
        <v>99.344197187003104</v>
      </c>
      <c r="M219" s="97">
        <f t="shared" si="224"/>
        <v>95.488790420833666</v>
      </c>
      <c r="N219" s="97">
        <f t="shared" si="224"/>
        <v>81.612857633343367</v>
      </c>
      <c r="O219" s="97">
        <f t="shared" si="224"/>
        <v>76.04953651445301</v>
      </c>
      <c r="P219" s="97">
        <f t="shared" si="224"/>
        <v>72.597611689085113</v>
      </c>
      <c r="Q219" s="97">
        <f t="shared" si="224"/>
        <v>73.751182586851741</v>
      </c>
      <c r="R219" s="97">
        <f t="shared" si="224"/>
        <v>72.900653589361895</v>
      </c>
      <c r="S219" s="97">
        <f t="shared" si="224"/>
        <v>71.479515785832319</v>
      </c>
      <c r="T219" s="97">
        <f t="shared" si="224"/>
        <v>70.210199028654344</v>
      </c>
      <c r="U219" s="97">
        <f t="shared" si="224"/>
        <v>69.615965507193195</v>
      </c>
      <c r="V219" s="97">
        <f t="shared" si="224"/>
        <v>64.294369110574962</v>
      </c>
      <c r="W219" s="97">
        <f t="shared" si="224"/>
        <v>65.492383052643348</v>
      </c>
      <c r="X219" s="97">
        <f t="shared" si="224"/>
        <v>67.911562682897639</v>
      </c>
      <c r="Y219" s="97">
        <f t="shared" si="224"/>
        <v>69.090211892306286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80.980504775688615</v>
      </c>
      <c r="C220" s="97">
        <f t="shared" si="225"/>
        <v>77.880320604146235</v>
      </c>
      <c r="D220" s="97">
        <f t="shared" si="225"/>
        <v>76.747268500174684</v>
      </c>
      <c r="E220" s="97">
        <f t="shared" si="225"/>
        <v>99.080252854076008</v>
      </c>
      <c r="F220" s="97">
        <f t="shared" si="225"/>
        <v>76.038548444211202</v>
      </c>
      <c r="G220" s="97">
        <f t="shared" si="225"/>
        <v>85.520538581848015</v>
      </c>
      <c r="H220" s="97">
        <f t="shared" si="225"/>
        <v>81.667313309104358</v>
      </c>
      <c r="I220" s="97">
        <f t="shared" si="225"/>
        <v>82.100014759522537</v>
      </c>
      <c r="J220" s="97">
        <f t="shared" si="225"/>
        <v>75.278493919242422</v>
      </c>
      <c r="K220" s="97">
        <f t="shared" si="225"/>
        <v>94.64785336014792</v>
      </c>
      <c r="L220" s="97">
        <f t="shared" si="225"/>
        <v>80.447251921348197</v>
      </c>
      <c r="M220" s="97">
        <f t="shared" si="225"/>
        <v>85.628752397331567</v>
      </c>
      <c r="N220" s="97">
        <f t="shared" si="225"/>
        <v>69.679228404593644</v>
      </c>
      <c r="O220" s="97">
        <f t="shared" si="225"/>
        <v>78.467026934639762</v>
      </c>
      <c r="P220" s="97">
        <f t="shared" si="225"/>
        <v>75.763572820793001</v>
      </c>
      <c r="Q220" s="97">
        <f t="shared" si="225"/>
        <v>71.970552644395212</v>
      </c>
      <c r="R220" s="97">
        <f t="shared" si="225"/>
        <v>73.751363545490292</v>
      </c>
      <c r="S220" s="97">
        <f t="shared" si="225"/>
        <v>75.418316626988513</v>
      </c>
      <c r="T220" s="97">
        <f t="shared" si="225"/>
        <v>76.505350077139113</v>
      </c>
      <c r="U220" s="97">
        <f t="shared" si="225"/>
        <v>79.907189776078823</v>
      </c>
      <c r="V220" s="97">
        <f t="shared" si="225"/>
        <v>120.57171504610554</v>
      </c>
      <c r="W220" s="97">
        <f t="shared" si="225"/>
        <v>114.21403017859654</v>
      </c>
      <c r="X220" s="97">
        <f t="shared" si="225"/>
        <v>97.202830988076798</v>
      </c>
      <c r="Y220" s="97">
        <f t="shared" si="225"/>
        <v>94.384450531071622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38.474949961067033</v>
      </c>
      <c r="C221" s="130">
        <f t="shared" si="226"/>
        <v>38.93229468739775</v>
      </c>
      <c r="D221" s="130">
        <f t="shared" si="226"/>
        <v>37.55456579481298</v>
      </c>
      <c r="E221" s="130">
        <f t="shared" si="226"/>
        <v>39.405334049100304</v>
      </c>
      <c r="F221" s="130">
        <f t="shared" si="226"/>
        <v>36.081528755883078</v>
      </c>
      <c r="G221" s="130">
        <f t="shared" si="226"/>
        <v>34.983345562517648</v>
      </c>
      <c r="H221" s="130">
        <f t="shared" si="226"/>
        <v>35.4748706782512</v>
      </c>
      <c r="I221" s="130">
        <f t="shared" si="226"/>
        <v>29.795351700923106</v>
      </c>
      <c r="J221" s="130">
        <f t="shared" si="226"/>
        <v>29.204176445463926</v>
      </c>
      <c r="K221" s="130">
        <f t="shared" si="226"/>
        <v>27.761144786864275</v>
      </c>
      <c r="L221" s="130">
        <f t="shared" si="226"/>
        <v>17.84848348735995</v>
      </c>
      <c r="M221" s="130">
        <f t="shared" si="226"/>
        <v>16.514722583150327</v>
      </c>
      <c r="N221" s="130">
        <f t="shared" si="226"/>
        <v>29.917014726664849</v>
      </c>
      <c r="O221" s="130">
        <f t="shared" si="226"/>
        <v>18.780398744500342</v>
      </c>
      <c r="P221" s="130">
        <f t="shared" si="226"/>
        <v>44.84897839424989</v>
      </c>
      <c r="Q221" s="130">
        <f t="shared" si="226"/>
        <v>41.832846306744251</v>
      </c>
      <c r="R221" s="130">
        <f t="shared" si="226"/>
        <v>43.317391086970837</v>
      </c>
      <c r="S221" s="130">
        <f t="shared" si="226"/>
        <v>42.522559621130888</v>
      </c>
      <c r="T221" s="130">
        <f t="shared" si="226"/>
        <v>40.080868793659903</v>
      </c>
      <c r="U221" s="130">
        <f t="shared" si="226"/>
        <v>10.569830001963135</v>
      </c>
      <c r="V221" s="130">
        <f t="shared" si="226"/>
        <v>11.485559971158237</v>
      </c>
      <c r="W221" s="130">
        <f t="shared" si="226"/>
        <v>9.8135881182969023</v>
      </c>
      <c r="X221" s="130">
        <f t="shared" si="226"/>
        <v>7.4984158065718676</v>
      </c>
      <c r="Y221" s="130">
        <f t="shared" si="226"/>
        <v>5.4983958925850089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62.751296967254611</v>
      </c>
      <c r="C223" s="97">
        <f t="shared" si="228"/>
        <v>68.571648971449832</v>
      </c>
      <c r="D223" s="97">
        <f t="shared" si="228"/>
        <v>65.168217114528403</v>
      </c>
      <c r="E223" s="97">
        <f t="shared" si="228"/>
        <v>74.454551119456369</v>
      </c>
      <c r="F223" s="97">
        <f t="shared" si="228"/>
        <v>68.528946701821113</v>
      </c>
      <c r="G223" s="97">
        <f t="shared" si="228"/>
        <v>63.287023202095035</v>
      </c>
      <c r="H223" s="97">
        <f t="shared" si="228"/>
        <v>65.837128851243662</v>
      </c>
      <c r="I223" s="97">
        <f t="shared" si="228"/>
        <v>54.496161401170234</v>
      </c>
      <c r="J223" s="97">
        <f t="shared" si="228"/>
        <v>58.461227078819455</v>
      </c>
      <c r="K223" s="97">
        <f t="shared" si="228"/>
        <v>59.382735065562436</v>
      </c>
      <c r="L223" s="97">
        <f t="shared" si="228"/>
        <v>39.694440047626472</v>
      </c>
      <c r="M223" s="97">
        <f t="shared" si="228"/>
        <v>45.382426044242138</v>
      </c>
      <c r="N223" s="97">
        <f t="shared" si="228"/>
        <v>89.944832021656339</v>
      </c>
      <c r="O223" s="97">
        <f t="shared" si="228"/>
        <v>48.373941015906986</v>
      </c>
      <c r="P223" s="97">
        <f t="shared" si="228"/>
        <v>114.39288275809362</v>
      </c>
      <c r="Q223" s="97">
        <f t="shared" si="228"/>
        <v>97.275605431267991</v>
      </c>
      <c r="R223" s="97">
        <f t="shared" si="228"/>
        <v>103.41729142254589</v>
      </c>
      <c r="S223" s="97">
        <f t="shared" si="228"/>
        <v>107.09215555614314</v>
      </c>
      <c r="T223" s="97">
        <f t="shared" si="228"/>
        <v>101.63490196702519</v>
      </c>
      <c r="U223" s="97">
        <f t="shared" si="228"/>
        <v>24.73499391650336</v>
      </c>
      <c r="V223" s="97">
        <f t="shared" si="228"/>
        <v>31.019267910551445</v>
      </c>
      <c r="W223" s="97">
        <f t="shared" si="228"/>
        <v>26.732334415447028</v>
      </c>
      <c r="X223" s="97">
        <f t="shared" si="228"/>
        <v>17.199947721113755</v>
      </c>
      <c r="Y223" s="97">
        <f t="shared" si="228"/>
        <v>17.997875696528972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119.0255594225426</v>
      </c>
      <c r="C225" s="130">
        <f t="shared" si="230"/>
        <v>114.11424638210387</v>
      </c>
      <c r="D225" s="130">
        <f t="shared" si="230"/>
        <v>111.97211292339375</v>
      </c>
      <c r="E225" s="130">
        <f t="shared" si="230"/>
        <v>111.64937871468048</v>
      </c>
      <c r="F225" s="130">
        <f t="shared" si="230"/>
        <v>109.46502806704927</v>
      </c>
      <c r="G225" s="130">
        <f t="shared" si="230"/>
        <v>104.268592226157</v>
      </c>
      <c r="H225" s="130">
        <f t="shared" si="230"/>
        <v>109.38680207204357</v>
      </c>
      <c r="I225" s="130">
        <f t="shared" si="230"/>
        <v>108.80366668317112</v>
      </c>
      <c r="J225" s="130">
        <f t="shared" si="230"/>
        <v>114.82692829996076</v>
      </c>
      <c r="K225" s="130">
        <f t="shared" si="230"/>
        <v>103.41221476360487</v>
      </c>
      <c r="L225" s="130">
        <f t="shared" si="230"/>
        <v>84.235691367230871</v>
      </c>
      <c r="M225" s="130">
        <f t="shared" si="230"/>
        <v>84.278829471371452</v>
      </c>
      <c r="N225" s="130">
        <f t="shared" si="230"/>
        <v>79.577943243604949</v>
      </c>
      <c r="O225" s="130">
        <f t="shared" si="230"/>
        <v>75.444983597078661</v>
      </c>
      <c r="P225" s="130">
        <f t="shared" si="230"/>
        <v>76.055965054028007</v>
      </c>
      <c r="Q225" s="130">
        <f t="shared" si="230"/>
        <v>76.401519411475746</v>
      </c>
      <c r="R225" s="130">
        <f t="shared" si="230"/>
        <v>75.697982988311864</v>
      </c>
      <c r="S225" s="130">
        <f t="shared" si="230"/>
        <v>74.745674879495667</v>
      </c>
      <c r="T225" s="130">
        <f t="shared" si="230"/>
        <v>75.749817721948872</v>
      </c>
      <c r="U225" s="130">
        <f t="shared" si="230"/>
        <v>75.280354146217533</v>
      </c>
      <c r="V225" s="130">
        <f t="shared" si="230"/>
        <v>83.429137698854703</v>
      </c>
      <c r="W225" s="130">
        <f t="shared" si="230"/>
        <v>83.705204711924011</v>
      </c>
      <c r="X225" s="130">
        <f t="shared" si="230"/>
        <v>74.098420800050377</v>
      </c>
      <c r="Y225" s="130">
        <f t="shared" si="230"/>
        <v>74.370731964344998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614.26131151070877</v>
      </c>
      <c r="C226" s="97">
        <f t="shared" si="231"/>
        <v>544.58967447722614</v>
      </c>
      <c r="D226" s="97">
        <f t="shared" si="231"/>
        <v>539.6761176647193</v>
      </c>
      <c r="E226" s="97">
        <f t="shared" si="231"/>
        <v>539.21406499702368</v>
      </c>
      <c r="F226" s="97">
        <f t="shared" si="231"/>
        <v>498.9169141429461</v>
      </c>
      <c r="G226" s="97">
        <f t="shared" si="231"/>
        <v>489.70621715462244</v>
      </c>
      <c r="H226" s="97">
        <f t="shared" si="231"/>
        <v>418.48853340092239</v>
      </c>
      <c r="I226" s="97">
        <f t="shared" si="231"/>
        <v>387.54477844048154</v>
      </c>
      <c r="J226" s="97">
        <f t="shared" si="231"/>
        <v>376.77833823807367</v>
      </c>
      <c r="K226" s="97">
        <f t="shared" si="231"/>
        <v>306.11114644334265</v>
      </c>
      <c r="L226" s="97">
        <f t="shared" si="231"/>
        <v>280.16157991471096</v>
      </c>
      <c r="M226" s="97">
        <f t="shared" si="231"/>
        <v>312.7736391117092</v>
      </c>
      <c r="N226" s="97">
        <f t="shared" si="231"/>
        <v>289.2075461553211</v>
      </c>
      <c r="O226" s="97">
        <f t="shared" si="231"/>
        <v>282.79151308714791</v>
      </c>
      <c r="P226" s="97">
        <f t="shared" si="231"/>
        <v>237.73566420858512</v>
      </c>
      <c r="Q226" s="97">
        <f t="shared" si="231"/>
        <v>185.10302491135207</v>
      </c>
      <c r="R226" s="97">
        <f t="shared" si="231"/>
        <v>194.75894063859965</v>
      </c>
      <c r="S226" s="97">
        <f t="shared" si="231"/>
        <v>202.18109697842692</v>
      </c>
      <c r="T226" s="97">
        <f t="shared" si="231"/>
        <v>229.03881419434308</v>
      </c>
      <c r="U226" s="97">
        <f t="shared" si="231"/>
        <v>234.24440857044539</v>
      </c>
      <c r="V226" s="97">
        <f t="shared" si="231"/>
        <v>212.18129257776786</v>
      </c>
      <c r="W226" s="97">
        <f t="shared" si="231"/>
        <v>226.74483801988902</v>
      </c>
      <c r="X226" s="97">
        <f t="shared" si="231"/>
        <v>223.98914784388415</v>
      </c>
      <c r="Y226" s="97">
        <f t="shared" si="231"/>
        <v>267.44475954827499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74.948616053751664</v>
      </c>
      <c r="C227" s="97">
        <f t="shared" si="232"/>
        <v>74.481259515788338</v>
      </c>
      <c r="D227" s="97">
        <f t="shared" si="232"/>
        <v>75.161762580055125</v>
      </c>
      <c r="E227" s="97">
        <f t="shared" si="232"/>
        <v>76.752551837393185</v>
      </c>
      <c r="F227" s="97">
        <f t="shared" si="232"/>
        <v>73.723487054033555</v>
      </c>
      <c r="G227" s="97">
        <f t="shared" si="232"/>
        <v>69.733663501256643</v>
      </c>
      <c r="H227" s="97">
        <f t="shared" si="232"/>
        <v>82.126258690170971</v>
      </c>
      <c r="I227" s="97">
        <f t="shared" si="232"/>
        <v>84.98269709056099</v>
      </c>
      <c r="J227" s="97">
        <f t="shared" si="232"/>
        <v>93.711869177485596</v>
      </c>
      <c r="K227" s="97">
        <f t="shared" si="232"/>
        <v>83.316762318671195</v>
      </c>
      <c r="L227" s="97">
        <f t="shared" si="232"/>
        <v>68.27075841023165</v>
      </c>
      <c r="M227" s="97">
        <f t="shared" si="232"/>
        <v>70.420556712532147</v>
      </c>
      <c r="N227" s="97">
        <f t="shared" si="232"/>
        <v>66.997189705382823</v>
      </c>
      <c r="O227" s="97">
        <f t="shared" si="232"/>
        <v>66.597972206990718</v>
      </c>
      <c r="P227" s="97">
        <f t="shared" si="232"/>
        <v>68.110769798411113</v>
      </c>
      <c r="Q227" s="97">
        <f t="shared" si="232"/>
        <v>68.50783836934437</v>
      </c>
      <c r="R227" s="97">
        <f t="shared" si="232"/>
        <v>68.334821506972986</v>
      </c>
      <c r="S227" s="97">
        <f t="shared" si="232"/>
        <v>69.496528484698104</v>
      </c>
      <c r="T227" s="97">
        <f t="shared" si="232"/>
        <v>70.588030882165953</v>
      </c>
      <c r="U227" s="97">
        <f t="shared" si="232"/>
        <v>70.770286724469727</v>
      </c>
      <c r="V227" s="97">
        <f t="shared" si="232"/>
        <v>62.68076479455771</v>
      </c>
      <c r="W227" s="97">
        <f t="shared" si="232"/>
        <v>72.886223571423059</v>
      </c>
      <c r="X227" s="97">
        <f t="shared" si="232"/>
        <v>67.632663064287016</v>
      </c>
      <c r="Y227" s="97">
        <f t="shared" si="232"/>
        <v>66.376138756736424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121.34127718872635</v>
      </c>
      <c r="C228" s="97">
        <f t="shared" si="233"/>
        <v>120.04474682236157</v>
      </c>
      <c r="D228" s="97">
        <f t="shared" si="233"/>
        <v>119.23408150012148</v>
      </c>
      <c r="E228" s="97">
        <f t="shared" si="233"/>
        <v>118.74061326704272</v>
      </c>
      <c r="F228" s="97">
        <f t="shared" si="233"/>
        <v>120.03815517641041</v>
      </c>
      <c r="G228" s="97">
        <f t="shared" si="233"/>
        <v>106.94991142183844</v>
      </c>
      <c r="H228" s="97">
        <f t="shared" si="233"/>
        <v>103.2249913428962</v>
      </c>
      <c r="I228" s="97">
        <f t="shared" si="233"/>
        <v>89.044956602684223</v>
      </c>
      <c r="J228" s="97">
        <f t="shared" si="233"/>
        <v>86.899773799592722</v>
      </c>
      <c r="K228" s="97">
        <f t="shared" si="233"/>
        <v>89.477552915784131</v>
      </c>
      <c r="L228" s="97">
        <f t="shared" si="233"/>
        <v>65.308474139984227</v>
      </c>
      <c r="M228" s="97">
        <f t="shared" si="233"/>
        <v>63.511869981646747</v>
      </c>
      <c r="N228" s="97">
        <f t="shared" si="233"/>
        <v>61.552264156195221</v>
      </c>
      <c r="O228" s="97">
        <f t="shared" si="233"/>
        <v>51.513533189031165</v>
      </c>
      <c r="P228" s="97">
        <f t="shared" si="233"/>
        <v>56.198660798963033</v>
      </c>
      <c r="Q228" s="97">
        <f t="shared" si="233"/>
        <v>66.914956125690452</v>
      </c>
      <c r="R228" s="97">
        <f t="shared" si="233"/>
        <v>60.228526707442278</v>
      </c>
      <c r="S228" s="97">
        <f t="shared" si="233"/>
        <v>53.656851141505733</v>
      </c>
      <c r="T228" s="97">
        <f t="shared" si="233"/>
        <v>51.067042081718959</v>
      </c>
      <c r="U228" s="97">
        <f t="shared" si="233"/>
        <v>49.752192611808738</v>
      </c>
      <c r="V228" s="97">
        <f t="shared" si="233"/>
        <v>156.34129167490346</v>
      </c>
      <c r="W228" s="97">
        <f t="shared" si="233"/>
        <v>76.602504200199235</v>
      </c>
      <c r="X228" s="97">
        <f t="shared" si="233"/>
        <v>54.438253891625678</v>
      </c>
      <c r="Y228" s="97">
        <f t="shared" si="233"/>
        <v>50.866520306037309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196.6329803628102</v>
      </c>
      <c r="C229" s="32">
        <f t="shared" si="234"/>
        <v>253.12774665218458</v>
      </c>
      <c r="D229" s="32">
        <f t="shared" si="234"/>
        <v>235.84599580874325</v>
      </c>
      <c r="E229" s="32">
        <f t="shared" si="234"/>
        <v>301.56178646556856</v>
      </c>
      <c r="F229" s="32">
        <f t="shared" si="234"/>
        <v>197.46430677013495</v>
      </c>
      <c r="G229" s="32">
        <f t="shared" si="234"/>
        <v>266.43848782051748</v>
      </c>
      <c r="H229" s="32">
        <f t="shared" si="234"/>
        <v>226.16208088868126</v>
      </c>
      <c r="I229" s="32">
        <f t="shared" si="234"/>
        <v>256.60257274285266</v>
      </c>
      <c r="J229" s="32">
        <f t="shared" si="234"/>
        <v>237.73021029982803</v>
      </c>
      <c r="K229" s="32">
        <f t="shared" si="234"/>
        <v>303.61218614632048</v>
      </c>
      <c r="L229" s="32">
        <f t="shared" si="234"/>
        <v>254.00888533907505</v>
      </c>
      <c r="M229" s="32">
        <f t="shared" si="234"/>
        <v>272.14678961908777</v>
      </c>
      <c r="N229" s="32">
        <f t="shared" si="234"/>
        <v>222.50552400788575</v>
      </c>
      <c r="O229" s="32">
        <f t="shared" si="234"/>
        <v>270.97805587008287</v>
      </c>
      <c r="P229" s="32">
        <f t="shared" si="234"/>
        <v>254.99177569495296</v>
      </c>
      <c r="Q229" s="32">
        <f t="shared" si="234"/>
        <v>252.94822524760841</v>
      </c>
      <c r="R229" s="32">
        <f t="shared" si="234"/>
        <v>249.75111209994532</v>
      </c>
      <c r="S229" s="32">
        <f t="shared" si="234"/>
        <v>239.36466154341764</v>
      </c>
      <c r="T229" s="32">
        <f t="shared" si="234"/>
        <v>251.13852834367646</v>
      </c>
      <c r="U229" s="32">
        <f t="shared" si="234"/>
        <v>264.21717243211759</v>
      </c>
      <c r="V229" s="32">
        <f t="shared" si="234"/>
        <v>270.15752914131963</v>
      </c>
      <c r="W229" s="32">
        <f t="shared" si="234"/>
        <v>253.28051710409395</v>
      </c>
      <c r="X229" s="32">
        <f t="shared" si="234"/>
        <v>277.53971054070132</v>
      </c>
      <c r="Y229" s="32">
        <f t="shared" si="234"/>
        <v>290.13388726864531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220.11263788761593</v>
      </c>
      <c r="C230" s="141">
        <f t="shared" si="235"/>
        <v>215.91173891149066</v>
      </c>
      <c r="D230" s="141">
        <f t="shared" si="235"/>
        <v>214.79262949941176</v>
      </c>
      <c r="E230" s="141">
        <f t="shared" si="235"/>
        <v>314.25953745131682</v>
      </c>
      <c r="F230" s="141">
        <f t="shared" si="235"/>
        <v>175.77526521285245</v>
      </c>
      <c r="G230" s="141">
        <f t="shared" si="235"/>
        <v>253.68524883578797</v>
      </c>
      <c r="H230" s="141">
        <f t="shared" si="235"/>
        <v>202.2861017011744</v>
      </c>
      <c r="I230" s="141">
        <f t="shared" si="235"/>
        <v>245.72199922640164</v>
      </c>
      <c r="J230" s="141">
        <f t="shared" si="235"/>
        <v>223.69820974585045</v>
      </c>
      <c r="K230" s="141">
        <f t="shared" si="235"/>
        <v>263.77437909886407</v>
      </c>
      <c r="L230" s="141">
        <f t="shared" si="235"/>
        <v>221.29245904540926</v>
      </c>
      <c r="M230" s="141">
        <f t="shared" si="235"/>
        <v>258.39705641742478</v>
      </c>
      <c r="N230" s="141">
        <f t="shared" si="235"/>
        <v>194.35331538030252</v>
      </c>
      <c r="O230" s="141">
        <f t="shared" si="235"/>
        <v>271.11698078374201</v>
      </c>
      <c r="P230" s="141">
        <f t="shared" si="235"/>
        <v>249.09417603855917</v>
      </c>
      <c r="Q230" s="141">
        <f t="shared" si="235"/>
        <v>240.13268344639056</v>
      </c>
      <c r="R230" s="141">
        <f t="shared" si="235"/>
        <v>231.98797983913153</v>
      </c>
      <c r="S230" s="141">
        <f t="shared" si="235"/>
        <v>218.42185347876585</v>
      </c>
      <c r="T230" s="141">
        <f t="shared" si="235"/>
        <v>228.13688163477815</v>
      </c>
      <c r="U230" s="141">
        <f t="shared" si="235"/>
        <v>243.22414986177392</v>
      </c>
      <c r="V230" s="141">
        <f t="shared" si="235"/>
        <v>258.447371640151</v>
      </c>
      <c r="W230" s="141">
        <f t="shared" si="235"/>
        <v>232.29539454275519</v>
      </c>
      <c r="X230" s="141">
        <f t="shared" si="235"/>
        <v>255.22102560867293</v>
      </c>
      <c r="Y230" s="141">
        <f t="shared" si="235"/>
        <v>269.05040498490609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1783.1734699853857</v>
      </c>
      <c r="C231" s="97">
        <f t="shared" si="236"/>
        <v>1683.010765630883</v>
      </c>
      <c r="D231" s="97">
        <f t="shared" si="236"/>
        <v>1613.5580097363388</v>
      </c>
      <c r="E231" s="97">
        <f t="shared" si="236"/>
        <v>1528.204482501847</v>
      </c>
      <c r="F231" s="97">
        <f t="shared" si="236"/>
        <v>1468.9340026189825</v>
      </c>
      <c r="G231" s="97">
        <f t="shared" si="236"/>
        <v>1428.2818251039389</v>
      </c>
      <c r="H231" s="97">
        <f t="shared" si="236"/>
        <v>1340.0576910933348</v>
      </c>
      <c r="I231" s="97">
        <f t="shared" si="236"/>
        <v>1279.7539155167469</v>
      </c>
      <c r="J231" s="97">
        <f t="shared" si="236"/>
        <v>1245.9618694965213</v>
      </c>
      <c r="K231" s="97">
        <f t="shared" si="236"/>
        <v>1158.5808264282255</v>
      </c>
      <c r="L231" s="97">
        <f t="shared" si="236"/>
        <v>1100.2026179454149</v>
      </c>
      <c r="M231" s="97">
        <f t="shared" si="236"/>
        <v>1055.536523028446</v>
      </c>
      <c r="N231" s="97">
        <f t="shared" si="236"/>
        <v>1016.9696523278178</v>
      </c>
      <c r="O231" s="97">
        <f t="shared" si="236"/>
        <v>998.261116155492</v>
      </c>
      <c r="P231" s="97">
        <f t="shared" si="236"/>
        <v>988.7725181616704</v>
      </c>
      <c r="Q231" s="97">
        <f t="shared" si="236"/>
        <v>962.61645744776433</v>
      </c>
      <c r="R231" s="97">
        <f t="shared" si="236"/>
        <v>943.4600509637097</v>
      </c>
      <c r="S231" s="97">
        <f t="shared" si="236"/>
        <v>946.07149857061631</v>
      </c>
      <c r="T231" s="97">
        <f t="shared" si="236"/>
        <v>970.14092102639768</v>
      </c>
      <c r="U231" s="97">
        <f t="shared" si="236"/>
        <v>964.05597979399499</v>
      </c>
      <c r="V231" s="97">
        <f t="shared" si="236"/>
        <v>936.81140534376368</v>
      </c>
      <c r="W231" s="97">
        <f t="shared" si="236"/>
        <v>952.33078103067669</v>
      </c>
      <c r="X231" s="97">
        <f t="shared" si="236"/>
        <v>986.4613392050677</v>
      </c>
      <c r="Y231" s="97">
        <f t="shared" si="236"/>
        <v>970.61022737909286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136.96820416171568</v>
      </c>
      <c r="C232" s="97">
        <f t="shared" si="237"/>
        <v>135.90895619629578</v>
      </c>
      <c r="D232" s="97">
        <f t="shared" si="237"/>
        <v>135.44656077091844</v>
      </c>
      <c r="E232" s="97">
        <f t="shared" si="237"/>
        <v>201.92854716437094</v>
      </c>
      <c r="F232" s="97">
        <f t="shared" si="237"/>
        <v>113.93812671817375</v>
      </c>
      <c r="G232" s="97">
        <f t="shared" si="237"/>
        <v>164.03194239542165</v>
      </c>
      <c r="H232" s="97">
        <f t="shared" si="237"/>
        <v>132.44960446190558</v>
      </c>
      <c r="I232" s="97">
        <f t="shared" si="237"/>
        <v>161.82313210675972</v>
      </c>
      <c r="J232" s="97">
        <f t="shared" si="237"/>
        <v>147.600295183398</v>
      </c>
      <c r="K232" s="97">
        <f t="shared" si="237"/>
        <v>195.54618044580229</v>
      </c>
      <c r="L232" s="97">
        <f t="shared" si="237"/>
        <v>154.96010023336666</v>
      </c>
      <c r="M232" s="97">
        <f t="shared" si="237"/>
        <v>179.50381016691958</v>
      </c>
      <c r="N232" s="97">
        <f t="shared" si="237"/>
        <v>124.84021239356586</v>
      </c>
      <c r="O232" s="97">
        <f t="shared" si="237"/>
        <v>182.0710161739996</v>
      </c>
      <c r="P232" s="97">
        <f t="shared" si="237"/>
        <v>170.13694216363399</v>
      </c>
      <c r="Q232" s="97">
        <f t="shared" si="237"/>
        <v>145.98618431862977</v>
      </c>
      <c r="R232" s="97">
        <f t="shared" si="237"/>
        <v>140.46213924335601</v>
      </c>
      <c r="S232" s="97">
        <f t="shared" si="237"/>
        <v>137.95005096494862</v>
      </c>
      <c r="T232" s="97">
        <f t="shared" si="237"/>
        <v>146.90791384835731</v>
      </c>
      <c r="U232" s="97">
        <f t="shared" si="237"/>
        <v>162.19228855511773</v>
      </c>
      <c r="V232" s="97">
        <f t="shared" si="237"/>
        <v>182.44182576320551</v>
      </c>
      <c r="W232" s="97">
        <f t="shared" si="237"/>
        <v>158.92169598759222</v>
      </c>
      <c r="X232" s="97">
        <f t="shared" si="237"/>
        <v>177.03262127825747</v>
      </c>
      <c r="Y232" s="97">
        <f t="shared" si="237"/>
        <v>184.9734172147854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21.318766275779396</v>
      </c>
      <c r="C233" s="130">
        <f t="shared" si="238"/>
        <v>20.151022439150342</v>
      </c>
      <c r="D233" s="130">
        <f t="shared" si="238"/>
        <v>23.863035650537785</v>
      </c>
      <c r="E233" s="130">
        <f t="shared" si="238"/>
        <v>22.501306618367753</v>
      </c>
      <c r="F233" s="130">
        <f t="shared" si="238"/>
        <v>22.205703009058087</v>
      </c>
      <c r="G233" s="130">
        <f t="shared" si="238"/>
        <v>16.505576285996423</v>
      </c>
      <c r="H233" s="130">
        <f t="shared" si="238"/>
        <v>17.231420499090198</v>
      </c>
      <c r="I233" s="130">
        <f t="shared" si="238"/>
        <v>15.228011899091534</v>
      </c>
      <c r="J233" s="130">
        <f t="shared" si="238"/>
        <v>22.692807545033283</v>
      </c>
      <c r="K233" s="130">
        <f t="shared" si="238"/>
        <v>13.741535613804171</v>
      </c>
      <c r="L233" s="130">
        <f t="shared" si="238"/>
        <v>13.413482628880462</v>
      </c>
      <c r="M233" s="130">
        <f t="shared" si="238"/>
        <v>11.004363209136457</v>
      </c>
      <c r="N233" s="130">
        <f t="shared" si="238"/>
        <v>14.425126635978543</v>
      </c>
      <c r="O233" s="130">
        <f t="shared" si="238"/>
        <v>10.887878511401741</v>
      </c>
      <c r="P233" s="130">
        <f t="shared" si="238"/>
        <v>11.694986377246495</v>
      </c>
      <c r="Q233" s="130">
        <f t="shared" si="238"/>
        <v>11.589188504450787</v>
      </c>
      <c r="R233" s="130">
        <f t="shared" si="238"/>
        <v>11.783069702068149</v>
      </c>
      <c r="S233" s="130">
        <f t="shared" si="238"/>
        <v>11.449784529521823</v>
      </c>
      <c r="T233" s="130">
        <f t="shared" si="238"/>
        <v>11.052097912755377</v>
      </c>
      <c r="U233" s="130">
        <f t="shared" si="238"/>
        <v>5.965366306594313</v>
      </c>
      <c r="V233" s="130">
        <f t="shared" si="238"/>
        <v>5.6705985896343654</v>
      </c>
      <c r="W233" s="130">
        <f t="shared" si="238"/>
        <v>5.8055372780503243</v>
      </c>
      <c r="X233" s="130">
        <f t="shared" si="238"/>
        <v>5.1604234836592449</v>
      </c>
      <c r="Y233" s="130">
        <f t="shared" si="238"/>
        <v>4.0516588447203743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679.14462597342003</v>
      </c>
      <c r="C234" s="130">
        <f t="shared" si="239"/>
        <v>637.8280612197558</v>
      </c>
      <c r="D234" s="130">
        <f t="shared" si="239"/>
        <v>660.70230261815641</v>
      </c>
      <c r="E234" s="130">
        <f t="shared" si="239"/>
        <v>630.54024785110607</v>
      </c>
      <c r="F234" s="130">
        <f t="shared" si="239"/>
        <v>594.78901433038277</v>
      </c>
      <c r="G234" s="130">
        <f t="shared" si="239"/>
        <v>616.57738732811379</v>
      </c>
      <c r="H234" s="130">
        <f t="shared" si="239"/>
        <v>705.57143308238676</v>
      </c>
      <c r="I234" s="130">
        <f t="shared" si="239"/>
        <v>655.52525050764109</v>
      </c>
      <c r="J234" s="130">
        <f t="shared" si="239"/>
        <v>702.53215541389648</v>
      </c>
      <c r="K234" s="130">
        <f t="shared" si="239"/>
        <v>567.60062960112134</v>
      </c>
      <c r="L234" s="130">
        <f t="shared" si="239"/>
        <v>511.84652212557967</v>
      </c>
      <c r="M234" s="130">
        <f t="shared" si="239"/>
        <v>504.47520858551343</v>
      </c>
      <c r="N234" s="130">
        <f t="shared" si="239"/>
        <v>463.87256434461636</v>
      </c>
      <c r="O234" s="130">
        <f t="shared" si="239"/>
        <v>482.29665840969568</v>
      </c>
      <c r="P234" s="130">
        <f t="shared" si="239"/>
        <v>409.72101973029601</v>
      </c>
      <c r="Q234" s="130">
        <f t="shared" si="239"/>
        <v>384.20502628537326</v>
      </c>
      <c r="R234" s="130">
        <f t="shared" si="239"/>
        <v>345.02504376897946</v>
      </c>
      <c r="S234" s="130">
        <f t="shared" si="239"/>
        <v>338.17943470785883</v>
      </c>
      <c r="T234" s="130">
        <f t="shared" si="239"/>
        <v>309.46615101126793</v>
      </c>
      <c r="U234" s="130">
        <f t="shared" si="239"/>
        <v>273.43415521020614</v>
      </c>
      <c r="V234" s="130">
        <f t="shared" si="239"/>
        <v>326.92129215317533</v>
      </c>
      <c r="W234" s="130">
        <f t="shared" si="239"/>
        <v>271.28766987466497</v>
      </c>
      <c r="X234" s="130">
        <f t="shared" si="239"/>
        <v>262.44226088133058</v>
      </c>
      <c r="Y234" s="130">
        <f t="shared" si="239"/>
        <v>282.29298197808936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3348.7461499018245</v>
      </c>
      <c r="C235" s="97">
        <f t="shared" si="240"/>
        <v>3011.9571462964263</v>
      </c>
      <c r="D235" s="97">
        <f t="shared" si="240"/>
        <v>2921.6458041727778</v>
      </c>
      <c r="E235" s="97">
        <f t="shared" si="240"/>
        <v>2758.6398793586864</v>
      </c>
      <c r="F235" s="97">
        <f t="shared" si="240"/>
        <v>2771.0973074443186</v>
      </c>
      <c r="G235" s="97">
        <f t="shared" si="240"/>
        <v>2962.9505206610797</v>
      </c>
      <c r="H235" s="97">
        <f t="shared" si="240"/>
        <v>2667.059244289132</v>
      </c>
      <c r="I235" s="97">
        <f t="shared" si="240"/>
        <v>2603.2883515509234</v>
      </c>
      <c r="J235" s="97">
        <f t="shared" si="240"/>
        <v>2737.5742115197936</v>
      </c>
      <c r="K235" s="97">
        <f t="shared" si="240"/>
        <v>2016.7203295820607</v>
      </c>
      <c r="L235" s="97">
        <f t="shared" si="240"/>
        <v>1753.5791175888032</v>
      </c>
      <c r="M235" s="97">
        <f t="shared" si="240"/>
        <v>1742.7970455233831</v>
      </c>
      <c r="N235" s="97">
        <f t="shared" si="240"/>
        <v>1488.3669942043575</v>
      </c>
      <c r="O235" s="97">
        <f t="shared" si="240"/>
        <v>1503.855320719297</v>
      </c>
      <c r="P235" s="97">
        <f t="shared" si="240"/>
        <v>1286.9956435995769</v>
      </c>
      <c r="Q235" s="97">
        <f t="shared" si="240"/>
        <v>1059.3475884848133</v>
      </c>
      <c r="R235" s="97">
        <f t="shared" si="240"/>
        <v>1007.6105180528716</v>
      </c>
      <c r="S235" s="97">
        <f t="shared" si="240"/>
        <v>1145.3535784702128</v>
      </c>
      <c r="T235" s="97">
        <f t="shared" si="240"/>
        <v>1242.9598109924748</v>
      </c>
      <c r="U235" s="97">
        <f t="shared" si="240"/>
        <v>1094.4154113780212</v>
      </c>
      <c r="V235" s="97">
        <f t="shared" si="240"/>
        <v>771.65451374960003</v>
      </c>
      <c r="W235" s="97">
        <f t="shared" si="240"/>
        <v>931.66969984076434</v>
      </c>
      <c r="X235" s="97">
        <f t="shared" si="240"/>
        <v>1153.8914244647103</v>
      </c>
      <c r="Y235" s="97">
        <f t="shared" si="240"/>
        <v>1495.9730276327723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492.76314968390386</v>
      </c>
      <c r="C236" s="97">
        <f t="shared" si="241"/>
        <v>464.50437149918406</v>
      </c>
      <c r="D236" s="97">
        <f t="shared" si="241"/>
        <v>493.70531522433936</v>
      </c>
      <c r="E236" s="97">
        <f t="shared" si="241"/>
        <v>485.36689200336787</v>
      </c>
      <c r="F236" s="97">
        <f t="shared" si="241"/>
        <v>503.26570497294989</v>
      </c>
      <c r="G236" s="97">
        <f t="shared" si="241"/>
        <v>512.51042850906288</v>
      </c>
      <c r="H236" s="97">
        <f t="shared" si="241"/>
        <v>704.10057269685694</v>
      </c>
      <c r="I236" s="97">
        <f t="shared" si="241"/>
        <v>684.28181906930661</v>
      </c>
      <c r="J236" s="97">
        <f t="shared" si="241"/>
        <v>764.78985079431573</v>
      </c>
      <c r="K236" s="97">
        <f t="shared" si="241"/>
        <v>644.69496878778591</v>
      </c>
      <c r="L236" s="97">
        <f t="shared" si="241"/>
        <v>525.87504168539408</v>
      </c>
      <c r="M236" s="97">
        <f t="shared" si="241"/>
        <v>535.68887468714479</v>
      </c>
      <c r="N236" s="97">
        <f t="shared" si="241"/>
        <v>487.15524900838977</v>
      </c>
      <c r="O236" s="97">
        <f t="shared" si="241"/>
        <v>501.95682470210193</v>
      </c>
      <c r="P236" s="97">
        <f t="shared" si="241"/>
        <v>436.3023253021907</v>
      </c>
      <c r="Q236" s="97">
        <f t="shared" si="241"/>
        <v>432.24413266725799</v>
      </c>
      <c r="R236" s="97">
        <f t="shared" si="241"/>
        <v>399.48998611668986</v>
      </c>
      <c r="S236" s="97">
        <f t="shared" si="241"/>
        <v>447.07096764679494</v>
      </c>
      <c r="T236" s="97">
        <f t="shared" si="241"/>
        <v>441.93023097739365</v>
      </c>
      <c r="U236" s="97">
        <f t="shared" si="241"/>
        <v>418.44185691244627</v>
      </c>
      <c r="V236" s="97">
        <f t="shared" si="241"/>
        <v>369.04105781451568</v>
      </c>
      <c r="W236" s="97">
        <f t="shared" si="241"/>
        <v>420.74186673912197</v>
      </c>
      <c r="X236" s="97">
        <f t="shared" si="241"/>
        <v>451.40008368981631</v>
      </c>
      <c r="Y236" s="97">
        <f t="shared" si="241"/>
        <v>461.3479050961264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133.66508703498562</v>
      </c>
      <c r="C237" s="97">
        <f t="shared" si="242"/>
        <v>126.82224286931668</v>
      </c>
      <c r="D237" s="97">
        <f t="shared" si="242"/>
        <v>134.25344984056301</v>
      </c>
      <c r="E237" s="97">
        <f t="shared" si="242"/>
        <v>148.26566148415961</v>
      </c>
      <c r="F237" s="97">
        <f t="shared" si="242"/>
        <v>146.58823986034659</v>
      </c>
      <c r="G237" s="97">
        <f t="shared" si="242"/>
        <v>156.96773937824833</v>
      </c>
      <c r="H237" s="97">
        <f t="shared" si="242"/>
        <v>150.78209371507961</v>
      </c>
      <c r="I237" s="97">
        <f t="shared" si="242"/>
        <v>126.26204617141026</v>
      </c>
      <c r="J237" s="97">
        <f t="shared" si="242"/>
        <v>122.08022233361244</v>
      </c>
      <c r="K237" s="97">
        <f t="shared" si="242"/>
        <v>109.46186465930609</v>
      </c>
      <c r="L237" s="97">
        <f t="shared" si="242"/>
        <v>89.11348118299648</v>
      </c>
      <c r="M237" s="97">
        <f t="shared" si="242"/>
        <v>102.99312286922782</v>
      </c>
      <c r="N237" s="97">
        <f t="shared" si="242"/>
        <v>118.41499475115701</v>
      </c>
      <c r="O237" s="97">
        <f t="shared" si="242"/>
        <v>104.44813466175495</v>
      </c>
      <c r="P237" s="97">
        <f t="shared" si="242"/>
        <v>93.528862446956168</v>
      </c>
      <c r="Q237" s="97">
        <f t="shared" si="242"/>
        <v>107.66080501999234</v>
      </c>
      <c r="R237" s="97">
        <f t="shared" si="242"/>
        <v>82.943944020760554</v>
      </c>
      <c r="S237" s="97">
        <f t="shared" si="242"/>
        <v>70.846504119862416</v>
      </c>
      <c r="T237" s="97">
        <f t="shared" si="242"/>
        <v>63.696432272240614</v>
      </c>
      <c r="U237" s="97">
        <f t="shared" si="242"/>
        <v>61.309069800315456</v>
      </c>
      <c r="V237" s="97">
        <f t="shared" si="242"/>
        <v>193.54330191136435</v>
      </c>
      <c r="W237" s="97">
        <f t="shared" si="242"/>
        <v>95.927512524225563</v>
      </c>
      <c r="X237" s="97">
        <f t="shared" si="242"/>
        <v>81.047998059481159</v>
      </c>
      <c r="Y237" s="97">
        <f t="shared" si="242"/>
        <v>81.912452316380282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141.91488145569522</v>
      </c>
      <c r="C238" s="130">
        <f t="shared" si="243"/>
        <v>479.59532666828113</v>
      </c>
      <c r="D238" s="130">
        <f t="shared" si="243"/>
        <v>335.71266841121803</v>
      </c>
      <c r="E238" s="130">
        <f t="shared" si="243"/>
        <v>278.47034805484742</v>
      </c>
      <c r="F238" s="130">
        <f t="shared" si="243"/>
        <v>322.60673654413847</v>
      </c>
      <c r="G238" s="130">
        <f t="shared" si="243"/>
        <v>334.55530626505458</v>
      </c>
      <c r="H238" s="130">
        <f t="shared" si="243"/>
        <v>355.884037094885</v>
      </c>
      <c r="I238" s="130">
        <f t="shared" si="243"/>
        <v>325.70457729084558</v>
      </c>
      <c r="J238" s="130">
        <f t="shared" si="243"/>
        <v>328.35861818816073</v>
      </c>
      <c r="K238" s="130">
        <f t="shared" si="243"/>
        <v>547.99647056922913</v>
      </c>
      <c r="L238" s="130">
        <f t="shared" si="243"/>
        <v>490.243454170907</v>
      </c>
      <c r="M238" s="130">
        <f t="shared" si="243"/>
        <v>348.41926665618081</v>
      </c>
      <c r="N238" s="130">
        <f t="shared" si="243"/>
        <v>350.35496041969589</v>
      </c>
      <c r="O238" s="130">
        <f t="shared" si="243"/>
        <v>280.37523146369745</v>
      </c>
      <c r="P238" s="130">
        <f t="shared" si="243"/>
        <v>292.02332211349557</v>
      </c>
      <c r="Q238" s="130">
        <f t="shared" si="243"/>
        <v>311.31441264776004</v>
      </c>
      <c r="R238" s="130">
        <f t="shared" si="243"/>
        <v>333.05777289021069</v>
      </c>
      <c r="S238" s="130">
        <f t="shared" si="243"/>
        <v>339.29187120127813</v>
      </c>
      <c r="T238" s="130">
        <f t="shared" si="243"/>
        <v>358.71696176236617</v>
      </c>
      <c r="U238" s="130">
        <f t="shared" si="243"/>
        <v>366.83280742528035</v>
      </c>
      <c r="V238" s="130">
        <f t="shared" si="243"/>
        <v>346.81526784612868</v>
      </c>
      <c r="W238" s="130">
        <f t="shared" si="243"/>
        <v>376.72184497607657</v>
      </c>
      <c r="X238" s="130">
        <f t="shared" si="243"/>
        <v>402.71448747345403</v>
      </c>
      <c r="Y238" s="130">
        <f t="shared" si="243"/>
        <v>381.85257657734024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141.91488145569522</v>
      </c>
      <c r="C239" s="97">
        <f t="shared" si="244"/>
        <v>479.59532666828113</v>
      </c>
      <c r="D239" s="97">
        <f t="shared" si="244"/>
        <v>335.71266841121803</v>
      </c>
      <c r="E239" s="97">
        <f t="shared" si="244"/>
        <v>278.47034805484742</v>
      </c>
      <c r="F239" s="97">
        <f t="shared" si="244"/>
        <v>322.60673654413847</v>
      </c>
      <c r="G239" s="97">
        <f t="shared" si="244"/>
        <v>334.55530626505458</v>
      </c>
      <c r="H239" s="97">
        <f t="shared" si="244"/>
        <v>355.884037094885</v>
      </c>
      <c r="I239" s="97">
        <f t="shared" si="244"/>
        <v>325.70457729084558</v>
      </c>
      <c r="J239" s="97">
        <f t="shared" si="244"/>
        <v>328.35861818816073</v>
      </c>
      <c r="K239" s="97">
        <f t="shared" si="244"/>
        <v>547.99647056922913</v>
      </c>
      <c r="L239" s="97">
        <f t="shared" si="244"/>
        <v>490.243454170907</v>
      </c>
      <c r="M239" s="97">
        <f t="shared" si="244"/>
        <v>348.41926665618081</v>
      </c>
      <c r="N239" s="97">
        <f t="shared" si="244"/>
        <v>350.35496041969589</v>
      </c>
      <c r="O239" s="97">
        <f t="shared" si="244"/>
        <v>280.37523146369745</v>
      </c>
      <c r="P239" s="97">
        <f t="shared" si="244"/>
        <v>292.02332211349557</v>
      </c>
      <c r="Q239" s="97">
        <f t="shared" si="244"/>
        <v>311.31441264776004</v>
      </c>
      <c r="R239" s="97">
        <f t="shared" si="244"/>
        <v>333.05777289021069</v>
      </c>
      <c r="S239" s="97">
        <f t="shared" si="244"/>
        <v>339.29187120127813</v>
      </c>
      <c r="T239" s="97">
        <f t="shared" si="244"/>
        <v>358.71696176236617</v>
      </c>
      <c r="U239" s="97">
        <f t="shared" si="244"/>
        <v>366.83280742528035</v>
      </c>
      <c r="V239" s="97">
        <f t="shared" si="244"/>
        <v>346.81526784612868</v>
      </c>
      <c r="W239" s="97">
        <f t="shared" si="244"/>
        <v>376.72184497607657</v>
      </c>
      <c r="X239" s="97">
        <f t="shared" si="244"/>
        <v>402.71448747345403</v>
      </c>
      <c r="Y239" s="97">
        <f t="shared" si="244"/>
        <v>381.85257657734024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0</v>
      </c>
      <c r="C240" s="98">
        <f t="shared" si="245"/>
        <v>0</v>
      </c>
      <c r="D240" s="98">
        <f t="shared" si="245"/>
        <v>0</v>
      </c>
      <c r="E240" s="98">
        <f t="shared" si="245"/>
        <v>0</v>
      </c>
      <c r="F240" s="98">
        <f t="shared" si="245"/>
        <v>0</v>
      </c>
      <c r="G240" s="98">
        <f t="shared" si="245"/>
        <v>0</v>
      </c>
      <c r="H240" s="98">
        <f t="shared" si="245"/>
        <v>0</v>
      </c>
      <c r="I240" s="98">
        <f t="shared" si="245"/>
        <v>0</v>
      </c>
      <c r="J240" s="98">
        <f t="shared" si="245"/>
        <v>0</v>
      </c>
      <c r="K240" s="98">
        <f t="shared" si="245"/>
        <v>0</v>
      </c>
      <c r="L240" s="98">
        <f t="shared" si="245"/>
        <v>0</v>
      </c>
      <c r="M240" s="98">
        <f t="shared" si="245"/>
        <v>0</v>
      </c>
      <c r="N240" s="98">
        <f t="shared" si="245"/>
        <v>0</v>
      </c>
      <c r="O240" s="98">
        <f t="shared" si="245"/>
        <v>0</v>
      </c>
      <c r="P240" s="98">
        <f t="shared" si="245"/>
        <v>0</v>
      </c>
      <c r="Q240" s="98">
        <f t="shared" si="245"/>
        <v>0</v>
      </c>
      <c r="R240" s="98">
        <f t="shared" si="245"/>
        <v>0</v>
      </c>
      <c r="S240" s="98">
        <f t="shared" si="245"/>
        <v>0</v>
      </c>
      <c r="T240" s="98">
        <f t="shared" si="245"/>
        <v>0</v>
      </c>
      <c r="U240" s="98">
        <f t="shared" si="245"/>
        <v>0</v>
      </c>
      <c r="V240" s="98">
        <f t="shared" si="245"/>
        <v>0</v>
      </c>
      <c r="W240" s="98">
        <f t="shared" si="245"/>
        <v>0</v>
      </c>
      <c r="X240" s="98">
        <f t="shared" si="245"/>
        <v>0</v>
      </c>
      <c r="Y240" s="98">
        <f t="shared" si="245"/>
        <v>0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151.51687079729396</v>
      </c>
      <c r="C241" s="32">
        <f t="shared" si="246"/>
        <v>104.35387738522535</v>
      </c>
      <c r="D241" s="32">
        <f t="shared" si="246"/>
        <v>89.144381522779909</v>
      </c>
      <c r="E241" s="32">
        <f t="shared" si="246"/>
        <v>80.60958967769642</v>
      </c>
      <c r="F241" s="32">
        <f t="shared" si="246"/>
        <v>80.722424515658432</v>
      </c>
      <c r="G241" s="32">
        <f t="shared" si="246"/>
        <v>71.944061514211654</v>
      </c>
      <c r="H241" s="32">
        <f t="shared" si="246"/>
        <v>78.439714018619753</v>
      </c>
      <c r="I241" s="32">
        <f t="shared" si="246"/>
        <v>78.468704468693204</v>
      </c>
      <c r="J241" s="32">
        <f t="shared" si="246"/>
        <v>90.268967962797788</v>
      </c>
      <c r="K241" s="32">
        <f t="shared" si="246"/>
        <v>83.955529335603899</v>
      </c>
      <c r="L241" s="32">
        <f t="shared" si="246"/>
        <v>84.281462968809151</v>
      </c>
      <c r="M241" s="32">
        <f t="shared" si="246"/>
        <v>67.438371993519695</v>
      </c>
      <c r="N241" s="32">
        <f t="shared" si="246"/>
        <v>42.349224910884189</v>
      </c>
      <c r="O241" s="32">
        <f t="shared" si="246"/>
        <v>37.233453836912979</v>
      </c>
      <c r="P241" s="32">
        <f t="shared" si="246"/>
        <v>29.16019991044265</v>
      </c>
      <c r="Q241" s="32">
        <f t="shared" si="246"/>
        <v>27.609119954041969</v>
      </c>
      <c r="R241" s="32">
        <f t="shared" si="246"/>
        <v>23.940845268535249</v>
      </c>
      <c r="S241" s="32">
        <f t="shared" si="246"/>
        <v>28.907974839336458</v>
      </c>
      <c r="T241" s="32">
        <f t="shared" si="246"/>
        <v>27.87530338962884</v>
      </c>
      <c r="U241" s="32">
        <f t="shared" si="246"/>
        <v>30.188094777764604</v>
      </c>
      <c r="V241" s="32">
        <f t="shared" si="246"/>
        <v>20.002383376901495</v>
      </c>
      <c r="W241" s="32">
        <f t="shared" si="246"/>
        <v>21.763793886433564</v>
      </c>
      <c r="X241" s="32">
        <f t="shared" si="246"/>
        <v>26.666138889258082</v>
      </c>
      <c r="Y241" s="32">
        <f t="shared" si="246"/>
        <v>25.048117903774031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165.04884665967592</v>
      </c>
      <c r="C242" s="97">
        <f t="shared" si="247"/>
        <v>170.6217366732144</v>
      </c>
      <c r="D242" s="97">
        <f t="shared" si="247"/>
        <v>156.34142499154021</v>
      </c>
      <c r="E242" s="97">
        <f t="shared" si="247"/>
        <v>138.85439427743276</v>
      </c>
      <c r="F242" s="97">
        <f t="shared" si="247"/>
        <v>149.54246339878082</v>
      </c>
      <c r="G242" s="97">
        <f t="shared" si="247"/>
        <v>140.08499295520812</v>
      </c>
      <c r="H242" s="97">
        <f t="shared" si="247"/>
        <v>159.344530348082</v>
      </c>
      <c r="I242" s="97">
        <f t="shared" si="247"/>
        <v>145.13567284909186</v>
      </c>
      <c r="J242" s="97">
        <f t="shared" si="247"/>
        <v>157.15353678752288</v>
      </c>
      <c r="K242" s="97">
        <f t="shared" si="247"/>
        <v>145.50234694978852</v>
      </c>
      <c r="L242" s="97">
        <f t="shared" si="247"/>
        <v>154.95556215148409</v>
      </c>
      <c r="M242" s="97">
        <f t="shared" si="247"/>
        <v>142.89020149868071</v>
      </c>
      <c r="N242" s="97">
        <f t="shared" si="247"/>
        <v>97.359411683544252</v>
      </c>
      <c r="O242" s="97">
        <f t="shared" si="247"/>
        <v>89.880143600963891</v>
      </c>
      <c r="P242" s="97">
        <f t="shared" si="247"/>
        <v>73.781197460088379</v>
      </c>
      <c r="Q242" s="97">
        <f t="shared" si="247"/>
        <v>68.932449596347084</v>
      </c>
      <c r="R242" s="97">
        <f t="shared" si="247"/>
        <v>60.447487452205984</v>
      </c>
      <c r="S242" s="97">
        <f t="shared" si="247"/>
        <v>73.418522680257993</v>
      </c>
      <c r="T242" s="97">
        <f t="shared" si="247"/>
        <v>70.412460726066982</v>
      </c>
      <c r="U242" s="97">
        <f t="shared" si="247"/>
        <v>75.288582482528156</v>
      </c>
      <c r="V242" s="97">
        <f t="shared" si="247"/>
        <v>45.175974106060465</v>
      </c>
      <c r="W242" s="97">
        <f t="shared" si="247"/>
        <v>49.355832539687135</v>
      </c>
      <c r="X242" s="97">
        <f t="shared" si="247"/>
        <v>59.20018481297037</v>
      </c>
      <c r="Y242" s="97">
        <f t="shared" si="247"/>
        <v>56.858358198603966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134.36195435077974</v>
      </c>
      <c r="C243" s="98">
        <f t="shared" si="248"/>
        <v>72.512598520972361</v>
      </c>
      <c r="D243" s="98">
        <f t="shared" si="248"/>
        <v>61.940850571693026</v>
      </c>
      <c r="E243" s="98">
        <f t="shared" si="248"/>
        <v>54.918967917119737</v>
      </c>
      <c r="F243" s="98">
        <f t="shared" si="248"/>
        <v>54.73755588745653</v>
      </c>
      <c r="G243" s="98">
        <f t="shared" si="248"/>
        <v>48.43558550201768</v>
      </c>
      <c r="H243" s="98">
        <f t="shared" si="248"/>
        <v>53.596756426871828</v>
      </c>
      <c r="I243" s="98">
        <f t="shared" si="248"/>
        <v>53.453019960143365</v>
      </c>
      <c r="J243" s="98">
        <f t="shared" si="248"/>
        <v>60.913489396290139</v>
      </c>
      <c r="K243" s="98">
        <f t="shared" si="248"/>
        <v>56.100453558050994</v>
      </c>
      <c r="L243" s="98">
        <f t="shared" si="248"/>
        <v>56.713042945262018</v>
      </c>
      <c r="M243" s="98">
        <f t="shared" si="248"/>
        <v>44.468089394788436</v>
      </c>
      <c r="N243" s="98">
        <f t="shared" si="248"/>
        <v>27.947586481535605</v>
      </c>
      <c r="O243" s="98">
        <f t="shared" si="248"/>
        <v>25.038373827031286</v>
      </c>
      <c r="P243" s="98">
        <f t="shared" si="248"/>
        <v>19.746308560998298</v>
      </c>
      <c r="Q243" s="98">
        <f t="shared" si="248"/>
        <v>18.448327844275497</v>
      </c>
      <c r="R243" s="98">
        <f t="shared" si="248"/>
        <v>16.367884249360184</v>
      </c>
      <c r="S243" s="98">
        <f t="shared" si="248"/>
        <v>19.531228805683018</v>
      </c>
      <c r="T243" s="98">
        <f t="shared" si="248"/>
        <v>18.859649976723706</v>
      </c>
      <c r="U243" s="98">
        <f t="shared" si="248"/>
        <v>20.230992307502039</v>
      </c>
      <c r="V243" s="98">
        <f t="shared" si="248"/>
        <v>14.516372318809584</v>
      </c>
      <c r="W243" s="98">
        <f t="shared" si="248"/>
        <v>15.680470725062536</v>
      </c>
      <c r="X243" s="98">
        <f t="shared" si="248"/>
        <v>17.954190400824956</v>
      </c>
      <c r="Y243" s="98">
        <f t="shared" si="248"/>
        <v>16.929916879178911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89081.033687696428</v>
      </c>
      <c r="C4" s="29">
        <f t="shared" si="0"/>
        <v>94433.61652752696</v>
      </c>
      <c r="D4" s="29">
        <f t="shared" si="0"/>
        <v>99135.280132350381</v>
      </c>
      <c r="E4" s="29">
        <f t="shared" si="0"/>
        <v>103397.50953702383</v>
      </c>
      <c r="F4" s="29">
        <f t="shared" si="0"/>
        <v>107255.69052107683</v>
      </c>
      <c r="G4" s="29">
        <f t="shared" si="0"/>
        <v>112483.56888770049</v>
      </c>
      <c r="H4" s="29">
        <f t="shared" si="0"/>
        <v>117284.73761886568</v>
      </c>
      <c r="I4" s="29">
        <f t="shared" si="0"/>
        <v>122620.69964971418</v>
      </c>
      <c r="J4" s="29">
        <f t="shared" si="0"/>
        <v>128108.34182156908</v>
      </c>
      <c r="K4" s="29">
        <f t="shared" si="0"/>
        <v>128366.59142603923</v>
      </c>
      <c r="L4" s="29">
        <f t="shared" ref="L4" si="1">L5+L6+L13</f>
        <v>128026.7719637641</v>
      </c>
      <c r="M4" s="29">
        <f t="shared" ref="M4:V4" si="2">M5+M6+M13</f>
        <v>127065.51332408059</v>
      </c>
      <c r="N4" s="29">
        <f t="shared" si="2"/>
        <v>125924.11353632176</v>
      </c>
      <c r="O4" s="29">
        <f t="shared" si="2"/>
        <v>124883.37127318948</v>
      </c>
      <c r="P4" s="29">
        <f t="shared" si="2"/>
        <v>126305.87703236123</v>
      </c>
      <c r="Q4" s="29">
        <f t="shared" si="2"/>
        <v>127938.38420213384</v>
      </c>
      <c r="R4" s="29">
        <f t="shared" si="2"/>
        <v>129597.33451912021</v>
      </c>
      <c r="S4" s="29">
        <f t="shared" si="2"/>
        <v>130577.28472203088</v>
      </c>
      <c r="T4" s="29">
        <f t="shared" si="2"/>
        <v>131643.50825034044</v>
      </c>
      <c r="U4" s="29">
        <f t="shared" si="2"/>
        <v>133816.09163567756</v>
      </c>
      <c r="V4" s="29">
        <f t="shared" si="2"/>
        <v>111667.6044267128</v>
      </c>
      <c r="W4" s="29">
        <f t="shared" ref="W4:Y4" si="3">W5+W6+W13</f>
        <v>119011.0304613154</v>
      </c>
      <c r="X4" s="29">
        <f t="shared" si="3"/>
        <v>128997.35986960675</v>
      </c>
      <c r="Y4" s="29">
        <f t="shared" si="3"/>
        <v>136665.38405608569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4381.0336876964257</v>
      </c>
      <c r="C5" s="152">
        <f t="shared" si="4"/>
        <v>4633.6165275269504</v>
      </c>
      <c r="D5" s="152">
        <f t="shared" si="4"/>
        <v>5135.2801323503791</v>
      </c>
      <c r="E5" s="152">
        <f t="shared" si="4"/>
        <v>5447.5095370238278</v>
      </c>
      <c r="F5" s="152">
        <f t="shared" si="4"/>
        <v>5655.6905210768255</v>
      </c>
      <c r="G5" s="152">
        <f t="shared" si="4"/>
        <v>5783.5688877004877</v>
      </c>
      <c r="H5" s="152">
        <f t="shared" si="4"/>
        <v>5484.7376188656744</v>
      </c>
      <c r="I5" s="152">
        <f t="shared" si="4"/>
        <v>5620.6996497141854</v>
      </c>
      <c r="J5" s="152">
        <f t="shared" si="4"/>
        <v>6008.3418215690799</v>
      </c>
      <c r="K5" s="152">
        <f t="shared" si="4"/>
        <v>6147.5484182387845</v>
      </c>
      <c r="L5" s="152">
        <f t="shared" ref="L5:L7" si="5">IF(L32=0,0,L32*L142)</f>
        <v>7326.7719637640967</v>
      </c>
      <c r="M5" s="152">
        <f t="shared" ref="M5:V5" si="6">IF(M32=0,0,M32*M142)</f>
        <v>7581.7104733309743</v>
      </c>
      <c r="N5" s="152">
        <f t="shared" si="6"/>
        <v>7893.5315545565272</v>
      </c>
      <c r="O5" s="152">
        <f t="shared" si="6"/>
        <v>8043.8635150545433</v>
      </c>
      <c r="P5" s="152">
        <f t="shared" si="6"/>
        <v>8429.7146217443478</v>
      </c>
      <c r="Q5" s="152">
        <f t="shared" si="6"/>
        <v>8514.3277175809253</v>
      </c>
      <c r="R5" s="152">
        <f t="shared" si="6"/>
        <v>8772.2549090320354</v>
      </c>
      <c r="S5" s="152">
        <f t="shared" si="6"/>
        <v>8235.2478066252388</v>
      </c>
      <c r="T5" s="152">
        <f t="shared" si="6"/>
        <v>7699.3908690823419</v>
      </c>
      <c r="U5" s="152">
        <f t="shared" si="6"/>
        <v>8175.413024369409</v>
      </c>
      <c r="V5" s="152">
        <f t="shared" si="6"/>
        <v>7307.8063895468194</v>
      </c>
      <c r="W5" s="152">
        <f t="shared" ref="W5:Y5" si="7">IF(W32=0,0,W32*W142)</f>
        <v>7595.5854443140688</v>
      </c>
      <c r="X5" s="152">
        <f t="shared" si="7"/>
        <v>7687.1656781717402</v>
      </c>
      <c r="Y5" s="152">
        <f t="shared" si="7"/>
        <v>8352.9655498947031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63000</v>
      </c>
      <c r="C6" s="116">
        <f t="shared" si="8"/>
        <v>68000.000000000015</v>
      </c>
      <c r="D6" s="116">
        <f t="shared" si="8"/>
        <v>72000</v>
      </c>
      <c r="E6" s="116">
        <f t="shared" si="8"/>
        <v>76000</v>
      </c>
      <c r="F6" s="116">
        <f t="shared" si="8"/>
        <v>80000</v>
      </c>
      <c r="G6" s="116">
        <f t="shared" si="8"/>
        <v>85000</v>
      </c>
      <c r="H6" s="116">
        <f t="shared" si="8"/>
        <v>90000</v>
      </c>
      <c r="I6" s="116">
        <f t="shared" si="8"/>
        <v>95000</v>
      </c>
      <c r="J6" s="116">
        <f t="shared" si="8"/>
        <v>100000</v>
      </c>
      <c r="K6" s="116">
        <f t="shared" si="8"/>
        <v>101300</v>
      </c>
      <c r="L6" s="116">
        <f t="shared" ref="L6" si="9">SUM(L7:L12)</f>
        <v>99600</v>
      </c>
      <c r="M6" s="116">
        <f t="shared" ref="M6:V6" si="10">SUM(M7:M12)</f>
        <v>98322.079941260134</v>
      </c>
      <c r="N6" s="116">
        <f t="shared" si="10"/>
        <v>96934.481527791082</v>
      </c>
      <c r="O6" s="116">
        <f t="shared" si="10"/>
        <v>95811.379215017092</v>
      </c>
      <c r="P6" s="116">
        <f t="shared" si="10"/>
        <v>96870.041465995091</v>
      </c>
      <c r="Q6" s="116">
        <f t="shared" si="10"/>
        <v>98275.784515578431</v>
      </c>
      <c r="R6" s="116">
        <f t="shared" si="10"/>
        <v>99922.362971391893</v>
      </c>
      <c r="S6" s="116">
        <f t="shared" si="10"/>
        <v>101877.08750292296</v>
      </c>
      <c r="T6" s="116">
        <f t="shared" si="10"/>
        <v>103395.3545725447</v>
      </c>
      <c r="U6" s="116">
        <f t="shared" si="10"/>
        <v>105305.16484643624</v>
      </c>
      <c r="V6" s="116">
        <f t="shared" si="10"/>
        <v>91046.951931119649</v>
      </c>
      <c r="W6" s="116">
        <f t="shared" ref="W6:Y6" si="11">SUM(W7:W12)</f>
        <v>97646.14209748985</v>
      </c>
      <c r="X6" s="116">
        <f t="shared" si="11"/>
        <v>103634.25935803835</v>
      </c>
      <c r="Y6" s="116">
        <f t="shared" si="11"/>
        <v>109406.65568117968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58222.639355850581</v>
      </c>
      <c r="C7" s="87">
        <f t="shared" si="12"/>
        <v>63384.688714303869</v>
      </c>
      <c r="D7" s="87">
        <f t="shared" si="12"/>
        <v>67409.486310908644</v>
      </c>
      <c r="E7" s="87">
        <f t="shared" si="12"/>
        <v>71199.354560812528</v>
      </c>
      <c r="F7" s="87">
        <f t="shared" si="12"/>
        <v>75688.65265406156</v>
      </c>
      <c r="G7" s="87">
        <f t="shared" si="12"/>
        <v>80591.297019039295</v>
      </c>
      <c r="H7" s="87">
        <f t="shared" si="12"/>
        <v>85105.089221738774</v>
      </c>
      <c r="I7" s="87">
        <f t="shared" si="12"/>
        <v>89816.712859009145</v>
      </c>
      <c r="J7" s="87">
        <f t="shared" si="12"/>
        <v>94961.769053033757</v>
      </c>
      <c r="K7" s="87">
        <f t="shared" si="12"/>
        <v>95480.759120930947</v>
      </c>
      <c r="L7" s="87">
        <f t="shared" si="5"/>
        <v>93508.386984627796</v>
      </c>
      <c r="M7" s="87">
        <f t="shared" ref="M7:V7" si="13">IF(M34=0,0,M34*M144)</f>
        <v>90718.761059039345</v>
      </c>
      <c r="N7" s="87">
        <f t="shared" si="13"/>
        <v>89819.530535378304</v>
      </c>
      <c r="O7" s="87">
        <f t="shared" si="13"/>
        <v>85565.588885054181</v>
      </c>
      <c r="P7" s="87">
        <f t="shared" si="13"/>
        <v>83243.54270139584</v>
      </c>
      <c r="Q7" s="87">
        <f t="shared" si="13"/>
        <v>84000.439765705145</v>
      </c>
      <c r="R7" s="87">
        <f t="shared" si="13"/>
        <v>82620.946896002031</v>
      </c>
      <c r="S7" s="87">
        <f t="shared" si="13"/>
        <v>82588.055891962475</v>
      </c>
      <c r="T7" s="87">
        <f t="shared" si="13"/>
        <v>81090.544154678675</v>
      </c>
      <c r="U7" s="87">
        <f t="shared" si="13"/>
        <v>79074.595979797668</v>
      </c>
      <c r="V7" s="87">
        <f t="shared" si="13"/>
        <v>66511.70583739772</v>
      </c>
      <c r="W7" s="87">
        <f t="shared" ref="W7:Y7" si="14">IF(W34=0,0,W34*W144)</f>
        <v>71027.753727967254</v>
      </c>
      <c r="X7" s="87">
        <f t="shared" si="14"/>
        <v>75184.083059775061</v>
      </c>
      <c r="Y7" s="87">
        <f t="shared" si="14"/>
        <v>79197.938426358596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4427.2261379989723</v>
      </c>
      <c r="C8" s="87">
        <f t="shared" si="15"/>
        <v>4257.2565948797055</v>
      </c>
      <c r="D8" s="87">
        <f t="shared" si="15"/>
        <v>4251.5993888323574</v>
      </c>
      <c r="E8" s="87">
        <f t="shared" si="15"/>
        <v>4496.4378009765787</v>
      </c>
      <c r="F8" s="87">
        <f t="shared" si="15"/>
        <v>4033.330772862013</v>
      </c>
      <c r="G8" s="87">
        <f t="shared" si="15"/>
        <v>4130.0931297047937</v>
      </c>
      <c r="H8" s="87">
        <f t="shared" si="15"/>
        <v>4612.306265562147</v>
      </c>
      <c r="I8" s="87">
        <f t="shared" si="15"/>
        <v>4869.0236789733608</v>
      </c>
      <c r="J8" s="87">
        <f t="shared" si="15"/>
        <v>4721.9036074907344</v>
      </c>
      <c r="K8" s="87">
        <f t="shared" si="15"/>
        <v>5363.7476349249482</v>
      </c>
      <c r="L8" s="87">
        <f t="shared" ref="L8" si="16">IF(L35=0,0,L35*L145)</f>
        <v>5016.2937209376832</v>
      </c>
      <c r="M8" s="87">
        <f t="shared" ref="M8:V8" si="17">IF(M35=0,0,M35*M145)</f>
        <v>4751.3633315034385</v>
      </c>
      <c r="N8" s="87">
        <f t="shared" si="17"/>
        <v>4786.1564537880913</v>
      </c>
      <c r="O8" s="87">
        <f t="shared" si="17"/>
        <v>4418.9076971791801</v>
      </c>
      <c r="P8" s="87">
        <f t="shared" si="17"/>
        <v>7151.5775171574351</v>
      </c>
      <c r="Q8" s="87">
        <f t="shared" si="17"/>
        <v>6684.6965450169946</v>
      </c>
      <c r="R8" s="87">
        <f t="shared" si="17"/>
        <v>8823.667945189809</v>
      </c>
      <c r="S8" s="87">
        <f t="shared" si="17"/>
        <v>11167.171291023158</v>
      </c>
      <c r="T8" s="87">
        <f t="shared" si="17"/>
        <v>14505.062239746549</v>
      </c>
      <c r="U8" s="87">
        <f t="shared" si="17"/>
        <v>18326.149227215719</v>
      </c>
      <c r="V8" s="87">
        <f t="shared" si="17"/>
        <v>18417.068164548036</v>
      </c>
      <c r="W8" s="87">
        <f t="shared" ref="W8:Y8" si="18">IF(W35=0,0,W35*W145)</f>
        <v>20197.594727774296</v>
      </c>
      <c r="X8" s="87">
        <f t="shared" si="18"/>
        <v>21586.243045996744</v>
      </c>
      <c r="Y8" s="87">
        <f t="shared" si="18"/>
        <v>22701.293981962008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350.13450615044439</v>
      </c>
      <c r="C9" s="87">
        <f t="shared" si="19"/>
        <v>338.53412314876465</v>
      </c>
      <c r="D9" s="87">
        <f t="shared" si="19"/>
        <v>307.66600885098768</v>
      </c>
      <c r="E9" s="87">
        <f t="shared" si="19"/>
        <v>270.17972998755772</v>
      </c>
      <c r="F9" s="87">
        <f t="shared" si="19"/>
        <v>244.59315582773579</v>
      </c>
      <c r="G9" s="87">
        <f t="shared" si="19"/>
        <v>241.8900199162359</v>
      </c>
      <c r="H9" s="87">
        <f t="shared" si="19"/>
        <v>244.16001939476735</v>
      </c>
      <c r="I9" s="87">
        <f t="shared" si="19"/>
        <v>270.78338164295536</v>
      </c>
      <c r="J9" s="87">
        <f t="shared" si="19"/>
        <v>273.78433706016222</v>
      </c>
      <c r="K9" s="87">
        <f t="shared" si="19"/>
        <v>399.45280118812121</v>
      </c>
      <c r="L9" s="87">
        <f t="shared" ref="L9" si="20">IF(L36=0,0,L36*L146)</f>
        <v>1010.927462513167</v>
      </c>
      <c r="M9" s="87">
        <f t="shared" ref="M9:V9" si="21">IF(M36=0,0,M36*M146)</f>
        <v>2778.7800309568074</v>
      </c>
      <c r="N9" s="87">
        <f t="shared" si="21"/>
        <v>2245.760282828352</v>
      </c>
      <c r="O9" s="87">
        <f t="shared" si="21"/>
        <v>5744.2866371363853</v>
      </c>
      <c r="P9" s="87">
        <f t="shared" si="21"/>
        <v>6388.0674293989023</v>
      </c>
      <c r="Q9" s="87">
        <f t="shared" si="21"/>
        <v>7490.5943380576209</v>
      </c>
      <c r="R9" s="87">
        <f t="shared" si="21"/>
        <v>8372.8780437624409</v>
      </c>
      <c r="S9" s="87">
        <f t="shared" si="21"/>
        <v>8016.7539116355338</v>
      </c>
      <c r="T9" s="87">
        <f t="shared" si="21"/>
        <v>7688.0558668644126</v>
      </c>
      <c r="U9" s="87">
        <f t="shared" si="21"/>
        <v>7774.1111978478293</v>
      </c>
      <c r="V9" s="87">
        <f t="shared" si="21"/>
        <v>5923.281158697815</v>
      </c>
      <c r="W9" s="87">
        <f t="shared" ref="W9:Y9" si="22">IF(W36=0,0,W36*W146)</f>
        <v>6041.1623414928372</v>
      </c>
      <c r="X9" s="87">
        <f t="shared" si="22"/>
        <v>6267.5028990430164</v>
      </c>
      <c r="Y9" s="87">
        <f t="shared" si="22"/>
        <v>6534.7482365977457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19.520567667664235</v>
      </c>
      <c r="D10" s="87">
        <f t="shared" si="23"/>
        <v>31.248291408023292</v>
      </c>
      <c r="E10" s="87">
        <f t="shared" si="23"/>
        <v>34.027908223336432</v>
      </c>
      <c r="F10" s="87">
        <f t="shared" si="23"/>
        <v>33.423417248685766</v>
      </c>
      <c r="G10" s="87">
        <f t="shared" si="23"/>
        <v>36.719831339679409</v>
      </c>
      <c r="H10" s="87">
        <f t="shared" si="23"/>
        <v>38.444493304309908</v>
      </c>
      <c r="I10" s="87">
        <f t="shared" si="23"/>
        <v>43.48008037453846</v>
      </c>
      <c r="J10" s="87">
        <f t="shared" si="23"/>
        <v>42.543002415344517</v>
      </c>
      <c r="K10" s="87">
        <f t="shared" si="23"/>
        <v>56.040442955987842</v>
      </c>
      <c r="L10" s="87">
        <f t="shared" ref="L10" si="24">IF(L37=0,0,L37*L147)</f>
        <v>64.391831921348682</v>
      </c>
      <c r="M10" s="87">
        <f t="shared" ref="M10:V10" si="25">IF(M37=0,0,M37*M147)</f>
        <v>73.175519760536844</v>
      </c>
      <c r="N10" s="87">
        <f t="shared" si="25"/>
        <v>82.990210020217219</v>
      </c>
      <c r="O10" s="87">
        <f t="shared" si="25"/>
        <v>82.498096888054022</v>
      </c>
      <c r="P10" s="87">
        <f t="shared" si="25"/>
        <v>85.22288952630926</v>
      </c>
      <c r="Q10" s="87">
        <f t="shared" si="25"/>
        <v>96.936765531694192</v>
      </c>
      <c r="R10" s="87">
        <f t="shared" si="25"/>
        <v>100.16804724490446</v>
      </c>
      <c r="S10" s="87">
        <f t="shared" si="25"/>
        <v>96.874476304916939</v>
      </c>
      <c r="T10" s="87">
        <f t="shared" si="25"/>
        <v>98.351667971409697</v>
      </c>
      <c r="U10" s="87">
        <f t="shared" si="25"/>
        <v>107.20966792294207</v>
      </c>
      <c r="V10" s="87">
        <f t="shared" si="25"/>
        <v>132.95497177759063</v>
      </c>
      <c r="W10" s="87">
        <f t="shared" ref="W10:Y10" si="26">IF(W37=0,0,W37*W147)</f>
        <v>160.21279875977598</v>
      </c>
      <c r="X10" s="87">
        <f t="shared" si="26"/>
        <v>184.81604193704675</v>
      </c>
      <c r="Y10" s="87">
        <f t="shared" si="26"/>
        <v>224.37956711812714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1.9494819754035643E-2</v>
      </c>
      <c r="O11" s="87">
        <f t="shared" si="29"/>
        <v>2.1037203923594303E-2</v>
      </c>
      <c r="P11" s="87">
        <f t="shared" si="29"/>
        <v>0.45028649217760114</v>
      </c>
      <c r="Q11" s="87">
        <f t="shared" si="29"/>
        <v>0.86600198500474856</v>
      </c>
      <c r="R11" s="87">
        <f t="shared" si="29"/>
        <v>1.6756075844140583</v>
      </c>
      <c r="S11" s="87">
        <f t="shared" si="29"/>
        <v>4.3032232487794388</v>
      </c>
      <c r="T11" s="87">
        <f t="shared" si="29"/>
        <v>7.6573004971562195</v>
      </c>
      <c r="U11" s="87">
        <f t="shared" si="29"/>
        <v>11.865533682694203</v>
      </c>
      <c r="V11" s="87">
        <f t="shared" si="29"/>
        <v>38.153247610255406</v>
      </c>
      <c r="W11" s="87">
        <f t="shared" ref="W11:Y11" si="30">IF(W38=0,0,W38*W148)</f>
        <v>135.69449015544228</v>
      </c>
      <c r="X11" s="87">
        <f t="shared" si="30"/>
        <v>246.80284638053158</v>
      </c>
      <c r="Y11" s="87">
        <f t="shared" si="30"/>
        <v>419.33998720621247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</v>
      </c>
      <c r="L12" s="87">
        <f t="shared" ref="L12" si="32">IF(L39=0,0,L39*L149)</f>
        <v>0</v>
      </c>
      <c r="M12" s="87">
        <f t="shared" ref="M12:V12" si="33">IF(M39=0,0,M39*M149)</f>
        <v>0</v>
      </c>
      <c r="N12" s="87">
        <f t="shared" si="33"/>
        <v>2.4550956358156663E-2</v>
      </c>
      <c r="O12" s="87">
        <f t="shared" si="33"/>
        <v>7.6861555370487861E-2</v>
      </c>
      <c r="P12" s="87">
        <f t="shared" si="33"/>
        <v>1.1806420244308247</v>
      </c>
      <c r="Q12" s="87">
        <f t="shared" si="33"/>
        <v>2.2510992819669919</v>
      </c>
      <c r="R12" s="87">
        <f t="shared" si="33"/>
        <v>3.0264316082883149</v>
      </c>
      <c r="S12" s="87">
        <f t="shared" si="33"/>
        <v>3.9287087481029981</v>
      </c>
      <c r="T12" s="87">
        <f t="shared" si="33"/>
        <v>5.6833427865055546</v>
      </c>
      <c r="U12" s="87">
        <f t="shared" si="33"/>
        <v>11.233239969383936</v>
      </c>
      <c r="V12" s="87">
        <f t="shared" si="33"/>
        <v>23.788551088220505</v>
      </c>
      <c r="W12" s="87">
        <f t="shared" ref="W12:Y12" si="34">IF(W39=0,0,W39*W149)</f>
        <v>83.724011340249518</v>
      </c>
      <c r="X12" s="87">
        <f t="shared" si="34"/>
        <v>164.81146490595015</v>
      </c>
      <c r="Y12" s="87">
        <f t="shared" si="34"/>
        <v>328.9554819369842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21700</v>
      </c>
      <c r="C13" s="116">
        <f t="shared" si="35"/>
        <v>21800</v>
      </c>
      <c r="D13" s="116">
        <f t="shared" si="35"/>
        <v>22000</v>
      </c>
      <c r="E13" s="116">
        <f t="shared" si="35"/>
        <v>21950</v>
      </c>
      <c r="F13" s="116">
        <f t="shared" si="35"/>
        <v>21600</v>
      </c>
      <c r="G13" s="116">
        <f t="shared" si="35"/>
        <v>21700</v>
      </c>
      <c r="H13" s="116">
        <f t="shared" si="35"/>
        <v>21800</v>
      </c>
      <c r="I13" s="116">
        <f t="shared" si="35"/>
        <v>22000</v>
      </c>
      <c r="J13" s="116">
        <f t="shared" si="35"/>
        <v>22100</v>
      </c>
      <c r="K13" s="116">
        <f t="shared" si="35"/>
        <v>20919.04300780045</v>
      </c>
      <c r="L13" s="116">
        <f t="shared" ref="L13" si="36">SUM(L14:L18)</f>
        <v>21100</v>
      </c>
      <c r="M13" s="116">
        <f t="shared" ref="M13:V13" si="37">SUM(M14:M18)</f>
        <v>21161.722909489494</v>
      </c>
      <c r="N13" s="116">
        <f t="shared" si="37"/>
        <v>21096.100453974148</v>
      </c>
      <c r="O13" s="116">
        <f t="shared" si="37"/>
        <v>21028.128543117837</v>
      </c>
      <c r="P13" s="116">
        <f t="shared" si="37"/>
        <v>21006.120944621787</v>
      </c>
      <c r="Q13" s="116">
        <f t="shared" si="37"/>
        <v>21148.271968974477</v>
      </c>
      <c r="R13" s="116">
        <f t="shared" si="37"/>
        <v>20902.716638696274</v>
      </c>
      <c r="S13" s="116">
        <f t="shared" si="37"/>
        <v>20464.949412482678</v>
      </c>
      <c r="T13" s="116">
        <f t="shared" si="37"/>
        <v>20548.762808713404</v>
      </c>
      <c r="U13" s="116">
        <f t="shared" si="37"/>
        <v>20335.513764871921</v>
      </c>
      <c r="V13" s="116">
        <f t="shared" si="37"/>
        <v>13312.846106046329</v>
      </c>
      <c r="W13" s="116">
        <f t="shared" ref="W13:Y13" si="38">SUM(W14:W18)</f>
        <v>13769.302919511481</v>
      </c>
      <c r="X13" s="116">
        <f t="shared" si="38"/>
        <v>17675.934833396652</v>
      </c>
      <c r="Y13" s="116">
        <f t="shared" si="38"/>
        <v>18905.762825011305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:Y14" si="42">IF(W41=0,0,W41*W151)</f>
        <v>0</v>
      </c>
      <c r="X14" s="101">
        <f t="shared" si="42"/>
        <v>0</v>
      </c>
      <c r="Y14" s="101">
        <f t="shared" si="42"/>
        <v>0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21700</v>
      </c>
      <c r="C15" s="101">
        <f t="shared" si="43"/>
        <v>21471.239747479551</v>
      </c>
      <c r="D15" s="101">
        <f t="shared" si="43"/>
        <v>21494.763944689843</v>
      </c>
      <c r="E15" s="101">
        <f t="shared" si="43"/>
        <v>21397.848915300379</v>
      </c>
      <c r="F15" s="101">
        <f t="shared" si="43"/>
        <v>21054.883118705031</v>
      </c>
      <c r="G15" s="101">
        <f t="shared" si="43"/>
        <v>21119.74556733439</v>
      </c>
      <c r="H15" s="101">
        <f t="shared" si="43"/>
        <v>21199.286522835344</v>
      </c>
      <c r="I15" s="101">
        <f t="shared" si="43"/>
        <v>21296.365487192215</v>
      </c>
      <c r="J15" s="101">
        <f t="shared" si="43"/>
        <v>21362.939731198352</v>
      </c>
      <c r="K15" s="101">
        <f t="shared" si="43"/>
        <v>20249.112779586278</v>
      </c>
      <c r="L15" s="101">
        <f t="shared" ref="L15" si="44">IF(L42=0,0,L42*L152)</f>
        <v>20451.245804839124</v>
      </c>
      <c r="M15" s="101">
        <f t="shared" ref="M15:V15" si="45">IF(M42=0,0,M42*M152)</f>
        <v>20527.692575015826</v>
      </c>
      <c r="N15" s="101">
        <f t="shared" si="45"/>
        <v>20464.548460473212</v>
      </c>
      <c r="O15" s="101">
        <f t="shared" si="45"/>
        <v>19995.487221844018</v>
      </c>
      <c r="P15" s="101">
        <f t="shared" si="45"/>
        <v>19973.461346520216</v>
      </c>
      <c r="Q15" s="101">
        <f t="shared" si="45"/>
        <v>20065.288387455625</v>
      </c>
      <c r="R15" s="101">
        <f t="shared" si="45"/>
        <v>19811.2684584173</v>
      </c>
      <c r="S15" s="101">
        <f t="shared" si="45"/>
        <v>19437.935313433034</v>
      </c>
      <c r="T15" s="101">
        <f t="shared" si="45"/>
        <v>19415.204306345171</v>
      </c>
      <c r="U15" s="101">
        <f t="shared" si="45"/>
        <v>19136.045843507451</v>
      </c>
      <c r="V15" s="101">
        <f t="shared" si="45"/>
        <v>12468.866435298753</v>
      </c>
      <c r="W15" s="101">
        <f t="shared" ref="W15:Y15" si="46">IF(W42=0,0,W42*W152)</f>
        <v>12827.213030055791</v>
      </c>
      <c r="X15" s="101">
        <f t="shared" si="46"/>
        <v>16248.735888346806</v>
      </c>
      <c r="Y15" s="101">
        <f t="shared" si="46"/>
        <v>17338.689593127652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:Y16" si="50">IF(W43=0,0,W43*W153)</f>
        <v>0</v>
      </c>
      <c r="X16" s="101">
        <f t="shared" si="50"/>
        <v>0</v>
      </c>
      <c r="Y16" s="101">
        <f t="shared" si="50"/>
        <v>0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328.76025252044928</v>
      </c>
      <c r="D17" s="101">
        <f t="shared" si="51"/>
        <v>505.23605531015835</v>
      </c>
      <c r="E17" s="101">
        <f t="shared" si="51"/>
        <v>552.15108469962092</v>
      </c>
      <c r="F17" s="101">
        <f t="shared" si="51"/>
        <v>545.11688129496986</v>
      </c>
      <c r="G17" s="101">
        <f t="shared" si="51"/>
        <v>580.25443266560944</v>
      </c>
      <c r="H17" s="101">
        <f t="shared" si="51"/>
        <v>600.71347716465687</v>
      </c>
      <c r="I17" s="101">
        <f t="shared" si="51"/>
        <v>703.634512807786</v>
      </c>
      <c r="J17" s="101">
        <f t="shared" si="51"/>
        <v>737.06026880164802</v>
      </c>
      <c r="K17" s="101">
        <f t="shared" si="51"/>
        <v>669.93022821417435</v>
      </c>
      <c r="L17" s="101">
        <f t="shared" ref="L17" si="52">IF(L44=0,0,L44*L154)</f>
        <v>648.75419516087652</v>
      </c>
      <c r="M17" s="101">
        <f t="shared" ref="M17:V17" si="53">IF(M44=0,0,M44*M154)</f>
        <v>634.03033447366829</v>
      </c>
      <c r="N17" s="101">
        <f t="shared" si="53"/>
        <v>631.55199350093642</v>
      </c>
      <c r="O17" s="101">
        <f t="shared" si="53"/>
        <v>595.39150068420815</v>
      </c>
      <c r="P17" s="101">
        <f t="shared" si="53"/>
        <v>607.53036443185522</v>
      </c>
      <c r="Q17" s="101">
        <f t="shared" si="53"/>
        <v>654.11191609767195</v>
      </c>
      <c r="R17" s="101">
        <f t="shared" si="53"/>
        <v>663.94772002135016</v>
      </c>
      <c r="S17" s="101">
        <f t="shared" si="53"/>
        <v>599.83064746152434</v>
      </c>
      <c r="T17" s="101">
        <f t="shared" si="53"/>
        <v>706.55399538833524</v>
      </c>
      <c r="U17" s="101">
        <f t="shared" si="53"/>
        <v>771.51335760517406</v>
      </c>
      <c r="V17" s="101">
        <f t="shared" si="53"/>
        <v>564.77400656579334</v>
      </c>
      <c r="W17" s="101">
        <f t="shared" ref="W17:Y17" si="54">IF(W44=0,0,W44*W154)</f>
        <v>652.93423732004544</v>
      </c>
      <c r="X17" s="101">
        <f t="shared" si="54"/>
        <v>1060.0028186495001</v>
      </c>
      <c r="Y17" s="101">
        <f t="shared" si="54"/>
        <v>1324.3912548522269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0</v>
      </c>
      <c r="K18" s="101">
        <f t="shared" si="55"/>
        <v>0</v>
      </c>
      <c r="L18" s="101">
        <f t="shared" ref="L18" si="56">IF(L45=0,0,L45*L155)</f>
        <v>0</v>
      </c>
      <c r="M18" s="101">
        <f t="shared" ref="M18:V18" si="57">IF(M45=0,0,M45*M155)</f>
        <v>0</v>
      </c>
      <c r="N18" s="101">
        <f t="shared" si="57"/>
        <v>0</v>
      </c>
      <c r="O18" s="101">
        <f t="shared" si="57"/>
        <v>437.24982058961155</v>
      </c>
      <c r="P18" s="101">
        <f t="shared" si="57"/>
        <v>425.12923366971347</v>
      </c>
      <c r="Q18" s="101">
        <f t="shared" si="57"/>
        <v>428.87166542118143</v>
      </c>
      <c r="R18" s="101">
        <f t="shared" si="57"/>
        <v>427.50046025762435</v>
      </c>
      <c r="S18" s="101">
        <f t="shared" si="57"/>
        <v>427.18345158811917</v>
      </c>
      <c r="T18" s="101">
        <f t="shared" si="57"/>
        <v>427.00450697989686</v>
      </c>
      <c r="U18" s="101">
        <f t="shared" si="57"/>
        <v>427.9545637592978</v>
      </c>
      <c r="V18" s="101">
        <f t="shared" si="57"/>
        <v>279.20566418178402</v>
      </c>
      <c r="W18" s="101">
        <f t="shared" ref="W18:Y18" si="58">IF(W45=0,0,W45*W155)</f>
        <v>289.15565213564571</v>
      </c>
      <c r="X18" s="101">
        <f t="shared" si="58"/>
        <v>367.19612640034501</v>
      </c>
      <c r="Y18" s="101">
        <f t="shared" si="58"/>
        <v>242.68197703142542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25980.033103545898</v>
      </c>
      <c r="C19" s="29">
        <f t="shared" si="59"/>
        <v>26665.249220601938</v>
      </c>
      <c r="D19" s="29">
        <f t="shared" si="59"/>
        <v>27360.150448473341</v>
      </c>
      <c r="E19" s="29">
        <f t="shared" si="59"/>
        <v>18787.847796381404</v>
      </c>
      <c r="F19" s="29">
        <f t="shared" si="59"/>
        <v>35600.570093889743</v>
      </c>
      <c r="G19" s="29">
        <f t="shared" si="59"/>
        <v>23589.424736984452</v>
      </c>
      <c r="H19" s="29">
        <f t="shared" si="59"/>
        <v>30749.178381915335</v>
      </c>
      <c r="I19" s="29">
        <f t="shared" si="59"/>
        <v>26102.110661258917</v>
      </c>
      <c r="J19" s="29">
        <f t="shared" si="59"/>
        <v>28413.754007327734</v>
      </c>
      <c r="K19" s="29">
        <f t="shared" si="59"/>
        <v>28063.892528767192</v>
      </c>
      <c r="L19" s="29">
        <f t="shared" ref="L19" si="60">L20+L26</f>
        <v>29731.98565867998</v>
      </c>
      <c r="M19" s="29">
        <f t="shared" ref="M19:V19" si="61">M20+M26</f>
        <v>20589.042813228403</v>
      </c>
      <c r="N19" s="29">
        <f t="shared" si="61"/>
        <v>20204.00586452584</v>
      </c>
      <c r="O19" s="29">
        <f t="shared" si="61"/>
        <v>17047.582168411776</v>
      </c>
      <c r="P19" s="29">
        <f t="shared" si="61"/>
        <v>19401.555743017529</v>
      </c>
      <c r="Q19" s="29">
        <f t="shared" si="61"/>
        <v>19953.040596018338</v>
      </c>
      <c r="R19" s="29">
        <f t="shared" si="61"/>
        <v>21830.085276806149</v>
      </c>
      <c r="S19" s="29">
        <f t="shared" si="61"/>
        <v>21897.564168721383</v>
      </c>
      <c r="T19" s="29">
        <f t="shared" si="61"/>
        <v>21500.465764557975</v>
      </c>
      <c r="U19" s="29">
        <f t="shared" si="61"/>
        <v>21110.28763820128</v>
      </c>
      <c r="V19" s="29">
        <f t="shared" si="61"/>
        <v>18663.407882900974</v>
      </c>
      <c r="W19" s="29">
        <f t="shared" ref="W19:Y19" si="62">W20+W26</f>
        <v>21724.015798613538</v>
      </c>
      <c r="X19" s="29">
        <f t="shared" si="62"/>
        <v>21647.039575711304</v>
      </c>
      <c r="Y19" s="29">
        <f t="shared" si="62"/>
        <v>20302.752400601152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1312.1663412330745</v>
      </c>
      <c r="C20" s="152">
        <f t="shared" si="63"/>
        <v>1378.897061869498</v>
      </c>
      <c r="D20" s="152">
        <f t="shared" si="63"/>
        <v>1468.7122404917318</v>
      </c>
      <c r="E20" s="152">
        <f t="shared" si="63"/>
        <v>1591.2658083409483</v>
      </c>
      <c r="F20" s="152">
        <f t="shared" si="63"/>
        <v>1624.6819806162507</v>
      </c>
      <c r="G20" s="152">
        <f t="shared" si="63"/>
        <v>1672.8258816729697</v>
      </c>
      <c r="H20" s="152">
        <f t="shared" si="63"/>
        <v>1778.2382669931735</v>
      </c>
      <c r="I20" s="152">
        <f t="shared" si="63"/>
        <v>1958.9204863213949</v>
      </c>
      <c r="J20" s="152">
        <f t="shared" si="63"/>
        <v>1968.5934717812288</v>
      </c>
      <c r="K20" s="152">
        <f t="shared" si="63"/>
        <v>1988.2450152949655</v>
      </c>
      <c r="L20" s="152">
        <f t="shared" ref="L20" si="64">SUM(L21:L25)</f>
        <v>2086.4409968351206</v>
      </c>
      <c r="M20" s="152">
        <f t="shared" ref="M20:V20" si="65">SUM(M21:M25)</f>
        <v>1854.1960829526467</v>
      </c>
      <c r="N20" s="152">
        <f t="shared" si="65"/>
        <v>1574.2593815858384</v>
      </c>
      <c r="O20" s="152">
        <f t="shared" si="65"/>
        <v>1859.8833758023934</v>
      </c>
      <c r="P20" s="152">
        <f t="shared" si="65"/>
        <v>1871.2760833429832</v>
      </c>
      <c r="Q20" s="152">
        <f t="shared" si="65"/>
        <v>2300.3175131766948</v>
      </c>
      <c r="R20" s="152">
        <f t="shared" si="65"/>
        <v>2488.1968882790325</v>
      </c>
      <c r="S20" s="152">
        <f t="shared" si="65"/>
        <v>2180.5342062630707</v>
      </c>
      <c r="T20" s="152">
        <f t="shared" si="65"/>
        <v>2121.4657645579769</v>
      </c>
      <c r="U20" s="152">
        <f t="shared" si="65"/>
        <v>2133.2876382012805</v>
      </c>
      <c r="V20" s="152">
        <f t="shared" si="65"/>
        <v>1880.4078829009752</v>
      </c>
      <c r="W20" s="152">
        <f t="shared" ref="W20:Y20" si="66">SUM(W21:W25)</f>
        <v>2009.0157986135364</v>
      </c>
      <c r="X20" s="152">
        <f t="shared" si="66"/>
        <v>2091.0395757113038</v>
      </c>
      <c r="Y20" s="152">
        <f t="shared" si="66"/>
        <v>2172.7524006011536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951.97349535278931</v>
      </c>
      <c r="C21" s="87">
        <f t="shared" si="67"/>
        <v>952.69999392718535</v>
      </c>
      <c r="D21" s="87">
        <f t="shared" si="67"/>
        <v>981.78371010202397</v>
      </c>
      <c r="E21" s="87">
        <f t="shared" si="67"/>
        <v>989.850278696857</v>
      </c>
      <c r="F21" s="87">
        <f t="shared" si="67"/>
        <v>958.16447741168588</v>
      </c>
      <c r="G21" s="87">
        <f t="shared" si="67"/>
        <v>951.70707782360023</v>
      </c>
      <c r="H21" s="87">
        <f t="shared" si="67"/>
        <v>916.85584933611426</v>
      </c>
      <c r="I21" s="87">
        <f t="shared" si="67"/>
        <v>964.80997849713765</v>
      </c>
      <c r="J21" s="87">
        <f t="shared" si="67"/>
        <v>974.37588655050592</v>
      </c>
      <c r="K21" s="87">
        <f t="shared" si="67"/>
        <v>836.78817834155029</v>
      </c>
      <c r="L21" s="87">
        <f t="shared" ref="L21" si="68">IF(L48=0,0,L48*L158)</f>
        <v>793.91918913089592</v>
      </c>
      <c r="M21" s="87">
        <f t="shared" ref="M21:V21" si="69">IF(M48=0,0,M48*M158)</f>
        <v>672.54186221539794</v>
      </c>
      <c r="N21" s="87">
        <f t="shared" si="69"/>
        <v>556.95095531543609</v>
      </c>
      <c r="O21" s="87">
        <f t="shared" si="69"/>
        <v>545.87333595854795</v>
      </c>
      <c r="P21" s="87">
        <f t="shared" si="69"/>
        <v>538.03266698224024</v>
      </c>
      <c r="Q21" s="87">
        <f t="shared" si="69"/>
        <v>556.4826069421382</v>
      </c>
      <c r="R21" s="87">
        <f t="shared" si="69"/>
        <v>582.30600095435557</v>
      </c>
      <c r="S21" s="87">
        <f t="shared" si="69"/>
        <v>545.7630861897585</v>
      </c>
      <c r="T21" s="87">
        <f t="shared" si="69"/>
        <v>595.69132025404997</v>
      </c>
      <c r="U21" s="87">
        <f t="shared" si="69"/>
        <v>612.42384987942353</v>
      </c>
      <c r="V21" s="87">
        <f t="shared" si="69"/>
        <v>569.28148181740789</v>
      </c>
      <c r="W21" s="87">
        <f t="shared" ref="W21:Y21" si="70">IF(W48=0,0,W48*W158)</f>
        <v>626.37829957792553</v>
      </c>
      <c r="X21" s="87">
        <f t="shared" si="70"/>
        <v>631.81637335873609</v>
      </c>
      <c r="Y21" s="87">
        <f t="shared" si="70"/>
        <v>637.39111334782604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360.19284588028512</v>
      </c>
      <c r="C22" s="87">
        <f t="shared" si="71"/>
        <v>426.19706794231251</v>
      </c>
      <c r="D22" s="87">
        <f t="shared" si="71"/>
        <v>486.92853038970782</v>
      </c>
      <c r="E22" s="87">
        <f t="shared" si="71"/>
        <v>601.41552964409129</v>
      </c>
      <c r="F22" s="87">
        <f t="shared" si="71"/>
        <v>666.51750320456472</v>
      </c>
      <c r="G22" s="87">
        <f t="shared" si="71"/>
        <v>721.11880384936944</v>
      </c>
      <c r="H22" s="87">
        <f t="shared" si="71"/>
        <v>861.38241765705914</v>
      </c>
      <c r="I22" s="87">
        <f t="shared" si="71"/>
        <v>994.11050782425718</v>
      </c>
      <c r="J22" s="87">
        <f t="shared" si="71"/>
        <v>994.21758523072276</v>
      </c>
      <c r="K22" s="87">
        <f t="shared" si="71"/>
        <v>1151.4568369534152</v>
      </c>
      <c r="L22" s="87">
        <f t="shared" ref="L22" si="72">IF(L49=0,0,L49*L159)</f>
        <v>1292.5218077042246</v>
      </c>
      <c r="M22" s="87">
        <f t="shared" ref="M22:V22" si="73">IF(M49=0,0,M49*M159)</f>
        <v>1181.6542207372488</v>
      </c>
      <c r="N22" s="87">
        <f t="shared" si="73"/>
        <v>1017.3084262704023</v>
      </c>
      <c r="O22" s="87">
        <f t="shared" si="73"/>
        <v>1314.0100398438453</v>
      </c>
      <c r="P22" s="87">
        <f t="shared" si="73"/>
        <v>1333.2434163607429</v>
      </c>
      <c r="Q22" s="87">
        <f t="shared" si="73"/>
        <v>1743.8349062345565</v>
      </c>
      <c r="R22" s="87">
        <f t="shared" si="73"/>
        <v>1905.8908873246767</v>
      </c>
      <c r="S22" s="87">
        <f t="shared" si="73"/>
        <v>1634.7711200733124</v>
      </c>
      <c r="T22" s="87">
        <f t="shared" si="73"/>
        <v>1525.7744443039269</v>
      </c>
      <c r="U22" s="87">
        <f t="shared" si="73"/>
        <v>1520.8637883218569</v>
      </c>
      <c r="V22" s="87">
        <f t="shared" si="73"/>
        <v>1311.1264010835673</v>
      </c>
      <c r="W22" s="87">
        <f t="shared" ref="W22:Y22" si="74">IF(W49=0,0,W49*W159)</f>
        <v>1382.6374990356107</v>
      </c>
      <c r="X22" s="87">
        <f t="shared" si="74"/>
        <v>1459.2232023525676</v>
      </c>
      <c r="Y22" s="87">
        <f t="shared" si="74"/>
        <v>1535.3612872533276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0</v>
      </c>
      <c r="P23" s="87">
        <f t="shared" si="77"/>
        <v>0</v>
      </c>
      <c r="Q23" s="87">
        <f t="shared" si="77"/>
        <v>0</v>
      </c>
      <c r="R23" s="87">
        <f t="shared" si="77"/>
        <v>0</v>
      </c>
      <c r="S23" s="87">
        <f t="shared" si="77"/>
        <v>0</v>
      </c>
      <c r="T23" s="87">
        <f t="shared" si="77"/>
        <v>0</v>
      </c>
      <c r="U23" s="87">
        <f t="shared" si="77"/>
        <v>0</v>
      </c>
      <c r="V23" s="87">
        <f t="shared" si="77"/>
        <v>0</v>
      </c>
      <c r="W23" s="87">
        <f t="shared" ref="W23:Y23" si="78">IF(W50=0,0,W50*W160)</f>
        <v>0</v>
      </c>
      <c r="X23" s="87">
        <f t="shared" si="78"/>
        <v>0</v>
      </c>
      <c r="Y23" s="87">
        <f t="shared" si="78"/>
        <v>0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:Y24" si="82">IF(W51=0,0,W51*W161)</f>
        <v>0</v>
      </c>
      <c r="X24" s="87">
        <f t="shared" si="82"/>
        <v>0</v>
      </c>
      <c r="Y24" s="87">
        <f t="shared" si="82"/>
        <v>0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</v>
      </c>
      <c r="N25" s="87">
        <f t="shared" si="85"/>
        <v>0</v>
      </c>
      <c r="O25" s="87">
        <f t="shared" si="85"/>
        <v>0</v>
      </c>
      <c r="P25" s="87">
        <f t="shared" si="85"/>
        <v>0</v>
      </c>
      <c r="Q25" s="87">
        <f t="shared" si="85"/>
        <v>0</v>
      </c>
      <c r="R25" s="87">
        <f t="shared" si="85"/>
        <v>0</v>
      </c>
      <c r="S25" s="87">
        <f t="shared" si="85"/>
        <v>0</v>
      </c>
      <c r="T25" s="87">
        <f t="shared" si="85"/>
        <v>0</v>
      </c>
      <c r="U25" s="87">
        <f t="shared" si="85"/>
        <v>0</v>
      </c>
      <c r="V25" s="87">
        <f t="shared" si="85"/>
        <v>0</v>
      </c>
      <c r="W25" s="87">
        <f t="shared" ref="W25:Y25" si="86">IF(W52=0,0,W52*W162)</f>
        <v>0</v>
      </c>
      <c r="X25" s="87">
        <f t="shared" si="86"/>
        <v>0</v>
      </c>
      <c r="Y25" s="87">
        <f t="shared" si="86"/>
        <v>0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24667.866762312824</v>
      </c>
      <c r="C26" s="116">
        <f t="shared" si="87"/>
        <v>25286.352158732439</v>
      </c>
      <c r="D26" s="116">
        <f t="shared" si="87"/>
        <v>25891.43820798161</v>
      </c>
      <c r="E26" s="116">
        <f t="shared" si="87"/>
        <v>17196.581988040456</v>
      </c>
      <c r="F26" s="116">
        <f t="shared" si="87"/>
        <v>33975.88811327349</v>
      </c>
      <c r="G26" s="116">
        <f t="shared" si="87"/>
        <v>21916.598855311484</v>
      </c>
      <c r="H26" s="116">
        <f t="shared" si="87"/>
        <v>28970.940114922163</v>
      </c>
      <c r="I26" s="116">
        <f t="shared" si="87"/>
        <v>24143.190174937521</v>
      </c>
      <c r="J26" s="116">
        <f t="shared" si="87"/>
        <v>26445.160535546504</v>
      </c>
      <c r="K26" s="116">
        <f t="shared" si="87"/>
        <v>26075.647513472228</v>
      </c>
      <c r="L26" s="116">
        <f t="shared" ref="L26" si="88">SUM(L27:L28)</f>
        <v>27645.544661844859</v>
      </c>
      <c r="M26" s="116">
        <f t="shared" ref="M26:V26" si="89">SUM(M27:M28)</f>
        <v>18734.846730275756</v>
      </c>
      <c r="N26" s="116">
        <f t="shared" si="89"/>
        <v>18629.746482940001</v>
      </c>
      <c r="O26" s="116">
        <f t="shared" si="89"/>
        <v>15187.698792609384</v>
      </c>
      <c r="P26" s="116">
        <f t="shared" si="89"/>
        <v>17530.279659674547</v>
      </c>
      <c r="Q26" s="116">
        <f t="shared" si="89"/>
        <v>17652.723082841643</v>
      </c>
      <c r="R26" s="116">
        <f t="shared" si="89"/>
        <v>19341.888388527117</v>
      </c>
      <c r="S26" s="116">
        <f t="shared" si="89"/>
        <v>19717.029962458313</v>
      </c>
      <c r="T26" s="116">
        <f t="shared" si="89"/>
        <v>19379</v>
      </c>
      <c r="U26" s="116">
        <f t="shared" si="89"/>
        <v>18977</v>
      </c>
      <c r="V26" s="116">
        <f t="shared" si="89"/>
        <v>16783</v>
      </c>
      <c r="W26" s="116">
        <f t="shared" ref="W26:Y26" si="90">SUM(W27:W28)</f>
        <v>19715</v>
      </c>
      <c r="X26" s="116">
        <f t="shared" si="90"/>
        <v>19556</v>
      </c>
      <c r="Y26" s="116">
        <f t="shared" si="90"/>
        <v>18130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23000</v>
      </c>
      <c r="C27" s="101">
        <f t="shared" si="91"/>
        <v>23500</v>
      </c>
      <c r="D27" s="101">
        <f t="shared" si="91"/>
        <v>24000</v>
      </c>
      <c r="E27" s="101">
        <f t="shared" si="91"/>
        <v>15276</v>
      </c>
      <c r="F27" s="101">
        <f t="shared" si="91"/>
        <v>31745</v>
      </c>
      <c r="G27" s="101">
        <f t="shared" si="91"/>
        <v>19610</v>
      </c>
      <c r="H27" s="101">
        <f t="shared" si="91"/>
        <v>26137</v>
      </c>
      <c r="I27" s="101">
        <f t="shared" si="91"/>
        <v>21729</v>
      </c>
      <c r="J27" s="101">
        <f t="shared" si="91"/>
        <v>24346</v>
      </c>
      <c r="K27" s="101">
        <f t="shared" si="91"/>
        <v>24228</v>
      </c>
      <c r="L27" s="101">
        <f t="shared" ref="L27:V27" si="92">IF(L54=0,0,L54*L164)</f>
        <v>25255.999999999996</v>
      </c>
      <c r="M27" s="101">
        <f t="shared" si="92"/>
        <v>16809</v>
      </c>
      <c r="N27" s="101">
        <f t="shared" si="92"/>
        <v>16486</v>
      </c>
      <c r="O27" s="101">
        <f t="shared" si="92"/>
        <v>12719</v>
      </c>
      <c r="P27" s="101">
        <f t="shared" si="92"/>
        <v>15118.999999999998</v>
      </c>
      <c r="Q27" s="101">
        <f t="shared" si="92"/>
        <v>15023</v>
      </c>
      <c r="R27" s="101">
        <f t="shared" si="92"/>
        <v>16526</v>
      </c>
      <c r="S27" s="101">
        <f t="shared" si="92"/>
        <v>15956.999999999998</v>
      </c>
      <c r="T27" s="101">
        <f t="shared" si="92"/>
        <v>15800.000000000002</v>
      </c>
      <c r="U27" s="101">
        <f t="shared" si="92"/>
        <v>17350</v>
      </c>
      <c r="V27" s="101">
        <f t="shared" si="92"/>
        <v>14436.000000000002</v>
      </c>
      <c r="W27" s="101">
        <f t="shared" ref="W27:Y27" si="93">IF(W54=0,0,W54*W164)</f>
        <v>16482</v>
      </c>
      <c r="X27" s="101">
        <f t="shared" si="93"/>
        <v>16181.999999999998</v>
      </c>
      <c r="Y27" s="101">
        <f t="shared" si="93"/>
        <v>14815.000000000002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1667.866762312824</v>
      </c>
      <c r="C28" s="88">
        <f t="shared" si="94"/>
        <v>1786.3521587324394</v>
      </c>
      <c r="D28" s="88">
        <f t="shared" si="94"/>
        <v>1891.4382079816096</v>
      </c>
      <c r="E28" s="88">
        <f t="shared" si="94"/>
        <v>1920.5819880404561</v>
      </c>
      <c r="F28" s="88">
        <f t="shared" si="94"/>
        <v>2230.8881132734896</v>
      </c>
      <c r="G28" s="88">
        <f t="shared" si="94"/>
        <v>2306.5988553114839</v>
      </c>
      <c r="H28" s="88">
        <f t="shared" si="94"/>
        <v>2833.940114922163</v>
      </c>
      <c r="I28" s="88">
        <f t="shared" si="94"/>
        <v>2414.1901749375211</v>
      </c>
      <c r="J28" s="88">
        <f t="shared" si="94"/>
        <v>2099.1605355465035</v>
      </c>
      <c r="K28" s="88">
        <f t="shared" si="94"/>
        <v>1847.6475134722277</v>
      </c>
      <c r="L28" s="88">
        <f t="shared" ref="L28:V28" si="95">IF(L55=0,0,L55*L165)</f>
        <v>2389.5446618448623</v>
      </c>
      <c r="M28" s="88">
        <f t="shared" si="95"/>
        <v>1925.8467302757563</v>
      </c>
      <c r="N28" s="88">
        <f t="shared" si="95"/>
        <v>2143.7464829400014</v>
      </c>
      <c r="O28" s="88">
        <f t="shared" si="95"/>
        <v>2468.6987926093843</v>
      </c>
      <c r="P28" s="88">
        <f t="shared" si="95"/>
        <v>2411.2796596745466</v>
      </c>
      <c r="Q28" s="88">
        <f t="shared" si="95"/>
        <v>2629.7230828416432</v>
      </c>
      <c r="R28" s="88">
        <f t="shared" si="95"/>
        <v>2815.8883885271171</v>
      </c>
      <c r="S28" s="88">
        <f t="shared" si="95"/>
        <v>3760.0299624583131</v>
      </c>
      <c r="T28" s="88">
        <f t="shared" si="95"/>
        <v>3579</v>
      </c>
      <c r="U28" s="88">
        <f t="shared" si="95"/>
        <v>1627</v>
      </c>
      <c r="V28" s="88">
        <f t="shared" si="95"/>
        <v>2347</v>
      </c>
      <c r="W28" s="88">
        <f t="shared" ref="W28:Y28" si="96">IF(W55=0,0,W55*W165)</f>
        <v>3233</v>
      </c>
      <c r="X28" s="88">
        <f t="shared" si="96"/>
        <v>3374.0000000000018</v>
      </c>
      <c r="Y28" s="88">
        <f t="shared" si="96"/>
        <v>3315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45566.958733882544</v>
      </c>
      <c r="C30" s="62">
        <f t="shared" ref="C30:V30" si="98">C31+C46</f>
        <v>48959.550502897735</v>
      </c>
      <c r="D30" s="62">
        <f t="shared" si="98"/>
        <v>52285.895282579739</v>
      </c>
      <c r="E30" s="62">
        <f t="shared" si="98"/>
        <v>54506.971730648671</v>
      </c>
      <c r="F30" s="62">
        <f t="shared" si="98"/>
        <v>58547.233916114506</v>
      </c>
      <c r="G30" s="62">
        <f t="shared" si="98"/>
        <v>61244.741034124272</v>
      </c>
      <c r="H30" s="62">
        <f t="shared" si="98"/>
        <v>64380.152559231181</v>
      </c>
      <c r="I30" s="62">
        <f t="shared" si="98"/>
        <v>67812.466353334254</v>
      </c>
      <c r="J30" s="62">
        <f t="shared" si="98"/>
        <v>70927.957935384256</v>
      </c>
      <c r="K30" s="62">
        <f t="shared" si="98"/>
        <v>71399.473841435989</v>
      </c>
      <c r="L30" s="62">
        <f t="shared" si="98"/>
        <v>71820.629360774823</v>
      </c>
      <c r="M30" s="62">
        <f t="shared" si="98"/>
        <v>66311.632473360602</v>
      </c>
      <c r="N30" s="62">
        <f t="shared" si="98"/>
        <v>58472.925817499621</v>
      </c>
      <c r="O30" s="62">
        <f t="shared" si="98"/>
        <v>57315.843122807579</v>
      </c>
      <c r="P30" s="62">
        <f t="shared" si="98"/>
        <v>57468.30546549955</v>
      </c>
      <c r="Q30" s="62">
        <f t="shared" si="98"/>
        <v>59034.905849296854</v>
      </c>
      <c r="R30" s="62">
        <f t="shared" si="98"/>
        <v>60733.031435783159</v>
      </c>
      <c r="S30" s="62">
        <f t="shared" si="98"/>
        <v>59811.550137840342</v>
      </c>
      <c r="T30" s="62">
        <f t="shared" si="98"/>
        <v>60120.01290938993</v>
      </c>
      <c r="U30" s="62">
        <f t="shared" si="98"/>
        <v>61525.786800188034</v>
      </c>
      <c r="V30" s="62">
        <f t="shared" si="98"/>
        <v>56461.372226639411</v>
      </c>
      <c r="W30" s="62">
        <f t="shared" ref="W30:Y30" si="99">W31+W46</f>
        <v>58705.035711686643</v>
      </c>
      <c r="X30" s="62">
        <f t="shared" si="99"/>
        <v>60695.524843878113</v>
      </c>
      <c r="Y30" s="62">
        <f t="shared" si="99"/>
        <v>62915.164944905577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36663.158443071436</v>
      </c>
      <c r="C31" s="29">
        <f t="shared" ref="C31:V31" si="101">C32+C33+C40</f>
        <v>39786.560234932833</v>
      </c>
      <c r="D31" s="29">
        <f t="shared" si="101"/>
        <v>42665.197101490783</v>
      </c>
      <c r="E31" s="29">
        <f t="shared" si="101"/>
        <v>45413.141191768183</v>
      </c>
      <c r="F31" s="29">
        <f t="shared" si="101"/>
        <v>48106.778163696181</v>
      </c>
      <c r="G31" s="29">
        <f t="shared" si="101"/>
        <v>51334.636359473923</v>
      </c>
      <c r="H31" s="29">
        <f t="shared" si="101"/>
        <v>53809.309862239352</v>
      </c>
      <c r="I31" s="29">
        <f t="shared" si="101"/>
        <v>56572.845160607161</v>
      </c>
      <c r="J31" s="29">
        <f t="shared" si="101"/>
        <v>59442.007574566509</v>
      </c>
      <c r="K31" s="29">
        <f t="shared" si="101"/>
        <v>60234.345362368069</v>
      </c>
      <c r="L31" s="29">
        <f t="shared" si="101"/>
        <v>60361.18377711442</v>
      </c>
      <c r="M31" s="29">
        <f t="shared" si="101"/>
        <v>56864.891100641318</v>
      </c>
      <c r="N31" s="29">
        <f t="shared" si="101"/>
        <v>50383.658917886678</v>
      </c>
      <c r="O31" s="29">
        <f t="shared" si="101"/>
        <v>48389.631290026897</v>
      </c>
      <c r="P31" s="29">
        <f t="shared" si="101"/>
        <v>48258.353645945237</v>
      </c>
      <c r="Q31" s="29">
        <f t="shared" si="101"/>
        <v>48095.771268102784</v>
      </c>
      <c r="R31" s="29">
        <f t="shared" si="101"/>
        <v>49043.741940529304</v>
      </c>
      <c r="S31" s="29">
        <f t="shared" si="101"/>
        <v>49279.570800848451</v>
      </c>
      <c r="T31" s="29">
        <f t="shared" si="101"/>
        <v>49593.29651852898</v>
      </c>
      <c r="U31" s="29">
        <f t="shared" si="101"/>
        <v>50850.986681201663</v>
      </c>
      <c r="V31" s="29">
        <f t="shared" si="101"/>
        <v>47086.413494615292</v>
      </c>
      <c r="W31" s="29">
        <f t="shared" ref="W31:Y31" si="102">W32+W33+W40</f>
        <v>48291.004079214246</v>
      </c>
      <c r="X31" s="29">
        <f t="shared" si="102"/>
        <v>49986.322040471787</v>
      </c>
      <c r="Y31" s="29">
        <f t="shared" si="102"/>
        <v>52081.771281210713</v>
      </c>
      <c r="DA31" s="173" t="s">
        <v>475</v>
      </c>
    </row>
    <row r="32" spans="1:105" ht="11.45" customHeight="1" x14ac:dyDescent="0.25">
      <c r="A32" s="136" t="s">
        <v>173</v>
      </c>
      <c r="B32" s="152">
        <v>3793.2759415889368</v>
      </c>
      <c r="C32" s="152">
        <v>4012.0493195870345</v>
      </c>
      <c r="D32" s="152">
        <v>4447.1910228687957</v>
      </c>
      <c r="E32" s="152">
        <v>4715.603613938677</v>
      </c>
      <c r="F32" s="152">
        <v>4895.1586701689348</v>
      </c>
      <c r="G32" s="152">
        <v>5010.3780113780404</v>
      </c>
      <c r="H32" s="152">
        <v>4750.1717123289209</v>
      </c>
      <c r="I32" s="152">
        <v>4860.1236432417627</v>
      </c>
      <c r="J32" s="152">
        <v>5192.5785247658405</v>
      </c>
      <c r="K32" s="152">
        <v>5310.3364118110449</v>
      </c>
      <c r="L32" s="152">
        <v>6339.8576614802978</v>
      </c>
      <c r="M32" s="152">
        <v>6566.2080319783972</v>
      </c>
      <c r="N32" s="152">
        <v>6878.7175143181557</v>
      </c>
      <c r="O32" s="152">
        <v>7013.3303083958963</v>
      </c>
      <c r="P32" s="152">
        <v>7333.8246368012396</v>
      </c>
      <c r="Q32" s="152">
        <v>7394.6573878667023</v>
      </c>
      <c r="R32" s="152">
        <v>7616.3927162220434</v>
      </c>
      <c r="S32" s="152">
        <v>7154.6617027938137</v>
      </c>
      <c r="T32" s="152">
        <v>6693.6192092938591</v>
      </c>
      <c r="U32" s="152">
        <v>7103.1960889822776</v>
      </c>
      <c r="V32" s="152">
        <v>6356.5045290868384</v>
      </c>
      <c r="W32" s="152">
        <v>6604.2702932052562</v>
      </c>
      <c r="X32" s="152">
        <v>6684.0120729679138</v>
      </c>
      <c r="Y32" s="152">
        <v>7254.0649593154521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32090.080395243564</v>
      </c>
      <c r="C33" s="116">
        <f t="shared" ref="C33:V33" si="104">SUM(C34:C39)</f>
        <v>34983.281294370274</v>
      </c>
      <c r="D33" s="116">
        <f t="shared" si="104"/>
        <v>37411.532584214823</v>
      </c>
      <c r="E33" s="116">
        <f t="shared" si="104"/>
        <v>39884.850571726798</v>
      </c>
      <c r="F33" s="116">
        <f t="shared" si="104"/>
        <v>42403.89376573058</v>
      </c>
      <c r="G33" s="116">
        <f t="shared" si="104"/>
        <v>45504.678497349618</v>
      </c>
      <c r="H33" s="116">
        <f t="shared" si="104"/>
        <v>48213.203367301736</v>
      </c>
      <c r="I33" s="116">
        <f t="shared" si="104"/>
        <v>50864.66672284485</v>
      </c>
      <c r="J33" s="116">
        <f t="shared" si="104"/>
        <v>53421.986538853758</v>
      </c>
      <c r="K33" s="116">
        <f t="shared" si="104"/>
        <v>54116.47236385884</v>
      </c>
      <c r="L33" s="116">
        <f t="shared" si="104"/>
        <v>53208.298592698346</v>
      </c>
      <c r="M33" s="116">
        <f t="shared" si="104"/>
        <v>49477.17275537466</v>
      </c>
      <c r="N33" s="116">
        <f t="shared" si="104"/>
        <v>42689.425140233419</v>
      </c>
      <c r="O33" s="116">
        <f t="shared" si="104"/>
        <v>40561.776229725401</v>
      </c>
      <c r="P33" s="116">
        <f t="shared" si="104"/>
        <v>40110.390012222299</v>
      </c>
      <c r="Q33" s="116">
        <f t="shared" si="104"/>
        <v>39888.537993154598</v>
      </c>
      <c r="R33" s="116">
        <f t="shared" si="104"/>
        <v>40624.302055180488</v>
      </c>
      <c r="S33" s="116">
        <f t="shared" si="104"/>
        <v>41338.84660010456</v>
      </c>
      <c r="T33" s="116">
        <f t="shared" si="104"/>
        <v>42110.363263837346</v>
      </c>
      <c r="U33" s="116">
        <f t="shared" si="104"/>
        <v>42966.749298816503</v>
      </c>
      <c r="V33" s="116">
        <f t="shared" si="104"/>
        <v>39952.169471681504</v>
      </c>
      <c r="W33" s="116">
        <f t="shared" ref="W33:Y33" si="105">SUM(W34:W39)</f>
        <v>40908.73205450517</v>
      </c>
      <c r="X33" s="116">
        <f t="shared" si="105"/>
        <v>42522.362651450414</v>
      </c>
      <c r="Y33" s="116">
        <f t="shared" si="105"/>
        <v>44047.234215850134</v>
      </c>
      <c r="DA33" s="176" t="s">
        <v>477</v>
      </c>
    </row>
    <row r="34" spans="1:105" ht="11.45" customHeight="1" x14ac:dyDescent="0.25">
      <c r="A34" s="111" t="s">
        <v>110</v>
      </c>
      <c r="B34" s="87">
        <v>29682.525805296274</v>
      </c>
      <c r="C34" s="87">
        <v>32633.903112085827</v>
      </c>
      <c r="D34" s="87">
        <v>35051.890210039201</v>
      </c>
      <c r="E34" s="87">
        <v>37393.650520209623</v>
      </c>
      <c r="F34" s="87">
        <v>40144.357614248591</v>
      </c>
      <c r="G34" s="87">
        <v>43171.196787806621</v>
      </c>
      <c r="H34" s="87">
        <v>45621.207481587669</v>
      </c>
      <c r="I34" s="87">
        <v>48121.076873142985</v>
      </c>
      <c r="J34" s="87">
        <v>50761.018978797612</v>
      </c>
      <c r="K34" s="87">
        <v>51040.712521708425</v>
      </c>
      <c r="L34" s="87">
        <v>49974.778039776604</v>
      </c>
      <c r="M34" s="87">
        <v>45642.459040657763</v>
      </c>
      <c r="N34" s="87">
        <v>39555.495841554126</v>
      </c>
      <c r="O34" s="87">
        <v>36177.919987201924</v>
      </c>
      <c r="P34" s="87">
        <v>34431.954732151265</v>
      </c>
      <c r="Q34" s="87">
        <v>34043.057440425509</v>
      </c>
      <c r="R34" s="87">
        <v>33541.555954896125</v>
      </c>
      <c r="S34" s="87">
        <v>33480.793012282789</v>
      </c>
      <c r="T34" s="87">
        <v>33016.518474976539</v>
      </c>
      <c r="U34" s="87">
        <v>32272.187550002389</v>
      </c>
      <c r="V34" s="87">
        <v>29213.120740905877</v>
      </c>
      <c r="W34" s="87">
        <v>29785.10963856017</v>
      </c>
      <c r="X34" s="87">
        <v>30874.047293609488</v>
      </c>
      <c r="Y34" s="87">
        <v>31899.248720102682</v>
      </c>
      <c r="DA34" s="171" t="s">
        <v>478</v>
      </c>
    </row>
    <row r="35" spans="1:105" ht="11.45" customHeight="1" x14ac:dyDescent="0.25">
      <c r="A35" s="111" t="s">
        <v>111</v>
      </c>
      <c r="B35" s="87">
        <v>2223.6919741476372</v>
      </c>
      <c r="C35" s="87">
        <v>2159.4763028484267</v>
      </c>
      <c r="D35" s="87">
        <v>2178.0945020765835</v>
      </c>
      <c r="E35" s="87">
        <v>2326.6141020757782</v>
      </c>
      <c r="F35" s="87">
        <v>2107.6162387262552</v>
      </c>
      <c r="G35" s="87">
        <v>2179.715163665564</v>
      </c>
      <c r="H35" s="87">
        <v>2435.921786707444</v>
      </c>
      <c r="I35" s="87">
        <v>2570.1236938832308</v>
      </c>
      <c r="J35" s="87">
        <v>2486.7527675681904</v>
      </c>
      <c r="K35" s="87">
        <v>2824.900523003972</v>
      </c>
      <c r="L35" s="87">
        <v>2641.2969150634872</v>
      </c>
      <c r="M35" s="87">
        <v>2355.1801020784305</v>
      </c>
      <c r="N35" s="87">
        <v>2076.6193715033737</v>
      </c>
      <c r="O35" s="87">
        <v>1840.7437649663943</v>
      </c>
      <c r="P35" s="87">
        <v>2914.3850610173668</v>
      </c>
      <c r="Q35" s="87">
        <v>2669.0865244489701</v>
      </c>
      <c r="R35" s="87">
        <v>3529.1990298009769</v>
      </c>
      <c r="S35" s="87">
        <v>4460.2133004452253</v>
      </c>
      <c r="T35" s="87">
        <v>5818.5479217138191</v>
      </c>
      <c r="U35" s="87">
        <v>7368.7971197772786</v>
      </c>
      <c r="V35" s="87">
        <v>7969.5595579183691</v>
      </c>
      <c r="W35" s="87">
        <v>8344.5848354177142</v>
      </c>
      <c r="X35" s="87">
        <v>8733.306012418303</v>
      </c>
      <c r="Y35" s="87">
        <v>9008.4723242561777</v>
      </c>
      <c r="DA35" s="171" t="s">
        <v>479</v>
      </c>
    </row>
    <row r="36" spans="1:105" ht="11.45" customHeight="1" x14ac:dyDescent="0.25">
      <c r="A36" s="111" t="s">
        <v>112</v>
      </c>
      <c r="B36" s="87">
        <v>183.86261579965085</v>
      </c>
      <c r="C36" s="87">
        <v>179.54873344233204</v>
      </c>
      <c r="D36" s="87">
        <v>164.80894781191373</v>
      </c>
      <c r="E36" s="87">
        <v>146.17577533997877</v>
      </c>
      <c r="F36" s="87">
        <v>133.65595612814556</v>
      </c>
      <c r="G36" s="87">
        <v>133.50063781692918</v>
      </c>
      <c r="H36" s="87">
        <v>134.84234443578757</v>
      </c>
      <c r="I36" s="87">
        <v>149.46615801794715</v>
      </c>
      <c r="J36" s="87">
        <v>150.78456875234011</v>
      </c>
      <c r="K36" s="87">
        <v>219.99548626782718</v>
      </c>
      <c r="L36" s="87">
        <v>556.76034323851559</v>
      </c>
      <c r="M36" s="87">
        <v>1441.5717162544984</v>
      </c>
      <c r="N36" s="87">
        <v>1019.6090403495298</v>
      </c>
      <c r="O36" s="87">
        <v>2507.0571926302487</v>
      </c>
      <c r="P36" s="87">
        <v>2726.8745373188549</v>
      </c>
      <c r="Q36" s="87">
        <v>3134.3402735780942</v>
      </c>
      <c r="R36" s="87">
        <v>3509.3464772872321</v>
      </c>
      <c r="S36" s="87">
        <v>3353.5798580164819</v>
      </c>
      <c r="T36" s="87">
        <v>3227.9942859999164</v>
      </c>
      <c r="U36" s="87">
        <v>3270.1060685840707</v>
      </c>
      <c r="V36" s="87">
        <v>2679.5728548114557</v>
      </c>
      <c r="W36" s="87">
        <v>2609.2140100229412</v>
      </c>
      <c r="X36" s="87">
        <v>2651.1655532690447</v>
      </c>
      <c r="Y36" s="87">
        <v>2712.2644198985886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10.353145993688409</v>
      </c>
      <c r="D37" s="87">
        <v>16.738924287117751</v>
      </c>
      <c r="E37" s="87">
        <v>18.410174101413556</v>
      </c>
      <c r="F37" s="87">
        <v>18.263956627589671</v>
      </c>
      <c r="G37" s="87">
        <v>20.265908060509574</v>
      </c>
      <c r="H37" s="87">
        <v>21.2317545708312</v>
      </c>
      <c r="I37" s="87">
        <v>23.999997800688075</v>
      </c>
      <c r="J37" s="87">
        <v>23.430223735618128</v>
      </c>
      <c r="K37" s="87">
        <v>30.863832878620453</v>
      </c>
      <c r="L37" s="87">
        <v>35.463294619736331</v>
      </c>
      <c r="M37" s="87">
        <v>37.961896383964529</v>
      </c>
      <c r="N37" s="87">
        <v>37.678807058850765</v>
      </c>
      <c r="O37" s="87">
        <v>36.005767164260035</v>
      </c>
      <c r="P37" s="87">
        <v>36.379097436655869</v>
      </c>
      <c r="Q37" s="87">
        <v>40.561909307075432</v>
      </c>
      <c r="R37" s="87">
        <v>41.983698066344374</v>
      </c>
      <c r="S37" s="87">
        <v>40.524668222700242</v>
      </c>
      <c r="T37" s="87">
        <v>41.295046202591621</v>
      </c>
      <c r="U37" s="87">
        <v>45.096728971763575</v>
      </c>
      <c r="V37" s="87">
        <v>60.146145986049476</v>
      </c>
      <c r="W37" s="87">
        <v>69.19686237163657</v>
      </c>
      <c r="X37" s="87">
        <v>78.177534493017959</v>
      </c>
      <c r="Y37" s="87">
        <v>93.129328692178234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8.5854139352223198E-3</v>
      </c>
      <c r="O38" s="87">
        <v>8.9061066132131161E-3</v>
      </c>
      <c r="P38" s="87">
        <v>0.18644739431456933</v>
      </c>
      <c r="Q38" s="87">
        <v>0.35149608065996618</v>
      </c>
      <c r="R38" s="87">
        <v>0.68123277523647863</v>
      </c>
      <c r="S38" s="87">
        <v>1.7461265347048023</v>
      </c>
      <c r="T38" s="87">
        <v>3.1186285582044277</v>
      </c>
      <c r="U38" s="87">
        <v>4.8413903704006049</v>
      </c>
      <c r="V38" s="87">
        <v>16.74196644796131</v>
      </c>
      <c r="W38" s="87">
        <v>56.849041035328085</v>
      </c>
      <c r="X38" s="87">
        <v>101.26612765133981</v>
      </c>
      <c r="Y38" s="87">
        <v>168.8267182425266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</v>
      </c>
      <c r="L39" s="87">
        <v>0</v>
      </c>
      <c r="M39" s="87">
        <v>0</v>
      </c>
      <c r="N39" s="87">
        <v>1.349435360343129E-2</v>
      </c>
      <c r="O39" s="87">
        <v>4.0611655964969504E-2</v>
      </c>
      <c r="P39" s="87">
        <v>0.61013690383368613</v>
      </c>
      <c r="Q39" s="87">
        <v>1.1403493142902483</v>
      </c>
      <c r="R39" s="87">
        <v>1.535662354572545</v>
      </c>
      <c r="S39" s="87">
        <v>1.9896346026505287</v>
      </c>
      <c r="T39" s="87">
        <v>2.8889063862764752</v>
      </c>
      <c r="U39" s="87">
        <v>5.7204411105998192</v>
      </c>
      <c r="V39" s="87">
        <v>13.028205611789561</v>
      </c>
      <c r="W39" s="87">
        <v>43.77766709737493</v>
      </c>
      <c r="X39" s="87">
        <v>84.400130009219509</v>
      </c>
      <c r="Y39" s="87">
        <v>165.29270465798285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779.80210623893515</v>
      </c>
      <c r="C40" s="116">
        <f t="shared" ref="C40:V40" si="107">SUM(C41:C45)</f>
        <v>791.22962097552397</v>
      </c>
      <c r="D40" s="116">
        <f t="shared" si="107"/>
        <v>806.47349440716266</v>
      </c>
      <c r="E40" s="116">
        <f t="shared" si="107"/>
        <v>812.68700610270878</v>
      </c>
      <c r="F40" s="116">
        <f t="shared" si="107"/>
        <v>807.72572779666018</v>
      </c>
      <c r="G40" s="116">
        <f t="shared" si="107"/>
        <v>819.57985074626868</v>
      </c>
      <c r="H40" s="116">
        <f t="shared" si="107"/>
        <v>845.93478260869608</v>
      </c>
      <c r="I40" s="116">
        <f t="shared" si="107"/>
        <v>848.05479452054806</v>
      </c>
      <c r="J40" s="116">
        <f t="shared" si="107"/>
        <v>827.44251094690514</v>
      </c>
      <c r="K40" s="116">
        <f t="shared" si="107"/>
        <v>807.53658669817958</v>
      </c>
      <c r="L40" s="116">
        <f t="shared" si="107"/>
        <v>813.02752293577998</v>
      </c>
      <c r="M40" s="116">
        <f t="shared" si="107"/>
        <v>821.51031328825479</v>
      </c>
      <c r="N40" s="116">
        <f t="shared" si="107"/>
        <v>815.51626333510717</v>
      </c>
      <c r="O40" s="116">
        <f t="shared" si="107"/>
        <v>814.52475190559869</v>
      </c>
      <c r="P40" s="116">
        <f t="shared" si="107"/>
        <v>814.13899692169593</v>
      </c>
      <c r="Q40" s="116">
        <f t="shared" si="107"/>
        <v>812.57588708147955</v>
      </c>
      <c r="R40" s="116">
        <f t="shared" si="107"/>
        <v>803.04716912677486</v>
      </c>
      <c r="S40" s="116">
        <f t="shared" si="107"/>
        <v>786.06249795007977</v>
      </c>
      <c r="T40" s="116">
        <f t="shared" si="107"/>
        <v>789.31404539777373</v>
      </c>
      <c r="U40" s="116">
        <f t="shared" si="107"/>
        <v>781.04129340288227</v>
      </c>
      <c r="V40" s="116">
        <f t="shared" si="107"/>
        <v>777.73949384695516</v>
      </c>
      <c r="W40" s="116">
        <f t="shared" ref="W40:Y40" si="108">SUM(W41:W45)</f>
        <v>778.00173150381727</v>
      </c>
      <c r="X40" s="116">
        <f t="shared" si="108"/>
        <v>779.9473160534593</v>
      </c>
      <c r="Y40" s="116">
        <f t="shared" si="108"/>
        <v>780.47210604512929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X41" s="101">
        <v>0</v>
      </c>
      <c r="Y41" s="101">
        <v>0</v>
      </c>
      <c r="DA41" s="175" t="s">
        <v>485</v>
      </c>
    </row>
    <row r="42" spans="1:105" ht="11.45" customHeight="1" x14ac:dyDescent="0.25">
      <c r="A42" s="111" t="s">
        <v>111</v>
      </c>
      <c r="B42" s="101">
        <v>779.80210623893515</v>
      </c>
      <c r="C42" s="101">
        <v>779.29728840701148</v>
      </c>
      <c r="D42" s="101">
        <v>787.95260863323199</v>
      </c>
      <c r="E42" s="101">
        <v>792.24390760881818</v>
      </c>
      <c r="F42" s="101">
        <v>787.34124031155716</v>
      </c>
      <c r="G42" s="101">
        <v>797.6644202707414</v>
      </c>
      <c r="H42" s="101">
        <v>822.62448789698055</v>
      </c>
      <c r="I42" s="101">
        <v>820.93112987614927</v>
      </c>
      <c r="J42" s="101">
        <v>799.84635712172701</v>
      </c>
      <c r="K42" s="101">
        <v>781.6753095060883</v>
      </c>
      <c r="L42" s="101">
        <v>788.02965486536084</v>
      </c>
      <c r="M42" s="101">
        <v>796.89688928041323</v>
      </c>
      <c r="N42" s="101">
        <v>791.10222895157744</v>
      </c>
      <c r="O42" s="101">
        <v>774.52538085870117</v>
      </c>
      <c r="P42" s="101">
        <v>774.11597450949637</v>
      </c>
      <c r="Q42" s="101">
        <v>770.96462230588122</v>
      </c>
      <c r="R42" s="101">
        <v>761.11556824581555</v>
      </c>
      <c r="S42" s="101">
        <v>746.61469615700526</v>
      </c>
      <c r="T42" s="101">
        <v>745.77207377017226</v>
      </c>
      <c r="U42" s="101">
        <v>734.9724314341189</v>
      </c>
      <c r="V42" s="101">
        <v>728.434009751693</v>
      </c>
      <c r="W42" s="101">
        <v>724.77118167037872</v>
      </c>
      <c r="X42" s="101">
        <v>716.97242973724565</v>
      </c>
      <c r="Y42" s="101">
        <v>715.77982375344925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X43" s="101">
        <v>0</v>
      </c>
      <c r="Y43" s="101">
        <v>0</v>
      </c>
      <c r="DA43" s="175" t="s">
        <v>487</v>
      </c>
    </row>
    <row r="44" spans="1:105" ht="11.45" customHeight="1" x14ac:dyDescent="0.25">
      <c r="A44" s="111" t="s">
        <v>113</v>
      </c>
      <c r="B44" s="101">
        <v>0</v>
      </c>
      <c r="C44" s="101">
        <v>11.932332568512507</v>
      </c>
      <c r="D44" s="101">
        <v>18.520885773930633</v>
      </c>
      <c r="E44" s="101">
        <v>20.443098493890574</v>
      </c>
      <c r="F44" s="101">
        <v>20.384487485103016</v>
      </c>
      <c r="G44" s="101">
        <v>21.915430475527234</v>
      </c>
      <c r="H44" s="101">
        <v>23.3102947117155</v>
      </c>
      <c r="I44" s="101">
        <v>27.123664644398769</v>
      </c>
      <c r="J44" s="101">
        <v>27.596153825178121</v>
      </c>
      <c r="K44" s="101">
        <v>25.8612771920913</v>
      </c>
      <c r="L44" s="101">
        <v>24.997868070419102</v>
      </c>
      <c r="M44" s="101">
        <v>24.613424007841594</v>
      </c>
      <c r="N44" s="101">
        <v>24.41403438352971</v>
      </c>
      <c r="O44" s="101">
        <v>23.062495237610033</v>
      </c>
      <c r="P44" s="101">
        <v>23.546192217114672</v>
      </c>
      <c r="Q44" s="101">
        <v>25.132813274455273</v>
      </c>
      <c r="R44" s="101">
        <v>25.507753189567076</v>
      </c>
      <c r="S44" s="101">
        <v>23.039606284246346</v>
      </c>
      <c r="T44" s="101">
        <v>27.139979062654092</v>
      </c>
      <c r="U44" s="101">
        <v>29.632090817516698</v>
      </c>
      <c r="V44" s="101">
        <v>32.994225765511032</v>
      </c>
      <c r="W44" s="101">
        <v>36.892497039431994</v>
      </c>
      <c r="X44" s="101">
        <v>46.772425968256961</v>
      </c>
      <c r="Y44" s="101">
        <v>54.673828370194371</v>
      </c>
      <c r="DA44" s="175" t="s">
        <v>488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101">
        <v>0</v>
      </c>
      <c r="O45" s="101">
        <v>16.936875809287518</v>
      </c>
      <c r="P45" s="101">
        <v>16.476830195084911</v>
      </c>
      <c r="Q45" s="101">
        <v>16.478451501143006</v>
      </c>
      <c r="R45" s="101">
        <v>16.423847691392268</v>
      </c>
      <c r="S45" s="101">
        <v>16.408195508828168</v>
      </c>
      <c r="T45" s="101">
        <v>16.401992564947371</v>
      </c>
      <c r="U45" s="101">
        <v>16.436771151246763</v>
      </c>
      <c r="V45" s="101">
        <v>16.311258329751169</v>
      </c>
      <c r="W45" s="101">
        <v>16.3380527940066</v>
      </c>
      <c r="X45" s="101">
        <v>16.202460347956702</v>
      </c>
      <c r="Y45" s="101">
        <v>10.018453921485658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8903.8002908111084</v>
      </c>
      <c r="C46" s="29">
        <f t="shared" ref="C46:V46" si="110">C47+C53</f>
        <v>9172.9902679649058</v>
      </c>
      <c r="D46" s="29">
        <f t="shared" si="110"/>
        <v>9620.6981810889574</v>
      </c>
      <c r="E46" s="29">
        <f t="shared" si="110"/>
        <v>9093.8305388804874</v>
      </c>
      <c r="F46" s="29">
        <f t="shared" si="110"/>
        <v>10440.455752418324</v>
      </c>
      <c r="G46" s="29">
        <f t="shared" si="110"/>
        <v>9910.1046746503489</v>
      </c>
      <c r="H46" s="29">
        <f t="shared" si="110"/>
        <v>10570.842696991831</v>
      </c>
      <c r="I46" s="29">
        <f t="shared" si="110"/>
        <v>11239.621192727085</v>
      </c>
      <c r="J46" s="29">
        <f t="shared" si="110"/>
        <v>11485.950360817744</v>
      </c>
      <c r="K46" s="29">
        <f t="shared" si="110"/>
        <v>11165.12847906792</v>
      </c>
      <c r="L46" s="29">
        <f t="shared" si="110"/>
        <v>11459.445583660401</v>
      </c>
      <c r="M46" s="29">
        <f t="shared" si="110"/>
        <v>9446.7413727192761</v>
      </c>
      <c r="N46" s="29">
        <f t="shared" si="110"/>
        <v>8089.2668996129441</v>
      </c>
      <c r="O46" s="29">
        <f t="shared" si="110"/>
        <v>8926.2118327806784</v>
      </c>
      <c r="P46" s="29">
        <f t="shared" si="110"/>
        <v>9209.9518195543133</v>
      </c>
      <c r="Q46" s="29">
        <f t="shared" si="110"/>
        <v>10939.134581194072</v>
      </c>
      <c r="R46" s="29">
        <f t="shared" si="110"/>
        <v>11689.289495253855</v>
      </c>
      <c r="S46" s="29">
        <f t="shared" si="110"/>
        <v>10531.979336991888</v>
      </c>
      <c r="T46" s="29">
        <f t="shared" si="110"/>
        <v>10526.716390860955</v>
      </c>
      <c r="U46" s="29">
        <f t="shared" si="110"/>
        <v>10674.800118986372</v>
      </c>
      <c r="V46" s="29">
        <f t="shared" si="110"/>
        <v>9374.9587320241189</v>
      </c>
      <c r="W46" s="29">
        <f t="shared" ref="W46:Y46" si="111">W47+W53</f>
        <v>10414.031632472399</v>
      </c>
      <c r="X46" s="29">
        <f t="shared" si="111"/>
        <v>10709.202803406322</v>
      </c>
      <c r="Y46" s="29">
        <f t="shared" si="111"/>
        <v>10833.393663694862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6215.2023321710212</v>
      </c>
      <c r="C47" s="152">
        <f t="shared" ref="C47:V47" si="113">SUM(C48:C52)</f>
        <v>6420.0684417486573</v>
      </c>
      <c r="D47" s="152">
        <f t="shared" si="113"/>
        <v>6805.3608995774448</v>
      </c>
      <c r="E47" s="152">
        <f t="shared" si="113"/>
        <v>7251.0921187028252</v>
      </c>
      <c r="F47" s="152">
        <f t="shared" si="113"/>
        <v>7306.0284582382483</v>
      </c>
      <c r="G47" s="152">
        <f t="shared" si="113"/>
        <v>7497.340595952528</v>
      </c>
      <c r="H47" s="152">
        <f t="shared" si="113"/>
        <v>7775.6949592967812</v>
      </c>
      <c r="I47" s="152">
        <f t="shared" si="113"/>
        <v>8508.5871615530887</v>
      </c>
      <c r="J47" s="152">
        <f t="shared" si="113"/>
        <v>8526.0992683067852</v>
      </c>
      <c r="K47" s="152">
        <f t="shared" si="113"/>
        <v>8224.5760311635677</v>
      </c>
      <c r="L47" s="152">
        <f t="shared" si="113"/>
        <v>8427.9149968611819</v>
      </c>
      <c r="M47" s="152">
        <f t="shared" si="113"/>
        <v>7315.4773822482821</v>
      </c>
      <c r="N47" s="152">
        <f t="shared" si="113"/>
        <v>6038.0816359105265</v>
      </c>
      <c r="O47" s="152">
        <f t="shared" si="113"/>
        <v>7136.1909400480545</v>
      </c>
      <c r="P47" s="152">
        <f t="shared" si="113"/>
        <v>7203.4012766191518</v>
      </c>
      <c r="Q47" s="152">
        <f t="shared" si="113"/>
        <v>8829.3717374210682</v>
      </c>
      <c r="R47" s="152">
        <f t="shared" si="113"/>
        <v>9530.1914927980251</v>
      </c>
      <c r="S47" s="152">
        <f t="shared" si="113"/>
        <v>8425.6365069270541</v>
      </c>
      <c r="T47" s="152">
        <f t="shared" si="113"/>
        <v>8405.7201319835876</v>
      </c>
      <c r="U47" s="152">
        <f t="shared" si="113"/>
        <v>8568.0985371981933</v>
      </c>
      <c r="V47" s="152">
        <f t="shared" si="113"/>
        <v>7459.645857117257</v>
      </c>
      <c r="W47" s="152">
        <f t="shared" ref="W47:Y47" si="114">SUM(W48:W52)</f>
        <v>8221.8643086675693</v>
      </c>
      <c r="X47" s="152">
        <f t="shared" si="114"/>
        <v>8529.0897100464499</v>
      </c>
      <c r="Y47" s="152">
        <f t="shared" si="114"/>
        <v>8836.8238699118265</v>
      </c>
      <c r="DA47" s="174" t="s">
        <v>491</v>
      </c>
    </row>
    <row r="48" spans="1:105" ht="11.45" customHeight="1" x14ac:dyDescent="0.25">
      <c r="A48" s="111" t="s">
        <v>110</v>
      </c>
      <c r="B48" s="87">
        <v>5091.4994431213745</v>
      </c>
      <c r="C48" s="87">
        <v>5076.1072900749277</v>
      </c>
      <c r="D48" s="87">
        <v>5254.1748067453655</v>
      </c>
      <c r="E48" s="87">
        <v>5325.6861368537511</v>
      </c>
      <c r="F48" s="87">
        <v>5158.9174021557164</v>
      </c>
      <c r="G48" s="87">
        <v>5161.5282409651554</v>
      </c>
      <c r="H48" s="87">
        <v>4972.6404366661063</v>
      </c>
      <c r="I48" s="87">
        <v>5261.0580560749731</v>
      </c>
      <c r="J48" s="87">
        <v>5283.9953397176905</v>
      </c>
      <c r="K48" s="87">
        <v>4466.4376457464723</v>
      </c>
      <c r="L48" s="87">
        <v>4241.6865969216014</v>
      </c>
      <c r="M48" s="87">
        <v>3554.9698295066123</v>
      </c>
      <c r="N48" s="87">
        <v>2879.9668242503881</v>
      </c>
      <c r="O48" s="87">
        <v>2887.870834413553</v>
      </c>
      <c r="P48" s="87">
        <v>2887.7564562628918</v>
      </c>
      <c r="Q48" s="87">
        <v>3026.990051033968</v>
      </c>
      <c r="R48" s="87">
        <v>3163.4462484120972</v>
      </c>
      <c r="S48" s="87">
        <v>2996.7837963264055</v>
      </c>
      <c r="T48" s="87">
        <v>3356.4979295380158</v>
      </c>
      <c r="U48" s="87">
        <v>3474.2426976343568</v>
      </c>
      <c r="V48" s="87">
        <v>3170.5756003789825</v>
      </c>
      <c r="W48" s="87">
        <v>3572.4033664936946</v>
      </c>
      <c r="X48" s="87">
        <v>3611.324211919371</v>
      </c>
      <c r="Y48" s="87">
        <v>3651.1522545540693</v>
      </c>
      <c r="DA48" s="171" t="s">
        <v>492</v>
      </c>
    </row>
    <row r="49" spans="1:105" ht="11.45" customHeight="1" x14ac:dyDescent="0.25">
      <c r="A49" s="111" t="s">
        <v>111</v>
      </c>
      <c r="B49" s="87">
        <v>1123.702889049647</v>
      </c>
      <c r="C49" s="87">
        <v>1343.9611516737295</v>
      </c>
      <c r="D49" s="87">
        <v>1551.1860928320796</v>
      </c>
      <c r="E49" s="87">
        <v>1925.4059818490746</v>
      </c>
      <c r="F49" s="87">
        <v>2147.1110560825323</v>
      </c>
      <c r="G49" s="87">
        <v>2335.8123549873721</v>
      </c>
      <c r="H49" s="87">
        <v>2803.0545226306749</v>
      </c>
      <c r="I49" s="87">
        <v>3247.5291054781146</v>
      </c>
      <c r="J49" s="87">
        <v>3242.1039285890943</v>
      </c>
      <c r="K49" s="87">
        <v>3758.1383854170963</v>
      </c>
      <c r="L49" s="87">
        <v>4186.2283999395795</v>
      </c>
      <c r="M49" s="87">
        <v>3760.5075527416698</v>
      </c>
      <c r="N49" s="87">
        <v>3158.114811660138</v>
      </c>
      <c r="O49" s="87">
        <v>4248.3201056345015</v>
      </c>
      <c r="P49" s="87">
        <v>4315.6448203562595</v>
      </c>
      <c r="Q49" s="87">
        <v>5802.3816863871007</v>
      </c>
      <c r="R49" s="87">
        <v>6366.7452443859283</v>
      </c>
      <c r="S49" s="87">
        <v>5428.8527106006495</v>
      </c>
      <c r="T49" s="87">
        <v>5049.2222024455714</v>
      </c>
      <c r="U49" s="87">
        <v>5093.8558395638365</v>
      </c>
      <c r="V49" s="87">
        <v>4289.0702567382741</v>
      </c>
      <c r="W49" s="87">
        <v>4649.4609421738751</v>
      </c>
      <c r="X49" s="87">
        <v>4917.7654981270789</v>
      </c>
      <c r="Y49" s="87">
        <v>5185.6716153577581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87">
        <v>0</v>
      </c>
      <c r="U50" s="87">
        <v>0</v>
      </c>
      <c r="V50" s="87">
        <v>0</v>
      </c>
      <c r="W50" s="87">
        <v>0</v>
      </c>
      <c r="X50" s="87">
        <v>0</v>
      </c>
      <c r="Y50" s="87">
        <v>0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X51" s="87">
        <v>0</v>
      </c>
      <c r="Y51" s="87">
        <v>0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87">
        <v>0</v>
      </c>
      <c r="U52" s="87">
        <v>0</v>
      </c>
      <c r="V52" s="87">
        <v>0</v>
      </c>
      <c r="W52" s="87">
        <v>0</v>
      </c>
      <c r="X52" s="87">
        <v>0</v>
      </c>
      <c r="Y52" s="87">
        <v>0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2688.5979586400867</v>
      </c>
      <c r="C53" s="116">
        <f t="shared" ref="C53:V53" si="116">SUM(C54:C55)</f>
        <v>2752.921826216249</v>
      </c>
      <c r="D53" s="116">
        <f t="shared" si="116"/>
        <v>2815.3372815115126</v>
      </c>
      <c r="E53" s="116">
        <f t="shared" si="116"/>
        <v>1842.7384201776613</v>
      </c>
      <c r="F53" s="116">
        <f t="shared" si="116"/>
        <v>3134.4272941800755</v>
      </c>
      <c r="G53" s="116">
        <f t="shared" si="116"/>
        <v>2412.7640786978209</v>
      </c>
      <c r="H53" s="116">
        <f t="shared" si="116"/>
        <v>2795.1477376950502</v>
      </c>
      <c r="I53" s="116">
        <f t="shared" si="116"/>
        <v>2731.0340311739969</v>
      </c>
      <c r="J53" s="116">
        <f t="shared" si="116"/>
        <v>2959.851092510959</v>
      </c>
      <c r="K53" s="116">
        <f t="shared" si="116"/>
        <v>2940.5524479043529</v>
      </c>
      <c r="L53" s="116">
        <f t="shared" si="116"/>
        <v>3031.5305867992197</v>
      </c>
      <c r="M53" s="116">
        <f t="shared" si="116"/>
        <v>2131.2639904709949</v>
      </c>
      <c r="N53" s="116">
        <f t="shared" si="116"/>
        <v>2051.1852637024176</v>
      </c>
      <c r="O53" s="116">
        <f t="shared" si="116"/>
        <v>1790.0208927326232</v>
      </c>
      <c r="P53" s="116">
        <f t="shared" si="116"/>
        <v>2006.550542935162</v>
      </c>
      <c r="Q53" s="116">
        <f t="shared" si="116"/>
        <v>2109.7628437730036</v>
      </c>
      <c r="R53" s="116">
        <f t="shared" si="116"/>
        <v>2159.0980024558303</v>
      </c>
      <c r="S53" s="116">
        <f t="shared" si="116"/>
        <v>2106.3428300648338</v>
      </c>
      <c r="T53" s="116">
        <f t="shared" si="116"/>
        <v>2120.996258877366</v>
      </c>
      <c r="U53" s="116">
        <f t="shared" si="116"/>
        <v>2106.7015817881775</v>
      </c>
      <c r="V53" s="116">
        <f t="shared" si="116"/>
        <v>1915.3128749068621</v>
      </c>
      <c r="W53" s="116">
        <f t="shared" ref="W53:Y53" si="117">SUM(W54:W55)</f>
        <v>2192.1673238048297</v>
      </c>
      <c r="X53" s="116">
        <f t="shared" si="117"/>
        <v>2180.1130933598715</v>
      </c>
      <c r="Y53" s="116">
        <f t="shared" si="117"/>
        <v>1996.5697937830362</v>
      </c>
      <c r="DA53" s="176" t="s">
        <v>497</v>
      </c>
    </row>
    <row r="54" spans="1:105" ht="11.45" customHeight="1" x14ac:dyDescent="0.25">
      <c r="A54" s="128" t="s">
        <v>27</v>
      </c>
      <c r="B54" s="101">
        <v>2571.6156061796282</v>
      </c>
      <c r="C54" s="101">
        <v>2627.5202932704897</v>
      </c>
      <c r="D54" s="101">
        <v>2683.4249803613511</v>
      </c>
      <c r="E54" s="101">
        <v>1708</v>
      </c>
      <c r="F54" s="101">
        <v>2975</v>
      </c>
      <c r="G54" s="101">
        <v>2248</v>
      </c>
      <c r="H54" s="101">
        <v>2594</v>
      </c>
      <c r="I54" s="101">
        <v>2560</v>
      </c>
      <c r="J54" s="101">
        <v>2809</v>
      </c>
      <c r="K54" s="101">
        <v>2806</v>
      </c>
      <c r="L54" s="101">
        <v>2863</v>
      </c>
      <c r="M54" s="101">
        <v>1995</v>
      </c>
      <c r="N54" s="101">
        <v>1899</v>
      </c>
      <c r="O54" s="101">
        <v>1615</v>
      </c>
      <c r="P54" s="101">
        <v>1836</v>
      </c>
      <c r="Q54" s="101">
        <v>1922</v>
      </c>
      <c r="R54" s="101">
        <v>1957</v>
      </c>
      <c r="S54" s="101">
        <v>1838</v>
      </c>
      <c r="T54" s="101">
        <v>1868</v>
      </c>
      <c r="U54" s="101">
        <v>1991</v>
      </c>
      <c r="V54" s="101">
        <v>1746</v>
      </c>
      <c r="W54" s="101">
        <v>1962</v>
      </c>
      <c r="X54" s="101">
        <v>1939</v>
      </c>
      <c r="Y54" s="101">
        <v>1757</v>
      </c>
      <c r="DA54" s="175" t="s">
        <v>498</v>
      </c>
    </row>
    <row r="55" spans="1:105" ht="11.45" customHeight="1" x14ac:dyDescent="0.25">
      <c r="A55" s="138" t="s">
        <v>116</v>
      </c>
      <c r="B55" s="88">
        <v>116.98235246045873</v>
      </c>
      <c r="C55" s="88">
        <v>125.4015329457595</v>
      </c>
      <c r="D55" s="88">
        <v>131.91230115016134</v>
      </c>
      <c r="E55" s="88">
        <v>134.73842017766131</v>
      </c>
      <c r="F55" s="88">
        <v>159.42729418007525</v>
      </c>
      <c r="G55" s="88">
        <v>164.76407869782091</v>
      </c>
      <c r="H55" s="88">
        <v>201.14773769505013</v>
      </c>
      <c r="I55" s="88">
        <v>171.03403117399682</v>
      </c>
      <c r="J55" s="88">
        <v>150.85109251095886</v>
      </c>
      <c r="K55" s="88">
        <v>134.55244790435273</v>
      </c>
      <c r="L55" s="88">
        <v>168.53058679921983</v>
      </c>
      <c r="M55" s="88">
        <v>136.26399047099483</v>
      </c>
      <c r="N55" s="88">
        <v>152.18526370241784</v>
      </c>
      <c r="O55" s="88">
        <v>175.02089273262314</v>
      </c>
      <c r="P55" s="88">
        <v>170.55054293516201</v>
      </c>
      <c r="Q55" s="88">
        <v>187.76284377300365</v>
      </c>
      <c r="R55" s="88">
        <v>202.09800245583028</v>
      </c>
      <c r="S55" s="88">
        <v>268.342830064834</v>
      </c>
      <c r="T55" s="88">
        <v>252.99625887736605</v>
      </c>
      <c r="U55" s="88">
        <v>115.70158178817731</v>
      </c>
      <c r="V55" s="88">
        <v>169.31287490686219</v>
      </c>
      <c r="W55" s="88">
        <v>230.16732380482995</v>
      </c>
      <c r="X55" s="88">
        <v>241.11309335987133</v>
      </c>
      <c r="Y55" s="88">
        <v>239.56979378303623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5268820</v>
      </c>
      <c r="C57" s="54">
        <f t="shared" si="118"/>
        <v>5579631</v>
      </c>
      <c r="D57" s="54">
        <f t="shared" si="118"/>
        <v>5865430</v>
      </c>
      <c r="E57" s="54">
        <f t="shared" si="118"/>
        <v>6147878</v>
      </c>
      <c r="F57" s="54">
        <f t="shared" si="118"/>
        <v>6350636</v>
      </c>
      <c r="G57" s="54">
        <f t="shared" si="118"/>
        <v>6616258</v>
      </c>
      <c r="H57" s="54">
        <f t="shared" si="118"/>
        <v>6867302</v>
      </c>
      <c r="I57" s="54">
        <f t="shared" si="118"/>
        <v>7248728</v>
      </c>
      <c r="J57" s="54">
        <f t="shared" si="118"/>
        <v>7498359</v>
      </c>
      <c r="K57" s="54">
        <f t="shared" si="118"/>
        <v>7630060</v>
      </c>
      <c r="L57" s="54">
        <f t="shared" ref="L57" si="119">L58+L73</f>
        <v>7734931</v>
      </c>
      <c r="M57" s="54">
        <f t="shared" ref="M57:V57" si="120">M58+M73</f>
        <v>7670161</v>
      </c>
      <c r="N57" s="54">
        <f t="shared" si="120"/>
        <v>7592902</v>
      </c>
      <c r="O57" s="54">
        <f t="shared" si="120"/>
        <v>7516508</v>
      </c>
      <c r="P57" s="54">
        <f t="shared" si="120"/>
        <v>7485588</v>
      </c>
      <c r="Q57" s="54">
        <f t="shared" si="120"/>
        <v>7553586</v>
      </c>
      <c r="R57" s="54">
        <f t="shared" si="120"/>
        <v>7675222</v>
      </c>
      <c r="S57" s="54">
        <f t="shared" si="120"/>
        <v>7662232</v>
      </c>
      <c r="T57" s="54">
        <f t="shared" si="120"/>
        <v>7598544</v>
      </c>
      <c r="U57" s="54">
        <f t="shared" si="120"/>
        <v>7727492</v>
      </c>
      <c r="V57" s="54">
        <f t="shared" si="120"/>
        <v>7818517</v>
      </c>
      <c r="W57" s="54">
        <f t="shared" ref="W57:Y57" si="121">W58+W73</f>
        <v>7950129</v>
      </c>
      <c r="X57" s="54">
        <f t="shared" si="121"/>
        <v>8114302</v>
      </c>
      <c r="Y57" s="54">
        <f t="shared" si="121"/>
        <v>8337852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4363885</v>
      </c>
      <c r="C58" s="28">
        <f t="shared" si="122"/>
        <v>4646727</v>
      </c>
      <c r="D58" s="28">
        <f t="shared" si="122"/>
        <v>4909642</v>
      </c>
      <c r="E58" s="28">
        <f t="shared" si="122"/>
        <v>5177925</v>
      </c>
      <c r="F58" s="28">
        <f t="shared" si="122"/>
        <v>5353129</v>
      </c>
      <c r="G58" s="28">
        <f t="shared" si="122"/>
        <v>5660696</v>
      </c>
      <c r="H58" s="28">
        <f t="shared" si="122"/>
        <v>5880388</v>
      </c>
      <c r="I58" s="28">
        <f t="shared" si="122"/>
        <v>6224689</v>
      </c>
      <c r="J58" s="28">
        <f t="shared" si="122"/>
        <v>6440106</v>
      </c>
      <c r="K58" s="28">
        <f t="shared" si="122"/>
        <v>6608503</v>
      </c>
      <c r="L58" s="28">
        <f t="shared" ref="L58" si="123">L59+L60+L67</f>
        <v>6723683</v>
      </c>
      <c r="M58" s="28">
        <f t="shared" ref="M58:V58" si="124">M59+M60+M67</f>
        <v>6742822</v>
      </c>
      <c r="N58" s="28">
        <f t="shared" si="124"/>
        <v>6741153</v>
      </c>
      <c r="O58" s="28">
        <f t="shared" si="124"/>
        <v>6700838</v>
      </c>
      <c r="P58" s="28">
        <f t="shared" si="124"/>
        <v>6708937</v>
      </c>
      <c r="Q58" s="28">
        <f t="shared" si="124"/>
        <v>6749138</v>
      </c>
      <c r="R58" s="28">
        <f t="shared" si="124"/>
        <v>6840481</v>
      </c>
      <c r="S58" s="28">
        <f t="shared" si="124"/>
        <v>6919420</v>
      </c>
      <c r="T58" s="28">
        <f t="shared" si="124"/>
        <v>6892929</v>
      </c>
      <c r="U58" s="28">
        <f t="shared" si="124"/>
        <v>7043307</v>
      </c>
      <c r="V58" s="28">
        <f t="shared" si="124"/>
        <v>7156677</v>
      </c>
      <c r="W58" s="28">
        <f t="shared" ref="W58:Y58" si="125">W59+W60+W67</f>
        <v>7306934</v>
      </c>
      <c r="X58" s="28">
        <f t="shared" si="125"/>
        <v>7467239</v>
      </c>
      <c r="Y58" s="28">
        <f t="shared" si="125"/>
        <v>7686604</v>
      </c>
      <c r="DA58" s="173" t="s">
        <v>501</v>
      </c>
    </row>
    <row r="59" spans="1:105" ht="11.45" customHeight="1" x14ac:dyDescent="0.25">
      <c r="A59" s="136" t="s">
        <v>173</v>
      </c>
      <c r="B59" s="137">
        <v>781361</v>
      </c>
      <c r="C59" s="137">
        <v>853366</v>
      </c>
      <c r="D59" s="137">
        <v>910555</v>
      </c>
      <c r="E59" s="137">
        <v>969895</v>
      </c>
      <c r="F59" s="137">
        <v>1042605</v>
      </c>
      <c r="G59" s="137">
        <v>1124172</v>
      </c>
      <c r="H59" s="137">
        <v>1205816</v>
      </c>
      <c r="I59" s="137">
        <v>1298688</v>
      </c>
      <c r="J59" s="137">
        <v>1388607</v>
      </c>
      <c r="K59" s="137">
        <v>1448851</v>
      </c>
      <c r="L59" s="137">
        <v>1499133</v>
      </c>
      <c r="M59" s="137">
        <v>1534902</v>
      </c>
      <c r="N59" s="137">
        <v>1556435</v>
      </c>
      <c r="O59" s="137">
        <v>1568596</v>
      </c>
      <c r="P59" s="137">
        <v>1592929</v>
      </c>
      <c r="Q59" s="137">
        <v>1619621</v>
      </c>
      <c r="R59" s="137">
        <v>1653528</v>
      </c>
      <c r="S59" s="137">
        <v>1656657</v>
      </c>
      <c r="T59" s="137">
        <v>1583491</v>
      </c>
      <c r="U59" s="137">
        <v>1609923</v>
      </c>
      <c r="V59" s="137">
        <v>1637608</v>
      </c>
      <c r="W59" s="137">
        <v>1675804</v>
      </c>
      <c r="X59" s="137">
        <v>1714317</v>
      </c>
      <c r="Y59" s="137">
        <v>1782000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3555065</v>
      </c>
      <c r="C60" s="110">
        <f t="shared" si="126"/>
        <v>3765843</v>
      </c>
      <c r="D60" s="110">
        <f t="shared" si="126"/>
        <v>3971437</v>
      </c>
      <c r="E60" s="110">
        <f t="shared" si="126"/>
        <v>4180532</v>
      </c>
      <c r="F60" s="110">
        <f t="shared" si="126"/>
        <v>4283372</v>
      </c>
      <c r="G60" s="110">
        <f t="shared" si="126"/>
        <v>4509326</v>
      </c>
      <c r="H60" s="110">
        <f t="shared" si="126"/>
        <v>4647265</v>
      </c>
      <c r="I60" s="110">
        <f t="shared" si="126"/>
        <v>4898530</v>
      </c>
      <c r="J60" s="110">
        <f t="shared" si="126"/>
        <v>5023944</v>
      </c>
      <c r="K60" s="110">
        <f t="shared" si="126"/>
        <v>5131960</v>
      </c>
      <c r="L60" s="110">
        <f t="shared" ref="L60" si="127">SUM(L61:L66)</f>
        <v>5196873</v>
      </c>
      <c r="M60" s="110">
        <f t="shared" ref="M60:V60" si="128">SUM(M61:M66)</f>
        <v>5180433</v>
      </c>
      <c r="N60" s="110">
        <f t="shared" si="128"/>
        <v>5157390</v>
      </c>
      <c r="O60" s="110">
        <f t="shared" si="128"/>
        <v>5105093</v>
      </c>
      <c r="P60" s="110">
        <f t="shared" si="128"/>
        <v>5088961</v>
      </c>
      <c r="Q60" s="110">
        <f t="shared" si="128"/>
        <v>5102575</v>
      </c>
      <c r="R60" s="110">
        <f t="shared" si="128"/>
        <v>5160056</v>
      </c>
      <c r="S60" s="110">
        <f t="shared" si="128"/>
        <v>5235928</v>
      </c>
      <c r="T60" s="110">
        <f t="shared" si="128"/>
        <v>5282695</v>
      </c>
      <c r="U60" s="110">
        <f t="shared" si="128"/>
        <v>5406551</v>
      </c>
      <c r="V60" s="110">
        <f t="shared" si="128"/>
        <v>5492176</v>
      </c>
      <c r="W60" s="110">
        <f t="shared" ref="W60:Y60" si="129">SUM(W61:W66)</f>
        <v>5604192</v>
      </c>
      <c r="X60" s="110">
        <f t="shared" si="129"/>
        <v>5726012</v>
      </c>
      <c r="Y60" s="110">
        <f t="shared" si="129"/>
        <v>5877759</v>
      </c>
      <c r="DA60" s="176" t="s">
        <v>503</v>
      </c>
    </row>
    <row r="61" spans="1:105" ht="11.45" customHeight="1" x14ac:dyDescent="0.25">
      <c r="A61" s="111" t="s">
        <v>110</v>
      </c>
      <c r="B61" s="84">
        <v>3437712</v>
      </c>
      <c r="C61" s="84">
        <v>3653075</v>
      </c>
      <c r="D61" s="84">
        <v>3859218</v>
      </c>
      <c r="E61" s="84">
        <v>4063433</v>
      </c>
      <c r="F61" s="84">
        <v>4178193</v>
      </c>
      <c r="G61" s="84">
        <v>4402095</v>
      </c>
      <c r="H61" s="84">
        <v>4529645</v>
      </c>
      <c r="I61" s="84">
        <v>4774152</v>
      </c>
      <c r="J61" s="84">
        <v>4901231</v>
      </c>
      <c r="K61" s="84">
        <v>4987108</v>
      </c>
      <c r="L61" s="84">
        <v>5033499</v>
      </c>
      <c r="M61" s="84">
        <v>4976132</v>
      </c>
      <c r="N61" s="84">
        <v>4981221</v>
      </c>
      <c r="O61" s="84">
        <v>4854223</v>
      </c>
      <c r="P61" s="84">
        <v>4768091</v>
      </c>
      <c r="Q61" s="84">
        <v>4758743</v>
      </c>
      <c r="R61" s="84">
        <v>4749369</v>
      </c>
      <c r="S61" s="84">
        <v>4785438</v>
      </c>
      <c r="T61" s="84">
        <v>4777454</v>
      </c>
      <c r="U61" s="84">
        <v>4838018</v>
      </c>
      <c r="V61" s="84">
        <v>4875129</v>
      </c>
      <c r="W61" s="84">
        <v>4974935</v>
      </c>
      <c r="X61" s="84">
        <v>5083242</v>
      </c>
      <c r="Y61" s="84">
        <v>5214723</v>
      </c>
      <c r="DA61" s="171" t="s">
        <v>504</v>
      </c>
    </row>
    <row r="62" spans="1:105" ht="11.45" customHeight="1" x14ac:dyDescent="0.25">
      <c r="A62" s="111" t="s">
        <v>111</v>
      </c>
      <c r="B62" s="84">
        <v>106853</v>
      </c>
      <c r="C62" s="84">
        <v>102368</v>
      </c>
      <c r="D62" s="84">
        <v>101882</v>
      </c>
      <c r="E62" s="84">
        <v>107397</v>
      </c>
      <c r="F62" s="84">
        <v>96144</v>
      </c>
      <c r="G62" s="84">
        <v>98124</v>
      </c>
      <c r="H62" s="84">
        <v>108335</v>
      </c>
      <c r="I62" s="84">
        <v>114198</v>
      </c>
      <c r="J62" s="84">
        <v>112326</v>
      </c>
      <c r="K62" s="84">
        <v>129911</v>
      </c>
      <c r="L62" s="84">
        <v>128461</v>
      </c>
      <c r="M62" s="84">
        <v>119803</v>
      </c>
      <c r="N62" s="84">
        <v>112106</v>
      </c>
      <c r="O62" s="84">
        <v>104563</v>
      </c>
      <c r="P62" s="84">
        <v>160840</v>
      </c>
      <c r="Q62" s="84">
        <v>156270</v>
      </c>
      <c r="R62" s="84">
        <v>195332</v>
      </c>
      <c r="S62" s="84">
        <v>234406</v>
      </c>
      <c r="T62" s="84">
        <v>288311</v>
      </c>
      <c r="U62" s="84">
        <v>348852</v>
      </c>
      <c r="V62" s="84">
        <v>422140</v>
      </c>
      <c r="W62" s="84">
        <v>424972</v>
      </c>
      <c r="X62" s="84">
        <v>427600</v>
      </c>
      <c r="Y62" s="84">
        <v>430695</v>
      </c>
      <c r="DA62" s="171" t="s">
        <v>505</v>
      </c>
    </row>
    <row r="63" spans="1:105" ht="11.45" customHeight="1" x14ac:dyDescent="0.25">
      <c r="A63" s="111" t="s">
        <v>112</v>
      </c>
      <c r="B63" s="84">
        <v>10500</v>
      </c>
      <c r="C63" s="84">
        <v>9740</v>
      </c>
      <c r="D63" s="84">
        <v>9263</v>
      </c>
      <c r="E63" s="84">
        <v>8513</v>
      </c>
      <c r="F63" s="84">
        <v>7846</v>
      </c>
      <c r="G63" s="84">
        <v>7779</v>
      </c>
      <c r="H63" s="84">
        <v>7883</v>
      </c>
      <c r="I63" s="84">
        <v>8565</v>
      </c>
      <c r="J63" s="84">
        <v>8784</v>
      </c>
      <c r="K63" s="84">
        <v>12767</v>
      </c>
      <c r="L63" s="84">
        <v>32340</v>
      </c>
      <c r="M63" s="84">
        <v>81770</v>
      </c>
      <c r="N63" s="84">
        <v>61379</v>
      </c>
      <c r="O63" s="84">
        <v>143786</v>
      </c>
      <c r="P63" s="84">
        <v>157464</v>
      </c>
      <c r="Q63" s="84">
        <v>184678</v>
      </c>
      <c r="R63" s="84">
        <v>212380</v>
      </c>
      <c r="S63" s="84">
        <v>212999</v>
      </c>
      <c r="T63" s="84">
        <v>213649</v>
      </c>
      <c r="U63" s="84">
        <v>215785</v>
      </c>
      <c r="V63" s="84">
        <v>187943</v>
      </c>
      <c r="W63" s="84">
        <v>189822</v>
      </c>
      <c r="X63" s="84">
        <v>191720</v>
      </c>
      <c r="Y63" s="84">
        <v>193637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660</v>
      </c>
      <c r="D64" s="84">
        <v>1074</v>
      </c>
      <c r="E64" s="84">
        <v>1189</v>
      </c>
      <c r="F64" s="84">
        <v>1189</v>
      </c>
      <c r="G64" s="84">
        <v>1328</v>
      </c>
      <c r="H64" s="84">
        <v>1402</v>
      </c>
      <c r="I64" s="84">
        <v>1615</v>
      </c>
      <c r="J64" s="84">
        <v>1603</v>
      </c>
      <c r="K64" s="84">
        <v>2174</v>
      </c>
      <c r="L64" s="84">
        <v>2573</v>
      </c>
      <c r="M64" s="84">
        <v>2728</v>
      </c>
      <c r="N64" s="84">
        <v>2682</v>
      </c>
      <c r="O64" s="84">
        <v>2517</v>
      </c>
      <c r="P64" s="84">
        <v>2500</v>
      </c>
      <c r="Q64" s="84">
        <v>2760</v>
      </c>
      <c r="R64" s="84">
        <v>2780</v>
      </c>
      <c r="S64" s="84">
        <v>2730</v>
      </c>
      <c r="T64" s="84">
        <v>2700</v>
      </c>
      <c r="U64" s="84">
        <v>2900</v>
      </c>
      <c r="V64" s="84">
        <v>3829</v>
      </c>
      <c r="W64" s="84">
        <v>4360</v>
      </c>
      <c r="X64" s="84">
        <v>4875</v>
      </c>
      <c r="Y64" s="84">
        <v>5746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1</v>
      </c>
      <c r="O65" s="84">
        <v>1</v>
      </c>
      <c r="P65" s="84">
        <v>21</v>
      </c>
      <c r="Q65" s="84">
        <v>40</v>
      </c>
      <c r="R65" s="84">
        <v>81</v>
      </c>
      <c r="S65" s="84">
        <v>207</v>
      </c>
      <c r="T65" s="84">
        <v>366</v>
      </c>
      <c r="U65" s="84">
        <v>570</v>
      </c>
      <c r="V65" s="84">
        <v>2031</v>
      </c>
      <c r="W65" s="84">
        <v>6823</v>
      </c>
      <c r="X65" s="84">
        <v>12269</v>
      </c>
      <c r="Y65" s="84">
        <v>20643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1</v>
      </c>
      <c r="O66" s="84">
        <v>3</v>
      </c>
      <c r="P66" s="84">
        <v>45</v>
      </c>
      <c r="Q66" s="84">
        <v>84</v>
      </c>
      <c r="R66" s="84">
        <v>114</v>
      </c>
      <c r="S66" s="84">
        <v>148</v>
      </c>
      <c r="T66" s="84">
        <v>215</v>
      </c>
      <c r="U66" s="84">
        <v>426</v>
      </c>
      <c r="V66" s="84">
        <v>1104</v>
      </c>
      <c r="W66" s="84">
        <v>3280</v>
      </c>
      <c r="X66" s="84">
        <v>6306</v>
      </c>
      <c r="Y66" s="84">
        <v>12315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27459</v>
      </c>
      <c r="C67" s="110">
        <f t="shared" si="130"/>
        <v>27518</v>
      </c>
      <c r="D67" s="110">
        <f t="shared" si="130"/>
        <v>27650</v>
      </c>
      <c r="E67" s="110">
        <f t="shared" si="130"/>
        <v>27498</v>
      </c>
      <c r="F67" s="110">
        <f t="shared" si="130"/>
        <v>27152</v>
      </c>
      <c r="G67" s="110">
        <f t="shared" si="130"/>
        <v>27198</v>
      </c>
      <c r="H67" s="110">
        <f t="shared" si="130"/>
        <v>27307</v>
      </c>
      <c r="I67" s="110">
        <f t="shared" si="130"/>
        <v>27471</v>
      </c>
      <c r="J67" s="110">
        <f t="shared" si="130"/>
        <v>27555</v>
      </c>
      <c r="K67" s="110">
        <f t="shared" si="130"/>
        <v>27692</v>
      </c>
      <c r="L67" s="110">
        <f t="shared" ref="L67" si="131">SUM(L68:L72)</f>
        <v>27677</v>
      </c>
      <c r="M67" s="110">
        <f t="shared" ref="M67:V67" si="132">SUM(M68:M72)</f>
        <v>27487</v>
      </c>
      <c r="N67" s="110">
        <f t="shared" si="132"/>
        <v>27328</v>
      </c>
      <c r="O67" s="110">
        <f t="shared" si="132"/>
        <v>27149</v>
      </c>
      <c r="P67" s="110">
        <f t="shared" si="132"/>
        <v>27047</v>
      </c>
      <c r="Q67" s="110">
        <f t="shared" si="132"/>
        <v>26942</v>
      </c>
      <c r="R67" s="110">
        <f t="shared" si="132"/>
        <v>26897</v>
      </c>
      <c r="S67" s="110">
        <f t="shared" si="132"/>
        <v>26835</v>
      </c>
      <c r="T67" s="110">
        <f t="shared" si="132"/>
        <v>26743</v>
      </c>
      <c r="U67" s="110">
        <f t="shared" si="132"/>
        <v>26833</v>
      </c>
      <c r="V67" s="110">
        <f t="shared" si="132"/>
        <v>26893</v>
      </c>
      <c r="W67" s="110">
        <f t="shared" ref="W67:Y67" si="133">SUM(W68:W72)</f>
        <v>26938</v>
      </c>
      <c r="X67" s="110">
        <f t="shared" si="133"/>
        <v>26910</v>
      </c>
      <c r="Y67" s="110">
        <f t="shared" si="133"/>
        <v>26845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X68" s="102">
        <v>0</v>
      </c>
      <c r="Y68" s="102">
        <v>0</v>
      </c>
      <c r="DA68" s="175" t="s">
        <v>511</v>
      </c>
    </row>
    <row r="69" spans="1:105" ht="11.45" customHeight="1" x14ac:dyDescent="0.25">
      <c r="A69" s="111" t="s">
        <v>111</v>
      </c>
      <c r="B69" s="102">
        <v>27459</v>
      </c>
      <c r="C69" s="102">
        <v>27208</v>
      </c>
      <c r="D69" s="102">
        <v>27176</v>
      </c>
      <c r="E69" s="102">
        <v>26982</v>
      </c>
      <c r="F69" s="102">
        <v>26641</v>
      </c>
      <c r="G69" s="102">
        <v>26656</v>
      </c>
      <c r="H69" s="102">
        <v>26747</v>
      </c>
      <c r="I69" s="102">
        <v>26817</v>
      </c>
      <c r="J69" s="102">
        <v>26870</v>
      </c>
      <c r="K69" s="102">
        <v>27030</v>
      </c>
      <c r="L69" s="102">
        <v>27042</v>
      </c>
      <c r="M69" s="102">
        <v>26873</v>
      </c>
      <c r="N69" s="102">
        <v>26718</v>
      </c>
      <c r="O69" s="102">
        <v>26210</v>
      </c>
      <c r="P69" s="102">
        <v>26108</v>
      </c>
      <c r="Q69" s="102">
        <v>25965</v>
      </c>
      <c r="R69" s="102">
        <v>25905</v>
      </c>
      <c r="S69" s="102">
        <v>25893</v>
      </c>
      <c r="T69" s="102">
        <v>25702</v>
      </c>
      <c r="U69" s="102">
        <v>25717</v>
      </c>
      <c r="V69" s="102">
        <v>25686</v>
      </c>
      <c r="W69" s="102">
        <v>25630</v>
      </c>
      <c r="X69" s="102">
        <v>25354</v>
      </c>
      <c r="Y69" s="102">
        <v>25224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513</v>
      </c>
    </row>
    <row r="71" spans="1:105" ht="11.45" customHeight="1" x14ac:dyDescent="0.25">
      <c r="A71" s="111" t="s">
        <v>113</v>
      </c>
      <c r="B71" s="102">
        <v>0</v>
      </c>
      <c r="C71" s="102">
        <v>310</v>
      </c>
      <c r="D71" s="102">
        <v>474</v>
      </c>
      <c r="E71" s="102">
        <v>516</v>
      </c>
      <c r="F71" s="102">
        <v>511</v>
      </c>
      <c r="G71" s="102">
        <v>542</v>
      </c>
      <c r="H71" s="102">
        <v>560</v>
      </c>
      <c r="I71" s="102">
        <v>654</v>
      </c>
      <c r="J71" s="102">
        <v>685</v>
      </c>
      <c r="K71" s="102">
        <v>662</v>
      </c>
      <c r="L71" s="102">
        <v>635</v>
      </c>
      <c r="M71" s="102">
        <v>614</v>
      </c>
      <c r="N71" s="102">
        <v>610</v>
      </c>
      <c r="O71" s="102">
        <v>573</v>
      </c>
      <c r="P71" s="102">
        <v>583</v>
      </c>
      <c r="Q71" s="102">
        <v>621</v>
      </c>
      <c r="R71" s="102">
        <v>637</v>
      </c>
      <c r="S71" s="102">
        <v>587</v>
      </c>
      <c r="T71" s="102">
        <v>686</v>
      </c>
      <c r="U71" s="102">
        <v>760</v>
      </c>
      <c r="V71" s="102">
        <v>852</v>
      </c>
      <c r="W71" s="102">
        <v>954</v>
      </c>
      <c r="X71" s="102">
        <v>1205</v>
      </c>
      <c r="Y71" s="102">
        <v>1404</v>
      </c>
      <c r="DA71" s="175" t="s">
        <v>514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366</v>
      </c>
      <c r="P72" s="102">
        <v>356</v>
      </c>
      <c r="Q72" s="102">
        <v>356</v>
      </c>
      <c r="R72" s="102">
        <v>355</v>
      </c>
      <c r="S72" s="102">
        <v>355</v>
      </c>
      <c r="T72" s="102">
        <v>355</v>
      </c>
      <c r="U72" s="102">
        <v>356</v>
      </c>
      <c r="V72" s="102">
        <v>355</v>
      </c>
      <c r="W72" s="102">
        <v>354</v>
      </c>
      <c r="X72" s="102">
        <v>351</v>
      </c>
      <c r="Y72" s="102">
        <v>217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904935</v>
      </c>
      <c r="C73" s="28">
        <f t="shared" si="134"/>
        <v>932904</v>
      </c>
      <c r="D73" s="28">
        <f t="shared" si="134"/>
        <v>955788</v>
      </c>
      <c r="E73" s="28">
        <f t="shared" si="134"/>
        <v>969953</v>
      </c>
      <c r="F73" s="28">
        <f t="shared" si="134"/>
        <v>997507</v>
      </c>
      <c r="G73" s="28">
        <f t="shared" si="134"/>
        <v>955562</v>
      </c>
      <c r="H73" s="28">
        <f t="shared" si="134"/>
        <v>986914</v>
      </c>
      <c r="I73" s="28">
        <f t="shared" si="134"/>
        <v>1024039</v>
      </c>
      <c r="J73" s="28">
        <f t="shared" si="134"/>
        <v>1058253</v>
      </c>
      <c r="K73" s="28">
        <f t="shared" si="134"/>
        <v>1021557</v>
      </c>
      <c r="L73" s="28">
        <f t="shared" ref="L73" si="135">L74+L80</f>
        <v>1011248</v>
      </c>
      <c r="M73" s="28">
        <f t="shared" ref="M73:V73" si="136">M74+M80</f>
        <v>927339</v>
      </c>
      <c r="N73" s="28">
        <f t="shared" si="136"/>
        <v>851749</v>
      </c>
      <c r="O73" s="28">
        <f t="shared" si="136"/>
        <v>815670</v>
      </c>
      <c r="P73" s="28">
        <f t="shared" si="136"/>
        <v>776651</v>
      </c>
      <c r="Q73" s="28">
        <f t="shared" si="136"/>
        <v>804448</v>
      </c>
      <c r="R73" s="28">
        <f t="shared" si="136"/>
        <v>834741</v>
      </c>
      <c r="S73" s="28">
        <f t="shared" si="136"/>
        <v>742812</v>
      </c>
      <c r="T73" s="28">
        <f t="shared" si="136"/>
        <v>705615</v>
      </c>
      <c r="U73" s="28">
        <f t="shared" si="136"/>
        <v>684185</v>
      </c>
      <c r="V73" s="28">
        <f t="shared" si="136"/>
        <v>661840</v>
      </c>
      <c r="W73" s="28">
        <f t="shared" ref="W73:Y73" si="137">W74+W80</f>
        <v>643195</v>
      </c>
      <c r="X73" s="28">
        <f t="shared" si="137"/>
        <v>647063</v>
      </c>
      <c r="Y73" s="28">
        <f t="shared" si="137"/>
        <v>651248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715958</v>
      </c>
      <c r="C74" s="137">
        <f t="shared" si="138"/>
        <v>737909</v>
      </c>
      <c r="D74" s="137">
        <f t="shared" si="138"/>
        <v>755661</v>
      </c>
      <c r="E74" s="137">
        <f t="shared" si="138"/>
        <v>770572</v>
      </c>
      <c r="F74" s="137">
        <f t="shared" si="138"/>
        <v>759291</v>
      </c>
      <c r="G74" s="137">
        <f t="shared" si="138"/>
        <v>746123</v>
      </c>
      <c r="H74" s="137">
        <f t="shared" si="138"/>
        <v>750835</v>
      </c>
      <c r="I74" s="137">
        <f t="shared" si="138"/>
        <v>792377</v>
      </c>
      <c r="J74" s="137">
        <f t="shared" si="138"/>
        <v>812937</v>
      </c>
      <c r="K74" s="137">
        <f t="shared" si="138"/>
        <v>793089</v>
      </c>
      <c r="L74" s="137">
        <f t="shared" ref="L74" si="139">SUM(L75:L79)</f>
        <v>800042</v>
      </c>
      <c r="M74" s="137">
        <f t="shared" ref="M74:V74" si="140">SUM(M75:M79)</f>
        <v>733926</v>
      </c>
      <c r="N74" s="137">
        <f t="shared" si="140"/>
        <v>676198</v>
      </c>
      <c r="O74" s="137">
        <f t="shared" si="140"/>
        <v>657050</v>
      </c>
      <c r="P74" s="137">
        <f t="shared" si="140"/>
        <v>633662</v>
      </c>
      <c r="Q74" s="137">
        <f t="shared" si="140"/>
        <v>675574</v>
      </c>
      <c r="R74" s="137">
        <f t="shared" si="140"/>
        <v>718524</v>
      </c>
      <c r="S74" s="137">
        <f t="shared" si="140"/>
        <v>638175</v>
      </c>
      <c r="T74" s="137">
        <f t="shared" si="140"/>
        <v>616273</v>
      </c>
      <c r="U74" s="137">
        <f t="shared" si="140"/>
        <v>601564</v>
      </c>
      <c r="V74" s="137">
        <f t="shared" si="140"/>
        <v>586858</v>
      </c>
      <c r="W74" s="137">
        <f t="shared" ref="W74:Y74" si="141">SUM(W75:W79)</f>
        <v>572149</v>
      </c>
      <c r="X74" s="137">
        <f t="shared" si="141"/>
        <v>583799</v>
      </c>
      <c r="Y74" s="137">
        <f t="shared" si="141"/>
        <v>595209</v>
      </c>
      <c r="DA74" s="174" t="s">
        <v>517</v>
      </c>
    </row>
    <row r="75" spans="1:105" ht="11.45" customHeight="1" x14ac:dyDescent="0.25">
      <c r="A75" s="111" t="s">
        <v>110</v>
      </c>
      <c r="B75" s="84">
        <v>626942</v>
      </c>
      <c r="C75" s="84">
        <v>637006</v>
      </c>
      <c r="D75" s="84">
        <v>644981</v>
      </c>
      <c r="E75" s="84">
        <v>636548</v>
      </c>
      <c r="F75" s="84">
        <v>614401</v>
      </c>
      <c r="G75" s="84">
        <v>592774</v>
      </c>
      <c r="H75" s="84">
        <v>571009</v>
      </c>
      <c r="I75" s="84">
        <v>588034</v>
      </c>
      <c r="J75" s="84">
        <v>607112</v>
      </c>
      <c r="K75" s="84">
        <v>555544</v>
      </c>
      <c r="L75" s="84">
        <v>525065</v>
      </c>
      <c r="M75" s="84">
        <v>464236</v>
      </c>
      <c r="N75" s="84">
        <v>419779</v>
      </c>
      <c r="O75" s="84">
        <v>375521</v>
      </c>
      <c r="P75" s="84">
        <v>349371</v>
      </c>
      <c r="Q75" s="84">
        <v>342531</v>
      </c>
      <c r="R75" s="84">
        <v>360247</v>
      </c>
      <c r="S75" s="84">
        <v>323508</v>
      </c>
      <c r="T75" s="84">
        <v>318454</v>
      </c>
      <c r="U75" s="84">
        <v>318644</v>
      </c>
      <c r="V75" s="84">
        <v>318837</v>
      </c>
      <c r="W75" s="84">
        <v>319027</v>
      </c>
      <c r="X75" s="84">
        <v>318988</v>
      </c>
      <c r="Y75" s="84">
        <v>319004</v>
      </c>
      <c r="DA75" s="171" t="s">
        <v>518</v>
      </c>
    </row>
    <row r="76" spans="1:105" ht="11.45" customHeight="1" x14ac:dyDescent="0.25">
      <c r="A76" s="111" t="s">
        <v>111</v>
      </c>
      <c r="B76" s="84">
        <v>89016</v>
      </c>
      <c r="C76" s="84">
        <v>100903</v>
      </c>
      <c r="D76" s="84">
        <v>110680</v>
      </c>
      <c r="E76" s="84">
        <v>134024</v>
      </c>
      <c r="F76" s="84">
        <v>144890</v>
      </c>
      <c r="G76" s="84">
        <v>153349</v>
      </c>
      <c r="H76" s="84">
        <v>179826</v>
      </c>
      <c r="I76" s="84">
        <v>204343</v>
      </c>
      <c r="J76" s="84">
        <v>205825</v>
      </c>
      <c r="K76" s="84">
        <v>237545</v>
      </c>
      <c r="L76" s="84">
        <v>274977</v>
      </c>
      <c r="M76" s="84">
        <v>269690</v>
      </c>
      <c r="N76" s="84">
        <v>256419</v>
      </c>
      <c r="O76" s="84">
        <v>281529</v>
      </c>
      <c r="P76" s="84">
        <v>284291</v>
      </c>
      <c r="Q76" s="84">
        <v>333043</v>
      </c>
      <c r="R76" s="84">
        <v>358277</v>
      </c>
      <c r="S76" s="84">
        <v>314667</v>
      </c>
      <c r="T76" s="84">
        <v>297819</v>
      </c>
      <c r="U76" s="84">
        <v>282920</v>
      </c>
      <c r="V76" s="84">
        <v>268021</v>
      </c>
      <c r="W76" s="84">
        <v>253122</v>
      </c>
      <c r="X76" s="84">
        <v>264811</v>
      </c>
      <c r="Y76" s="84">
        <v>276205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0</v>
      </c>
      <c r="U77" s="84">
        <v>0</v>
      </c>
      <c r="V77" s="84">
        <v>0</v>
      </c>
      <c r="W77" s="84">
        <v>0</v>
      </c>
      <c r="X77" s="84">
        <v>0</v>
      </c>
      <c r="Y77" s="84">
        <v>0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X78" s="84">
        <v>0</v>
      </c>
      <c r="Y78" s="84">
        <v>0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188977</v>
      </c>
      <c r="C80" s="110">
        <f t="shared" si="142"/>
        <v>194995</v>
      </c>
      <c r="D80" s="110">
        <f t="shared" si="142"/>
        <v>200127</v>
      </c>
      <c r="E80" s="110">
        <f t="shared" si="142"/>
        <v>199381</v>
      </c>
      <c r="F80" s="110">
        <f t="shared" si="142"/>
        <v>238216</v>
      </c>
      <c r="G80" s="110">
        <f t="shared" si="142"/>
        <v>209439</v>
      </c>
      <c r="H80" s="110">
        <f t="shared" si="142"/>
        <v>236079</v>
      </c>
      <c r="I80" s="110">
        <f t="shared" si="142"/>
        <v>231662</v>
      </c>
      <c r="J80" s="110">
        <f t="shared" si="142"/>
        <v>245316</v>
      </c>
      <c r="K80" s="110">
        <f t="shared" si="142"/>
        <v>228468</v>
      </c>
      <c r="L80" s="110">
        <f t="shared" ref="L80" si="143">SUM(L81:L82)</f>
        <v>211206</v>
      </c>
      <c r="M80" s="110">
        <f t="shared" ref="M80:V80" si="144">SUM(M81:M82)</f>
        <v>193413</v>
      </c>
      <c r="N80" s="110">
        <f t="shared" si="144"/>
        <v>175551</v>
      </c>
      <c r="O80" s="110">
        <f t="shared" si="144"/>
        <v>158620</v>
      </c>
      <c r="P80" s="110">
        <f t="shared" si="144"/>
        <v>142989</v>
      </c>
      <c r="Q80" s="110">
        <f t="shared" si="144"/>
        <v>128874</v>
      </c>
      <c r="R80" s="110">
        <f t="shared" si="144"/>
        <v>116217</v>
      </c>
      <c r="S80" s="110">
        <f t="shared" si="144"/>
        <v>104637</v>
      </c>
      <c r="T80" s="110">
        <f t="shared" si="144"/>
        <v>89342</v>
      </c>
      <c r="U80" s="110">
        <f t="shared" si="144"/>
        <v>82621</v>
      </c>
      <c r="V80" s="110">
        <f t="shared" si="144"/>
        <v>74982</v>
      </c>
      <c r="W80" s="110">
        <f t="shared" ref="W80:Y80" si="145">SUM(W81:W82)</f>
        <v>71046</v>
      </c>
      <c r="X80" s="110">
        <f t="shared" si="145"/>
        <v>63264</v>
      </c>
      <c r="Y80" s="110">
        <f t="shared" si="145"/>
        <v>56039</v>
      </c>
      <c r="DA80" s="176" t="s">
        <v>523</v>
      </c>
    </row>
    <row r="81" spans="1:105" ht="11.45" customHeight="1" x14ac:dyDescent="0.25">
      <c r="A81" s="128" t="s">
        <v>27</v>
      </c>
      <c r="B81" s="102">
        <v>187601</v>
      </c>
      <c r="C81" s="102">
        <v>193520</v>
      </c>
      <c r="D81" s="102">
        <v>198575</v>
      </c>
      <c r="E81" s="102">
        <v>197796</v>
      </c>
      <c r="F81" s="102">
        <v>236340</v>
      </c>
      <c r="G81" s="102">
        <v>207501</v>
      </c>
      <c r="H81" s="102">
        <v>233713</v>
      </c>
      <c r="I81" s="102">
        <v>229650</v>
      </c>
      <c r="J81" s="102">
        <v>243541</v>
      </c>
      <c r="K81" s="102">
        <v>226885</v>
      </c>
      <c r="L81" s="102">
        <v>209223</v>
      </c>
      <c r="M81" s="102">
        <v>191810</v>
      </c>
      <c r="N81" s="102">
        <v>173761</v>
      </c>
      <c r="O81" s="102">
        <v>156561</v>
      </c>
      <c r="P81" s="102">
        <v>140983</v>
      </c>
      <c r="Q81" s="102">
        <v>126665</v>
      </c>
      <c r="R81" s="102">
        <v>113839</v>
      </c>
      <c r="S81" s="102">
        <v>101480</v>
      </c>
      <c r="T81" s="102">
        <v>86366</v>
      </c>
      <c r="U81" s="102">
        <v>81260</v>
      </c>
      <c r="V81" s="102">
        <v>72990</v>
      </c>
      <c r="W81" s="102">
        <v>68338</v>
      </c>
      <c r="X81" s="102">
        <v>60427</v>
      </c>
      <c r="Y81" s="102">
        <v>53221</v>
      </c>
      <c r="DA81" s="175" t="s">
        <v>524</v>
      </c>
    </row>
    <row r="82" spans="1:105" ht="11.45" customHeight="1" x14ac:dyDescent="0.25">
      <c r="A82" s="138" t="s">
        <v>116</v>
      </c>
      <c r="B82" s="86">
        <v>1376</v>
      </c>
      <c r="C82" s="86">
        <v>1475</v>
      </c>
      <c r="D82" s="86">
        <v>1552</v>
      </c>
      <c r="E82" s="86">
        <v>1585</v>
      </c>
      <c r="F82" s="86">
        <v>1876</v>
      </c>
      <c r="G82" s="86">
        <v>1938</v>
      </c>
      <c r="H82" s="86">
        <v>2366</v>
      </c>
      <c r="I82" s="86">
        <v>2012</v>
      </c>
      <c r="J82" s="86">
        <v>1775</v>
      </c>
      <c r="K82" s="86">
        <v>1583</v>
      </c>
      <c r="L82" s="86">
        <v>1983</v>
      </c>
      <c r="M82" s="86">
        <v>1603</v>
      </c>
      <c r="N82" s="86">
        <v>1790</v>
      </c>
      <c r="O82" s="86">
        <v>2059</v>
      </c>
      <c r="P82" s="86">
        <v>2006</v>
      </c>
      <c r="Q82" s="86">
        <v>2209</v>
      </c>
      <c r="R82" s="86">
        <v>2378</v>
      </c>
      <c r="S82" s="86">
        <v>3157</v>
      </c>
      <c r="T82" s="86">
        <v>2976</v>
      </c>
      <c r="U82" s="86">
        <v>1361</v>
      </c>
      <c r="V82" s="86">
        <v>1992</v>
      </c>
      <c r="W82" s="86">
        <v>2708</v>
      </c>
      <c r="X82" s="86">
        <v>2837</v>
      </c>
      <c r="Y82" s="86">
        <v>2818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5268820</v>
      </c>
      <c r="C84" s="54">
        <f t="shared" si="146"/>
        <v>5579631</v>
      </c>
      <c r="D84" s="54">
        <f t="shared" ref="D84:V84" si="147">D85+D100</f>
        <v>5865430</v>
      </c>
      <c r="E84" s="54">
        <f t="shared" si="147"/>
        <v>6147878</v>
      </c>
      <c r="F84" s="54">
        <f t="shared" si="147"/>
        <v>6350636</v>
      </c>
      <c r="G84" s="54">
        <f t="shared" si="147"/>
        <v>6616258</v>
      </c>
      <c r="H84" s="54">
        <f t="shared" si="147"/>
        <v>6867302</v>
      </c>
      <c r="I84" s="54">
        <f t="shared" si="147"/>
        <v>7248728</v>
      </c>
      <c r="J84" s="54">
        <f t="shared" si="147"/>
        <v>7498359</v>
      </c>
      <c r="K84" s="54">
        <f t="shared" si="147"/>
        <v>7630060</v>
      </c>
      <c r="L84" s="54">
        <f t="shared" si="147"/>
        <v>7734931</v>
      </c>
      <c r="M84" s="54">
        <f t="shared" si="147"/>
        <v>7670161</v>
      </c>
      <c r="N84" s="54">
        <f t="shared" si="147"/>
        <v>7592902</v>
      </c>
      <c r="O84" s="54">
        <f t="shared" si="147"/>
        <v>7516508</v>
      </c>
      <c r="P84" s="54">
        <f t="shared" si="147"/>
        <v>7485588</v>
      </c>
      <c r="Q84" s="54">
        <f t="shared" si="147"/>
        <v>7553586</v>
      </c>
      <c r="R84" s="54">
        <f t="shared" si="147"/>
        <v>7675222</v>
      </c>
      <c r="S84" s="54">
        <f t="shared" si="147"/>
        <v>7662232</v>
      </c>
      <c r="T84" s="54">
        <f t="shared" si="147"/>
        <v>7598544</v>
      </c>
      <c r="U84" s="54">
        <f t="shared" si="147"/>
        <v>7727492</v>
      </c>
      <c r="V84" s="54">
        <f t="shared" si="147"/>
        <v>7818517</v>
      </c>
      <c r="W84" s="54">
        <f t="shared" ref="W84:Y84" si="148">W85+W100</f>
        <v>7950129</v>
      </c>
      <c r="X84" s="54">
        <f t="shared" si="148"/>
        <v>8114302</v>
      </c>
      <c r="Y84" s="54">
        <f t="shared" si="148"/>
        <v>8337852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4363885</v>
      </c>
      <c r="C85" s="28">
        <f t="shared" si="149"/>
        <v>4646727</v>
      </c>
      <c r="D85" s="28">
        <f t="shared" ref="D85:V85" si="150">D86+D87+D94</f>
        <v>4909642</v>
      </c>
      <c r="E85" s="28">
        <f t="shared" si="150"/>
        <v>5177925</v>
      </c>
      <c r="F85" s="28">
        <f t="shared" si="150"/>
        <v>5353129</v>
      </c>
      <c r="G85" s="28">
        <f t="shared" si="150"/>
        <v>5660696</v>
      </c>
      <c r="H85" s="28">
        <f t="shared" si="150"/>
        <v>5880388</v>
      </c>
      <c r="I85" s="28">
        <f t="shared" si="150"/>
        <v>6224689</v>
      </c>
      <c r="J85" s="28">
        <f t="shared" si="150"/>
        <v>6440106</v>
      </c>
      <c r="K85" s="28">
        <f t="shared" si="150"/>
        <v>6608503</v>
      </c>
      <c r="L85" s="28">
        <f t="shared" si="150"/>
        <v>6723683</v>
      </c>
      <c r="M85" s="28">
        <f t="shared" si="150"/>
        <v>6742822</v>
      </c>
      <c r="N85" s="28">
        <f t="shared" si="150"/>
        <v>6741153</v>
      </c>
      <c r="O85" s="28">
        <f t="shared" si="150"/>
        <v>6700838</v>
      </c>
      <c r="P85" s="28">
        <f t="shared" si="150"/>
        <v>6708937</v>
      </c>
      <c r="Q85" s="28">
        <f t="shared" si="150"/>
        <v>6749138</v>
      </c>
      <c r="R85" s="28">
        <f t="shared" si="150"/>
        <v>6840481</v>
      </c>
      <c r="S85" s="28">
        <f t="shared" si="150"/>
        <v>6919420</v>
      </c>
      <c r="T85" s="28">
        <f t="shared" si="150"/>
        <v>6892929</v>
      </c>
      <c r="U85" s="28">
        <f t="shared" si="150"/>
        <v>7043307</v>
      </c>
      <c r="V85" s="28">
        <f t="shared" si="150"/>
        <v>7156677</v>
      </c>
      <c r="W85" s="28">
        <f t="shared" ref="W85:Y85" si="151">W86+W87+W94</f>
        <v>7306934</v>
      </c>
      <c r="X85" s="28">
        <f t="shared" si="151"/>
        <v>7467239</v>
      </c>
      <c r="Y85" s="28">
        <f t="shared" si="151"/>
        <v>7686604</v>
      </c>
      <c r="DA85" s="173"/>
    </row>
    <row r="86" spans="1:105" ht="11.45" hidden="1" customHeight="1" x14ac:dyDescent="0.25">
      <c r="A86" s="136" t="s">
        <v>173</v>
      </c>
      <c r="B86" s="137">
        <v>781361</v>
      </c>
      <c r="C86" s="137">
        <v>853366</v>
      </c>
      <c r="D86" s="137">
        <v>910555</v>
      </c>
      <c r="E86" s="137">
        <v>969895</v>
      </c>
      <c r="F86" s="137">
        <v>1042605</v>
      </c>
      <c r="G86" s="137">
        <v>1124172</v>
      </c>
      <c r="H86" s="137">
        <v>1205816</v>
      </c>
      <c r="I86" s="137">
        <v>1298688</v>
      </c>
      <c r="J86" s="137">
        <v>1388607</v>
      </c>
      <c r="K86" s="137">
        <v>1448851</v>
      </c>
      <c r="L86" s="137">
        <v>1499133</v>
      </c>
      <c r="M86" s="137">
        <v>1534902</v>
      </c>
      <c r="N86" s="137">
        <v>1556435</v>
      </c>
      <c r="O86" s="137">
        <v>1568596</v>
      </c>
      <c r="P86" s="137">
        <v>1592929</v>
      </c>
      <c r="Q86" s="137">
        <v>1619621</v>
      </c>
      <c r="R86" s="137">
        <v>1653528</v>
      </c>
      <c r="S86" s="137">
        <v>1656657</v>
      </c>
      <c r="T86" s="137">
        <v>1583491</v>
      </c>
      <c r="U86" s="137">
        <v>1609923</v>
      </c>
      <c r="V86" s="137">
        <v>1637608</v>
      </c>
      <c r="W86" s="137">
        <v>1675804</v>
      </c>
      <c r="X86" s="137">
        <v>1714317</v>
      </c>
      <c r="Y86" s="137">
        <v>1782000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3555065</v>
      </c>
      <c r="C87" s="110">
        <f t="shared" si="152"/>
        <v>3765843</v>
      </c>
      <c r="D87" s="110">
        <f t="shared" ref="D87:V87" si="153">SUM(D88:D93)</f>
        <v>3971437</v>
      </c>
      <c r="E87" s="110">
        <f t="shared" si="153"/>
        <v>4180532</v>
      </c>
      <c r="F87" s="110">
        <f t="shared" si="153"/>
        <v>4283372</v>
      </c>
      <c r="G87" s="110">
        <f t="shared" si="153"/>
        <v>4509326</v>
      </c>
      <c r="H87" s="110">
        <f t="shared" si="153"/>
        <v>4647265</v>
      </c>
      <c r="I87" s="110">
        <f t="shared" si="153"/>
        <v>4898530</v>
      </c>
      <c r="J87" s="110">
        <f t="shared" si="153"/>
        <v>5023944</v>
      </c>
      <c r="K87" s="110">
        <f t="shared" si="153"/>
        <v>5131960</v>
      </c>
      <c r="L87" s="110">
        <f t="shared" si="153"/>
        <v>5196873</v>
      </c>
      <c r="M87" s="110">
        <f t="shared" si="153"/>
        <v>5180433</v>
      </c>
      <c r="N87" s="110">
        <f t="shared" si="153"/>
        <v>5157390</v>
      </c>
      <c r="O87" s="110">
        <f t="shared" si="153"/>
        <v>5105093</v>
      </c>
      <c r="P87" s="110">
        <f t="shared" si="153"/>
        <v>5088961</v>
      </c>
      <c r="Q87" s="110">
        <f t="shared" si="153"/>
        <v>5102575</v>
      </c>
      <c r="R87" s="110">
        <f t="shared" si="153"/>
        <v>5160056</v>
      </c>
      <c r="S87" s="110">
        <f t="shared" si="153"/>
        <v>5235928</v>
      </c>
      <c r="T87" s="110">
        <f t="shared" si="153"/>
        <v>5282695</v>
      </c>
      <c r="U87" s="110">
        <f t="shared" si="153"/>
        <v>5406551</v>
      </c>
      <c r="V87" s="110">
        <f t="shared" si="153"/>
        <v>5492176</v>
      </c>
      <c r="W87" s="110">
        <f t="shared" ref="W87:Y87" si="154">SUM(W88:W93)</f>
        <v>5604192</v>
      </c>
      <c r="X87" s="110">
        <f t="shared" si="154"/>
        <v>5726012</v>
      </c>
      <c r="Y87" s="110">
        <f t="shared" si="154"/>
        <v>5877759</v>
      </c>
      <c r="DA87" s="176"/>
    </row>
    <row r="88" spans="1:105" ht="11.45" hidden="1" customHeight="1" x14ac:dyDescent="0.25">
      <c r="A88" s="111" t="s">
        <v>110</v>
      </c>
      <c r="B88" s="84">
        <v>3437712</v>
      </c>
      <c r="C88" s="84">
        <v>3653075</v>
      </c>
      <c r="D88" s="84">
        <v>3859218</v>
      </c>
      <c r="E88" s="84">
        <v>4063433</v>
      </c>
      <c r="F88" s="84">
        <v>4178193</v>
      </c>
      <c r="G88" s="84">
        <v>4402095</v>
      </c>
      <c r="H88" s="84">
        <v>4529645</v>
      </c>
      <c r="I88" s="84">
        <v>4774152</v>
      </c>
      <c r="J88" s="84">
        <v>4901231</v>
      </c>
      <c r="K88" s="84">
        <v>4987108</v>
      </c>
      <c r="L88" s="84">
        <v>5033499</v>
      </c>
      <c r="M88" s="84">
        <v>4976132</v>
      </c>
      <c r="N88" s="84">
        <v>4981221</v>
      </c>
      <c r="O88" s="84">
        <v>4854223</v>
      </c>
      <c r="P88" s="84">
        <v>4768091</v>
      </c>
      <c r="Q88" s="84">
        <v>4758743</v>
      </c>
      <c r="R88" s="84">
        <v>4749369</v>
      </c>
      <c r="S88" s="84">
        <v>4785438</v>
      </c>
      <c r="T88" s="84">
        <v>4777454</v>
      </c>
      <c r="U88" s="84">
        <v>4838018</v>
      </c>
      <c r="V88" s="84">
        <v>4875129</v>
      </c>
      <c r="W88" s="84">
        <v>4974935</v>
      </c>
      <c r="X88" s="84">
        <v>5083242</v>
      </c>
      <c r="Y88" s="84">
        <v>5214723</v>
      </c>
      <c r="DA88" s="171"/>
    </row>
    <row r="89" spans="1:105" ht="11.45" hidden="1" customHeight="1" x14ac:dyDescent="0.25">
      <c r="A89" s="111" t="s">
        <v>111</v>
      </c>
      <c r="B89" s="84">
        <v>106853</v>
      </c>
      <c r="C89" s="84">
        <v>102368</v>
      </c>
      <c r="D89" s="84">
        <v>101882</v>
      </c>
      <c r="E89" s="84">
        <v>107397</v>
      </c>
      <c r="F89" s="84">
        <v>96144</v>
      </c>
      <c r="G89" s="84">
        <v>98124</v>
      </c>
      <c r="H89" s="84">
        <v>108335</v>
      </c>
      <c r="I89" s="84">
        <v>114198</v>
      </c>
      <c r="J89" s="84">
        <v>112326</v>
      </c>
      <c r="K89" s="84">
        <v>129911</v>
      </c>
      <c r="L89" s="84">
        <v>128461</v>
      </c>
      <c r="M89" s="84">
        <v>119803</v>
      </c>
      <c r="N89" s="84">
        <v>112106</v>
      </c>
      <c r="O89" s="84">
        <v>104563</v>
      </c>
      <c r="P89" s="84">
        <v>160840</v>
      </c>
      <c r="Q89" s="84">
        <v>156270</v>
      </c>
      <c r="R89" s="84">
        <v>195332</v>
      </c>
      <c r="S89" s="84">
        <v>234406</v>
      </c>
      <c r="T89" s="84">
        <v>288311</v>
      </c>
      <c r="U89" s="84">
        <v>348852</v>
      </c>
      <c r="V89" s="84">
        <v>422140</v>
      </c>
      <c r="W89" s="84">
        <v>424972</v>
      </c>
      <c r="X89" s="84">
        <v>427600</v>
      </c>
      <c r="Y89" s="84">
        <v>430695</v>
      </c>
      <c r="DA89" s="171"/>
    </row>
    <row r="90" spans="1:105" ht="11.45" hidden="1" customHeight="1" x14ac:dyDescent="0.25">
      <c r="A90" s="111" t="s">
        <v>112</v>
      </c>
      <c r="B90" s="84">
        <v>10500</v>
      </c>
      <c r="C90" s="84">
        <v>9740</v>
      </c>
      <c r="D90" s="84">
        <v>9263</v>
      </c>
      <c r="E90" s="84">
        <v>8513</v>
      </c>
      <c r="F90" s="84">
        <v>7846</v>
      </c>
      <c r="G90" s="84">
        <v>7779</v>
      </c>
      <c r="H90" s="84">
        <v>7883</v>
      </c>
      <c r="I90" s="84">
        <v>8565</v>
      </c>
      <c r="J90" s="84">
        <v>8784</v>
      </c>
      <c r="K90" s="84">
        <v>12767</v>
      </c>
      <c r="L90" s="84">
        <v>32340</v>
      </c>
      <c r="M90" s="84">
        <v>81770</v>
      </c>
      <c r="N90" s="84">
        <v>61379</v>
      </c>
      <c r="O90" s="84">
        <v>143786</v>
      </c>
      <c r="P90" s="84">
        <v>157464</v>
      </c>
      <c r="Q90" s="84">
        <v>184678</v>
      </c>
      <c r="R90" s="84">
        <v>212380</v>
      </c>
      <c r="S90" s="84">
        <v>212999</v>
      </c>
      <c r="T90" s="84">
        <v>213649</v>
      </c>
      <c r="U90" s="84">
        <v>215785</v>
      </c>
      <c r="V90" s="84">
        <v>187943</v>
      </c>
      <c r="W90" s="84">
        <v>189822</v>
      </c>
      <c r="X90" s="84">
        <v>191720</v>
      </c>
      <c r="Y90" s="84">
        <v>193637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660</v>
      </c>
      <c r="D91" s="84">
        <v>1074</v>
      </c>
      <c r="E91" s="84">
        <v>1189</v>
      </c>
      <c r="F91" s="84">
        <v>1189</v>
      </c>
      <c r="G91" s="84">
        <v>1328</v>
      </c>
      <c r="H91" s="84">
        <v>1402</v>
      </c>
      <c r="I91" s="84">
        <v>1615</v>
      </c>
      <c r="J91" s="84">
        <v>1603</v>
      </c>
      <c r="K91" s="84">
        <v>2174</v>
      </c>
      <c r="L91" s="84">
        <v>2573</v>
      </c>
      <c r="M91" s="84">
        <v>2728</v>
      </c>
      <c r="N91" s="84">
        <v>2682</v>
      </c>
      <c r="O91" s="84">
        <v>2517</v>
      </c>
      <c r="P91" s="84">
        <v>2500</v>
      </c>
      <c r="Q91" s="84">
        <v>2760</v>
      </c>
      <c r="R91" s="84">
        <v>2780</v>
      </c>
      <c r="S91" s="84">
        <v>2730</v>
      </c>
      <c r="T91" s="84">
        <v>2700</v>
      </c>
      <c r="U91" s="84">
        <v>2900</v>
      </c>
      <c r="V91" s="84">
        <v>3829</v>
      </c>
      <c r="W91" s="84">
        <v>4360</v>
      </c>
      <c r="X91" s="84">
        <v>4875</v>
      </c>
      <c r="Y91" s="84">
        <v>5746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1</v>
      </c>
      <c r="O92" s="84">
        <v>1</v>
      </c>
      <c r="P92" s="84">
        <v>21</v>
      </c>
      <c r="Q92" s="84">
        <v>40</v>
      </c>
      <c r="R92" s="84">
        <v>81</v>
      </c>
      <c r="S92" s="84">
        <v>207</v>
      </c>
      <c r="T92" s="84">
        <v>366</v>
      </c>
      <c r="U92" s="84">
        <v>570</v>
      </c>
      <c r="V92" s="84">
        <v>2031</v>
      </c>
      <c r="W92" s="84">
        <v>6823</v>
      </c>
      <c r="X92" s="84">
        <v>12269</v>
      </c>
      <c r="Y92" s="84">
        <v>20643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0</v>
      </c>
      <c r="L93" s="84">
        <v>0</v>
      </c>
      <c r="M93" s="84">
        <v>0</v>
      </c>
      <c r="N93" s="84">
        <v>1</v>
      </c>
      <c r="O93" s="84">
        <v>3</v>
      </c>
      <c r="P93" s="84">
        <v>45</v>
      </c>
      <c r="Q93" s="84">
        <v>84</v>
      </c>
      <c r="R93" s="84">
        <v>114</v>
      </c>
      <c r="S93" s="84">
        <v>148</v>
      </c>
      <c r="T93" s="84">
        <v>215</v>
      </c>
      <c r="U93" s="84">
        <v>426</v>
      </c>
      <c r="V93" s="84">
        <v>1104</v>
      </c>
      <c r="W93" s="84">
        <v>3280</v>
      </c>
      <c r="X93" s="84">
        <v>6306</v>
      </c>
      <c r="Y93" s="84">
        <v>12315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27459</v>
      </c>
      <c r="C94" s="110">
        <f t="shared" si="155"/>
        <v>27518</v>
      </c>
      <c r="D94" s="110">
        <f t="shared" ref="D94:V94" si="156">SUM(D95:D99)</f>
        <v>27650</v>
      </c>
      <c r="E94" s="110">
        <f t="shared" si="156"/>
        <v>27498</v>
      </c>
      <c r="F94" s="110">
        <f t="shared" si="156"/>
        <v>27152</v>
      </c>
      <c r="G94" s="110">
        <f t="shared" si="156"/>
        <v>27198</v>
      </c>
      <c r="H94" s="110">
        <f t="shared" si="156"/>
        <v>27307</v>
      </c>
      <c r="I94" s="110">
        <f t="shared" si="156"/>
        <v>27471</v>
      </c>
      <c r="J94" s="110">
        <f t="shared" si="156"/>
        <v>27555</v>
      </c>
      <c r="K94" s="110">
        <f t="shared" si="156"/>
        <v>27692</v>
      </c>
      <c r="L94" s="110">
        <f t="shared" si="156"/>
        <v>27677</v>
      </c>
      <c r="M94" s="110">
        <f t="shared" si="156"/>
        <v>27487</v>
      </c>
      <c r="N94" s="110">
        <f t="shared" si="156"/>
        <v>27328</v>
      </c>
      <c r="O94" s="110">
        <f t="shared" si="156"/>
        <v>27149</v>
      </c>
      <c r="P94" s="110">
        <f t="shared" si="156"/>
        <v>27047</v>
      </c>
      <c r="Q94" s="110">
        <f t="shared" si="156"/>
        <v>26942</v>
      </c>
      <c r="R94" s="110">
        <f t="shared" si="156"/>
        <v>26897</v>
      </c>
      <c r="S94" s="110">
        <f t="shared" si="156"/>
        <v>26835</v>
      </c>
      <c r="T94" s="110">
        <f t="shared" si="156"/>
        <v>26743</v>
      </c>
      <c r="U94" s="110">
        <f t="shared" si="156"/>
        <v>26833</v>
      </c>
      <c r="V94" s="110">
        <f t="shared" si="156"/>
        <v>26893</v>
      </c>
      <c r="W94" s="110">
        <f t="shared" ref="W94:Y94" si="157">SUM(W95:W99)</f>
        <v>26938</v>
      </c>
      <c r="X94" s="110">
        <f t="shared" si="157"/>
        <v>26910</v>
      </c>
      <c r="Y94" s="110">
        <f t="shared" si="157"/>
        <v>26845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X95" s="102">
        <v>0</v>
      </c>
      <c r="Y95" s="102">
        <v>0</v>
      </c>
      <c r="DA95" s="175"/>
    </row>
    <row r="96" spans="1:105" ht="11.45" hidden="1" customHeight="1" x14ac:dyDescent="0.25">
      <c r="A96" s="111" t="s">
        <v>111</v>
      </c>
      <c r="B96" s="102">
        <v>27459</v>
      </c>
      <c r="C96" s="102">
        <v>27208</v>
      </c>
      <c r="D96" s="102">
        <v>27176</v>
      </c>
      <c r="E96" s="102">
        <v>26982</v>
      </c>
      <c r="F96" s="102">
        <v>26641</v>
      </c>
      <c r="G96" s="102">
        <v>26656</v>
      </c>
      <c r="H96" s="102">
        <v>26747</v>
      </c>
      <c r="I96" s="102">
        <v>26817</v>
      </c>
      <c r="J96" s="102">
        <v>26870</v>
      </c>
      <c r="K96" s="102">
        <v>27030</v>
      </c>
      <c r="L96" s="102">
        <v>27042</v>
      </c>
      <c r="M96" s="102">
        <v>26873</v>
      </c>
      <c r="N96" s="102">
        <v>26718</v>
      </c>
      <c r="O96" s="102">
        <v>26210</v>
      </c>
      <c r="P96" s="102">
        <v>26108</v>
      </c>
      <c r="Q96" s="102">
        <v>25965</v>
      </c>
      <c r="R96" s="102">
        <v>25905</v>
      </c>
      <c r="S96" s="102">
        <v>25893</v>
      </c>
      <c r="T96" s="102">
        <v>25702</v>
      </c>
      <c r="U96" s="102">
        <v>25717</v>
      </c>
      <c r="V96" s="102">
        <v>25686</v>
      </c>
      <c r="W96" s="102">
        <v>25630</v>
      </c>
      <c r="X96" s="102">
        <v>25354</v>
      </c>
      <c r="Y96" s="102">
        <v>25224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X97" s="102">
        <v>0</v>
      </c>
      <c r="Y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310</v>
      </c>
      <c r="D98" s="102">
        <v>474</v>
      </c>
      <c r="E98" s="102">
        <v>516</v>
      </c>
      <c r="F98" s="102">
        <v>511</v>
      </c>
      <c r="G98" s="102">
        <v>542</v>
      </c>
      <c r="H98" s="102">
        <v>560</v>
      </c>
      <c r="I98" s="102">
        <v>654</v>
      </c>
      <c r="J98" s="102">
        <v>685</v>
      </c>
      <c r="K98" s="102">
        <v>662</v>
      </c>
      <c r="L98" s="102">
        <v>635</v>
      </c>
      <c r="M98" s="102">
        <v>614</v>
      </c>
      <c r="N98" s="102">
        <v>610</v>
      </c>
      <c r="O98" s="102">
        <v>573</v>
      </c>
      <c r="P98" s="102">
        <v>583</v>
      </c>
      <c r="Q98" s="102">
        <v>621</v>
      </c>
      <c r="R98" s="102">
        <v>637</v>
      </c>
      <c r="S98" s="102">
        <v>587</v>
      </c>
      <c r="T98" s="102">
        <v>686</v>
      </c>
      <c r="U98" s="102">
        <v>760</v>
      </c>
      <c r="V98" s="102">
        <v>852</v>
      </c>
      <c r="W98" s="102">
        <v>954</v>
      </c>
      <c r="X98" s="102">
        <v>1205</v>
      </c>
      <c r="Y98" s="102">
        <v>1404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366</v>
      </c>
      <c r="P99" s="102">
        <v>356</v>
      </c>
      <c r="Q99" s="102">
        <v>356</v>
      </c>
      <c r="R99" s="102">
        <v>355</v>
      </c>
      <c r="S99" s="102">
        <v>355</v>
      </c>
      <c r="T99" s="102">
        <v>355</v>
      </c>
      <c r="U99" s="102">
        <v>356</v>
      </c>
      <c r="V99" s="102">
        <v>355</v>
      </c>
      <c r="W99" s="102">
        <v>354</v>
      </c>
      <c r="X99" s="102">
        <v>351</v>
      </c>
      <c r="Y99" s="102">
        <v>217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904935</v>
      </c>
      <c r="C100" s="28">
        <f t="shared" si="158"/>
        <v>932904</v>
      </c>
      <c r="D100" s="28">
        <f t="shared" ref="D100:V100" si="159">D101+D107</f>
        <v>955788</v>
      </c>
      <c r="E100" s="28">
        <f t="shared" si="159"/>
        <v>969953</v>
      </c>
      <c r="F100" s="28">
        <f t="shared" si="159"/>
        <v>997507</v>
      </c>
      <c r="G100" s="28">
        <f t="shared" si="159"/>
        <v>955562</v>
      </c>
      <c r="H100" s="28">
        <f t="shared" si="159"/>
        <v>986914</v>
      </c>
      <c r="I100" s="28">
        <f t="shared" si="159"/>
        <v>1024039</v>
      </c>
      <c r="J100" s="28">
        <f t="shared" si="159"/>
        <v>1058253</v>
      </c>
      <c r="K100" s="28">
        <f t="shared" si="159"/>
        <v>1021557</v>
      </c>
      <c r="L100" s="28">
        <f t="shared" si="159"/>
        <v>1011248</v>
      </c>
      <c r="M100" s="28">
        <f t="shared" si="159"/>
        <v>927339</v>
      </c>
      <c r="N100" s="28">
        <f t="shared" si="159"/>
        <v>851749</v>
      </c>
      <c r="O100" s="28">
        <f t="shared" si="159"/>
        <v>815670</v>
      </c>
      <c r="P100" s="28">
        <f t="shared" si="159"/>
        <v>776651</v>
      </c>
      <c r="Q100" s="28">
        <f t="shared" si="159"/>
        <v>804448</v>
      </c>
      <c r="R100" s="28">
        <f t="shared" si="159"/>
        <v>834741</v>
      </c>
      <c r="S100" s="28">
        <f t="shared" si="159"/>
        <v>742812</v>
      </c>
      <c r="T100" s="28">
        <f t="shared" si="159"/>
        <v>705615</v>
      </c>
      <c r="U100" s="28">
        <f t="shared" si="159"/>
        <v>684185</v>
      </c>
      <c r="V100" s="28">
        <f t="shared" si="159"/>
        <v>661840</v>
      </c>
      <c r="W100" s="28">
        <f t="shared" ref="W100:Y100" si="160">W101+W107</f>
        <v>643195</v>
      </c>
      <c r="X100" s="28">
        <f t="shared" si="160"/>
        <v>647063</v>
      </c>
      <c r="Y100" s="28">
        <f t="shared" si="160"/>
        <v>651248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715958</v>
      </c>
      <c r="C101" s="137">
        <f t="shared" si="161"/>
        <v>737909</v>
      </c>
      <c r="D101" s="137">
        <f t="shared" ref="D101:V101" si="162">SUM(D102:D106)</f>
        <v>755661</v>
      </c>
      <c r="E101" s="137">
        <f t="shared" si="162"/>
        <v>770572</v>
      </c>
      <c r="F101" s="137">
        <f t="shared" si="162"/>
        <v>759291</v>
      </c>
      <c r="G101" s="137">
        <f t="shared" si="162"/>
        <v>746123</v>
      </c>
      <c r="H101" s="137">
        <f t="shared" si="162"/>
        <v>750835</v>
      </c>
      <c r="I101" s="137">
        <f t="shared" si="162"/>
        <v>792377</v>
      </c>
      <c r="J101" s="137">
        <f t="shared" si="162"/>
        <v>812937</v>
      </c>
      <c r="K101" s="137">
        <f t="shared" si="162"/>
        <v>793089</v>
      </c>
      <c r="L101" s="137">
        <f t="shared" si="162"/>
        <v>800042</v>
      </c>
      <c r="M101" s="137">
        <f t="shared" si="162"/>
        <v>733926</v>
      </c>
      <c r="N101" s="137">
        <f t="shared" si="162"/>
        <v>676198</v>
      </c>
      <c r="O101" s="137">
        <f t="shared" si="162"/>
        <v>657050</v>
      </c>
      <c r="P101" s="137">
        <f t="shared" si="162"/>
        <v>633662</v>
      </c>
      <c r="Q101" s="137">
        <f t="shared" si="162"/>
        <v>675574</v>
      </c>
      <c r="R101" s="137">
        <f t="shared" si="162"/>
        <v>718524</v>
      </c>
      <c r="S101" s="137">
        <f t="shared" si="162"/>
        <v>638175</v>
      </c>
      <c r="T101" s="137">
        <f t="shared" si="162"/>
        <v>616273</v>
      </c>
      <c r="U101" s="137">
        <f t="shared" si="162"/>
        <v>601564</v>
      </c>
      <c r="V101" s="137">
        <f t="shared" si="162"/>
        <v>586858</v>
      </c>
      <c r="W101" s="137">
        <f t="shared" ref="W101:Y101" si="163">SUM(W102:W106)</f>
        <v>572149</v>
      </c>
      <c r="X101" s="137">
        <f t="shared" si="163"/>
        <v>583799</v>
      </c>
      <c r="Y101" s="137">
        <f t="shared" si="163"/>
        <v>595209</v>
      </c>
      <c r="DA101" s="174"/>
    </row>
    <row r="102" spans="1:105" ht="11.45" hidden="1" customHeight="1" x14ac:dyDescent="0.25">
      <c r="A102" s="111" t="s">
        <v>110</v>
      </c>
      <c r="B102" s="84">
        <v>626942</v>
      </c>
      <c r="C102" s="84">
        <v>637006</v>
      </c>
      <c r="D102" s="84">
        <v>644981</v>
      </c>
      <c r="E102" s="84">
        <v>636548</v>
      </c>
      <c r="F102" s="84">
        <v>614401</v>
      </c>
      <c r="G102" s="84">
        <v>592774</v>
      </c>
      <c r="H102" s="84">
        <v>571009</v>
      </c>
      <c r="I102" s="84">
        <v>588034</v>
      </c>
      <c r="J102" s="84">
        <v>607112</v>
      </c>
      <c r="K102" s="84">
        <v>555544</v>
      </c>
      <c r="L102" s="84">
        <v>525065</v>
      </c>
      <c r="M102" s="84">
        <v>464236</v>
      </c>
      <c r="N102" s="84">
        <v>419779</v>
      </c>
      <c r="O102" s="84">
        <v>375521</v>
      </c>
      <c r="P102" s="84">
        <v>349371</v>
      </c>
      <c r="Q102" s="84">
        <v>342531</v>
      </c>
      <c r="R102" s="84">
        <v>360247</v>
      </c>
      <c r="S102" s="84">
        <v>323508</v>
      </c>
      <c r="T102" s="84">
        <v>318454</v>
      </c>
      <c r="U102" s="84">
        <v>318644</v>
      </c>
      <c r="V102" s="84">
        <v>318837</v>
      </c>
      <c r="W102" s="84">
        <v>319027</v>
      </c>
      <c r="X102" s="84">
        <v>318988</v>
      </c>
      <c r="Y102" s="84">
        <v>319004</v>
      </c>
      <c r="DA102" s="171"/>
    </row>
    <row r="103" spans="1:105" ht="11.45" hidden="1" customHeight="1" x14ac:dyDescent="0.25">
      <c r="A103" s="111" t="s">
        <v>111</v>
      </c>
      <c r="B103" s="84">
        <v>89016</v>
      </c>
      <c r="C103" s="84">
        <v>100903</v>
      </c>
      <c r="D103" s="84">
        <v>110680</v>
      </c>
      <c r="E103" s="84">
        <v>134024</v>
      </c>
      <c r="F103" s="84">
        <v>144890</v>
      </c>
      <c r="G103" s="84">
        <v>153349</v>
      </c>
      <c r="H103" s="84">
        <v>179826</v>
      </c>
      <c r="I103" s="84">
        <v>204343</v>
      </c>
      <c r="J103" s="84">
        <v>205825</v>
      </c>
      <c r="K103" s="84">
        <v>237545</v>
      </c>
      <c r="L103" s="84">
        <v>274977</v>
      </c>
      <c r="M103" s="84">
        <v>269690</v>
      </c>
      <c r="N103" s="84">
        <v>256419</v>
      </c>
      <c r="O103" s="84">
        <v>281529</v>
      </c>
      <c r="P103" s="84">
        <v>284291</v>
      </c>
      <c r="Q103" s="84">
        <v>333043</v>
      </c>
      <c r="R103" s="84">
        <v>358277</v>
      </c>
      <c r="S103" s="84">
        <v>314667</v>
      </c>
      <c r="T103" s="84">
        <v>297819</v>
      </c>
      <c r="U103" s="84">
        <v>282920</v>
      </c>
      <c r="V103" s="84">
        <v>268021</v>
      </c>
      <c r="W103" s="84">
        <v>253122</v>
      </c>
      <c r="X103" s="84">
        <v>264811</v>
      </c>
      <c r="Y103" s="84">
        <v>276205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0</v>
      </c>
      <c r="P104" s="84">
        <v>0</v>
      </c>
      <c r="Q104" s="84">
        <v>0</v>
      </c>
      <c r="R104" s="84">
        <v>0</v>
      </c>
      <c r="S104" s="84">
        <v>0</v>
      </c>
      <c r="T104" s="84">
        <v>0</v>
      </c>
      <c r="U104" s="84">
        <v>0</v>
      </c>
      <c r="V104" s="84">
        <v>0</v>
      </c>
      <c r="W104" s="84">
        <v>0</v>
      </c>
      <c r="X104" s="84">
        <v>0</v>
      </c>
      <c r="Y104" s="84">
        <v>0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X105" s="84">
        <v>0</v>
      </c>
      <c r="Y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0</v>
      </c>
      <c r="N106" s="84">
        <v>0</v>
      </c>
      <c r="O106" s="84">
        <v>0</v>
      </c>
      <c r="P106" s="84">
        <v>0</v>
      </c>
      <c r="Q106" s="84">
        <v>0</v>
      </c>
      <c r="R106" s="84">
        <v>0</v>
      </c>
      <c r="S106" s="84">
        <v>0</v>
      </c>
      <c r="T106" s="84">
        <v>0</v>
      </c>
      <c r="U106" s="84">
        <v>0</v>
      </c>
      <c r="V106" s="84">
        <v>0</v>
      </c>
      <c r="W106" s="84">
        <v>0</v>
      </c>
      <c r="X106" s="84">
        <v>0</v>
      </c>
      <c r="Y106" s="84">
        <v>0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188977</v>
      </c>
      <c r="C107" s="110">
        <f t="shared" si="164"/>
        <v>194995</v>
      </c>
      <c r="D107" s="110">
        <f t="shared" ref="D107:V107" si="165">SUM(D108:D109)</f>
        <v>200127</v>
      </c>
      <c r="E107" s="110">
        <f t="shared" si="165"/>
        <v>199381</v>
      </c>
      <c r="F107" s="110">
        <f t="shared" si="165"/>
        <v>238216</v>
      </c>
      <c r="G107" s="110">
        <f t="shared" si="165"/>
        <v>209439</v>
      </c>
      <c r="H107" s="110">
        <f t="shared" si="165"/>
        <v>236079</v>
      </c>
      <c r="I107" s="110">
        <f t="shared" si="165"/>
        <v>231662</v>
      </c>
      <c r="J107" s="110">
        <f t="shared" si="165"/>
        <v>245316</v>
      </c>
      <c r="K107" s="110">
        <f t="shared" si="165"/>
        <v>228468</v>
      </c>
      <c r="L107" s="110">
        <f t="shared" si="165"/>
        <v>211206</v>
      </c>
      <c r="M107" s="110">
        <f t="shared" si="165"/>
        <v>193413</v>
      </c>
      <c r="N107" s="110">
        <f t="shared" si="165"/>
        <v>175551</v>
      </c>
      <c r="O107" s="110">
        <f t="shared" si="165"/>
        <v>158620</v>
      </c>
      <c r="P107" s="110">
        <f t="shared" si="165"/>
        <v>142989</v>
      </c>
      <c r="Q107" s="110">
        <f t="shared" si="165"/>
        <v>128874</v>
      </c>
      <c r="R107" s="110">
        <f t="shared" si="165"/>
        <v>116217</v>
      </c>
      <c r="S107" s="110">
        <f t="shared" si="165"/>
        <v>104637</v>
      </c>
      <c r="T107" s="110">
        <f t="shared" si="165"/>
        <v>89342</v>
      </c>
      <c r="U107" s="110">
        <f t="shared" si="165"/>
        <v>82621</v>
      </c>
      <c r="V107" s="110">
        <f t="shared" si="165"/>
        <v>74982</v>
      </c>
      <c r="W107" s="110">
        <f t="shared" ref="W107:Y107" si="166">SUM(W108:W109)</f>
        <v>71046</v>
      </c>
      <c r="X107" s="110">
        <f t="shared" si="166"/>
        <v>63264</v>
      </c>
      <c r="Y107" s="110">
        <f t="shared" si="166"/>
        <v>56039</v>
      </c>
      <c r="DA107" s="176"/>
    </row>
    <row r="108" spans="1:105" ht="11.45" hidden="1" customHeight="1" x14ac:dyDescent="0.25">
      <c r="A108" s="128" t="s">
        <v>27</v>
      </c>
      <c r="B108" s="102">
        <v>187601</v>
      </c>
      <c r="C108" s="102">
        <v>193520</v>
      </c>
      <c r="D108" s="102">
        <v>198575</v>
      </c>
      <c r="E108" s="102">
        <v>197796</v>
      </c>
      <c r="F108" s="102">
        <v>236340</v>
      </c>
      <c r="G108" s="102">
        <v>207501</v>
      </c>
      <c r="H108" s="102">
        <v>233713</v>
      </c>
      <c r="I108" s="102">
        <v>229650</v>
      </c>
      <c r="J108" s="102">
        <v>243541</v>
      </c>
      <c r="K108" s="102">
        <v>226885</v>
      </c>
      <c r="L108" s="102">
        <v>209223</v>
      </c>
      <c r="M108" s="102">
        <v>191810</v>
      </c>
      <c r="N108" s="102">
        <v>173761</v>
      </c>
      <c r="O108" s="102">
        <v>156561</v>
      </c>
      <c r="P108" s="102">
        <v>140983</v>
      </c>
      <c r="Q108" s="102">
        <v>126665</v>
      </c>
      <c r="R108" s="102">
        <v>113839</v>
      </c>
      <c r="S108" s="102">
        <v>101480</v>
      </c>
      <c r="T108" s="102">
        <v>86366</v>
      </c>
      <c r="U108" s="102">
        <v>81260</v>
      </c>
      <c r="V108" s="102">
        <v>72990</v>
      </c>
      <c r="W108" s="102">
        <v>68338</v>
      </c>
      <c r="X108" s="102">
        <v>60427</v>
      </c>
      <c r="Y108" s="102">
        <v>53221</v>
      </c>
      <c r="DA108" s="175"/>
    </row>
    <row r="109" spans="1:105" ht="11.45" hidden="1" customHeight="1" x14ac:dyDescent="0.25">
      <c r="A109" s="138" t="s">
        <v>116</v>
      </c>
      <c r="B109" s="86">
        <v>1376</v>
      </c>
      <c r="C109" s="86">
        <v>1475</v>
      </c>
      <c r="D109" s="86">
        <v>1552</v>
      </c>
      <c r="E109" s="86">
        <v>1585</v>
      </c>
      <c r="F109" s="86">
        <v>1876</v>
      </c>
      <c r="G109" s="86">
        <v>1938</v>
      </c>
      <c r="H109" s="86">
        <v>2366</v>
      </c>
      <c r="I109" s="86">
        <v>2012</v>
      </c>
      <c r="J109" s="86">
        <v>1775</v>
      </c>
      <c r="K109" s="86">
        <v>1583</v>
      </c>
      <c r="L109" s="86">
        <v>1983</v>
      </c>
      <c r="M109" s="86">
        <v>1603</v>
      </c>
      <c r="N109" s="86">
        <v>1790</v>
      </c>
      <c r="O109" s="86">
        <v>2059</v>
      </c>
      <c r="P109" s="86">
        <v>2006</v>
      </c>
      <c r="Q109" s="86">
        <v>2209</v>
      </c>
      <c r="R109" s="86">
        <v>2378</v>
      </c>
      <c r="S109" s="86">
        <v>3157</v>
      </c>
      <c r="T109" s="86">
        <v>2976</v>
      </c>
      <c r="U109" s="86">
        <v>1361</v>
      </c>
      <c r="V109" s="86">
        <v>1992</v>
      </c>
      <c r="W109" s="86">
        <v>2708</v>
      </c>
      <c r="X109" s="86">
        <v>2837</v>
      </c>
      <c r="Y109" s="86">
        <v>2818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394315</v>
      </c>
      <c r="C111" s="54">
        <f t="shared" si="167"/>
        <v>614037</v>
      </c>
      <c r="D111" s="54">
        <f t="shared" si="167"/>
        <v>517561</v>
      </c>
      <c r="E111" s="54">
        <f t="shared" si="167"/>
        <v>540722</v>
      </c>
      <c r="F111" s="54">
        <f t="shared" si="167"/>
        <v>501660</v>
      </c>
      <c r="G111" s="54">
        <f t="shared" si="167"/>
        <v>600661</v>
      </c>
      <c r="H111" s="54">
        <f t="shared" si="167"/>
        <v>586535</v>
      </c>
      <c r="I111" s="54">
        <f t="shared" si="167"/>
        <v>753597</v>
      </c>
      <c r="J111" s="54">
        <f t="shared" si="167"/>
        <v>644947</v>
      </c>
      <c r="K111" s="54">
        <f t="shared" si="167"/>
        <v>538194</v>
      </c>
      <c r="L111" s="54">
        <f t="shared" ref="L111" si="168">L112+L127</f>
        <v>524232</v>
      </c>
      <c r="M111" s="54">
        <f t="shared" ref="M111:V111" si="169">M112+M127</f>
        <v>371411</v>
      </c>
      <c r="N111" s="54">
        <f t="shared" si="169"/>
        <v>369295</v>
      </c>
      <c r="O111" s="54">
        <f t="shared" si="169"/>
        <v>354848</v>
      </c>
      <c r="P111" s="54">
        <f t="shared" si="169"/>
        <v>412315</v>
      </c>
      <c r="Q111" s="54">
        <f t="shared" si="169"/>
        <v>515361</v>
      </c>
      <c r="R111" s="54">
        <f t="shared" si="169"/>
        <v>446626</v>
      </c>
      <c r="S111" s="54">
        <f t="shared" si="169"/>
        <v>344552</v>
      </c>
      <c r="T111" s="54">
        <f t="shared" si="169"/>
        <v>363999</v>
      </c>
      <c r="U111" s="54">
        <f t="shared" si="169"/>
        <v>485080</v>
      </c>
      <c r="V111" s="54">
        <f t="shared" si="169"/>
        <v>484187</v>
      </c>
      <c r="W111" s="54">
        <f t="shared" ref="W111:Y111" si="170">W112+W127</f>
        <v>643358</v>
      </c>
      <c r="X111" s="54">
        <f t="shared" si="170"/>
        <v>651678</v>
      </c>
      <c r="Y111" s="54">
        <f t="shared" si="170"/>
        <v>742621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394177</v>
      </c>
      <c r="C112" s="28">
        <f t="shared" si="171"/>
        <v>536588</v>
      </c>
      <c r="D112" s="28">
        <f t="shared" si="171"/>
        <v>438179</v>
      </c>
      <c r="E112" s="28">
        <f t="shared" si="171"/>
        <v>465927</v>
      </c>
      <c r="F112" s="28">
        <f t="shared" si="171"/>
        <v>405043</v>
      </c>
      <c r="G112" s="28">
        <f t="shared" si="171"/>
        <v>550148</v>
      </c>
      <c r="H112" s="28">
        <f t="shared" si="171"/>
        <v>489198</v>
      </c>
      <c r="I112" s="28">
        <f t="shared" si="171"/>
        <v>638985</v>
      </c>
      <c r="J112" s="28">
        <f t="shared" si="171"/>
        <v>528575</v>
      </c>
      <c r="K112" s="28">
        <f t="shared" si="171"/>
        <v>488194</v>
      </c>
      <c r="L112" s="28">
        <f t="shared" ref="L112" si="172">L113+L114+L121</f>
        <v>447337</v>
      </c>
      <c r="M112" s="28">
        <f t="shared" ref="M112:V112" si="173">M113+M114+M121</f>
        <v>360867</v>
      </c>
      <c r="N112" s="28">
        <f t="shared" si="173"/>
        <v>364721</v>
      </c>
      <c r="O112" s="28">
        <f t="shared" si="173"/>
        <v>312043</v>
      </c>
      <c r="P112" s="28">
        <f t="shared" si="173"/>
        <v>373200</v>
      </c>
      <c r="Q112" s="28">
        <f t="shared" si="173"/>
        <v>411655</v>
      </c>
      <c r="R112" s="28">
        <f t="shared" si="173"/>
        <v>343708</v>
      </c>
      <c r="S112" s="28">
        <f t="shared" si="173"/>
        <v>334722</v>
      </c>
      <c r="T112" s="28">
        <f t="shared" si="173"/>
        <v>328426</v>
      </c>
      <c r="U112" s="28">
        <f t="shared" si="173"/>
        <v>443712</v>
      </c>
      <c r="V112" s="28">
        <f t="shared" si="173"/>
        <v>447076</v>
      </c>
      <c r="W112" s="28">
        <f t="shared" ref="W112:Y112" si="174">W113+W114+W121</f>
        <v>602916</v>
      </c>
      <c r="X112" s="28">
        <f t="shared" si="174"/>
        <v>607763</v>
      </c>
      <c r="Y112" s="28">
        <f t="shared" si="174"/>
        <v>675293</v>
      </c>
      <c r="DA112" s="173" t="s">
        <v>527</v>
      </c>
    </row>
    <row r="113" spans="1:105" ht="11.45" customHeight="1" x14ac:dyDescent="0.25">
      <c r="A113" s="136" t="s">
        <v>173</v>
      </c>
      <c r="B113" s="137">
        <v>89659</v>
      </c>
      <c r="C113" s="137">
        <v>117215</v>
      </c>
      <c r="D113" s="137">
        <v>97985</v>
      </c>
      <c r="E113" s="137">
        <v>102197</v>
      </c>
      <c r="F113" s="137">
        <v>122161</v>
      </c>
      <c r="G113" s="137">
        <v>136088</v>
      </c>
      <c r="H113" s="137">
        <v>137910</v>
      </c>
      <c r="I113" s="137">
        <v>155343</v>
      </c>
      <c r="J113" s="137">
        <v>153159</v>
      </c>
      <c r="K113" s="137">
        <v>113502</v>
      </c>
      <c r="L113" s="137">
        <v>100821</v>
      </c>
      <c r="M113" s="137">
        <v>81558</v>
      </c>
      <c r="N113" s="137">
        <v>62380</v>
      </c>
      <c r="O113" s="137">
        <v>49711</v>
      </c>
      <c r="P113" s="137">
        <v>67007</v>
      </c>
      <c r="Q113" s="137">
        <v>70820</v>
      </c>
      <c r="R113" s="137">
        <v>81481</v>
      </c>
      <c r="S113" s="137">
        <v>40393</v>
      </c>
      <c r="T113" s="137">
        <v>46728</v>
      </c>
      <c r="U113" s="137">
        <v>70258</v>
      </c>
      <c r="V113" s="137">
        <v>72568</v>
      </c>
      <c r="W113" s="137">
        <v>87864</v>
      </c>
      <c r="X113" s="137">
        <v>89110</v>
      </c>
      <c r="Y113" s="137">
        <v>130757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302605</v>
      </c>
      <c r="C114" s="110">
        <f t="shared" si="175"/>
        <v>417069</v>
      </c>
      <c r="D114" s="110">
        <f t="shared" si="175"/>
        <v>337740</v>
      </c>
      <c r="E114" s="110">
        <f t="shared" si="175"/>
        <v>361325</v>
      </c>
      <c r="F114" s="110">
        <f t="shared" si="175"/>
        <v>281026</v>
      </c>
      <c r="G114" s="110">
        <f t="shared" si="175"/>
        <v>411633</v>
      </c>
      <c r="H114" s="110">
        <f t="shared" si="175"/>
        <v>348835</v>
      </c>
      <c r="I114" s="110">
        <f t="shared" si="175"/>
        <v>481191</v>
      </c>
      <c r="J114" s="110">
        <f t="shared" si="175"/>
        <v>373118</v>
      </c>
      <c r="K114" s="110">
        <f t="shared" si="175"/>
        <v>372422</v>
      </c>
      <c r="L114" s="110">
        <f t="shared" ref="L114" si="176">SUM(L115:L120)</f>
        <v>344483</v>
      </c>
      <c r="M114" s="110">
        <f t="shared" ref="M114:V114" si="177">SUM(M115:M120)</f>
        <v>277532</v>
      </c>
      <c r="N114" s="110">
        <f t="shared" si="177"/>
        <v>300606</v>
      </c>
      <c r="O114" s="110">
        <f t="shared" si="177"/>
        <v>260676</v>
      </c>
      <c r="P114" s="110">
        <f t="shared" si="177"/>
        <v>304496</v>
      </c>
      <c r="Q114" s="110">
        <f t="shared" si="177"/>
        <v>339178</v>
      </c>
      <c r="R114" s="110">
        <f t="shared" si="177"/>
        <v>260881</v>
      </c>
      <c r="S114" s="110">
        <f t="shared" si="177"/>
        <v>292889</v>
      </c>
      <c r="T114" s="110">
        <f t="shared" si="177"/>
        <v>280206</v>
      </c>
      <c r="U114" s="110">
        <f t="shared" si="177"/>
        <v>371699</v>
      </c>
      <c r="V114" s="110">
        <f t="shared" si="177"/>
        <v>372719</v>
      </c>
      <c r="W114" s="110">
        <f t="shared" ref="W114:Y114" si="178">SUM(W115:W120)</f>
        <v>513230</v>
      </c>
      <c r="X114" s="110">
        <f t="shared" si="178"/>
        <v>516511</v>
      </c>
      <c r="Y114" s="110">
        <f t="shared" si="178"/>
        <v>542376</v>
      </c>
      <c r="DA114" s="176" t="s">
        <v>529</v>
      </c>
    </row>
    <row r="115" spans="1:105" ht="11.45" customHeight="1" x14ac:dyDescent="0.25">
      <c r="A115" s="111" t="s">
        <v>110</v>
      </c>
      <c r="B115" s="84">
        <v>300456</v>
      </c>
      <c r="C115" s="84">
        <v>415608</v>
      </c>
      <c r="D115" s="84">
        <v>333584</v>
      </c>
      <c r="E115" s="84">
        <v>350929</v>
      </c>
      <c r="F115" s="84">
        <v>281015</v>
      </c>
      <c r="G115" s="84">
        <v>409497</v>
      </c>
      <c r="H115" s="84">
        <v>332050</v>
      </c>
      <c r="I115" s="84">
        <v>467255</v>
      </c>
      <c r="J115" s="84">
        <v>367233</v>
      </c>
      <c r="K115" s="84">
        <v>342420</v>
      </c>
      <c r="L115" s="84">
        <v>317810</v>
      </c>
      <c r="M115" s="84">
        <v>227147</v>
      </c>
      <c r="N115" s="84">
        <v>300568</v>
      </c>
      <c r="O115" s="84">
        <v>177253</v>
      </c>
      <c r="P115" s="84">
        <v>224649</v>
      </c>
      <c r="Q115" s="84">
        <v>305677</v>
      </c>
      <c r="R115" s="84">
        <v>185763</v>
      </c>
      <c r="S115" s="84">
        <v>247505</v>
      </c>
      <c r="T115" s="84">
        <v>218265</v>
      </c>
      <c r="U115" s="84">
        <v>299960</v>
      </c>
      <c r="V115" s="84">
        <v>287907</v>
      </c>
      <c r="W115" s="84">
        <v>482612</v>
      </c>
      <c r="X115" s="84">
        <v>485262</v>
      </c>
      <c r="Y115" s="84">
        <v>500719</v>
      </c>
      <c r="DA115" s="171" t="s">
        <v>530</v>
      </c>
    </row>
    <row r="116" spans="1:105" ht="11.45" customHeight="1" x14ac:dyDescent="0.25">
      <c r="A116" s="111" t="s">
        <v>111</v>
      </c>
      <c r="B116" s="84">
        <v>2149</v>
      </c>
      <c r="C116" s="84">
        <v>801</v>
      </c>
      <c r="D116" s="84">
        <v>3741</v>
      </c>
      <c r="E116" s="84">
        <v>10275</v>
      </c>
      <c r="F116" s="84">
        <v>0</v>
      </c>
      <c r="G116" s="84">
        <v>1980</v>
      </c>
      <c r="H116" s="84">
        <v>16155</v>
      </c>
      <c r="I116" s="84">
        <v>12399</v>
      </c>
      <c r="J116" s="84">
        <v>5008</v>
      </c>
      <c r="K116" s="84">
        <v>24754</v>
      </c>
      <c r="L116" s="84">
        <v>5979</v>
      </c>
      <c r="M116" s="84">
        <v>0</v>
      </c>
      <c r="N116" s="84">
        <v>0</v>
      </c>
      <c r="O116" s="84">
        <v>0</v>
      </c>
      <c r="P116" s="84">
        <v>63578</v>
      </c>
      <c r="Q116" s="84">
        <v>3323</v>
      </c>
      <c r="R116" s="84">
        <v>42973</v>
      </c>
      <c r="S116" s="84">
        <v>43668</v>
      </c>
      <c r="T116" s="84">
        <v>59414</v>
      </c>
      <c r="U116" s="84">
        <v>67144</v>
      </c>
      <c r="V116" s="84">
        <v>81245</v>
      </c>
      <c r="W116" s="84">
        <v>20276</v>
      </c>
      <c r="X116" s="84">
        <v>19999</v>
      </c>
      <c r="Y116" s="84">
        <v>21474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532</v>
      </c>
      <c r="I117" s="84">
        <v>1294</v>
      </c>
      <c r="J117" s="84">
        <v>850</v>
      </c>
      <c r="K117" s="84">
        <v>4630</v>
      </c>
      <c r="L117" s="84">
        <v>20238</v>
      </c>
      <c r="M117" s="84">
        <v>50161</v>
      </c>
      <c r="N117" s="84">
        <v>0</v>
      </c>
      <c r="O117" s="84">
        <v>83419</v>
      </c>
      <c r="P117" s="84">
        <v>16186</v>
      </c>
      <c r="Q117" s="84">
        <v>29722</v>
      </c>
      <c r="R117" s="84">
        <v>31873</v>
      </c>
      <c r="S117" s="84">
        <v>1428</v>
      </c>
      <c r="T117" s="84">
        <v>2136</v>
      </c>
      <c r="U117" s="84">
        <v>3730</v>
      </c>
      <c r="V117" s="84">
        <v>71</v>
      </c>
      <c r="W117" s="84">
        <v>1986</v>
      </c>
      <c r="X117" s="84">
        <v>2085</v>
      </c>
      <c r="Y117" s="84">
        <v>3936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660</v>
      </c>
      <c r="D118" s="84">
        <v>415</v>
      </c>
      <c r="E118" s="84">
        <v>121</v>
      </c>
      <c r="F118" s="84">
        <v>11</v>
      </c>
      <c r="G118" s="84">
        <v>156</v>
      </c>
      <c r="H118" s="84">
        <v>98</v>
      </c>
      <c r="I118" s="84">
        <v>243</v>
      </c>
      <c r="J118" s="84">
        <v>27</v>
      </c>
      <c r="K118" s="84">
        <v>618</v>
      </c>
      <c r="L118" s="84">
        <v>456</v>
      </c>
      <c r="M118" s="84">
        <v>224</v>
      </c>
      <c r="N118" s="84">
        <v>36</v>
      </c>
      <c r="O118" s="84">
        <v>0</v>
      </c>
      <c r="P118" s="84">
        <v>20</v>
      </c>
      <c r="Q118" s="84">
        <v>378</v>
      </c>
      <c r="R118" s="84">
        <v>150</v>
      </c>
      <c r="S118" s="84">
        <v>90</v>
      </c>
      <c r="T118" s="84">
        <v>120</v>
      </c>
      <c r="U118" s="84">
        <v>359</v>
      </c>
      <c r="V118" s="84">
        <v>1354</v>
      </c>
      <c r="W118" s="84">
        <v>1349</v>
      </c>
      <c r="X118" s="84">
        <v>679</v>
      </c>
      <c r="Y118" s="84">
        <v>1016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1</v>
      </c>
      <c r="O119" s="84">
        <v>1</v>
      </c>
      <c r="P119" s="84">
        <v>21</v>
      </c>
      <c r="Q119" s="84">
        <v>39</v>
      </c>
      <c r="R119" s="84">
        <v>81</v>
      </c>
      <c r="S119" s="84">
        <v>155</v>
      </c>
      <c r="T119" s="84">
        <v>194</v>
      </c>
      <c r="U119" s="84">
        <v>294</v>
      </c>
      <c r="V119" s="84">
        <v>1463</v>
      </c>
      <c r="W119" s="84">
        <v>4811</v>
      </c>
      <c r="X119" s="84">
        <v>5455</v>
      </c>
      <c r="Y119" s="84">
        <v>8754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0</v>
      </c>
      <c r="L120" s="84">
        <v>0</v>
      </c>
      <c r="M120" s="84">
        <v>0</v>
      </c>
      <c r="N120" s="84">
        <v>1</v>
      </c>
      <c r="O120" s="84">
        <v>3</v>
      </c>
      <c r="P120" s="84">
        <v>42</v>
      </c>
      <c r="Q120" s="84">
        <v>39</v>
      </c>
      <c r="R120" s="84">
        <v>41</v>
      </c>
      <c r="S120" s="84">
        <v>43</v>
      </c>
      <c r="T120" s="84">
        <v>77</v>
      </c>
      <c r="U120" s="84">
        <v>212</v>
      </c>
      <c r="V120" s="84">
        <v>679</v>
      </c>
      <c r="W120" s="84">
        <v>2196</v>
      </c>
      <c r="X120" s="84">
        <v>3031</v>
      </c>
      <c r="Y120" s="84">
        <v>6477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1913</v>
      </c>
      <c r="C121" s="110">
        <f t="shared" si="179"/>
        <v>2304</v>
      </c>
      <c r="D121" s="110">
        <f t="shared" si="179"/>
        <v>2454</v>
      </c>
      <c r="E121" s="110">
        <f t="shared" si="179"/>
        <v>2405</v>
      </c>
      <c r="F121" s="110">
        <f t="shared" si="179"/>
        <v>1856</v>
      </c>
      <c r="G121" s="110">
        <f t="shared" si="179"/>
        <v>2427</v>
      </c>
      <c r="H121" s="110">
        <f t="shared" si="179"/>
        <v>2453</v>
      </c>
      <c r="I121" s="110">
        <f t="shared" si="179"/>
        <v>2451</v>
      </c>
      <c r="J121" s="110">
        <f t="shared" si="179"/>
        <v>2298</v>
      </c>
      <c r="K121" s="110">
        <f t="shared" si="179"/>
        <v>2270</v>
      </c>
      <c r="L121" s="110">
        <f t="shared" ref="L121" si="180">SUM(L122:L126)</f>
        <v>2033</v>
      </c>
      <c r="M121" s="110">
        <f t="shared" ref="M121:V121" si="181">SUM(M122:M126)</f>
        <v>1777</v>
      </c>
      <c r="N121" s="110">
        <f t="shared" si="181"/>
        <v>1735</v>
      </c>
      <c r="O121" s="110">
        <f t="shared" si="181"/>
        <v>1656</v>
      </c>
      <c r="P121" s="110">
        <f t="shared" si="181"/>
        <v>1697</v>
      </c>
      <c r="Q121" s="110">
        <f t="shared" si="181"/>
        <v>1657</v>
      </c>
      <c r="R121" s="110">
        <f t="shared" si="181"/>
        <v>1346</v>
      </c>
      <c r="S121" s="110">
        <f t="shared" si="181"/>
        <v>1440</v>
      </c>
      <c r="T121" s="110">
        <f t="shared" si="181"/>
        <v>1492</v>
      </c>
      <c r="U121" s="110">
        <f t="shared" si="181"/>
        <v>1755</v>
      </c>
      <c r="V121" s="110">
        <f t="shared" si="181"/>
        <v>1789</v>
      </c>
      <c r="W121" s="110">
        <f t="shared" ref="W121:Y121" si="182">SUM(W122:W126)</f>
        <v>1822</v>
      </c>
      <c r="X121" s="110">
        <f t="shared" si="182"/>
        <v>2142</v>
      </c>
      <c r="Y121" s="110">
        <f t="shared" si="182"/>
        <v>2160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1913</v>
      </c>
      <c r="C123" s="102">
        <v>1994</v>
      </c>
      <c r="D123" s="102">
        <v>2289</v>
      </c>
      <c r="E123" s="102">
        <v>2360</v>
      </c>
      <c r="F123" s="102">
        <v>1856</v>
      </c>
      <c r="G123" s="102">
        <v>2387</v>
      </c>
      <c r="H123" s="102">
        <v>2423</v>
      </c>
      <c r="I123" s="102">
        <v>2341</v>
      </c>
      <c r="J123" s="102">
        <v>2248</v>
      </c>
      <c r="K123" s="102">
        <v>2270</v>
      </c>
      <c r="L123" s="102">
        <v>2033</v>
      </c>
      <c r="M123" s="102">
        <v>1767</v>
      </c>
      <c r="N123" s="102">
        <v>1705</v>
      </c>
      <c r="O123" s="102">
        <v>1290</v>
      </c>
      <c r="P123" s="102">
        <v>1647</v>
      </c>
      <c r="Q123" s="102">
        <v>1576</v>
      </c>
      <c r="R123" s="102">
        <v>1286</v>
      </c>
      <c r="S123" s="102">
        <v>1438</v>
      </c>
      <c r="T123" s="102">
        <v>1349</v>
      </c>
      <c r="U123" s="102">
        <v>1631</v>
      </c>
      <c r="V123" s="102">
        <v>1646</v>
      </c>
      <c r="W123" s="102">
        <v>1669</v>
      </c>
      <c r="X123" s="102">
        <v>1840</v>
      </c>
      <c r="Y123" s="102">
        <v>1903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310</v>
      </c>
      <c r="D125" s="102">
        <v>165</v>
      </c>
      <c r="E125" s="102">
        <v>45</v>
      </c>
      <c r="F125" s="102">
        <v>0</v>
      </c>
      <c r="G125" s="102">
        <v>40</v>
      </c>
      <c r="H125" s="102">
        <v>30</v>
      </c>
      <c r="I125" s="102">
        <v>110</v>
      </c>
      <c r="J125" s="102">
        <v>50</v>
      </c>
      <c r="K125" s="102">
        <v>0</v>
      </c>
      <c r="L125" s="102">
        <v>0</v>
      </c>
      <c r="M125" s="102">
        <v>10</v>
      </c>
      <c r="N125" s="102">
        <v>30</v>
      </c>
      <c r="O125" s="102">
        <v>0</v>
      </c>
      <c r="P125" s="102">
        <v>50</v>
      </c>
      <c r="Q125" s="102">
        <v>80</v>
      </c>
      <c r="R125" s="102">
        <v>60</v>
      </c>
      <c r="S125" s="102">
        <v>0</v>
      </c>
      <c r="T125" s="102">
        <v>140</v>
      </c>
      <c r="U125" s="102">
        <v>120</v>
      </c>
      <c r="V125" s="102">
        <v>140</v>
      </c>
      <c r="W125" s="102">
        <v>150</v>
      </c>
      <c r="X125" s="102">
        <v>300</v>
      </c>
      <c r="Y125" s="102">
        <v>250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366</v>
      </c>
      <c r="P126" s="102">
        <v>0</v>
      </c>
      <c r="Q126" s="102">
        <v>1</v>
      </c>
      <c r="R126" s="102">
        <v>0</v>
      </c>
      <c r="S126" s="102">
        <v>2</v>
      </c>
      <c r="T126" s="102">
        <v>3</v>
      </c>
      <c r="U126" s="102">
        <v>4</v>
      </c>
      <c r="V126" s="102">
        <v>3</v>
      </c>
      <c r="W126" s="102">
        <v>3</v>
      </c>
      <c r="X126" s="102">
        <v>2</v>
      </c>
      <c r="Y126" s="102">
        <v>7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138</v>
      </c>
      <c r="C127" s="28">
        <f t="shared" si="183"/>
        <v>77449</v>
      </c>
      <c r="D127" s="28">
        <f t="shared" si="183"/>
        <v>79382</v>
      </c>
      <c r="E127" s="28">
        <f t="shared" si="183"/>
        <v>74795</v>
      </c>
      <c r="F127" s="28">
        <f t="shared" si="183"/>
        <v>96617</v>
      </c>
      <c r="G127" s="28">
        <f t="shared" si="183"/>
        <v>50513</v>
      </c>
      <c r="H127" s="28">
        <f t="shared" si="183"/>
        <v>97337</v>
      </c>
      <c r="I127" s="28">
        <f t="shared" si="183"/>
        <v>114612</v>
      </c>
      <c r="J127" s="28">
        <f t="shared" si="183"/>
        <v>116372</v>
      </c>
      <c r="K127" s="28">
        <f t="shared" si="183"/>
        <v>50000</v>
      </c>
      <c r="L127" s="28">
        <f t="shared" ref="L127" si="184">L128+L134</f>
        <v>76895</v>
      </c>
      <c r="M127" s="28">
        <f t="shared" ref="M127:V127" si="185">M128+M134</f>
        <v>10544</v>
      </c>
      <c r="N127" s="28">
        <f t="shared" si="185"/>
        <v>4574</v>
      </c>
      <c r="O127" s="28">
        <f t="shared" si="185"/>
        <v>42805</v>
      </c>
      <c r="P127" s="28">
        <f t="shared" si="185"/>
        <v>39115</v>
      </c>
      <c r="Q127" s="28">
        <f t="shared" si="185"/>
        <v>103706</v>
      </c>
      <c r="R127" s="28">
        <f t="shared" si="185"/>
        <v>102918</v>
      </c>
      <c r="S127" s="28">
        <f t="shared" si="185"/>
        <v>9830</v>
      </c>
      <c r="T127" s="28">
        <f t="shared" si="185"/>
        <v>35573</v>
      </c>
      <c r="U127" s="28">
        <f t="shared" si="185"/>
        <v>41368</v>
      </c>
      <c r="V127" s="28">
        <f t="shared" si="185"/>
        <v>37111</v>
      </c>
      <c r="W127" s="28">
        <f t="shared" ref="W127:Y127" si="186">W128+W134</f>
        <v>40442</v>
      </c>
      <c r="X127" s="28">
        <f t="shared" si="186"/>
        <v>43915</v>
      </c>
      <c r="Y127" s="28">
        <f t="shared" si="186"/>
        <v>67328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0</v>
      </c>
      <c r="C128" s="137">
        <f t="shared" si="187"/>
        <v>63609</v>
      </c>
      <c r="D128" s="137">
        <f t="shared" si="187"/>
        <v>65072</v>
      </c>
      <c r="E128" s="137">
        <f t="shared" si="187"/>
        <v>67491</v>
      </c>
      <c r="F128" s="137">
        <f t="shared" si="187"/>
        <v>45983</v>
      </c>
      <c r="G128" s="137">
        <f t="shared" si="187"/>
        <v>47975</v>
      </c>
      <c r="H128" s="137">
        <f t="shared" si="187"/>
        <v>68730</v>
      </c>
      <c r="I128" s="137">
        <f t="shared" si="187"/>
        <v>107432</v>
      </c>
      <c r="J128" s="137">
        <f t="shared" si="187"/>
        <v>87533</v>
      </c>
      <c r="K128" s="137">
        <f t="shared" si="187"/>
        <v>47565</v>
      </c>
      <c r="L128" s="137">
        <f t="shared" ref="L128" si="188">SUM(L129:L133)</f>
        <v>74098</v>
      </c>
      <c r="M128" s="137">
        <f t="shared" ref="M128:V128" si="189">SUM(M129:M133)</f>
        <v>8452</v>
      </c>
      <c r="N128" s="137">
        <f t="shared" si="189"/>
        <v>2364</v>
      </c>
      <c r="O128" s="137">
        <f t="shared" si="189"/>
        <v>40684</v>
      </c>
      <c r="P128" s="137">
        <f t="shared" si="189"/>
        <v>37418</v>
      </c>
      <c r="Q128" s="137">
        <f t="shared" si="189"/>
        <v>100797</v>
      </c>
      <c r="R128" s="137">
        <f t="shared" si="189"/>
        <v>100141</v>
      </c>
      <c r="S128" s="137">
        <f t="shared" si="189"/>
        <v>6451</v>
      </c>
      <c r="T128" s="137">
        <f t="shared" si="189"/>
        <v>33241</v>
      </c>
      <c r="U128" s="137">
        <f t="shared" si="189"/>
        <v>38921</v>
      </c>
      <c r="V128" s="137">
        <f t="shared" si="189"/>
        <v>34040</v>
      </c>
      <c r="W128" s="137">
        <f t="shared" ref="W128:Y128" si="190">SUM(W129:W133)</f>
        <v>37011</v>
      </c>
      <c r="X128" s="137">
        <f t="shared" si="190"/>
        <v>41144</v>
      </c>
      <c r="Y128" s="137">
        <f t="shared" si="190"/>
        <v>64853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46543</v>
      </c>
      <c r="D129" s="84">
        <v>49379</v>
      </c>
      <c r="E129" s="84">
        <v>37481</v>
      </c>
      <c r="F129" s="84">
        <v>27664</v>
      </c>
      <c r="G129" s="84">
        <v>31241</v>
      </c>
      <c r="H129" s="84">
        <v>33183</v>
      </c>
      <c r="I129" s="84">
        <v>73030</v>
      </c>
      <c r="J129" s="84">
        <v>75268</v>
      </c>
      <c r="K129" s="84">
        <v>4160</v>
      </c>
      <c r="L129" s="84">
        <v>24044</v>
      </c>
      <c r="M129" s="84">
        <v>0</v>
      </c>
      <c r="N129" s="84">
        <v>187</v>
      </c>
      <c r="O129" s="84">
        <v>91</v>
      </c>
      <c r="P129" s="84">
        <v>17572</v>
      </c>
      <c r="Q129" s="84">
        <v>33837</v>
      </c>
      <c r="R129" s="84">
        <v>55451</v>
      </c>
      <c r="S129" s="84">
        <v>61</v>
      </c>
      <c r="T129" s="84">
        <v>26620</v>
      </c>
      <c r="U129" s="84">
        <v>31586</v>
      </c>
      <c r="V129" s="84">
        <v>27729</v>
      </c>
      <c r="W129" s="84">
        <v>27503</v>
      </c>
      <c r="X129" s="84">
        <v>29235</v>
      </c>
      <c r="Y129" s="84">
        <v>27787</v>
      </c>
      <c r="DA129" s="171" t="s">
        <v>544</v>
      </c>
    </row>
    <row r="130" spans="1:105" ht="11.45" customHeight="1" x14ac:dyDescent="0.25">
      <c r="A130" s="111" t="s">
        <v>111</v>
      </c>
      <c r="B130" s="84">
        <v>0</v>
      </c>
      <c r="C130" s="84">
        <v>17066</v>
      </c>
      <c r="D130" s="84">
        <v>15693</v>
      </c>
      <c r="E130" s="84">
        <v>30010</v>
      </c>
      <c r="F130" s="84">
        <v>18319</v>
      </c>
      <c r="G130" s="84">
        <v>16734</v>
      </c>
      <c r="H130" s="84">
        <v>35547</v>
      </c>
      <c r="I130" s="84">
        <v>34402</v>
      </c>
      <c r="J130" s="84">
        <v>12265</v>
      </c>
      <c r="K130" s="84">
        <v>43405</v>
      </c>
      <c r="L130" s="84">
        <v>50054</v>
      </c>
      <c r="M130" s="84">
        <v>8452</v>
      </c>
      <c r="N130" s="84">
        <v>2177</v>
      </c>
      <c r="O130" s="84">
        <v>40593</v>
      </c>
      <c r="P130" s="84">
        <v>19846</v>
      </c>
      <c r="Q130" s="84">
        <v>66960</v>
      </c>
      <c r="R130" s="84">
        <v>44690</v>
      </c>
      <c r="S130" s="84">
        <v>6390</v>
      </c>
      <c r="T130" s="84">
        <v>6621</v>
      </c>
      <c r="U130" s="84">
        <v>7335</v>
      </c>
      <c r="V130" s="84">
        <v>6311</v>
      </c>
      <c r="W130" s="84">
        <v>9508</v>
      </c>
      <c r="X130" s="84">
        <v>11909</v>
      </c>
      <c r="Y130" s="84">
        <v>37066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0</v>
      </c>
      <c r="P131" s="84">
        <v>0</v>
      </c>
      <c r="Q131" s="84">
        <v>0</v>
      </c>
      <c r="R131" s="84">
        <v>0</v>
      </c>
      <c r="S131" s="84">
        <v>0</v>
      </c>
      <c r="T131" s="84">
        <v>0</v>
      </c>
      <c r="U131" s="84">
        <v>0</v>
      </c>
      <c r="V131" s="84">
        <v>0</v>
      </c>
      <c r="W131" s="84">
        <v>0</v>
      </c>
      <c r="X131" s="84">
        <v>0</v>
      </c>
      <c r="Y131" s="84">
        <v>0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X132" s="84">
        <v>0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0</v>
      </c>
      <c r="N133" s="84">
        <v>0</v>
      </c>
      <c r="O133" s="84">
        <v>0</v>
      </c>
      <c r="P133" s="84">
        <v>0</v>
      </c>
      <c r="Q133" s="84">
        <v>0</v>
      </c>
      <c r="R133" s="84">
        <v>0</v>
      </c>
      <c r="S133" s="84">
        <v>0</v>
      </c>
      <c r="T133" s="84">
        <v>0</v>
      </c>
      <c r="U133" s="84">
        <v>0</v>
      </c>
      <c r="V133" s="84">
        <v>0</v>
      </c>
      <c r="W133" s="84">
        <v>0</v>
      </c>
      <c r="X133" s="84">
        <v>0</v>
      </c>
      <c r="Y133" s="84">
        <v>0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138</v>
      </c>
      <c r="C134" s="110">
        <f t="shared" si="191"/>
        <v>13840</v>
      </c>
      <c r="D134" s="110">
        <f t="shared" si="191"/>
        <v>14310</v>
      </c>
      <c r="E134" s="110">
        <f t="shared" si="191"/>
        <v>7304</v>
      </c>
      <c r="F134" s="110">
        <f t="shared" si="191"/>
        <v>50634</v>
      </c>
      <c r="G134" s="110">
        <f t="shared" si="191"/>
        <v>2538</v>
      </c>
      <c r="H134" s="110">
        <f t="shared" si="191"/>
        <v>28607</v>
      </c>
      <c r="I134" s="110">
        <f t="shared" si="191"/>
        <v>7180</v>
      </c>
      <c r="J134" s="110">
        <f t="shared" si="191"/>
        <v>28839</v>
      </c>
      <c r="K134" s="110">
        <f t="shared" si="191"/>
        <v>2435</v>
      </c>
      <c r="L134" s="110">
        <f t="shared" ref="L134" si="192">SUM(L135:L136)</f>
        <v>2797</v>
      </c>
      <c r="M134" s="110">
        <f t="shared" ref="M134:V134" si="193">SUM(M135:M136)</f>
        <v>2092</v>
      </c>
      <c r="N134" s="110">
        <f t="shared" si="193"/>
        <v>2210</v>
      </c>
      <c r="O134" s="110">
        <f t="shared" si="193"/>
        <v>2121</v>
      </c>
      <c r="P134" s="110">
        <f t="shared" si="193"/>
        <v>1697</v>
      </c>
      <c r="Q134" s="110">
        <f t="shared" si="193"/>
        <v>2909</v>
      </c>
      <c r="R134" s="110">
        <f t="shared" si="193"/>
        <v>2777</v>
      </c>
      <c r="S134" s="110">
        <f t="shared" si="193"/>
        <v>3379</v>
      </c>
      <c r="T134" s="110">
        <f t="shared" si="193"/>
        <v>2332</v>
      </c>
      <c r="U134" s="110">
        <f t="shared" si="193"/>
        <v>2447</v>
      </c>
      <c r="V134" s="110">
        <f t="shared" si="193"/>
        <v>3071</v>
      </c>
      <c r="W134" s="110">
        <f t="shared" ref="W134:Y134" si="194">SUM(W135:W136)</f>
        <v>3431</v>
      </c>
      <c r="X134" s="110">
        <f t="shared" si="194"/>
        <v>2771</v>
      </c>
      <c r="Y134" s="110">
        <f t="shared" si="194"/>
        <v>2475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13680</v>
      </c>
      <c r="D135" s="102">
        <v>14159</v>
      </c>
      <c r="E135" s="102">
        <v>7184</v>
      </c>
      <c r="F135" s="102">
        <v>50245</v>
      </c>
      <c r="G135" s="102">
        <v>2363</v>
      </c>
      <c r="H135" s="102">
        <v>28053</v>
      </c>
      <c r="I135" s="102">
        <v>7180</v>
      </c>
      <c r="J135" s="102">
        <v>28839</v>
      </c>
      <c r="K135" s="102">
        <v>2435</v>
      </c>
      <c r="L135" s="102">
        <v>2269</v>
      </c>
      <c r="M135" s="102">
        <v>2092</v>
      </c>
      <c r="N135" s="102">
        <v>1918</v>
      </c>
      <c r="O135" s="102">
        <v>1738</v>
      </c>
      <c r="P135" s="102">
        <v>1626</v>
      </c>
      <c r="Q135" s="102">
        <v>2571</v>
      </c>
      <c r="R135" s="102">
        <v>2462</v>
      </c>
      <c r="S135" s="102">
        <v>2445</v>
      </c>
      <c r="T135" s="102">
        <v>2332</v>
      </c>
      <c r="U135" s="102">
        <v>2447</v>
      </c>
      <c r="V135" s="102">
        <v>2384</v>
      </c>
      <c r="W135" s="102">
        <v>2642</v>
      </c>
      <c r="X135" s="102">
        <v>2546</v>
      </c>
      <c r="Y135" s="102">
        <v>2377</v>
      </c>
      <c r="DA135" s="175" t="s">
        <v>550</v>
      </c>
    </row>
    <row r="136" spans="1:105" ht="11.45" customHeight="1" x14ac:dyDescent="0.25">
      <c r="A136" s="138" t="s">
        <v>116</v>
      </c>
      <c r="B136" s="86">
        <v>138</v>
      </c>
      <c r="C136" s="86">
        <v>160</v>
      </c>
      <c r="D136" s="86">
        <v>151</v>
      </c>
      <c r="E136" s="86">
        <v>120</v>
      </c>
      <c r="F136" s="86">
        <v>389</v>
      </c>
      <c r="G136" s="86">
        <v>175</v>
      </c>
      <c r="H136" s="86">
        <v>554</v>
      </c>
      <c r="I136" s="86">
        <v>0</v>
      </c>
      <c r="J136" s="86">
        <v>0</v>
      </c>
      <c r="K136" s="86">
        <v>0</v>
      </c>
      <c r="L136" s="86">
        <v>528</v>
      </c>
      <c r="M136" s="86">
        <v>0</v>
      </c>
      <c r="N136" s="86">
        <v>292</v>
      </c>
      <c r="O136" s="86">
        <v>383</v>
      </c>
      <c r="P136" s="86">
        <v>71</v>
      </c>
      <c r="Q136" s="86">
        <v>338</v>
      </c>
      <c r="R136" s="86">
        <v>315</v>
      </c>
      <c r="S136" s="86">
        <v>934</v>
      </c>
      <c r="T136" s="86">
        <v>0</v>
      </c>
      <c r="U136" s="86">
        <v>0</v>
      </c>
      <c r="V136" s="86">
        <v>687</v>
      </c>
      <c r="W136" s="86">
        <v>789</v>
      </c>
      <c r="X136" s="86">
        <v>225</v>
      </c>
      <c r="Y136" s="86">
        <v>98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2.429715209234268</v>
      </c>
      <c r="C141" s="32">
        <f t="shared" si="195"/>
        <v>2.3735054241913001</v>
      </c>
      <c r="D141" s="32">
        <f t="shared" si="195"/>
        <v>2.3235631584340308</v>
      </c>
      <c r="E141" s="32">
        <f t="shared" si="195"/>
        <v>2.2768191502191479</v>
      </c>
      <c r="F141" s="32">
        <f t="shared" si="195"/>
        <v>2.2295338539635861</v>
      </c>
      <c r="G141" s="32">
        <f t="shared" si="195"/>
        <v>2.1911827347919139</v>
      </c>
      <c r="H141" s="32">
        <f t="shared" si="195"/>
        <v>2.1796365335131376</v>
      </c>
      <c r="I141" s="32">
        <f t="shared" si="195"/>
        <v>2.1674833447319264</v>
      </c>
      <c r="J141" s="32">
        <f t="shared" si="195"/>
        <v>2.1551819504222611</v>
      </c>
      <c r="K141" s="32">
        <f t="shared" si="195"/>
        <v>2.1311195573520316</v>
      </c>
      <c r="L141" s="32">
        <f t="shared" ref="L141" si="196">IF(L4=0,0,L4/L31)</f>
        <v>2.1210116162815327</v>
      </c>
      <c r="M141" s="32">
        <f t="shared" ref="M141:V141" si="197">IF(M4=0,0,M4/M31)</f>
        <v>2.2345160759948692</v>
      </c>
      <c r="N141" s="32">
        <f t="shared" si="197"/>
        <v>2.4993046602976565</v>
      </c>
      <c r="O141" s="32">
        <f t="shared" si="197"/>
        <v>2.5807878246620972</v>
      </c>
      <c r="P141" s="32">
        <f t="shared" si="197"/>
        <v>2.617285246799415</v>
      </c>
      <c r="Q141" s="32">
        <f t="shared" si="197"/>
        <v>2.6600755290721958</v>
      </c>
      <c r="R141" s="32">
        <f t="shared" si="197"/>
        <v>2.6424846349666917</v>
      </c>
      <c r="S141" s="32">
        <f t="shared" si="197"/>
        <v>2.6497244720277213</v>
      </c>
      <c r="T141" s="32">
        <f t="shared" si="197"/>
        <v>2.6544617416419571</v>
      </c>
      <c r="U141" s="32">
        <f t="shared" si="197"/>
        <v>2.6315338279393901</v>
      </c>
      <c r="V141" s="32">
        <f t="shared" si="197"/>
        <v>2.3715461879355684</v>
      </c>
      <c r="W141" s="32">
        <f t="shared" ref="W141:Y141" si="198">IF(W4=0,0,W4/W31)</f>
        <v>2.4644554970548018</v>
      </c>
      <c r="X141" s="32">
        <f t="shared" si="198"/>
        <v>2.5806531587813781</v>
      </c>
      <c r="Y141" s="32">
        <f t="shared" si="198"/>
        <v>2.6240540729341477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1.1549472685768511</v>
      </c>
      <c r="C142" s="141">
        <v>1.1549251164250132</v>
      </c>
      <c r="D142" s="141">
        <v>1.1547244330057382</v>
      </c>
      <c r="E142" s="141">
        <v>1.1552093820866829</v>
      </c>
      <c r="F142" s="141">
        <v>1.155364085651108</v>
      </c>
      <c r="G142" s="141">
        <v>1.1543178727366703</v>
      </c>
      <c r="H142" s="141">
        <v>1.1546398637822315</v>
      </c>
      <c r="I142" s="141">
        <v>1.1564931393319675</v>
      </c>
      <c r="J142" s="141">
        <v>1.1571017737935945</v>
      </c>
      <c r="K142" s="141">
        <v>1.1576570562583652</v>
      </c>
      <c r="L142" s="141">
        <v>1.1556682113354204</v>
      </c>
      <c r="M142" s="141">
        <v>1.1546558434345868</v>
      </c>
      <c r="N142" s="141">
        <v>1.1475295413899496</v>
      </c>
      <c r="O142" s="141">
        <v>1.1469392088128176</v>
      </c>
      <c r="P142" s="141">
        <v>1.149429532231234</v>
      </c>
      <c r="Q142" s="141">
        <v>1.1514161199072455</v>
      </c>
      <c r="R142" s="141">
        <v>1.1517597944166058</v>
      </c>
      <c r="S142" s="141">
        <v>1.1510324525070792</v>
      </c>
      <c r="T142" s="141">
        <v>1.150258272593697</v>
      </c>
      <c r="U142" s="141">
        <v>1.1509485197867817</v>
      </c>
      <c r="V142" s="141">
        <v>1.1496580166201256</v>
      </c>
      <c r="W142" s="141">
        <v>1.1501021471105928</v>
      </c>
      <c r="X142" s="141">
        <v>1.1500825543479898</v>
      </c>
      <c r="Y142" s="141">
        <v>1.1514875585954156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1.9632235015945285</v>
      </c>
      <c r="C143" s="130">
        <f t="shared" si="199"/>
        <v>1.9437856451430986</v>
      </c>
      <c r="D143" s="130">
        <f t="shared" si="199"/>
        <v>1.9245402427159375</v>
      </c>
      <c r="E143" s="130">
        <f t="shared" si="199"/>
        <v>1.9054853888276611</v>
      </c>
      <c r="F143" s="130">
        <f t="shared" si="199"/>
        <v>1.8866191968590711</v>
      </c>
      <c r="G143" s="130">
        <f t="shared" si="199"/>
        <v>1.8679397988703679</v>
      </c>
      <c r="H143" s="130">
        <f t="shared" si="199"/>
        <v>1.8667085718066627</v>
      </c>
      <c r="I143" s="130">
        <f t="shared" si="199"/>
        <v>1.8677012181686554</v>
      </c>
      <c r="J143" s="130">
        <f t="shared" si="199"/>
        <v>1.8718884578968267</v>
      </c>
      <c r="K143" s="130">
        <f t="shared" si="199"/>
        <v>1.8718884578968273</v>
      </c>
      <c r="L143" s="130">
        <f t="shared" ref="L143" si="200">IF(L6=0,0,L6/L33)</f>
        <v>1.8718884578968267</v>
      </c>
      <c r="M143" s="130">
        <f t="shared" ref="M143:V143" si="201">IF(M6=0,0,M6/M33)</f>
        <v>1.9872210651037956</v>
      </c>
      <c r="N143" s="130">
        <f t="shared" si="201"/>
        <v>2.2706907204621367</v>
      </c>
      <c r="O143" s="130">
        <f t="shared" si="201"/>
        <v>2.3621100484451274</v>
      </c>
      <c r="P143" s="130">
        <f t="shared" si="201"/>
        <v>2.4150860023170351</v>
      </c>
      <c r="Q143" s="130">
        <f t="shared" si="201"/>
        <v>2.4637600037495448</v>
      </c>
      <c r="R143" s="130">
        <f t="shared" si="201"/>
        <v>2.4596696537866944</v>
      </c>
      <c r="S143" s="130">
        <f t="shared" si="201"/>
        <v>2.4644395255736353</v>
      </c>
      <c r="T143" s="130">
        <f t="shared" si="201"/>
        <v>2.4553422615885245</v>
      </c>
      <c r="U143" s="130">
        <f t="shared" si="201"/>
        <v>2.450852497918357</v>
      </c>
      <c r="V143" s="130">
        <f t="shared" si="201"/>
        <v>2.2788988216435815</v>
      </c>
      <c r="W143" s="130">
        <f t="shared" ref="W143:Y143" si="202">IF(W6=0,0,W6/W33)</f>
        <v>2.386926633839201</v>
      </c>
      <c r="X143" s="130">
        <f t="shared" si="202"/>
        <v>2.4371707707662722</v>
      </c>
      <c r="Y143" s="130">
        <f t="shared" si="202"/>
        <v>2.4838484783185399</v>
      </c>
      <c r="DA143" s="176" t="s">
        <v>554</v>
      </c>
    </row>
    <row r="144" spans="1:105" ht="11.45" customHeight="1" x14ac:dyDescent="0.25">
      <c r="A144" s="111" t="s">
        <v>110</v>
      </c>
      <c r="B144" s="96">
        <v>1.9615122964185843</v>
      </c>
      <c r="C144" s="96">
        <v>1.9422956701378946</v>
      </c>
      <c r="D144" s="96">
        <v>1.9231341279165</v>
      </c>
      <c r="E144" s="96">
        <v>1.9040493123914823</v>
      </c>
      <c r="F144" s="96">
        <v>1.8854119769797262</v>
      </c>
      <c r="G144" s="96">
        <v>1.8667839442848548</v>
      </c>
      <c r="H144" s="96">
        <v>1.8654720889640297</v>
      </c>
      <c r="I144" s="96">
        <v>1.8664734601801285</v>
      </c>
      <c r="J144" s="96">
        <v>1.8707616782219909</v>
      </c>
      <c r="K144" s="96">
        <v>1.8706784134394963</v>
      </c>
      <c r="L144" s="96">
        <v>1.8711116017404086</v>
      </c>
      <c r="M144" s="96">
        <v>1.9875958255936244</v>
      </c>
      <c r="N144" s="96">
        <v>2.2707218965264606</v>
      </c>
      <c r="O144" s="96">
        <v>2.3651329019281189</v>
      </c>
      <c r="P144" s="96">
        <v>2.4176246556128906</v>
      </c>
      <c r="Q144" s="96">
        <v>2.4674763690865249</v>
      </c>
      <c r="R144" s="96">
        <v>2.4632413298626861</v>
      </c>
      <c r="S144" s="96">
        <v>2.4667293830723831</v>
      </c>
      <c r="T144" s="96">
        <v>2.4560598118828851</v>
      </c>
      <c r="U144" s="96">
        <v>2.4502397259956372</v>
      </c>
      <c r="V144" s="96">
        <v>2.2767750979875365</v>
      </c>
      <c r="W144" s="96">
        <v>2.3846732340381869</v>
      </c>
      <c r="X144" s="96">
        <v>2.4351871442309139</v>
      </c>
      <c r="Y144" s="96">
        <v>2.4827524660933036</v>
      </c>
      <c r="DA144" s="171" t="s">
        <v>555</v>
      </c>
    </row>
    <row r="145" spans="1:105" ht="11.45" customHeight="1" x14ac:dyDescent="0.25">
      <c r="A145" s="111" t="s">
        <v>111</v>
      </c>
      <c r="B145" s="96">
        <v>1.9909349808648615</v>
      </c>
      <c r="C145" s="96">
        <v>1.9714301051899628</v>
      </c>
      <c r="D145" s="96">
        <v>1.9519811398352576</v>
      </c>
      <c r="E145" s="96">
        <v>1.9326100520773553</v>
      </c>
      <c r="F145" s="96">
        <v>1.9136931566344211</v>
      </c>
      <c r="G145" s="96">
        <v>1.8947857034491311</v>
      </c>
      <c r="H145" s="96">
        <v>1.8934541702984853</v>
      </c>
      <c r="I145" s="96">
        <v>1.894470562082829</v>
      </c>
      <c r="J145" s="96">
        <v>1.8988231033953209</v>
      </c>
      <c r="K145" s="96">
        <v>1.8987385896410931</v>
      </c>
      <c r="L145" s="96">
        <v>1.899178275766513</v>
      </c>
      <c r="M145" s="96">
        <v>2.0174097629775289</v>
      </c>
      <c r="N145" s="96">
        <v>2.3047827249743613</v>
      </c>
      <c r="O145" s="96">
        <v>2.4006098954570434</v>
      </c>
      <c r="P145" s="96">
        <v>2.4538890254470802</v>
      </c>
      <c r="Q145" s="96">
        <v>2.5044885146228233</v>
      </c>
      <c r="R145" s="96">
        <v>2.5001899498106246</v>
      </c>
      <c r="S145" s="96">
        <v>2.5037303238184672</v>
      </c>
      <c r="T145" s="96">
        <v>2.4929007090611308</v>
      </c>
      <c r="U145" s="96">
        <v>2.4869933218855707</v>
      </c>
      <c r="V145" s="96">
        <v>2.3109267244573468</v>
      </c>
      <c r="W145" s="96">
        <v>2.4204433325487598</v>
      </c>
      <c r="X145" s="96">
        <v>2.4717149513943788</v>
      </c>
      <c r="Y145" s="96">
        <v>2.5199937530847034</v>
      </c>
      <c r="DA145" s="171" t="s">
        <v>556</v>
      </c>
    </row>
    <row r="146" spans="1:105" ht="11.45" customHeight="1" x14ac:dyDescent="0.25">
      <c r="A146" s="111" t="s">
        <v>112</v>
      </c>
      <c r="B146" s="96">
        <v>1.9043267965466926</v>
      </c>
      <c r="C146" s="96">
        <v>1.8854720757888053</v>
      </c>
      <c r="D146" s="96">
        <v>1.8668040354344588</v>
      </c>
      <c r="E146" s="96">
        <v>1.8483208271628311</v>
      </c>
      <c r="F146" s="96">
        <v>1.8300206209532988</v>
      </c>
      <c r="G146" s="96">
        <v>1.8119016049042567</v>
      </c>
      <c r="H146" s="96">
        <v>1.8107073146524626</v>
      </c>
      <c r="I146" s="96">
        <v>1.8116701816235956</v>
      </c>
      <c r="J146" s="96">
        <v>1.8157318041599215</v>
      </c>
      <c r="K146" s="96">
        <v>1.8157318041599222</v>
      </c>
      <c r="L146" s="96">
        <v>1.8157318041599215</v>
      </c>
      <c r="M146" s="96">
        <v>1.9276044331506814</v>
      </c>
      <c r="N146" s="96">
        <v>2.2025699988482725</v>
      </c>
      <c r="O146" s="96">
        <v>2.2912467469917734</v>
      </c>
      <c r="P146" s="96">
        <v>2.3426334222475238</v>
      </c>
      <c r="Q146" s="96">
        <v>2.3898472036370584</v>
      </c>
      <c r="R146" s="96">
        <v>2.3858795641730932</v>
      </c>
      <c r="S146" s="96">
        <v>2.3905063398064259</v>
      </c>
      <c r="T146" s="96">
        <v>2.3816819937408686</v>
      </c>
      <c r="U146" s="96">
        <v>2.3773269229808061</v>
      </c>
      <c r="V146" s="96">
        <v>2.2105318569942738</v>
      </c>
      <c r="W146" s="96">
        <v>2.3153188348240246</v>
      </c>
      <c r="X146" s="96">
        <v>2.3640556476432839</v>
      </c>
      <c r="Y146" s="96">
        <v>2.409333023968983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1.885472075788805</v>
      </c>
      <c r="D147" s="96">
        <v>1.8668040354344591</v>
      </c>
      <c r="E147" s="96">
        <v>1.8483208271628309</v>
      </c>
      <c r="F147" s="96">
        <v>1.8300206209532988</v>
      </c>
      <c r="G147" s="96">
        <v>1.8119016049042567</v>
      </c>
      <c r="H147" s="96">
        <v>1.8107073146524626</v>
      </c>
      <c r="I147" s="96">
        <v>1.8116701816235956</v>
      </c>
      <c r="J147" s="96">
        <v>1.8157318041599215</v>
      </c>
      <c r="K147" s="96">
        <v>1.8157318041599222</v>
      </c>
      <c r="L147" s="96">
        <v>1.8157318041599213</v>
      </c>
      <c r="M147" s="96">
        <v>1.9276044331506812</v>
      </c>
      <c r="N147" s="96">
        <v>2.2025699988482725</v>
      </c>
      <c r="O147" s="96">
        <v>2.2912467469917734</v>
      </c>
      <c r="P147" s="96">
        <v>2.3426334222475238</v>
      </c>
      <c r="Q147" s="96">
        <v>2.3898472036370584</v>
      </c>
      <c r="R147" s="96">
        <v>2.3858795641730932</v>
      </c>
      <c r="S147" s="96">
        <v>2.3905063398064259</v>
      </c>
      <c r="T147" s="96">
        <v>2.3816819937408686</v>
      </c>
      <c r="U147" s="96">
        <v>2.3773269229808061</v>
      </c>
      <c r="V147" s="96">
        <v>2.2105318569942738</v>
      </c>
      <c r="W147" s="96">
        <v>2.3153188348240246</v>
      </c>
      <c r="X147" s="96">
        <v>2.3640556476432839</v>
      </c>
      <c r="Y147" s="96">
        <v>2.409333023968983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2.2706907204621372</v>
      </c>
      <c r="O148" s="96">
        <v>2.3621100484451274</v>
      </c>
      <c r="P148" s="96">
        <v>2.4150860023170351</v>
      </c>
      <c r="Q148" s="96">
        <v>2.4637600037495448</v>
      </c>
      <c r="R148" s="96">
        <v>2.4596696537866944</v>
      </c>
      <c r="S148" s="96">
        <v>2.4644395255736353</v>
      </c>
      <c r="T148" s="96">
        <v>2.4553422615885245</v>
      </c>
      <c r="U148" s="96">
        <v>2.450852497918357</v>
      </c>
      <c r="V148" s="96">
        <v>2.2788988216435815</v>
      </c>
      <c r="W148" s="96">
        <v>2.386926633839201</v>
      </c>
      <c r="X148" s="96">
        <v>2.4371707707662722</v>
      </c>
      <c r="Y148" s="96">
        <v>2.4838484783185395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1.8193503060356997</v>
      </c>
      <c r="O149" s="96">
        <v>1.8925984066443025</v>
      </c>
      <c r="P149" s="96">
        <v>1.9350444416859096</v>
      </c>
      <c r="Q149" s="96">
        <v>1.9740436143183659</v>
      </c>
      <c r="R149" s="96">
        <v>1.9707662946069475</v>
      </c>
      <c r="S149" s="96">
        <v>1.9745880690199575</v>
      </c>
      <c r="T149" s="96">
        <v>1.9672990490463214</v>
      </c>
      <c r="U149" s="96">
        <v>1.9637017062493753</v>
      </c>
      <c r="V149" s="96">
        <v>1.8259269002243586</v>
      </c>
      <c r="W149" s="96">
        <v>1.912482251601523</v>
      </c>
      <c r="X149" s="96">
        <v>1.9527394672016127</v>
      </c>
      <c r="Y149" s="96">
        <v>1.9901391450859607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27.827572952657572</v>
      </c>
      <c r="C150" s="130">
        <f t="shared" si="203"/>
        <v>27.552052428373841</v>
      </c>
      <c r="D150" s="130">
        <f t="shared" si="203"/>
        <v>27.279259830073105</v>
      </c>
      <c r="E150" s="130">
        <f t="shared" si="203"/>
        <v>27.009168148587232</v>
      </c>
      <c r="F150" s="130">
        <f t="shared" si="203"/>
        <v>26.741750642165584</v>
      </c>
      <c r="G150" s="130">
        <f t="shared" si="203"/>
        <v>26.476980833827305</v>
      </c>
      <c r="H150" s="130">
        <f t="shared" si="203"/>
        <v>25.770308123249286</v>
      </c>
      <c r="I150" s="130">
        <f t="shared" si="203"/>
        <v>25.941719971570713</v>
      </c>
      <c r="J150" s="130">
        <f t="shared" si="203"/>
        <v>26.708804185935886</v>
      </c>
      <c r="K150" s="130">
        <f t="shared" si="203"/>
        <v>25.904761904761891</v>
      </c>
      <c r="L150" s="130">
        <f t="shared" ref="L150" si="204">IF(L13=0,0,L13/L40)</f>
        <v>25.952380952380945</v>
      </c>
      <c r="M150" s="130">
        <f t="shared" ref="M150:V150" si="205">IF(M13=0,0,M13/M40)</f>
        <v>25.759534076675902</v>
      </c>
      <c r="N150" s="130">
        <f t="shared" si="205"/>
        <v>25.868399445156694</v>
      </c>
      <c r="O150" s="130">
        <f t="shared" si="205"/>
        <v>25.816438965080025</v>
      </c>
      <c r="P150" s="130">
        <f t="shared" si="205"/>
        <v>25.801639553008858</v>
      </c>
      <c r="Q150" s="130">
        <f t="shared" si="205"/>
        <v>26.026211588596983</v>
      </c>
      <c r="R150" s="130">
        <f t="shared" si="205"/>
        <v>26.029251384356005</v>
      </c>
      <c r="S150" s="130">
        <f t="shared" si="205"/>
        <v>26.034761187376144</v>
      </c>
      <c r="T150" s="130">
        <f t="shared" si="205"/>
        <v>26.033697143141399</v>
      </c>
      <c r="U150" s="130">
        <f t="shared" si="205"/>
        <v>26.036413102146074</v>
      </c>
      <c r="V150" s="130">
        <f t="shared" si="205"/>
        <v>17.117358976071301</v>
      </c>
      <c r="W150" s="130">
        <f t="shared" ref="W150:Y150" si="206">IF(W13=0,0,W13/W40)</f>
        <v>17.698293412402158</v>
      </c>
      <c r="X150" s="130">
        <f t="shared" si="206"/>
        <v>22.662985652463099</v>
      </c>
      <c r="Y150" s="130">
        <f t="shared" si="206"/>
        <v>24.2234958540826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X151" s="97">
        <v>0</v>
      </c>
      <c r="Y151" s="97">
        <v>0</v>
      </c>
      <c r="DA151" s="175" t="s">
        <v>562</v>
      </c>
    </row>
    <row r="152" spans="1:105" ht="11.45" customHeight="1" x14ac:dyDescent="0.25">
      <c r="A152" s="111" t="s">
        <v>111</v>
      </c>
      <c r="B152" s="97">
        <v>27.827572952657572</v>
      </c>
      <c r="C152" s="97">
        <v>27.552052428373841</v>
      </c>
      <c r="D152" s="97">
        <v>27.279259830073109</v>
      </c>
      <c r="E152" s="97">
        <v>27.009168148587236</v>
      </c>
      <c r="F152" s="97">
        <v>26.741750642165584</v>
      </c>
      <c r="G152" s="97">
        <v>26.476980833827309</v>
      </c>
      <c r="H152" s="97">
        <v>25.77030812324929</v>
      </c>
      <c r="I152" s="97">
        <v>25.941719971570716</v>
      </c>
      <c r="J152" s="97">
        <v>26.708804185935886</v>
      </c>
      <c r="K152" s="97">
        <v>25.904761904761891</v>
      </c>
      <c r="L152" s="97">
        <v>25.952380952380949</v>
      </c>
      <c r="M152" s="97">
        <v>25.759534076675898</v>
      </c>
      <c r="N152" s="97">
        <v>25.868399445156697</v>
      </c>
      <c r="O152" s="97">
        <v>25.816438965080025</v>
      </c>
      <c r="P152" s="97">
        <v>25.801639553008854</v>
      </c>
      <c r="Q152" s="97">
        <v>26.026211588596986</v>
      </c>
      <c r="R152" s="97">
        <v>26.029251384356002</v>
      </c>
      <c r="S152" s="97">
        <v>26.034761187376144</v>
      </c>
      <c r="T152" s="97">
        <v>26.033697143141399</v>
      </c>
      <c r="U152" s="97">
        <v>26.036413102146074</v>
      </c>
      <c r="V152" s="97">
        <v>17.117358976071301</v>
      </c>
      <c r="W152" s="97">
        <v>17.698293412402158</v>
      </c>
      <c r="X152" s="97">
        <v>22.662985652463099</v>
      </c>
      <c r="Y152" s="97">
        <v>24.2234958540826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564</v>
      </c>
    </row>
    <row r="154" spans="1:105" ht="11.45" customHeight="1" x14ac:dyDescent="0.25">
      <c r="A154" s="111" t="s">
        <v>113</v>
      </c>
      <c r="B154" s="97">
        <v>0</v>
      </c>
      <c r="C154" s="97">
        <v>27.552052428373841</v>
      </c>
      <c r="D154" s="97">
        <v>27.279259830073105</v>
      </c>
      <c r="E154" s="97">
        <v>27.009168148587232</v>
      </c>
      <c r="F154" s="97">
        <v>26.741750642165584</v>
      </c>
      <c r="G154" s="97">
        <v>26.476980833827305</v>
      </c>
      <c r="H154" s="97">
        <v>25.77030812324929</v>
      </c>
      <c r="I154" s="97">
        <v>25.941719971570713</v>
      </c>
      <c r="J154" s="97">
        <v>26.708804185935886</v>
      </c>
      <c r="K154" s="97">
        <v>25.904761904761894</v>
      </c>
      <c r="L154" s="97">
        <v>25.952380952380945</v>
      </c>
      <c r="M154" s="97">
        <v>25.759534076675902</v>
      </c>
      <c r="N154" s="97">
        <v>25.868399445156694</v>
      </c>
      <c r="O154" s="97">
        <v>25.816438965080025</v>
      </c>
      <c r="P154" s="97">
        <v>25.801639553008854</v>
      </c>
      <c r="Q154" s="97">
        <v>26.026211588596983</v>
      </c>
      <c r="R154" s="97">
        <v>26.029251384356009</v>
      </c>
      <c r="S154" s="97">
        <v>26.034761187376148</v>
      </c>
      <c r="T154" s="97">
        <v>26.033697143141399</v>
      </c>
      <c r="U154" s="97">
        <v>26.036413102146071</v>
      </c>
      <c r="V154" s="97">
        <v>17.117358976071305</v>
      </c>
      <c r="W154" s="97">
        <v>17.698293412402158</v>
      </c>
      <c r="X154" s="97">
        <v>22.662985652463103</v>
      </c>
      <c r="Y154" s="97">
        <v>24.223495854082596</v>
      </c>
      <c r="DA154" s="175" t="s">
        <v>565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25.816438965080025</v>
      </c>
      <c r="P155" s="97">
        <v>25.801639553008854</v>
      </c>
      <c r="Q155" s="97">
        <v>26.026211588596983</v>
      </c>
      <c r="R155" s="97">
        <v>26.029251384356005</v>
      </c>
      <c r="S155" s="97">
        <v>26.034761187376144</v>
      </c>
      <c r="T155" s="97">
        <v>26.033697143141399</v>
      </c>
      <c r="U155" s="97">
        <v>26.036413102146071</v>
      </c>
      <c r="V155" s="97">
        <v>17.117358976071305</v>
      </c>
      <c r="W155" s="97">
        <v>17.698293412402158</v>
      </c>
      <c r="X155" s="97">
        <v>22.662985652463099</v>
      </c>
      <c r="Y155" s="97">
        <v>24.2234958540826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2.9178589203486278</v>
      </c>
      <c r="C156" s="32">
        <f t="shared" si="207"/>
        <v>2.906930939818583</v>
      </c>
      <c r="D156" s="32">
        <f t="shared" si="207"/>
        <v>2.8438840854870757</v>
      </c>
      <c r="E156" s="32">
        <f t="shared" si="207"/>
        <v>2.0659993295514298</v>
      </c>
      <c r="F156" s="32">
        <f t="shared" si="207"/>
        <v>3.4098674366436139</v>
      </c>
      <c r="G156" s="32">
        <f t="shared" si="207"/>
        <v>2.3803406231747739</v>
      </c>
      <c r="H156" s="32">
        <f t="shared" si="207"/>
        <v>2.9088672741924064</v>
      </c>
      <c r="I156" s="32">
        <f t="shared" si="207"/>
        <v>2.3223301046968583</v>
      </c>
      <c r="J156" s="32">
        <f t="shared" si="207"/>
        <v>2.4737834584638421</v>
      </c>
      <c r="K156" s="32">
        <f t="shared" si="207"/>
        <v>2.5135306397396695</v>
      </c>
      <c r="L156" s="32">
        <f t="shared" ref="L156" si="208">IF(L19=0,0,L19/L46)</f>
        <v>2.5945396259897353</v>
      </c>
      <c r="M156" s="32">
        <f t="shared" ref="M156:V156" si="209">IF(M19=0,0,M19/M46)</f>
        <v>2.1794862377291673</v>
      </c>
      <c r="N156" s="32">
        <f t="shared" si="209"/>
        <v>2.4976312582160642</v>
      </c>
      <c r="O156" s="32">
        <f t="shared" si="209"/>
        <v>1.9098339237039081</v>
      </c>
      <c r="P156" s="32">
        <f t="shared" si="209"/>
        <v>2.1065860194648018</v>
      </c>
      <c r="Q156" s="32">
        <f t="shared" si="209"/>
        <v>1.8240054044421807</v>
      </c>
      <c r="R156" s="32">
        <f t="shared" si="209"/>
        <v>1.8675288421652754</v>
      </c>
      <c r="S156" s="32">
        <f t="shared" si="209"/>
        <v>2.0791499364046131</v>
      </c>
      <c r="T156" s="32">
        <f t="shared" si="209"/>
        <v>2.0424665172155838</v>
      </c>
      <c r="U156" s="32">
        <f t="shared" si="209"/>
        <v>1.9775815380987023</v>
      </c>
      <c r="V156" s="32">
        <f t="shared" si="209"/>
        <v>1.9907722707245896</v>
      </c>
      <c r="W156" s="32">
        <f t="shared" ref="W156:Y156" si="210">IF(W19=0,0,W19/W46)</f>
        <v>2.0860332064745259</v>
      </c>
      <c r="X156" s="32">
        <f t="shared" si="210"/>
        <v>2.021349298644894</v>
      </c>
      <c r="Y156" s="32">
        <f t="shared" si="210"/>
        <v>1.8740897848695595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0.21112206346703502</v>
      </c>
      <c r="C157" s="141">
        <f t="shared" si="211"/>
        <v>0.21477918411317165</v>
      </c>
      <c r="D157" s="141">
        <f t="shared" si="211"/>
        <v>0.21581695110143628</v>
      </c>
      <c r="E157" s="141">
        <f t="shared" si="211"/>
        <v>0.21945188149473072</v>
      </c>
      <c r="F157" s="141">
        <f t="shared" si="211"/>
        <v>0.22237553410899541</v>
      </c>
      <c r="G157" s="141">
        <f t="shared" si="211"/>
        <v>0.22312256729753641</v>
      </c>
      <c r="H157" s="141">
        <f t="shared" si="211"/>
        <v>0.22869187594185073</v>
      </c>
      <c r="I157" s="141">
        <f t="shared" si="211"/>
        <v>0.23022864420699304</v>
      </c>
      <c r="J157" s="141">
        <f t="shared" si="211"/>
        <v>0.23089028286345248</v>
      </c>
      <c r="K157" s="141">
        <f t="shared" si="211"/>
        <v>0.24174437779666066</v>
      </c>
      <c r="L157" s="141">
        <f t="shared" ref="L157" si="212">IF(L20=0,0,L20/L47)</f>
        <v>0.24756312772639213</v>
      </c>
      <c r="M157" s="141">
        <f t="shared" ref="M157:V157" si="213">IF(M20=0,0,M20/M47)</f>
        <v>0.25346207582461183</v>
      </c>
      <c r="N157" s="141">
        <f t="shared" si="213"/>
        <v>0.26072177829183063</v>
      </c>
      <c r="O157" s="141">
        <f t="shared" si="213"/>
        <v>0.26062690746751083</v>
      </c>
      <c r="P157" s="141">
        <f t="shared" si="213"/>
        <v>0.25977673761099268</v>
      </c>
      <c r="Q157" s="141">
        <f t="shared" si="213"/>
        <v>0.26053014660458551</v>
      </c>
      <c r="R157" s="141">
        <f t="shared" si="213"/>
        <v>0.26108571796897945</v>
      </c>
      <c r="S157" s="141">
        <f t="shared" si="213"/>
        <v>0.25879756437040285</v>
      </c>
      <c r="T157" s="141">
        <f t="shared" si="213"/>
        <v>0.25238358299437597</v>
      </c>
      <c r="U157" s="141">
        <f t="shared" si="213"/>
        <v>0.24898028762620594</v>
      </c>
      <c r="V157" s="141">
        <f t="shared" si="213"/>
        <v>0.25207736652898555</v>
      </c>
      <c r="W157" s="141">
        <f t="shared" ref="W157:Y157" si="214">IF(W20=0,0,W20/W47)</f>
        <v>0.24435039587014498</v>
      </c>
      <c r="X157" s="141">
        <f t="shared" si="214"/>
        <v>0.24516562104491171</v>
      </c>
      <c r="Y157" s="141">
        <f t="shared" si="214"/>
        <v>0.24587481119761564</v>
      </c>
      <c r="DA157" s="174" t="s">
        <v>568</v>
      </c>
    </row>
    <row r="158" spans="1:105" ht="11.45" customHeight="1" x14ac:dyDescent="0.25">
      <c r="A158" s="111" t="s">
        <v>110</v>
      </c>
      <c r="B158" s="96">
        <v>0.18697311194620816</v>
      </c>
      <c r="C158" s="96">
        <v>0.18768318703388215</v>
      </c>
      <c r="D158" s="96">
        <v>0.18685783138421652</v>
      </c>
      <c r="E158" s="96">
        <v>0.18586342740836576</v>
      </c>
      <c r="F158" s="96">
        <v>0.18572975737337938</v>
      </c>
      <c r="G158" s="96">
        <v>0.18438474680236183</v>
      </c>
      <c r="H158" s="96">
        <v>0.1843800815710733</v>
      </c>
      <c r="I158" s="96">
        <v>0.18338706173049471</v>
      </c>
      <c r="J158" s="96">
        <v>0.18440135236806704</v>
      </c>
      <c r="K158" s="96">
        <v>0.18735024301491138</v>
      </c>
      <c r="L158" s="96">
        <v>0.18717063861037769</v>
      </c>
      <c r="M158" s="96">
        <v>0.18918356398786618</v>
      </c>
      <c r="N158" s="96">
        <v>0.19338797607864877</v>
      </c>
      <c r="O158" s="96">
        <v>0.18902276703431573</v>
      </c>
      <c r="P158" s="96">
        <v>0.18631511179392185</v>
      </c>
      <c r="Q158" s="96">
        <v>0.18384024973985405</v>
      </c>
      <c r="R158" s="96">
        <v>0.18407330336232078</v>
      </c>
      <c r="S158" s="96">
        <v>0.18211626973516734</v>
      </c>
      <c r="T158" s="96">
        <v>0.17747406158419415</v>
      </c>
      <c r="U158" s="96">
        <v>0.17627549459812594</v>
      </c>
      <c r="V158" s="96">
        <v>0.17955146117612242</v>
      </c>
      <c r="W158" s="96">
        <v>0.17533806665083129</v>
      </c>
      <c r="X158" s="96">
        <v>0.17495420967006839</v>
      </c>
      <c r="Y158" s="96">
        <v>0.17457259213247281</v>
      </c>
      <c r="DA158" s="171" t="s">
        <v>569</v>
      </c>
    </row>
    <row r="159" spans="1:105" ht="11.45" customHeight="1" x14ac:dyDescent="0.25">
      <c r="A159" s="111" t="s">
        <v>111</v>
      </c>
      <c r="B159" s="96">
        <v>0.32054099832822558</v>
      </c>
      <c r="C159" s="96">
        <v>0.31712008000494601</v>
      </c>
      <c r="D159" s="96">
        <v>0.31390723049914504</v>
      </c>
      <c r="E159" s="96">
        <v>0.31235777561390893</v>
      </c>
      <c r="F159" s="96">
        <v>0.3104252578442056</v>
      </c>
      <c r="G159" s="96">
        <v>0.30872291702270233</v>
      </c>
      <c r="H159" s="96">
        <v>0.30730134241150941</v>
      </c>
      <c r="I159" s="96">
        <v>0.30611288630095285</v>
      </c>
      <c r="J159" s="96">
        <v>0.30665814765024774</v>
      </c>
      <c r="K159" s="96">
        <v>0.30639021740696781</v>
      </c>
      <c r="L159" s="96">
        <v>0.30875568273410015</v>
      </c>
      <c r="M159" s="96">
        <v>0.31422732281862892</v>
      </c>
      <c r="N159" s="96">
        <v>0.3221252192967709</v>
      </c>
      <c r="O159" s="96">
        <v>0.30930109011820645</v>
      </c>
      <c r="P159" s="96">
        <v>0.30893260957714375</v>
      </c>
      <c r="Q159" s="96">
        <v>0.30053777922361552</v>
      </c>
      <c r="R159" s="96">
        <v>0.29935089502839052</v>
      </c>
      <c r="S159" s="96">
        <v>0.30112644553446377</v>
      </c>
      <c r="T159" s="96">
        <v>0.30218009489955183</v>
      </c>
      <c r="U159" s="96">
        <v>0.29856828230381988</v>
      </c>
      <c r="V159" s="96">
        <v>0.30569011990972716</v>
      </c>
      <c r="W159" s="96">
        <v>0.2973758713605093</v>
      </c>
      <c r="X159" s="96">
        <v>0.29672484442544278</v>
      </c>
      <c r="Y159" s="96">
        <v>0.29607761561805018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</v>
      </c>
      <c r="P160" s="96">
        <v>0</v>
      </c>
      <c r="Q160" s="96">
        <v>0</v>
      </c>
      <c r="R160" s="96">
        <v>0</v>
      </c>
      <c r="S160" s="96">
        <v>0</v>
      </c>
      <c r="T160" s="96">
        <v>0</v>
      </c>
      <c r="U160" s="96">
        <v>0</v>
      </c>
      <c r="V160" s="96">
        <v>0</v>
      </c>
      <c r="W160" s="96">
        <v>0</v>
      </c>
      <c r="X160" s="96">
        <v>0</v>
      </c>
      <c r="Y160" s="96">
        <v>0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X161" s="96">
        <v>0</v>
      </c>
      <c r="Y161" s="96">
        <v>0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9.1749927440955208</v>
      </c>
      <c r="C163" s="130">
        <f t="shared" si="215"/>
        <v>9.1852779537467804</v>
      </c>
      <c r="D163" s="130">
        <f t="shared" si="215"/>
        <v>9.1965670962453494</v>
      </c>
      <c r="E163" s="130">
        <f t="shared" si="215"/>
        <v>9.3320798002260723</v>
      </c>
      <c r="F163" s="130">
        <f t="shared" si="215"/>
        <v>10.839584052997195</v>
      </c>
      <c r="G163" s="130">
        <f t="shared" si="215"/>
        <v>9.0836062459699605</v>
      </c>
      <c r="H163" s="130">
        <f t="shared" si="215"/>
        <v>10.364725887016025</v>
      </c>
      <c r="I163" s="130">
        <f t="shared" si="215"/>
        <v>8.840310995523927</v>
      </c>
      <c r="J163" s="130">
        <f t="shared" si="215"/>
        <v>8.9346253270842837</v>
      </c>
      <c r="K163" s="130">
        <f t="shared" si="215"/>
        <v>8.8676015733219078</v>
      </c>
      <c r="L163" s="130">
        <f t="shared" ref="L163" si="216">IF(L26=0,0,L26/L53)</f>
        <v>9.1193355535409086</v>
      </c>
      <c r="M163" s="130">
        <f t="shared" ref="M163:V163" si="217">IF(M26=0,0,M26/M53)</f>
        <v>8.7904862157106507</v>
      </c>
      <c r="N163" s="130">
        <f t="shared" si="217"/>
        <v>9.0824299553093777</v>
      </c>
      <c r="O163" s="130">
        <f t="shared" si="217"/>
        <v>8.4846488967087055</v>
      </c>
      <c r="P163" s="130">
        <f t="shared" si="217"/>
        <v>8.7365253376729939</v>
      </c>
      <c r="Q163" s="130">
        <f t="shared" si="217"/>
        <v>8.3671599084910984</v>
      </c>
      <c r="R163" s="130">
        <f t="shared" si="217"/>
        <v>8.9583188750705176</v>
      </c>
      <c r="S163" s="130">
        <f t="shared" si="217"/>
        <v>9.3607886052677465</v>
      </c>
      <c r="T163" s="130">
        <f t="shared" si="217"/>
        <v>9.1367440743423192</v>
      </c>
      <c r="U163" s="130">
        <f t="shared" si="217"/>
        <v>9.007920326281921</v>
      </c>
      <c r="V163" s="130">
        <f t="shared" si="217"/>
        <v>8.7625370350085099</v>
      </c>
      <c r="W163" s="130">
        <f t="shared" ref="W163:Y163" si="218">IF(W26=0,0,W26/W53)</f>
        <v>8.9933828435056267</v>
      </c>
      <c r="X163" s="130">
        <f t="shared" si="218"/>
        <v>8.9701768497988148</v>
      </c>
      <c r="Y163" s="130">
        <f t="shared" si="218"/>
        <v>9.0805741209015594</v>
      </c>
      <c r="DA163" s="176" t="s">
        <v>574</v>
      </c>
    </row>
    <row r="164" spans="1:105" ht="11.45" customHeight="1" x14ac:dyDescent="0.25">
      <c r="A164" s="128" t="s">
        <v>27</v>
      </c>
      <c r="B164" s="97">
        <v>8.9437939110070257</v>
      </c>
      <c r="C164" s="97">
        <v>8.9437939110070257</v>
      </c>
      <c r="D164" s="97">
        <v>8.9437939110070257</v>
      </c>
      <c r="E164" s="97">
        <v>8.9437939110070257</v>
      </c>
      <c r="F164" s="97">
        <v>10.670588235294117</v>
      </c>
      <c r="G164" s="97">
        <v>8.7233096085409247</v>
      </c>
      <c r="H164" s="97">
        <v>10.075944487278335</v>
      </c>
      <c r="I164" s="97">
        <v>8.4878906250000004</v>
      </c>
      <c r="J164" s="97">
        <v>8.6671413314346744</v>
      </c>
      <c r="K164" s="97">
        <v>8.6343549536707052</v>
      </c>
      <c r="L164" s="97">
        <v>8.8215158924205372</v>
      </c>
      <c r="M164" s="97">
        <v>8.4255639097744357</v>
      </c>
      <c r="N164" s="97">
        <v>8.6814112690889935</v>
      </c>
      <c r="O164" s="97">
        <v>7.8755417956656348</v>
      </c>
      <c r="P164" s="97">
        <v>8.2347494553376901</v>
      </c>
      <c r="Q164" s="97">
        <v>7.8163371488033295</v>
      </c>
      <c r="R164" s="97">
        <v>8.4445579969340834</v>
      </c>
      <c r="S164" s="97">
        <v>8.6817192600652877</v>
      </c>
      <c r="T164" s="97">
        <v>8.4582441113490372</v>
      </c>
      <c r="U164" s="97">
        <v>8.7142139628327477</v>
      </c>
      <c r="V164" s="97">
        <v>8.2680412371134029</v>
      </c>
      <c r="W164" s="97">
        <v>8.4006116207951074</v>
      </c>
      <c r="X164" s="97">
        <v>8.3455389375966984</v>
      </c>
      <c r="Y164" s="97">
        <v>8.431986340352875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14.338603689647606</v>
      </c>
      <c r="E165" s="98">
        <v>14.254152494203543</v>
      </c>
      <c r="F165" s="98">
        <v>13.993137904941621</v>
      </c>
      <c r="G165" s="98">
        <v>13.999403714336371</v>
      </c>
      <c r="H165" s="98">
        <v>14.088849058887035</v>
      </c>
      <c r="I165" s="98">
        <v>14.115262081857326</v>
      </c>
      <c r="J165" s="98">
        <v>13.915448013039786</v>
      </c>
      <c r="K165" s="98">
        <v>13.731801555818866</v>
      </c>
      <c r="L165" s="98">
        <v>14.178700182725075</v>
      </c>
      <c r="M165" s="98">
        <v>14.133203670456814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13.933281647068958</v>
      </c>
      <c r="S165" s="98">
        <v>14.012038113892801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8648.4181911476462</v>
      </c>
      <c r="C167" s="54">
        <f t="shared" si="219"/>
        <v>8774.6932553241841</v>
      </c>
      <c r="D167" s="54">
        <f t="shared" si="219"/>
        <v>8914.2475969502229</v>
      </c>
      <c r="E167" s="54">
        <f t="shared" si="219"/>
        <v>8865.9813565995737</v>
      </c>
      <c r="F167" s="54">
        <f t="shared" si="219"/>
        <v>9219.1134740070938</v>
      </c>
      <c r="G167" s="54">
        <f t="shared" si="219"/>
        <v>9256.7038700915655</v>
      </c>
      <c r="H167" s="54">
        <f t="shared" si="219"/>
        <v>9374.8829684832817</v>
      </c>
      <c r="I167" s="54">
        <f t="shared" si="219"/>
        <v>9355.0849684709174</v>
      </c>
      <c r="J167" s="54">
        <f t="shared" si="219"/>
        <v>9459.130715851863</v>
      </c>
      <c r="K167" s="54">
        <f t="shared" si="219"/>
        <v>9357.6556201964322</v>
      </c>
      <c r="L167" s="54">
        <f t="shared" si="219"/>
        <v>9285.2320674579805</v>
      </c>
      <c r="M167" s="54">
        <f>IF(M30=0,0,M30*1000000/M57)</f>
        <v>8645.4029417844813</v>
      </c>
      <c r="N167" s="54">
        <f t="shared" ref="N167:V167" si="220">IF(N30=0,0,N30*1000000/N57)</f>
        <v>7700.9983557669539</v>
      </c>
      <c r="O167" s="54">
        <f t="shared" si="220"/>
        <v>7625.3285598588573</v>
      </c>
      <c r="P167" s="54">
        <f t="shared" si="220"/>
        <v>7677.1932232310337</v>
      </c>
      <c r="Q167" s="54">
        <f t="shared" si="220"/>
        <v>7815.4807331639377</v>
      </c>
      <c r="R167" s="54">
        <f t="shared" si="220"/>
        <v>7912.8696780084219</v>
      </c>
      <c r="S167" s="54">
        <f t="shared" si="220"/>
        <v>7806.0218142494696</v>
      </c>
      <c r="T167" s="54">
        <f t="shared" si="220"/>
        <v>7912.0437954152703</v>
      </c>
      <c r="U167" s="54">
        <f t="shared" si="220"/>
        <v>7961.9347131240038</v>
      </c>
      <c r="V167" s="54">
        <f t="shared" si="220"/>
        <v>7221.4938237826191</v>
      </c>
      <c r="W167" s="54">
        <f t="shared" ref="W167:Y191" si="221">IF(W30=0,0,W30*1000000/W57)</f>
        <v>7384.1614031277541</v>
      </c>
      <c r="X167" s="54">
        <f t="shared" si="221"/>
        <v>7480.0672742865763</v>
      </c>
      <c r="Y167" s="54">
        <f t="shared" si="221"/>
        <v>7545.7281977307321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8401.4950996810039</v>
      </c>
      <c r="C168" s="28">
        <f t="shared" si="219"/>
        <v>8562.2762505593364</v>
      </c>
      <c r="D168" s="28">
        <f t="shared" si="219"/>
        <v>8690.0831265275119</v>
      </c>
      <c r="E168" s="28">
        <f t="shared" si="219"/>
        <v>8770.5289651295025</v>
      </c>
      <c r="F168" s="28">
        <f t="shared" si="219"/>
        <v>8986.6652127561629</v>
      </c>
      <c r="G168" s="28">
        <f t="shared" si="219"/>
        <v>9068.6085879676139</v>
      </c>
      <c r="H168" s="28">
        <f t="shared" si="219"/>
        <v>9150.6393561512177</v>
      </c>
      <c r="I168" s="28">
        <f t="shared" si="219"/>
        <v>9088.4613127832035</v>
      </c>
      <c r="J168" s="28">
        <f t="shared" si="219"/>
        <v>9229.973477853704</v>
      </c>
      <c r="K168" s="28">
        <f t="shared" si="219"/>
        <v>9114.6732266548224</v>
      </c>
      <c r="L168" s="28">
        <f t="shared" si="219"/>
        <v>8977.398812096646</v>
      </c>
      <c r="M168" s="28">
        <f t="shared" ref="M168:M192" si="222">IF(M31=0,0,M31*1000000/M58)</f>
        <v>8433.3964474579516</v>
      </c>
      <c r="N168" s="28">
        <f t="shared" si="219"/>
        <v>7474.0417429906547</v>
      </c>
      <c r="O168" s="28">
        <f t="shared" si="219"/>
        <v>7221.4298107232098</v>
      </c>
      <c r="P168" s="28">
        <f t="shared" si="219"/>
        <v>7193.1445541887242</v>
      </c>
      <c r="Q168" s="28">
        <f t="shared" si="219"/>
        <v>7126.2094904716396</v>
      </c>
      <c r="R168" s="28">
        <f t="shared" si="219"/>
        <v>7169.6335302341022</v>
      </c>
      <c r="S168" s="28">
        <f t="shared" si="219"/>
        <v>7121.9221843519326</v>
      </c>
      <c r="T168" s="28">
        <f t="shared" si="219"/>
        <v>7194.807391535438</v>
      </c>
      <c r="U168" s="28">
        <f t="shared" si="219"/>
        <v>7219.7600759418356</v>
      </c>
      <c r="V168" s="28">
        <f t="shared" si="219"/>
        <v>6579.3682591257502</v>
      </c>
      <c r="W168" s="28">
        <f t="shared" si="221"/>
        <v>6608.9284615427277</v>
      </c>
      <c r="X168" s="28">
        <f t="shared" si="221"/>
        <v>6694.0835883881291</v>
      </c>
      <c r="Y168" s="28">
        <f t="shared" si="221"/>
        <v>6775.6542786919572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4854.7034489678099</v>
      </c>
      <c r="C169" s="137">
        <f t="shared" si="219"/>
        <v>4701.4403193788294</v>
      </c>
      <c r="D169" s="137">
        <f t="shared" si="219"/>
        <v>4884.0443716950604</v>
      </c>
      <c r="E169" s="137">
        <f t="shared" si="219"/>
        <v>4861.9733207601612</v>
      </c>
      <c r="F169" s="137">
        <f t="shared" si="219"/>
        <v>4695.1229566028696</v>
      </c>
      <c r="G169" s="137">
        <f t="shared" si="219"/>
        <v>4456.9496583957261</v>
      </c>
      <c r="H169" s="137">
        <f t="shared" si="219"/>
        <v>3939.3835480114058</v>
      </c>
      <c r="I169" s="137">
        <f t="shared" si="219"/>
        <v>3742.3335267914717</v>
      </c>
      <c r="J169" s="137">
        <f t="shared" si="219"/>
        <v>3739.4154895991742</v>
      </c>
      <c r="K169" s="137">
        <f t="shared" si="219"/>
        <v>3665.2053329231539</v>
      </c>
      <c r="L169" s="137">
        <f t="shared" si="219"/>
        <v>4229.0161456523856</v>
      </c>
      <c r="M169" s="137">
        <f t="shared" si="222"/>
        <v>4277.9330745405223</v>
      </c>
      <c r="N169" s="137">
        <f t="shared" si="219"/>
        <v>4419.5340726199011</v>
      </c>
      <c r="O169" s="137">
        <f t="shared" si="219"/>
        <v>4471.0877169111081</v>
      </c>
      <c r="P169" s="137">
        <f t="shared" si="219"/>
        <v>4603.987143683893</v>
      </c>
      <c r="Q169" s="137">
        <f t="shared" si="219"/>
        <v>4565.6714675017811</v>
      </c>
      <c r="R169" s="137">
        <f t="shared" si="219"/>
        <v>4606.1468062361464</v>
      </c>
      <c r="S169" s="137">
        <f t="shared" si="219"/>
        <v>4318.7344771994531</v>
      </c>
      <c r="T169" s="137">
        <f t="shared" si="219"/>
        <v>4227.128041330111</v>
      </c>
      <c r="U169" s="137">
        <f t="shared" si="219"/>
        <v>4412.1340517417775</v>
      </c>
      <c r="V169" s="137">
        <f t="shared" si="219"/>
        <v>3881.5788205033432</v>
      </c>
      <c r="W169" s="137">
        <f t="shared" si="221"/>
        <v>3940.9562772288741</v>
      </c>
      <c r="X169" s="137">
        <f t="shared" si="221"/>
        <v>3898.9358869846787</v>
      </c>
      <c r="Y169" s="137">
        <f t="shared" si="221"/>
        <v>4070.7435237460454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9026.5804971902235</v>
      </c>
      <c r="C170" s="110">
        <f t="shared" si="219"/>
        <v>9289.6281906522072</v>
      </c>
      <c r="D170" s="110">
        <f t="shared" si="219"/>
        <v>9420.1500827571526</v>
      </c>
      <c r="E170" s="110">
        <f t="shared" si="219"/>
        <v>9540.6160200966769</v>
      </c>
      <c r="F170" s="110">
        <f t="shared" si="219"/>
        <v>9899.6523686783639</v>
      </c>
      <c r="G170" s="110">
        <f t="shared" si="219"/>
        <v>10091.23724861534</v>
      </c>
      <c r="H170" s="110">
        <f t="shared" si="219"/>
        <v>10374.532841854669</v>
      </c>
      <c r="I170" s="110">
        <f t="shared" si="219"/>
        <v>10383.659326950095</v>
      </c>
      <c r="J170" s="110">
        <f t="shared" si="219"/>
        <v>10633.475719246424</v>
      </c>
      <c r="K170" s="110">
        <f t="shared" si="219"/>
        <v>10544.991068492123</v>
      </c>
      <c r="L170" s="110">
        <f t="shared" si="219"/>
        <v>10238.522009812121</v>
      </c>
      <c r="M170" s="110">
        <f t="shared" si="222"/>
        <v>9550.7793953468099</v>
      </c>
      <c r="N170" s="110">
        <f t="shared" si="219"/>
        <v>8277.3311966388846</v>
      </c>
      <c r="O170" s="110">
        <f t="shared" si="219"/>
        <v>7945.3550071909367</v>
      </c>
      <c r="P170" s="110">
        <f t="shared" si="219"/>
        <v>7881.8426810939009</v>
      </c>
      <c r="Q170" s="110">
        <f t="shared" si="219"/>
        <v>7817.3349716867651</v>
      </c>
      <c r="R170" s="110">
        <f t="shared" si="219"/>
        <v>7872.8413131912694</v>
      </c>
      <c r="S170" s="110">
        <f t="shared" si="219"/>
        <v>7895.2282384525843</v>
      </c>
      <c r="T170" s="110">
        <f t="shared" si="219"/>
        <v>7971.3788632198812</v>
      </c>
      <c r="U170" s="110">
        <f t="shared" si="219"/>
        <v>7947.1643380070782</v>
      </c>
      <c r="V170" s="110">
        <f t="shared" si="219"/>
        <v>7274.3789477397486</v>
      </c>
      <c r="W170" s="110">
        <f t="shared" si="221"/>
        <v>7299.6664023119074</v>
      </c>
      <c r="X170" s="110">
        <f t="shared" si="221"/>
        <v>7426.1742119035753</v>
      </c>
      <c r="Y170" s="110">
        <f t="shared" si="221"/>
        <v>7493.8823139652604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8634.3840918891037</v>
      </c>
      <c r="C171" s="84">
        <f t="shared" si="219"/>
        <v>8933.2693996388862</v>
      </c>
      <c r="D171" s="84">
        <f t="shared" si="219"/>
        <v>9082.6406308322566</v>
      </c>
      <c r="E171" s="84">
        <f t="shared" si="219"/>
        <v>9202.4774421553466</v>
      </c>
      <c r="F171" s="84">
        <f t="shared" si="219"/>
        <v>9608.0668399589467</v>
      </c>
      <c r="G171" s="84">
        <f t="shared" si="219"/>
        <v>9806.9661803769832</v>
      </c>
      <c r="H171" s="84">
        <f t="shared" si="219"/>
        <v>10071.696011848097</v>
      </c>
      <c r="I171" s="84">
        <f t="shared" si="219"/>
        <v>10079.502469369007</v>
      </c>
      <c r="J171" s="84">
        <f t="shared" si="219"/>
        <v>10356.789749105401</v>
      </c>
      <c r="K171" s="84">
        <f t="shared" si="219"/>
        <v>10234.531219638402</v>
      </c>
      <c r="L171" s="84">
        <f t="shared" si="219"/>
        <v>9928.4370653051883</v>
      </c>
      <c r="M171" s="84">
        <f t="shared" si="222"/>
        <v>9172.2765876503599</v>
      </c>
      <c r="N171" s="84">
        <f t="shared" si="219"/>
        <v>7940.923689503863</v>
      </c>
      <c r="O171" s="84">
        <f t="shared" si="219"/>
        <v>7452.8755657088532</v>
      </c>
      <c r="P171" s="84">
        <f t="shared" si="219"/>
        <v>7221.3291927841283</v>
      </c>
      <c r="Q171" s="84">
        <f t="shared" si="219"/>
        <v>7153.7919657408502</v>
      </c>
      <c r="R171" s="84">
        <f t="shared" si="219"/>
        <v>7062.3183742716401</v>
      </c>
      <c r="S171" s="84">
        <f t="shared" si="219"/>
        <v>6996.3905106037928</v>
      </c>
      <c r="T171" s="84">
        <f t="shared" si="219"/>
        <v>6910.902433592566</v>
      </c>
      <c r="U171" s="84">
        <f t="shared" si="219"/>
        <v>6670.5389583094538</v>
      </c>
      <c r="V171" s="84">
        <f t="shared" si="219"/>
        <v>5992.276458921574</v>
      </c>
      <c r="W171" s="84">
        <f t="shared" si="221"/>
        <v>5987.0349338353508</v>
      </c>
      <c r="X171" s="84">
        <f t="shared" si="221"/>
        <v>6073.6922014748634</v>
      </c>
      <c r="Y171" s="84">
        <f t="shared" si="221"/>
        <v>6117.1511353724218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20810.758463942402</v>
      </c>
      <c r="C172" s="84">
        <f t="shared" si="219"/>
        <v>21095.228028763158</v>
      </c>
      <c r="D172" s="84">
        <f t="shared" si="219"/>
        <v>21378.599773037273</v>
      </c>
      <c r="E172" s="84">
        <f t="shared" si="219"/>
        <v>21663.678706814699</v>
      </c>
      <c r="F172" s="84">
        <f t="shared" si="219"/>
        <v>21921.453639605748</v>
      </c>
      <c r="G172" s="84">
        <f t="shared" si="219"/>
        <v>22213.884102416981</v>
      </c>
      <c r="H172" s="84">
        <f t="shared" si="219"/>
        <v>22485.085952900208</v>
      </c>
      <c r="I172" s="84">
        <f t="shared" si="219"/>
        <v>22505.855565624886</v>
      </c>
      <c r="J172" s="84">
        <f t="shared" si="219"/>
        <v>22138.710250237618</v>
      </c>
      <c r="K172" s="84">
        <f t="shared" si="219"/>
        <v>21744.890909961221</v>
      </c>
      <c r="L172" s="84">
        <f t="shared" si="219"/>
        <v>20561.080133764233</v>
      </c>
      <c r="M172" s="84">
        <f t="shared" si="222"/>
        <v>19658.774004644547</v>
      </c>
      <c r="N172" s="84">
        <f t="shared" si="219"/>
        <v>18523.713017174581</v>
      </c>
      <c r="O172" s="84">
        <f t="shared" si="219"/>
        <v>17604.15983633211</v>
      </c>
      <c r="P172" s="84">
        <f t="shared" si="219"/>
        <v>18119.777797919465</v>
      </c>
      <c r="Q172" s="84">
        <f t="shared" si="219"/>
        <v>17079.967520630766</v>
      </c>
      <c r="R172" s="84">
        <f t="shared" si="219"/>
        <v>18067.695153896835</v>
      </c>
      <c r="S172" s="84">
        <f t="shared" si="219"/>
        <v>19027.726681250591</v>
      </c>
      <c r="T172" s="84">
        <f t="shared" si="219"/>
        <v>20181.498179791335</v>
      </c>
      <c r="U172" s="84">
        <f t="shared" si="219"/>
        <v>21122.989461941681</v>
      </c>
      <c r="V172" s="84">
        <f t="shared" si="219"/>
        <v>18878.949064098095</v>
      </c>
      <c r="W172" s="84">
        <f t="shared" si="221"/>
        <v>19635.610900053918</v>
      </c>
      <c r="X172" s="84">
        <f t="shared" si="221"/>
        <v>20424.008448125122</v>
      </c>
      <c r="Y172" s="84">
        <f t="shared" si="221"/>
        <v>20916.129335739162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17510.725314252461</v>
      </c>
      <c r="C173" s="84">
        <f t="shared" si="219"/>
        <v>18434.161544387272</v>
      </c>
      <c r="D173" s="84">
        <f t="shared" si="219"/>
        <v>17792.17832364393</v>
      </c>
      <c r="E173" s="84">
        <f t="shared" si="219"/>
        <v>17170.888680838576</v>
      </c>
      <c r="F173" s="84">
        <f t="shared" si="219"/>
        <v>17034.916661757019</v>
      </c>
      <c r="G173" s="84">
        <f t="shared" si="219"/>
        <v>17161.670885323201</v>
      </c>
      <c r="H173" s="84">
        <f t="shared" si="219"/>
        <v>17105.46041301377</v>
      </c>
      <c r="I173" s="84">
        <f t="shared" si="219"/>
        <v>17450.806540332414</v>
      </c>
      <c r="J173" s="84">
        <f t="shared" si="219"/>
        <v>17165.820668526878</v>
      </c>
      <c r="K173" s="84">
        <f t="shared" si="219"/>
        <v>17231.572512557937</v>
      </c>
      <c r="L173" s="84">
        <f t="shared" si="219"/>
        <v>17215.842400696216</v>
      </c>
      <c r="M173" s="84">
        <f t="shared" si="222"/>
        <v>17629.59173602175</v>
      </c>
      <c r="N173" s="84">
        <f t="shared" si="219"/>
        <v>16611.691952451649</v>
      </c>
      <c r="O173" s="84">
        <f t="shared" si="219"/>
        <v>17436.031273074212</v>
      </c>
      <c r="P173" s="84">
        <f t="shared" si="219"/>
        <v>17317.447399525317</v>
      </c>
      <c r="Q173" s="84">
        <f t="shared" si="219"/>
        <v>16971.920172289574</v>
      </c>
      <c r="R173" s="84">
        <f t="shared" si="219"/>
        <v>16523.902802934514</v>
      </c>
      <c r="S173" s="84">
        <f t="shared" si="219"/>
        <v>15744.580293881576</v>
      </c>
      <c r="T173" s="84">
        <f t="shared" si="219"/>
        <v>15108.866814260384</v>
      </c>
      <c r="U173" s="84">
        <f t="shared" si="219"/>
        <v>15154.464251843598</v>
      </c>
      <c r="V173" s="84">
        <f t="shared" si="219"/>
        <v>14257.369813248994</v>
      </c>
      <c r="W173" s="84">
        <f t="shared" si="221"/>
        <v>13745.582756597976</v>
      </c>
      <c r="X173" s="84">
        <f t="shared" si="221"/>
        <v>13828.320223602363</v>
      </c>
      <c r="Y173" s="84">
        <f t="shared" si="221"/>
        <v>14006.953319348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15686.584838921834</v>
      </c>
      <c r="D174" s="84">
        <f t="shared" si="219"/>
        <v>15585.590583908521</v>
      </c>
      <c r="E174" s="84">
        <f t="shared" si="219"/>
        <v>15483.746090339408</v>
      </c>
      <c r="F174" s="84">
        <f t="shared" si="219"/>
        <v>15360.770923119993</v>
      </c>
      <c r="G174" s="84">
        <f t="shared" si="219"/>
        <v>15260.472937130704</v>
      </c>
      <c r="H174" s="84">
        <f t="shared" si="219"/>
        <v>15143.904829408842</v>
      </c>
      <c r="I174" s="84">
        <f t="shared" si="219"/>
        <v>14860.679752748032</v>
      </c>
      <c r="J174" s="84">
        <f t="shared" si="219"/>
        <v>14616.483927397461</v>
      </c>
      <c r="K174" s="84">
        <f t="shared" si="219"/>
        <v>14196.795252355314</v>
      </c>
      <c r="L174" s="84">
        <f t="shared" si="219"/>
        <v>13782.858383107785</v>
      </c>
      <c r="M174" s="84">
        <f t="shared" si="222"/>
        <v>13915.651167142423</v>
      </c>
      <c r="N174" s="84">
        <f t="shared" si="219"/>
        <v>14048.772206879479</v>
      </c>
      <c r="O174" s="84">
        <f t="shared" si="219"/>
        <v>14305.032643726674</v>
      </c>
      <c r="P174" s="84">
        <f t="shared" si="219"/>
        <v>14551.638974662348</v>
      </c>
      <c r="Q174" s="84">
        <f t="shared" si="219"/>
        <v>14696.343951838926</v>
      </c>
      <c r="R174" s="84">
        <f t="shared" si="219"/>
        <v>15102.049664152652</v>
      </c>
      <c r="S174" s="84">
        <f t="shared" si="219"/>
        <v>14844.200814175914</v>
      </c>
      <c r="T174" s="84">
        <f t="shared" si="219"/>
        <v>15294.461556515414</v>
      </c>
      <c r="U174" s="84">
        <f t="shared" si="219"/>
        <v>15550.596197159854</v>
      </c>
      <c r="V174" s="84">
        <f t="shared" si="219"/>
        <v>15708.05588562274</v>
      </c>
      <c r="W174" s="84">
        <f t="shared" si="221"/>
        <v>15870.839993494626</v>
      </c>
      <c r="X174" s="84">
        <f t="shared" si="221"/>
        <v>16036.417331901119</v>
      </c>
      <c r="Y174" s="84">
        <f t="shared" si="221"/>
        <v>16207.679897698961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8585.4139352223192</v>
      </c>
      <c r="O175" s="84">
        <f t="shared" si="219"/>
        <v>8906.1066132131164</v>
      </c>
      <c r="P175" s="84">
        <f t="shared" si="219"/>
        <v>8878.4473483128259</v>
      </c>
      <c r="Q175" s="84">
        <f t="shared" si="219"/>
        <v>8787.4020164991543</v>
      </c>
      <c r="R175" s="84">
        <f t="shared" si="219"/>
        <v>8410.2811757589952</v>
      </c>
      <c r="S175" s="84">
        <f t="shared" si="219"/>
        <v>8435.3938874628129</v>
      </c>
      <c r="T175" s="84">
        <f t="shared" si="219"/>
        <v>8520.8430552033551</v>
      </c>
      <c r="U175" s="84">
        <f t="shared" si="219"/>
        <v>8493.6673164922886</v>
      </c>
      <c r="V175" s="84">
        <f t="shared" si="219"/>
        <v>8243.2134160321566</v>
      </c>
      <c r="W175" s="84">
        <f t="shared" si="221"/>
        <v>8331.9714253741877</v>
      </c>
      <c r="X175" s="84">
        <f t="shared" si="221"/>
        <v>8253.820820876992</v>
      </c>
      <c r="Y175" s="84">
        <f t="shared" si="221"/>
        <v>8178.400341158097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0</v>
      </c>
      <c r="L176" s="84">
        <f t="shared" si="219"/>
        <v>0</v>
      </c>
      <c r="M176" s="84">
        <f t="shared" si="222"/>
        <v>0</v>
      </c>
      <c r="N176" s="84">
        <f t="shared" si="219"/>
        <v>13494.353603431289</v>
      </c>
      <c r="O176" s="84">
        <f t="shared" si="219"/>
        <v>13537.218654989834</v>
      </c>
      <c r="P176" s="84">
        <f t="shared" si="219"/>
        <v>13558.597862970802</v>
      </c>
      <c r="Q176" s="84">
        <f t="shared" si="219"/>
        <v>13575.587074883908</v>
      </c>
      <c r="R176" s="84">
        <f t="shared" si="219"/>
        <v>13470.722408531097</v>
      </c>
      <c r="S176" s="84">
        <f t="shared" si="219"/>
        <v>13443.477044936006</v>
      </c>
      <c r="T176" s="84">
        <f t="shared" si="219"/>
        <v>13436.773889658023</v>
      </c>
      <c r="U176" s="84">
        <f t="shared" si="219"/>
        <v>13428.265517839953</v>
      </c>
      <c r="V176" s="84">
        <f t="shared" si="219"/>
        <v>11800.910880244168</v>
      </c>
      <c r="W176" s="84">
        <f t="shared" si="221"/>
        <v>13346.84972480943</v>
      </c>
      <c r="X176" s="84">
        <f t="shared" si="221"/>
        <v>13384.09927199802</v>
      </c>
      <c r="Y176" s="84">
        <f t="shared" si="221"/>
        <v>13422.062903612088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28398.780226480758</v>
      </c>
      <c r="C177" s="110">
        <f t="shared" si="219"/>
        <v>28753.165963206771</v>
      </c>
      <c r="D177" s="110">
        <f t="shared" si="219"/>
        <v>29167.214987600819</v>
      </c>
      <c r="E177" s="110">
        <f t="shared" si="219"/>
        <v>29554.404178584216</v>
      </c>
      <c r="F177" s="110">
        <f t="shared" si="219"/>
        <v>29748.295808657196</v>
      </c>
      <c r="G177" s="110">
        <f t="shared" si="219"/>
        <v>30133.8278824277</v>
      </c>
      <c r="H177" s="110">
        <f t="shared" si="219"/>
        <v>30978.67882259846</v>
      </c>
      <c r="I177" s="110">
        <f t="shared" si="219"/>
        <v>30870.910943196392</v>
      </c>
      <c r="J177" s="110">
        <f t="shared" si="219"/>
        <v>30028.761057771917</v>
      </c>
      <c r="K177" s="110">
        <f t="shared" si="219"/>
        <v>29161.367423738971</v>
      </c>
      <c r="L177" s="110">
        <f t="shared" si="219"/>
        <v>29375.56537687538</v>
      </c>
      <c r="M177" s="110">
        <f t="shared" si="222"/>
        <v>29887.2308105015</v>
      </c>
      <c r="N177" s="110">
        <f t="shared" si="219"/>
        <v>29841.783640775295</v>
      </c>
      <c r="O177" s="110">
        <f t="shared" si="219"/>
        <v>30002.01671905406</v>
      </c>
      <c r="P177" s="110">
        <f t="shared" si="219"/>
        <v>30100.898322242614</v>
      </c>
      <c r="Q177" s="110">
        <f t="shared" si="219"/>
        <v>30160.19178537152</v>
      </c>
      <c r="R177" s="110">
        <f t="shared" si="219"/>
        <v>29856.384322667021</v>
      </c>
      <c r="S177" s="110">
        <f t="shared" si="219"/>
        <v>29292.435176078994</v>
      </c>
      <c r="T177" s="110">
        <f t="shared" si="219"/>
        <v>29514.790614283131</v>
      </c>
      <c r="U177" s="110">
        <f t="shared" si="219"/>
        <v>29107.490530424559</v>
      </c>
      <c r="V177" s="110">
        <f t="shared" si="219"/>
        <v>28919.77443375433</v>
      </c>
      <c r="W177" s="110">
        <f t="shared" si="221"/>
        <v>28881.198734271933</v>
      </c>
      <c r="X177" s="110">
        <f t="shared" si="221"/>
        <v>28983.549463153449</v>
      </c>
      <c r="Y177" s="110">
        <f t="shared" si="221"/>
        <v>29073.276440496527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X178" s="102">
        <f t="shared" si="221"/>
        <v>0</v>
      </c>
      <c r="Y178" s="102">
        <f t="shared" si="221"/>
        <v>0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28398.780226480758</v>
      </c>
      <c r="C179" s="102">
        <f t="shared" si="219"/>
        <v>28642.21142336855</v>
      </c>
      <c r="D179" s="102">
        <f t="shared" si="219"/>
        <v>28994.429225538417</v>
      </c>
      <c r="E179" s="102">
        <f t="shared" si="219"/>
        <v>29361.94157619221</v>
      </c>
      <c r="F179" s="102">
        <f t="shared" si="219"/>
        <v>29553.741988347178</v>
      </c>
      <c r="G179" s="102">
        <f t="shared" si="219"/>
        <v>29924.385514358542</v>
      </c>
      <c r="H179" s="102">
        <f t="shared" si="219"/>
        <v>30755.766549406682</v>
      </c>
      <c r="I179" s="102">
        <f t="shared" si="219"/>
        <v>30612.340301903616</v>
      </c>
      <c r="J179" s="102">
        <f t="shared" si="219"/>
        <v>29767.263011601302</v>
      </c>
      <c r="K179" s="102">
        <f t="shared" si="219"/>
        <v>28918.80538313312</v>
      </c>
      <c r="L179" s="102">
        <f t="shared" si="219"/>
        <v>29140.953141977698</v>
      </c>
      <c r="M179" s="102">
        <f t="shared" si="222"/>
        <v>29654.184098552945</v>
      </c>
      <c r="N179" s="102">
        <f t="shared" si="219"/>
        <v>29609.335614625998</v>
      </c>
      <c r="O179" s="102">
        <f t="shared" si="219"/>
        <v>29550.758521888634</v>
      </c>
      <c r="P179" s="102">
        <f t="shared" si="219"/>
        <v>29650.527597268894</v>
      </c>
      <c r="Q179" s="102">
        <f t="shared" si="219"/>
        <v>29692.456087266753</v>
      </c>
      <c r="R179" s="102">
        <f t="shared" si="219"/>
        <v>29381.029463262519</v>
      </c>
      <c r="S179" s="102">
        <f t="shared" si="219"/>
        <v>28834.615384737393</v>
      </c>
      <c r="T179" s="102">
        <f t="shared" si="219"/>
        <v>29016.110566110507</v>
      </c>
      <c r="U179" s="102">
        <f t="shared" si="219"/>
        <v>28579.244524404825</v>
      </c>
      <c r="V179" s="102">
        <f t="shared" si="219"/>
        <v>28359.184370929419</v>
      </c>
      <c r="W179" s="102">
        <f t="shared" si="221"/>
        <v>28278.235726507166</v>
      </c>
      <c r="X179" s="102">
        <f t="shared" si="221"/>
        <v>28278.473997682642</v>
      </c>
      <c r="Y179" s="102">
        <f t="shared" si="221"/>
        <v>28376.935607098367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X180" s="102">
        <f t="shared" si="221"/>
        <v>0</v>
      </c>
      <c r="Y180" s="102">
        <f t="shared" si="221"/>
        <v>0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38491.395382298411</v>
      </c>
      <c r="D181" s="102">
        <f t="shared" si="223"/>
        <v>39073.598679178547</v>
      </c>
      <c r="E181" s="102">
        <f t="shared" si="223"/>
        <v>39618.407933896458</v>
      </c>
      <c r="F181" s="102">
        <f t="shared" si="223"/>
        <v>39891.364941493179</v>
      </c>
      <c r="G181" s="102">
        <f t="shared" si="223"/>
        <v>40434.373571083459</v>
      </c>
      <c r="H181" s="102">
        <f t="shared" si="223"/>
        <v>41625.526270920534</v>
      </c>
      <c r="I181" s="102">
        <f t="shared" si="223"/>
        <v>41473.493340059278</v>
      </c>
      <c r="J181" s="102">
        <f t="shared" si="223"/>
        <v>40286.355949165139</v>
      </c>
      <c r="K181" s="102">
        <f t="shared" si="223"/>
        <v>39065.373401950608</v>
      </c>
      <c r="L181" s="102">
        <f t="shared" si="223"/>
        <v>39366.721370738742</v>
      </c>
      <c r="M181" s="102">
        <f t="shared" si="222"/>
        <v>40087.009784758295</v>
      </c>
      <c r="N181" s="102">
        <f t="shared" si="223"/>
        <v>40023.007186114279</v>
      </c>
      <c r="O181" s="102">
        <f t="shared" si="223"/>
        <v>40248.682788150145</v>
      </c>
      <c r="P181" s="102">
        <f t="shared" si="223"/>
        <v>40387.979789218989</v>
      </c>
      <c r="Q181" s="102">
        <f t="shared" si="223"/>
        <v>40471.518960475478</v>
      </c>
      <c r="R181" s="102">
        <f t="shared" si="223"/>
        <v>40043.568586447524</v>
      </c>
      <c r="S181" s="102">
        <f t="shared" si="223"/>
        <v>39249.755169073847</v>
      </c>
      <c r="T181" s="102">
        <f t="shared" si="223"/>
        <v>39562.651694831038</v>
      </c>
      <c r="U181" s="102">
        <f t="shared" si="223"/>
        <v>38989.593180943026</v>
      </c>
      <c r="V181" s="102">
        <f t="shared" si="223"/>
        <v>38725.617095670226</v>
      </c>
      <c r="W181" s="102">
        <f t="shared" si="221"/>
        <v>38671.380544477986</v>
      </c>
      <c r="X181" s="102">
        <f t="shared" si="221"/>
        <v>38815.29125996428</v>
      </c>
      <c r="Y181" s="102">
        <f t="shared" si="221"/>
        <v>38941.473198144136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0</v>
      </c>
      <c r="K182" s="102">
        <f t="shared" si="223"/>
        <v>0</v>
      </c>
      <c r="L182" s="102">
        <f t="shared" si="223"/>
        <v>0</v>
      </c>
      <c r="M182" s="102">
        <f t="shared" si="222"/>
        <v>0</v>
      </c>
      <c r="N182" s="102">
        <f t="shared" si="223"/>
        <v>0</v>
      </c>
      <c r="O182" s="102">
        <f t="shared" si="223"/>
        <v>46275.616965266447</v>
      </c>
      <c r="P182" s="102">
        <f t="shared" si="223"/>
        <v>46283.230885069977</v>
      </c>
      <c r="Q182" s="102">
        <f t="shared" si="223"/>
        <v>46287.785115570245</v>
      </c>
      <c r="R182" s="102">
        <f t="shared" si="223"/>
        <v>46264.359694062732</v>
      </c>
      <c r="S182" s="102">
        <f t="shared" si="223"/>
        <v>46220.269038952589</v>
      </c>
      <c r="T182" s="102">
        <f t="shared" si="223"/>
        <v>46202.795957598224</v>
      </c>
      <c r="U182" s="102">
        <f t="shared" si="223"/>
        <v>46170.705481030236</v>
      </c>
      <c r="V182" s="102">
        <f t="shared" si="223"/>
        <v>45947.206562679348</v>
      </c>
      <c r="W182" s="102">
        <f t="shared" si="221"/>
        <v>46152.691508493226</v>
      </c>
      <c r="X182" s="102">
        <f t="shared" si="221"/>
        <v>46160.855692184334</v>
      </c>
      <c r="Y182" s="102">
        <f t="shared" si="221"/>
        <v>46167.990421592898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9839.1600400151474</v>
      </c>
      <c r="C183" s="28">
        <f t="shared" si="223"/>
        <v>9832.7269129137694</v>
      </c>
      <c r="D183" s="28">
        <f t="shared" si="223"/>
        <v>10065.723969215931</v>
      </c>
      <c r="E183" s="28">
        <f t="shared" si="223"/>
        <v>9375.5373083855484</v>
      </c>
      <c r="F183" s="28">
        <f t="shared" si="223"/>
        <v>10466.548858723121</v>
      </c>
      <c r="G183" s="28">
        <f t="shared" si="223"/>
        <v>10370.969832046847</v>
      </c>
      <c r="H183" s="28">
        <f t="shared" si="223"/>
        <v>10711.006933726578</v>
      </c>
      <c r="I183" s="28">
        <f t="shared" si="223"/>
        <v>10975.774548359081</v>
      </c>
      <c r="J183" s="28">
        <f t="shared" si="223"/>
        <v>10853.690337582548</v>
      </c>
      <c r="K183" s="28">
        <f t="shared" si="223"/>
        <v>10929.520799199576</v>
      </c>
      <c r="L183" s="28">
        <f t="shared" si="223"/>
        <v>11331.983433994827</v>
      </c>
      <c r="M183" s="28">
        <f t="shared" si="222"/>
        <v>10186.934198517776</v>
      </c>
      <c r="N183" s="28">
        <f t="shared" si="223"/>
        <v>9497.2426144473829</v>
      </c>
      <c r="O183" s="28">
        <f t="shared" si="223"/>
        <v>10943.410733238537</v>
      </c>
      <c r="P183" s="28">
        <f t="shared" si="223"/>
        <v>11858.546270531182</v>
      </c>
      <c r="Q183" s="28">
        <f t="shared" si="223"/>
        <v>13598.311613919201</v>
      </c>
      <c r="R183" s="28">
        <f t="shared" si="223"/>
        <v>14003.492694445169</v>
      </c>
      <c r="S183" s="28">
        <f t="shared" si="223"/>
        <v>14178.526110229624</v>
      </c>
      <c r="T183" s="28">
        <f t="shared" si="223"/>
        <v>14918.498601731757</v>
      </c>
      <c r="U183" s="28">
        <f t="shared" si="223"/>
        <v>15602.21302569681</v>
      </c>
      <c r="V183" s="28">
        <f t="shared" si="223"/>
        <v>14164.992644784417</v>
      </c>
      <c r="W183" s="28">
        <f t="shared" si="221"/>
        <v>16191.09544146394</v>
      </c>
      <c r="X183" s="28">
        <f t="shared" si="221"/>
        <v>16550.479324897766</v>
      </c>
      <c r="Y183" s="28">
        <f t="shared" si="221"/>
        <v>16634.820627003635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8680.9594028853953</v>
      </c>
      <c r="C184" s="137">
        <f t="shared" si="223"/>
        <v>8700.35253906465</v>
      </c>
      <c r="D184" s="137">
        <f t="shared" si="223"/>
        <v>9005.8384640433269</v>
      </c>
      <c r="E184" s="137">
        <f t="shared" si="223"/>
        <v>9410.0124565943552</v>
      </c>
      <c r="F184" s="137">
        <f t="shared" si="223"/>
        <v>9622.1718132287206</v>
      </c>
      <c r="G184" s="137">
        <f t="shared" si="223"/>
        <v>10048.397644828705</v>
      </c>
      <c r="H184" s="137">
        <f t="shared" si="223"/>
        <v>10356.063528334163</v>
      </c>
      <c r="I184" s="137">
        <f t="shared" si="223"/>
        <v>10738.054185763958</v>
      </c>
      <c r="J184" s="137">
        <f t="shared" si="223"/>
        <v>10488.019696860625</v>
      </c>
      <c r="K184" s="137">
        <f t="shared" si="223"/>
        <v>10370.306524442487</v>
      </c>
      <c r="L184" s="137">
        <f t="shared" si="223"/>
        <v>10534.340693190084</v>
      </c>
      <c r="M184" s="137">
        <f t="shared" si="222"/>
        <v>9967.5953464631075</v>
      </c>
      <c r="N184" s="137">
        <f t="shared" si="223"/>
        <v>8929.4579929407155</v>
      </c>
      <c r="O184" s="137">
        <f t="shared" si="223"/>
        <v>10860.95569598669</v>
      </c>
      <c r="P184" s="137">
        <f t="shared" si="223"/>
        <v>11367.892151682052</v>
      </c>
      <c r="Q184" s="137">
        <f t="shared" si="223"/>
        <v>13069.436860241911</v>
      </c>
      <c r="R184" s="137">
        <f t="shared" si="223"/>
        <v>13263.56738647286</v>
      </c>
      <c r="S184" s="137">
        <f t="shared" si="223"/>
        <v>13202.70538163835</v>
      </c>
      <c r="T184" s="137">
        <f t="shared" si="223"/>
        <v>13639.604740080431</v>
      </c>
      <c r="U184" s="137">
        <f t="shared" si="223"/>
        <v>14243.0373778986</v>
      </c>
      <c r="V184" s="137">
        <f t="shared" si="223"/>
        <v>12711.159866811489</v>
      </c>
      <c r="W184" s="137">
        <f t="shared" si="221"/>
        <v>14370.145379381191</v>
      </c>
      <c r="X184" s="137">
        <f t="shared" si="221"/>
        <v>14609.633983693788</v>
      </c>
      <c r="Y184" s="137">
        <f t="shared" si="221"/>
        <v>14846.589802761429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8121.1650250284301</v>
      </c>
      <c r="C185" s="84">
        <f t="shared" si="223"/>
        <v>7968.696197641666</v>
      </c>
      <c r="D185" s="84">
        <f t="shared" si="223"/>
        <v>8146.2474192966383</v>
      </c>
      <c r="E185" s="84">
        <f t="shared" si="223"/>
        <v>8366.5114600214765</v>
      </c>
      <c r="F185" s="84">
        <f t="shared" si="223"/>
        <v>8396.6617927960997</v>
      </c>
      <c r="G185" s="84">
        <f t="shared" si="223"/>
        <v>8707.4133497170187</v>
      </c>
      <c r="H185" s="84">
        <f t="shared" si="223"/>
        <v>8708.5149912980469</v>
      </c>
      <c r="I185" s="84">
        <f t="shared" si="223"/>
        <v>8946.8603109258529</v>
      </c>
      <c r="J185" s="84">
        <f t="shared" si="223"/>
        <v>8703.4934900276894</v>
      </c>
      <c r="K185" s="84">
        <f t="shared" si="223"/>
        <v>8039.7549892474262</v>
      </c>
      <c r="L185" s="84">
        <f t="shared" si="223"/>
        <v>8078.402858544373</v>
      </c>
      <c r="M185" s="84">
        <f t="shared" si="222"/>
        <v>7657.6780549259693</v>
      </c>
      <c r="N185" s="84">
        <f t="shared" si="223"/>
        <v>6860.6738885232189</v>
      </c>
      <c r="O185" s="84">
        <f t="shared" si="223"/>
        <v>7690.3044953905446</v>
      </c>
      <c r="P185" s="84">
        <f t="shared" si="223"/>
        <v>8265.5871731279694</v>
      </c>
      <c r="Q185" s="84">
        <f t="shared" si="223"/>
        <v>8837.1272995260806</v>
      </c>
      <c r="R185" s="84">
        <f t="shared" si="223"/>
        <v>8781.3257248834761</v>
      </c>
      <c r="S185" s="84">
        <f t="shared" si="223"/>
        <v>9263.3993481657508</v>
      </c>
      <c r="T185" s="84">
        <f t="shared" si="223"/>
        <v>10539.977295113316</v>
      </c>
      <c r="U185" s="84">
        <f t="shared" si="223"/>
        <v>10903.210785812245</v>
      </c>
      <c r="V185" s="84">
        <f t="shared" si="223"/>
        <v>9944.1896654998709</v>
      </c>
      <c r="W185" s="84">
        <f t="shared" si="221"/>
        <v>11197.8088578512</v>
      </c>
      <c r="X185" s="84">
        <f t="shared" si="221"/>
        <v>11321.191430145871</v>
      </c>
      <c r="Y185" s="84">
        <f t="shared" si="221"/>
        <v>11445.47483590823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12623.605745592329</v>
      </c>
      <c r="C186" s="84">
        <f t="shared" si="223"/>
        <v>13319.337895540566</v>
      </c>
      <c r="D186" s="84">
        <f t="shared" si="223"/>
        <v>14015.053242067941</v>
      </c>
      <c r="E186" s="84">
        <f t="shared" si="223"/>
        <v>14366.128319174735</v>
      </c>
      <c r="F186" s="84">
        <f t="shared" si="223"/>
        <v>14818.904383204723</v>
      </c>
      <c r="G186" s="84">
        <f t="shared" si="223"/>
        <v>15232.002523572843</v>
      </c>
      <c r="H186" s="84">
        <f t="shared" si="223"/>
        <v>15587.593132420645</v>
      </c>
      <c r="I186" s="84">
        <f t="shared" si="223"/>
        <v>15892.539042091556</v>
      </c>
      <c r="J186" s="84">
        <f t="shared" si="223"/>
        <v>15751.749926340795</v>
      </c>
      <c r="K186" s="84">
        <f t="shared" si="223"/>
        <v>15820.742955722479</v>
      </c>
      <c r="L186" s="84">
        <f t="shared" si="223"/>
        <v>15223.922000529425</v>
      </c>
      <c r="M186" s="84">
        <f t="shared" si="222"/>
        <v>13943.815316628979</v>
      </c>
      <c r="N186" s="84">
        <f t="shared" si="223"/>
        <v>12316.227782107169</v>
      </c>
      <c r="O186" s="84">
        <f t="shared" si="223"/>
        <v>15090.168706010754</v>
      </c>
      <c r="P186" s="84">
        <f t="shared" si="223"/>
        <v>15180.37792387469</v>
      </c>
      <c r="Q186" s="84">
        <f t="shared" si="223"/>
        <v>17422.31989979402</v>
      </c>
      <c r="R186" s="84">
        <f t="shared" si="223"/>
        <v>17770.454827929028</v>
      </c>
      <c r="S186" s="84">
        <f t="shared" si="223"/>
        <v>17252.691609227055</v>
      </c>
      <c r="T186" s="84">
        <f t="shared" si="223"/>
        <v>16953.996227391708</v>
      </c>
      <c r="U186" s="84">
        <f t="shared" si="223"/>
        <v>18004.580233153669</v>
      </c>
      <c r="V186" s="84">
        <f t="shared" si="223"/>
        <v>16002.739549282609</v>
      </c>
      <c r="W186" s="84">
        <f t="shared" si="221"/>
        <v>18368.458459453839</v>
      </c>
      <c r="X186" s="84">
        <f t="shared" si="221"/>
        <v>18570.850524060854</v>
      </c>
      <c r="Y186" s="84">
        <f t="shared" si="221"/>
        <v>18774.720281521906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0</v>
      </c>
      <c r="P187" s="84">
        <f t="shared" si="223"/>
        <v>0</v>
      </c>
      <c r="Q187" s="84">
        <f t="shared" si="223"/>
        <v>0</v>
      </c>
      <c r="R187" s="84">
        <f t="shared" si="223"/>
        <v>0</v>
      </c>
      <c r="S187" s="84">
        <f t="shared" si="223"/>
        <v>0</v>
      </c>
      <c r="T187" s="84">
        <f t="shared" si="223"/>
        <v>0</v>
      </c>
      <c r="U187" s="84">
        <f t="shared" si="223"/>
        <v>0</v>
      </c>
      <c r="V187" s="84">
        <f t="shared" si="223"/>
        <v>0</v>
      </c>
      <c r="W187" s="84">
        <f t="shared" si="221"/>
        <v>0</v>
      </c>
      <c r="X187" s="84">
        <f t="shared" si="221"/>
        <v>0</v>
      </c>
      <c r="Y187" s="84">
        <f t="shared" si="221"/>
        <v>0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X188" s="84">
        <f t="shared" si="221"/>
        <v>0</v>
      </c>
      <c r="Y188" s="84">
        <f t="shared" si="221"/>
        <v>0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0</v>
      </c>
      <c r="N189" s="84">
        <f t="shared" si="223"/>
        <v>0</v>
      </c>
      <c r="O189" s="84">
        <f t="shared" si="223"/>
        <v>0</v>
      </c>
      <c r="P189" s="84">
        <f t="shared" si="223"/>
        <v>0</v>
      </c>
      <c r="Q189" s="84">
        <f t="shared" si="223"/>
        <v>0</v>
      </c>
      <c r="R189" s="84">
        <f t="shared" si="223"/>
        <v>0</v>
      </c>
      <c r="S189" s="84">
        <f t="shared" si="223"/>
        <v>0</v>
      </c>
      <c r="T189" s="84">
        <f t="shared" si="223"/>
        <v>0</v>
      </c>
      <c r="U189" s="84">
        <f t="shared" si="223"/>
        <v>0</v>
      </c>
      <c r="V189" s="84">
        <f t="shared" si="223"/>
        <v>0</v>
      </c>
      <c r="W189" s="84">
        <f t="shared" si="221"/>
        <v>0</v>
      </c>
      <c r="X189" s="84">
        <f t="shared" si="221"/>
        <v>0</v>
      </c>
      <c r="Y189" s="84">
        <f t="shared" si="221"/>
        <v>0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14227.117366875793</v>
      </c>
      <c r="C190" s="110">
        <f t="shared" si="223"/>
        <v>14117.9098244378</v>
      </c>
      <c r="D190" s="110">
        <f t="shared" si="223"/>
        <v>14067.753384158623</v>
      </c>
      <c r="E190" s="110">
        <f t="shared" si="223"/>
        <v>9242.2970101346727</v>
      </c>
      <c r="F190" s="110">
        <f t="shared" si="223"/>
        <v>13157.920938056535</v>
      </c>
      <c r="G190" s="110">
        <f t="shared" si="223"/>
        <v>11520.127954668522</v>
      </c>
      <c r="H190" s="110">
        <f t="shared" si="223"/>
        <v>11839.882995501719</v>
      </c>
      <c r="I190" s="110">
        <f t="shared" si="223"/>
        <v>11788.87357949943</v>
      </c>
      <c r="J190" s="110">
        <f t="shared" si="223"/>
        <v>12065.462882612464</v>
      </c>
      <c r="K190" s="110">
        <f t="shared" si="223"/>
        <v>12870.740969870409</v>
      </c>
      <c r="L190" s="110">
        <f t="shared" si="223"/>
        <v>14353.43023777364</v>
      </c>
      <c r="M190" s="110">
        <f t="shared" si="222"/>
        <v>11019.238574816558</v>
      </c>
      <c r="N190" s="110">
        <f t="shared" si="223"/>
        <v>11684.269891384371</v>
      </c>
      <c r="O190" s="110">
        <f t="shared" si="223"/>
        <v>11284.963388807359</v>
      </c>
      <c r="P190" s="110">
        <f t="shared" si="223"/>
        <v>14032.901432523915</v>
      </c>
      <c r="Q190" s="110">
        <f t="shared" si="223"/>
        <v>16370.740752774054</v>
      </c>
      <c r="R190" s="110">
        <f t="shared" si="223"/>
        <v>18578.159842844248</v>
      </c>
      <c r="S190" s="110">
        <f t="shared" si="223"/>
        <v>20130.000191756586</v>
      </c>
      <c r="T190" s="110">
        <f t="shared" si="223"/>
        <v>23740.192282211792</v>
      </c>
      <c r="U190" s="110">
        <f t="shared" si="223"/>
        <v>25498.379126229138</v>
      </c>
      <c r="V190" s="110">
        <f t="shared" si="223"/>
        <v>25543.635471271264</v>
      </c>
      <c r="W190" s="110">
        <f t="shared" si="221"/>
        <v>30855.605154474983</v>
      </c>
      <c r="X190" s="110">
        <f t="shared" si="221"/>
        <v>34460.56356474253</v>
      </c>
      <c r="Y190" s="110">
        <f t="shared" si="221"/>
        <v>35628.219521815809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13707.899244564946</v>
      </c>
      <c r="C191" s="102">
        <f t="shared" si="223"/>
        <v>13577.512883787153</v>
      </c>
      <c r="D191" s="102">
        <f t="shared" si="223"/>
        <v>13513.407933331744</v>
      </c>
      <c r="E191" s="102">
        <f t="shared" si="223"/>
        <v>8635.1594572185477</v>
      </c>
      <c r="F191" s="102">
        <f t="shared" si="223"/>
        <v>12587.797241262588</v>
      </c>
      <c r="G191" s="102">
        <f t="shared" si="223"/>
        <v>10833.682729239859</v>
      </c>
      <c r="H191" s="102">
        <f t="shared" si="223"/>
        <v>11099.083063415386</v>
      </c>
      <c r="I191" s="102">
        <f t="shared" si="223"/>
        <v>11147.398214674504</v>
      </c>
      <c r="J191" s="102">
        <f t="shared" si="223"/>
        <v>11533.992223075375</v>
      </c>
      <c r="K191" s="102">
        <f t="shared" si="223"/>
        <v>12367.498953214183</v>
      </c>
      <c r="L191" s="102">
        <f t="shared" si="223"/>
        <v>13683.964000133828</v>
      </c>
      <c r="M191" s="102">
        <f t="shared" si="222"/>
        <v>10400.917574683281</v>
      </c>
      <c r="N191" s="102">
        <f t="shared" si="223"/>
        <v>10928.804507340543</v>
      </c>
      <c r="O191" s="102">
        <f t="shared" si="223"/>
        <v>10315.468092309067</v>
      </c>
      <c r="P191" s="102">
        <f t="shared" si="223"/>
        <v>13022.846726201031</v>
      </c>
      <c r="Q191" s="102">
        <f t="shared" si="223"/>
        <v>15173.883866892986</v>
      </c>
      <c r="R191" s="102">
        <f t="shared" si="223"/>
        <v>17190.945106685758</v>
      </c>
      <c r="S191" s="102">
        <f t="shared" si="223"/>
        <v>18111.943240047302</v>
      </c>
      <c r="T191" s="102">
        <f t="shared" si="223"/>
        <v>21628.881735868283</v>
      </c>
      <c r="U191" s="102">
        <f t="shared" si="223"/>
        <v>24501.599803101155</v>
      </c>
      <c r="V191" s="102">
        <f t="shared" si="223"/>
        <v>23921.085080147965</v>
      </c>
      <c r="W191" s="102">
        <f t="shared" si="221"/>
        <v>28710.234423015012</v>
      </c>
      <c r="X191" s="102">
        <f t="shared" si="221"/>
        <v>32088.304896817648</v>
      </c>
      <c r="Y191" s="102">
        <f t="shared" si="221"/>
        <v>33013.284229909244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85016.244520682216</v>
      </c>
      <c r="C192" s="86">
        <f t="shared" si="223"/>
        <v>85017.988437803055</v>
      </c>
      <c r="D192" s="86">
        <f t="shared" si="223"/>
        <v>84995.039400877155</v>
      </c>
      <c r="E192" s="86">
        <f t="shared" si="223"/>
        <v>85008.466989060762</v>
      </c>
      <c r="F192" s="86">
        <f t="shared" si="223"/>
        <v>84982.566194069965</v>
      </c>
      <c r="G192" s="86">
        <f t="shared" si="223"/>
        <v>85017.584467399851</v>
      </c>
      <c r="H192" s="86">
        <f t="shared" si="223"/>
        <v>85015.949997907912</v>
      </c>
      <c r="I192" s="86">
        <f t="shared" si="223"/>
        <v>85006.973744531235</v>
      </c>
      <c r="J192" s="86">
        <f t="shared" si="223"/>
        <v>84986.530992089494</v>
      </c>
      <c r="K192" s="86">
        <f t="shared" si="223"/>
        <v>84998.387810709231</v>
      </c>
      <c r="L192" s="86">
        <f t="shared" si="223"/>
        <v>84987.68875401908</v>
      </c>
      <c r="M192" s="86">
        <f t="shared" si="222"/>
        <v>85005.608528381053</v>
      </c>
      <c r="N192" s="86">
        <f t="shared" si="223"/>
        <v>85019.700392412211</v>
      </c>
      <c r="O192" s="86">
        <f t="shared" si="223"/>
        <v>85002.861939107883</v>
      </c>
      <c r="P192" s="86">
        <f t="shared" si="223"/>
        <v>85020.210835075777</v>
      </c>
      <c r="Q192" s="86">
        <f t="shared" si="223"/>
        <v>84999.023889997115</v>
      </c>
      <c r="R192" s="86">
        <f t="shared" si="223"/>
        <v>84986.544346438299</v>
      </c>
      <c r="S192" s="86">
        <f t="shared" si="223"/>
        <v>84999.31265911751</v>
      </c>
      <c r="T192" s="86">
        <f t="shared" si="223"/>
        <v>85012.183762555796</v>
      </c>
      <c r="U192" s="86">
        <f t="shared" si="223"/>
        <v>85012.183532826821</v>
      </c>
      <c r="V192" s="86">
        <f t="shared" ref="V192:W192" si="224">IF(V55=0,0,V55*1000000/V82)</f>
        <v>84996.423146015164</v>
      </c>
      <c r="W192" s="86">
        <f t="shared" si="224"/>
        <v>84995.31898258123</v>
      </c>
      <c r="X192" s="86">
        <f t="shared" ref="X192:Y192" si="225">IF(X55=0,0,X55*1000000/X82)</f>
        <v>84988.753387335688</v>
      </c>
      <c r="Y192" s="86">
        <f t="shared" si="225"/>
        <v>85014.121285676447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20413.240424002106</v>
      </c>
      <c r="C195" s="28">
        <f t="shared" si="226"/>
        <v>20322.609124126931</v>
      </c>
      <c r="D195" s="28">
        <f t="shared" si="226"/>
        <v>20191.956996528541</v>
      </c>
      <c r="E195" s="28">
        <f t="shared" si="226"/>
        <v>19968.908305358582</v>
      </c>
      <c r="F195" s="28">
        <f t="shared" si="226"/>
        <v>20036.074326076734</v>
      </c>
      <c r="G195" s="28">
        <f t="shared" si="226"/>
        <v>19870.978566540314</v>
      </c>
      <c r="H195" s="28">
        <f t="shared" si="226"/>
        <v>19945.067845670332</v>
      </c>
      <c r="I195" s="28">
        <f t="shared" si="226"/>
        <v>19699.088524698051</v>
      </c>
      <c r="J195" s="28">
        <f t="shared" si="226"/>
        <v>19892.272242346487</v>
      </c>
      <c r="K195" s="28">
        <f t="shared" si="226"/>
        <v>19424.458372197038</v>
      </c>
      <c r="L195" s="28">
        <f t="shared" si="226"/>
        <v>19041.167164449023</v>
      </c>
      <c r="M195" s="28">
        <f>IF(M4=0,0,M4*1000000/M58)</f>
        <v>18844.559937082809</v>
      </c>
      <c r="N195" s="28">
        <f t="shared" ref="N195:V195" si="227">IF(N4=0,0,N4*1000000/N58)</f>
        <v>18679.907359515764</v>
      </c>
      <c r="O195" s="28">
        <f t="shared" si="227"/>
        <v>18636.978132166376</v>
      </c>
      <c r="P195" s="28">
        <f t="shared" si="227"/>
        <v>18826.511119773702</v>
      </c>
      <c r="Q195" s="28">
        <f t="shared" si="227"/>
        <v>18956.255480645654</v>
      </c>
      <c r="R195" s="28">
        <f t="shared" si="227"/>
        <v>18945.646441985617</v>
      </c>
      <c r="S195" s="28">
        <f t="shared" si="227"/>
        <v>18871.13149975444</v>
      </c>
      <c r="T195" s="28">
        <f t="shared" si="227"/>
        <v>19098.340959313588</v>
      </c>
      <c r="U195" s="28">
        <f t="shared" si="227"/>
        <v>18999.042869447199</v>
      </c>
      <c r="V195" s="28">
        <f t="shared" si="227"/>
        <v>15603.275713953948</v>
      </c>
      <c r="W195" s="28">
        <f t="shared" ref="W195:Y195" si="228">IF(W4=0,0,W4*1000000/W58)</f>
        <v>16287.410076690907</v>
      </c>
      <c r="X195" s="28">
        <f t="shared" si="228"/>
        <v>17275.107957520409</v>
      </c>
      <c r="Y195" s="28">
        <f t="shared" si="228"/>
        <v>17779.683206795315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5606.9264881359904</v>
      </c>
      <c r="C196" s="137">
        <f t="shared" si="229"/>
        <v>5429.8115082238464</v>
      </c>
      <c r="D196" s="137">
        <f t="shared" si="229"/>
        <v>5639.7253678804454</v>
      </c>
      <c r="E196" s="137">
        <f t="shared" si="229"/>
        <v>5616.5971955972836</v>
      </c>
      <c r="F196" s="137">
        <f t="shared" si="229"/>
        <v>5424.5764417750015</v>
      </c>
      <c r="G196" s="137">
        <f t="shared" si="229"/>
        <v>5144.7366485737839</v>
      </c>
      <c r="H196" s="137">
        <f t="shared" si="229"/>
        <v>4548.5692832618524</v>
      </c>
      <c r="I196" s="137">
        <f t="shared" si="229"/>
        <v>4327.9830488263433</v>
      </c>
      <c r="J196" s="137">
        <f t="shared" si="229"/>
        <v>4326.8842959664471</v>
      </c>
      <c r="K196" s="137">
        <f t="shared" si="229"/>
        <v>4243.0508162942806</v>
      </c>
      <c r="L196" s="137">
        <f t="shared" si="229"/>
        <v>4887.339524754706</v>
      </c>
      <c r="M196" s="137">
        <f>IF(M5=0,0,M5*1000000/M59)</f>
        <v>4939.540422340302</v>
      </c>
      <c r="N196" s="137">
        <f t="shared" ref="N196:V196" si="230">IF(N5=0,0,N5*1000000/N59)</f>
        <v>5071.545907510771</v>
      </c>
      <c r="O196" s="137">
        <f t="shared" si="230"/>
        <v>5128.0658085667328</v>
      </c>
      <c r="P196" s="137">
        <f t="shared" si="230"/>
        <v>5291.9587889631912</v>
      </c>
      <c r="Q196" s="137">
        <f t="shared" si="230"/>
        <v>5256.9877258821198</v>
      </c>
      <c r="R196" s="137">
        <f t="shared" si="230"/>
        <v>5305.1746986032504</v>
      </c>
      <c r="S196" s="137">
        <f t="shared" si="230"/>
        <v>4971.0035370177648</v>
      </c>
      <c r="T196" s="137">
        <f t="shared" si="230"/>
        <v>4862.2889988527513</v>
      </c>
      <c r="U196" s="137">
        <f t="shared" si="230"/>
        <v>5078.1391559530539</v>
      </c>
      <c r="V196" s="137">
        <f t="shared" si="230"/>
        <v>4462.4882081345595</v>
      </c>
      <c r="W196" s="137">
        <f t="shared" ref="W196:Y196" si="231">IF(W5=0,0,W5*1000000/W59)</f>
        <v>4532.5022761098962</v>
      </c>
      <c r="X196" s="137">
        <f t="shared" si="231"/>
        <v>4484.0981441423846</v>
      </c>
      <c r="Y196" s="137">
        <f t="shared" si="231"/>
        <v>4687.4105218264322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17721.194971118672</v>
      </c>
      <c r="C197" s="110">
        <f t="shared" si="232"/>
        <v>18057.045925706414</v>
      </c>
      <c r="D197" s="110">
        <f t="shared" si="232"/>
        <v>18129.457926690011</v>
      </c>
      <c r="E197" s="110">
        <f t="shared" si="232"/>
        <v>18179.504426709329</v>
      </c>
      <c r="F197" s="110">
        <f t="shared" si="232"/>
        <v>18676.874200979975</v>
      </c>
      <c r="G197" s="110">
        <f t="shared" si="232"/>
        <v>18849.823676531705</v>
      </c>
      <c r="H197" s="110">
        <f t="shared" si="232"/>
        <v>19366.229384379843</v>
      </c>
      <c r="I197" s="110">
        <f t="shared" si="232"/>
        <v>19393.573173993012</v>
      </c>
      <c r="J197" s="110">
        <f t="shared" si="232"/>
        <v>19904.680466183541</v>
      </c>
      <c r="K197" s="110">
        <f t="shared" si="232"/>
        <v>19739.047069735541</v>
      </c>
      <c r="L197" s="110">
        <f t="shared" si="232"/>
        <v>19165.371176089928</v>
      </c>
      <c r="M197" s="110">
        <f>IF(M6=0,0,M6*1000000/M60)</f>
        <v>18979.510002592473</v>
      </c>
      <c r="N197" s="110">
        <f t="shared" ref="N197:V197" si="233">IF(N6=0,0,N6*1000000/N60)</f>
        <v>18795.25913839967</v>
      </c>
      <c r="O197" s="110">
        <f t="shared" si="233"/>
        <v>18767.802900949522</v>
      </c>
      <c r="P197" s="110">
        <f t="shared" si="233"/>
        <v>19035.327931574851</v>
      </c>
      <c r="Q197" s="110">
        <f t="shared" si="233"/>
        <v>19260.037239154433</v>
      </c>
      <c r="R197" s="110">
        <f t="shared" si="233"/>
        <v>19364.588867134753</v>
      </c>
      <c r="S197" s="110">
        <f t="shared" si="233"/>
        <v>19457.31253426765</v>
      </c>
      <c r="T197" s="110">
        <f t="shared" si="233"/>
        <v>19572.463405997263</v>
      </c>
      <c r="U197" s="110">
        <f t="shared" si="233"/>
        <v>19477.327569172332</v>
      </c>
      <c r="V197" s="110">
        <f t="shared" si="233"/>
        <v>16577.573612192991</v>
      </c>
      <c r="W197" s="110">
        <f t="shared" ref="W197:Y209" si="234">IF(W6=0,0,W6*1000000/W60)</f>
        <v>17423.76815381947</v>
      </c>
      <c r="X197" s="110">
        <f t="shared" si="234"/>
        <v>18098.854727869653</v>
      </c>
      <c r="Y197" s="110">
        <f t="shared" si="234"/>
        <v>18613.668182240828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16936.450568241486</v>
      </c>
      <c r="C198" s="84">
        <f t="shared" si="232"/>
        <v>17351.050475093962</v>
      </c>
      <c r="D198" s="84">
        <f t="shared" si="232"/>
        <v>17467.136168754561</v>
      </c>
      <c r="E198" s="84">
        <f t="shared" si="232"/>
        <v>17521.970846034015</v>
      </c>
      <c r="F198" s="84">
        <f t="shared" si="232"/>
        <v>18115.164295680348</v>
      </c>
      <c r="G198" s="84">
        <f t="shared" si="232"/>
        <v>18307.487007672324</v>
      </c>
      <c r="H198" s="84">
        <f t="shared" si="232"/>
        <v>18788.467798632955</v>
      </c>
      <c r="I198" s="84">
        <f t="shared" si="232"/>
        <v>18813.123850897318</v>
      </c>
      <c r="J198" s="84">
        <f t="shared" si="232"/>
        <v>19375.08537202873</v>
      </c>
      <c r="K198" s="84">
        <f t="shared" si="232"/>
        <v>19145.516624250158</v>
      </c>
      <c r="L198" s="84">
        <f t="shared" si="232"/>
        <v>18577.213780042031</v>
      </c>
      <c r="M198" s="84">
        <f t="shared" ref="M198:M219" si="235">IF(M7=0,0,M7*1000000/M61)</f>
        <v>18230.778656803988</v>
      </c>
      <c r="N198" s="84">
        <f t="shared" si="232"/>
        <v>18031.629300402114</v>
      </c>
      <c r="O198" s="84">
        <f t="shared" si="232"/>
        <v>17627.04121443415</v>
      </c>
      <c r="P198" s="84">
        <f t="shared" si="232"/>
        <v>17458.46350277204</v>
      </c>
      <c r="Q198" s="84">
        <f t="shared" si="232"/>
        <v>17651.812624826587</v>
      </c>
      <c r="R198" s="84">
        <f t="shared" si="232"/>
        <v>17396.194504154559</v>
      </c>
      <c r="S198" s="84">
        <f t="shared" si="232"/>
        <v>17258.202047955168</v>
      </c>
      <c r="T198" s="84">
        <f t="shared" si="232"/>
        <v>16973.58973099033</v>
      </c>
      <c r="U198" s="84">
        <f t="shared" si="232"/>
        <v>16344.419549451381</v>
      </c>
      <c r="V198" s="84">
        <f t="shared" si="232"/>
        <v>13643.065821929578</v>
      </c>
      <c r="W198" s="84">
        <f t="shared" si="234"/>
        <v>14277.121957968748</v>
      </c>
      <c r="X198" s="84">
        <f t="shared" si="234"/>
        <v>14790.577167047144</v>
      </c>
      <c r="Y198" s="84">
        <f t="shared" si="234"/>
        <v>15187.372066811333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41432.867004192412</v>
      </c>
      <c r="C199" s="84">
        <f t="shared" si="232"/>
        <v>41587.767611750794</v>
      </c>
      <c r="D199" s="84">
        <f t="shared" si="232"/>
        <v>41730.623553055077</v>
      </c>
      <c r="E199" s="84">
        <f t="shared" si="232"/>
        <v>41867.443233764243</v>
      </c>
      <c r="F199" s="84">
        <f t="shared" si="232"/>
        <v>41950.935813592245</v>
      </c>
      <c r="G199" s="84">
        <f t="shared" si="232"/>
        <v>42090.550015335633</v>
      </c>
      <c r="H199" s="84">
        <f t="shared" si="232"/>
        <v>42574.479767038785</v>
      </c>
      <c r="I199" s="84">
        <f t="shared" si="232"/>
        <v>42636.680843564347</v>
      </c>
      <c r="J199" s="84">
        <f t="shared" si="232"/>
        <v>42037.494502525988</v>
      </c>
      <c r="K199" s="84">
        <f t="shared" si="232"/>
        <v>41287.863498279192</v>
      </c>
      <c r="L199" s="84">
        <f t="shared" si="232"/>
        <v>39049.156716339457</v>
      </c>
      <c r="M199" s="84">
        <f t="shared" si="235"/>
        <v>39659.802605138764</v>
      </c>
      <c r="N199" s="84">
        <f t="shared" si="232"/>
        <v>42693.133764366685</v>
      </c>
      <c r="O199" s="84">
        <f t="shared" si="232"/>
        <v>42260.720304306305</v>
      </c>
      <c r="P199" s="84">
        <f t="shared" si="232"/>
        <v>44463.923881854236</v>
      </c>
      <c r="Q199" s="84">
        <f t="shared" si="232"/>
        <v>42776.582485550614</v>
      </c>
      <c r="R199" s="84">
        <f t="shared" si="232"/>
        <v>45172.669840014998</v>
      </c>
      <c r="S199" s="84">
        <f t="shared" si="232"/>
        <v>47640.296285176824</v>
      </c>
      <c r="T199" s="84">
        <f t="shared" si="232"/>
        <v>50310.471122317729</v>
      </c>
      <c r="U199" s="84">
        <f t="shared" si="232"/>
        <v>52532.733730108244</v>
      </c>
      <c r="V199" s="84">
        <f t="shared" si="232"/>
        <v>43627.867921893296</v>
      </c>
      <c r="W199" s="84">
        <f t="shared" si="234"/>
        <v>47526.883483557263</v>
      </c>
      <c r="X199" s="84">
        <f t="shared" si="234"/>
        <v>50482.327048635976</v>
      </c>
      <c r="Y199" s="84">
        <f t="shared" si="234"/>
        <v>52708.515264774396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33346.143442899469</v>
      </c>
      <c r="C200" s="84">
        <f t="shared" si="232"/>
        <v>34757.096832522038</v>
      </c>
      <c r="D200" s="84">
        <f t="shared" si="232"/>
        <v>33214.510293747997</v>
      </c>
      <c r="E200" s="84">
        <f t="shared" si="232"/>
        <v>31737.311169688441</v>
      </c>
      <c r="F200" s="84">
        <f t="shared" si="232"/>
        <v>31174.248767236269</v>
      </c>
      <c r="G200" s="84">
        <f t="shared" si="232"/>
        <v>31095.259019955764</v>
      </c>
      <c r="H200" s="84">
        <f t="shared" si="232"/>
        <v>30972.982290342174</v>
      </c>
      <c r="I200" s="84">
        <f t="shared" si="232"/>
        <v>31615.10585440226</v>
      </c>
      <c r="J200" s="84">
        <f t="shared" si="232"/>
        <v>31168.526532349977</v>
      </c>
      <c r="K200" s="84">
        <f t="shared" si="232"/>
        <v>31287.914246739343</v>
      </c>
      <c r="L200" s="84">
        <f t="shared" si="232"/>
        <v>31259.352582349013</v>
      </c>
      <c r="M200" s="84">
        <f t="shared" si="235"/>
        <v>33982.879184992147</v>
      </c>
      <c r="N200" s="84">
        <f t="shared" si="232"/>
        <v>36588.414324579287</v>
      </c>
      <c r="O200" s="84">
        <f t="shared" si="232"/>
        <v>39950.24993487812</v>
      </c>
      <c r="P200" s="84">
        <f t="shared" si="232"/>
        <v>40568.431066141478</v>
      </c>
      <c r="Q200" s="84">
        <f t="shared" si="232"/>
        <v>40560.295964097626</v>
      </c>
      <c r="R200" s="84">
        <f t="shared" si="232"/>
        <v>39424.04201790395</v>
      </c>
      <c r="S200" s="84">
        <f t="shared" si="232"/>
        <v>37637.519010115226</v>
      </c>
      <c r="T200" s="84">
        <f t="shared" si="232"/>
        <v>35984.516037352914</v>
      </c>
      <c r="U200" s="84">
        <f t="shared" si="232"/>
        <v>36027.115869257963</v>
      </c>
      <c r="V200" s="84">
        <f t="shared" si="232"/>
        <v>31516.370169135404</v>
      </c>
      <c r="W200" s="84">
        <f t="shared" si="234"/>
        <v>31825.406651983631</v>
      </c>
      <c r="X200" s="84">
        <f t="shared" si="234"/>
        <v>32690.918522027001</v>
      </c>
      <c r="Y200" s="84">
        <f t="shared" si="234"/>
        <v>33747.415197497103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29576.617678279141</v>
      </c>
      <c r="D201" s="84">
        <f t="shared" si="232"/>
        <v>29095.243396669732</v>
      </c>
      <c r="E201" s="84">
        <f t="shared" si="232"/>
        <v>28618.930381275382</v>
      </c>
      <c r="F201" s="84">
        <f t="shared" si="232"/>
        <v>28110.527543049426</v>
      </c>
      <c r="G201" s="84">
        <f t="shared" si="232"/>
        <v>27650.4754063851</v>
      </c>
      <c r="H201" s="84">
        <f t="shared" si="232"/>
        <v>27421.179247011351</v>
      </c>
      <c r="I201" s="84">
        <f t="shared" si="232"/>
        <v>26922.650386711121</v>
      </c>
      <c r="J201" s="84">
        <f t="shared" si="232"/>
        <v>26539.614731967882</v>
      </c>
      <c r="K201" s="84">
        <f t="shared" si="232"/>
        <v>25777.572656848133</v>
      </c>
      <c r="L201" s="84">
        <f t="shared" si="232"/>
        <v>25025.974318440996</v>
      </c>
      <c r="M201" s="84">
        <f t="shared" si="235"/>
        <v>26823.870879962189</v>
      </c>
      <c r="N201" s="84">
        <f t="shared" si="232"/>
        <v>30943.404183526185</v>
      </c>
      <c r="O201" s="84">
        <f t="shared" si="232"/>
        <v>32776.359510549875</v>
      </c>
      <c r="P201" s="84">
        <f t="shared" si="232"/>
        <v>34089.155810523705</v>
      </c>
      <c r="Q201" s="84">
        <f t="shared" si="232"/>
        <v>35122.016496990647</v>
      </c>
      <c r="R201" s="84">
        <f t="shared" si="232"/>
        <v>36031.671670828939</v>
      </c>
      <c r="S201" s="84">
        <f t="shared" si="232"/>
        <v>35485.15615564723</v>
      </c>
      <c r="T201" s="84">
        <f t="shared" si="232"/>
        <v>36426.543693114698</v>
      </c>
      <c r="U201" s="84">
        <f t="shared" si="232"/>
        <v>36968.851007911057</v>
      </c>
      <c r="V201" s="84">
        <f t="shared" si="232"/>
        <v>34723.157946615473</v>
      </c>
      <c r="W201" s="84">
        <f t="shared" si="234"/>
        <v>36746.054761416504</v>
      </c>
      <c r="X201" s="84">
        <f t="shared" si="234"/>
        <v>37910.982961445487</v>
      </c>
      <c r="Y201" s="84">
        <f t="shared" si="234"/>
        <v>39049.698419444336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0</v>
      </c>
      <c r="N202" s="84">
        <f t="shared" si="232"/>
        <v>19494.819754035641</v>
      </c>
      <c r="O202" s="84">
        <f t="shared" si="232"/>
        <v>21037.203923594301</v>
      </c>
      <c r="P202" s="84">
        <f t="shared" si="232"/>
        <v>21442.213913219101</v>
      </c>
      <c r="Q202" s="84">
        <f t="shared" si="232"/>
        <v>21650.049625118714</v>
      </c>
      <c r="R202" s="84">
        <f t="shared" si="232"/>
        <v>20686.513387827879</v>
      </c>
      <c r="S202" s="84">
        <f t="shared" si="232"/>
        <v>20788.518110045596</v>
      </c>
      <c r="T202" s="84">
        <f t="shared" si="232"/>
        <v>20921.586057803877</v>
      </c>
      <c r="U202" s="84">
        <f t="shared" si="232"/>
        <v>20816.725759112636</v>
      </c>
      <c r="V202" s="84">
        <f t="shared" si="232"/>
        <v>18785.449340352243</v>
      </c>
      <c r="W202" s="84">
        <f t="shared" si="234"/>
        <v>19887.804507612818</v>
      </c>
      <c r="X202" s="84">
        <f t="shared" si="234"/>
        <v>20115.970851783484</v>
      </c>
      <c r="Y202" s="84">
        <f t="shared" si="234"/>
        <v>20313.90724246536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0</v>
      </c>
      <c r="L203" s="84">
        <f t="shared" si="232"/>
        <v>0</v>
      </c>
      <c r="M203" s="84">
        <f t="shared" si="235"/>
        <v>0</v>
      </c>
      <c r="N203" s="84">
        <f t="shared" si="232"/>
        <v>24550.956358156662</v>
      </c>
      <c r="O203" s="84">
        <f t="shared" si="232"/>
        <v>25620.518456829286</v>
      </c>
      <c r="P203" s="84">
        <f t="shared" si="232"/>
        <v>26236.489431796104</v>
      </c>
      <c r="Q203" s="84">
        <f t="shared" si="232"/>
        <v>26798.80097579752</v>
      </c>
      <c r="R203" s="84">
        <f t="shared" si="232"/>
        <v>26547.645686739605</v>
      </c>
      <c r="S203" s="84">
        <f t="shared" si="232"/>
        <v>26545.329379074312</v>
      </c>
      <c r="T203" s="84">
        <f t="shared" si="232"/>
        <v>26434.152495374674</v>
      </c>
      <c r="U203" s="84">
        <f t="shared" si="232"/>
        <v>26369.107909351962</v>
      </c>
      <c r="V203" s="84">
        <f t="shared" si="232"/>
        <v>21547.600623388138</v>
      </c>
      <c r="W203" s="84">
        <f t="shared" si="234"/>
        <v>25525.613213490709</v>
      </c>
      <c r="X203" s="84">
        <f t="shared" si="234"/>
        <v>26135.658881374908</v>
      </c>
      <c r="Y203" s="84">
        <f t="shared" si="234"/>
        <v>26711.772792284544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790269.12851888267</v>
      </c>
      <c r="C204" s="110">
        <f t="shared" si="232"/>
        <v>792208.73610000731</v>
      </c>
      <c r="D204" s="110">
        <f t="shared" si="232"/>
        <v>795660.03616636526</v>
      </c>
      <c r="E204" s="110">
        <f t="shared" si="232"/>
        <v>798239.87199069024</v>
      </c>
      <c r="F204" s="110">
        <f t="shared" si="232"/>
        <v>795521.50854449032</v>
      </c>
      <c r="G204" s="110">
        <f t="shared" si="232"/>
        <v>797852.78329288913</v>
      </c>
      <c r="H204" s="110">
        <f t="shared" si="232"/>
        <v>798330.09850953973</v>
      </c>
      <c r="I204" s="110">
        <f t="shared" si="232"/>
        <v>800844.52695569873</v>
      </c>
      <c r="J204" s="110">
        <f t="shared" si="232"/>
        <v>802032.29903828702</v>
      </c>
      <c r="K204" s="110">
        <f t="shared" si="232"/>
        <v>755418.27992923767</v>
      </c>
      <c r="L204" s="110">
        <f t="shared" si="232"/>
        <v>762365.86335224193</v>
      </c>
      <c r="M204" s="110">
        <f t="shared" si="235"/>
        <v>769881.14052059129</v>
      </c>
      <c r="N204" s="110">
        <f t="shared" si="232"/>
        <v>771959.17937551765</v>
      </c>
      <c r="O204" s="110">
        <f t="shared" si="232"/>
        <v>774545.23345676949</v>
      </c>
      <c r="P204" s="110">
        <f t="shared" si="232"/>
        <v>776652.52873227303</v>
      </c>
      <c r="Q204" s="110">
        <f t="shared" si="232"/>
        <v>784955.53295874386</v>
      </c>
      <c r="R204" s="110">
        <f t="shared" si="232"/>
        <v>777139.33296264545</v>
      </c>
      <c r="S204" s="110">
        <f t="shared" si="232"/>
        <v>762621.55440591311</v>
      </c>
      <c r="T204" s="110">
        <f t="shared" si="232"/>
        <v>768379.1200954793</v>
      </c>
      <c r="U204" s="110">
        <f t="shared" si="232"/>
        <v>757854.64781693893</v>
      </c>
      <c r="V204" s="110">
        <f t="shared" si="232"/>
        <v>495030.16048958205</v>
      </c>
      <c r="W204" s="110">
        <f t="shared" si="234"/>
        <v>511147.92930104246</v>
      </c>
      <c r="X204" s="110">
        <f t="shared" si="234"/>
        <v>656853.76564090129</v>
      </c>
      <c r="Y204" s="110">
        <f t="shared" si="234"/>
        <v>704256.3913209649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0</v>
      </c>
      <c r="E205" s="102">
        <f t="shared" si="232"/>
        <v>0</v>
      </c>
      <c r="F205" s="102">
        <f t="shared" si="232"/>
        <v>0</v>
      </c>
      <c r="G205" s="102">
        <f t="shared" si="232"/>
        <v>0</v>
      </c>
      <c r="H205" s="102">
        <f t="shared" si="232"/>
        <v>0</v>
      </c>
      <c r="I205" s="102">
        <f t="shared" si="232"/>
        <v>0</v>
      </c>
      <c r="J205" s="102">
        <f t="shared" si="232"/>
        <v>0</v>
      </c>
      <c r="K205" s="102">
        <f t="shared" si="232"/>
        <v>0</v>
      </c>
      <c r="L205" s="102">
        <f t="shared" si="232"/>
        <v>0</v>
      </c>
      <c r="M205" s="102">
        <f t="shared" si="235"/>
        <v>0</v>
      </c>
      <c r="N205" s="102">
        <f t="shared" si="232"/>
        <v>0</v>
      </c>
      <c r="O205" s="102">
        <f t="shared" si="232"/>
        <v>0</v>
      </c>
      <c r="P205" s="102">
        <f t="shared" si="232"/>
        <v>0</v>
      </c>
      <c r="Q205" s="102">
        <f t="shared" si="232"/>
        <v>0</v>
      </c>
      <c r="R205" s="102">
        <f t="shared" si="232"/>
        <v>0</v>
      </c>
      <c r="S205" s="102">
        <f t="shared" si="232"/>
        <v>0</v>
      </c>
      <c r="T205" s="102">
        <f t="shared" si="232"/>
        <v>0</v>
      </c>
      <c r="U205" s="102">
        <f t="shared" si="232"/>
        <v>0</v>
      </c>
      <c r="V205" s="102">
        <f t="shared" si="232"/>
        <v>0</v>
      </c>
      <c r="W205" s="102">
        <f t="shared" si="234"/>
        <v>0</v>
      </c>
      <c r="X205" s="102">
        <f t="shared" si="234"/>
        <v>0</v>
      </c>
      <c r="Y205" s="102">
        <f t="shared" si="234"/>
        <v>0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790269.12851888267</v>
      </c>
      <c r="C206" s="102">
        <f t="shared" si="232"/>
        <v>789151.7108012184</v>
      </c>
      <c r="D206" s="102">
        <f t="shared" si="232"/>
        <v>790946.56846812787</v>
      </c>
      <c r="E206" s="102">
        <f t="shared" si="232"/>
        <v>793041.61720036995</v>
      </c>
      <c r="F206" s="102">
        <f t="shared" si="232"/>
        <v>790318.79879527912</v>
      </c>
      <c r="G206" s="102">
        <f t="shared" si="232"/>
        <v>792307.38172773062</v>
      </c>
      <c r="H206" s="102">
        <f t="shared" si="232"/>
        <v>792585.58054493368</v>
      </c>
      <c r="I206" s="102">
        <f t="shared" si="232"/>
        <v>794136.75978641212</v>
      </c>
      <c r="J206" s="102">
        <f t="shared" si="232"/>
        <v>795047.9989281114</v>
      </c>
      <c r="K206" s="102">
        <f t="shared" si="232"/>
        <v>749134.76802020997</v>
      </c>
      <c r="L206" s="102">
        <f t="shared" si="232"/>
        <v>756277.11725608772</v>
      </c>
      <c r="M206" s="102">
        <f t="shared" si="235"/>
        <v>763877.96580269514</v>
      </c>
      <c r="N206" s="102">
        <f t="shared" si="232"/>
        <v>765946.12098484964</v>
      </c>
      <c r="O206" s="102">
        <f t="shared" si="232"/>
        <v>762895.35375215637</v>
      </c>
      <c r="P206" s="102">
        <f t="shared" si="232"/>
        <v>765032.22562127386</v>
      </c>
      <c r="Q206" s="102">
        <f t="shared" si="232"/>
        <v>772782.14471232903</v>
      </c>
      <c r="R206" s="102">
        <f t="shared" si="232"/>
        <v>764766.20183043042</v>
      </c>
      <c r="S206" s="102">
        <f t="shared" si="232"/>
        <v>750702.32547148003</v>
      </c>
      <c r="T206" s="102">
        <f t="shared" si="232"/>
        <v>755396.63475002616</v>
      </c>
      <c r="U206" s="102">
        <f t="shared" si="232"/>
        <v>744101.01658465026</v>
      </c>
      <c r="V206" s="102">
        <f t="shared" si="232"/>
        <v>485434.33914578962</v>
      </c>
      <c r="W206" s="102">
        <f t="shared" si="234"/>
        <v>500476.51307279721</v>
      </c>
      <c r="X206" s="102">
        <f t="shared" si="234"/>
        <v>640874.65048303246</v>
      </c>
      <c r="Y206" s="102">
        <f t="shared" si="234"/>
        <v>687388.58203011623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0</v>
      </c>
      <c r="G207" s="102">
        <f t="shared" si="232"/>
        <v>0</v>
      </c>
      <c r="H207" s="102">
        <f t="shared" si="232"/>
        <v>0</v>
      </c>
      <c r="I207" s="102">
        <f t="shared" si="232"/>
        <v>0</v>
      </c>
      <c r="J207" s="102">
        <f t="shared" si="232"/>
        <v>0</v>
      </c>
      <c r="K207" s="102">
        <f t="shared" si="232"/>
        <v>0</v>
      </c>
      <c r="L207" s="102">
        <f t="shared" si="232"/>
        <v>0</v>
      </c>
      <c r="M207" s="102">
        <f t="shared" si="235"/>
        <v>0</v>
      </c>
      <c r="N207" s="102">
        <f t="shared" si="232"/>
        <v>0</v>
      </c>
      <c r="O207" s="102">
        <f t="shared" si="232"/>
        <v>0</v>
      </c>
      <c r="P207" s="102">
        <f t="shared" si="232"/>
        <v>0</v>
      </c>
      <c r="Q207" s="102">
        <f t="shared" si="232"/>
        <v>0</v>
      </c>
      <c r="R207" s="102">
        <f t="shared" si="232"/>
        <v>0</v>
      </c>
      <c r="S207" s="102">
        <f t="shared" si="232"/>
        <v>0</v>
      </c>
      <c r="T207" s="102">
        <f t="shared" si="232"/>
        <v>0</v>
      </c>
      <c r="U207" s="102">
        <f t="shared" si="232"/>
        <v>0</v>
      </c>
      <c r="V207" s="102">
        <f t="shared" si="232"/>
        <v>0</v>
      </c>
      <c r="W207" s="102">
        <f t="shared" si="234"/>
        <v>0</v>
      </c>
      <c r="X207" s="102">
        <f t="shared" si="234"/>
        <v>0</v>
      </c>
      <c r="Y207" s="102">
        <f t="shared" si="234"/>
        <v>0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0</v>
      </c>
      <c r="C208" s="102">
        <f t="shared" si="232"/>
        <v>1060516.9436143525</v>
      </c>
      <c r="D208" s="102">
        <f t="shared" si="232"/>
        <v>1065898.8508653131</v>
      </c>
      <c r="E208" s="102">
        <f t="shared" si="232"/>
        <v>1070060.2416659321</v>
      </c>
      <c r="F208" s="102">
        <f t="shared" si="232"/>
        <v>1066764.934041037</v>
      </c>
      <c r="G208" s="102">
        <f t="shared" si="232"/>
        <v>1070580.1340693901</v>
      </c>
      <c r="H208" s="102">
        <f t="shared" si="232"/>
        <v>1072702.6377940301</v>
      </c>
      <c r="I208" s="102">
        <f t="shared" si="232"/>
        <v>1075893.7504706208</v>
      </c>
      <c r="J208" s="102">
        <f t="shared" si="232"/>
        <v>1076000.3924111649</v>
      </c>
      <c r="K208" s="102">
        <f t="shared" si="232"/>
        <v>1011979.1966981486</v>
      </c>
      <c r="L208" s="102">
        <f t="shared" si="232"/>
        <v>1021660.1498596481</v>
      </c>
      <c r="M208" s="102">
        <f t="shared" si="235"/>
        <v>1032622.6945825217</v>
      </c>
      <c r="N208" s="102">
        <f t="shared" si="232"/>
        <v>1035331.136886781</v>
      </c>
      <c r="O208" s="102">
        <f t="shared" si="232"/>
        <v>1039077.6626251452</v>
      </c>
      <c r="P208" s="102">
        <f t="shared" si="232"/>
        <v>1042076.0967956349</v>
      </c>
      <c r="Q208" s="102">
        <f t="shared" si="232"/>
        <v>1053320.3157772496</v>
      </c>
      <c r="R208" s="102">
        <f t="shared" si="232"/>
        <v>1042304.113063344</v>
      </c>
      <c r="S208" s="102">
        <f t="shared" si="232"/>
        <v>1021858.00248982</v>
      </c>
      <c r="T208" s="102">
        <f t="shared" si="232"/>
        <v>1029962.0924028211</v>
      </c>
      <c r="U208" s="102">
        <f t="shared" si="232"/>
        <v>1015149.1547436501</v>
      </c>
      <c r="V208" s="102">
        <f t="shared" si="232"/>
        <v>662880.28939647111</v>
      </c>
      <c r="W208" s="102">
        <f t="shared" si="234"/>
        <v>684417.43953883171</v>
      </c>
      <c r="X208" s="102">
        <f t="shared" si="234"/>
        <v>879670.38892074698</v>
      </c>
      <c r="Y208" s="102">
        <f t="shared" si="234"/>
        <v>943298.61456711323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0</v>
      </c>
      <c r="C209" s="102">
        <f t="shared" si="232"/>
        <v>0</v>
      </c>
      <c r="D209" s="102">
        <f t="shared" si="232"/>
        <v>0</v>
      </c>
      <c r="E209" s="102">
        <f t="shared" si="232"/>
        <v>0</v>
      </c>
      <c r="F209" s="102">
        <f t="shared" si="232"/>
        <v>0</v>
      </c>
      <c r="G209" s="102">
        <f t="shared" si="232"/>
        <v>0</v>
      </c>
      <c r="H209" s="102">
        <f t="shared" si="232"/>
        <v>0</v>
      </c>
      <c r="I209" s="102">
        <f t="shared" si="232"/>
        <v>0</v>
      </c>
      <c r="J209" s="102">
        <f t="shared" si="232"/>
        <v>0</v>
      </c>
      <c r="K209" s="102">
        <f t="shared" si="232"/>
        <v>0</v>
      </c>
      <c r="L209" s="102">
        <f t="shared" si="232"/>
        <v>0</v>
      </c>
      <c r="M209" s="102">
        <f t="shared" si="235"/>
        <v>0</v>
      </c>
      <c r="N209" s="102">
        <f t="shared" si="232"/>
        <v>0</v>
      </c>
      <c r="O209" s="102">
        <f t="shared" si="232"/>
        <v>1194671.6409552228</v>
      </c>
      <c r="P209" s="102">
        <f t="shared" si="232"/>
        <v>1194183.2406452626</v>
      </c>
      <c r="Q209" s="102">
        <f t="shared" si="232"/>
        <v>1204695.689385341</v>
      </c>
      <c r="R209" s="102">
        <f t="shared" si="232"/>
        <v>1204226.6486130264</v>
      </c>
      <c r="S209" s="102">
        <f t="shared" si="232"/>
        <v>1203333.6664454062</v>
      </c>
      <c r="T209" s="102">
        <f t="shared" si="232"/>
        <v>1202829.5971264699</v>
      </c>
      <c r="U209" s="102">
        <f t="shared" si="232"/>
        <v>1202119.561121623</v>
      </c>
      <c r="V209" s="102">
        <f t="shared" si="232"/>
        <v>786494.82868108177</v>
      </c>
      <c r="W209" s="102">
        <f t="shared" si="234"/>
        <v>816823.87608939456</v>
      </c>
      <c r="X209" s="102">
        <f t="shared" si="234"/>
        <v>1046142.8102573933</v>
      </c>
      <c r="Y209" s="102">
        <f t="shared" si="234"/>
        <v>1118350.1245687807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28709.280891495961</v>
      </c>
      <c r="C210" s="28">
        <f t="shared" si="232"/>
        <v>28583.058085935892</v>
      </c>
      <c r="D210" s="28">
        <f t="shared" si="232"/>
        <v>28625.75220495899</v>
      </c>
      <c r="E210" s="28">
        <f t="shared" si="232"/>
        <v>19369.853793308957</v>
      </c>
      <c r="F210" s="28">
        <f t="shared" ref="B210:V219" si="236">IF(F19=0,0,F19*1000000/F73)</f>
        <v>35689.544127399349</v>
      </c>
      <c r="G210" s="28">
        <f t="shared" si="236"/>
        <v>24686.440792941172</v>
      </c>
      <c r="H210" s="28">
        <f t="shared" si="236"/>
        <v>31156.897543165196</v>
      </c>
      <c r="I210" s="28">
        <f t="shared" si="236"/>
        <v>25489.371656019859</v>
      </c>
      <c r="J210" s="28">
        <f t="shared" si="236"/>
        <v>26849.679620400544</v>
      </c>
      <c r="K210" s="28">
        <f t="shared" si="236"/>
        <v>27471.685406460132</v>
      </c>
      <c r="L210" s="28">
        <f t="shared" si="236"/>
        <v>29401.280060558816</v>
      </c>
      <c r="M210" s="28">
        <f t="shared" si="235"/>
        <v>22202.282890322098</v>
      </c>
      <c r="N210" s="28">
        <f t="shared" si="236"/>
        <v>23720.610020705444</v>
      </c>
      <c r="O210" s="28">
        <f t="shared" si="236"/>
        <v>20900.09705936442</v>
      </c>
      <c r="P210" s="28">
        <f t="shared" si="236"/>
        <v>24981.047784677452</v>
      </c>
      <c r="Q210" s="28">
        <f t="shared" si="236"/>
        <v>24803.393875077491</v>
      </c>
      <c r="R210" s="28">
        <f t="shared" si="236"/>
        <v>26151.926497927081</v>
      </c>
      <c r="S210" s="28">
        <f t="shared" si="236"/>
        <v>29479.281660395071</v>
      </c>
      <c r="T210" s="28">
        <f t="shared" si="236"/>
        <v>30470.533881164625</v>
      </c>
      <c r="U210" s="28">
        <f t="shared" si="236"/>
        <v>30854.648433101105</v>
      </c>
      <c r="V210" s="28">
        <f t="shared" si="236"/>
        <v>28199.274572254584</v>
      </c>
      <c r="W210" s="28">
        <f t="shared" ref="W210:Y210" si="237">IF(W19=0,0,W19*1000000/W73)</f>
        <v>33775.162740092099</v>
      </c>
      <c r="X210" s="28">
        <f t="shared" si="237"/>
        <v>33454.299775618914</v>
      </c>
      <c r="Y210" s="28">
        <f t="shared" si="237"/>
        <v>31175.147410204947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1832.7420620107248</v>
      </c>
      <c r="C211" s="137">
        <f t="shared" si="236"/>
        <v>1868.6546198372673</v>
      </c>
      <c r="D211" s="137">
        <f t="shared" si="236"/>
        <v>1943.6125994218728</v>
      </c>
      <c r="E211" s="137">
        <f t="shared" si="236"/>
        <v>2065.0449384884841</v>
      </c>
      <c r="F211" s="137">
        <f t="shared" si="236"/>
        <v>2139.7355962552574</v>
      </c>
      <c r="G211" s="137">
        <f t="shared" si="236"/>
        <v>2242.0242797406991</v>
      </c>
      <c r="H211" s="137">
        <f t="shared" si="236"/>
        <v>2368.3475956677212</v>
      </c>
      <c r="I211" s="137">
        <f t="shared" si="236"/>
        <v>2472.207656609663</v>
      </c>
      <c r="J211" s="137">
        <f t="shared" si="236"/>
        <v>2421.5818344856107</v>
      </c>
      <c r="K211" s="137">
        <f t="shared" si="236"/>
        <v>2506.9632983119996</v>
      </c>
      <c r="L211" s="137">
        <f t="shared" si="236"/>
        <v>2607.9143305415473</v>
      </c>
      <c r="M211" s="137">
        <f t="shared" si="235"/>
        <v>2526.4074074942796</v>
      </c>
      <c r="N211" s="137">
        <f t="shared" si="236"/>
        <v>2328.1041671017042</v>
      </c>
      <c r="O211" s="137">
        <f t="shared" si="236"/>
        <v>2830.6572951866578</v>
      </c>
      <c r="P211" s="137">
        <f t="shared" si="236"/>
        <v>2953.1139366775715</v>
      </c>
      <c r="Q211" s="137">
        <f t="shared" si="236"/>
        <v>3404.9823012381989</v>
      </c>
      <c r="R211" s="137">
        <f t="shared" si="236"/>
        <v>3462.9280139272068</v>
      </c>
      <c r="S211" s="137">
        <f t="shared" si="236"/>
        <v>3416.827995868015</v>
      </c>
      <c r="T211" s="137">
        <f t="shared" si="236"/>
        <v>3442.4123149285738</v>
      </c>
      <c r="U211" s="137">
        <f t="shared" si="236"/>
        <v>3546.2355430199955</v>
      </c>
      <c r="V211" s="137">
        <f t="shared" si="236"/>
        <v>3204.1957047547708</v>
      </c>
      <c r="W211" s="137">
        <f t="shared" ref="W211:Y211" si="238">IF(W20=0,0,W20*1000000/W74)</f>
        <v>3511.3507121633288</v>
      </c>
      <c r="X211" s="137">
        <f t="shared" si="238"/>
        <v>3581.7799888511349</v>
      </c>
      <c r="Y211" s="137">
        <f t="shared" si="238"/>
        <v>3650.4024646824114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1518.4394973582712</v>
      </c>
      <c r="C212" s="84">
        <f t="shared" si="236"/>
        <v>1495.5902988781665</v>
      </c>
      <c r="D212" s="84">
        <f t="shared" si="236"/>
        <v>1522.1901266890404</v>
      </c>
      <c r="E212" s="84">
        <f t="shared" si="236"/>
        <v>1555.0284954109618</v>
      </c>
      <c r="F212" s="84">
        <f t="shared" si="236"/>
        <v>1559.5099575223442</v>
      </c>
      <c r="G212" s="84">
        <f t="shared" si="236"/>
        <v>1605.5142057910775</v>
      </c>
      <c r="H212" s="84">
        <f t="shared" si="236"/>
        <v>1605.6767044584485</v>
      </c>
      <c r="I212" s="84">
        <f t="shared" si="236"/>
        <v>1640.7384241338727</v>
      </c>
      <c r="J212" s="84">
        <f t="shared" si="236"/>
        <v>1604.9359698877734</v>
      </c>
      <c r="K212" s="84">
        <f t="shared" si="236"/>
        <v>1506.2500510158518</v>
      </c>
      <c r="L212" s="84">
        <f t="shared" si="236"/>
        <v>1512.0398219856513</v>
      </c>
      <c r="M212" s="84">
        <f t="shared" si="235"/>
        <v>1448.7068263025658</v>
      </c>
      <c r="N212" s="84">
        <f t="shared" si="236"/>
        <v>1326.7718378371385</v>
      </c>
      <c r="O212" s="84">
        <f t="shared" si="236"/>
        <v>1453.6426350551578</v>
      </c>
      <c r="P212" s="84">
        <f t="shared" si="236"/>
        <v>1540.0037982037438</v>
      </c>
      <c r="Q212" s="84">
        <f t="shared" si="236"/>
        <v>1624.6196897277566</v>
      </c>
      <c r="R212" s="84">
        <f t="shared" si="236"/>
        <v>1616.4076340798274</v>
      </c>
      <c r="S212" s="84">
        <f t="shared" si="236"/>
        <v>1687.0157343551273</v>
      </c>
      <c r="T212" s="84">
        <f t="shared" si="236"/>
        <v>1870.5725795689489</v>
      </c>
      <c r="U212" s="84">
        <f t="shared" si="236"/>
        <v>1921.9688739766746</v>
      </c>
      <c r="V212" s="84">
        <f t="shared" si="236"/>
        <v>1785.4937846529976</v>
      </c>
      <c r="W212" s="84">
        <f t="shared" ref="W212:Y212" si="239">IF(W21=0,0,W21*1000000/W75)</f>
        <v>1963.4021558611828</v>
      </c>
      <c r="X212" s="84">
        <f t="shared" si="239"/>
        <v>1980.6900991847217</v>
      </c>
      <c r="Y212" s="84">
        <f t="shared" si="239"/>
        <v>1998.0662102914885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4046.3831881940905</v>
      </c>
      <c r="C213" s="84">
        <f t="shared" si="236"/>
        <v>4223.829499046733</v>
      </c>
      <c r="D213" s="84">
        <f t="shared" si="236"/>
        <v>4399.4265485156111</v>
      </c>
      <c r="E213" s="84">
        <f t="shared" si="236"/>
        <v>4487.3718859614046</v>
      </c>
      <c r="F213" s="84">
        <f t="shared" si="236"/>
        <v>4600.1622141249545</v>
      </c>
      <c r="G213" s="84">
        <f t="shared" si="236"/>
        <v>4702.4682511745714</v>
      </c>
      <c r="H213" s="84">
        <f t="shared" si="236"/>
        <v>4790.0882945572894</v>
      </c>
      <c r="I213" s="84">
        <f t="shared" si="236"/>
        <v>4864.910996825226</v>
      </c>
      <c r="J213" s="84">
        <f t="shared" si="236"/>
        <v>4830.4024546615947</v>
      </c>
      <c r="K213" s="84">
        <f t="shared" si="236"/>
        <v>4847.3208737435652</v>
      </c>
      <c r="L213" s="84">
        <f t="shared" si="236"/>
        <v>4700.4724311641503</v>
      </c>
      <c r="M213" s="84">
        <f t="shared" si="235"/>
        <v>4381.527756821717</v>
      </c>
      <c r="N213" s="84">
        <f t="shared" si="236"/>
        <v>3967.3675752202539</v>
      </c>
      <c r="O213" s="84">
        <f t="shared" si="236"/>
        <v>4667.4056308367708</v>
      </c>
      <c r="P213" s="84">
        <f t="shared" si="236"/>
        <v>4689.7137663898711</v>
      </c>
      <c r="Q213" s="84">
        <f t="shared" si="236"/>
        <v>5236.0653316074995</v>
      </c>
      <c r="R213" s="84">
        <f t="shared" si="236"/>
        <v>5319.6015578021388</v>
      </c>
      <c r="S213" s="84">
        <f t="shared" si="236"/>
        <v>5195.2417001888107</v>
      </c>
      <c r="T213" s="84">
        <f t="shared" si="236"/>
        <v>5123.160188919871</v>
      </c>
      <c r="U213" s="84">
        <f t="shared" si="236"/>
        <v>5375.5965938140007</v>
      </c>
      <c r="V213" s="84">
        <f t="shared" si="236"/>
        <v>4891.8793717043345</v>
      </c>
      <c r="W213" s="84">
        <f t="shared" ref="W213:Y213" si="240">IF(W22=0,0,W22*1000000/W76)</f>
        <v>5462.3363399294039</v>
      </c>
      <c r="X213" s="84">
        <f t="shared" si="240"/>
        <v>5510.4327326001094</v>
      </c>
      <c r="Y213" s="84">
        <f t="shared" si="240"/>
        <v>5558.7744148488537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0</v>
      </c>
      <c r="I214" s="84">
        <f t="shared" si="236"/>
        <v>0</v>
      </c>
      <c r="J214" s="84">
        <f t="shared" si="236"/>
        <v>0</v>
      </c>
      <c r="K214" s="84">
        <f t="shared" si="236"/>
        <v>0</v>
      </c>
      <c r="L214" s="84">
        <f t="shared" si="236"/>
        <v>0</v>
      </c>
      <c r="M214" s="84">
        <f t="shared" si="235"/>
        <v>0</v>
      </c>
      <c r="N214" s="84">
        <f t="shared" si="236"/>
        <v>0</v>
      </c>
      <c r="O214" s="84">
        <f t="shared" si="236"/>
        <v>0</v>
      </c>
      <c r="P214" s="84">
        <f t="shared" si="236"/>
        <v>0</v>
      </c>
      <c r="Q214" s="84">
        <f t="shared" si="236"/>
        <v>0</v>
      </c>
      <c r="R214" s="84">
        <f t="shared" si="236"/>
        <v>0</v>
      </c>
      <c r="S214" s="84">
        <f t="shared" si="236"/>
        <v>0</v>
      </c>
      <c r="T214" s="84">
        <f t="shared" si="236"/>
        <v>0</v>
      </c>
      <c r="U214" s="84">
        <f t="shared" si="236"/>
        <v>0</v>
      </c>
      <c r="V214" s="84">
        <f t="shared" si="236"/>
        <v>0</v>
      </c>
      <c r="W214" s="84">
        <f t="shared" ref="W214:Y214" si="241">IF(W23=0,0,W23*1000000/W77)</f>
        <v>0</v>
      </c>
      <c r="X214" s="84">
        <f t="shared" si="241"/>
        <v>0</v>
      </c>
      <c r="Y214" s="84">
        <f t="shared" si="241"/>
        <v>0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0</v>
      </c>
      <c r="I215" s="84">
        <f t="shared" si="236"/>
        <v>0</v>
      </c>
      <c r="J215" s="84">
        <f t="shared" si="236"/>
        <v>0</v>
      </c>
      <c r="K215" s="84">
        <f t="shared" si="236"/>
        <v>0</v>
      </c>
      <c r="L215" s="84">
        <f t="shared" si="236"/>
        <v>0</v>
      </c>
      <c r="M215" s="84">
        <f t="shared" si="235"/>
        <v>0</v>
      </c>
      <c r="N215" s="84">
        <f t="shared" si="236"/>
        <v>0</v>
      </c>
      <c r="O215" s="84">
        <f t="shared" si="236"/>
        <v>0</v>
      </c>
      <c r="P215" s="84">
        <f t="shared" si="236"/>
        <v>0</v>
      </c>
      <c r="Q215" s="84">
        <f t="shared" si="236"/>
        <v>0</v>
      </c>
      <c r="R215" s="84">
        <f t="shared" si="236"/>
        <v>0</v>
      </c>
      <c r="S215" s="84">
        <f t="shared" si="236"/>
        <v>0</v>
      </c>
      <c r="T215" s="84">
        <f t="shared" si="236"/>
        <v>0</v>
      </c>
      <c r="U215" s="84">
        <f t="shared" si="236"/>
        <v>0</v>
      </c>
      <c r="V215" s="84">
        <f t="shared" si="236"/>
        <v>0</v>
      </c>
      <c r="W215" s="84">
        <f t="shared" ref="W215:Y215" si="242">IF(W24=0,0,W24*1000000/W78)</f>
        <v>0</v>
      </c>
      <c r="X215" s="84">
        <f t="shared" si="242"/>
        <v>0</v>
      </c>
      <c r="Y215" s="84">
        <f t="shared" si="242"/>
        <v>0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0</v>
      </c>
      <c r="N216" s="84">
        <f t="shared" si="236"/>
        <v>0</v>
      </c>
      <c r="O216" s="84">
        <f t="shared" si="236"/>
        <v>0</v>
      </c>
      <c r="P216" s="84">
        <f t="shared" si="236"/>
        <v>0</v>
      </c>
      <c r="Q216" s="84">
        <f t="shared" si="236"/>
        <v>0</v>
      </c>
      <c r="R216" s="84">
        <f t="shared" si="236"/>
        <v>0</v>
      </c>
      <c r="S216" s="84">
        <f t="shared" si="236"/>
        <v>0</v>
      </c>
      <c r="T216" s="84">
        <f t="shared" si="236"/>
        <v>0</v>
      </c>
      <c r="U216" s="84">
        <f t="shared" si="236"/>
        <v>0</v>
      </c>
      <c r="V216" s="84">
        <f t="shared" si="236"/>
        <v>0</v>
      </c>
      <c r="W216" s="84">
        <f t="shared" ref="W216:Y216" si="243">IF(W25=0,0,W25*1000000/W79)</f>
        <v>0</v>
      </c>
      <c r="X216" s="84">
        <f t="shared" si="243"/>
        <v>0</v>
      </c>
      <c r="Y216" s="84">
        <f t="shared" si="243"/>
        <v>0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130533.69861048077</v>
      </c>
      <c r="C217" s="110">
        <f t="shared" si="236"/>
        <v>129676.92586339363</v>
      </c>
      <c r="D217" s="110">
        <f t="shared" si="236"/>
        <v>129375.03789084736</v>
      </c>
      <c r="E217" s="110">
        <f t="shared" si="236"/>
        <v>86249.853235967588</v>
      </c>
      <c r="F217" s="110">
        <f t="shared" si="236"/>
        <v>142626.3899707555</v>
      </c>
      <c r="G217" s="110">
        <f t="shared" si="236"/>
        <v>104644.30624340016</v>
      </c>
      <c r="H217" s="110">
        <f t="shared" si="236"/>
        <v>122717.1417827175</v>
      </c>
      <c r="I217" s="110">
        <f t="shared" si="236"/>
        <v>104217.30872969034</v>
      </c>
      <c r="J217" s="110">
        <f t="shared" si="236"/>
        <v>107800.39025398467</v>
      </c>
      <c r="K217" s="110">
        <f t="shared" si="236"/>
        <v>114132.60287424159</v>
      </c>
      <c r="L217" s="110">
        <f t="shared" si="236"/>
        <v>130893.74668259831</v>
      </c>
      <c r="M217" s="110">
        <f t="shared" si="235"/>
        <v>96864.464799552035</v>
      </c>
      <c r="N217" s="110">
        <f t="shared" si="236"/>
        <v>106121.56286742885</v>
      </c>
      <c r="O217" s="110">
        <f t="shared" si="236"/>
        <v>95748.952166242496</v>
      </c>
      <c r="P217" s="110">
        <f t="shared" si="236"/>
        <v>122598.79892631283</v>
      </c>
      <c r="Q217" s="110">
        <f t="shared" si="236"/>
        <v>136976.60569891246</v>
      </c>
      <c r="R217" s="110">
        <f t="shared" si="236"/>
        <v>166429.0799842288</v>
      </c>
      <c r="S217" s="110">
        <f t="shared" si="236"/>
        <v>188432.67641903259</v>
      </c>
      <c r="T217" s="110">
        <f t="shared" si="236"/>
        <v>216908.06115824584</v>
      </c>
      <c r="U217" s="110">
        <f t="shared" si="236"/>
        <v>229687.36761840209</v>
      </c>
      <c r="V217" s="110">
        <f t="shared" si="236"/>
        <v>223827.05182577152</v>
      </c>
      <c r="W217" s="110">
        <f t="shared" ref="W217:Y217" si="244">IF(W26=0,0,W26*1000000/W80)</f>
        <v>277496.27002223913</v>
      </c>
      <c r="X217" s="110">
        <f t="shared" si="244"/>
        <v>309117.34951947397</v>
      </c>
      <c r="Y217" s="110">
        <f t="shared" si="244"/>
        <v>323524.68816360034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122600.62579623776</v>
      </c>
      <c r="C218" s="163">
        <f t="shared" si="236"/>
        <v>121434.47705663498</v>
      </c>
      <c r="D218" s="163">
        <f t="shared" si="236"/>
        <v>120861.13559108649</v>
      </c>
      <c r="E218" s="163">
        <f t="shared" si="236"/>
        <v>77231.086574045985</v>
      </c>
      <c r="F218" s="163">
        <f t="shared" si="236"/>
        <v>134319.20115088433</v>
      </c>
      <c r="G218" s="163">
        <f t="shared" si="236"/>
        <v>94505.568647861932</v>
      </c>
      <c r="H218" s="163">
        <f t="shared" si="236"/>
        <v>111833.74480666459</v>
      </c>
      <c r="I218" s="163">
        <f t="shared" si="236"/>
        <v>94617.896799477472</v>
      </c>
      <c r="J218" s="163">
        <f t="shared" si="236"/>
        <v>99966.740713062682</v>
      </c>
      <c r="K218" s="163">
        <f t="shared" si="236"/>
        <v>106785.37585120214</v>
      </c>
      <c r="L218" s="163">
        <f t="shared" si="236"/>
        <v>120713.30589849106</v>
      </c>
      <c r="M218" s="163">
        <f t="shared" si="235"/>
        <v>87633.59574579011</v>
      </c>
      <c r="N218" s="163">
        <f t="shared" si="236"/>
        <v>94877.44660769678</v>
      </c>
      <c r="O218" s="163">
        <f t="shared" si="236"/>
        <v>81239.900102835323</v>
      </c>
      <c r="P218" s="163">
        <f t="shared" si="236"/>
        <v>107239.87998553016</v>
      </c>
      <c r="Q218" s="163">
        <f t="shared" si="236"/>
        <v>118604.19216042316</v>
      </c>
      <c r="R218" s="163">
        <f t="shared" si="236"/>
        <v>145169.93297551805</v>
      </c>
      <c r="S218" s="163">
        <f t="shared" si="236"/>
        <v>157242.80646432794</v>
      </c>
      <c r="T218" s="163">
        <f t="shared" si="236"/>
        <v>182942.36157747265</v>
      </c>
      <c r="U218" s="163">
        <f t="shared" si="236"/>
        <v>213512.18311592418</v>
      </c>
      <c r="V218" s="163">
        <f t="shared" si="236"/>
        <v>197780.51787916155</v>
      </c>
      <c r="W218" s="163">
        <f t="shared" ref="W218:Y218" si="245">IF(W27=0,0,W27*1000000/W81)</f>
        <v>241183.52892973163</v>
      </c>
      <c r="X218" s="163">
        <f t="shared" si="245"/>
        <v>267794.19795786648</v>
      </c>
      <c r="Y218" s="163">
        <f t="shared" si="245"/>
        <v>278367.56167678174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1212112.4726110639</v>
      </c>
      <c r="C219" s="86">
        <f t="shared" si="236"/>
        <v>1211086.2093101286</v>
      </c>
      <c r="D219" s="86">
        <f t="shared" si="236"/>
        <v>1218710.1855551607</v>
      </c>
      <c r="E219" s="86">
        <f t="shared" si="236"/>
        <v>1211723.6517605402</v>
      </c>
      <c r="F219" s="86">
        <f t="shared" si="236"/>
        <v>1189172.7682694506</v>
      </c>
      <c r="G219" s="86">
        <f t="shared" si="236"/>
        <v>1190195.4877768233</v>
      </c>
      <c r="H219" s="86">
        <f t="shared" si="236"/>
        <v>1197776.8871184122</v>
      </c>
      <c r="I219" s="86">
        <f t="shared" si="236"/>
        <v>1199895.7131896229</v>
      </c>
      <c r="J219" s="86">
        <f t="shared" si="236"/>
        <v>1182625.653829016</v>
      </c>
      <c r="K219" s="86">
        <f t="shared" si="236"/>
        <v>1167180.9939811926</v>
      </c>
      <c r="L219" s="86">
        <f t="shared" si="236"/>
        <v>1205014.9580659922</v>
      </c>
      <c r="M219" s="86">
        <f t="shared" si="235"/>
        <v>1201401.5784627302</v>
      </c>
      <c r="N219" s="86">
        <f t="shared" si="236"/>
        <v>1197623.7334860344</v>
      </c>
      <c r="O219" s="86">
        <f t="shared" si="236"/>
        <v>1198979.5010244704</v>
      </c>
      <c r="P219" s="86">
        <f t="shared" si="236"/>
        <v>1202033.7286513194</v>
      </c>
      <c r="Q219" s="86">
        <f t="shared" si="236"/>
        <v>1190458.6160442026</v>
      </c>
      <c r="R219" s="86">
        <f t="shared" si="236"/>
        <v>1184141.4585900409</v>
      </c>
      <c r="S219" s="86">
        <f t="shared" si="236"/>
        <v>1191013.6086342456</v>
      </c>
      <c r="T219" s="86">
        <f t="shared" si="236"/>
        <v>1202620.9677419355</v>
      </c>
      <c r="U219" s="86">
        <f t="shared" si="236"/>
        <v>1195444.5260837618</v>
      </c>
      <c r="V219" s="86">
        <f t="shared" si="236"/>
        <v>1178212.8514056224</v>
      </c>
      <c r="W219" s="86">
        <f t="shared" ref="W219:Y219" si="246">IF(W28=0,0,W28*1000000/W82)</f>
        <v>1193870.0147710487</v>
      </c>
      <c r="X219" s="86">
        <f t="shared" si="246"/>
        <v>1189284.4554106458</v>
      </c>
      <c r="Y219" s="86">
        <f t="shared" si="246"/>
        <v>1176366.2171753016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4.9180319382637783E-2</v>
      </c>
      <c r="C223" s="154">
        <f t="shared" si="251"/>
        <v>4.9067447567003569E-2</v>
      </c>
      <c r="D223" s="154">
        <f t="shared" si="251"/>
        <v>5.18007325494469E-2</v>
      </c>
      <c r="E223" s="154">
        <f t="shared" si="251"/>
        <v>5.2685113610722152E-2</v>
      </c>
      <c r="F223" s="154">
        <f t="shared" si="251"/>
        <v>5.2730913330565198E-2</v>
      </c>
      <c r="G223" s="154">
        <f t="shared" si="251"/>
        <v>5.1417010901161866E-2</v>
      </c>
      <c r="H223" s="154">
        <f t="shared" si="251"/>
        <v>4.6764291161985209E-2</v>
      </c>
      <c r="I223" s="154">
        <f t="shared" si="251"/>
        <v>4.5838098019099723E-2</v>
      </c>
      <c r="J223" s="154">
        <f t="shared" si="251"/>
        <v>4.6900472960126005E-2</v>
      </c>
      <c r="K223" s="154">
        <f t="shared" si="251"/>
        <v>4.7890563657918793E-2</v>
      </c>
      <c r="L223" s="154">
        <f t="shared" ref="L223" si="252">IF(L5=0,0,L5/L$4)</f>
        <v>5.7228436297978524E-2</v>
      </c>
      <c r="M223" s="154">
        <f t="shared" ref="M223:V223" si="253">IF(M5=0,0,M5/M$4)</f>
        <v>5.9667727890838657E-2</v>
      </c>
      <c r="N223" s="154">
        <f t="shared" si="253"/>
        <v>6.2684829242651008E-2</v>
      </c>
      <c r="O223" s="154">
        <f t="shared" si="253"/>
        <v>6.4411005508957106E-2</v>
      </c>
      <c r="P223" s="154">
        <f t="shared" si="253"/>
        <v>6.6740478113972032E-2</v>
      </c>
      <c r="Q223" s="154">
        <f t="shared" si="253"/>
        <v>6.6550220801044932E-2</v>
      </c>
      <c r="R223" s="154">
        <f t="shared" si="253"/>
        <v>6.7688544224941721E-2</v>
      </c>
      <c r="S223" s="154">
        <f t="shared" si="253"/>
        <v>6.30679970421823E-2</v>
      </c>
      <c r="T223" s="154">
        <f t="shared" si="253"/>
        <v>5.8486673375801886E-2</v>
      </c>
      <c r="U223" s="154">
        <f t="shared" si="253"/>
        <v>6.1094393988336382E-2</v>
      </c>
      <c r="V223" s="154">
        <f t="shared" si="253"/>
        <v>6.5442492718135778E-2</v>
      </c>
      <c r="W223" s="154">
        <f t="shared" ref="W223:Y223" si="254">IF(W5=0,0,W5/W$4)</f>
        <v>6.3822533212860619E-2</v>
      </c>
      <c r="X223" s="154">
        <f t="shared" si="254"/>
        <v>5.9591651224041246E-2</v>
      </c>
      <c r="Y223" s="154">
        <f t="shared" si="254"/>
        <v>6.1119833728098663E-2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0.70722125004597192</v>
      </c>
      <c r="C224" s="156">
        <f t="shared" si="255"/>
        <v>0.72008255640805974</v>
      </c>
      <c r="D224" s="156">
        <f t="shared" si="255"/>
        <v>0.72628028996212579</v>
      </c>
      <c r="E224" s="156">
        <f t="shared" si="255"/>
        <v>0.73502737484007263</v>
      </c>
      <c r="F224" s="156">
        <f t="shared" si="255"/>
        <v>0.74588117060585413</v>
      </c>
      <c r="G224" s="156">
        <f t="shared" si="255"/>
        <v>0.75566592383693765</v>
      </c>
      <c r="H224" s="156">
        <f t="shared" si="255"/>
        <v>0.76736327187317821</v>
      </c>
      <c r="I224" s="156">
        <f t="shared" si="255"/>
        <v>0.77474684348876521</v>
      </c>
      <c r="J224" s="156">
        <f t="shared" si="255"/>
        <v>0.78058929323495008</v>
      </c>
      <c r="K224" s="156">
        <f t="shared" si="255"/>
        <v>0.78914613899649932</v>
      </c>
      <c r="L224" s="156">
        <f t="shared" ref="L224" si="256">IF(L6=0,0,L6/L$4)</f>
        <v>0.77796228454615857</v>
      </c>
      <c r="M224" s="156">
        <f t="shared" ref="M224:V224" si="257">IF(M6=0,0,M6/M$4)</f>
        <v>0.7737904437570694</v>
      </c>
      <c r="N224" s="156">
        <f t="shared" si="257"/>
        <v>0.76978490303075386</v>
      </c>
      <c r="O224" s="156">
        <f t="shared" si="257"/>
        <v>0.76720686059494858</v>
      </c>
      <c r="P224" s="156">
        <f t="shared" si="257"/>
        <v>0.76694801336263796</v>
      </c>
      <c r="Q224" s="156">
        <f t="shared" si="257"/>
        <v>0.76814933320018686</v>
      </c>
      <c r="R224" s="156">
        <f t="shared" si="257"/>
        <v>0.77102174471535756</v>
      </c>
      <c r="S224" s="156">
        <f t="shared" si="257"/>
        <v>0.78020528394196542</v>
      </c>
      <c r="T224" s="156">
        <f t="shared" si="257"/>
        <v>0.78541931878572002</v>
      </c>
      <c r="U224" s="156">
        <f t="shared" si="257"/>
        <v>0.78693947461218605</v>
      </c>
      <c r="V224" s="156">
        <f t="shared" si="257"/>
        <v>0.8153389910936395</v>
      </c>
      <c r="W224" s="156">
        <f t="shared" ref="W224:Y224" si="258">IF(W6=0,0,W6/W$4)</f>
        <v>0.82047976325379168</v>
      </c>
      <c r="X224" s="156">
        <f t="shared" si="258"/>
        <v>0.80338279374705068</v>
      </c>
      <c r="Y224" s="156">
        <f t="shared" si="258"/>
        <v>0.80054401805420317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0.65359186962254678</v>
      </c>
      <c r="C225" s="103">
        <f t="shared" si="259"/>
        <v>0.67120895127242663</v>
      </c>
      <c r="D225" s="103">
        <f t="shared" si="259"/>
        <v>0.67997473977895384</v>
      </c>
      <c r="E225" s="103">
        <f t="shared" si="259"/>
        <v>0.68859835096238931</v>
      </c>
      <c r="F225" s="103">
        <f t="shared" si="259"/>
        <v>0.70568426053989153</v>
      </c>
      <c r="G225" s="103">
        <f t="shared" si="259"/>
        <v>0.7164717284130514</v>
      </c>
      <c r="H225" s="103">
        <f t="shared" si="259"/>
        <v>0.72562799686946911</v>
      </c>
      <c r="I225" s="103">
        <f t="shared" si="259"/>
        <v>0.73247594505320135</v>
      </c>
      <c r="J225" s="103">
        <f t="shared" si="259"/>
        <v>0.74126140189448175</v>
      </c>
      <c r="K225" s="103">
        <f t="shared" si="259"/>
        <v>0.74381315309711205</v>
      </c>
      <c r="L225" s="103">
        <f t="shared" ref="L225" si="260">IF(L7=0,0,L7/L$4)</f>
        <v>0.73038150966653936</v>
      </c>
      <c r="M225" s="103">
        <f t="shared" ref="M225:V225" si="261">IF(M7=0,0,M7/M$4)</f>
        <v>0.71395265863886415</v>
      </c>
      <c r="N225" s="103">
        <f t="shared" si="261"/>
        <v>0.71328300841657788</v>
      </c>
      <c r="O225" s="103">
        <f t="shared" si="261"/>
        <v>0.68516398951045765</v>
      </c>
      <c r="P225" s="103">
        <f t="shared" si="261"/>
        <v>0.6590630987033782</v>
      </c>
      <c r="Q225" s="103">
        <f t="shared" si="261"/>
        <v>0.65656949077135629</v>
      </c>
      <c r="R225" s="103">
        <f t="shared" si="261"/>
        <v>0.63752041816733895</v>
      </c>
      <c r="S225" s="103">
        <f t="shared" si="261"/>
        <v>0.63248409604912159</v>
      </c>
      <c r="T225" s="103">
        <f t="shared" si="261"/>
        <v>0.61598589427191874</v>
      </c>
      <c r="U225" s="103">
        <f t="shared" si="261"/>
        <v>0.59091993356884953</v>
      </c>
      <c r="V225" s="103">
        <f t="shared" si="261"/>
        <v>0.59562221450760322</v>
      </c>
      <c r="W225" s="103">
        <f t="shared" ref="W225:Y225" si="262">IF(W7=0,0,W7/W$4)</f>
        <v>0.59681655937812306</v>
      </c>
      <c r="X225" s="103">
        <f t="shared" si="262"/>
        <v>0.58283427766097473</v>
      </c>
      <c r="Y225" s="103">
        <f t="shared" si="262"/>
        <v>0.57950254904238807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4.9698863548441802E-2</v>
      </c>
      <c r="C226" s="103">
        <f t="shared" si="263"/>
        <v>4.5082003119500724E-2</v>
      </c>
      <c r="D226" s="103">
        <f t="shared" si="263"/>
        <v>4.2886844957277237E-2</v>
      </c>
      <c r="E226" s="103">
        <f t="shared" si="263"/>
        <v>4.348690622346689E-2</v>
      </c>
      <c r="F226" s="103">
        <f t="shared" si="263"/>
        <v>3.7604818478786654E-2</v>
      </c>
      <c r="G226" s="103">
        <f t="shared" si="263"/>
        <v>3.6717301651658374E-2</v>
      </c>
      <c r="H226" s="103">
        <f t="shared" si="263"/>
        <v>3.93257158535881E-2</v>
      </c>
      <c r="I226" s="103">
        <f t="shared" si="263"/>
        <v>3.970800764375438E-2</v>
      </c>
      <c r="J226" s="103">
        <f t="shared" si="263"/>
        <v>3.6858673996947533E-2</v>
      </c>
      <c r="K226" s="103">
        <f t="shared" si="263"/>
        <v>4.1784607469423772E-2</v>
      </c>
      <c r="L226" s="103">
        <f t="shared" ref="L226" si="264">IF(L8=0,0,L8/L$4)</f>
        <v>3.9181599629470182E-2</v>
      </c>
      <c r="M226" s="103">
        <f t="shared" ref="M226:V226" si="265">IF(M8=0,0,M8/M$4)</f>
        <v>3.7393020397163836E-2</v>
      </c>
      <c r="N226" s="103">
        <f t="shared" si="265"/>
        <v>3.8008260049474676E-2</v>
      </c>
      <c r="O226" s="103">
        <f t="shared" si="265"/>
        <v>3.5384276162056583E-2</v>
      </c>
      <c r="P226" s="103">
        <f t="shared" si="265"/>
        <v>5.6621098599593328E-2</v>
      </c>
      <c r="Q226" s="103">
        <f t="shared" si="265"/>
        <v>5.2249343203019001E-2</v>
      </c>
      <c r="R226" s="103">
        <f t="shared" si="265"/>
        <v>6.8085257910053737E-2</v>
      </c>
      <c r="S226" s="103">
        <f t="shared" si="265"/>
        <v>8.5521546222955297E-2</v>
      </c>
      <c r="T226" s="103">
        <f t="shared" si="265"/>
        <v>0.1101844096418559</v>
      </c>
      <c r="U226" s="103">
        <f t="shared" si="265"/>
        <v>0.13695026512289549</v>
      </c>
      <c r="V226" s="103">
        <f t="shared" si="265"/>
        <v>0.16492758360044446</v>
      </c>
      <c r="W226" s="103">
        <f t="shared" ref="W226:Y226" si="266">IF(W8=0,0,W8/W$4)</f>
        <v>0.16971195568581801</v>
      </c>
      <c r="X226" s="103">
        <f t="shared" si="266"/>
        <v>0.16733864218474373</v>
      </c>
      <c r="Y226" s="103">
        <f t="shared" si="266"/>
        <v>0.16610858805800957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3.9305168749832744E-3</v>
      </c>
      <c r="C227" s="103">
        <f t="shared" si="267"/>
        <v>3.5848899533576957E-3</v>
      </c>
      <c r="D227" s="103">
        <f t="shared" si="267"/>
        <v>3.1034966405525735E-3</v>
      </c>
      <c r="E227" s="103">
        <f t="shared" si="267"/>
        <v>2.6130197061546606E-3</v>
      </c>
      <c r="F227" s="103">
        <f t="shared" si="267"/>
        <v>2.2804678673871456E-3</v>
      </c>
      <c r="G227" s="103">
        <f t="shared" si="267"/>
        <v>2.1504475925522076E-3</v>
      </c>
      <c r="H227" s="103">
        <f t="shared" si="267"/>
        <v>2.0817714593709701E-3</v>
      </c>
      <c r="I227" s="103">
        <f t="shared" si="267"/>
        <v>2.2083007389167718E-3</v>
      </c>
      <c r="J227" s="103">
        <f t="shared" si="267"/>
        <v>2.1371312216459139E-3</v>
      </c>
      <c r="K227" s="103">
        <f t="shared" si="267"/>
        <v>3.1118127914012057E-3</v>
      </c>
      <c r="L227" s="103">
        <f t="shared" ref="L227" si="268">IF(L9=0,0,L9/L$4)</f>
        <v>7.8962192595099841E-3</v>
      </c>
      <c r="M227" s="103">
        <f t="shared" ref="M227:V227" si="269">IF(M9=0,0,M9/M$4)</f>
        <v>2.1868876599660279E-2</v>
      </c>
      <c r="N227" s="103">
        <f t="shared" si="269"/>
        <v>1.7834235395912328E-2</v>
      </c>
      <c r="O227" s="103">
        <f t="shared" si="269"/>
        <v>4.5997209865278471E-2</v>
      </c>
      <c r="P227" s="103">
        <f t="shared" si="269"/>
        <v>5.057616937145526E-2</v>
      </c>
      <c r="Q227" s="103">
        <f t="shared" si="269"/>
        <v>5.854845193466722E-2</v>
      </c>
      <c r="R227" s="103">
        <f t="shared" si="269"/>
        <v>6.4606869229452746E-2</v>
      </c>
      <c r="S227" s="103">
        <f t="shared" si="269"/>
        <v>6.1394705278956949E-2</v>
      </c>
      <c r="T227" s="103">
        <f t="shared" si="269"/>
        <v>5.8400569606853595E-2</v>
      </c>
      <c r="U227" s="103">
        <f t="shared" si="269"/>
        <v>5.8095488388745647E-2</v>
      </c>
      <c r="V227" s="103">
        <f t="shared" si="269"/>
        <v>5.3043863429391026E-2</v>
      </c>
      <c r="W227" s="103">
        <f t="shared" ref="W227:Y227" si="270">IF(W9=0,0,W9/W$4)</f>
        <v>5.0761364875808887E-2</v>
      </c>
      <c r="X227" s="103">
        <f t="shared" si="270"/>
        <v>4.8586288164179023E-2</v>
      </c>
      <c r="Y227" s="103">
        <f t="shared" si="270"/>
        <v>4.7815679747520927E-2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2.06712062774532E-4</v>
      </c>
      <c r="D228" s="103">
        <f t="shared" si="271"/>
        <v>3.1520858534222443E-4</v>
      </c>
      <c r="E228" s="103">
        <f t="shared" si="271"/>
        <v>3.2909794806181448E-4</v>
      </c>
      <c r="F228" s="103">
        <f t="shared" si="271"/>
        <v>3.1162371978872046E-4</v>
      </c>
      <c r="G228" s="103">
        <f t="shared" si="271"/>
        <v>3.2644617967571028E-4</v>
      </c>
      <c r="H228" s="103">
        <f t="shared" si="271"/>
        <v>3.2778769075001937E-4</v>
      </c>
      <c r="I228" s="103">
        <f t="shared" si="271"/>
        <v>3.5459005289275241E-4</v>
      </c>
      <c r="J228" s="103">
        <f t="shared" si="271"/>
        <v>3.320861218748655E-4</v>
      </c>
      <c r="K228" s="103">
        <f t="shared" si="271"/>
        <v>4.3656563856240253E-4</v>
      </c>
      <c r="L228" s="103">
        <f t="shared" ref="L228" si="272">IF(L10=0,0,L10/L$4)</f>
        <v>5.0295599063900282E-4</v>
      </c>
      <c r="M228" s="103">
        <f t="shared" ref="M228:V228" si="273">IF(M10=0,0,M10/M$4)</f>
        <v>5.7588812138115468E-4</v>
      </c>
      <c r="N228" s="103">
        <f t="shared" si="273"/>
        <v>6.5904938847379207E-4</v>
      </c>
      <c r="O228" s="103">
        <f t="shared" si="273"/>
        <v>6.6060113565948454E-4</v>
      </c>
      <c r="P228" s="103">
        <f t="shared" si="273"/>
        <v>6.7473415749667799E-4</v>
      </c>
      <c r="Q228" s="103">
        <f t="shared" si="273"/>
        <v>7.5768320927471441E-4</v>
      </c>
      <c r="R228" s="103">
        <f t="shared" si="273"/>
        <v>7.7291749569221354E-4</v>
      </c>
      <c r="S228" s="103">
        <f t="shared" si="273"/>
        <v>7.4189378735467276E-4</v>
      </c>
      <c r="T228" s="103">
        <f t="shared" si="273"/>
        <v>7.4710609948482097E-4</v>
      </c>
      <c r="U228" s="103">
        <f t="shared" si="273"/>
        <v>8.0117171718650185E-4</v>
      </c>
      <c r="V228" s="103">
        <f t="shared" si="273"/>
        <v>1.1906315395603269E-3</v>
      </c>
      <c r="W228" s="103">
        <f t="shared" ref="W228:Y228" si="274">IF(W10=0,0,W10/W$4)</f>
        <v>1.3462012566293445E-3</v>
      </c>
      <c r="X228" s="103">
        <f t="shared" si="274"/>
        <v>1.4327118176981507E-3</v>
      </c>
      <c r="Y228" s="103">
        <f t="shared" si="274"/>
        <v>1.6418171190009951E-3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0</v>
      </c>
      <c r="N229" s="103">
        <f t="shared" si="277"/>
        <v>1.5481403209094281E-7</v>
      </c>
      <c r="O229" s="103">
        <f t="shared" si="277"/>
        <v>1.6845480474397367E-7</v>
      </c>
      <c r="P229" s="103">
        <f t="shared" si="277"/>
        <v>3.5650478248310791E-6</v>
      </c>
      <c r="Q229" s="103">
        <f t="shared" si="277"/>
        <v>6.7688988758567179E-6</v>
      </c>
      <c r="R229" s="103">
        <f t="shared" si="277"/>
        <v>1.2929336784830607E-5</v>
      </c>
      <c r="S229" s="103">
        <f t="shared" si="277"/>
        <v>3.2955373960639594E-5</v>
      </c>
      <c r="T229" s="103">
        <f t="shared" si="277"/>
        <v>5.8166943428723285E-5</v>
      </c>
      <c r="U229" s="103">
        <f t="shared" si="277"/>
        <v>8.8670454634102151E-5</v>
      </c>
      <c r="V229" s="103">
        <f t="shared" si="277"/>
        <v>3.416680048446396E-4</v>
      </c>
      <c r="W229" s="103">
        <f t="shared" ref="W229:Y229" si="278">IF(W11=0,0,W11/W$4)</f>
        <v>1.140184146204413E-3</v>
      </c>
      <c r="X229" s="103">
        <f t="shared" si="278"/>
        <v>1.9132395161420752E-3</v>
      </c>
      <c r="Y229" s="103">
        <f t="shared" si="278"/>
        <v>3.0683701663189325E-3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0</v>
      </c>
      <c r="L230" s="103">
        <f t="shared" ref="L230" si="280">IF(L12=0,0,L12/L$4)</f>
        <v>0</v>
      </c>
      <c r="M230" s="103">
        <f t="shared" ref="M230:V230" si="281">IF(M12=0,0,M12/M$4)</f>
        <v>0</v>
      </c>
      <c r="N230" s="103">
        <f t="shared" si="281"/>
        <v>1.9496628301516805E-7</v>
      </c>
      <c r="O230" s="103">
        <f t="shared" si="281"/>
        <v>6.1546669173711555E-7</v>
      </c>
      <c r="P230" s="103">
        <f t="shared" si="281"/>
        <v>9.3474828897180196E-6</v>
      </c>
      <c r="Q230" s="103">
        <f t="shared" si="281"/>
        <v>1.7595182993794966E-5</v>
      </c>
      <c r="R230" s="103">
        <f t="shared" si="281"/>
        <v>2.3352576034978627E-5</v>
      </c>
      <c r="S230" s="103">
        <f t="shared" si="281"/>
        <v>3.0087229616286774E-5</v>
      </c>
      <c r="T230" s="103">
        <f t="shared" si="281"/>
        <v>4.3172222178231541E-5</v>
      </c>
      <c r="U230" s="103">
        <f t="shared" si="281"/>
        <v>8.3945359874708602E-5</v>
      </c>
      <c r="V230" s="103">
        <f t="shared" si="281"/>
        <v>2.1303001179570283E-4</v>
      </c>
      <c r="W230" s="103">
        <f t="shared" ref="W230:Y230" si="282">IF(W12=0,0,W12/W$4)</f>
        <v>7.034979112080208E-4</v>
      </c>
      <c r="X230" s="103">
        <f t="shared" si="282"/>
        <v>1.2776344033129442E-3</v>
      </c>
      <c r="Y230" s="103">
        <f t="shared" si="282"/>
        <v>2.4070139209646912E-3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0.2435984305713903</v>
      </c>
      <c r="C231" s="156">
        <f t="shared" si="283"/>
        <v>0.23084999602493675</v>
      </c>
      <c r="D231" s="156">
        <f t="shared" si="283"/>
        <v>0.22191897748842732</v>
      </c>
      <c r="E231" s="156">
        <f t="shared" si="283"/>
        <v>0.21228751154920519</v>
      </c>
      <c r="F231" s="156">
        <f t="shared" si="283"/>
        <v>0.20138791606358061</v>
      </c>
      <c r="G231" s="156">
        <f t="shared" si="283"/>
        <v>0.19291706526190053</v>
      </c>
      <c r="H231" s="156">
        <f t="shared" si="283"/>
        <v>0.18587243696483652</v>
      </c>
      <c r="I231" s="156">
        <f t="shared" si="283"/>
        <v>0.1794150584921351</v>
      </c>
      <c r="J231" s="156">
        <f t="shared" si="283"/>
        <v>0.17251023380492397</v>
      </c>
      <c r="K231" s="156">
        <f t="shared" si="283"/>
        <v>0.16296329734558185</v>
      </c>
      <c r="L231" s="156">
        <f t="shared" ref="L231" si="284">IF(L13=0,0,L13/L$4)</f>
        <v>0.16480927915586291</v>
      </c>
      <c r="M231" s="156">
        <f t="shared" ref="M231:V231" si="285">IF(M13=0,0,M13/M$4)</f>
        <v>0.16654182835209205</v>
      </c>
      <c r="N231" s="156">
        <f t="shared" si="285"/>
        <v>0.16753026772659513</v>
      </c>
      <c r="O231" s="156">
        <f t="shared" si="285"/>
        <v>0.16838213389609422</v>
      </c>
      <c r="P231" s="156">
        <f t="shared" si="285"/>
        <v>0.16631150852338994</v>
      </c>
      <c r="Q231" s="156">
        <f t="shared" si="285"/>
        <v>0.16530044599876817</v>
      </c>
      <c r="R231" s="156">
        <f t="shared" si="285"/>
        <v>0.16128971105970069</v>
      </c>
      <c r="S231" s="156">
        <f t="shared" si="285"/>
        <v>0.15672671901585231</v>
      </c>
      <c r="T231" s="156">
        <f t="shared" si="285"/>
        <v>0.15609400783847815</v>
      </c>
      <c r="U231" s="156">
        <f t="shared" si="285"/>
        <v>0.15196613139947768</v>
      </c>
      <c r="V231" s="156">
        <f t="shared" si="285"/>
        <v>0.11921851618822467</v>
      </c>
      <c r="W231" s="156">
        <f t="shared" ref="W231:Y231" si="286">IF(W13=0,0,W13/W$4)</f>
        <v>0.1156977035333477</v>
      </c>
      <c r="X231" s="156">
        <f t="shared" si="286"/>
        <v>0.13702555502890804</v>
      </c>
      <c r="Y231" s="156">
        <f t="shared" si="286"/>
        <v>0.1383361482176981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0</v>
      </c>
      <c r="E232" s="103">
        <f t="shared" si="287"/>
        <v>0</v>
      </c>
      <c r="F232" s="103">
        <f t="shared" si="287"/>
        <v>0</v>
      </c>
      <c r="G232" s="103">
        <f t="shared" si="287"/>
        <v>0</v>
      </c>
      <c r="H232" s="103">
        <f t="shared" si="287"/>
        <v>0</v>
      </c>
      <c r="I232" s="103">
        <f t="shared" si="287"/>
        <v>0</v>
      </c>
      <c r="J232" s="103">
        <f t="shared" si="287"/>
        <v>0</v>
      </c>
      <c r="K232" s="103">
        <f t="shared" si="287"/>
        <v>0</v>
      </c>
      <c r="L232" s="103">
        <f t="shared" ref="L232" si="288">IF(L14=0,0,L14/L$4)</f>
        <v>0</v>
      </c>
      <c r="M232" s="103">
        <f t="shared" ref="M232:V232" si="289">IF(M14=0,0,M14/M$4)</f>
        <v>0</v>
      </c>
      <c r="N232" s="103">
        <f t="shared" si="289"/>
        <v>0</v>
      </c>
      <c r="O232" s="103">
        <f t="shared" si="289"/>
        <v>0</v>
      </c>
      <c r="P232" s="103">
        <f t="shared" si="289"/>
        <v>0</v>
      </c>
      <c r="Q232" s="103">
        <f t="shared" si="289"/>
        <v>0</v>
      </c>
      <c r="R232" s="103">
        <f t="shared" si="289"/>
        <v>0</v>
      </c>
      <c r="S232" s="103">
        <f t="shared" si="289"/>
        <v>0</v>
      </c>
      <c r="T232" s="103">
        <f t="shared" si="289"/>
        <v>0</v>
      </c>
      <c r="U232" s="103">
        <f t="shared" si="289"/>
        <v>0</v>
      </c>
      <c r="V232" s="103">
        <f t="shared" si="289"/>
        <v>0</v>
      </c>
      <c r="W232" s="103">
        <f t="shared" ref="W232:Y232" si="290">IF(W14=0,0,W14/W$4)</f>
        <v>0</v>
      </c>
      <c r="X232" s="103">
        <f t="shared" si="290"/>
        <v>0</v>
      </c>
      <c r="Y232" s="103">
        <f t="shared" si="290"/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0.2435984305713903</v>
      </c>
      <c r="C233" s="103">
        <f t="shared" si="291"/>
        <v>0.22736860597963846</v>
      </c>
      <c r="D233" s="103">
        <f t="shared" si="291"/>
        <v>0.21682254708912202</v>
      </c>
      <c r="E233" s="103">
        <f t="shared" si="291"/>
        <v>0.20694743046628597</v>
      </c>
      <c r="F233" s="103">
        <f t="shared" si="291"/>
        <v>0.19630551084436432</v>
      </c>
      <c r="G233" s="103">
        <f t="shared" si="291"/>
        <v>0.18775849465106836</v>
      </c>
      <c r="H233" s="103">
        <f t="shared" si="291"/>
        <v>0.18075059852822112</v>
      </c>
      <c r="I233" s="103">
        <f t="shared" si="291"/>
        <v>0.1736767572524763</v>
      </c>
      <c r="J233" s="103">
        <f t="shared" si="291"/>
        <v>0.16675682026196956</v>
      </c>
      <c r="K233" s="103">
        <f t="shared" si="291"/>
        <v>0.15774441429531277</v>
      </c>
      <c r="L233" s="103">
        <f t="shared" ref="L233" si="292">IF(L15=0,0,L15/L$4)</f>
        <v>0.15974194686895266</v>
      </c>
      <c r="M233" s="103">
        <f t="shared" ref="M233:V233" si="293">IF(M15=0,0,M15/M$4)</f>
        <v>0.16155203751201908</v>
      </c>
      <c r="N233" s="103">
        <f t="shared" si="293"/>
        <v>0.16251492971257156</v>
      </c>
      <c r="O233" s="103">
        <f t="shared" si="293"/>
        <v>0.1601132882463811</v>
      </c>
      <c r="P233" s="103">
        <f t="shared" si="293"/>
        <v>0.15813564511651942</v>
      </c>
      <c r="Q233" s="103">
        <f t="shared" si="293"/>
        <v>0.15683556199798374</v>
      </c>
      <c r="R233" s="103">
        <f t="shared" si="293"/>
        <v>0.15286786979013395</v>
      </c>
      <c r="S233" s="103">
        <f t="shared" si="293"/>
        <v>0.14886153709515362</v>
      </c>
      <c r="T233" s="103">
        <f t="shared" si="293"/>
        <v>0.1474831882285009</v>
      </c>
      <c r="U233" s="103">
        <f t="shared" si="293"/>
        <v>0.14300257621935708</v>
      </c>
      <c r="V233" s="103">
        <f t="shared" si="293"/>
        <v>0.11166055275665954</v>
      </c>
      <c r="W233" s="103">
        <f t="shared" ref="W233:Y233" si="294">IF(W15=0,0,W15/W$4)</f>
        <v>0.10778171552951374</v>
      </c>
      <c r="X233" s="103">
        <f t="shared" si="294"/>
        <v>0.12596177088253102</v>
      </c>
      <c r="Y233" s="103">
        <f t="shared" si="294"/>
        <v>0.12686965110354559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0</v>
      </c>
      <c r="G234" s="103">
        <f t="shared" si="295"/>
        <v>0</v>
      </c>
      <c r="H234" s="103">
        <f t="shared" si="295"/>
        <v>0</v>
      </c>
      <c r="I234" s="103">
        <f t="shared" si="295"/>
        <v>0</v>
      </c>
      <c r="J234" s="103">
        <f t="shared" si="295"/>
        <v>0</v>
      </c>
      <c r="K234" s="103">
        <f t="shared" si="295"/>
        <v>0</v>
      </c>
      <c r="L234" s="103">
        <f t="shared" ref="L234" si="296">IF(L16=0,0,L16/L$4)</f>
        <v>0</v>
      </c>
      <c r="M234" s="103">
        <f t="shared" ref="M234:V234" si="297">IF(M16=0,0,M16/M$4)</f>
        <v>0</v>
      </c>
      <c r="N234" s="103">
        <f t="shared" si="297"/>
        <v>0</v>
      </c>
      <c r="O234" s="103">
        <f t="shared" si="297"/>
        <v>0</v>
      </c>
      <c r="P234" s="103">
        <f t="shared" si="297"/>
        <v>0</v>
      </c>
      <c r="Q234" s="103">
        <f t="shared" si="297"/>
        <v>0</v>
      </c>
      <c r="R234" s="103">
        <f t="shared" si="297"/>
        <v>0</v>
      </c>
      <c r="S234" s="103">
        <f t="shared" si="297"/>
        <v>0</v>
      </c>
      <c r="T234" s="103">
        <f t="shared" si="297"/>
        <v>0</v>
      </c>
      <c r="U234" s="103">
        <f t="shared" si="297"/>
        <v>0</v>
      </c>
      <c r="V234" s="103">
        <f t="shared" si="297"/>
        <v>0</v>
      </c>
      <c r="W234" s="103">
        <f t="shared" ref="W234:Y234" si="298">IF(W16=0,0,W16/W$4)</f>
        <v>0</v>
      </c>
      <c r="X234" s="103">
        <f t="shared" si="298"/>
        <v>0</v>
      </c>
      <c r="Y234" s="103">
        <f t="shared" si="298"/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0</v>
      </c>
      <c r="C235" s="103">
        <f t="shared" si="299"/>
        <v>3.481390045298299E-3</v>
      </c>
      <c r="D235" s="103">
        <f t="shared" si="299"/>
        <v>5.0964303993053109E-3</v>
      </c>
      <c r="E235" s="103">
        <f t="shared" si="299"/>
        <v>5.3400810829192236E-3</v>
      </c>
      <c r="F235" s="103">
        <f t="shared" si="299"/>
        <v>5.0824052192163065E-3</v>
      </c>
      <c r="G235" s="103">
        <f t="shared" si="299"/>
        <v>5.1585706108321864E-3</v>
      </c>
      <c r="H235" s="103">
        <f t="shared" si="299"/>
        <v>5.1218384366153872E-3</v>
      </c>
      <c r="I235" s="103">
        <f t="shared" si="299"/>
        <v>5.738301239658814E-3</v>
      </c>
      <c r="J235" s="103">
        <f t="shared" si="299"/>
        <v>5.7534135429544078E-3</v>
      </c>
      <c r="K235" s="103">
        <f t="shared" si="299"/>
        <v>5.2188830502690959E-3</v>
      </c>
      <c r="L235" s="103">
        <f t="shared" ref="L235" si="300">IF(L17=0,0,L17/L$4)</f>
        <v>5.0673322869102403E-3</v>
      </c>
      <c r="M235" s="103">
        <f t="shared" ref="M235:V235" si="301">IF(M17=0,0,M17/M$4)</f>
        <v>4.9897908400729782E-3</v>
      </c>
      <c r="N235" s="103">
        <f t="shared" si="301"/>
        <v>5.0153380140235846E-3</v>
      </c>
      <c r="O235" s="103">
        <f t="shared" si="301"/>
        <v>4.7675803000365464E-3</v>
      </c>
      <c r="P235" s="103">
        <f t="shared" si="301"/>
        <v>4.8099928420290211E-3</v>
      </c>
      <c r="Q235" s="103">
        <f t="shared" si="301"/>
        <v>5.1127104674404842E-3</v>
      </c>
      <c r="R235" s="103">
        <f t="shared" si="301"/>
        <v>5.1231587631410296E-3</v>
      </c>
      <c r="S235" s="103">
        <f t="shared" si="301"/>
        <v>4.5936829574793683E-3</v>
      </c>
      <c r="T235" s="103">
        <f t="shared" si="301"/>
        <v>5.3671768914325332E-3</v>
      </c>
      <c r="U235" s="103">
        <f t="shared" si="301"/>
        <v>5.765475199392806E-3</v>
      </c>
      <c r="V235" s="103">
        <f t="shared" si="301"/>
        <v>5.0576351974708405E-3</v>
      </c>
      <c r="W235" s="103">
        <f t="shared" ref="W235:Y235" si="302">IF(W17=0,0,W17/W$4)</f>
        <v>5.4863337859450099E-3</v>
      </c>
      <c r="X235" s="103">
        <f t="shared" si="302"/>
        <v>8.2172442887278718E-3</v>
      </c>
      <c r="Y235" s="103">
        <f t="shared" si="302"/>
        <v>9.6907586657694819E-3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0</v>
      </c>
      <c r="C236" s="103">
        <f t="shared" si="303"/>
        <v>0</v>
      </c>
      <c r="D236" s="103">
        <f t="shared" si="303"/>
        <v>0</v>
      </c>
      <c r="E236" s="103">
        <f t="shared" si="303"/>
        <v>0</v>
      </c>
      <c r="F236" s="103">
        <f t="shared" si="303"/>
        <v>0</v>
      </c>
      <c r="G236" s="103">
        <f t="shared" si="303"/>
        <v>0</v>
      </c>
      <c r="H236" s="103">
        <f t="shared" si="303"/>
        <v>0</v>
      </c>
      <c r="I236" s="103">
        <f t="shared" si="303"/>
        <v>0</v>
      </c>
      <c r="J236" s="103">
        <f t="shared" si="303"/>
        <v>0</v>
      </c>
      <c r="K236" s="103">
        <f t="shared" si="303"/>
        <v>0</v>
      </c>
      <c r="L236" s="103">
        <f t="shared" ref="L236" si="304">IF(L18=0,0,L18/L$4)</f>
        <v>0</v>
      </c>
      <c r="M236" s="103">
        <f t="shared" ref="M236:V236" si="305">IF(M18=0,0,M18/M$4)</f>
        <v>0</v>
      </c>
      <c r="N236" s="103">
        <f t="shared" si="305"/>
        <v>0</v>
      </c>
      <c r="O236" s="103">
        <f t="shared" si="305"/>
        <v>3.5012653496765611E-3</v>
      </c>
      <c r="P236" s="103">
        <f t="shared" si="305"/>
        <v>3.36587056484149E-3</v>
      </c>
      <c r="Q236" s="103">
        <f t="shared" si="305"/>
        <v>3.3521735333439397E-3</v>
      </c>
      <c r="R236" s="103">
        <f t="shared" si="305"/>
        <v>3.2986825064257232E-3</v>
      </c>
      <c r="S236" s="103">
        <f t="shared" si="305"/>
        <v>3.2714989632193292E-3</v>
      </c>
      <c r="T236" s="103">
        <f t="shared" si="305"/>
        <v>3.2436427185447074E-3</v>
      </c>
      <c r="U236" s="103">
        <f t="shared" si="305"/>
        <v>3.1980799807278045E-3</v>
      </c>
      <c r="V236" s="103">
        <f t="shared" si="305"/>
        <v>2.5003282340943034E-3</v>
      </c>
      <c r="W236" s="103">
        <f t="shared" ref="W236:Y236" si="306">IF(W18=0,0,W18/W$4)</f>
        <v>2.4296542178889537E-3</v>
      </c>
      <c r="X236" s="103">
        <f t="shared" si="306"/>
        <v>2.8465398576491378E-3</v>
      </c>
      <c r="Y236" s="103">
        <f t="shared" si="306"/>
        <v>1.7757384483830369E-3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5.0506723220994774E-2</v>
      </c>
      <c r="C238" s="154">
        <f t="shared" si="311"/>
        <v>5.1711388499011031E-2</v>
      </c>
      <c r="D238" s="154">
        <f t="shared" si="311"/>
        <v>5.3680707759912336E-2</v>
      </c>
      <c r="E238" s="154">
        <f t="shared" si="311"/>
        <v>8.4696545638794821E-2</v>
      </c>
      <c r="F238" s="154">
        <f t="shared" si="311"/>
        <v>4.563640347138994E-2</v>
      </c>
      <c r="G238" s="154">
        <f t="shared" si="311"/>
        <v>7.0914229589085553E-2</v>
      </c>
      <c r="H238" s="154">
        <f t="shared" si="311"/>
        <v>5.7830431919410813E-2</v>
      </c>
      <c r="I238" s="154">
        <f t="shared" si="311"/>
        <v>7.5048355734268241E-2</v>
      </c>
      <c r="J238" s="154">
        <f t="shared" si="311"/>
        <v>6.9283118002413213E-2</v>
      </c>
      <c r="K238" s="154">
        <f t="shared" si="311"/>
        <v>7.0847086278458829E-2</v>
      </c>
      <c r="L238" s="154">
        <f t="shared" ref="L238" si="312">IF(L20=0,0,L20/L$19)</f>
        <v>7.0174963111688554E-2</v>
      </c>
      <c r="M238" s="154">
        <f t="shared" ref="M238:V238" si="313">IF(M20=0,0,M20/M$19)</f>
        <v>9.0057420336283472E-2</v>
      </c>
      <c r="N238" s="154">
        <f t="shared" si="313"/>
        <v>7.791818078759917E-2</v>
      </c>
      <c r="O238" s="154">
        <f t="shared" si="313"/>
        <v>0.10909954018280986</v>
      </c>
      <c r="P238" s="154">
        <f t="shared" si="313"/>
        <v>9.6449795476656094E-2</v>
      </c>
      <c r="Q238" s="154">
        <f t="shared" si="313"/>
        <v>0.11528656507799252</v>
      </c>
      <c r="R238" s="154">
        <f t="shared" si="313"/>
        <v>0.1139801726254671</v>
      </c>
      <c r="S238" s="154">
        <f t="shared" si="313"/>
        <v>9.9578847649993849E-2</v>
      </c>
      <c r="T238" s="154">
        <f t="shared" si="313"/>
        <v>9.8670688709221632E-2</v>
      </c>
      <c r="U238" s="154">
        <f t="shared" si="313"/>
        <v>0.10105440886276096</v>
      </c>
      <c r="V238" s="154">
        <f t="shared" si="313"/>
        <v>0.10075372593789614</v>
      </c>
      <c r="W238" s="154">
        <f t="shared" ref="W238:Y238" si="314">IF(W20=0,0,W20/W$19)</f>
        <v>9.2479024929716491E-2</v>
      </c>
      <c r="X238" s="154">
        <f t="shared" si="314"/>
        <v>9.6597022812187197E-2</v>
      </c>
      <c r="Y238" s="154">
        <f t="shared" si="314"/>
        <v>0.10701762784324848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3.6642505094531951E-2</v>
      </c>
      <c r="C239" s="103">
        <f t="shared" si="315"/>
        <v>3.572814887442028E-2</v>
      </c>
      <c r="D239" s="103">
        <f t="shared" si="315"/>
        <v>3.5883710213910985E-2</v>
      </c>
      <c r="E239" s="103">
        <f t="shared" si="315"/>
        <v>5.2685666257499979E-2</v>
      </c>
      <c r="F239" s="103">
        <f t="shared" si="315"/>
        <v>2.6914301509349682E-2</v>
      </c>
      <c r="G239" s="103">
        <f t="shared" si="315"/>
        <v>4.0344649707861481E-2</v>
      </c>
      <c r="H239" s="103">
        <f t="shared" si="315"/>
        <v>2.9817247080505708E-2</v>
      </c>
      <c r="I239" s="103">
        <f t="shared" si="315"/>
        <v>3.6962910433489225E-2</v>
      </c>
      <c r="J239" s="103">
        <f t="shared" si="315"/>
        <v>3.4292402415366172E-2</v>
      </c>
      <c r="K239" s="103">
        <f t="shared" si="315"/>
        <v>2.9817252809238477E-2</v>
      </c>
      <c r="L239" s="103">
        <f t="shared" ref="L239" si="316">IF(L21=0,0,L21/L$19)</f>
        <v>2.6702528322359746E-2</v>
      </c>
      <c r="M239" s="103">
        <f t="shared" ref="M239:V239" si="317">IF(M21=0,0,M21/M$19)</f>
        <v>3.2665037822122149E-2</v>
      </c>
      <c r="N239" s="103">
        <f t="shared" si="317"/>
        <v>2.7566362782210911E-2</v>
      </c>
      <c r="O239" s="103">
        <f t="shared" si="317"/>
        <v>3.2020572217567662E-2</v>
      </c>
      <c r="P239" s="103">
        <f t="shared" si="317"/>
        <v>2.7731418763975876E-2</v>
      </c>
      <c r="Q239" s="103">
        <f t="shared" si="317"/>
        <v>2.7889614330418654E-2</v>
      </c>
      <c r="R239" s="103">
        <f t="shared" si="317"/>
        <v>2.6674472113631151E-2</v>
      </c>
      <c r="S239" s="103">
        <f t="shared" si="317"/>
        <v>2.4923460983360419E-2</v>
      </c>
      <c r="T239" s="103">
        <f t="shared" si="317"/>
        <v>2.7705972827621519E-2</v>
      </c>
      <c r="U239" s="103">
        <f t="shared" si="317"/>
        <v>2.9010682392180121E-2</v>
      </c>
      <c r="V239" s="103">
        <f t="shared" si="317"/>
        <v>3.0502547304823775E-2</v>
      </c>
      <c r="W239" s="103">
        <f t="shared" ref="W239:Y239" si="318">IF(W21=0,0,W21/W$19)</f>
        <v>2.8833448906711898E-2</v>
      </c>
      <c r="X239" s="103">
        <f t="shared" si="318"/>
        <v>2.9187195373710825E-2</v>
      </c>
      <c r="Y239" s="103">
        <f t="shared" si="318"/>
        <v>3.139432037446082E-2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1.3864218126462819E-2</v>
      </c>
      <c r="C240" s="103">
        <f t="shared" si="319"/>
        <v>1.598323962459075E-2</v>
      </c>
      <c r="D240" s="103">
        <f t="shared" si="319"/>
        <v>1.779699754600135E-2</v>
      </c>
      <c r="E240" s="103">
        <f t="shared" si="319"/>
        <v>3.2010879381294849E-2</v>
      </c>
      <c r="F240" s="103">
        <f t="shared" si="319"/>
        <v>1.8722101962040254E-2</v>
      </c>
      <c r="G240" s="103">
        <f t="shared" si="319"/>
        <v>3.0569579881224076E-2</v>
      </c>
      <c r="H240" s="103">
        <f t="shared" si="319"/>
        <v>2.8013184838905102E-2</v>
      </c>
      <c r="I240" s="103">
        <f t="shared" si="319"/>
        <v>3.8085445300779015E-2</v>
      </c>
      <c r="J240" s="103">
        <f t="shared" si="319"/>
        <v>3.4990715587047035E-2</v>
      </c>
      <c r="K240" s="103">
        <f t="shared" si="319"/>
        <v>4.1029833469220352E-2</v>
      </c>
      <c r="L240" s="103">
        <f t="shared" ref="L240" si="320">IF(L22=0,0,L22/L$19)</f>
        <v>4.3472434789328801E-2</v>
      </c>
      <c r="M240" s="103">
        <f t="shared" ref="M240:V240" si="321">IF(M22=0,0,M22/M$19)</f>
        <v>5.739238251416133E-2</v>
      </c>
      <c r="N240" s="103">
        <f t="shared" si="321"/>
        <v>5.0351818005388266E-2</v>
      </c>
      <c r="O240" s="103">
        <f t="shared" si="321"/>
        <v>7.707896796524219E-2</v>
      </c>
      <c r="P240" s="103">
        <f t="shared" si="321"/>
        <v>6.8718376712680218E-2</v>
      </c>
      <c r="Q240" s="103">
        <f t="shared" si="321"/>
        <v>8.7396950747573865E-2</v>
      </c>
      <c r="R240" s="103">
        <f t="shared" si="321"/>
        <v>8.7305700511835935E-2</v>
      </c>
      <c r="S240" s="103">
        <f t="shared" si="321"/>
        <v>7.4655386666633433E-2</v>
      </c>
      <c r="T240" s="103">
        <f t="shared" si="321"/>
        <v>7.096471588160011E-2</v>
      </c>
      <c r="U240" s="103">
        <f t="shared" si="321"/>
        <v>7.2043726470580827E-2</v>
      </c>
      <c r="V240" s="103">
        <f t="shared" si="321"/>
        <v>7.025117863307237E-2</v>
      </c>
      <c r="W240" s="103">
        <f t="shared" ref="W240:Y240" si="322">IF(W22=0,0,W22/W$19)</f>
        <v>6.3645576023004594E-2</v>
      </c>
      <c r="X240" s="103">
        <f t="shared" si="322"/>
        <v>6.7409827438476358E-2</v>
      </c>
      <c r="Y240" s="103">
        <f t="shared" si="322"/>
        <v>7.5623307468787662E-2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0</v>
      </c>
      <c r="I241" s="103">
        <f t="shared" si="323"/>
        <v>0</v>
      </c>
      <c r="J241" s="103">
        <f t="shared" si="323"/>
        <v>0</v>
      </c>
      <c r="K241" s="103">
        <f t="shared" si="323"/>
        <v>0</v>
      </c>
      <c r="L241" s="103">
        <f t="shared" ref="L241" si="324">IF(L23=0,0,L23/L$19)</f>
        <v>0</v>
      </c>
      <c r="M241" s="103">
        <f t="shared" ref="M241:V241" si="325">IF(M23=0,0,M23/M$19)</f>
        <v>0</v>
      </c>
      <c r="N241" s="103">
        <f t="shared" si="325"/>
        <v>0</v>
      </c>
      <c r="O241" s="103">
        <f t="shared" si="325"/>
        <v>0</v>
      </c>
      <c r="P241" s="103">
        <f t="shared" si="325"/>
        <v>0</v>
      </c>
      <c r="Q241" s="103">
        <f t="shared" si="325"/>
        <v>0</v>
      </c>
      <c r="R241" s="103">
        <f t="shared" si="325"/>
        <v>0</v>
      </c>
      <c r="S241" s="103">
        <f t="shared" si="325"/>
        <v>0</v>
      </c>
      <c r="T241" s="103">
        <f t="shared" si="325"/>
        <v>0</v>
      </c>
      <c r="U241" s="103">
        <f t="shared" si="325"/>
        <v>0</v>
      </c>
      <c r="V241" s="103">
        <f t="shared" si="325"/>
        <v>0</v>
      </c>
      <c r="W241" s="103">
        <f t="shared" ref="W241:Y241" si="326">IF(W23=0,0,W23/W$19)</f>
        <v>0</v>
      </c>
      <c r="X241" s="103">
        <f t="shared" si="326"/>
        <v>0</v>
      </c>
      <c r="Y241" s="103">
        <f t="shared" si="326"/>
        <v>0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0</v>
      </c>
      <c r="I242" s="103">
        <f t="shared" si="327"/>
        <v>0</v>
      </c>
      <c r="J242" s="103">
        <f t="shared" si="327"/>
        <v>0</v>
      </c>
      <c r="K242" s="103">
        <f t="shared" si="327"/>
        <v>0</v>
      </c>
      <c r="L242" s="103">
        <f t="shared" ref="L242" si="328">IF(L24=0,0,L24/L$19)</f>
        <v>0</v>
      </c>
      <c r="M242" s="103">
        <f t="shared" ref="M242:V242" si="329">IF(M24=0,0,M24/M$19)</f>
        <v>0</v>
      </c>
      <c r="N242" s="103">
        <f t="shared" si="329"/>
        <v>0</v>
      </c>
      <c r="O242" s="103">
        <f t="shared" si="329"/>
        <v>0</v>
      </c>
      <c r="P242" s="103">
        <f t="shared" si="329"/>
        <v>0</v>
      </c>
      <c r="Q242" s="103">
        <f t="shared" si="329"/>
        <v>0</v>
      </c>
      <c r="R242" s="103">
        <f t="shared" si="329"/>
        <v>0</v>
      </c>
      <c r="S242" s="103">
        <f t="shared" si="329"/>
        <v>0</v>
      </c>
      <c r="T242" s="103">
        <f t="shared" si="329"/>
        <v>0</v>
      </c>
      <c r="U242" s="103">
        <f t="shared" si="329"/>
        <v>0</v>
      </c>
      <c r="V242" s="103">
        <f t="shared" si="329"/>
        <v>0</v>
      </c>
      <c r="W242" s="103">
        <f t="shared" ref="W242:Y242" si="330">IF(W24=0,0,W24/W$19)</f>
        <v>0</v>
      </c>
      <c r="X242" s="103">
        <f t="shared" si="330"/>
        <v>0</v>
      </c>
      <c r="Y242" s="103">
        <f t="shared" si="330"/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0</v>
      </c>
      <c r="N243" s="103">
        <f t="shared" si="333"/>
        <v>0</v>
      </c>
      <c r="O243" s="103">
        <f t="shared" si="333"/>
        <v>0</v>
      </c>
      <c r="P243" s="103">
        <f t="shared" si="333"/>
        <v>0</v>
      </c>
      <c r="Q243" s="103">
        <f t="shared" si="333"/>
        <v>0</v>
      </c>
      <c r="R243" s="103">
        <f t="shared" si="333"/>
        <v>0</v>
      </c>
      <c r="S243" s="103">
        <f t="shared" si="333"/>
        <v>0</v>
      </c>
      <c r="T243" s="103">
        <f t="shared" si="333"/>
        <v>0</v>
      </c>
      <c r="U243" s="103">
        <f t="shared" si="333"/>
        <v>0</v>
      </c>
      <c r="V243" s="103">
        <f t="shared" si="333"/>
        <v>0</v>
      </c>
      <c r="W243" s="103">
        <f t="shared" ref="W243:Y243" si="334">IF(W25=0,0,W25/W$19)</f>
        <v>0</v>
      </c>
      <c r="X243" s="103">
        <f t="shared" si="334"/>
        <v>0</v>
      </c>
      <c r="Y243" s="103">
        <f t="shared" si="334"/>
        <v>0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0.94949327677900519</v>
      </c>
      <c r="C244" s="156">
        <f t="shared" si="335"/>
        <v>0.94828861150098898</v>
      </c>
      <c r="D244" s="156">
        <f t="shared" si="335"/>
        <v>0.94631929224008771</v>
      </c>
      <c r="E244" s="156">
        <f t="shared" si="335"/>
        <v>0.91530345436120519</v>
      </c>
      <c r="F244" s="156">
        <f t="shared" si="335"/>
        <v>0.95436359652861003</v>
      </c>
      <c r="G244" s="156">
        <f t="shared" si="335"/>
        <v>0.92908577041091445</v>
      </c>
      <c r="H244" s="156">
        <f t="shared" si="335"/>
        <v>0.94216956808058927</v>
      </c>
      <c r="I244" s="156">
        <f t="shared" si="335"/>
        <v>0.92495164426573173</v>
      </c>
      <c r="J244" s="156">
        <f t="shared" si="335"/>
        <v>0.93071688199758673</v>
      </c>
      <c r="K244" s="156">
        <f t="shared" si="335"/>
        <v>0.92915291372154118</v>
      </c>
      <c r="L244" s="156">
        <f t="shared" ref="L244" si="336">IF(L26=0,0,L26/L$19)</f>
        <v>0.92982503688831142</v>
      </c>
      <c r="M244" s="156">
        <f t="shared" ref="M244:V244" si="337">IF(M26=0,0,M26/M$19)</f>
        <v>0.9099425796637165</v>
      </c>
      <c r="N244" s="156">
        <f t="shared" si="337"/>
        <v>0.92208181921240084</v>
      </c>
      <c r="O244" s="156">
        <f t="shared" si="337"/>
        <v>0.89090045981719024</v>
      </c>
      <c r="P244" s="156">
        <f t="shared" si="337"/>
        <v>0.903550204523344</v>
      </c>
      <c r="Q244" s="156">
        <f t="shared" si="337"/>
        <v>0.88471343492200749</v>
      </c>
      <c r="R244" s="156">
        <f t="shared" si="337"/>
        <v>0.886019827374533</v>
      </c>
      <c r="S244" s="156">
        <f t="shared" si="337"/>
        <v>0.90042115235000619</v>
      </c>
      <c r="T244" s="156">
        <f t="shared" si="337"/>
        <v>0.90132931129077842</v>
      </c>
      <c r="U244" s="156">
        <f t="shared" si="337"/>
        <v>0.89894559113723904</v>
      </c>
      <c r="V244" s="156">
        <f t="shared" si="337"/>
        <v>0.89924627406210389</v>
      </c>
      <c r="W244" s="156">
        <f t="shared" ref="W244:Y244" si="338">IF(W26=0,0,W26/W$19)</f>
        <v>0.9075209750702834</v>
      </c>
      <c r="X244" s="156">
        <f t="shared" si="338"/>
        <v>0.90340297718781282</v>
      </c>
      <c r="Y244" s="156">
        <f t="shared" si="338"/>
        <v>0.89298237215675158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0.88529525379476259</v>
      </c>
      <c r="C245" s="103">
        <f t="shared" si="339"/>
        <v>0.88129684465291169</v>
      </c>
      <c r="D245" s="103">
        <f t="shared" si="339"/>
        <v>0.8771881589320415</v>
      </c>
      <c r="E245" s="103">
        <f t="shared" si="339"/>
        <v>0.81307876056682782</v>
      </c>
      <c r="F245" s="103">
        <f t="shared" si="339"/>
        <v>0.89169920358799282</v>
      </c>
      <c r="G245" s="103">
        <f t="shared" si="339"/>
        <v>0.83130471466116973</v>
      </c>
      <c r="H245" s="103">
        <f t="shared" si="339"/>
        <v>0.85000645140398556</v>
      </c>
      <c r="I245" s="103">
        <f t="shared" si="339"/>
        <v>0.83246141593639233</v>
      </c>
      <c r="J245" s="103">
        <f t="shared" si="339"/>
        <v>0.85683855761267291</v>
      </c>
      <c r="K245" s="103">
        <f t="shared" si="339"/>
        <v>0.86331573480638268</v>
      </c>
      <c r="L245" s="103">
        <f t="shared" ref="L245" si="340">IF(L27=0,0,L27/L$19)</f>
        <v>0.84945554225460007</v>
      </c>
      <c r="M245" s="103">
        <f t="shared" ref="M245:V245" si="341">IF(M27=0,0,M27/M$19)</f>
        <v>0.81640512152416644</v>
      </c>
      <c r="N245" s="103">
        <f t="shared" si="341"/>
        <v>0.81597679740066265</v>
      </c>
      <c r="O245" s="103">
        <f t="shared" si="341"/>
        <v>0.7460882061954569</v>
      </c>
      <c r="P245" s="103">
        <f t="shared" si="341"/>
        <v>0.77926740516369208</v>
      </c>
      <c r="Q245" s="103">
        <f t="shared" si="341"/>
        <v>0.75291782862396739</v>
      </c>
      <c r="R245" s="103">
        <f t="shared" si="341"/>
        <v>0.75702865061907976</v>
      </c>
      <c r="S245" s="103">
        <f t="shared" si="341"/>
        <v>0.72871118801391965</v>
      </c>
      <c r="T245" s="103">
        <f t="shared" si="341"/>
        <v>0.73486780114527583</v>
      </c>
      <c r="U245" s="103">
        <f t="shared" si="341"/>
        <v>0.82187416378938172</v>
      </c>
      <c r="V245" s="103">
        <f t="shared" si="341"/>
        <v>0.77349217734377251</v>
      </c>
      <c r="W245" s="103">
        <f t="shared" ref="W245:Y245" si="342">IF(W27=0,0,W27/W$19)</f>
        <v>0.7586995034800107</v>
      </c>
      <c r="X245" s="103">
        <f t="shared" si="342"/>
        <v>0.74753870816389778</v>
      </c>
      <c r="Y245" s="103">
        <f t="shared" si="342"/>
        <v>0.72970401784347916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6.4198022984242625E-2</v>
      </c>
      <c r="C246" s="105">
        <f t="shared" si="343"/>
        <v>6.6991766848077283E-2</v>
      </c>
      <c r="D246" s="105">
        <f t="shared" si="343"/>
        <v>6.9131133308046169E-2</v>
      </c>
      <c r="E246" s="105">
        <f t="shared" si="343"/>
        <v>0.10222469379437733</v>
      </c>
      <c r="F246" s="105">
        <f t="shared" si="343"/>
        <v>6.2664392940617125E-2</v>
      </c>
      <c r="G246" s="105">
        <f t="shared" si="343"/>
        <v>9.7781055749744716E-2</v>
      </c>
      <c r="H246" s="105">
        <f t="shared" si="343"/>
        <v>9.2163116676603693E-2</v>
      </c>
      <c r="I246" s="105">
        <f t="shared" si="343"/>
        <v>9.2490228329339383E-2</v>
      </c>
      <c r="J246" s="105">
        <f t="shared" si="343"/>
        <v>7.3878324384913832E-2</v>
      </c>
      <c r="K246" s="105">
        <f t="shared" si="343"/>
        <v>6.5837178915158584E-2</v>
      </c>
      <c r="L246" s="105">
        <f t="shared" ref="L246" si="344">IF(L28=0,0,L28/L$19)</f>
        <v>8.0369494633711305E-2</v>
      </c>
      <c r="M246" s="105">
        <f t="shared" ref="M246:V246" si="345">IF(M28=0,0,M28/M$19)</f>
        <v>9.3537458139550084E-2</v>
      </c>
      <c r="N246" s="105">
        <f t="shared" si="345"/>
        <v>0.10610502181173824</v>
      </c>
      <c r="O246" s="105">
        <f t="shared" si="345"/>
        <v>0.14481225362173331</v>
      </c>
      <c r="P246" s="105">
        <f t="shared" si="345"/>
        <v>0.12428279935965175</v>
      </c>
      <c r="Q246" s="105">
        <f t="shared" si="345"/>
        <v>0.13179560629804005</v>
      </c>
      <c r="R246" s="105">
        <f t="shared" si="345"/>
        <v>0.12899117675545313</v>
      </c>
      <c r="S246" s="105">
        <f t="shared" si="345"/>
        <v>0.17170996433608646</v>
      </c>
      <c r="T246" s="105">
        <f t="shared" si="345"/>
        <v>0.16646151014550264</v>
      </c>
      <c r="U246" s="105">
        <f t="shared" si="345"/>
        <v>7.7071427347857296E-2</v>
      </c>
      <c r="V246" s="105">
        <f t="shared" si="345"/>
        <v>0.12575409671833152</v>
      </c>
      <c r="W246" s="105">
        <f t="shared" ref="W246:Y246" si="346">IF(W28=0,0,W28/W$19)</f>
        <v>0.1488214715902727</v>
      </c>
      <c r="X246" s="105">
        <f t="shared" si="346"/>
        <v>0.15586426902391501</v>
      </c>
      <c r="Y246" s="105">
        <f t="shared" si="346"/>
        <v>0.16327835431327256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0.10346287943192156</v>
      </c>
      <c r="C250" s="154">
        <f t="shared" si="351"/>
        <v>0.10083931096070053</v>
      </c>
      <c r="D250" s="154">
        <f t="shared" si="351"/>
        <v>0.1042346297449404</v>
      </c>
      <c r="E250" s="154">
        <f t="shared" si="351"/>
        <v>0.10383786477191433</v>
      </c>
      <c r="F250" s="154">
        <f t="shared" si="351"/>
        <v>0.10175611123887465</v>
      </c>
      <c r="G250" s="154">
        <f t="shared" si="351"/>
        <v>9.7602288955405514E-2</v>
      </c>
      <c r="H250" s="154">
        <f t="shared" si="351"/>
        <v>8.827787839112114E-2</v>
      </c>
      <c r="I250" s="154">
        <f t="shared" si="351"/>
        <v>8.5909125295787092E-2</v>
      </c>
      <c r="J250" s="154">
        <f t="shared" si="351"/>
        <v>8.7355369319450649E-2</v>
      </c>
      <c r="K250" s="154">
        <f t="shared" si="351"/>
        <v>8.816127044901402E-2</v>
      </c>
      <c r="L250" s="154">
        <f t="shared" ref="L250" si="352">IF(L32=0,0,L32/L$31)</f>
        <v>0.10503202993649731</v>
      </c>
      <c r="M250" s="154">
        <f t="shared" ref="M250:V250" si="353">IF(M32=0,0,M32/M$31)</f>
        <v>0.11547033512044032</v>
      </c>
      <c r="N250" s="154">
        <f t="shared" si="353"/>
        <v>0.13652675613592932</v>
      </c>
      <c r="O250" s="154">
        <f t="shared" si="353"/>
        <v>0.14493456803506052</v>
      </c>
      <c r="P250" s="154">
        <f t="shared" si="353"/>
        <v>0.15197005456520463</v>
      </c>
      <c r="Q250" s="154">
        <f t="shared" si="353"/>
        <v>0.15374859770199495</v>
      </c>
      <c r="R250" s="154">
        <f t="shared" si="353"/>
        <v>0.15529795270225752</v>
      </c>
      <c r="S250" s="154">
        <f t="shared" si="353"/>
        <v>0.14518514643132061</v>
      </c>
      <c r="T250" s="154">
        <f t="shared" si="353"/>
        <v>0.13497024152836862</v>
      </c>
      <c r="U250" s="154">
        <f t="shared" si="353"/>
        <v>0.13968649484648352</v>
      </c>
      <c r="V250" s="154">
        <f t="shared" si="353"/>
        <v>0.1349965745387203</v>
      </c>
      <c r="W250" s="154">
        <f t="shared" ref="W250:Y250" si="354">IF(W32=0,0,W32/W$31)</f>
        <v>0.13675984625152809</v>
      </c>
      <c r="X250" s="154">
        <f t="shared" si="354"/>
        <v>0.13371682092465526</v>
      </c>
      <c r="Y250" s="154">
        <f t="shared" si="354"/>
        <v>0.13928222448786926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0.87526775537004808</v>
      </c>
      <c r="C251" s="156">
        <f t="shared" si="355"/>
        <v>0.87927383236449652</v>
      </c>
      <c r="D251" s="156">
        <f t="shared" si="355"/>
        <v>0.87686299667668965</v>
      </c>
      <c r="E251" s="156">
        <f t="shared" si="355"/>
        <v>0.878266720271632</v>
      </c>
      <c r="F251" s="156">
        <f t="shared" si="355"/>
        <v>0.8814536201414277</v>
      </c>
      <c r="G251" s="156">
        <f t="shared" si="355"/>
        <v>0.88643227505694855</v>
      </c>
      <c r="H251" s="156">
        <f t="shared" si="355"/>
        <v>0.89600114721291602</v>
      </c>
      <c r="I251" s="156">
        <f t="shared" si="355"/>
        <v>0.89910038249698931</v>
      </c>
      <c r="J251" s="156">
        <f t="shared" si="355"/>
        <v>0.89872446639422487</v>
      </c>
      <c r="K251" s="156">
        <f t="shared" si="355"/>
        <v>0.89843214927124582</v>
      </c>
      <c r="L251" s="156">
        <f t="shared" ref="L251" si="356">IF(L33=0,0,L33/L$31)</f>
        <v>0.88149859335382941</v>
      </c>
      <c r="M251" s="156">
        <f t="shared" ref="M251:V251" si="357">IF(M33=0,0,M33/M$31)</f>
        <v>0.87008295976173355</v>
      </c>
      <c r="N251" s="156">
        <f t="shared" si="357"/>
        <v>0.84728711763087672</v>
      </c>
      <c r="O251" s="156">
        <f t="shared" si="357"/>
        <v>0.83823280211860562</v>
      </c>
      <c r="P251" s="156">
        <f t="shared" si="357"/>
        <v>0.83115951916839692</v>
      </c>
      <c r="Q251" s="156">
        <f t="shared" si="357"/>
        <v>0.82935644738498582</v>
      </c>
      <c r="R251" s="156">
        <f t="shared" si="357"/>
        <v>0.82832794660003162</v>
      </c>
      <c r="S251" s="156">
        <f t="shared" si="357"/>
        <v>0.83886377109828292</v>
      </c>
      <c r="T251" s="156">
        <f t="shared" si="357"/>
        <v>0.84911401782102003</v>
      </c>
      <c r="U251" s="156">
        <f t="shared" si="357"/>
        <v>0.84495409239915964</v>
      </c>
      <c r="V251" s="156">
        <f t="shared" si="357"/>
        <v>0.84848614507984033</v>
      </c>
      <c r="W251" s="156">
        <f t="shared" ref="W251:Y251" si="358">IF(W33=0,0,W33/W$31)</f>
        <v>0.84712945681146845</v>
      </c>
      <c r="X251" s="156">
        <f t="shared" si="358"/>
        <v>0.85067996435148552</v>
      </c>
      <c r="Y251" s="156">
        <f t="shared" si="358"/>
        <v>0.84573226163951221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0.8096008927159315</v>
      </c>
      <c r="C252" s="103">
        <f t="shared" si="359"/>
        <v>0.82022428979505169</v>
      </c>
      <c r="D252" s="103">
        <f t="shared" si="359"/>
        <v>0.82155697363025748</v>
      </c>
      <c r="E252" s="103">
        <f t="shared" si="359"/>
        <v>0.82341035081246017</v>
      </c>
      <c r="F252" s="103">
        <f t="shared" si="359"/>
        <v>0.8344844353876012</v>
      </c>
      <c r="G252" s="103">
        <f t="shared" si="359"/>
        <v>0.84097599300202852</v>
      </c>
      <c r="H252" s="103">
        <f t="shared" si="359"/>
        <v>0.84783112064409361</v>
      </c>
      <c r="I252" s="103">
        <f t="shared" si="359"/>
        <v>0.85060379651279561</v>
      </c>
      <c r="J252" s="103">
        <f t="shared" si="359"/>
        <v>0.85395869100014654</v>
      </c>
      <c r="K252" s="103">
        <f t="shared" si="359"/>
        <v>0.84736892572914979</v>
      </c>
      <c r="L252" s="103">
        <f t="shared" ref="L252" si="360">IF(L34=0,0,L34/L$31)</f>
        <v>0.8279290582555513</v>
      </c>
      <c r="M252" s="103">
        <f t="shared" ref="M252:V252" si="361">IF(M34=0,0,M34/M$31)</f>
        <v>0.8026474360054302</v>
      </c>
      <c r="N252" s="103">
        <f t="shared" si="361"/>
        <v>0.78508581335905214</v>
      </c>
      <c r="O252" s="103">
        <f t="shared" si="361"/>
        <v>0.74763785180273101</v>
      </c>
      <c r="P252" s="103">
        <f t="shared" si="361"/>
        <v>0.71349211340209706</v>
      </c>
      <c r="Q252" s="103">
        <f t="shared" si="361"/>
        <v>0.70781810007074231</v>
      </c>
      <c r="R252" s="103">
        <f t="shared" si="361"/>
        <v>0.68391102774271972</v>
      </c>
      <c r="S252" s="103">
        <f t="shared" si="361"/>
        <v>0.67940512606303682</v>
      </c>
      <c r="T252" s="103">
        <f t="shared" si="361"/>
        <v>0.66574559048804016</v>
      </c>
      <c r="U252" s="103">
        <f t="shared" si="361"/>
        <v>0.63464230797182564</v>
      </c>
      <c r="V252" s="103">
        <f t="shared" si="361"/>
        <v>0.62041507459995082</v>
      </c>
      <c r="W252" s="103">
        <f t="shared" ref="W252:Y252" si="362">IF(W34=0,0,W34/W$31)</f>
        <v>0.61678381318603581</v>
      </c>
      <c r="X252" s="103">
        <f t="shared" si="362"/>
        <v>0.61764990968153433</v>
      </c>
      <c r="Y252" s="103">
        <f t="shared" si="362"/>
        <v>0.61248394467741185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6.0651947856605576E-2</v>
      </c>
      <c r="C253" s="103">
        <f t="shared" si="363"/>
        <v>5.4276526799428966E-2</v>
      </c>
      <c r="D253" s="103">
        <f t="shared" si="363"/>
        <v>5.1050848233406561E-2</v>
      </c>
      <c r="E253" s="103">
        <f t="shared" si="363"/>
        <v>5.1232177317377732E-2</v>
      </c>
      <c r="F253" s="103">
        <f t="shared" si="363"/>
        <v>4.3811211624992373E-2</v>
      </c>
      <c r="G253" s="103">
        <f t="shared" si="363"/>
        <v>4.2460905896010939E-2</v>
      </c>
      <c r="H253" s="103">
        <f t="shared" si="363"/>
        <v>4.5269522930953821E-2</v>
      </c>
      <c r="I253" s="103">
        <f t="shared" si="363"/>
        <v>4.5430341828960386E-2</v>
      </c>
      <c r="J253" s="103">
        <f t="shared" si="363"/>
        <v>4.1834939111851245E-2</v>
      </c>
      <c r="K253" s="103">
        <f t="shared" si="363"/>
        <v>4.6898501278787919E-2</v>
      </c>
      <c r="L253" s="103">
        <f t="shared" ref="L253" si="364">IF(L35=0,0,L35/L$31)</f>
        <v>4.3758202702196158E-2</v>
      </c>
      <c r="M253" s="103">
        <f t="shared" ref="M253:V253" si="365">IF(M35=0,0,M35/M$31)</f>
        <v>4.1417121469733524E-2</v>
      </c>
      <c r="N253" s="103">
        <f t="shared" si="365"/>
        <v>4.121612872315937E-2</v>
      </c>
      <c r="O253" s="103">
        <f t="shared" si="365"/>
        <v>3.804004527196659E-2</v>
      </c>
      <c r="P253" s="103">
        <f t="shared" si="365"/>
        <v>6.0391307221112363E-2</v>
      </c>
      <c r="Q253" s="103">
        <f t="shared" si="365"/>
        <v>5.5495243221499471E-2</v>
      </c>
      <c r="R253" s="103">
        <f t="shared" si="365"/>
        <v>7.1960231625076684E-2</v>
      </c>
      <c r="S253" s="103">
        <f t="shared" si="365"/>
        <v>9.0508363363595551E-2</v>
      </c>
      <c r="T253" s="103">
        <f t="shared" si="365"/>
        <v>0.11732529051663063</v>
      </c>
      <c r="U253" s="103">
        <f t="shared" si="365"/>
        <v>0.14490961927590951</v>
      </c>
      <c r="V253" s="103">
        <f t="shared" si="365"/>
        <v>0.16925390927957917</v>
      </c>
      <c r="W253" s="103">
        <f t="shared" ref="W253:Y253" si="366">IF(W35=0,0,W35/W$31)</f>
        <v>0.17279791535768563</v>
      </c>
      <c r="X253" s="103">
        <f t="shared" si="366"/>
        <v>0.17471391484549151</v>
      </c>
      <c r="Y253" s="103">
        <f t="shared" si="366"/>
        <v>0.17296785617401075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5.0149147975110421E-3</v>
      </c>
      <c r="C254" s="103">
        <f t="shared" si="367"/>
        <v>4.5127986028982523E-3</v>
      </c>
      <c r="D254" s="103">
        <f t="shared" si="367"/>
        <v>3.8628427619792965E-3</v>
      </c>
      <c r="E254" s="103">
        <f t="shared" si="367"/>
        <v>3.2187990415090541E-3</v>
      </c>
      <c r="F254" s="103">
        <f t="shared" si="367"/>
        <v>2.7783185910589445E-3</v>
      </c>
      <c r="G254" s="103">
        <f t="shared" si="367"/>
        <v>2.6005957631039366E-3</v>
      </c>
      <c r="H254" s="103">
        <f t="shared" si="367"/>
        <v>2.5059296389603595E-3</v>
      </c>
      <c r="I254" s="103">
        <f t="shared" si="367"/>
        <v>2.6420123929355335E-3</v>
      </c>
      <c r="J254" s="103">
        <f t="shared" si="367"/>
        <v>2.5366668271287729E-3</v>
      </c>
      <c r="K254" s="103">
        <f t="shared" si="367"/>
        <v>3.652326342128245E-3</v>
      </c>
      <c r="L254" s="103">
        <f t="shared" ref="L254" si="368">IF(L36=0,0,L36/L$31)</f>
        <v>9.2238141865204435E-3</v>
      </c>
      <c r="M254" s="103">
        <f t="shared" ref="M254:V254" si="369">IF(M36=0,0,M36/M$31)</f>
        <v>2.5350821717097079E-2</v>
      </c>
      <c r="N254" s="103">
        <f t="shared" si="369"/>
        <v>2.0236899467965374E-2</v>
      </c>
      <c r="O254" s="103">
        <f t="shared" si="369"/>
        <v>5.1809801517271596E-2</v>
      </c>
      <c r="P254" s="103">
        <f t="shared" si="369"/>
        <v>5.6505751466885613E-2</v>
      </c>
      <c r="Q254" s="103">
        <f t="shared" si="369"/>
        <v>6.5168728787114702E-2</v>
      </c>
      <c r="R254" s="103">
        <f t="shared" si="369"/>
        <v>7.1555438847685879E-2</v>
      </c>
      <c r="S254" s="103">
        <f t="shared" si="369"/>
        <v>6.8052132019760667E-2</v>
      </c>
      <c r="T254" s="103">
        <f t="shared" si="369"/>
        <v>6.5089326836619499E-2</v>
      </c>
      <c r="U254" s="103">
        <f t="shared" si="369"/>
        <v>6.4307622762272712E-2</v>
      </c>
      <c r="V254" s="103">
        <f t="shared" si="369"/>
        <v>5.6907559016315529E-2</v>
      </c>
      <c r="W254" s="103">
        <f t="shared" ref="W254:Y254" si="370">IF(W36=0,0,W36/W$31)</f>
        <v>5.4031057331980749E-2</v>
      </c>
      <c r="X254" s="103">
        <f t="shared" si="370"/>
        <v>5.3037820048502653E-2</v>
      </c>
      <c r="Y254" s="103">
        <f t="shared" si="370"/>
        <v>5.2077038725391413E-2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2.6021716711761091E-4</v>
      </c>
      <c r="D255" s="103">
        <f t="shared" si="371"/>
        <v>3.923320510461879E-4</v>
      </c>
      <c r="E255" s="103">
        <f t="shared" si="371"/>
        <v>4.053931002850487E-4</v>
      </c>
      <c r="F255" s="103">
        <f t="shared" si="371"/>
        <v>3.796545377751483E-4</v>
      </c>
      <c r="G255" s="103">
        <f t="shared" si="371"/>
        <v>3.9478039580520872E-4</v>
      </c>
      <c r="H255" s="103">
        <f t="shared" si="371"/>
        <v>3.9457399890814376E-4</v>
      </c>
      <c r="I255" s="103">
        <f t="shared" si="371"/>
        <v>4.2423176229785538E-4</v>
      </c>
      <c r="J255" s="103">
        <f t="shared" si="371"/>
        <v>3.9416945509833747E-4</v>
      </c>
      <c r="K255" s="103">
        <f t="shared" si="371"/>
        <v>5.1239592117992706E-4</v>
      </c>
      <c r="L255" s="103">
        <f t="shared" ref="L255" si="372">IF(L37=0,0,L37/L$31)</f>
        <v>5.8751820956139079E-4</v>
      </c>
      <c r="M255" s="103">
        <f t="shared" ref="M255:V255" si="373">IF(M37=0,0,M37/M$31)</f>
        <v>6.675805694726178E-4</v>
      </c>
      <c r="N255" s="103">
        <f t="shared" si="373"/>
        <v>7.4783784798674929E-4</v>
      </c>
      <c r="O255" s="103">
        <f t="shared" si="373"/>
        <v>7.4408021314435648E-4</v>
      </c>
      <c r="P255" s="103">
        <f t="shared" si="373"/>
        <v>7.5384041700959502E-4</v>
      </c>
      <c r="Q255" s="103">
        <f t="shared" si="373"/>
        <v>8.4335708187252155E-4</v>
      </c>
      <c r="R255" s="103">
        <f t="shared" si="373"/>
        <v>8.5604597865419864E-4</v>
      </c>
      <c r="S255" s="103">
        <f t="shared" si="373"/>
        <v>8.2234215039069544E-4</v>
      </c>
      <c r="T255" s="103">
        <f t="shared" si="373"/>
        <v>8.3267395195564433E-4</v>
      </c>
      <c r="U255" s="103">
        <f t="shared" si="373"/>
        <v>8.8684078549914756E-4</v>
      </c>
      <c r="V255" s="103">
        <f t="shared" si="373"/>
        <v>1.2773567048789492E-3</v>
      </c>
      <c r="W255" s="103">
        <f t="shared" ref="W255:Y255" si="374">IF(W37=0,0,W37/W$31)</f>
        <v>1.4329141356872464E-3</v>
      </c>
      <c r="X255" s="103">
        <f t="shared" si="374"/>
        <v>1.5639785305612394E-3</v>
      </c>
      <c r="Y255" s="103">
        <f t="shared" si="374"/>
        <v>1.7881367396153833E-3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0</v>
      </c>
      <c r="N256" s="103">
        <f t="shared" si="377"/>
        <v>1.7040076325569154E-7</v>
      </c>
      <c r="O256" s="103">
        <f t="shared" si="377"/>
        <v>1.840498961406359E-7</v>
      </c>
      <c r="P256" s="103">
        <f t="shared" si="377"/>
        <v>3.8635257987139185E-6</v>
      </c>
      <c r="Q256" s="103">
        <f t="shared" si="377"/>
        <v>7.3082533327223951E-6</v>
      </c>
      <c r="R256" s="103">
        <f t="shared" si="377"/>
        <v>1.3890309920938435E-5</v>
      </c>
      <c r="S256" s="103">
        <f t="shared" si="377"/>
        <v>3.543307107444895E-5</v>
      </c>
      <c r="T256" s="103">
        <f t="shared" si="377"/>
        <v>6.2884074605511455E-5</v>
      </c>
      <c r="U256" s="103">
        <f t="shared" si="377"/>
        <v>9.5207402773766554E-5</v>
      </c>
      <c r="V256" s="103">
        <f t="shared" si="377"/>
        <v>3.5555832787893024E-4</v>
      </c>
      <c r="W256" s="103">
        <f t="shared" ref="W256:Y256" si="378">IF(W38=0,0,W38/W$31)</f>
        <v>1.1772180371747013E-3</v>
      </c>
      <c r="X256" s="103">
        <f t="shared" si="378"/>
        <v>2.0258767502307723E-3</v>
      </c>
      <c r="Y256" s="103">
        <f t="shared" si="378"/>
        <v>3.2415702094877367E-3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0</v>
      </c>
      <c r="L257" s="103">
        <f t="shared" ref="L257" si="380">IF(L39=0,0,L39/L$31)</f>
        <v>0</v>
      </c>
      <c r="M257" s="103">
        <f t="shared" ref="M257:V257" si="381">IF(M39=0,0,M39/M$31)</f>
        <v>0</v>
      </c>
      <c r="N257" s="103">
        <f t="shared" si="381"/>
        <v>2.6783194974830751E-7</v>
      </c>
      <c r="O257" s="103">
        <f t="shared" si="381"/>
        <v>8.3926359598734049E-7</v>
      </c>
      <c r="P257" s="103">
        <f t="shared" si="381"/>
        <v>1.2643135493391433E-5</v>
      </c>
      <c r="Q257" s="103">
        <f t="shared" si="381"/>
        <v>2.3709970424084463E-5</v>
      </c>
      <c r="R257" s="103">
        <f t="shared" si="381"/>
        <v>3.1312095974134619E-5</v>
      </c>
      <c r="S257" s="103">
        <f t="shared" si="381"/>
        <v>4.0374430424549738E-5</v>
      </c>
      <c r="T257" s="103">
        <f t="shared" si="381"/>
        <v>5.8251953168653064E-5</v>
      </c>
      <c r="U257" s="103">
        <f t="shared" si="381"/>
        <v>1.1249420087879088E-4</v>
      </c>
      <c r="V257" s="103">
        <f t="shared" si="381"/>
        <v>2.7668715123693678E-4</v>
      </c>
      <c r="W257" s="103">
        <f t="shared" ref="W257:Y257" si="382">IF(W39=0,0,W39/W$31)</f>
        <v>9.0653876290424913E-4</v>
      </c>
      <c r="X257" s="103">
        <f t="shared" si="382"/>
        <v>1.6884644951649841E-3</v>
      </c>
      <c r="Y257" s="103">
        <f t="shared" si="382"/>
        <v>3.1737151135951226E-3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2.1269365198030323E-2</v>
      </c>
      <c r="C258" s="156">
        <f t="shared" si="383"/>
        <v>1.9886856674802958E-2</v>
      </c>
      <c r="D258" s="156">
        <f t="shared" si="383"/>
        <v>1.8902373578369883E-2</v>
      </c>
      <c r="E258" s="156">
        <f t="shared" si="383"/>
        <v>1.789541495645363E-2</v>
      </c>
      <c r="F258" s="156">
        <f t="shared" si="383"/>
        <v>1.6790268619697568E-2</v>
      </c>
      <c r="G258" s="156">
        <f t="shared" si="383"/>
        <v>1.5965435987646055E-2</v>
      </c>
      <c r="H258" s="156">
        <f t="shared" si="383"/>
        <v>1.5720974395962848E-2</v>
      </c>
      <c r="I258" s="156">
        <f t="shared" si="383"/>
        <v>1.4990492207223583E-2</v>
      </c>
      <c r="J258" s="156">
        <f t="shared" si="383"/>
        <v>1.3920164286324399E-2</v>
      </c>
      <c r="K258" s="156">
        <f t="shared" si="383"/>
        <v>1.3406580279740121E-2</v>
      </c>
      <c r="L258" s="156">
        <f t="shared" ref="L258" si="384">IF(L40=0,0,L40/L$31)</f>
        <v>1.3469376709673386E-2</v>
      </c>
      <c r="M258" s="156">
        <f t="shared" ref="M258:V258" si="385">IF(M40=0,0,M40/M$31)</f>
        <v>1.4446705117826029E-2</v>
      </c>
      <c r="N258" s="156">
        <f t="shared" si="385"/>
        <v>1.6186126233194056E-2</v>
      </c>
      <c r="O258" s="156">
        <f t="shared" si="385"/>
        <v>1.6832629846333883E-2</v>
      </c>
      <c r="P258" s="156">
        <f t="shared" si="385"/>
        <v>1.6870426266398366E-2</v>
      </c>
      <c r="Q258" s="156">
        <f t="shared" si="385"/>
        <v>1.6894954913019174E-2</v>
      </c>
      <c r="R258" s="156">
        <f t="shared" si="385"/>
        <v>1.6374100697710912E-2</v>
      </c>
      <c r="S258" s="156">
        <f t="shared" si="385"/>
        <v>1.5951082470396557E-2</v>
      </c>
      <c r="T258" s="156">
        <f t="shared" si="385"/>
        <v>1.5915740650611344E-2</v>
      </c>
      <c r="U258" s="156">
        <f t="shared" si="385"/>
        <v>1.5359412754356911E-2</v>
      </c>
      <c r="V258" s="156">
        <f t="shared" si="385"/>
        <v>1.6517280381439455E-2</v>
      </c>
      <c r="W258" s="156">
        <f t="shared" ref="W258:Y258" si="386">IF(W40=0,0,W40/W$31)</f>
        <v>1.6110696937003434E-2</v>
      </c>
      <c r="X258" s="156">
        <f t="shared" si="386"/>
        <v>1.5603214723859246E-2</v>
      </c>
      <c r="Y258" s="156">
        <f t="shared" si="386"/>
        <v>1.4985513872618546E-2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0</v>
      </c>
      <c r="E259" s="103">
        <f t="shared" si="387"/>
        <v>0</v>
      </c>
      <c r="F259" s="103">
        <f t="shared" si="387"/>
        <v>0</v>
      </c>
      <c r="G259" s="103">
        <f t="shared" si="387"/>
        <v>0</v>
      </c>
      <c r="H259" s="103">
        <f t="shared" si="387"/>
        <v>0</v>
      </c>
      <c r="I259" s="103">
        <f t="shared" si="387"/>
        <v>0</v>
      </c>
      <c r="J259" s="103">
        <f t="shared" si="387"/>
        <v>0</v>
      </c>
      <c r="K259" s="103">
        <f t="shared" si="387"/>
        <v>0</v>
      </c>
      <c r="L259" s="103">
        <f t="shared" ref="L259" si="388">IF(L41=0,0,L41/L$31)</f>
        <v>0</v>
      </c>
      <c r="M259" s="103">
        <f t="shared" ref="M259:V259" si="389">IF(M41=0,0,M41/M$31)</f>
        <v>0</v>
      </c>
      <c r="N259" s="103">
        <f t="shared" si="389"/>
        <v>0</v>
      </c>
      <c r="O259" s="103">
        <f t="shared" si="389"/>
        <v>0</v>
      </c>
      <c r="P259" s="103">
        <f t="shared" si="389"/>
        <v>0</v>
      </c>
      <c r="Q259" s="103">
        <f t="shared" si="389"/>
        <v>0</v>
      </c>
      <c r="R259" s="103">
        <f t="shared" si="389"/>
        <v>0</v>
      </c>
      <c r="S259" s="103">
        <f t="shared" si="389"/>
        <v>0</v>
      </c>
      <c r="T259" s="103">
        <f t="shared" si="389"/>
        <v>0</v>
      </c>
      <c r="U259" s="103">
        <f t="shared" si="389"/>
        <v>0</v>
      </c>
      <c r="V259" s="103">
        <f t="shared" si="389"/>
        <v>0</v>
      </c>
      <c r="W259" s="103">
        <f t="shared" ref="W259:Y259" si="390">IF(W41=0,0,W41/W$31)</f>
        <v>0</v>
      </c>
      <c r="X259" s="103">
        <f t="shared" si="390"/>
        <v>0</v>
      </c>
      <c r="Y259" s="103">
        <f t="shared" si="390"/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2.1269365198030323E-2</v>
      </c>
      <c r="C260" s="103">
        <f t="shared" si="391"/>
        <v>1.9586948049929279E-2</v>
      </c>
      <c r="D260" s="103">
        <f t="shared" si="391"/>
        <v>1.8468275366427402E-2</v>
      </c>
      <c r="E260" s="103">
        <f t="shared" si="391"/>
        <v>1.7445256743271138E-2</v>
      </c>
      <c r="F260" s="103">
        <f t="shared" si="391"/>
        <v>1.6366534412934865E-2</v>
      </c>
      <c r="G260" s="103">
        <f t="shared" si="391"/>
        <v>1.5538522853946945E-2</v>
      </c>
      <c r="H260" s="103">
        <f t="shared" si="391"/>
        <v>1.5287772506338291E-2</v>
      </c>
      <c r="I260" s="103">
        <f t="shared" si="391"/>
        <v>1.4511045494451825E-2</v>
      </c>
      <c r="J260" s="103">
        <f t="shared" si="391"/>
        <v>1.3455910891272753E-2</v>
      </c>
      <c r="K260" s="103">
        <f t="shared" si="391"/>
        <v>1.2977235907579843E-2</v>
      </c>
      <c r="L260" s="103">
        <f t="shared" ref="L260" si="392">IF(L42=0,0,L42/L$31)</f>
        <v>1.30552385747633E-2</v>
      </c>
      <c r="M260" s="103">
        <f t="shared" ref="M260:V260" si="393">IF(M42=0,0,M42/M$31)</f>
        <v>1.4013864686209271E-2</v>
      </c>
      <c r="N260" s="103">
        <f t="shared" si="393"/>
        <v>1.5701563680416402E-2</v>
      </c>
      <c r="O260" s="103">
        <f t="shared" si="393"/>
        <v>1.6006019475877487E-2</v>
      </c>
      <c r="P260" s="103">
        <f t="shared" si="393"/>
        <v>1.6041077161249969E-2</v>
      </c>
      <c r="Q260" s="103">
        <f t="shared" si="393"/>
        <v>1.6029779790997688E-2</v>
      </c>
      <c r="R260" s="103">
        <f t="shared" si="393"/>
        <v>1.551911697865037E-2</v>
      </c>
      <c r="S260" s="103">
        <f t="shared" si="393"/>
        <v>1.5150592507679687E-2</v>
      </c>
      <c r="T260" s="103">
        <f t="shared" si="393"/>
        <v>1.503775965954467E-2</v>
      </c>
      <c r="U260" s="103">
        <f t="shared" si="393"/>
        <v>1.4453454680080373E-2</v>
      </c>
      <c r="V260" s="103">
        <f t="shared" si="393"/>
        <v>1.5470152761475351E-2</v>
      </c>
      <c r="W260" s="103">
        <f t="shared" ref="W260:Y260" si="394">IF(W42=0,0,W42/W$31)</f>
        <v>1.5008409857900218E-2</v>
      </c>
      <c r="X260" s="103">
        <f t="shared" si="394"/>
        <v>1.4343372356076602E-2</v>
      </c>
      <c r="Y260" s="103">
        <f t="shared" si="394"/>
        <v>1.3743384799427466E-2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0</v>
      </c>
      <c r="G261" s="103">
        <f t="shared" si="395"/>
        <v>0</v>
      </c>
      <c r="H261" s="103">
        <f t="shared" si="395"/>
        <v>0</v>
      </c>
      <c r="I261" s="103">
        <f t="shared" si="395"/>
        <v>0</v>
      </c>
      <c r="J261" s="103">
        <f t="shared" si="395"/>
        <v>0</v>
      </c>
      <c r="K261" s="103">
        <f t="shared" si="395"/>
        <v>0</v>
      </c>
      <c r="L261" s="103">
        <f t="shared" ref="L261" si="396">IF(L43=0,0,L43/L$31)</f>
        <v>0</v>
      </c>
      <c r="M261" s="103">
        <f t="shared" ref="M261:V261" si="397">IF(M43=0,0,M43/M$31)</f>
        <v>0</v>
      </c>
      <c r="N261" s="103">
        <f t="shared" si="397"/>
        <v>0</v>
      </c>
      <c r="O261" s="103">
        <f t="shared" si="397"/>
        <v>0</v>
      </c>
      <c r="P261" s="103">
        <f t="shared" si="397"/>
        <v>0</v>
      </c>
      <c r="Q261" s="103">
        <f t="shared" si="397"/>
        <v>0</v>
      </c>
      <c r="R261" s="103">
        <f t="shared" si="397"/>
        <v>0</v>
      </c>
      <c r="S261" s="103">
        <f t="shared" si="397"/>
        <v>0</v>
      </c>
      <c r="T261" s="103">
        <f t="shared" si="397"/>
        <v>0</v>
      </c>
      <c r="U261" s="103">
        <f t="shared" si="397"/>
        <v>0</v>
      </c>
      <c r="V261" s="103">
        <f t="shared" si="397"/>
        <v>0</v>
      </c>
      <c r="W261" s="103">
        <f t="shared" ref="W261:Y261" si="398">IF(W43=0,0,W43/W$31)</f>
        <v>0</v>
      </c>
      <c r="X261" s="103">
        <f t="shared" si="398"/>
        <v>0</v>
      </c>
      <c r="Y261" s="103">
        <f t="shared" si="398"/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0</v>
      </c>
      <c r="C262" s="103">
        <f t="shared" si="399"/>
        <v>2.9990862487367905E-4</v>
      </c>
      <c r="D262" s="103">
        <f t="shared" si="399"/>
        <v>4.3409821194248012E-4</v>
      </c>
      <c r="E262" s="103">
        <f t="shared" si="399"/>
        <v>4.5015821318249161E-4</v>
      </c>
      <c r="F262" s="103">
        <f t="shared" si="399"/>
        <v>4.2373420676270076E-4</v>
      </c>
      <c r="G262" s="103">
        <f t="shared" si="399"/>
        <v>4.2691313369910903E-4</v>
      </c>
      <c r="H262" s="103">
        <f t="shared" si="399"/>
        <v>4.3320188962455889E-4</v>
      </c>
      <c r="I262" s="103">
        <f t="shared" si="399"/>
        <v>4.7944671277175814E-4</v>
      </c>
      <c r="J262" s="103">
        <f t="shared" si="399"/>
        <v>4.6425339505164534E-4</v>
      </c>
      <c r="K262" s="103">
        <f t="shared" si="399"/>
        <v>4.2934437216027847E-4</v>
      </c>
      <c r="L262" s="103">
        <f t="shared" ref="L262" si="400">IF(L44=0,0,L44/L$31)</f>
        <v>4.1413813491008591E-4</v>
      </c>
      <c r="M262" s="103">
        <f t="shared" ref="M262:V262" si="401">IF(M44=0,0,M44/M$31)</f>
        <v>4.3284043161675913E-4</v>
      </c>
      <c r="N262" s="103">
        <f t="shared" si="401"/>
        <v>4.845625527776526E-4</v>
      </c>
      <c r="O262" s="103">
        <f t="shared" si="401"/>
        <v>4.7659993727547194E-4</v>
      </c>
      <c r="P262" s="103">
        <f t="shared" si="401"/>
        <v>4.8791950902148253E-4</v>
      </c>
      <c r="Q262" s="103">
        <f t="shared" si="401"/>
        <v>5.2255765136515039E-4</v>
      </c>
      <c r="R262" s="103">
        <f t="shared" si="401"/>
        <v>5.2010210029442515E-4</v>
      </c>
      <c r="S262" s="103">
        <f t="shared" si="401"/>
        <v>4.67528550062974E-4</v>
      </c>
      <c r="T262" s="103">
        <f t="shared" si="401"/>
        <v>5.4725095865555315E-4</v>
      </c>
      <c r="U262" s="103">
        <f t="shared" si="401"/>
        <v>5.8272400894181545E-4</v>
      </c>
      <c r="V262" s="103">
        <f t="shared" si="401"/>
        <v>7.0071647672388952E-4</v>
      </c>
      <c r="W262" s="103">
        <f t="shared" ref="W262:Y262" si="402">IF(W44=0,0,W44/W$31)</f>
        <v>7.6396210314689898E-4</v>
      </c>
      <c r="X262" s="103">
        <f t="shared" si="402"/>
        <v>9.3570448992801123E-4</v>
      </c>
      <c r="Y262" s="103">
        <f t="shared" si="402"/>
        <v>1.0497689887501731E-3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0</v>
      </c>
      <c r="C263" s="103">
        <f t="shared" si="403"/>
        <v>0</v>
      </c>
      <c r="D263" s="103">
        <f t="shared" si="403"/>
        <v>0</v>
      </c>
      <c r="E263" s="103">
        <f t="shared" si="403"/>
        <v>0</v>
      </c>
      <c r="F263" s="103">
        <f t="shared" si="403"/>
        <v>0</v>
      </c>
      <c r="G263" s="103">
        <f t="shared" si="403"/>
        <v>0</v>
      </c>
      <c r="H263" s="103">
        <f t="shared" si="403"/>
        <v>0</v>
      </c>
      <c r="I263" s="103">
        <f t="shared" si="403"/>
        <v>0</v>
      </c>
      <c r="J263" s="103">
        <f t="shared" si="403"/>
        <v>0</v>
      </c>
      <c r="K263" s="103">
        <f t="shared" si="403"/>
        <v>0</v>
      </c>
      <c r="L263" s="103">
        <f t="shared" ref="L263" si="404">IF(L45=0,0,L45/L$31)</f>
        <v>0</v>
      </c>
      <c r="M263" s="103">
        <f t="shared" ref="M263:V263" si="405">IF(M45=0,0,M45/M$31)</f>
        <v>0</v>
      </c>
      <c r="N263" s="103">
        <f t="shared" si="405"/>
        <v>0</v>
      </c>
      <c r="O263" s="103">
        <f t="shared" si="405"/>
        <v>3.5001043318092417E-4</v>
      </c>
      <c r="P263" s="103">
        <f t="shared" si="405"/>
        <v>3.4142959612691484E-4</v>
      </c>
      <c r="Q263" s="103">
        <f t="shared" si="405"/>
        <v>3.4261747065633501E-4</v>
      </c>
      <c r="R263" s="103">
        <f t="shared" si="405"/>
        <v>3.3488161876611927E-4</v>
      </c>
      <c r="S263" s="103">
        <f t="shared" si="405"/>
        <v>3.3296141265389565E-4</v>
      </c>
      <c r="T263" s="103">
        <f t="shared" si="405"/>
        <v>3.307300324111199E-4</v>
      </c>
      <c r="U263" s="103">
        <f t="shared" si="405"/>
        <v>3.2323406533472487E-4</v>
      </c>
      <c r="V263" s="103">
        <f t="shared" si="405"/>
        <v>3.4641114324021496E-4</v>
      </c>
      <c r="W263" s="103">
        <f t="shared" ref="W263:Y263" si="406">IF(W45=0,0,W45/W$31)</f>
        <v>3.383249759563177E-4</v>
      </c>
      <c r="X263" s="103">
        <f t="shared" si="406"/>
        <v>3.2413787785463117E-4</v>
      </c>
      <c r="Y263" s="103">
        <f t="shared" si="406"/>
        <v>1.9236008444090623E-4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0.69803927864209048</v>
      </c>
      <c r="C265" s="154">
        <f t="shared" si="411"/>
        <v>0.69988828661136215</v>
      </c>
      <c r="D265" s="154">
        <f t="shared" si="411"/>
        <v>0.70736663509042252</v>
      </c>
      <c r="E265" s="154">
        <f t="shared" si="411"/>
        <v>0.79736389277333997</v>
      </c>
      <c r="F265" s="154">
        <f t="shared" si="411"/>
        <v>0.699780606468827</v>
      </c>
      <c r="G265" s="154">
        <f t="shared" si="411"/>
        <v>0.75653495518876057</v>
      </c>
      <c r="H265" s="154">
        <f t="shared" si="411"/>
        <v>0.73557947858873429</v>
      </c>
      <c r="I265" s="154">
        <f t="shared" si="411"/>
        <v>0.75701725313116519</v>
      </c>
      <c r="J265" s="154">
        <f t="shared" si="411"/>
        <v>0.7423068183710807</v>
      </c>
      <c r="K265" s="154">
        <f t="shared" si="411"/>
        <v>0.73663066632710761</v>
      </c>
      <c r="L265" s="154">
        <f t="shared" ref="L265" si="412">IF(L47=0,0,L47/L$46)</f>
        <v>0.7354557369580107</v>
      </c>
      <c r="M265" s="154">
        <f t="shared" ref="M265:V265" si="413">IF(M47=0,0,M47/M$46)</f>
        <v>0.77439162284830265</v>
      </c>
      <c r="N265" s="154">
        <f t="shared" si="413"/>
        <v>0.74643125401134147</v>
      </c>
      <c r="O265" s="154">
        <f t="shared" si="413"/>
        <v>0.79946466359234947</v>
      </c>
      <c r="P265" s="154">
        <f t="shared" si="413"/>
        <v>0.78213235180287166</v>
      </c>
      <c r="Q265" s="154">
        <f t="shared" si="413"/>
        <v>0.80713622013573305</v>
      </c>
      <c r="R265" s="154">
        <f t="shared" si="413"/>
        <v>0.8152926229320886</v>
      </c>
      <c r="S265" s="154">
        <f t="shared" si="413"/>
        <v>0.80000503583721982</v>
      </c>
      <c r="T265" s="154">
        <f t="shared" si="413"/>
        <v>0.79851302342307184</v>
      </c>
      <c r="U265" s="154">
        <f t="shared" si="413"/>
        <v>0.80264721041088494</v>
      </c>
      <c r="V265" s="154">
        <f t="shared" si="413"/>
        <v>0.79569906069406959</v>
      </c>
      <c r="W265" s="154">
        <f t="shared" ref="W265:Y265" si="414">IF(W47=0,0,W47/W$46)</f>
        <v>0.7894986878118031</v>
      </c>
      <c r="X265" s="154">
        <f t="shared" si="414"/>
        <v>0.79642620152207455</v>
      </c>
      <c r="Y265" s="154">
        <f t="shared" si="414"/>
        <v>0.81570227615064061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0.5718344164093504</v>
      </c>
      <c r="C266" s="103">
        <f t="shared" si="415"/>
        <v>0.55337541431853043</v>
      </c>
      <c r="D266" s="103">
        <f t="shared" si="415"/>
        <v>0.54613238123126018</v>
      </c>
      <c r="E266" s="103">
        <f t="shared" si="415"/>
        <v>0.58563727508269348</v>
      </c>
      <c r="F266" s="103">
        <f t="shared" si="415"/>
        <v>0.49412760558472324</v>
      </c>
      <c r="G266" s="103">
        <f t="shared" si="415"/>
        <v>0.52083488625182117</v>
      </c>
      <c r="H266" s="103">
        <f t="shared" si="415"/>
        <v>0.47041097660843845</v>
      </c>
      <c r="I266" s="103">
        <f t="shared" si="415"/>
        <v>0.46808143849894956</v>
      </c>
      <c r="J266" s="103">
        <f t="shared" si="415"/>
        <v>0.46003988992875083</v>
      </c>
      <c r="K266" s="103">
        <f t="shared" si="415"/>
        <v>0.40003459468648556</v>
      </c>
      <c r="L266" s="103">
        <f t="shared" ref="L266" si="416">IF(L48=0,0,L48/L$46)</f>
        <v>0.3701476276452384</v>
      </c>
      <c r="M266" s="103">
        <f t="shared" ref="M266:V266" si="417">IF(M48=0,0,M48/M$46)</f>
        <v>0.37631704830755858</v>
      </c>
      <c r="N266" s="103">
        <f t="shared" si="417"/>
        <v>0.35602321693554073</v>
      </c>
      <c r="O266" s="103">
        <f t="shared" si="417"/>
        <v>0.32352703347327222</v>
      </c>
      <c r="P266" s="103">
        <f t="shared" si="417"/>
        <v>0.3135474009898388</v>
      </c>
      <c r="Q266" s="103">
        <f t="shared" si="417"/>
        <v>0.27671202219577723</v>
      </c>
      <c r="R266" s="103">
        <f t="shared" si="417"/>
        <v>0.27062776139615119</v>
      </c>
      <c r="S266" s="103">
        <f t="shared" si="417"/>
        <v>0.28454136686355652</v>
      </c>
      <c r="T266" s="103">
        <f t="shared" si="417"/>
        <v>0.31885516859293822</v>
      </c>
      <c r="U266" s="103">
        <f t="shared" si="417"/>
        <v>0.32546208443331998</v>
      </c>
      <c r="V266" s="103">
        <f t="shared" si="417"/>
        <v>0.33819621941892358</v>
      </c>
      <c r="W266" s="103">
        <f t="shared" ref="W266:Y266" si="418">IF(W48=0,0,W48/W$46)</f>
        <v>0.34303749907523268</v>
      </c>
      <c r="X266" s="103">
        <f t="shared" si="418"/>
        <v>0.3372169038362689</v>
      </c>
      <c r="Y266" s="103">
        <f t="shared" si="418"/>
        <v>0.33702756199009931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0.12620486223274008</v>
      </c>
      <c r="C267" s="103">
        <f t="shared" si="419"/>
        <v>0.14651287229283161</v>
      </c>
      <c r="D267" s="103">
        <f t="shared" si="419"/>
        <v>0.16123425385916246</v>
      </c>
      <c r="E267" s="103">
        <f t="shared" si="419"/>
        <v>0.21172661769064646</v>
      </c>
      <c r="F267" s="103">
        <f t="shared" si="419"/>
        <v>0.20565300088410382</v>
      </c>
      <c r="G267" s="103">
        <f t="shared" si="419"/>
        <v>0.23570006893693934</v>
      </c>
      <c r="H267" s="103">
        <f t="shared" si="419"/>
        <v>0.2651685019802959</v>
      </c>
      <c r="I267" s="103">
        <f t="shared" si="419"/>
        <v>0.28893581463221557</v>
      </c>
      <c r="J267" s="103">
        <f t="shared" si="419"/>
        <v>0.28226692844232981</v>
      </c>
      <c r="K267" s="103">
        <f t="shared" si="419"/>
        <v>0.33659607164062216</v>
      </c>
      <c r="L267" s="103">
        <f t="shared" ref="L267" si="420">IF(L49=0,0,L49/L$46)</f>
        <v>0.3653081093127723</v>
      </c>
      <c r="M267" s="103">
        <f t="shared" ref="M267:V267" si="421">IF(M49=0,0,M49/M$46)</f>
        <v>0.39807457454074402</v>
      </c>
      <c r="N267" s="103">
        <f t="shared" si="421"/>
        <v>0.39040803707580074</v>
      </c>
      <c r="O267" s="103">
        <f t="shared" si="421"/>
        <v>0.4759376301190773</v>
      </c>
      <c r="P267" s="103">
        <f t="shared" si="421"/>
        <v>0.46858495081303275</v>
      </c>
      <c r="Q267" s="103">
        <f t="shared" si="421"/>
        <v>0.53042419793995588</v>
      </c>
      <c r="R267" s="103">
        <f t="shared" si="421"/>
        <v>0.54466486153593741</v>
      </c>
      <c r="S267" s="103">
        <f t="shared" si="421"/>
        <v>0.51546366897366336</v>
      </c>
      <c r="T267" s="103">
        <f t="shared" si="421"/>
        <v>0.47965785483013357</v>
      </c>
      <c r="U267" s="103">
        <f t="shared" si="421"/>
        <v>0.47718512597756491</v>
      </c>
      <c r="V267" s="103">
        <f t="shared" si="421"/>
        <v>0.45750284127514596</v>
      </c>
      <c r="W267" s="103">
        <f t="shared" ref="W267:Y267" si="422">IF(W49=0,0,W49/W$46)</f>
        <v>0.44646118873657048</v>
      </c>
      <c r="X267" s="103">
        <f t="shared" si="422"/>
        <v>0.45920929768580571</v>
      </c>
      <c r="Y267" s="103">
        <f t="shared" si="422"/>
        <v>0.47867471416054136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0</v>
      </c>
      <c r="I268" s="103">
        <f t="shared" si="423"/>
        <v>0</v>
      </c>
      <c r="J268" s="103">
        <f t="shared" si="423"/>
        <v>0</v>
      </c>
      <c r="K268" s="103">
        <f t="shared" si="423"/>
        <v>0</v>
      </c>
      <c r="L268" s="103">
        <f t="shared" ref="L268" si="424">IF(L50=0,0,L50/L$46)</f>
        <v>0</v>
      </c>
      <c r="M268" s="103">
        <f t="shared" ref="M268:V268" si="425">IF(M50=0,0,M50/M$46)</f>
        <v>0</v>
      </c>
      <c r="N268" s="103">
        <f t="shared" si="425"/>
        <v>0</v>
      </c>
      <c r="O268" s="103">
        <f t="shared" si="425"/>
        <v>0</v>
      </c>
      <c r="P268" s="103">
        <f t="shared" si="425"/>
        <v>0</v>
      </c>
      <c r="Q268" s="103">
        <f t="shared" si="425"/>
        <v>0</v>
      </c>
      <c r="R268" s="103">
        <f t="shared" si="425"/>
        <v>0</v>
      </c>
      <c r="S268" s="103">
        <f t="shared" si="425"/>
        <v>0</v>
      </c>
      <c r="T268" s="103">
        <f t="shared" si="425"/>
        <v>0</v>
      </c>
      <c r="U268" s="103">
        <f t="shared" si="425"/>
        <v>0</v>
      </c>
      <c r="V268" s="103">
        <f t="shared" si="425"/>
        <v>0</v>
      </c>
      <c r="W268" s="103">
        <f t="shared" ref="W268:Y268" si="426">IF(W50=0,0,W50/W$46)</f>
        <v>0</v>
      </c>
      <c r="X268" s="103">
        <f t="shared" si="426"/>
        <v>0</v>
      </c>
      <c r="Y268" s="103">
        <f t="shared" si="426"/>
        <v>0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0</v>
      </c>
      <c r="I269" s="103">
        <f t="shared" si="427"/>
        <v>0</v>
      </c>
      <c r="J269" s="103">
        <f t="shared" si="427"/>
        <v>0</v>
      </c>
      <c r="K269" s="103">
        <f t="shared" si="427"/>
        <v>0</v>
      </c>
      <c r="L269" s="103">
        <f t="shared" ref="L269" si="428">IF(L51=0,0,L51/L$46)</f>
        <v>0</v>
      </c>
      <c r="M269" s="103">
        <f t="shared" ref="M269:V269" si="429">IF(M51=0,0,M51/M$46)</f>
        <v>0</v>
      </c>
      <c r="N269" s="103">
        <f t="shared" si="429"/>
        <v>0</v>
      </c>
      <c r="O269" s="103">
        <f t="shared" si="429"/>
        <v>0</v>
      </c>
      <c r="P269" s="103">
        <f t="shared" si="429"/>
        <v>0</v>
      </c>
      <c r="Q269" s="103">
        <f t="shared" si="429"/>
        <v>0</v>
      </c>
      <c r="R269" s="103">
        <f t="shared" si="429"/>
        <v>0</v>
      </c>
      <c r="S269" s="103">
        <f t="shared" si="429"/>
        <v>0</v>
      </c>
      <c r="T269" s="103">
        <f t="shared" si="429"/>
        <v>0</v>
      </c>
      <c r="U269" s="103">
        <f t="shared" si="429"/>
        <v>0</v>
      </c>
      <c r="V269" s="103">
        <f t="shared" si="429"/>
        <v>0</v>
      </c>
      <c r="W269" s="103">
        <f t="shared" ref="W269:Y269" si="430">IF(W51=0,0,W51/W$46)</f>
        <v>0</v>
      </c>
      <c r="X269" s="103">
        <f t="shared" si="430"/>
        <v>0</v>
      </c>
      <c r="Y269" s="103">
        <f t="shared" si="430"/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0</v>
      </c>
      <c r="N270" s="103">
        <f t="shared" si="433"/>
        <v>0</v>
      </c>
      <c r="O270" s="103">
        <f t="shared" si="433"/>
        <v>0</v>
      </c>
      <c r="P270" s="103">
        <f t="shared" si="433"/>
        <v>0</v>
      </c>
      <c r="Q270" s="103">
        <f t="shared" si="433"/>
        <v>0</v>
      </c>
      <c r="R270" s="103">
        <f t="shared" si="433"/>
        <v>0</v>
      </c>
      <c r="S270" s="103">
        <f t="shared" si="433"/>
        <v>0</v>
      </c>
      <c r="T270" s="103">
        <f t="shared" si="433"/>
        <v>0</v>
      </c>
      <c r="U270" s="103">
        <f t="shared" si="433"/>
        <v>0</v>
      </c>
      <c r="V270" s="103">
        <f t="shared" si="433"/>
        <v>0</v>
      </c>
      <c r="W270" s="103">
        <f t="shared" ref="W270:Y270" si="434">IF(W52=0,0,W52/W$46)</f>
        <v>0</v>
      </c>
      <c r="X270" s="103">
        <f t="shared" si="434"/>
        <v>0</v>
      </c>
      <c r="Y270" s="103">
        <f t="shared" si="434"/>
        <v>0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0.30196072135790952</v>
      </c>
      <c r="C271" s="156">
        <f t="shared" si="435"/>
        <v>0.30011171338863796</v>
      </c>
      <c r="D271" s="156">
        <f t="shared" si="435"/>
        <v>0.29263336490957742</v>
      </c>
      <c r="E271" s="156">
        <f t="shared" si="435"/>
        <v>0.20263610722665995</v>
      </c>
      <c r="F271" s="156">
        <f t="shared" si="435"/>
        <v>0.300219393531173</v>
      </c>
      <c r="G271" s="156">
        <f t="shared" si="435"/>
        <v>0.24346504481123946</v>
      </c>
      <c r="H271" s="156">
        <f t="shared" si="435"/>
        <v>0.26442052141126571</v>
      </c>
      <c r="I271" s="156">
        <f t="shared" si="435"/>
        <v>0.24298274686883484</v>
      </c>
      <c r="J271" s="156">
        <f t="shared" si="435"/>
        <v>0.25769318162891941</v>
      </c>
      <c r="K271" s="156">
        <f t="shared" si="435"/>
        <v>0.26336933367289245</v>
      </c>
      <c r="L271" s="156">
        <f t="shared" ref="L271" si="436">IF(L53=0,0,L53/L$46)</f>
        <v>0.2645442630419893</v>
      </c>
      <c r="M271" s="156">
        <f t="shared" ref="M271:V271" si="437">IF(M53=0,0,M53/M$46)</f>
        <v>0.22560837715169749</v>
      </c>
      <c r="N271" s="156">
        <f t="shared" si="437"/>
        <v>0.25356874598865847</v>
      </c>
      <c r="O271" s="156">
        <f t="shared" si="437"/>
        <v>0.20053533640765042</v>
      </c>
      <c r="P271" s="156">
        <f t="shared" si="437"/>
        <v>0.21786764819712842</v>
      </c>
      <c r="Q271" s="156">
        <f t="shared" si="437"/>
        <v>0.19286377986426695</v>
      </c>
      <c r="R271" s="156">
        <f t="shared" si="437"/>
        <v>0.18470737706791146</v>
      </c>
      <c r="S271" s="156">
        <f t="shared" si="437"/>
        <v>0.19999496416278018</v>
      </c>
      <c r="T271" s="156">
        <f t="shared" si="437"/>
        <v>0.20148697657692807</v>
      </c>
      <c r="U271" s="156">
        <f t="shared" si="437"/>
        <v>0.19735278958911504</v>
      </c>
      <c r="V271" s="156">
        <f t="shared" si="437"/>
        <v>0.20430093930593043</v>
      </c>
      <c r="W271" s="156">
        <f t="shared" ref="W271:Y271" si="438">IF(W53=0,0,W53/W$46)</f>
        <v>0.21050131218819684</v>
      </c>
      <c r="X271" s="156">
        <f t="shared" si="438"/>
        <v>0.20357379847792531</v>
      </c>
      <c r="Y271" s="156">
        <f t="shared" si="438"/>
        <v>0.18429772384935947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0.28882224692680769</v>
      </c>
      <c r="C272" s="104">
        <f t="shared" si="439"/>
        <v>0.28644097688042397</v>
      </c>
      <c r="D272" s="104">
        <f t="shared" si="439"/>
        <v>0.27892206260415259</v>
      </c>
      <c r="E272" s="104">
        <f t="shared" si="439"/>
        <v>0.18781964241553445</v>
      </c>
      <c r="F272" s="104">
        <f t="shared" si="439"/>
        <v>0.28494924652220288</v>
      </c>
      <c r="G272" s="104">
        <f t="shared" si="439"/>
        <v>0.22683917817238541</v>
      </c>
      <c r="H272" s="104">
        <f t="shared" si="439"/>
        <v>0.24539197813795682</v>
      </c>
      <c r="I272" s="104">
        <f t="shared" si="439"/>
        <v>0.22776568321150542</v>
      </c>
      <c r="J272" s="104">
        <f t="shared" si="439"/>
        <v>0.24455964998616039</v>
      </c>
      <c r="K272" s="104">
        <f t="shared" si="439"/>
        <v>0.25131820070504451</v>
      </c>
      <c r="L272" s="104">
        <f t="shared" ref="L272" si="440">IF(L54=0,0,L54/L$46)</f>
        <v>0.24983756666921528</v>
      </c>
      <c r="M272" s="104">
        <f t="shared" ref="M272:V272" si="441">IF(M54=0,0,M54/M$46)</f>
        <v>0.21118393330437207</v>
      </c>
      <c r="N272" s="104">
        <f t="shared" si="441"/>
        <v>0.23475551289955132</v>
      </c>
      <c r="O272" s="104">
        <f t="shared" si="441"/>
        <v>0.18092781464910607</v>
      </c>
      <c r="P272" s="104">
        <f t="shared" si="441"/>
        <v>0.19934957706313466</v>
      </c>
      <c r="Q272" s="104">
        <f t="shared" si="441"/>
        <v>0.17569945645464416</v>
      </c>
      <c r="R272" s="104">
        <f t="shared" si="441"/>
        <v>0.16741821654725816</v>
      </c>
      <c r="S272" s="104">
        <f t="shared" si="441"/>
        <v>0.17451610387653532</v>
      </c>
      <c r="T272" s="104">
        <f t="shared" si="441"/>
        <v>0.177453246638406</v>
      </c>
      <c r="U272" s="104">
        <f t="shared" si="441"/>
        <v>0.18651403097082589</v>
      </c>
      <c r="V272" s="104">
        <f t="shared" si="441"/>
        <v>0.18624081981671042</v>
      </c>
      <c r="W272" s="104">
        <f t="shared" ref="W272:Y272" si="442">IF(W54=0,0,W54/W$46)</f>
        <v>0.18839965819598734</v>
      </c>
      <c r="X272" s="104">
        <f t="shared" si="442"/>
        <v>0.18105922873953362</v>
      </c>
      <c r="Y272" s="104">
        <f t="shared" si="442"/>
        <v>0.1621837121905855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1.3138474431101823E-2</v>
      </c>
      <c r="C273" s="105">
        <f t="shared" si="443"/>
        <v>1.3670736508213993E-2</v>
      </c>
      <c r="D273" s="105">
        <f t="shared" si="443"/>
        <v>1.3711302305424814E-2</v>
      </c>
      <c r="E273" s="105">
        <f t="shared" si="443"/>
        <v>1.4816464811125514E-2</v>
      </c>
      <c r="F273" s="105">
        <f t="shared" si="443"/>
        <v>1.5270147008970092E-2</v>
      </c>
      <c r="G273" s="105">
        <f t="shared" si="443"/>
        <v>1.6625866638854059E-2</v>
      </c>
      <c r="H273" s="105">
        <f t="shared" si="443"/>
        <v>1.9028543273308874E-2</v>
      </c>
      <c r="I273" s="105">
        <f t="shared" si="443"/>
        <v>1.5217063657329416E-2</v>
      </c>
      <c r="J273" s="105">
        <f t="shared" si="443"/>
        <v>1.3133531642758989E-2</v>
      </c>
      <c r="K273" s="105">
        <f t="shared" si="443"/>
        <v>1.2051132967847886E-2</v>
      </c>
      <c r="L273" s="105">
        <f t="shared" ref="L273" si="444">IF(L55=0,0,L55/L$46)</f>
        <v>1.4706696372774034E-2</v>
      </c>
      <c r="M273" s="105">
        <f t="shared" ref="M273:V273" si="445">IF(M55=0,0,M55/M$46)</f>
        <v>1.4424443847325396E-2</v>
      </c>
      <c r="N273" s="105">
        <f t="shared" si="445"/>
        <v>1.8813233089107199E-2</v>
      </c>
      <c r="O273" s="105">
        <f t="shared" si="445"/>
        <v>1.9607521758544345E-2</v>
      </c>
      <c r="P273" s="105">
        <f t="shared" si="445"/>
        <v>1.8518071133993758E-2</v>
      </c>
      <c r="Q273" s="105">
        <f t="shared" si="445"/>
        <v>1.7164323409622796E-2</v>
      </c>
      <c r="R273" s="105">
        <f t="shared" si="445"/>
        <v>1.72891605206533E-2</v>
      </c>
      <c r="S273" s="105">
        <f t="shared" si="445"/>
        <v>2.5478860286244853E-2</v>
      </c>
      <c r="T273" s="105">
        <f t="shared" si="445"/>
        <v>2.4033729938522083E-2</v>
      </c>
      <c r="U273" s="105">
        <f t="shared" si="445"/>
        <v>1.0838758618289125E-2</v>
      </c>
      <c r="V273" s="105">
        <f t="shared" si="445"/>
        <v>1.8060119489220018E-2</v>
      </c>
      <c r="W273" s="105">
        <f t="shared" ref="W273:Y273" si="446">IF(W55=0,0,W55/W$46)</f>
        <v>2.2101653992209532E-2</v>
      </c>
      <c r="X273" s="105">
        <f t="shared" si="446"/>
        <v>2.2514569738391679E-2</v>
      </c>
      <c r="Y273" s="105">
        <f t="shared" si="446"/>
        <v>2.2114011658773969E-2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5375.6687016337055</v>
      </c>
      <c r="C4" s="145">
        <f t="shared" si="0"/>
        <v>5500.1957867583824</v>
      </c>
      <c r="D4" s="145">
        <f t="shared" si="0"/>
        <v>5699.5439380911439</v>
      </c>
      <c r="E4" s="145">
        <f t="shared" si="0"/>
        <v>6042.9946689595872</v>
      </c>
      <c r="F4" s="145">
        <f t="shared" si="0"/>
        <v>6083.3334479793621</v>
      </c>
      <c r="G4" s="145">
        <f t="shared" si="0"/>
        <v>6248.6984522785897</v>
      </c>
      <c r="H4" s="145">
        <f t="shared" si="0"/>
        <v>6435.4257953568349</v>
      </c>
      <c r="I4" s="145">
        <f t="shared" si="0"/>
        <v>6732.4757523645731</v>
      </c>
      <c r="J4" s="145">
        <f t="shared" si="0"/>
        <v>6572.2963026655207</v>
      </c>
      <c r="K4" s="145">
        <f t="shared" si="0"/>
        <v>7131.9073086844364</v>
      </c>
      <c r="L4" s="145">
        <f t="shared" ref="L4" si="1">L5+L9+L10+L15</f>
        <v>6486.1085984522779</v>
      </c>
      <c r="M4" s="145">
        <f t="shared" ref="M4:V4" si="2">M5+M9+M10+M15</f>
        <v>5936.975752364574</v>
      </c>
      <c r="N4" s="145">
        <f t="shared" si="2"/>
        <v>4861.6869115008649</v>
      </c>
      <c r="O4" s="145">
        <f t="shared" si="2"/>
        <v>4965.305656057988</v>
      </c>
      <c r="P4" s="145">
        <f t="shared" si="2"/>
        <v>4938.5595205628861</v>
      </c>
      <c r="Q4" s="145">
        <f t="shared" si="2"/>
        <v>4979.769258207175</v>
      </c>
      <c r="R4" s="145">
        <f t="shared" si="2"/>
        <v>5097.5136995565799</v>
      </c>
      <c r="S4" s="145">
        <f t="shared" si="2"/>
        <v>4996.8427716722872</v>
      </c>
      <c r="T4" s="145">
        <f t="shared" si="2"/>
        <v>5007.574716568145</v>
      </c>
      <c r="U4" s="145">
        <f t="shared" si="2"/>
        <v>5156.4535539014541</v>
      </c>
      <c r="V4" s="145">
        <f t="shared" si="2"/>
        <v>4519.3021684307914</v>
      </c>
      <c r="W4" s="145">
        <f t="shared" ref="W4:Y4" si="3">W5+W9+W10+W15</f>
        <v>4787.3650007180058</v>
      </c>
      <c r="X4" s="145">
        <f t="shared" si="3"/>
        <v>4999.0774634255476</v>
      </c>
      <c r="Y4" s="145">
        <f t="shared" si="3"/>
        <v>5188.4965578906686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5375.6687016337055</v>
      </c>
      <c r="C5" s="97">
        <f t="shared" si="4"/>
        <v>5494.090885640584</v>
      </c>
      <c r="D5" s="97">
        <f t="shared" si="4"/>
        <v>5689.8920894239036</v>
      </c>
      <c r="E5" s="97">
        <f t="shared" si="4"/>
        <v>6032.3540842648326</v>
      </c>
      <c r="F5" s="97">
        <f t="shared" si="4"/>
        <v>6072.7357695614774</v>
      </c>
      <c r="G5" s="97">
        <f t="shared" si="4"/>
        <v>6236.8324161650899</v>
      </c>
      <c r="H5" s="97">
        <f t="shared" si="4"/>
        <v>6377.8447119518478</v>
      </c>
      <c r="I5" s="97">
        <f t="shared" si="4"/>
        <v>6635.0673258813404</v>
      </c>
      <c r="J5" s="97">
        <f t="shared" si="4"/>
        <v>6490.9453138435092</v>
      </c>
      <c r="K5" s="97">
        <f t="shared" si="4"/>
        <v>7041.1817712811699</v>
      </c>
      <c r="L5" s="97">
        <f t="shared" ref="L5" si="5">SUM(L6:L8)</f>
        <v>6347.3583834909705</v>
      </c>
      <c r="M5" s="97">
        <f t="shared" ref="M5:V5" si="6">SUM(M6:M8)</f>
        <v>5818.6395528804806</v>
      </c>
      <c r="N5" s="97">
        <f t="shared" si="6"/>
        <v>4743.5655202063626</v>
      </c>
      <c r="O5" s="97">
        <f t="shared" si="6"/>
        <v>4826.5787618228715</v>
      </c>
      <c r="P5" s="97">
        <f t="shared" si="6"/>
        <v>4789.0656061908849</v>
      </c>
      <c r="Q5" s="97">
        <f t="shared" si="6"/>
        <v>4820.9993121238185</v>
      </c>
      <c r="R5" s="97">
        <f t="shared" si="6"/>
        <v>4926.9895958727429</v>
      </c>
      <c r="S5" s="97">
        <f t="shared" si="6"/>
        <v>4815.5644883920886</v>
      </c>
      <c r="T5" s="97">
        <f t="shared" si="6"/>
        <v>4830.710404127256</v>
      </c>
      <c r="U5" s="97">
        <f t="shared" si="6"/>
        <v>4947.9214101461739</v>
      </c>
      <c r="V5" s="97">
        <f t="shared" si="6"/>
        <v>4296.7748065348223</v>
      </c>
      <c r="W5" s="97">
        <f t="shared" ref="W5:Y5" si="7">SUM(W6:W8)</f>
        <v>4543.7629406706783</v>
      </c>
      <c r="X5" s="97">
        <f t="shared" si="7"/>
        <v>4966.1701633705925</v>
      </c>
      <c r="Y5" s="97">
        <f t="shared" si="7"/>
        <v>5154.3124677558044</v>
      </c>
      <c r="DA5" s="175"/>
    </row>
    <row r="6" spans="1:105" ht="11.45" customHeight="1" x14ac:dyDescent="0.25">
      <c r="A6" s="128" t="s">
        <v>52</v>
      </c>
      <c r="B6" s="97">
        <v>16.946087704213241</v>
      </c>
      <c r="C6" s="97">
        <v>18.075838349097161</v>
      </c>
      <c r="D6" s="97">
        <v>16.946087704213241</v>
      </c>
      <c r="E6" s="97">
        <v>13.556921754084261</v>
      </c>
      <c r="F6" s="97">
        <v>12.427171109200341</v>
      </c>
      <c r="G6" s="97">
        <v>12.427171109200341</v>
      </c>
      <c r="H6" s="97">
        <v>12.427171109200341</v>
      </c>
      <c r="I6" s="97">
        <v>13.556921754084261</v>
      </c>
      <c r="J6" s="97">
        <v>13.556921754084261</v>
      </c>
      <c r="K6" s="97">
        <v>18.677730008598449</v>
      </c>
      <c r="L6" s="97">
        <v>46.145055889939812</v>
      </c>
      <c r="M6" s="97">
        <v>196.6656921754084</v>
      </c>
      <c r="N6" s="97">
        <v>84.599226139294927</v>
      </c>
      <c r="O6" s="97">
        <v>204.35657781599309</v>
      </c>
      <c r="P6" s="97">
        <v>221.93559759243334</v>
      </c>
      <c r="Q6" s="97">
        <v>257.09372312983658</v>
      </c>
      <c r="R6" s="97">
        <v>261.48847807394668</v>
      </c>
      <c r="S6" s="97">
        <v>245.90902837489247</v>
      </c>
      <c r="T6" s="97">
        <v>235.56930352536543</v>
      </c>
      <c r="U6" s="97">
        <v>240.32880481513334</v>
      </c>
      <c r="V6" s="97">
        <v>193.71685296646604</v>
      </c>
      <c r="W6" s="97">
        <v>188.56835769561474</v>
      </c>
      <c r="X6" s="97">
        <v>190.69217540842652</v>
      </c>
      <c r="Y6" s="97">
        <v>193.29492691315562</v>
      </c>
      <c r="DA6" s="175" t="s">
        <v>630</v>
      </c>
    </row>
    <row r="7" spans="1:105" ht="11.45" customHeight="1" x14ac:dyDescent="0.25">
      <c r="A7" s="128" t="s">
        <v>53</v>
      </c>
      <c r="B7" s="97">
        <v>3417.622012037833</v>
      </c>
      <c r="C7" s="97">
        <v>3529.7792777300078</v>
      </c>
      <c r="D7" s="97">
        <v>3695.8990541702492</v>
      </c>
      <c r="E7" s="97">
        <v>3862.018744625967</v>
      </c>
      <c r="F7" s="97">
        <v>3946.6656921754079</v>
      </c>
      <c r="G7" s="97">
        <v>4113.8435081685293</v>
      </c>
      <c r="H7" s="97">
        <v>4159.3412725709368</v>
      </c>
      <c r="I7" s="97">
        <v>4346.6226999140154</v>
      </c>
      <c r="J7" s="97">
        <v>4265.1499570077394</v>
      </c>
      <c r="K7" s="97">
        <v>4247.8264832330178</v>
      </c>
      <c r="L7" s="97">
        <v>3867.392777300086</v>
      </c>
      <c r="M7" s="97">
        <v>3497.4682717110909</v>
      </c>
      <c r="N7" s="97">
        <v>3035.0625967325882</v>
      </c>
      <c r="O7" s="97">
        <v>2777.5866723989675</v>
      </c>
      <c r="P7" s="97">
        <v>2643.068701633706</v>
      </c>
      <c r="Q7" s="97">
        <v>2573.7078245915741</v>
      </c>
      <c r="R7" s="97">
        <v>2536.9255374032668</v>
      </c>
      <c r="S7" s="97">
        <v>2450.7541702493545</v>
      </c>
      <c r="T7" s="97">
        <v>2402.9057609630258</v>
      </c>
      <c r="U7" s="97">
        <v>2345.523215821152</v>
      </c>
      <c r="V7" s="97">
        <v>1880.6178847807389</v>
      </c>
      <c r="W7" s="97">
        <v>2010.8193465176264</v>
      </c>
      <c r="X7" s="97">
        <v>2143.2806534823731</v>
      </c>
      <c r="Y7" s="97">
        <v>2239.5998280309541</v>
      </c>
      <c r="DA7" s="175" t="s">
        <v>631</v>
      </c>
    </row>
    <row r="8" spans="1:105" ht="11.45" customHeight="1" x14ac:dyDescent="0.25">
      <c r="A8" s="128" t="s">
        <v>54</v>
      </c>
      <c r="B8" s="97">
        <v>1941.1006018916589</v>
      </c>
      <c r="C8" s="97">
        <v>1946.2357695614789</v>
      </c>
      <c r="D8" s="97">
        <v>1977.046947549441</v>
      </c>
      <c r="E8" s="97">
        <v>2156.778417884781</v>
      </c>
      <c r="F8" s="97">
        <v>2113.6429062768698</v>
      </c>
      <c r="G8" s="97">
        <v>2110.56173688736</v>
      </c>
      <c r="H8" s="97">
        <v>2206.0762682717109</v>
      </c>
      <c r="I8" s="97">
        <v>2274.8877042132408</v>
      </c>
      <c r="J8" s="97">
        <v>2212.2384350816851</v>
      </c>
      <c r="K8" s="97">
        <v>2774.6775580395529</v>
      </c>
      <c r="L8" s="97">
        <v>2433.8205503009449</v>
      </c>
      <c r="M8" s="97">
        <v>2124.5055889939808</v>
      </c>
      <c r="N8" s="97">
        <v>1623.9036973344796</v>
      </c>
      <c r="O8" s="97">
        <v>1844.6355116079105</v>
      </c>
      <c r="P8" s="97">
        <v>1924.0613069647459</v>
      </c>
      <c r="Q8" s="97">
        <v>1990.1977644024075</v>
      </c>
      <c r="R8" s="97">
        <v>2128.575580395529</v>
      </c>
      <c r="S8" s="97">
        <v>2118.9012897678413</v>
      </c>
      <c r="T8" s="97">
        <v>2192.2353396388648</v>
      </c>
      <c r="U8" s="97">
        <v>2362.0693895098884</v>
      </c>
      <c r="V8" s="97">
        <v>2222.4400687876177</v>
      </c>
      <c r="W8" s="97">
        <v>2344.375236457437</v>
      </c>
      <c r="X8" s="97">
        <v>2632.197334479793</v>
      </c>
      <c r="Y8" s="97">
        <v>2721.4177128116944</v>
      </c>
      <c r="DA8" s="175" t="s">
        <v>632</v>
      </c>
    </row>
    <row r="9" spans="1:105" ht="11.45" customHeight="1" x14ac:dyDescent="0.25">
      <c r="A9" s="92" t="s">
        <v>55</v>
      </c>
      <c r="B9" s="97">
        <v>0</v>
      </c>
      <c r="C9" s="97">
        <v>6.1049011177987964</v>
      </c>
      <c r="D9" s="97">
        <v>9.6518486672398964</v>
      </c>
      <c r="E9" s="97">
        <v>10.64058469475494</v>
      </c>
      <c r="F9" s="97">
        <v>10.597678417884779</v>
      </c>
      <c r="G9" s="97">
        <v>11.86603611349957</v>
      </c>
      <c r="H9" s="97">
        <v>12.51083404987102</v>
      </c>
      <c r="I9" s="97">
        <v>14.33783319002579</v>
      </c>
      <c r="J9" s="97">
        <v>14.18753224419604</v>
      </c>
      <c r="K9" s="97">
        <v>14.724763542562339</v>
      </c>
      <c r="L9" s="97">
        <v>14.14428202923474</v>
      </c>
      <c r="M9" s="97">
        <v>14.939810834049871</v>
      </c>
      <c r="N9" s="97">
        <v>14.724763542562339</v>
      </c>
      <c r="O9" s="97">
        <v>13.41367153912296</v>
      </c>
      <c r="P9" s="97">
        <v>13.75752364574377</v>
      </c>
      <c r="Q9" s="97">
        <v>15.111693895098879</v>
      </c>
      <c r="R9" s="97">
        <v>18.95958727429063</v>
      </c>
      <c r="S9" s="97">
        <v>12.790197764402411</v>
      </c>
      <c r="T9" s="97">
        <v>15.19148753224419</v>
      </c>
      <c r="U9" s="97">
        <v>17.890971625107479</v>
      </c>
      <c r="V9" s="97">
        <v>18.126053310404131</v>
      </c>
      <c r="W9" s="97">
        <v>21.036371453138429</v>
      </c>
      <c r="X9" s="97">
        <v>25.130008598452282</v>
      </c>
      <c r="Y9" s="97">
        <v>25.785468615649179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45.070249355116083</v>
      </c>
      <c r="I10" s="97">
        <f t="shared" si="8"/>
        <v>83.07059329320721</v>
      </c>
      <c r="J10" s="97">
        <f t="shared" si="8"/>
        <v>67.163456577815992</v>
      </c>
      <c r="K10" s="97">
        <f t="shared" si="8"/>
        <v>76.000773860705067</v>
      </c>
      <c r="L10" s="97">
        <f t="shared" si="8"/>
        <v>124.60593293207219</v>
      </c>
      <c r="M10" s="97">
        <f t="shared" si="8"/>
        <v>103.39638865004299</v>
      </c>
      <c r="N10" s="97">
        <f t="shared" si="8"/>
        <v>103.39638865004299</v>
      </c>
      <c r="O10" s="97">
        <f t="shared" si="8"/>
        <v>120.4165090283749</v>
      </c>
      <c r="P10" s="97">
        <f t="shared" si="8"/>
        <v>130.96397248495271</v>
      </c>
      <c r="Q10" s="97">
        <f t="shared" si="8"/>
        <v>138.8745485812554</v>
      </c>
      <c r="R10" s="97">
        <f t="shared" si="8"/>
        <v>146.785124677558</v>
      </c>
      <c r="S10" s="97">
        <f t="shared" si="8"/>
        <v>163.68744625967329</v>
      </c>
      <c r="T10" s="97">
        <f t="shared" si="8"/>
        <v>156.83164230438521</v>
      </c>
      <c r="U10" s="97">
        <f t="shared" si="8"/>
        <v>185.70653482373172</v>
      </c>
      <c r="V10" s="97">
        <f t="shared" si="8"/>
        <v>199.16801375752362</v>
      </c>
      <c r="W10" s="97">
        <f t="shared" si="8"/>
        <v>216.14488392089427</v>
      </c>
      <c r="X10" s="97">
        <f t="shared" ref="X10:Y10" si="9">SUM(X11:X13)</f>
        <v>0</v>
      </c>
      <c r="Y10" s="97">
        <f t="shared" si="9"/>
        <v>0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0</v>
      </c>
      <c r="L12" s="97">
        <v>0</v>
      </c>
      <c r="M12" s="97">
        <v>0</v>
      </c>
      <c r="N12" s="97">
        <v>0</v>
      </c>
      <c r="O12" s="97">
        <v>0</v>
      </c>
      <c r="P12" s="97">
        <v>0</v>
      </c>
      <c r="Q12" s="97">
        <v>0</v>
      </c>
      <c r="R12" s="97">
        <v>0</v>
      </c>
      <c r="S12" s="97">
        <v>0</v>
      </c>
      <c r="T12" s="97">
        <v>0</v>
      </c>
      <c r="U12" s="97">
        <v>25.154342218400689</v>
      </c>
      <c r="V12" s="97">
        <v>62.666638005159072</v>
      </c>
      <c r="W12" s="97">
        <v>67.851504729148758</v>
      </c>
      <c r="X12" s="97">
        <v>0</v>
      </c>
      <c r="Y12" s="97">
        <v>0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45.070249355116083</v>
      </c>
      <c r="I13" s="97">
        <v>83.07059329320721</v>
      </c>
      <c r="J13" s="97">
        <v>67.163456577815992</v>
      </c>
      <c r="K13" s="97">
        <v>76.000773860705067</v>
      </c>
      <c r="L13" s="97">
        <v>124.60593293207219</v>
      </c>
      <c r="M13" s="97">
        <v>103.39638865004299</v>
      </c>
      <c r="N13" s="97">
        <v>103.39638865004299</v>
      </c>
      <c r="O13" s="97">
        <v>120.4165090283749</v>
      </c>
      <c r="P13" s="97">
        <v>130.96397248495271</v>
      </c>
      <c r="Q13" s="97">
        <v>138.8745485812554</v>
      </c>
      <c r="R13" s="97">
        <v>146.785124677558</v>
      </c>
      <c r="S13" s="97">
        <v>163.68744625967329</v>
      </c>
      <c r="T13" s="97">
        <v>156.83164230438521</v>
      </c>
      <c r="U13" s="97">
        <v>160.55219260533102</v>
      </c>
      <c r="V13" s="97">
        <v>136.50137575236457</v>
      </c>
      <c r="W13" s="97">
        <v>148.29337919174552</v>
      </c>
      <c r="X13" s="97">
        <v>0</v>
      </c>
      <c r="Y13" s="97">
        <v>0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0</v>
      </c>
      <c r="K15" s="98">
        <v>0</v>
      </c>
      <c r="L15" s="98">
        <v>0</v>
      </c>
      <c r="M15" s="98">
        <v>0</v>
      </c>
      <c r="N15" s="98">
        <v>2.3910189743912079E-4</v>
      </c>
      <c r="O15" s="98">
        <v>4.8967136676183918</v>
      </c>
      <c r="P15" s="98">
        <v>4.7724182413038729</v>
      </c>
      <c r="Q15" s="98">
        <v>4.7837036070021055</v>
      </c>
      <c r="R15" s="98">
        <v>4.7793917319888024</v>
      </c>
      <c r="S15" s="98">
        <v>4.8006392561231701</v>
      </c>
      <c r="T15" s="98">
        <v>4.8411826042590356</v>
      </c>
      <c r="U15" s="98">
        <v>4.9346373064409228</v>
      </c>
      <c r="V15" s="98">
        <v>5.2332948280406955</v>
      </c>
      <c r="W15" s="98">
        <v>6.4208046732947137</v>
      </c>
      <c r="X15" s="98">
        <v>7.7772914565028621</v>
      </c>
      <c r="Y15" s="98">
        <v>8.3986215192153661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5375.6687016337055</v>
      </c>
      <c r="C17" s="79">
        <f t="shared" si="10"/>
        <v>5500.1957867583824</v>
      </c>
      <c r="D17" s="79">
        <f t="shared" si="10"/>
        <v>5699.5439380911439</v>
      </c>
      <c r="E17" s="79">
        <f t="shared" si="10"/>
        <v>6042.9946689595872</v>
      </c>
      <c r="F17" s="79">
        <f t="shared" si="10"/>
        <v>6083.333447979363</v>
      </c>
      <c r="G17" s="79">
        <f t="shared" si="10"/>
        <v>6248.6984522785888</v>
      </c>
      <c r="H17" s="79">
        <f t="shared" si="10"/>
        <v>6435.4257953568349</v>
      </c>
      <c r="I17" s="79">
        <f t="shared" si="10"/>
        <v>6732.4757523645731</v>
      </c>
      <c r="J17" s="79">
        <f t="shared" si="10"/>
        <v>6572.2963026655216</v>
      </c>
      <c r="K17" s="79">
        <f t="shared" si="10"/>
        <v>7131.9073086844373</v>
      </c>
      <c r="L17" s="79">
        <f t="shared" ref="L17" si="11">L18+L42</f>
        <v>6486.1085984522779</v>
      </c>
      <c r="M17" s="79">
        <f t="shared" ref="M17:V17" si="12">M18+M42</f>
        <v>5936.9757523645731</v>
      </c>
      <c r="N17" s="79">
        <f t="shared" si="12"/>
        <v>4861.6869115008658</v>
      </c>
      <c r="O17" s="79">
        <f t="shared" si="12"/>
        <v>4965.305656057988</v>
      </c>
      <c r="P17" s="79">
        <f t="shared" si="12"/>
        <v>4938.5595205628852</v>
      </c>
      <c r="Q17" s="79">
        <f t="shared" si="12"/>
        <v>4979.7692582071741</v>
      </c>
      <c r="R17" s="79">
        <f t="shared" si="12"/>
        <v>5097.513699556579</v>
      </c>
      <c r="S17" s="79">
        <f t="shared" si="12"/>
        <v>4996.8427716722872</v>
      </c>
      <c r="T17" s="79">
        <f t="shared" si="12"/>
        <v>5007.5747165681441</v>
      </c>
      <c r="U17" s="79">
        <f t="shared" si="12"/>
        <v>5156.4535539014541</v>
      </c>
      <c r="V17" s="79">
        <f t="shared" si="12"/>
        <v>4519.3021684307914</v>
      </c>
      <c r="W17" s="79">
        <f t="shared" ref="W17:Y17" si="13">W18+W42</f>
        <v>4787.3650007180058</v>
      </c>
      <c r="X17" s="79">
        <f t="shared" si="13"/>
        <v>4999.0774634255476</v>
      </c>
      <c r="Y17" s="79">
        <f t="shared" si="13"/>
        <v>5188.4965578906686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3489.3261808551579</v>
      </c>
      <c r="C18" s="32">
        <f t="shared" si="14"/>
        <v>3602.8369351956153</v>
      </c>
      <c r="D18" s="32">
        <f t="shared" si="14"/>
        <v>3763.600368777586</v>
      </c>
      <c r="E18" s="32">
        <f t="shared" si="14"/>
        <v>4098.6437745790645</v>
      </c>
      <c r="F18" s="32">
        <f t="shared" si="14"/>
        <v>4027.1268105027407</v>
      </c>
      <c r="G18" s="32">
        <f t="shared" si="14"/>
        <v>4281.4316704533157</v>
      </c>
      <c r="H18" s="32">
        <f t="shared" si="14"/>
        <v>4364.0647262956236</v>
      </c>
      <c r="I18" s="32">
        <f t="shared" si="14"/>
        <v>4572.1559578312281</v>
      </c>
      <c r="J18" s="32">
        <f t="shared" si="14"/>
        <v>4441.1820372897328</v>
      </c>
      <c r="K18" s="32">
        <f t="shared" si="14"/>
        <v>4662.482878134897</v>
      </c>
      <c r="L18" s="32">
        <f t="shared" ref="L18" si="15">L19+L21+L33</f>
        <v>4249.5601559449415</v>
      </c>
      <c r="M18" s="32">
        <f t="shared" ref="M18:V18" si="16">M19+M21+M33</f>
        <v>4131.9446852887795</v>
      </c>
      <c r="N18" s="32">
        <f t="shared" si="16"/>
        <v>3513.9147989736107</v>
      </c>
      <c r="O18" s="32">
        <f t="shared" si="16"/>
        <v>3377.2689524214475</v>
      </c>
      <c r="P18" s="32">
        <f t="shared" si="16"/>
        <v>3274.4646101797271</v>
      </c>
      <c r="Q18" s="32">
        <f t="shared" si="16"/>
        <v>3327.7359825578724</v>
      </c>
      <c r="R18" s="32">
        <f t="shared" si="16"/>
        <v>3352.4882203760417</v>
      </c>
      <c r="S18" s="32">
        <f t="shared" si="16"/>
        <v>3338.0769336069898</v>
      </c>
      <c r="T18" s="32">
        <f t="shared" si="16"/>
        <v>3314.0560130462882</v>
      </c>
      <c r="U18" s="32">
        <f t="shared" si="16"/>
        <v>3385.4674192274065</v>
      </c>
      <c r="V18" s="32">
        <f t="shared" si="16"/>
        <v>2858.716957995342</v>
      </c>
      <c r="W18" s="32">
        <f t="shared" ref="W18:Y18" si="17">W19+W21+W33</f>
        <v>3046.9378450679901</v>
      </c>
      <c r="X18" s="32">
        <f t="shared" si="17"/>
        <v>3199.9526302960548</v>
      </c>
      <c r="Y18" s="32">
        <f t="shared" si="17"/>
        <v>3409.7077424736008</v>
      </c>
      <c r="DA18" s="173" t="s">
        <v>391</v>
      </c>
    </row>
    <row r="19" spans="1:105" ht="11.45" customHeight="1" x14ac:dyDescent="0.25">
      <c r="A19" s="107" t="s">
        <v>174</v>
      </c>
      <c r="B19" s="129">
        <v>169.12613630501815</v>
      </c>
      <c r="C19" s="129">
        <v>183.28186231972487</v>
      </c>
      <c r="D19" s="129">
        <v>201.62988306851202</v>
      </c>
      <c r="E19" s="129">
        <v>211.32153798493738</v>
      </c>
      <c r="F19" s="129">
        <v>212.7974655393098</v>
      </c>
      <c r="G19" s="129">
        <v>219.16179676446617</v>
      </c>
      <c r="H19" s="129">
        <v>200.05889410906664</v>
      </c>
      <c r="I19" s="129">
        <v>200.25704370551344</v>
      </c>
      <c r="J19" s="129">
        <v>214.65443739189141</v>
      </c>
      <c r="K19" s="129">
        <v>220.15018560252608</v>
      </c>
      <c r="L19" s="129">
        <v>260.32986246540059</v>
      </c>
      <c r="M19" s="129">
        <v>266.29532727829229</v>
      </c>
      <c r="N19" s="129">
        <v>273.80394809097936</v>
      </c>
      <c r="O19" s="129">
        <v>274.02632057896244</v>
      </c>
      <c r="P19" s="129">
        <v>275.64601899474479</v>
      </c>
      <c r="Q19" s="129">
        <v>274.08171252706563</v>
      </c>
      <c r="R19" s="129">
        <v>279.00707105206783</v>
      </c>
      <c r="S19" s="129">
        <v>260.45704764687378</v>
      </c>
      <c r="T19" s="129">
        <v>239.4043884335658</v>
      </c>
      <c r="U19" s="129">
        <v>250.84450286097444</v>
      </c>
      <c r="V19" s="129">
        <v>222.00303891567873</v>
      </c>
      <c r="W19" s="129">
        <v>228.3889868278971</v>
      </c>
      <c r="X19" s="129">
        <v>229.78835282308739</v>
      </c>
      <c r="Y19" s="129">
        <v>243.49835669860846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</v>
      </c>
      <c r="L20" s="97">
        <v>0</v>
      </c>
      <c r="M20" s="97">
        <v>0</v>
      </c>
      <c r="N20" s="97">
        <v>0</v>
      </c>
      <c r="O20" s="97">
        <v>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2.661613953855241</v>
      </c>
      <c r="V20" s="97">
        <v>7.1591081556238283</v>
      </c>
      <c r="W20" s="97">
        <v>7.4550217561110346</v>
      </c>
      <c r="X20" s="97">
        <v>0</v>
      </c>
      <c r="Y20" s="97">
        <v>0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2753.778466124802</v>
      </c>
      <c r="C21" s="130">
        <f t="shared" si="18"/>
        <v>2871.0518348222881</v>
      </c>
      <c r="D21" s="130">
        <f t="shared" si="18"/>
        <v>3015.7592653342058</v>
      </c>
      <c r="E21" s="130">
        <f t="shared" si="18"/>
        <v>3184.1351117840018</v>
      </c>
      <c r="F21" s="130">
        <f t="shared" si="18"/>
        <v>3282.7506277676898</v>
      </c>
      <c r="G21" s="130">
        <f t="shared" si="18"/>
        <v>3461.6524317848725</v>
      </c>
      <c r="H21" s="130">
        <f t="shared" si="18"/>
        <v>3576.0107833675384</v>
      </c>
      <c r="I21" s="130">
        <f t="shared" si="18"/>
        <v>3765.8208322897744</v>
      </c>
      <c r="J21" s="130">
        <f t="shared" si="18"/>
        <v>3671.3394373513956</v>
      </c>
      <c r="K21" s="130">
        <f t="shared" si="18"/>
        <v>3783.969926516078</v>
      </c>
      <c r="L21" s="130">
        <f t="shared" ref="L21" si="19">L22+L24+L26+L27+L29+L32</f>
        <v>3411.7969710416655</v>
      </c>
      <c r="M21" s="130">
        <f t="shared" ref="M21:V21" si="20">M22+M24+M26+M27+M29+M32</f>
        <v>3250.7005366487087</v>
      </c>
      <c r="N21" s="130">
        <f t="shared" si="20"/>
        <v>2733.8541231021113</v>
      </c>
      <c r="O21" s="130">
        <f t="shared" si="20"/>
        <v>2529.7538325826508</v>
      </c>
      <c r="P21" s="130">
        <f t="shared" si="20"/>
        <v>2444.0724243747509</v>
      </c>
      <c r="Q21" s="130">
        <f t="shared" si="20"/>
        <v>2521.7481131310669</v>
      </c>
      <c r="R21" s="130">
        <f t="shared" si="20"/>
        <v>2534.5163119580202</v>
      </c>
      <c r="S21" s="130">
        <f t="shared" si="20"/>
        <v>2535.1078257328645</v>
      </c>
      <c r="T21" s="130">
        <f t="shared" si="20"/>
        <v>2524.5762758432202</v>
      </c>
      <c r="U21" s="130">
        <f t="shared" si="20"/>
        <v>2567.6085500982358</v>
      </c>
      <c r="V21" s="130">
        <f t="shared" si="20"/>
        <v>2079.9116460616838</v>
      </c>
      <c r="W21" s="130">
        <f t="shared" ref="W21:Y21" si="21">W22+W24+W26+W27+W29+W32</f>
        <v>2271.397616344927</v>
      </c>
      <c r="X21" s="130">
        <f t="shared" si="21"/>
        <v>2406.4688174678809</v>
      </c>
      <c r="Y21" s="130">
        <f t="shared" si="21"/>
        <v>2582.937034429493</v>
      </c>
      <c r="DA21" s="176" t="s">
        <v>393</v>
      </c>
    </row>
    <row r="22" spans="1:105" ht="11.45" customHeight="1" x14ac:dyDescent="0.25">
      <c r="A22" s="111" t="s">
        <v>110</v>
      </c>
      <c r="B22" s="96">
        <v>2583.2559108745868</v>
      </c>
      <c r="C22" s="96">
        <v>2704.2933270337944</v>
      </c>
      <c r="D22" s="96">
        <v>2850.633882564021</v>
      </c>
      <c r="E22" s="96">
        <v>3014.121090800837</v>
      </c>
      <c r="F22" s="96">
        <v>3129.2175048734243</v>
      </c>
      <c r="G22" s="96">
        <v>3302.5610173217015</v>
      </c>
      <c r="H22" s="96">
        <v>3401.5808337820281</v>
      </c>
      <c r="I22" s="96">
        <v>3576.534222008815</v>
      </c>
      <c r="J22" s="96">
        <v>3496.519247880999</v>
      </c>
      <c r="K22" s="96">
        <v>3567.6404154964916</v>
      </c>
      <c r="L22" s="96">
        <v>3179.878428078142</v>
      </c>
      <c r="M22" s="96">
        <v>2881.5764481379611</v>
      </c>
      <c r="N22" s="96">
        <v>2476.6549732032295</v>
      </c>
      <c r="O22" s="96">
        <v>2222.8212206697326</v>
      </c>
      <c r="P22" s="96">
        <v>2093.3449206559872</v>
      </c>
      <c r="Q22" s="96">
        <v>2020.7320746956595</v>
      </c>
      <c r="R22" s="96">
        <v>1974.5080644582424</v>
      </c>
      <c r="S22" s="96">
        <v>1922.5090557330338</v>
      </c>
      <c r="T22" s="96">
        <v>1867.200525677061</v>
      </c>
      <c r="U22" s="96">
        <v>1824.5522002071284</v>
      </c>
      <c r="V22" s="96">
        <v>1458.323227793358</v>
      </c>
      <c r="W22" s="96">
        <v>1562.0860947386338</v>
      </c>
      <c r="X22" s="96">
        <v>1629.2112206155948</v>
      </c>
      <c r="Y22" s="96">
        <v>1714.8818554915208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</v>
      </c>
      <c r="S23" s="96">
        <v>0</v>
      </c>
      <c r="T23" s="96">
        <v>0</v>
      </c>
      <c r="U23" s="96">
        <v>19.359617373397484</v>
      </c>
      <c r="V23" s="96">
        <v>47.027706308094871</v>
      </c>
      <c r="W23" s="96">
        <v>50.989261710637727</v>
      </c>
      <c r="X23" s="96">
        <v>0</v>
      </c>
      <c r="Y23" s="96">
        <v>0</v>
      </c>
      <c r="DA23" s="171" t="s">
        <v>642</v>
      </c>
    </row>
    <row r="24" spans="1:105" ht="11.45" customHeight="1" x14ac:dyDescent="0.25">
      <c r="A24" s="111" t="s">
        <v>111</v>
      </c>
      <c r="B24" s="96">
        <v>153.57646754600168</v>
      </c>
      <c r="C24" s="96">
        <v>147.74714778401292</v>
      </c>
      <c r="D24" s="96">
        <v>146.66950644205824</v>
      </c>
      <c r="E24" s="96">
        <v>154.79898560996719</v>
      </c>
      <c r="F24" s="96">
        <v>139.46122538700345</v>
      </c>
      <c r="G24" s="96">
        <v>144.84453822874349</v>
      </c>
      <c r="H24" s="96">
        <v>160.10202473670699</v>
      </c>
      <c r="I24" s="96">
        <v>173.59790946001092</v>
      </c>
      <c r="J24" s="96">
        <v>159.18597902811763</v>
      </c>
      <c r="K24" s="96">
        <v>195.02964347461494</v>
      </c>
      <c r="L24" s="96">
        <v>182.83616488409044</v>
      </c>
      <c r="M24" s="96">
        <v>169.38618882686129</v>
      </c>
      <c r="N24" s="96">
        <v>169.57177560959826</v>
      </c>
      <c r="O24" s="96">
        <v>99.699838349467541</v>
      </c>
      <c r="P24" s="96">
        <v>125.88876984111272</v>
      </c>
      <c r="Q24" s="96">
        <v>240.9136404496507</v>
      </c>
      <c r="R24" s="96">
        <v>295.48777504400908</v>
      </c>
      <c r="S24" s="96">
        <v>363.77710127544594</v>
      </c>
      <c r="T24" s="96">
        <v>418.84668467591041</v>
      </c>
      <c r="U24" s="96">
        <v>499.54824797294015</v>
      </c>
      <c r="V24" s="96">
        <v>423.71997351078352</v>
      </c>
      <c r="W24" s="96">
        <v>514.78356283625249</v>
      </c>
      <c r="X24" s="96">
        <v>578.25655538248918</v>
      </c>
      <c r="Y24" s="96">
        <v>662.60489051136949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3.205405832379729</v>
      </c>
      <c r="I25" s="96">
        <v>6.1158339180780796</v>
      </c>
      <c r="J25" s="96">
        <v>4.6904763172185726</v>
      </c>
      <c r="K25" s="96">
        <v>5.1996058846694053</v>
      </c>
      <c r="L25" s="96">
        <v>8.9048761214802035</v>
      </c>
      <c r="M25" s="96">
        <v>7.8611718054186817</v>
      </c>
      <c r="N25" s="96">
        <v>10.150586662545333</v>
      </c>
      <c r="O25" s="96">
        <v>6.1095107705335883</v>
      </c>
      <c r="P25" s="96">
        <v>8.02272047672861</v>
      </c>
      <c r="Q25" s="96">
        <v>15.714249281475126</v>
      </c>
      <c r="R25" s="96">
        <v>19.062124877091037</v>
      </c>
      <c r="S25" s="96">
        <v>26.086935318516577</v>
      </c>
      <c r="T25" s="96">
        <v>27.963618720284298</v>
      </c>
      <c r="U25" s="96">
        <v>31.79373675894599</v>
      </c>
      <c r="V25" s="96">
        <v>24.518777035288593</v>
      </c>
      <c r="W25" s="96">
        <v>30.625408289770867</v>
      </c>
      <c r="X25" s="96">
        <v>0</v>
      </c>
      <c r="Y25" s="96">
        <v>0</v>
      </c>
      <c r="DA25" s="171" t="s">
        <v>644</v>
      </c>
    </row>
    <row r="26" spans="1:105" ht="11.45" customHeight="1" x14ac:dyDescent="0.25">
      <c r="A26" s="111" t="s">
        <v>112</v>
      </c>
      <c r="B26" s="96">
        <v>16.946087704213241</v>
      </c>
      <c r="C26" s="96">
        <v>18.075838349097161</v>
      </c>
      <c r="D26" s="96">
        <v>16.946087704213241</v>
      </c>
      <c r="E26" s="96">
        <v>13.556921754084261</v>
      </c>
      <c r="F26" s="96">
        <v>12.427171109200341</v>
      </c>
      <c r="G26" s="96">
        <v>12.427171109200341</v>
      </c>
      <c r="H26" s="96">
        <v>12.427171109200341</v>
      </c>
      <c r="I26" s="96">
        <v>13.556921754084261</v>
      </c>
      <c r="J26" s="96">
        <v>13.556921754084261</v>
      </c>
      <c r="K26" s="96">
        <v>18.677730008598449</v>
      </c>
      <c r="L26" s="96">
        <v>46.145055889939812</v>
      </c>
      <c r="M26" s="96">
        <v>196.6656921754084</v>
      </c>
      <c r="N26" s="96">
        <v>84.599226139294927</v>
      </c>
      <c r="O26" s="96">
        <v>204.35657781599309</v>
      </c>
      <c r="P26" s="96">
        <v>221.93559759243334</v>
      </c>
      <c r="Q26" s="96">
        <v>257.09372312983658</v>
      </c>
      <c r="R26" s="96">
        <v>261.48847807394668</v>
      </c>
      <c r="S26" s="96">
        <v>245.90902837489247</v>
      </c>
      <c r="T26" s="96">
        <v>235.56930352536543</v>
      </c>
      <c r="U26" s="96">
        <v>240.32880481513334</v>
      </c>
      <c r="V26" s="96">
        <v>193.71685296646604</v>
      </c>
      <c r="W26" s="96">
        <v>188.56835769561474</v>
      </c>
      <c r="X26" s="96">
        <v>190.69217540842652</v>
      </c>
      <c r="Y26" s="96">
        <v>193.29492691315562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0.93552165538339016</v>
      </c>
      <c r="D27" s="96">
        <v>1.5097886239130134</v>
      </c>
      <c r="E27" s="96">
        <v>1.658113619113496</v>
      </c>
      <c r="F27" s="96">
        <v>1.6447263980615023</v>
      </c>
      <c r="G27" s="96">
        <v>1.8197051252272052</v>
      </c>
      <c r="H27" s="96">
        <v>1.9007537396032987</v>
      </c>
      <c r="I27" s="96">
        <v>2.1317790668640533</v>
      </c>
      <c r="J27" s="96">
        <v>2.077288688194403</v>
      </c>
      <c r="K27" s="96">
        <v>2.6221375363727861</v>
      </c>
      <c r="L27" s="96">
        <v>2.9373221894935346</v>
      </c>
      <c r="M27" s="96">
        <v>3.0722075084781761</v>
      </c>
      <c r="N27" s="96">
        <v>3.0277846629382683</v>
      </c>
      <c r="O27" s="96">
        <v>2.8755759148374249</v>
      </c>
      <c r="P27" s="96">
        <v>2.8922259201931344</v>
      </c>
      <c r="Q27" s="96">
        <v>2.9866043270602698</v>
      </c>
      <c r="R27" s="96">
        <v>2.9921164428376268</v>
      </c>
      <c r="S27" s="96">
        <v>2.8317173654724588</v>
      </c>
      <c r="T27" s="96">
        <v>2.8162808549995177</v>
      </c>
      <c r="U27" s="96">
        <v>2.9240946673672186</v>
      </c>
      <c r="V27" s="96">
        <v>3.4233187407538095</v>
      </c>
      <c r="W27" s="96">
        <v>3.5339691635077908</v>
      </c>
      <c r="X27" s="96">
        <v>3.9095896573669044</v>
      </c>
      <c r="Y27" s="96">
        <v>4.5833392269123765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2.0916405753968953E-4</v>
      </c>
      <c r="O29" s="96">
        <v>1.3369624802227084E-4</v>
      </c>
      <c r="P29" s="96">
        <v>3.6204273930840027E-3</v>
      </c>
      <c r="Q29" s="96">
        <v>7.7439887581369563E-3</v>
      </c>
      <c r="R29" s="96">
        <v>2.0438865466684046E-2</v>
      </c>
      <c r="S29" s="96">
        <v>5.5998792703612535E-2</v>
      </c>
      <c r="T29" s="96">
        <v>0.10647751121517968</v>
      </c>
      <c r="U29" s="96">
        <v>0.17142814493594796</v>
      </c>
      <c r="V29" s="96">
        <v>0.51946676195186636</v>
      </c>
      <c r="W29" s="96">
        <v>1.7231894382189088</v>
      </c>
      <c r="X29" s="96">
        <v>3.0503640479614225</v>
      </c>
      <c r="Y29" s="96">
        <v>4.9409949491060807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0</v>
      </c>
      <c r="P30" s="96">
        <v>0</v>
      </c>
      <c r="Q30" s="96">
        <v>0</v>
      </c>
      <c r="R30" s="96">
        <v>0</v>
      </c>
      <c r="S30" s="96">
        <v>0</v>
      </c>
      <c r="T30" s="96">
        <v>0</v>
      </c>
      <c r="U30" s="96">
        <v>1.0470958408111619E-3</v>
      </c>
      <c r="V30" s="96">
        <v>7.8939176212673035E-3</v>
      </c>
      <c r="W30" s="96">
        <v>2.5138141601918546E-2</v>
      </c>
      <c r="X30" s="96">
        <v>0</v>
      </c>
      <c r="Y30" s="96">
        <v>0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8.4778904580417442E-5</v>
      </c>
      <c r="O31" s="96">
        <v>9.4327981192852709E-5</v>
      </c>
      <c r="P31" s="96">
        <v>1.9856608900033481E-3</v>
      </c>
      <c r="Q31" s="96">
        <v>3.8651830738156714E-3</v>
      </c>
      <c r="R31" s="96">
        <v>1.022667511759456E-2</v>
      </c>
      <c r="S31" s="96">
        <v>2.5308432775869402E-2</v>
      </c>
      <c r="T31" s="96">
        <v>4.7282861015328234E-2</v>
      </c>
      <c r="U31" s="96">
        <v>7.2744323694471508E-2</v>
      </c>
      <c r="V31" s="96">
        <v>0.27467737439460282</v>
      </c>
      <c r="W31" s="96">
        <v>0.95306764930633525</v>
      </c>
      <c r="X31" s="96">
        <v>1.6977897217933806</v>
      </c>
      <c r="Y31" s="96">
        <v>2.8124599291916024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1.5432299285870335E-4</v>
      </c>
      <c r="O32" s="96">
        <v>4.8613637203447221E-4</v>
      </c>
      <c r="P32" s="96">
        <v>7.2899376320463968E-3</v>
      </c>
      <c r="Q32" s="96">
        <v>1.4326540101562613E-2</v>
      </c>
      <c r="R32" s="96">
        <v>1.9439073518167978E-2</v>
      </c>
      <c r="S32" s="96">
        <v>2.4924191316410705E-2</v>
      </c>
      <c r="T32" s="96">
        <v>3.7003598668730764E-2</v>
      </c>
      <c r="U32" s="96">
        <v>8.3774290730675674E-2</v>
      </c>
      <c r="V32" s="96">
        <v>0.20880628837031603</v>
      </c>
      <c r="W32" s="96">
        <v>0.70244247269903781</v>
      </c>
      <c r="X32" s="96">
        <v>1.3489123560419396</v>
      </c>
      <c r="Y32" s="96">
        <v>2.6310273374288351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566.421578425338</v>
      </c>
      <c r="C33" s="130">
        <f t="shared" si="22"/>
        <v>548.50323805360222</v>
      </c>
      <c r="D33" s="130">
        <f t="shared" si="22"/>
        <v>546.2112203748685</v>
      </c>
      <c r="E33" s="130">
        <f t="shared" si="22"/>
        <v>703.18712481012483</v>
      </c>
      <c r="F33" s="130">
        <f t="shared" si="22"/>
        <v>531.57871719574075</v>
      </c>
      <c r="G33" s="130">
        <f t="shared" si="22"/>
        <v>600.61744190397758</v>
      </c>
      <c r="H33" s="130">
        <f t="shared" si="22"/>
        <v>587.99504881901873</v>
      </c>
      <c r="I33" s="130">
        <f t="shared" si="22"/>
        <v>606.07808183594011</v>
      </c>
      <c r="J33" s="130">
        <f t="shared" si="22"/>
        <v>555.18816254644526</v>
      </c>
      <c r="K33" s="130">
        <f t="shared" si="22"/>
        <v>658.36276601629265</v>
      </c>
      <c r="L33" s="130">
        <f t="shared" ref="L33" si="23">L34+L36+L38+L39+L41</f>
        <v>577.43332243787484</v>
      </c>
      <c r="M33" s="130">
        <f t="shared" ref="M33:V33" si="24">M34+M36+M38+M39+M41</f>
        <v>614.9488213617783</v>
      </c>
      <c r="N33" s="130">
        <f t="shared" si="24"/>
        <v>506.25672778052029</v>
      </c>
      <c r="O33" s="130">
        <f t="shared" si="24"/>
        <v>573.48879925983431</v>
      </c>
      <c r="P33" s="130">
        <f t="shared" si="24"/>
        <v>554.74616681023122</v>
      </c>
      <c r="Q33" s="130">
        <f t="shared" si="24"/>
        <v>531.90615689974004</v>
      </c>
      <c r="R33" s="130">
        <f t="shared" si="24"/>
        <v>538.96483736595405</v>
      </c>
      <c r="S33" s="130">
        <f t="shared" si="24"/>
        <v>542.51206022725114</v>
      </c>
      <c r="T33" s="130">
        <f t="shared" si="24"/>
        <v>550.07534876950228</v>
      </c>
      <c r="U33" s="130">
        <f t="shared" si="24"/>
        <v>567.01436626819623</v>
      </c>
      <c r="V33" s="130">
        <f t="shared" si="24"/>
        <v>556.80227301797947</v>
      </c>
      <c r="W33" s="130">
        <f t="shared" ref="W33:Y33" si="25">W34+W36+W38+W39+W41</f>
        <v>547.15124189516598</v>
      </c>
      <c r="X33" s="130">
        <f t="shared" si="25"/>
        <v>563.69546000508672</v>
      </c>
      <c r="Y33" s="130">
        <f t="shared" si="25"/>
        <v>583.27235134549949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X34" s="97">
        <v>0</v>
      </c>
      <c r="Y34" s="97">
        <v>0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X35" s="97">
        <v>0</v>
      </c>
      <c r="Y35" s="97">
        <v>0</v>
      </c>
      <c r="DA35" s="175" t="s">
        <v>653</v>
      </c>
    </row>
    <row r="36" spans="1:105" ht="11.45" customHeight="1" x14ac:dyDescent="0.25">
      <c r="A36" s="111" t="s">
        <v>111</v>
      </c>
      <c r="B36" s="97">
        <v>566.421578425338</v>
      </c>
      <c r="C36" s="97">
        <v>543.33385859118687</v>
      </c>
      <c r="D36" s="97">
        <v>538.06916033154164</v>
      </c>
      <c r="E36" s="97">
        <v>694.20465373448337</v>
      </c>
      <c r="F36" s="97">
        <v>522.62576517591742</v>
      </c>
      <c r="G36" s="97">
        <v>590.57111091570516</v>
      </c>
      <c r="H36" s="97">
        <v>577.38496850875106</v>
      </c>
      <c r="I36" s="97">
        <v>593.87202771277839</v>
      </c>
      <c r="J36" s="97">
        <v>543.07791899044366</v>
      </c>
      <c r="K36" s="97">
        <v>646.2601400101031</v>
      </c>
      <c r="L36" s="97">
        <v>566.22636259813362</v>
      </c>
      <c r="M36" s="97">
        <v>603.08121803620656</v>
      </c>
      <c r="N36" s="97">
        <v>494.55974890089624</v>
      </c>
      <c r="O36" s="97">
        <v>558.05457043228353</v>
      </c>
      <c r="P36" s="97">
        <v>539.11772644189875</v>
      </c>
      <c r="Q36" s="97">
        <v>515.0155554478747</v>
      </c>
      <c r="R36" s="97">
        <v>518.24764055114792</v>
      </c>
      <c r="S36" s="97">
        <v>527.80317319629023</v>
      </c>
      <c r="T36" s="97">
        <v>532.94324594768261</v>
      </c>
      <c r="U36" s="97">
        <v>547.26937061844012</v>
      </c>
      <c r="V36" s="97">
        <v>537.34972728305331</v>
      </c>
      <c r="W36" s="97">
        <v>524.88354505424604</v>
      </c>
      <c r="X36" s="97">
        <v>537.74445168533373</v>
      </c>
      <c r="Y36" s="97">
        <v>559.11508770416776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11.55983597727737</v>
      </c>
      <c r="I37" s="97">
        <v>20.922041638527151</v>
      </c>
      <c r="J37" s="97">
        <v>16.002000508971236</v>
      </c>
      <c r="K37" s="97">
        <v>17.229678356363205</v>
      </c>
      <c r="L37" s="97">
        <v>27.577561686711245</v>
      </c>
      <c r="M37" s="97">
        <v>27.988852576698196</v>
      </c>
      <c r="N37" s="97">
        <v>29.604405408732752</v>
      </c>
      <c r="O37" s="97">
        <v>34.197050517281397</v>
      </c>
      <c r="P37" s="97">
        <v>34.357241148290846</v>
      </c>
      <c r="Q37" s="97">
        <v>33.593294290186428</v>
      </c>
      <c r="R37" s="97">
        <v>33.432520989988276</v>
      </c>
      <c r="S37" s="97">
        <v>37.849461089784043</v>
      </c>
      <c r="T37" s="97">
        <v>35.581090347565144</v>
      </c>
      <c r="U37" s="97">
        <v>34.83094651273656</v>
      </c>
      <c r="V37" s="97">
        <v>31.09402194109931</v>
      </c>
      <c r="W37" s="97">
        <v>31.22627455955087</v>
      </c>
      <c r="X37" s="97">
        <v>0</v>
      </c>
      <c r="Y37" s="97">
        <v>0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X38" s="97">
        <v>0</v>
      </c>
      <c r="Y38" s="97">
        <v>0</v>
      </c>
      <c r="DA38" s="175" t="s">
        <v>656</v>
      </c>
    </row>
    <row r="39" spans="1:105" ht="11.45" customHeight="1" x14ac:dyDescent="0.25">
      <c r="A39" s="111" t="s">
        <v>113</v>
      </c>
      <c r="B39" s="97">
        <v>0</v>
      </c>
      <c r="C39" s="97">
        <v>5.1693794624154066</v>
      </c>
      <c r="D39" s="97">
        <v>8.1420600433268824</v>
      </c>
      <c r="E39" s="97">
        <v>8.9824710756414436</v>
      </c>
      <c r="F39" s="97">
        <v>8.952952019823277</v>
      </c>
      <c r="G39" s="97">
        <v>10.046330988272365</v>
      </c>
      <c r="H39" s="97">
        <v>10.610080310267721</v>
      </c>
      <c r="I39" s="97">
        <v>12.206054123161737</v>
      </c>
      <c r="J39" s="97">
        <v>12.110243556001638</v>
      </c>
      <c r="K39" s="97">
        <v>12.102626006189553</v>
      </c>
      <c r="L39" s="97">
        <v>11.206959839741206</v>
      </c>
      <c r="M39" s="97">
        <v>11.867603325571695</v>
      </c>
      <c r="N39" s="97">
        <v>11.696978879624071</v>
      </c>
      <c r="O39" s="97">
        <v>10.538095624285535</v>
      </c>
      <c r="P39" s="97">
        <v>10.865297725550636</v>
      </c>
      <c r="Q39" s="97">
        <v>12.125089568038609</v>
      </c>
      <c r="R39" s="97">
        <v>15.967470831453003</v>
      </c>
      <c r="S39" s="97">
        <v>9.958480398929952</v>
      </c>
      <c r="T39" s="97">
        <v>12.375206677244673</v>
      </c>
      <c r="U39" s="97">
        <v>14.966876957740261</v>
      </c>
      <c r="V39" s="97">
        <v>14.702734569650321</v>
      </c>
      <c r="W39" s="97">
        <v>17.502402289630638</v>
      </c>
      <c r="X39" s="97">
        <v>21.220418941085377</v>
      </c>
      <c r="Y39" s="97">
        <v>21.202129388736804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X40" s="97">
        <v>0</v>
      </c>
      <c r="Y40" s="97">
        <v>0</v>
      </c>
      <c r="DA40" s="175" t="s">
        <v>658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4.8961332032651645</v>
      </c>
      <c r="P41" s="97">
        <v>4.7631426427818226</v>
      </c>
      <c r="Q41" s="97">
        <v>4.7655118838267274</v>
      </c>
      <c r="R41" s="97">
        <v>4.7497259833530405</v>
      </c>
      <c r="S41" s="97">
        <v>4.7504066320308898</v>
      </c>
      <c r="T41" s="97">
        <v>4.7568961445749762</v>
      </c>
      <c r="U41" s="97">
        <v>4.7781186920157754</v>
      </c>
      <c r="V41" s="97">
        <v>4.7498111652757764</v>
      </c>
      <c r="W41" s="97">
        <v>4.7652945512893412</v>
      </c>
      <c r="X41" s="97">
        <v>4.7305893786675419</v>
      </c>
      <c r="Y41" s="97">
        <v>2.9551342525949282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1886.3425207785476</v>
      </c>
      <c r="C42" s="32">
        <f t="shared" si="26"/>
        <v>1897.3588515627675</v>
      </c>
      <c r="D42" s="32">
        <f t="shared" si="26"/>
        <v>1935.9435693135576</v>
      </c>
      <c r="E42" s="32">
        <f t="shared" si="26"/>
        <v>1944.3508943805227</v>
      </c>
      <c r="F42" s="32">
        <f t="shared" si="26"/>
        <v>2056.2066374766227</v>
      </c>
      <c r="G42" s="32">
        <f t="shared" si="26"/>
        <v>1967.266781825273</v>
      </c>
      <c r="H42" s="32">
        <f t="shared" si="26"/>
        <v>2071.3610690612113</v>
      </c>
      <c r="I42" s="32">
        <f t="shared" si="26"/>
        <v>2160.3197945333454</v>
      </c>
      <c r="J42" s="32">
        <f t="shared" si="26"/>
        <v>2131.1142653757893</v>
      </c>
      <c r="K42" s="32">
        <f t="shared" si="26"/>
        <v>2469.4244305495404</v>
      </c>
      <c r="L42" s="32">
        <f t="shared" ref="L42" si="27">L43+L52</f>
        <v>2236.5484425073369</v>
      </c>
      <c r="M42" s="32">
        <f t="shared" ref="M42:V42" si="28">M43+M52</f>
        <v>1805.0310670757935</v>
      </c>
      <c r="N42" s="32">
        <f t="shared" si="28"/>
        <v>1347.7721125272549</v>
      </c>
      <c r="O42" s="32">
        <f t="shared" si="28"/>
        <v>1588.0367036365403</v>
      </c>
      <c r="P42" s="32">
        <f t="shared" si="28"/>
        <v>1664.0949103831579</v>
      </c>
      <c r="Q42" s="32">
        <f t="shared" si="28"/>
        <v>1652.0332756493021</v>
      </c>
      <c r="R42" s="32">
        <f t="shared" si="28"/>
        <v>1745.0254791805373</v>
      </c>
      <c r="S42" s="32">
        <f t="shared" si="28"/>
        <v>1658.7658380652974</v>
      </c>
      <c r="T42" s="32">
        <f t="shared" si="28"/>
        <v>1693.5187035218564</v>
      </c>
      <c r="U42" s="32">
        <f t="shared" si="28"/>
        <v>1770.9861346740472</v>
      </c>
      <c r="V42" s="32">
        <f t="shared" si="28"/>
        <v>1660.5852104354492</v>
      </c>
      <c r="W42" s="32">
        <f t="shared" ref="W42:Y42" si="29">W43+W52</f>
        <v>1740.4271556500155</v>
      </c>
      <c r="X42" s="32">
        <f t="shared" si="29"/>
        <v>1799.1248331294928</v>
      </c>
      <c r="Y42" s="32">
        <f t="shared" si="29"/>
        <v>1778.7888154170676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797.28471499988768</v>
      </c>
      <c r="C43" s="141">
        <f t="shared" si="30"/>
        <v>789.62906088934983</v>
      </c>
      <c r="D43" s="141">
        <f t="shared" si="30"/>
        <v>805.56547249314758</v>
      </c>
      <c r="E43" s="141">
        <f t="shared" si="30"/>
        <v>825.06912074054878</v>
      </c>
      <c r="F43" s="141">
        <f t="shared" si="30"/>
        <v>808.4224746122643</v>
      </c>
      <c r="G43" s="141">
        <f t="shared" si="30"/>
        <v>808.48632286917814</v>
      </c>
      <c r="H43" s="141">
        <f t="shared" si="30"/>
        <v>809.25437501589363</v>
      </c>
      <c r="I43" s="141">
        <f t="shared" si="30"/>
        <v>855.01783135017797</v>
      </c>
      <c r="J43" s="141">
        <f t="shared" si="30"/>
        <v>834.76513333849732</v>
      </c>
      <c r="K43" s="141">
        <f t="shared" si="30"/>
        <v>780.85194367478812</v>
      </c>
      <c r="L43" s="141">
        <f t="shared" ref="L43" si="31">L44+L46+L48+L49+L51</f>
        <v>785.00845649218945</v>
      </c>
      <c r="M43" s="141">
        <f t="shared" ref="M43:V43" si="32">M44+M46+M48+M49+M51</f>
        <v>668.28988634949883</v>
      </c>
      <c r="N43" s="141">
        <f t="shared" si="32"/>
        <v>550.38622624366803</v>
      </c>
      <c r="O43" s="141">
        <f t="shared" si="32"/>
        <v>638.55666696712888</v>
      </c>
      <c r="P43" s="141">
        <f t="shared" si="32"/>
        <v>637.2962186688053</v>
      </c>
      <c r="Q43" s="141">
        <f t="shared" si="32"/>
        <v>763.41094894014554</v>
      </c>
      <c r="R43" s="141">
        <f t="shared" si="32"/>
        <v>808.93267668582666</v>
      </c>
      <c r="S43" s="141">
        <f t="shared" si="32"/>
        <v>714.3138553390454</v>
      </c>
      <c r="T43" s="141">
        <f t="shared" si="32"/>
        <v>710.22109071975501</v>
      </c>
      <c r="U43" s="141">
        <f t="shared" si="32"/>
        <v>711.44820366551573</v>
      </c>
      <c r="V43" s="141">
        <f t="shared" si="32"/>
        <v>613.02210218365553</v>
      </c>
      <c r="W43" s="141">
        <f t="shared" ref="W43:Y43" si="33">W44+W46+W48+W49+W51</f>
        <v>666.64756312989243</v>
      </c>
      <c r="X43" s="141">
        <f t="shared" si="33"/>
        <v>683.20523461571304</v>
      </c>
      <c r="Y43" s="141">
        <f t="shared" si="33"/>
        <v>697.83697927224989</v>
      </c>
      <c r="DA43" s="174" t="s">
        <v>400</v>
      </c>
    </row>
    <row r="44" spans="1:105" ht="11.45" customHeight="1" x14ac:dyDescent="0.25">
      <c r="A44" s="111" t="s">
        <v>110</v>
      </c>
      <c r="B44" s="96">
        <v>665.23996485822829</v>
      </c>
      <c r="C44" s="96">
        <v>642.20408837648847</v>
      </c>
      <c r="D44" s="96">
        <v>643.63528853771629</v>
      </c>
      <c r="E44" s="96">
        <v>636.57611584019219</v>
      </c>
      <c r="F44" s="96">
        <v>604.65072176267381</v>
      </c>
      <c r="G44" s="96">
        <v>592.12069408236164</v>
      </c>
      <c r="H44" s="96">
        <v>557.70154467984185</v>
      </c>
      <c r="I44" s="96">
        <v>569.83143419968633</v>
      </c>
      <c r="J44" s="96">
        <v>553.97627173484898</v>
      </c>
      <c r="K44" s="96">
        <v>460.03588213400013</v>
      </c>
      <c r="L44" s="96">
        <v>427.18448675654349</v>
      </c>
      <c r="M44" s="96">
        <v>349.59649629483761</v>
      </c>
      <c r="N44" s="96">
        <v>284.60355105322662</v>
      </c>
      <c r="O44" s="96">
        <v>280.73909178200591</v>
      </c>
      <c r="P44" s="96">
        <v>274.0761272164707</v>
      </c>
      <c r="Q44" s="96">
        <v>278.89015856316479</v>
      </c>
      <c r="R44" s="96">
        <v>283.40018970260752</v>
      </c>
      <c r="S44" s="96">
        <v>267.75737650951891</v>
      </c>
      <c r="T44" s="96">
        <v>296.24165220219936</v>
      </c>
      <c r="U44" s="96">
        <v>295.18217115020815</v>
      </c>
      <c r="V44" s="96">
        <v>262.71346668930397</v>
      </c>
      <c r="W44" s="96">
        <v>287.42564789133155</v>
      </c>
      <c r="X44" s="96">
        <v>282.92850571752291</v>
      </c>
      <c r="Y44" s="96">
        <v>279.09108082091024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3.1320637953071544</v>
      </c>
      <c r="V45" s="96">
        <v>8.4719296238191077</v>
      </c>
      <c r="W45" s="96">
        <v>9.3820831207980699</v>
      </c>
      <c r="X45" s="96">
        <v>0</v>
      </c>
      <c r="Y45" s="96">
        <v>0</v>
      </c>
      <c r="DA45" s="171" t="s">
        <v>661</v>
      </c>
    </row>
    <row r="46" spans="1:105" ht="11.45" customHeight="1" x14ac:dyDescent="0.25">
      <c r="A46" s="111" t="s">
        <v>111</v>
      </c>
      <c r="B46" s="96">
        <v>132.04475014165939</v>
      </c>
      <c r="C46" s="96">
        <v>147.4249725128613</v>
      </c>
      <c r="D46" s="96">
        <v>161.93018395543126</v>
      </c>
      <c r="E46" s="96">
        <v>188.4930049003566</v>
      </c>
      <c r="F46" s="96">
        <v>203.77175284959048</v>
      </c>
      <c r="G46" s="96">
        <v>216.3656287868165</v>
      </c>
      <c r="H46" s="96">
        <v>251.55283033605173</v>
      </c>
      <c r="I46" s="96">
        <v>285.18639715049164</v>
      </c>
      <c r="J46" s="96">
        <v>280.78886160364834</v>
      </c>
      <c r="K46" s="96">
        <v>320.81606154078798</v>
      </c>
      <c r="L46" s="96">
        <v>357.82396973564596</v>
      </c>
      <c r="M46" s="96">
        <v>318.69339005466122</v>
      </c>
      <c r="N46" s="96">
        <v>265.78267519044135</v>
      </c>
      <c r="O46" s="96">
        <v>357.81757518512296</v>
      </c>
      <c r="P46" s="96">
        <v>363.2200914523346</v>
      </c>
      <c r="Q46" s="96">
        <v>484.52079037698081</v>
      </c>
      <c r="R46" s="96">
        <v>525.5324869832192</v>
      </c>
      <c r="S46" s="96">
        <v>446.55647882952644</v>
      </c>
      <c r="T46" s="96">
        <v>413.97943851755571</v>
      </c>
      <c r="U46" s="96">
        <v>416.26603251530759</v>
      </c>
      <c r="V46" s="96">
        <v>350.30863549435156</v>
      </c>
      <c r="W46" s="96">
        <v>379.22191523856088</v>
      </c>
      <c r="X46" s="96">
        <v>400.27672889819013</v>
      </c>
      <c r="Y46" s="96">
        <v>418.7458984513396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5.0363442363508071</v>
      </c>
      <c r="I47" s="96">
        <v>10.047083205626022</v>
      </c>
      <c r="J47" s="96">
        <v>8.2735521905358471</v>
      </c>
      <c r="K47" s="96">
        <v>8.5531463410641226</v>
      </c>
      <c r="L47" s="96">
        <v>17.427504705167181</v>
      </c>
      <c r="M47" s="96">
        <v>14.790482682338443</v>
      </c>
      <c r="N47" s="96">
        <v>15.909782558006114</v>
      </c>
      <c r="O47" s="96">
        <v>21.926718896143484</v>
      </c>
      <c r="P47" s="96">
        <v>23.147523555371382</v>
      </c>
      <c r="Q47" s="96">
        <v>31.60419006508052</v>
      </c>
      <c r="R47" s="96">
        <v>33.902471573825096</v>
      </c>
      <c r="S47" s="96">
        <v>32.023153569717763</v>
      </c>
      <c r="T47" s="96">
        <v>27.638664934640005</v>
      </c>
      <c r="U47" s="96">
        <v>26.493242070582628</v>
      </c>
      <c r="V47" s="96">
        <v>20.270791711931416</v>
      </c>
      <c r="W47" s="96">
        <v>22.560599881282634</v>
      </c>
      <c r="X47" s="96">
        <v>0</v>
      </c>
      <c r="Y47" s="96">
        <v>0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0</v>
      </c>
      <c r="P48" s="96">
        <v>0</v>
      </c>
      <c r="Q48" s="96">
        <v>0</v>
      </c>
      <c r="R48" s="96">
        <v>0</v>
      </c>
      <c r="S48" s="96">
        <v>0</v>
      </c>
      <c r="T48" s="96">
        <v>0</v>
      </c>
      <c r="U48" s="96">
        <v>0</v>
      </c>
      <c r="V48" s="96">
        <v>0</v>
      </c>
      <c r="W48" s="96">
        <v>0</v>
      </c>
      <c r="X48" s="96">
        <v>0</v>
      </c>
      <c r="Y48" s="96">
        <v>0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X49" s="96">
        <v>0</v>
      </c>
      <c r="Y49" s="96">
        <v>0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X50" s="96">
        <v>0</v>
      </c>
      <c r="Y50" s="96">
        <v>0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0</v>
      </c>
      <c r="N51" s="96">
        <v>0</v>
      </c>
      <c r="O51" s="96">
        <v>0</v>
      </c>
      <c r="P51" s="96">
        <v>0</v>
      </c>
      <c r="Q51" s="96">
        <v>0</v>
      </c>
      <c r="R51" s="96">
        <v>0</v>
      </c>
      <c r="S51" s="96">
        <v>0</v>
      </c>
      <c r="T51" s="96">
        <v>0</v>
      </c>
      <c r="U51" s="96">
        <v>0</v>
      </c>
      <c r="V51" s="96">
        <v>0</v>
      </c>
      <c r="W51" s="96">
        <v>0</v>
      </c>
      <c r="X51" s="96">
        <v>0</v>
      </c>
      <c r="Y51" s="96">
        <v>0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1089.0578057786599</v>
      </c>
      <c r="C52" s="130">
        <f t="shared" si="34"/>
        <v>1107.7297906734177</v>
      </c>
      <c r="D52" s="130">
        <f t="shared" si="34"/>
        <v>1130.3780968204101</v>
      </c>
      <c r="E52" s="130">
        <f t="shared" si="34"/>
        <v>1119.2817736399738</v>
      </c>
      <c r="F52" s="130">
        <f t="shared" si="34"/>
        <v>1247.7841628643584</v>
      </c>
      <c r="G52" s="130">
        <f t="shared" si="34"/>
        <v>1158.7804589560949</v>
      </c>
      <c r="H52" s="130">
        <f t="shared" si="34"/>
        <v>1262.1066940453175</v>
      </c>
      <c r="I52" s="130">
        <f t="shared" si="34"/>
        <v>1305.3019631831673</v>
      </c>
      <c r="J52" s="130">
        <f t="shared" si="34"/>
        <v>1296.3491320372918</v>
      </c>
      <c r="K52" s="130">
        <f t="shared" si="34"/>
        <v>1688.572486874752</v>
      </c>
      <c r="L52" s="130">
        <f t="shared" ref="L52" si="35">L53+L55</f>
        <v>1451.5399860151474</v>
      </c>
      <c r="M52" s="130">
        <f t="shared" ref="M52:V52" si="36">M53+M55</f>
        <v>1136.7411807262947</v>
      </c>
      <c r="N52" s="130">
        <f t="shared" si="36"/>
        <v>797.38588628358684</v>
      </c>
      <c r="O52" s="130">
        <f t="shared" si="36"/>
        <v>949.48003666941145</v>
      </c>
      <c r="P52" s="130">
        <f t="shared" si="36"/>
        <v>1026.7986917143526</v>
      </c>
      <c r="Q52" s="130">
        <f t="shared" si="36"/>
        <v>888.6223267091566</v>
      </c>
      <c r="R52" s="130">
        <f t="shared" si="36"/>
        <v>936.09280249471055</v>
      </c>
      <c r="S52" s="130">
        <f t="shared" si="36"/>
        <v>944.45198272625191</v>
      </c>
      <c r="T52" s="130">
        <f t="shared" si="36"/>
        <v>983.29761280210141</v>
      </c>
      <c r="U52" s="130">
        <f t="shared" si="36"/>
        <v>1059.5379310085316</v>
      </c>
      <c r="V52" s="130">
        <f t="shared" si="36"/>
        <v>1047.5631082517937</v>
      </c>
      <c r="W52" s="130">
        <f t="shared" ref="W52:Y52" si="37">W53+W55</f>
        <v>1073.7795925201231</v>
      </c>
      <c r="X52" s="130">
        <f t="shared" si="37"/>
        <v>1115.9195985137799</v>
      </c>
      <c r="Y52" s="130">
        <f t="shared" si="37"/>
        <v>1080.9518361448177</v>
      </c>
      <c r="DA52" s="176" t="s">
        <v>401</v>
      </c>
    </row>
    <row r="53" spans="1:105" ht="11.45" customHeight="1" x14ac:dyDescent="0.25">
      <c r="A53" s="128" t="s">
        <v>27</v>
      </c>
      <c r="B53" s="97">
        <v>994.6051121113901</v>
      </c>
      <c r="C53" s="97">
        <v>1010.0031700876468</v>
      </c>
      <c r="D53" s="97">
        <v>1029.0646954057179</v>
      </c>
      <c r="E53" s="97">
        <v>929.15588995568828</v>
      </c>
      <c r="F53" s="97">
        <v>1130.6092126070937</v>
      </c>
      <c r="G53" s="97">
        <v>997.51889197111677</v>
      </c>
      <c r="H53" s="97">
        <v>1091.6228265872269</v>
      </c>
      <c r="I53" s="97">
        <v>1132.3390023988302</v>
      </c>
      <c r="J53" s="97">
        <v>1154.9008063054503</v>
      </c>
      <c r="K53" s="97">
        <v>1457.7271338743185</v>
      </c>
      <c r="L53" s="97">
        <v>1268.6975925293304</v>
      </c>
      <c r="M53" s="97">
        <v>969.27870526208335</v>
      </c>
      <c r="N53" s="97">
        <v>703.80761841935816</v>
      </c>
      <c r="O53" s="97">
        <v>776.54685856958724</v>
      </c>
      <c r="P53" s="97">
        <v>856.88915119430317</v>
      </c>
      <c r="Q53" s="97">
        <v>759.02919605618206</v>
      </c>
      <c r="R53" s="97">
        <v>790.91347101312317</v>
      </c>
      <c r="S53" s="97">
        <v>760.21526649543694</v>
      </c>
      <c r="T53" s="97">
        <v>794.25015860906865</v>
      </c>
      <c r="U53" s="97">
        <v>915.43795530380567</v>
      </c>
      <c r="V53" s="97">
        <v>857.31058953017362</v>
      </c>
      <c r="W53" s="97">
        <v>869.89832115498598</v>
      </c>
      <c r="X53" s="97">
        <v>888.4215751162734</v>
      </c>
      <c r="Y53" s="97">
        <v>839.68153718278995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21.85540239641514</v>
      </c>
      <c r="I54" s="97">
        <v>39.892169780009418</v>
      </c>
      <c r="J54" s="97">
        <v>34.029598044910202</v>
      </c>
      <c r="K54" s="97">
        <v>38.863869350823755</v>
      </c>
      <c r="L54" s="97">
        <v>61.790810938612715</v>
      </c>
      <c r="M54" s="97">
        <v>44.983988849217717</v>
      </c>
      <c r="N54" s="97">
        <v>42.13000777306808</v>
      </c>
      <c r="O54" s="97">
        <v>47.586049032749052</v>
      </c>
      <c r="P54" s="97">
        <v>54.608382846616976</v>
      </c>
      <c r="Q54" s="97">
        <v>49.509749537147059</v>
      </c>
      <c r="R54" s="97">
        <v>51.022386117937465</v>
      </c>
      <c r="S54" s="97">
        <v>54.516038573299539</v>
      </c>
      <c r="T54" s="97">
        <v>53.026822024518978</v>
      </c>
      <c r="U54" s="97">
        <v>58.263027621815525</v>
      </c>
      <c r="V54" s="97">
        <v>49.608723942174962</v>
      </c>
      <c r="W54" s="97">
        <v>51.751829660559501</v>
      </c>
      <c r="X54" s="97">
        <v>0</v>
      </c>
      <c r="Y54" s="97">
        <v>0</v>
      </c>
      <c r="DA54" s="175" t="s">
        <v>669</v>
      </c>
    </row>
    <row r="55" spans="1:105" ht="11.45" customHeight="1" x14ac:dyDescent="0.25">
      <c r="A55" s="128" t="s">
        <v>116</v>
      </c>
      <c r="B55" s="97">
        <v>94.452693667269827</v>
      </c>
      <c r="C55" s="97">
        <v>97.726620585770931</v>
      </c>
      <c r="D55" s="97">
        <v>101.31340141469214</v>
      </c>
      <c r="E55" s="97">
        <v>190.1258836842855</v>
      </c>
      <c r="F55" s="97">
        <v>117.1749502572648</v>
      </c>
      <c r="G55" s="97">
        <v>161.26156698497815</v>
      </c>
      <c r="H55" s="97">
        <v>170.48386745809046</v>
      </c>
      <c r="I55" s="97">
        <v>172.96296078433716</v>
      </c>
      <c r="J55" s="97">
        <v>141.44832573184149</v>
      </c>
      <c r="K55" s="97">
        <v>230.84535300043342</v>
      </c>
      <c r="L55" s="97">
        <v>182.84239348581684</v>
      </c>
      <c r="M55" s="97">
        <v>167.46247546421131</v>
      </c>
      <c r="N55" s="97">
        <v>93.578267864228692</v>
      </c>
      <c r="O55" s="97">
        <v>172.93317809982418</v>
      </c>
      <c r="P55" s="97">
        <v>169.90954052004946</v>
      </c>
      <c r="Q55" s="97">
        <v>129.59313065297459</v>
      </c>
      <c r="R55" s="97">
        <v>145.17933148158735</v>
      </c>
      <c r="S55" s="97">
        <v>184.23671623081501</v>
      </c>
      <c r="T55" s="97">
        <v>189.04745419303273</v>
      </c>
      <c r="U55" s="97">
        <v>144.09997570472598</v>
      </c>
      <c r="V55" s="97">
        <v>190.25251872162011</v>
      </c>
      <c r="W55" s="97">
        <v>203.88127136513705</v>
      </c>
      <c r="X55" s="97">
        <v>227.49802339750647</v>
      </c>
      <c r="Y55" s="97">
        <v>241.27029896202768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3.4132609126930369</v>
      </c>
      <c r="I56" s="98">
        <v>6.0934647509665414</v>
      </c>
      <c r="J56" s="98">
        <v>4.167829516180138</v>
      </c>
      <c r="K56" s="98">
        <v>6.1544739277845792</v>
      </c>
      <c r="L56" s="98">
        <v>8.9051794801008484</v>
      </c>
      <c r="M56" s="98">
        <v>7.7718927363699724</v>
      </c>
      <c r="N56" s="98">
        <v>5.601606247690718</v>
      </c>
      <c r="O56" s="98">
        <v>10.597179811667383</v>
      </c>
      <c r="P56" s="98">
        <v>10.828104457944885</v>
      </c>
      <c r="Q56" s="98">
        <v>8.4530654073662763</v>
      </c>
      <c r="R56" s="98">
        <v>9.3656211187161258</v>
      </c>
      <c r="S56" s="98">
        <v>13.21185770835535</v>
      </c>
      <c r="T56" s="98">
        <v>12.621446277376787</v>
      </c>
      <c r="U56" s="98">
        <v>9.1712396412503114</v>
      </c>
      <c r="V56" s="98">
        <v>11.009061121870277</v>
      </c>
      <c r="W56" s="98">
        <v>12.129266800581645</v>
      </c>
      <c r="X56" s="98">
        <v>0</v>
      </c>
      <c r="Y56" s="98">
        <v>0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11.797295345138936</v>
      </c>
      <c r="C60" s="79">
        <f>IF(C17=0,0,C17/TrRoad_act!C30*100)</f>
        <v>11.234163161757063</v>
      </c>
      <c r="D60" s="79">
        <f>IF(D17=0,0,D17/TrRoad_act!D30*100)</f>
        <v>10.900729359778371</v>
      </c>
      <c r="E60" s="79">
        <f>IF(E17=0,0,E17/TrRoad_act!E30*100)</f>
        <v>11.086645390651336</v>
      </c>
      <c r="F60" s="79">
        <f>IF(F17=0,0,F17/TrRoad_act!F30*100)</f>
        <v>10.390471147954591</v>
      </c>
      <c r="G60" s="79">
        <f>IF(G17=0,0,G17/TrRoad_act!G30*100)</f>
        <v>10.202832678804121</v>
      </c>
      <c r="H60" s="79">
        <f>IF(H17=0,0,H17/TrRoad_act!H30*100)</f>
        <v>9.9959778589156016</v>
      </c>
      <c r="I60" s="79">
        <f>IF(I17=0,0,I17/TrRoad_act!I30*100)</f>
        <v>9.9280797682320934</v>
      </c>
      <c r="J60" s="79">
        <f>IF(J17=0,0,J17/TrRoad_act!J30*100)</f>
        <v>9.266157512462037</v>
      </c>
      <c r="K60" s="79">
        <f>IF(K17=0,0,K17/TrRoad_act!K30*100)</f>
        <v>9.9887393071312864</v>
      </c>
      <c r="L60" s="79">
        <f>IF(L17=0,0,L17/TrRoad_act!L30*100)</f>
        <v>9.0309826802975603</v>
      </c>
      <c r="M60" s="79">
        <f>IF(M17=0,0,M17/TrRoad_act!M30*100)</f>
        <v>8.9531437108709948</v>
      </c>
      <c r="N60" s="79">
        <f>IF(N17=0,0,N17/TrRoad_act!N30*100)</f>
        <v>8.314423886833918</v>
      </c>
      <c r="O60" s="79">
        <f>IF(O17=0,0,O17/TrRoad_act!O30*100)</f>
        <v>8.6630596106195181</v>
      </c>
      <c r="P60" s="79">
        <f>IF(P17=0,0,P17/TrRoad_act!P30*100)</f>
        <v>8.5935360031238339</v>
      </c>
      <c r="Q60" s="79">
        <f>IF(Q17=0,0,Q17/TrRoad_act!Q30*100)</f>
        <v>8.4352963497891071</v>
      </c>
      <c r="R60" s="79">
        <f>IF(R17=0,0,R17/TrRoad_act!R30*100)</f>
        <v>8.3933134557040834</v>
      </c>
      <c r="S60" s="79">
        <f>IF(S17=0,0,S17/TrRoad_act!S30*100)</f>
        <v>8.3543107646544463</v>
      </c>
      <c r="T60" s="79">
        <f>IF(T17=0,0,T17/TrRoad_act!T30*100)</f>
        <v>8.3292974738966308</v>
      </c>
      <c r="U60" s="79">
        <f>IF(U17=0,0,U17/TrRoad_act!U30*100)</f>
        <v>8.380963205960489</v>
      </c>
      <c r="V60" s="79">
        <f>IF(V17=0,0,V17/TrRoad_act!V30*100)</f>
        <v>8.0042372160032453</v>
      </c>
      <c r="W60" s="79">
        <f>IF(W17=0,0,W17/TrRoad_act!W30*100)</f>
        <v>8.1549477701194313</v>
      </c>
      <c r="X60" s="79">
        <f>IF(X17=0,0,X17/TrRoad_act!X30*100)</f>
        <v>8.2363196896051978</v>
      </c>
      <c r="Y60" s="79">
        <f>IF(Y17=0,0,Y17/TrRoad_act!Y30*100)</f>
        <v>8.2468138841155429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9.5172547293577949</v>
      </c>
      <c r="C61" s="32">
        <f>IF(C18=0,0,C18/TrRoad_act!C31*100)</f>
        <v>9.0554119630384715</v>
      </c>
      <c r="D61" s="32">
        <f>IF(D18=0,0,D18/TrRoad_act!D31*100)</f>
        <v>8.8212421937834673</v>
      </c>
      <c r="E61" s="32">
        <f>IF(E18=0,0,E18/TrRoad_act!E31*100)</f>
        <v>9.0252373366368346</v>
      </c>
      <c r="F61" s="32">
        <f>IF(F18=0,0,F18/TrRoad_act!F31*100)</f>
        <v>8.3712253537315782</v>
      </c>
      <c r="G61" s="32">
        <f>IF(G18=0,0,G18/TrRoad_act!G31*100)</f>
        <v>8.3402396005541544</v>
      </c>
      <c r="H61" s="32">
        <f>IF(H18=0,0,H18/TrRoad_act!H31*100)</f>
        <v>8.1102410297926966</v>
      </c>
      <c r="I61" s="32">
        <f>IF(I18=0,0,I18/TrRoad_act!I31*100)</f>
        <v>8.0818914884891004</v>
      </c>
      <c r="J61" s="32">
        <f>IF(J18=0,0,J18/TrRoad_act!J31*100)</f>
        <v>7.471453637763716</v>
      </c>
      <c r="K61" s="32">
        <f>IF(K18=0,0,K18/TrRoad_act!K31*100)</f>
        <v>7.7405720110105545</v>
      </c>
      <c r="L61" s="32">
        <f>IF(L18=0,0,L18/TrRoad_act!L31*100)</f>
        <v>7.0402200388192799</v>
      </c>
      <c r="M61" s="32">
        <f>IF(M18=0,0,M18/TrRoad_act!M31*100)</f>
        <v>7.2662491834828815</v>
      </c>
      <c r="N61" s="32">
        <f>IF(N18=0,0,N18/TrRoad_act!N31*100)</f>
        <v>6.974314439331315</v>
      </c>
      <c r="O61" s="32">
        <f>IF(O18=0,0,O18/TrRoad_act!O31*100)</f>
        <v>6.9793235914105898</v>
      </c>
      <c r="P61" s="32">
        <f>IF(P18=0,0,P18/TrRoad_act!P31*100)</f>
        <v>6.7852803976765044</v>
      </c>
      <c r="Q61" s="32">
        <f>IF(Q18=0,0,Q18/TrRoad_act!Q31*100)</f>
        <v>6.9189783110201075</v>
      </c>
      <c r="R61" s="32">
        <f>IF(R18=0,0,R18/TrRoad_act!R31*100)</f>
        <v>6.835710506023962</v>
      </c>
      <c r="S61" s="32">
        <f>IF(S18=0,0,S18/TrRoad_act!S31*100)</f>
        <v>6.7737540716355378</v>
      </c>
      <c r="T61" s="32">
        <f>IF(T18=0,0,T18/TrRoad_act!T31*100)</f>
        <v>6.6824676835267338</v>
      </c>
      <c r="U61" s="32">
        <f>IF(U18=0,0,U18/TrRoad_act!U31*100)</f>
        <v>6.6576238538925523</v>
      </c>
      <c r="V61" s="32">
        <f>IF(V18=0,0,V18/TrRoad_act!V31*100)</f>
        <v>6.071214063314164</v>
      </c>
      <c r="W61" s="32">
        <f>IF(W18=0,0,W18/TrRoad_act!W31*100)</f>
        <v>6.3095350845675924</v>
      </c>
      <c r="X61" s="32">
        <f>IF(X18=0,0,X18/TrRoad_act!X31*100)</f>
        <v>6.4016564925604857</v>
      </c>
      <c r="Y61" s="32">
        <f>IF(Y18=0,0,Y18/TrRoad_act!Y31*100)</f>
        <v>6.5468352143078983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4.4585772010610487</v>
      </c>
      <c r="C62" s="141">
        <f>IF(C19=0,0,C19/TrRoad_act!C32*100)</f>
        <v>4.5682853753799391</v>
      </c>
      <c r="D62" s="141">
        <f>IF(D19=0,0,D19/TrRoad_act!D32*100)</f>
        <v>4.5338705270736162</v>
      </c>
      <c r="E62" s="141">
        <f>IF(E19=0,0,E19/TrRoad_act!E32*100)</f>
        <v>4.4813253039398804</v>
      </c>
      <c r="F62" s="141">
        <f>IF(F19=0,0,F19/TrRoad_act!F32*100)</f>
        <v>4.3471004696149311</v>
      </c>
      <c r="G62" s="141">
        <f>IF(G19=0,0,G19/TrRoad_act!G32*100)</f>
        <v>4.3741569252214667</v>
      </c>
      <c r="H62" s="141">
        <f>IF(H19=0,0,H19/TrRoad_act!H32*100)</f>
        <v>4.2116139420775065</v>
      </c>
      <c r="I62" s="141">
        <f>IF(I19=0,0,I19/TrRoad_act!I32*100)</f>
        <v>4.1204104752351425</v>
      </c>
      <c r="J62" s="141">
        <f>IF(J19=0,0,J19/TrRoad_act!J32*100)</f>
        <v>4.1338698368855429</v>
      </c>
      <c r="K62" s="141">
        <f>IF(K19=0,0,K19/TrRoad_act!K32*100)</f>
        <v>4.1456918833405085</v>
      </c>
      <c r="L62" s="141">
        <f>IF(L19=0,0,L19/TrRoad_act!L32*100)</f>
        <v>4.1062414389381736</v>
      </c>
      <c r="M62" s="141">
        <f>IF(M19=0,0,M19/TrRoad_act!M32*100)</f>
        <v>4.0555420416379588</v>
      </c>
      <c r="N62" s="141">
        <f>IF(N19=0,0,N19/TrRoad_act!N32*100)</f>
        <v>3.9804505348715407</v>
      </c>
      <c r="O62" s="141">
        <f>IF(O19=0,0,O19/TrRoad_act!O32*100)</f>
        <v>3.9072210851229436</v>
      </c>
      <c r="P62" s="141">
        <f>IF(P19=0,0,P19/TrRoad_act!P32*100)</f>
        <v>3.758557541879977</v>
      </c>
      <c r="Q62" s="141">
        <f>IF(Q19=0,0,Q19/TrRoad_act!Q32*100)</f>
        <v>3.7064829126063938</v>
      </c>
      <c r="R62" s="141">
        <f>IF(R19=0,0,R19/TrRoad_act!R32*100)</f>
        <v>3.6632442869944817</v>
      </c>
      <c r="S62" s="141">
        <f>IF(S19=0,0,S19/TrRoad_act!S32*100)</f>
        <v>3.6403824312918704</v>
      </c>
      <c r="T62" s="141">
        <f>IF(T19=0,0,T19/TrRoad_act!T32*100)</f>
        <v>3.5766060325206595</v>
      </c>
      <c r="U62" s="141">
        <f>IF(U19=0,0,U19/TrRoad_act!U32*100)</f>
        <v>3.531431481246277</v>
      </c>
      <c r="V62" s="141">
        <f>IF(V19=0,0,V19/TrRoad_act!V32*100)</f>
        <v>3.4925333239331646</v>
      </c>
      <c r="W62" s="141">
        <f>IF(W19=0,0,W19/TrRoad_act!W32*100)</f>
        <v>3.4582016890325198</v>
      </c>
      <c r="X62" s="141">
        <f>IF(X19=0,0,X19/TrRoad_act!X32*100)</f>
        <v>3.437880577032741</v>
      </c>
      <c r="Y62" s="141">
        <f>IF(Y19=0,0,Y19/TrRoad_act!Y32*100)</f>
        <v>3.3567159663481534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8.5814009569541962</v>
      </c>
      <c r="C63" s="130">
        <f>IF(C21=0,0,C21/TrRoad_act!C33*100)</f>
        <v>8.2069255043960538</v>
      </c>
      <c r="D63" s="130">
        <f>IF(D21=0,0,D21/TrRoad_act!D33*100)</f>
        <v>8.0610417617765684</v>
      </c>
      <c r="E63" s="130">
        <f>IF(E21=0,0,E21/TrRoad_act!E33*100)</f>
        <v>7.9833196467862448</v>
      </c>
      <c r="F63" s="130">
        <f>IF(F21=0,0,F21/TrRoad_act!F33*100)</f>
        <v>7.7416254410596128</v>
      </c>
      <c r="G63" s="130">
        <f>IF(G21=0,0,G21/TrRoad_act!G33*100)</f>
        <v>7.6072451143380642</v>
      </c>
      <c r="H63" s="130">
        <f>IF(H21=0,0,H21/TrRoad_act!H33*100)</f>
        <v>7.417077757983602</v>
      </c>
      <c r="I63" s="130">
        <f>IF(I21=0,0,I21/TrRoad_act!I33*100)</f>
        <v>7.4036085851289597</v>
      </c>
      <c r="J63" s="130">
        <f>IF(J21=0,0,J21/TrRoad_act!J33*100)</f>
        <v>6.8723379177995074</v>
      </c>
      <c r="K63" s="130">
        <f>IF(K21=0,0,K21/TrRoad_act!K33*100)</f>
        <v>6.9922701189280874</v>
      </c>
      <c r="L63" s="130">
        <f>IF(L21=0,0,L21/TrRoad_act!L33*100)</f>
        <v>6.412151978695027</v>
      </c>
      <c r="M63" s="130">
        <f>IF(M21=0,0,M21/TrRoad_act!M33*100)</f>
        <v>6.5701016360026108</v>
      </c>
      <c r="N63" s="130">
        <f>IF(N21=0,0,N21/TrRoad_act!N33*100)</f>
        <v>6.404054667219075</v>
      </c>
      <c r="O63" s="130">
        <f>IF(O21=0,0,O21/TrRoad_act!O33*100)</f>
        <v>6.2367925365377355</v>
      </c>
      <c r="P63" s="130">
        <f>IF(P21=0,0,P21/TrRoad_act!P33*100)</f>
        <v>6.0933648953051849</v>
      </c>
      <c r="Q63" s="130">
        <f>IF(Q21=0,0,Q21/TrRoad_act!Q33*100)</f>
        <v>6.3219868162724655</v>
      </c>
      <c r="R63" s="130">
        <f>IF(R21=0,0,R21/TrRoad_act!R33*100)</f>
        <v>6.2389165689920176</v>
      </c>
      <c r="S63" s="130">
        <f>IF(S21=0,0,S21/TrRoad_act!S33*100)</f>
        <v>6.132507397355524</v>
      </c>
      <c r="T63" s="130">
        <f>IF(T21=0,0,T21/TrRoad_act!T33*100)</f>
        <v>5.9951424784103509</v>
      </c>
      <c r="U63" s="130">
        <f>IF(U21=0,0,U21/TrRoad_act!U33*100)</f>
        <v>5.9758035969664549</v>
      </c>
      <c r="V63" s="130">
        <f>IF(V21=0,0,V21/TrRoad_act!V33*100)</f>
        <v>5.2060042635130133</v>
      </c>
      <c r="W63" s="130">
        <f>IF(W21=0,0,W21/TrRoad_act!W33*100)</f>
        <v>5.5523539896533753</v>
      </c>
      <c r="X63" s="130">
        <f>IF(X21=0,0,X21/TrRoad_act!X33*100)</f>
        <v>5.659301758920015</v>
      </c>
      <c r="Y63" s="130">
        <f>IF(Y21=0,0,Y21/TrRoad_act!Y33*100)</f>
        <v>5.8640163915218961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8.702951789950621</v>
      </c>
      <c r="C64" s="96">
        <f>IF(C22=0,0,C22/TrRoad_act!C34*100)</f>
        <v>8.2867602987773505</v>
      </c>
      <c r="D64" s="96">
        <f>IF(D22=0,0,D22/TrRoad_act!D34*100)</f>
        <v>8.1326110103687697</v>
      </c>
      <c r="E64" s="96">
        <f>IF(E22=0,0,E22/TrRoad_act!E34*100)</f>
        <v>8.0605157529935116</v>
      </c>
      <c r="F64" s="96">
        <f>IF(F22=0,0,F22/TrRoad_act!F34*100)</f>
        <v>7.7949123882922935</v>
      </c>
      <c r="G64" s="96">
        <f>IF(G22=0,0,G22/TrRoad_act!G34*100)</f>
        <v>7.649917683668396</v>
      </c>
      <c r="H64" s="96">
        <f>IF(H22=0,0,H22/TrRoad_act!H34*100)</f>
        <v>7.456139417517341</v>
      </c>
      <c r="I64" s="96">
        <f>IF(I22=0,0,I22/TrRoad_act!I34*100)</f>
        <v>7.4323653052014853</v>
      </c>
      <c r="J64" s="96">
        <f>IF(J22=0,0,J22/TrRoad_act!J34*100)</f>
        <v>6.8881975149897228</v>
      </c>
      <c r="K64" s="96">
        <f>IF(K22=0,0,K22/TrRoad_act!K34*100)</f>
        <v>6.9897935182215916</v>
      </c>
      <c r="L64" s="96">
        <f>IF(L22=0,0,L22/TrRoad_act!L34*100)</f>
        <v>6.3629665859589606</v>
      </c>
      <c r="M64" s="96">
        <f>IF(M22=0,0,M22/TrRoad_act!M34*100)</f>
        <v>6.3133680978298887</v>
      </c>
      <c r="N64" s="96">
        <f>IF(N22=0,0,N22/TrRoad_act!N34*100)</f>
        <v>6.2612158450089144</v>
      </c>
      <c r="O64" s="96">
        <f>IF(O22=0,0,O22/TrRoad_act!O34*100)</f>
        <v>6.1441376990608196</v>
      </c>
      <c r="P64" s="96">
        <f>IF(P22=0,0,P22/TrRoad_act!P34*100)</f>
        <v>6.0796575069300394</v>
      </c>
      <c r="Q64" s="96">
        <f>IF(Q22=0,0,Q22/TrRoad_act!Q34*100)</f>
        <v>5.9358125463081262</v>
      </c>
      <c r="R64" s="96">
        <f>IF(R22=0,0,R22/TrRoad_act!R34*100)</f>
        <v>5.8867515481792063</v>
      </c>
      <c r="S64" s="96">
        <f>IF(S22=0,0,S22/TrRoad_act!S34*100)</f>
        <v>5.7421252090048789</v>
      </c>
      <c r="T64" s="96">
        <f>IF(T22=0,0,T22/TrRoad_act!T34*100)</f>
        <v>5.6553525687217023</v>
      </c>
      <c r="U64" s="96">
        <f>IF(U22=0,0,U22/TrRoad_act!U34*100)</f>
        <v>5.6536365791137495</v>
      </c>
      <c r="V64" s="96">
        <f>IF(V22=0,0,V22/TrRoad_act!V34*100)</f>
        <v>4.9920145154205686</v>
      </c>
      <c r="W64" s="96">
        <f>IF(W22=0,0,W22/TrRoad_act!W34*100)</f>
        <v>5.2445202105831363</v>
      </c>
      <c r="X64" s="96">
        <f>IF(X22=0,0,X22/TrRoad_act!X34*100)</f>
        <v>5.2769603062466626</v>
      </c>
      <c r="Y64" s="96">
        <f>IF(Y22=0,0,Y22/TrRoad_act!Y34*100)</f>
        <v>5.3759317987035047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6.9063732446517925</v>
      </c>
      <c r="C65" s="96">
        <f>IF(C24=0,0,C24/TrRoad_act!C35*100)</f>
        <v>6.841804542570304</v>
      </c>
      <c r="D65" s="96">
        <f>IF(D24=0,0,D24/TrRoad_act!D35*100)</f>
        <v>6.7338449411733201</v>
      </c>
      <c r="E65" s="96">
        <f>IF(E24=0,0,E24/TrRoad_act!E35*100)</f>
        <v>6.653401845706056</v>
      </c>
      <c r="F65" s="96">
        <f>IF(F24=0,0,F24/TrRoad_act!F35*100)</f>
        <v>6.6170122826196911</v>
      </c>
      <c r="G65" s="96">
        <f>IF(G24=0,0,G24/TrRoad_act!G35*100)</f>
        <v>6.6451131158422845</v>
      </c>
      <c r="H65" s="96">
        <f>IF(H24=0,0,H24/TrRoad_act!H35*100)</f>
        <v>6.5725437331512886</v>
      </c>
      <c r="I65" s="96">
        <f>IF(I24=0,0,I24/TrRoad_act!I35*100)</f>
        <v>6.7544573777972436</v>
      </c>
      <c r="J65" s="96">
        <f>IF(J24=0,0,J24/TrRoad_act!J35*100)</f>
        <v>6.4013592788231417</v>
      </c>
      <c r="K65" s="96">
        <f>IF(K24=0,0,K24/TrRoad_act!K35*100)</f>
        <v>6.9039473031504235</v>
      </c>
      <c r="L65" s="96">
        <f>IF(L24=0,0,L24/TrRoad_act!L35*100)</f>
        <v>6.9222117302058681</v>
      </c>
      <c r="M65" s="96">
        <f>IF(M24=0,0,M24/TrRoad_act!M35*100)</f>
        <v>7.1920694590353884</v>
      </c>
      <c r="N65" s="96">
        <f>IF(N24=0,0,N24/TrRoad_act!N35*100)</f>
        <v>8.1657610410730364</v>
      </c>
      <c r="O65" s="96">
        <f>IF(O24=0,0,O24/TrRoad_act!O35*100)</f>
        <v>5.4162801062801762</v>
      </c>
      <c r="P65" s="96">
        <f>IF(P24=0,0,P24/TrRoad_act!P35*100)</f>
        <v>4.3195654385205673</v>
      </c>
      <c r="Q65" s="96">
        <f>IF(Q24=0,0,Q24/TrRoad_act!Q35*100)</f>
        <v>9.0260708389506803</v>
      </c>
      <c r="R65" s="96">
        <f>IF(R24=0,0,R24/TrRoad_act!R35*100)</f>
        <v>8.3726582873018813</v>
      </c>
      <c r="S65" s="96">
        <f>IF(S24=0,0,S24/TrRoad_act!S35*100)</f>
        <v>8.1560471836432828</v>
      </c>
      <c r="T65" s="96">
        <f>IF(T24=0,0,T24/TrRoad_act!T35*100)</f>
        <v>7.1984744357410326</v>
      </c>
      <c r="U65" s="96">
        <f>IF(U24=0,0,U24/TrRoad_act!U35*100)</f>
        <v>6.7792373687720549</v>
      </c>
      <c r="V65" s="96">
        <f>IF(V24=0,0,V24/TrRoad_act!V35*100)</f>
        <v>5.3167301207980211</v>
      </c>
      <c r="W65" s="96">
        <f>IF(W24=0,0,W24/TrRoad_act!W35*100)</f>
        <v>6.1690733929782544</v>
      </c>
      <c r="X65" s="96">
        <f>IF(X24=0,0,X24/TrRoad_act!X35*100)</f>
        <v>6.6212789814102324</v>
      </c>
      <c r="Y65" s="96">
        <f>IF(Y24=0,0,Y24/TrRoad_act!Y35*100)</f>
        <v>7.3553524577884541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9.2167119620874125</v>
      </c>
      <c r="C66" s="96">
        <f>IF(C26=0,0,C26/TrRoad_act!C36*100)</f>
        <v>10.067371683745577</v>
      </c>
      <c r="D66" s="96">
        <f>IF(D26=0,0,D26/TrRoad_act!D36*100)</f>
        <v>10.282261933710519</v>
      </c>
      <c r="E66" s="96">
        <f>IF(E26=0,0,E26/TrRoad_act!E36*100)</f>
        <v>9.274397021362315</v>
      </c>
      <c r="F66" s="96">
        <f>IF(F26=0,0,F26/TrRoad_act!F36*100)</f>
        <v>9.2978805204053305</v>
      </c>
      <c r="G66" s="96">
        <f>IF(G26=0,0,G26/TrRoad_act!G36*100)</f>
        <v>9.3086979301491048</v>
      </c>
      <c r="H66" s="96">
        <f>IF(H26=0,0,H26/TrRoad_act!H36*100)</f>
        <v>9.216074639756954</v>
      </c>
      <c r="I66" s="96">
        <f>IF(I26=0,0,I26/TrRoad_act!I36*100)</f>
        <v>9.070228293722792</v>
      </c>
      <c r="J66" s="96">
        <f>IF(J26=0,0,J26/TrRoad_act!J36*100)</f>
        <v>8.9909211972155898</v>
      </c>
      <c r="K66" s="96">
        <f>IF(K26=0,0,K26/TrRoad_act!K36*100)</f>
        <v>8.4900514667195424</v>
      </c>
      <c r="L66" s="96">
        <f>IF(L26=0,0,L26/TrRoad_act!L36*100)</f>
        <v>8.2881362601235615</v>
      </c>
      <c r="M66" s="96">
        <f>IF(M26=0,0,M26/TrRoad_act!M36*100)</f>
        <v>13.642449415308075</v>
      </c>
      <c r="N66" s="96">
        <f>IF(N26=0,0,N26/TrRoad_act!N36*100)</f>
        <v>8.297222051924301</v>
      </c>
      <c r="O66" s="96">
        <f>IF(O26=0,0,O26/TrRoad_act!O36*100)</f>
        <v>8.1512531272409809</v>
      </c>
      <c r="P66" s="96">
        <f>IF(P26=0,0,P26/TrRoad_act!P36*100)</f>
        <v>8.1388268713912701</v>
      </c>
      <c r="Q66" s="96">
        <f>IF(Q26=0,0,Q26/TrRoad_act!Q36*100)</f>
        <v>8.202482841352257</v>
      </c>
      <c r="R66" s="96">
        <f>IF(R26=0,0,R26/TrRoad_act!R36*100)</f>
        <v>7.4512015204631634</v>
      </c>
      <c r="S66" s="96">
        <f>IF(S26=0,0,S26/TrRoad_act!S36*100)</f>
        <v>7.3327321485148271</v>
      </c>
      <c r="T66" s="96">
        <f>IF(T26=0,0,T26/TrRoad_act!T36*100)</f>
        <v>7.2976989007399853</v>
      </c>
      <c r="U66" s="96">
        <f>IF(U26=0,0,U26/TrRoad_act!U36*100)</f>
        <v>7.3492663471675632</v>
      </c>
      <c r="V66" s="96">
        <f>IF(V26=0,0,V26/TrRoad_act!V36*100)</f>
        <v>7.229393021302891</v>
      </c>
      <c r="W66" s="96">
        <f>IF(W26=0,0,W26/TrRoad_act!W36*100)</f>
        <v>7.2270176754859889</v>
      </c>
      <c r="X66" s="96">
        <f>IF(X26=0,0,X26/TrRoad_act!X36*100)</f>
        <v>7.1927675423095225</v>
      </c>
      <c r="Y66" s="96">
        <f>IF(Y26=0,0,Y26/TrRoad_act!Y36*100)</f>
        <v>7.1266992073133819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9.0361099510594407</v>
      </c>
      <c r="D67" s="96">
        <f>IF(D27=0,0,D27/TrRoad_act!D37*100)</f>
        <v>9.0196275340999321</v>
      </c>
      <c r="E67" s="96">
        <f>IF(E27=0,0,E27/TrRoad_act!E37*100)</f>
        <v>9.0065069997691332</v>
      </c>
      <c r="F67" s="96">
        <f>IF(F27=0,0,F27/TrRoad_act!F37*100)</f>
        <v>9.0053126581398377</v>
      </c>
      <c r="G67" s="96">
        <f>IF(G27=0,0,G27/TrRoad_act!G37*100)</f>
        <v>8.9791442840555824</v>
      </c>
      <c r="H67" s="96">
        <f>IF(H27=0,0,H27/TrRoad_act!H37*100)</f>
        <v>8.9524100952759191</v>
      </c>
      <c r="I67" s="96">
        <f>IF(I27=0,0,I27/TrRoad_act!I37*100)</f>
        <v>8.8824135925668113</v>
      </c>
      <c r="J67" s="96">
        <f>IF(J27=0,0,J27/TrRoad_act!J37*100)</f>
        <v>8.8658508413496406</v>
      </c>
      <c r="K67" s="96">
        <f>IF(K27=0,0,K27/TrRoad_act!K37*100)</f>
        <v>8.4958259937609863</v>
      </c>
      <c r="L67" s="96">
        <f>IF(L27=0,0,L27/TrRoad_act!L37*100)</f>
        <v>8.2827109578782103</v>
      </c>
      <c r="M67" s="96">
        <f>IF(M27=0,0,M27/TrRoad_act!M37*100)</f>
        <v>8.0928715399368354</v>
      </c>
      <c r="N67" s="96">
        <f>IF(N27=0,0,N27/TrRoad_act!N37*100)</f>
        <v>8.0357763402889919</v>
      </c>
      <c r="O67" s="96">
        <f>IF(O27=0,0,O27/TrRoad_act!O37*100)</f>
        <v>7.9864314561578693</v>
      </c>
      <c r="P67" s="96">
        <f>IF(P27=0,0,P27/TrRoad_act!P37*100)</f>
        <v>7.9502410009735556</v>
      </c>
      <c r="Q67" s="96">
        <f>IF(Q27=0,0,Q27/TrRoad_act!Q37*100)</f>
        <v>7.363076290245786</v>
      </c>
      <c r="R67" s="96">
        <f>IF(R27=0,0,R27/TrRoad_act!R37*100)</f>
        <v>7.1268529944869572</v>
      </c>
      <c r="S67" s="96">
        <f>IF(S27=0,0,S27/TrRoad_act!S37*100)</f>
        <v>6.9876386153514467</v>
      </c>
      <c r="T67" s="96">
        <f>IF(T27=0,0,T27/TrRoad_act!T37*100)</f>
        <v>6.8198999976485597</v>
      </c>
      <c r="U67" s="96">
        <f>IF(U27=0,0,U27/TrRoad_act!U37*100)</f>
        <v>6.4840504711507627</v>
      </c>
      <c r="V67" s="96">
        <f>IF(V27=0,0,V27/TrRoad_act!V37*100)</f>
        <v>5.6916676615453081</v>
      </c>
      <c r="W67" s="96">
        <f>IF(W27=0,0,W27/TrRoad_act!W37*100)</f>
        <v>5.1071234191629271</v>
      </c>
      <c r="X67" s="96">
        <f>IF(X27=0,0,X27/TrRoad_act!X37*100)</f>
        <v>5.0009119406497407</v>
      </c>
      <c r="Y67" s="96">
        <f>IF(Y27=0,0,Y27/TrRoad_act!Y37*100)</f>
        <v>4.921477789302827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2.4362722533572656</v>
      </c>
      <c r="O68" s="96">
        <f>IF(O29=0,0,O29/TrRoad_act!O38*100)</f>
        <v>1.5011750232578491</v>
      </c>
      <c r="P68" s="96">
        <f>IF(P29=0,0,P29/TrRoad_act!P38*100)</f>
        <v>1.9417956503997631</v>
      </c>
      <c r="Q68" s="96">
        <f>IF(Q29=0,0,Q29/TrRoad_act!Q38*100)</f>
        <v>2.2031508128332202</v>
      </c>
      <c r="R68" s="96">
        <f>IF(R29=0,0,R29/TrRoad_act!R38*100)</f>
        <v>3.0002762946320418</v>
      </c>
      <c r="S68" s="96">
        <f>IF(S29=0,0,S29/TrRoad_act!S38*100)</f>
        <v>3.2070294787129852</v>
      </c>
      <c r="T68" s="96">
        <f>IF(T29=0,0,T29/TrRoad_act!T38*100)</f>
        <v>3.4142415240526387</v>
      </c>
      <c r="U68" s="96">
        <f>IF(U29=0,0,U29/TrRoad_act!U38*100)</f>
        <v>3.5408866424824779</v>
      </c>
      <c r="V68" s="96">
        <f>IF(V29=0,0,V29/TrRoad_act!V38*100)</f>
        <v>3.1027822422563895</v>
      </c>
      <c r="W68" s="96">
        <f>IF(W29=0,0,W29/TrRoad_act!W38*100)</f>
        <v>3.0311671170461003</v>
      </c>
      <c r="X68" s="96">
        <f>IF(X29=0,0,X29/TrRoad_act!X38*100)</f>
        <v>3.0122254288856123</v>
      </c>
      <c r="Y68" s="96">
        <f>IF(Y29=0,0,Y29/TrRoad_act!Y38*100)</f>
        <v>2.9266664663872315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0</v>
      </c>
      <c r="L69" s="96">
        <f>IF(L32=0,0,L32/TrRoad_act!L39*100)</f>
        <v>0</v>
      </c>
      <c r="M69" s="96">
        <f>IF(M32=0,0,M32/TrRoad_act!M39*100)</f>
        <v>0</v>
      </c>
      <c r="N69" s="96">
        <f>IF(N32=0,0,N32/TrRoad_act!N39*100)</f>
        <v>1.1436115978127528</v>
      </c>
      <c r="O69" s="96">
        <f>IF(O32=0,0,O32/TrRoad_act!O39*100)</f>
        <v>1.1970365661863185</v>
      </c>
      <c r="P69" s="96">
        <f>IF(P32=0,0,P32/TrRoad_act!P39*100)</f>
        <v>1.1948035901846581</v>
      </c>
      <c r="Q69" s="96">
        <f>IF(Q32=0,0,Q32/TrRoad_act!Q39*100)</f>
        <v>1.2563290846085551</v>
      </c>
      <c r="R69" s="96">
        <f>IF(R32=0,0,R32/TrRoad_act!R39*100)</f>
        <v>1.265842941339725</v>
      </c>
      <c r="S69" s="96">
        <f>IF(S32=0,0,S32/TrRoad_act!S39*100)</f>
        <v>1.2527019425178614</v>
      </c>
      <c r="T69" s="96">
        <f>IF(T32=0,0,T32/TrRoad_act!T39*100)</f>
        <v>1.2808860420162271</v>
      </c>
      <c r="U69" s="96">
        <f>IF(U32=0,0,U32/TrRoad_act!U39*100)</f>
        <v>1.4644725662055018</v>
      </c>
      <c r="V69" s="96">
        <f>IF(V32=0,0,V32/TrRoad_act!V39*100)</f>
        <v>1.6027248463239008</v>
      </c>
      <c r="W69" s="96">
        <f>IF(W32=0,0,W32/TrRoad_act!W39*100)</f>
        <v>1.6045680806530662</v>
      </c>
      <c r="X69" s="96">
        <f>IF(X32=0,0,X32/TrRoad_act!X39*100)</f>
        <v>1.5982349267644376</v>
      </c>
      <c r="Y69" s="96">
        <f>IF(Y32=0,0,Y32/TrRoad_act!Y39*100)</f>
        <v>1.5917383304198773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72.63657970318225</v>
      </c>
      <c r="C70" s="130">
        <f>IF(C33=0,0,C33/TrRoad_act!C40*100)</f>
        <v>69.322889779750767</v>
      </c>
      <c r="D70" s="130">
        <f>IF(D33=0,0,D33/TrRoad_act!D40*100)</f>
        <v>67.72835364866981</v>
      </c>
      <c r="E70" s="130">
        <f>IF(E33=0,0,E33/TrRoad_act!E40*100)</f>
        <v>86.526192682998897</v>
      </c>
      <c r="F70" s="130">
        <f>IF(F33=0,0,F33/TrRoad_act!F40*100)</f>
        <v>65.811784731160913</v>
      </c>
      <c r="G70" s="130">
        <f>IF(G33=0,0,G33/TrRoad_act!G40*100)</f>
        <v>73.283578330663588</v>
      </c>
      <c r="H70" s="130">
        <f>IF(H33=0,0,H33/TrRoad_act!H40*100)</f>
        <v>69.508319188124403</v>
      </c>
      <c r="I70" s="130">
        <f>IF(I33=0,0,I33/TrRoad_act!I40*100)</f>
        <v>71.466853999521263</v>
      </c>
      <c r="J70" s="130">
        <f>IF(J33=0,0,J33/TrRoad_act!J40*100)</f>
        <v>67.096886514943662</v>
      </c>
      <c r="K70" s="130">
        <f>IF(K33=0,0,K33/TrRoad_act!K40*100)</f>
        <v>81.527298807373867</v>
      </c>
      <c r="L70" s="130">
        <f>IF(L33=0,0,L33/TrRoad_act!L40*100)</f>
        <v>71.022604542686011</v>
      </c>
      <c r="M70" s="130">
        <f>IF(M33=0,0,M33/TrRoad_act!M40*100)</f>
        <v>74.85588572836366</v>
      </c>
      <c r="N70" s="130">
        <f>IF(N33=0,0,N33/TrRoad_act!N40*100)</f>
        <v>62.078066439797318</v>
      </c>
      <c r="O70" s="130">
        <f>IF(O33=0,0,O33/TrRoad_act!O40*100)</f>
        <v>70.407780477897646</v>
      </c>
      <c r="P70" s="130">
        <f>IF(P33=0,0,P33/TrRoad_act!P40*100)</f>
        <v>68.138999471559131</v>
      </c>
      <c r="Q70" s="130">
        <f>IF(Q33=0,0,Q33/TrRoad_act!Q40*100)</f>
        <v>65.459259295791057</v>
      </c>
      <c r="R70" s="130">
        <f>IF(R33=0,0,R33/TrRoad_act!R40*100)</f>
        <v>67.114966353971312</v>
      </c>
      <c r="S70" s="130">
        <f>IF(S33=0,0,S33/TrRoad_act!S40*100)</f>
        <v>69.016402848632566</v>
      </c>
      <c r="T70" s="130">
        <f>IF(T33=0,0,T33/TrRoad_act!T40*100)</f>
        <v>69.690302861935336</v>
      </c>
      <c r="U70" s="130">
        <f>IF(U33=0,0,U33/TrRoad_act!U40*100)</f>
        <v>72.597232829751917</v>
      </c>
      <c r="V70" s="130">
        <f>IF(V33=0,0,V33/TrRoad_act!V40*100)</f>
        <v>71.592387608330441</v>
      </c>
      <c r="W70" s="130">
        <f>IF(W33=0,0,W33/TrRoad_act!W40*100)</f>
        <v>70.327766602468216</v>
      </c>
      <c r="X70" s="130">
        <f>IF(X33=0,0,X33/TrRoad_act!X40*100)</f>
        <v>72.273530327329155</v>
      </c>
      <c r="Y70" s="130">
        <f>IF(Y33=0,0,Y33/TrRoad_act!Y40*100)</f>
        <v>74.733273210890744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X71" s="97">
        <f>IF(X34=0,0,X34/TrRoad_act!X41*100)</f>
        <v>0</v>
      </c>
      <c r="Y71" s="97">
        <f>IF(Y34=0,0,Y34/TrRoad_act!Y41*100)</f>
        <v>0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72.63657970318225</v>
      </c>
      <c r="C72" s="97">
        <f>IF(C36=0,0,C36/TrRoad_act!C42*100)</f>
        <v>69.720999504801867</v>
      </c>
      <c r="D72" s="97">
        <f>IF(D36=0,0,D36/TrRoad_act!D42*100)</f>
        <v>68.286995237551977</v>
      </c>
      <c r="E72" s="97">
        <f>IF(E36=0,0,E36/TrRoad_act!E42*100)</f>
        <v>87.625117349246551</v>
      </c>
      <c r="F72" s="97">
        <f>IF(F36=0,0,F36/TrRoad_act!F42*100)</f>
        <v>66.378558421391759</v>
      </c>
      <c r="G72" s="97">
        <f>IF(G36=0,0,G36/TrRoad_act!G42*100)</f>
        <v>74.037539585287618</v>
      </c>
      <c r="H72" s="97">
        <f>IF(H36=0,0,H36/TrRoad_act!H42*100)</f>
        <v>70.188157173003887</v>
      </c>
      <c r="I72" s="97">
        <f>IF(I36=0,0,I36/TrRoad_act!I42*100)</f>
        <v>72.341272745056401</v>
      </c>
      <c r="J72" s="97">
        <f>IF(J36=0,0,J36/TrRoad_act!J42*100)</f>
        <v>67.897779886718141</v>
      </c>
      <c r="K72" s="97">
        <f>IF(K36=0,0,K36/TrRoad_act!K42*100)</f>
        <v>82.676289266249299</v>
      </c>
      <c r="L72" s="97">
        <f>IF(L36=0,0,L36/TrRoad_act!L42*100)</f>
        <v>71.853433319698667</v>
      </c>
      <c r="M72" s="97">
        <f>IF(M36=0,0,M36/TrRoad_act!M42*100)</f>
        <v>75.678701491830452</v>
      </c>
      <c r="N72" s="97">
        <f>IF(N36=0,0,N36/TrRoad_act!N42*100)</f>
        <v>62.515276888591309</v>
      </c>
      <c r="O72" s="97">
        <f>IF(O36=0,0,O36/TrRoad_act!O42*100)</f>
        <v>72.051166330221392</v>
      </c>
      <c r="P72" s="97">
        <f>IF(P36=0,0,P36/TrRoad_act!P42*100)</f>
        <v>69.643017867380948</v>
      </c>
      <c r="Q72" s="97">
        <f>IF(Q36=0,0,Q36/TrRoad_act!Q42*100)</f>
        <v>66.801451136306696</v>
      </c>
      <c r="R72" s="97">
        <f>IF(R36=0,0,R36/TrRoad_act!R42*100)</f>
        <v>68.090532131090356</v>
      </c>
      <c r="S72" s="97">
        <f>IF(S36=0,0,S36/TrRoad_act!S42*100)</f>
        <v>70.692845441298246</v>
      </c>
      <c r="T72" s="97">
        <f>IF(T36=0,0,T36/TrRoad_act!T42*100)</f>
        <v>71.461947247963323</v>
      </c>
      <c r="U72" s="97">
        <f>IF(U36=0,0,U36/TrRoad_act!U42*100)</f>
        <v>74.461210681137771</v>
      </c>
      <c r="V72" s="97">
        <f>IF(V36=0,0,V36/TrRoad_act!V42*100)</f>
        <v>73.767797781191447</v>
      </c>
      <c r="W72" s="97">
        <f>IF(W36=0,0,W36/TrRoad_act!W42*100)</f>
        <v>72.420587121655132</v>
      </c>
      <c r="X72" s="97">
        <f>IF(X36=0,0,X36/TrRoad_act!X42*100)</f>
        <v>75.002110176315298</v>
      </c>
      <c r="Y72" s="97">
        <f>IF(Y36=0,0,Y36/TrRoad_act!Y42*100)</f>
        <v>78.112719742817902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X73" s="97">
        <f>IF(X38=0,0,X38/TrRoad_act!X43*100)</f>
        <v>0</v>
      </c>
      <c r="Y73" s="97">
        <f>IF(Y38=0,0,Y38/TrRoad_act!Y43*100)</f>
        <v>0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43.322455460691408</v>
      </c>
      <c r="D74" s="97">
        <f>IF(D39=0,0,D39/TrRoad_act!D44*100)</f>
        <v>43.961504556047579</v>
      </c>
      <c r="E74" s="97">
        <f>IF(E39=0,0,E39/TrRoad_act!E44*100)</f>
        <v>43.938892523194845</v>
      </c>
      <c r="F74" s="97">
        <f>IF(F39=0,0,F39/TrRoad_act!F44*100)</f>
        <v>43.920417554604178</v>
      </c>
      <c r="G74" s="97">
        <f>IF(G39=0,0,G39/TrRoad_act!G44*100)</f>
        <v>45.841358213296395</v>
      </c>
      <c r="H74" s="97">
        <f>IF(H39=0,0,H39/TrRoad_act!H44*100)</f>
        <v>45.516714573905453</v>
      </c>
      <c r="I74" s="97">
        <f>IF(I39=0,0,I39/TrRoad_act!I44*100)</f>
        <v>45.001493283402525</v>
      </c>
      <c r="J74" s="97">
        <f>IF(J39=0,0,J39/TrRoad_act!J44*100)</f>
        <v>43.883809434894943</v>
      </c>
      <c r="K74" s="97">
        <f>IF(K39=0,0,K39/TrRoad_act!K44*100)</f>
        <v>46.798253296982125</v>
      </c>
      <c r="L74" s="97">
        <f>IF(L39=0,0,L39/TrRoad_act!L44*100)</f>
        <v>44.831662476860636</v>
      </c>
      <c r="M74" s="97">
        <f>IF(M39=0,0,M39/TrRoad_act!M44*100)</f>
        <v>48.215978897494281</v>
      </c>
      <c r="N74" s="97">
        <f>IF(N39=0,0,N39/TrRoad_act!N44*100)</f>
        <v>47.910880667535764</v>
      </c>
      <c r="O74" s="97">
        <f>IF(O39=0,0,O39/TrRoad_act!O44*100)</f>
        <v>45.693648999003969</v>
      </c>
      <c r="P74" s="97">
        <f>IF(P39=0,0,P39/TrRoad_act!P44*100)</f>
        <v>46.144606420281988</v>
      </c>
      <c r="Q74" s="97">
        <f>IF(Q39=0,0,Q39/TrRoad_act!Q44*100)</f>
        <v>48.2440602077859</v>
      </c>
      <c r="R74" s="97">
        <f>IF(R39=0,0,R39/TrRoad_act!R44*100)</f>
        <v>62.598499808222449</v>
      </c>
      <c r="S74" s="97">
        <f>IF(S39=0,0,S39/TrRoad_act!S44*100)</f>
        <v>43.223309791275391</v>
      </c>
      <c r="T74" s="97">
        <f>IF(T39=0,0,T39/TrRoad_act!T44*100)</f>
        <v>45.597701636673513</v>
      </c>
      <c r="U74" s="97">
        <f>IF(U39=0,0,U39/TrRoad_act!U44*100)</f>
        <v>50.509014196503308</v>
      </c>
      <c r="V74" s="97">
        <f>IF(V39=0,0,V39/TrRoad_act!V44*100)</f>
        <v>44.561538355657177</v>
      </c>
      <c r="W74" s="97">
        <f>IF(W39=0,0,W39/TrRoad_act!W44*100)</f>
        <v>47.441630939004902</v>
      </c>
      <c r="X74" s="97">
        <f>IF(X39=0,0,X39/TrRoad_act!X44*100)</f>
        <v>45.36950671638678</v>
      </c>
      <c r="Y74" s="97">
        <f>IF(Y39=0,0,Y39/TrRoad_act!Y44*100)</f>
        <v>38.779302676918853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0</v>
      </c>
      <c r="K75" s="97">
        <f>IF(K41=0,0,K41/TrRoad_act!K45*100)</f>
        <v>0</v>
      </c>
      <c r="L75" s="97">
        <f>IF(L41=0,0,L41/TrRoad_act!L45*100)</f>
        <v>0</v>
      </c>
      <c r="M75" s="97">
        <f>IF(M41=0,0,M41/TrRoad_act!M45*100)</f>
        <v>0</v>
      </c>
      <c r="N75" s="97">
        <f>IF(N41=0,0,N41/TrRoad_act!N45*100)</f>
        <v>0</v>
      </c>
      <c r="O75" s="97">
        <f>IF(O41=0,0,O41/TrRoad_act!O45*100)</f>
        <v>28.908124841892725</v>
      </c>
      <c r="P75" s="97">
        <f>IF(P41=0,0,P41/TrRoad_act!P45*100)</f>
        <v>28.908124841892725</v>
      </c>
      <c r="Q75" s="97">
        <f>IF(Q41=0,0,Q41/TrRoad_act!Q45*100)</f>
        <v>28.919658400524916</v>
      </c>
      <c r="R75" s="97">
        <f>IF(R41=0,0,R41/TrRoad_act!R45*100)</f>
        <v>28.919690882437799</v>
      </c>
      <c r="S75" s="97">
        <f>IF(S41=0,0,S41/TrRoad_act!S45*100)</f>
        <v>28.951426312997121</v>
      </c>
      <c r="T75" s="97">
        <f>IF(T41=0,0,T41/TrRoad_act!T45*100)</f>
        <v>29.001940622390716</v>
      </c>
      <c r="U75" s="97">
        <f>IF(U41=0,0,U41/TrRoad_act!U45*100)</f>
        <v>29.069691656888132</v>
      </c>
      <c r="V75" s="97">
        <f>IF(V41=0,0,V41/TrRoad_act!V45*100)</f>
        <v>29.119832874035755</v>
      </c>
      <c r="W75" s="97">
        <f>IF(W41=0,0,W41/TrRoad_act!W45*100)</f>
        <v>29.166845103092253</v>
      </c>
      <c r="X75" s="97">
        <f>IF(X41=0,0,X41/TrRoad_act!X45*100)</f>
        <v>29.196734798762325</v>
      </c>
      <c r="Y75" s="97">
        <f>IF(Y41=0,0,Y41/TrRoad_act!Y45*100)</f>
        <v>29.496909161375918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21.185813463553188</v>
      </c>
      <c r="C76" s="32">
        <f>IF(C42=0,0,C42/TrRoad_act!C46*100)</f>
        <v>20.684191263005779</v>
      </c>
      <c r="D76" s="32">
        <f>IF(D42=0,0,D42/TrRoad_act!D46*100)</f>
        <v>20.122693102658275</v>
      </c>
      <c r="E76" s="32">
        <f>IF(E42=0,0,E42/TrRoad_act!E46*100)</f>
        <v>21.380988859067585</v>
      </c>
      <c r="F76" s="32">
        <f>IF(F42=0,0,F42/TrRoad_act!F46*100)</f>
        <v>19.694606119089613</v>
      </c>
      <c r="G76" s="32">
        <f>IF(G42=0,0,G42/TrRoad_act!G46*100)</f>
        <v>19.851120108321989</v>
      </c>
      <c r="H76" s="32">
        <f>IF(H42=0,0,H42/TrRoad_act!H46*100)</f>
        <v>19.595042026788111</v>
      </c>
      <c r="I76" s="32">
        <f>IF(I42=0,0,I42/TrRoad_act!I46*100)</f>
        <v>19.220574763954158</v>
      </c>
      <c r="J76" s="32">
        <f>IF(J42=0,0,J42/TrRoad_act!J46*100)</f>
        <v>18.55409607763675</v>
      </c>
      <c r="K76" s="32">
        <f>IF(K42=0,0,K42/TrRoad_act!K46*100)</f>
        <v>22.117295248139332</v>
      </c>
      <c r="L76" s="32">
        <f>IF(L42=0,0,L42/TrRoad_act!L46*100)</f>
        <v>19.517073720358237</v>
      </c>
      <c r="M76" s="32">
        <f>IF(M42=0,0,M42/TrRoad_act!M46*100)</f>
        <v>19.107446640684408</v>
      </c>
      <c r="N76" s="32">
        <f>IF(N42=0,0,N42/TrRoad_act!N46*100)</f>
        <v>16.661239260034097</v>
      </c>
      <c r="O76" s="32">
        <f>IF(O42=0,0,O42/TrRoad_act!O46*100)</f>
        <v>17.790712716503364</v>
      </c>
      <c r="P76" s="32">
        <f>IF(P42=0,0,P42/TrRoad_act!P46*100)</f>
        <v>18.068443168725352</v>
      </c>
      <c r="Q76" s="32">
        <f>IF(Q42=0,0,Q42/TrRoad_act!Q46*100)</f>
        <v>15.102047272454097</v>
      </c>
      <c r="R76" s="32">
        <f>IF(R42=0,0,R42/TrRoad_act!R46*100)</f>
        <v>14.928413569439455</v>
      </c>
      <c r="S76" s="32">
        <f>IF(S42=0,0,S42/TrRoad_act!S46*100)</f>
        <v>15.749801485454388</v>
      </c>
      <c r="T76" s="32">
        <f>IF(T42=0,0,T42/TrRoad_act!T46*100)</f>
        <v>16.087815427345696</v>
      </c>
      <c r="U76" s="32">
        <f>IF(U42=0,0,U42/TrRoad_act!U46*100)</f>
        <v>16.590344689678478</v>
      </c>
      <c r="V76" s="32">
        <f>IF(V42=0,0,V42/TrRoad_act!V46*100)</f>
        <v>17.712986882417106</v>
      </c>
      <c r="W76" s="32">
        <f>IF(W42=0,0,W42/TrRoad_act!W46*100)</f>
        <v>16.712328299667554</v>
      </c>
      <c r="X76" s="32">
        <f>IF(X42=0,0,X42/TrRoad_act!X46*100)</f>
        <v>16.799801686053019</v>
      </c>
      <c r="Y76" s="32">
        <f>IF(Y42=0,0,Y42/TrRoad_act!Y46*100)</f>
        <v>16.419497625921124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12.827976828252179</v>
      </c>
      <c r="C77" s="141">
        <f>IF(C43=0,0,C43/TrRoad_act!C47*100)</f>
        <v>12.299386962209327</v>
      </c>
      <c r="D77" s="141">
        <f>IF(D43=0,0,D43/TrRoad_act!D47*100)</f>
        <v>11.837218986331296</v>
      </c>
      <c r="E77" s="141">
        <f>IF(E43=0,0,E43/TrRoad_act!E47*100)</f>
        <v>11.378549703050089</v>
      </c>
      <c r="F77" s="141">
        <f>IF(F43=0,0,F43/TrRoad_act!F47*100)</f>
        <v>11.065142700076542</v>
      </c>
      <c r="G77" s="141">
        <f>IF(G43=0,0,G43/TrRoad_act!G47*100)</f>
        <v>10.783641379526534</v>
      </c>
      <c r="H77" s="141">
        <f>IF(H43=0,0,H43/TrRoad_act!H47*100)</f>
        <v>10.40748613792176</v>
      </c>
      <c r="I77" s="141">
        <f>IF(I43=0,0,I43/TrRoad_act!I47*100)</f>
        <v>10.048881384369693</v>
      </c>
      <c r="J77" s="141">
        <f>IF(J43=0,0,J43/TrRoad_act!J47*100)</f>
        <v>9.7907038971676776</v>
      </c>
      <c r="K77" s="141">
        <f>IF(K43=0,0,K43/TrRoad_act!K47*100)</f>
        <v>9.4941300404553193</v>
      </c>
      <c r="L77" s="141">
        <f>IF(L43=0,0,L43/TrRoad_act!L47*100)</f>
        <v>9.3143850737050755</v>
      </c>
      <c r="M77" s="141">
        <f>IF(M43=0,0,M43/TrRoad_act!M47*100)</f>
        <v>9.135287438263008</v>
      </c>
      <c r="N77" s="141">
        <f>IF(N43=0,0,N43/TrRoad_act!N47*100)</f>
        <v>9.1152498331644569</v>
      </c>
      <c r="O77" s="141">
        <f>IF(O43=0,0,O43/TrRoad_act!O47*100)</f>
        <v>8.948144357847422</v>
      </c>
      <c r="P77" s="141">
        <f>IF(P43=0,0,P43/TrRoad_act!P47*100)</f>
        <v>8.8471569775981465</v>
      </c>
      <c r="Q77" s="141">
        <f>IF(Q43=0,0,Q43/TrRoad_act!Q47*100)</f>
        <v>8.646265800596213</v>
      </c>
      <c r="R77" s="141">
        <f>IF(R43=0,0,R43/TrRoad_act!R47*100)</f>
        <v>8.4881051686856228</v>
      </c>
      <c r="S77" s="141">
        <f>IF(S43=0,0,S43/TrRoad_act!S47*100)</f>
        <v>8.4778622333372589</v>
      </c>
      <c r="T77" s="141">
        <f>IF(T43=0,0,T43/TrRoad_act!T47*100)</f>
        <v>8.4492593087578385</v>
      </c>
      <c r="U77" s="141">
        <f>IF(U43=0,0,U43/TrRoad_act!U47*100)</f>
        <v>8.3034549681797021</v>
      </c>
      <c r="V77" s="141">
        <f>IF(V43=0,0,V43/TrRoad_act!V47*100)</f>
        <v>8.2178445723233686</v>
      </c>
      <c r="W77" s="141">
        <f>IF(W43=0,0,W43/TrRoad_act!W47*100)</f>
        <v>8.1082287192103877</v>
      </c>
      <c r="X77" s="141">
        <f>IF(X43=0,0,X43/TrRoad_act!X47*100)</f>
        <v>8.0102948596139498</v>
      </c>
      <c r="Y77" s="141">
        <f>IF(Y43=0,0,Y43/TrRoad_act!Y47*100)</f>
        <v>7.896920766388579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13.065698470358644</v>
      </c>
      <c r="C78" s="96">
        <f>IF(C44=0,0,C44/TrRoad_act!C48*100)</f>
        <v>12.651507379132031</v>
      </c>
      <c r="D78" s="96">
        <f>IF(D44=0,0,D44/TrRoad_act!D48*100)</f>
        <v>12.249978582962456</v>
      </c>
      <c r="E78" s="96">
        <f>IF(E44=0,0,E44/TrRoad_act!E48*100)</f>
        <v>11.952940888406568</v>
      </c>
      <c r="F78" s="96">
        <f>IF(F44=0,0,F44/TrRoad_act!F48*100)</f>
        <v>11.720496271369129</v>
      </c>
      <c r="G78" s="96">
        <f>IF(G44=0,0,G44/TrRoad_act!G48*100)</f>
        <v>11.471809635427682</v>
      </c>
      <c r="H78" s="96">
        <f>IF(H44=0,0,H44/TrRoad_act!H48*100)</f>
        <v>11.215400586127064</v>
      </c>
      <c r="I78" s="96">
        <f>IF(I44=0,0,I44/TrRoad_act!I48*100)</f>
        <v>10.831118534069374</v>
      </c>
      <c r="J78" s="96">
        <f>IF(J44=0,0,J44/TrRoad_act!J48*100)</f>
        <v>10.484041641195816</v>
      </c>
      <c r="K78" s="96">
        <f>IF(K44=0,0,K44/TrRoad_act!K48*100)</f>
        <v>10.299838901190228</v>
      </c>
      <c r="L78" s="96">
        <f>IF(L44=0,0,L44/TrRoad_act!L48*100)</f>
        <v>10.071099714594004</v>
      </c>
      <c r="M78" s="96">
        <f>IF(M44=0,0,M44/TrRoad_act!M48*100)</f>
        <v>9.8340214702569639</v>
      </c>
      <c r="N78" s="96">
        <f>IF(N44=0,0,N44/TrRoad_act!N48*100)</f>
        <v>9.8821815812862575</v>
      </c>
      <c r="O78" s="96">
        <f>IF(O44=0,0,O44/TrRoad_act!O48*100)</f>
        <v>9.7213174646371012</v>
      </c>
      <c r="P78" s="96">
        <f>IF(P44=0,0,P44/TrRoad_act!P48*100)</f>
        <v>9.4909709792895249</v>
      </c>
      <c r="Q78" s="96">
        <f>IF(Q44=0,0,Q44/TrRoad_act!Q48*100)</f>
        <v>9.2134481402705859</v>
      </c>
      <c r="R78" s="96">
        <f>IF(R44=0,0,R44/TrRoad_act!R48*100)</f>
        <v>8.9585903299245633</v>
      </c>
      <c r="S78" s="96">
        <f>IF(S44=0,0,S44/TrRoad_act!S48*100)</f>
        <v>8.9348246222416208</v>
      </c>
      <c r="T78" s="96">
        <f>IF(T44=0,0,T44/TrRoad_act!T48*100)</f>
        <v>8.8259149393538792</v>
      </c>
      <c r="U78" s="96">
        <f>IF(U44=0,0,U44/TrRoad_act!U48*100)</f>
        <v>8.4963025568478656</v>
      </c>
      <c r="V78" s="96">
        <f>IF(V44=0,0,V44/TrRoad_act!V48*100)</f>
        <v>8.2859865148114284</v>
      </c>
      <c r="W78" s="96">
        <f>IF(W44=0,0,W44/TrRoad_act!W48*100)</f>
        <v>8.0457221204961282</v>
      </c>
      <c r="X78" s="96">
        <f>IF(X44=0,0,X44/TrRoad_act!X48*100)</f>
        <v>7.834480902703282</v>
      </c>
      <c r="Y78" s="96">
        <f>IF(Y44=0,0,Y44/TrRoad_act!Y48*100)</f>
        <v>7.6439179021581731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11.750859718206657</v>
      </c>
      <c r="C79" s="96">
        <f>IF(C46=0,0,C46/TrRoad_act!C49*100)</f>
        <v>10.969437050264631</v>
      </c>
      <c r="D79" s="96">
        <f>IF(D46=0,0,D46/TrRoad_act!D49*100)</f>
        <v>10.43912040622973</v>
      </c>
      <c r="E79" s="96">
        <f>IF(E46=0,0,E46/TrRoad_act!E49*100)</f>
        <v>9.7897797491693819</v>
      </c>
      <c r="F79" s="96">
        <f>IF(F46=0,0,F46/TrRoad_act!F49*100)</f>
        <v>9.4905082935662435</v>
      </c>
      <c r="G79" s="96">
        <f>IF(G46=0,0,G46/TrRoad_act!G49*100)</f>
        <v>9.2629713309306574</v>
      </c>
      <c r="H79" s="96">
        <f>IF(H46=0,0,H46/TrRoad_act!H49*100)</f>
        <v>8.9742396483950166</v>
      </c>
      <c r="I79" s="96">
        <f>IF(I46=0,0,I46/TrRoad_act!I49*100)</f>
        <v>8.7816425315303004</v>
      </c>
      <c r="J79" s="96">
        <f>IF(J46=0,0,J46/TrRoad_act!J49*100)</f>
        <v>8.6606989716656813</v>
      </c>
      <c r="K79" s="96">
        <f>IF(K46=0,0,K46/TrRoad_act!K49*100)</f>
        <v>8.5365686049685543</v>
      </c>
      <c r="L79" s="96">
        <f>IF(L46=0,0,L46/TrRoad_act!L49*100)</f>
        <v>8.5476456502184757</v>
      </c>
      <c r="M79" s="96">
        <f>IF(M46=0,0,M46/TrRoad_act!M49*100)</f>
        <v>8.4747440494385309</v>
      </c>
      <c r="N79" s="96">
        <f>IF(N46=0,0,N46/TrRoad_act!N49*100)</f>
        <v>8.4158648763857435</v>
      </c>
      <c r="O79" s="96">
        <f>IF(O46=0,0,O46/TrRoad_act!O49*100)</f>
        <v>8.4225662447270242</v>
      </c>
      <c r="P79" s="96">
        <f>IF(P46=0,0,P46/TrRoad_act!P49*100)</f>
        <v>8.4163573827734641</v>
      </c>
      <c r="Q79" s="96">
        <f>IF(Q46=0,0,Q46/TrRoad_act!Q49*100)</f>
        <v>8.3503777683862008</v>
      </c>
      <c r="R79" s="96">
        <f>IF(R46=0,0,R46/TrRoad_act!R49*100)</f>
        <v>8.254335092905178</v>
      </c>
      <c r="S79" s="96">
        <f>IF(S46=0,0,S46/TrRoad_act!S49*100)</f>
        <v>8.2256141883819751</v>
      </c>
      <c r="T79" s="96">
        <f>IF(T46=0,0,T46/TrRoad_act!T49*100)</f>
        <v>8.1988754291115651</v>
      </c>
      <c r="U79" s="96">
        <f>IF(U46=0,0,U46/TrRoad_act!U49*100)</f>
        <v>8.1719240910231683</v>
      </c>
      <c r="V79" s="96">
        <f>IF(V46=0,0,V46/TrRoad_act!V49*100)</f>
        <v>8.1674725412577427</v>
      </c>
      <c r="W79" s="96">
        <f>IF(W46=0,0,W46/TrRoad_act!W49*100)</f>
        <v>8.1562555305874689</v>
      </c>
      <c r="X79" s="96">
        <f>IF(X46=0,0,X46/TrRoad_act!X49*100)</f>
        <v>8.1394025203242144</v>
      </c>
      <c r="Y79" s="96">
        <f>IF(Y46=0,0,Y46/TrRoad_act!Y49*100)</f>
        <v>8.0750562224416988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0</v>
      </c>
      <c r="P80" s="96">
        <f>IF(P48=0,0,P48/TrRoad_act!P50*100)</f>
        <v>0</v>
      </c>
      <c r="Q80" s="96">
        <f>IF(Q48=0,0,Q48/TrRoad_act!Q50*100)</f>
        <v>0</v>
      </c>
      <c r="R80" s="96">
        <f>IF(R48=0,0,R48/TrRoad_act!R50*100)</f>
        <v>0</v>
      </c>
      <c r="S80" s="96">
        <f>IF(S48=0,0,S48/TrRoad_act!S50*100)</f>
        <v>0</v>
      </c>
      <c r="T80" s="96">
        <f>IF(T48=0,0,T48/TrRoad_act!T50*100)</f>
        <v>0</v>
      </c>
      <c r="U80" s="96">
        <f>IF(U48=0,0,U48/TrRoad_act!U50*100)</f>
        <v>0</v>
      </c>
      <c r="V80" s="96">
        <f>IF(V48=0,0,V48/TrRoad_act!V50*100)</f>
        <v>0</v>
      </c>
      <c r="W80" s="96">
        <f>IF(W48=0,0,W48/TrRoad_act!W50*100)</f>
        <v>0</v>
      </c>
      <c r="X80" s="96">
        <f>IF(X48=0,0,X48/TrRoad_act!X50*100)</f>
        <v>0</v>
      </c>
      <c r="Y80" s="96">
        <f>IF(Y48=0,0,Y48/TrRoad_act!Y50*100)</f>
        <v>0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X81" s="96">
        <f>IF(X49=0,0,X49/TrRoad_act!X51*100)</f>
        <v>0</v>
      </c>
      <c r="Y81" s="96">
        <f>IF(Y49=0,0,Y49/TrRoad_act!Y51*100)</f>
        <v>0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0</v>
      </c>
      <c r="N82" s="96">
        <f>IF(N51=0,0,N51/TrRoad_act!N52*100)</f>
        <v>0</v>
      </c>
      <c r="O82" s="96">
        <f>IF(O51=0,0,O51/TrRoad_act!O52*100)</f>
        <v>0</v>
      </c>
      <c r="P82" s="96">
        <f>IF(P51=0,0,P51/TrRoad_act!P52*100)</f>
        <v>0</v>
      </c>
      <c r="Q82" s="96">
        <f>IF(Q51=0,0,Q51/TrRoad_act!Q52*100)</f>
        <v>0</v>
      </c>
      <c r="R82" s="96">
        <f>IF(R51=0,0,R51/TrRoad_act!R52*100)</f>
        <v>0</v>
      </c>
      <c r="S82" s="96">
        <f>IF(S51=0,0,S51/TrRoad_act!S52*100)</f>
        <v>0</v>
      </c>
      <c r="T82" s="96">
        <f>IF(T51=0,0,T51/TrRoad_act!T52*100)</f>
        <v>0</v>
      </c>
      <c r="U82" s="96">
        <f>IF(U51=0,0,U51/TrRoad_act!U52*100)</f>
        <v>0</v>
      </c>
      <c r="V82" s="96">
        <f>IF(V51=0,0,V51/TrRoad_act!V52*100)</f>
        <v>0</v>
      </c>
      <c r="W82" s="96">
        <f>IF(W51=0,0,W51/TrRoad_act!W52*100)</f>
        <v>0</v>
      </c>
      <c r="X82" s="96">
        <f>IF(X51=0,0,X51/TrRoad_act!X52*100)</f>
        <v>0</v>
      </c>
      <c r="Y82" s="96">
        <f>IF(Y51=0,0,Y51/TrRoad_act!Y52*100)</f>
        <v>0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40.50653249508207</v>
      </c>
      <c r="C83" s="130">
        <f>IF(C52=0,0,C52/TrRoad_act!C53*100)</f>
        <v>40.238330784566301</v>
      </c>
      <c r="D83" s="130">
        <f>IF(D52=0,0,D52/TrRoad_act!D53*100)</f>
        <v>40.150716727394268</v>
      </c>
      <c r="E83" s="130">
        <f>IF(E52=0,0,E52/TrRoad_act!E53*100)</f>
        <v>60.740133346330417</v>
      </c>
      <c r="F83" s="130">
        <f>IF(F52=0,0,F52/TrRoad_act!F53*100)</f>
        <v>39.809000042247341</v>
      </c>
      <c r="G83" s="130">
        <f>IF(G52=0,0,G52/TrRoad_act!G53*100)</f>
        <v>48.027093456294061</v>
      </c>
      <c r="H83" s="130">
        <f>IF(H52=0,0,H52/TrRoad_act!H53*100)</f>
        <v>45.153487846981669</v>
      </c>
      <c r="I83" s="130">
        <f>IF(I52=0,0,I52/TrRoad_act!I53*100)</f>
        <v>47.795155544878135</v>
      </c>
      <c r="J83" s="130">
        <f>IF(J52=0,0,J52/TrRoad_act!J53*100)</f>
        <v>43.797782101853898</v>
      </c>
      <c r="K83" s="130">
        <f>IF(K52=0,0,K52/TrRoad_act!K53*100)</f>
        <v>57.423647997781814</v>
      </c>
      <c r="L83" s="130">
        <f>IF(L52=0,0,L52/TrRoad_act!L53*100)</f>
        <v>47.881423078357479</v>
      </c>
      <c r="M83" s="130">
        <f>IF(M52=0,0,M52/TrRoad_act!M53*100)</f>
        <v>53.336479469870014</v>
      </c>
      <c r="N83" s="130">
        <f>IF(N52=0,0,N52/TrRoad_act!N53*100)</f>
        <v>38.874396203700016</v>
      </c>
      <c r="O83" s="130">
        <f>IF(O52=0,0,O52/TrRoad_act!O53*100)</f>
        <v>53.04295835452217</v>
      </c>
      <c r="P83" s="130">
        <f>IF(P52=0,0,P52/TrRoad_act!P53*100)</f>
        <v>51.172331309051486</v>
      </c>
      <c r="Q83" s="130">
        <f>IF(Q52=0,0,Q52/TrRoad_act!Q53*100)</f>
        <v>42.119536294419945</v>
      </c>
      <c r="R83" s="130">
        <f>IF(R52=0,0,R52/TrRoad_act!R53*100)</f>
        <v>43.355734729501265</v>
      </c>
      <c r="S83" s="130">
        <f>IF(S52=0,0,S52/TrRoad_act!S53*100)</f>
        <v>44.838474024533859</v>
      </c>
      <c r="T83" s="130">
        <f>IF(T52=0,0,T52/TrRoad_act!T53*100)</f>
        <v>46.360176671059122</v>
      </c>
      <c r="U83" s="130">
        <f>IF(U52=0,0,U52/TrRoad_act!U53*100)</f>
        <v>50.293688492377321</v>
      </c>
      <c r="V83" s="130">
        <f>IF(V52=0,0,V52/TrRoad_act!V53*100)</f>
        <v>54.694098388637137</v>
      </c>
      <c r="W83" s="130">
        <f>IF(W52=0,0,W52/TrRoad_act!W53*100)</f>
        <v>48.982556251975339</v>
      </c>
      <c r="X83" s="130">
        <f>IF(X52=0,0,X52/TrRoad_act!X53*100)</f>
        <v>51.186316981106032</v>
      </c>
      <c r="Y83" s="130">
        <f>IF(Y52=0,0,Y52/TrRoad_act!Y53*100)</f>
        <v>54.140448258343376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38.676274545905699</v>
      </c>
      <c r="C84" s="97">
        <f>IF(C53=0,0,C53/TrRoad_act!C54*100)</f>
        <v>38.439405117990169</v>
      </c>
      <c r="D84" s="97">
        <f>IF(D53=0,0,D53/TrRoad_act!D54*100)</f>
        <v>38.348927320008166</v>
      </c>
      <c r="E84" s="97">
        <f>IF(E53=0,0,E53/TrRoad_act!E54*100)</f>
        <v>54.400227749162077</v>
      </c>
      <c r="F84" s="97">
        <f>IF(F53=0,0,F53/TrRoad_act!F54*100)</f>
        <v>38.003671012003146</v>
      </c>
      <c r="G84" s="97">
        <f>IF(G53=0,0,G53/TrRoad_act!G54*100)</f>
        <v>44.373616190885976</v>
      </c>
      <c r="H84" s="97">
        <f>IF(H53=0,0,H53/TrRoad_act!H54*100)</f>
        <v>42.082607038829103</v>
      </c>
      <c r="I84" s="97">
        <f>IF(I53=0,0,I53/TrRoad_act!I54*100)</f>
        <v>44.231992281204299</v>
      </c>
      <c r="J84" s="97">
        <f>IF(J53=0,0,J53/TrRoad_act!J54*100)</f>
        <v>41.114304247257039</v>
      </c>
      <c r="K84" s="97">
        <f>IF(K53=0,0,K53/TrRoad_act!K54*100)</f>
        <v>51.950361150189536</v>
      </c>
      <c r="L84" s="97">
        <f>IF(L53=0,0,L53/TrRoad_act!L54*100)</f>
        <v>44.313572914052756</v>
      </c>
      <c r="M84" s="97">
        <f>IF(M53=0,0,M53/TrRoad_act!M54*100)</f>
        <v>48.585398760004175</v>
      </c>
      <c r="N84" s="97">
        <f>IF(N53=0,0,N53/TrRoad_act!N54*100)</f>
        <v>37.062012554995164</v>
      </c>
      <c r="O84" s="97">
        <f>IF(O53=0,0,O53/TrRoad_act!O54*100)</f>
        <v>48.083396815454321</v>
      </c>
      <c r="P84" s="97">
        <f>IF(P53=0,0,P53/TrRoad_act!P54*100)</f>
        <v>46.671522396203876</v>
      </c>
      <c r="Q84" s="97">
        <f>IF(Q53=0,0,Q53/TrRoad_act!Q54*100)</f>
        <v>39.491633509686892</v>
      </c>
      <c r="R84" s="97">
        <f>IF(R53=0,0,R53/TrRoad_act!R54*100)</f>
        <v>40.414587174916875</v>
      </c>
      <c r="S84" s="97">
        <f>IF(S53=0,0,S53/TrRoad_act!S54*100)</f>
        <v>41.36100470595413</v>
      </c>
      <c r="T84" s="97">
        <f>IF(T53=0,0,T53/TrRoad_act!T54*100)</f>
        <v>42.518745107551851</v>
      </c>
      <c r="U84" s="97">
        <f>IF(U53=0,0,U53/TrRoad_act!U54*100)</f>
        <v>45.978802375881749</v>
      </c>
      <c r="V84" s="97">
        <f>IF(V53=0,0,V53/TrRoad_act!V54*100)</f>
        <v>49.101408335061492</v>
      </c>
      <c r="W84" s="97">
        <f>IF(W53=0,0,W53/TrRoad_act!W54*100)</f>
        <v>44.337325237257183</v>
      </c>
      <c r="X84" s="97">
        <f>IF(X53=0,0,X53/TrRoad_act!X54*100)</f>
        <v>45.818544358755716</v>
      </c>
      <c r="Y84" s="97">
        <f>IF(Y53=0,0,Y53/TrRoad_act!Y54*100)</f>
        <v>47.790639566464996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80.740976464117381</v>
      </c>
      <c r="C85" s="98">
        <f>IF(C55=0,0,C55/TrRoad_act!C55*100)</f>
        <v>77.930961679743632</v>
      </c>
      <c r="D85" s="98">
        <f>IF(D55=0,0,D55/TrRoad_act!D55*100)</f>
        <v>76.803604009123319</v>
      </c>
      <c r="E85" s="98">
        <f>IF(E55=0,0,E55/TrRoad_act!E55*100)</f>
        <v>141.10740161090817</v>
      </c>
      <c r="F85" s="98">
        <f>IF(F55=0,0,F55/TrRoad_act!F55*100)</f>
        <v>73.49742141700915</v>
      </c>
      <c r="G85" s="98">
        <f>IF(G55=0,0,G55/TrRoad_act!G55*100)</f>
        <v>97.8742261416905</v>
      </c>
      <c r="H85" s="98">
        <f>IF(H55=0,0,H55/TrRoad_act!H55*100)</f>
        <v>84.755548042281433</v>
      </c>
      <c r="I85" s="98">
        <f>IF(I55=0,0,I55/TrRoad_act!I55*100)</f>
        <v>101.12780456444834</v>
      </c>
      <c r="J85" s="98">
        <f>IF(J55=0,0,J55/TrRoad_act!J55*100)</f>
        <v>93.766855365376756</v>
      </c>
      <c r="K85" s="98">
        <f>IF(K55=0,0,K55/TrRoad_act!K55*100)</f>
        <v>171.56533128593171</v>
      </c>
      <c r="L85" s="98">
        <f>IF(L55=0,0,L55/TrRoad_act!L55*100)</f>
        <v>108.49211229748312</v>
      </c>
      <c r="M85" s="98">
        <f>IF(M55=0,0,M55/TrRoad_act!M55*100)</f>
        <v>122.89561966105593</v>
      </c>
      <c r="N85" s="98">
        <f>IF(N55=0,0,N55/TrRoad_act!N55*100)</f>
        <v>61.48970379103924</v>
      </c>
      <c r="O85" s="98">
        <f>IF(O55=0,0,O55/TrRoad_act!O55*100)</f>
        <v>98.807162619157509</v>
      </c>
      <c r="P85" s="98">
        <f>IF(P55=0,0,P55/TrRoad_act!P55*100)</f>
        <v>99.62415691906871</v>
      </c>
      <c r="Q85" s="98">
        <f>IF(Q55=0,0,Q55/TrRoad_act!Q55*100)</f>
        <v>69.019582388540371</v>
      </c>
      <c r="R85" s="98">
        <f>IF(R55=0,0,R55/TrRoad_act!R55*100)</f>
        <v>71.83610412642112</v>
      </c>
      <c r="S85" s="98">
        <f>IF(S55=0,0,S55/TrRoad_act!S55*100)</f>
        <v>68.65721591529082</v>
      </c>
      <c r="T85" s="98">
        <f>IF(T55=0,0,T55/TrRoad_act!T55*100)</f>
        <v>74.723418848920218</v>
      </c>
      <c r="U85" s="98">
        <f>IF(U55=0,0,U55/TrRoad_act!U55*100)</f>
        <v>124.54451657241776</v>
      </c>
      <c r="V85" s="98">
        <f>IF(V55=0,0,V55/TrRoad_act!V55*100)</f>
        <v>112.36742558785129</v>
      </c>
      <c r="W85" s="98">
        <f>IF(W55=0,0,W55/TrRoad_act!W55*100)</f>
        <v>88.579589837008271</v>
      </c>
      <c r="X85" s="98">
        <f>IF(X55=0,0,X55/TrRoad_act!X55*100)</f>
        <v>94.35324321353059</v>
      </c>
      <c r="Y85" s="98">
        <f>IF(Y55=0,0,Y55/TrRoad_act!Y55*100)</f>
        <v>100.70981618848471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39.170247991151136</v>
      </c>
      <c r="C88" s="29">
        <f>IF(TrRoad_act!C4=0,0,C18/TrRoad_act!C4*1000)</f>
        <v>38.152059273779962</v>
      </c>
      <c r="D88" s="29">
        <f>IF(TrRoad_act!D4=0,0,D18/TrRoad_act!D4*1000)</f>
        <v>37.964288432463178</v>
      </c>
      <c r="E88" s="29">
        <f>IF(TrRoad_act!E4=0,0,E18/TrRoad_act!E4*1000)</f>
        <v>39.63967597412443</v>
      </c>
      <c r="F88" s="29">
        <f>IF(TrRoad_act!F4=0,0,F18/TrRoad_act!F4*1000)</f>
        <v>37.546975744950046</v>
      </c>
      <c r="G88" s="29">
        <f>IF(TrRoad_act!G4=0,0,G18/TrRoad_act!G4*1000)</f>
        <v>38.062729630562679</v>
      </c>
      <c r="H88" s="29">
        <f>IF(TrRoad_act!H4=0,0,H18/TrRoad_act!H4*1000)</f>
        <v>37.20914430040596</v>
      </c>
      <c r="I88" s="29">
        <f>IF(TrRoad_act!I4=0,0,I18/TrRoad_act!I4*1000)</f>
        <v>37.286983118611531</v>
      </c>
      <c r="J88" s="29">
        <f>IF(TrRoad_act!J4=0,0,J18/TrRoad_act!J4*1000)</f>
        <v>34.667391476157484</v>
      </c>
      <c r="K88" s="29">
        <f>IF(TrRoad_act!K4=0,0,K18/TrRoad_act!K4*1000)</f>
        <v>36.32162252139625</v>
      </c>
      <c r="L88" s="29">
        <f>IF(TrRoad_act!L4=0,0,L18/TrRoad_act!L4*1000)</f>
        <v>33.19274625738209</v>
      </c>
      <c r="M88" s="29">
        <f>IF(TrRoad_act!M4=0,0,M18/TrRoad_act!M4*1000)</f>
        <v>32.518222900892503</v>
      </c>
      <c r="N88" s="29">
        <f>IF(TrRoad_act!N4=0,0,N18/TrRoad_act!N4*1000)</f>
        <v>27.905019144407564</v>
      </c>
      <c r="O88" s="29">
        <f>IF(TrRoad_act!O4=0,0,O18/TrRoad_act!O4*1000)</f>
        <v>27.043383902837469</v>
      </c>
      <c r="P88" s="29">
        <f>IF(TrRoad_act!P4=0,0,P18/TrRoad_act!P4*1000)</f>
        <v>25.924879246440497</v>
      </c>
      <c r="Q88" s="29">
        <f>IF(TrRoad_act!Q4=0,0,Q18/TrRoad_act!Q4*1000)</f>
        <v>26.010458106929651</v>
      </c>
      <c r="R88" s="29">
        <f>IF(TrRoad_act!R4=0,0,R18/TrRoad_act!R4*1000)</f>
        <v>25.868496700303901</v>
      </c>
      <c r="S88" s="29">
        <f>IF(TrRoad_act!S4=0,0,S18/TrRoad_act!S4*1000)</f>
        <v>25.563994079927383</v>
      </c>
      <c r="T88" s="29">
        <f>IF(TrRoad_act!T4=0,0,T18/TrRoad_act!T4*1000)</f>
        <v>25.174473523936321</v>
      </c>
      <c r="U88" s="29">
        <f>IF(TrRoad_act!U4=0,0,U18/TrRoad_act!U4*1000)</f>
        <v>25.29940441277083</v>
      </c>
      <c r="V88" s="29">
        <f>IF(TrRoad_act!V4=0,0,V18/TrRoad_act!V4*1000)</f>
        <v>25.600235383141147</v>
      </c>
      <c r="W88" s="29">
        <f>IF(TrRoad_act!W4=0,0,W18/TrRoad_act!W4*1000)</f>
        <v>25.602146567904889</v>
      </c>
      <c r="X88" s="29">
        <f>IF(TrRoad_act!X4=0,0,X18/TrRoad_act!X4*1000)</f>
        <v>24.806342033128697</v>
      </c>
      <c r="Y88" s="29">
        <f>IF(TrRoad_act!Y4=0,0,Y18/TrRoad_act!Y4*1000)</f>
        <v>24.949315190701846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38.604162478820314</v>
      </c>
      <c r="C89" s="152">
        <f>IF(TrRoad_act!C5=0,0,C19/TrRoad_act!C5*1000)</f>
        <v>39.554818839863273</v>
      </c>
      <c r="D89" s="152">
        <f>IF(TrRoad_act!D5=0,0,D19/TrRoad_act!D5*1000)</f>
        <v>39.263658042395349</v>
      </c>
      <c r="E89" s="152">
        <f>IF(TrRoad_act!E5=0,0,E19/TrRoad_act!E5*1000)</f>
        <v>38.792320885112211</v>
      </c>
      <c r="F89" s="152">
        <f>IF(TrRoad_act!F5=0,0,F19/TrRoad_act!F5*1000)</f>
        <v>37.625373019666895</v>
      </c>
      <c r="G89" s="152">
        <f>IF(TrRoad_act!G5=0,0,G19/TrRoad_act!G5*1000)</f>
        <v>37.893868132277682</v>
      </c>
      <c r="H89" s="152">
        <f>IF(TrRoad_act!H5=0,0,H19/TrRoad_act!H5*1000)</f>
        <v>36.47556328327002</v>
      </c>
      <c r="I89" s="152">
        <f>IF(TrRoad_act!I5=0,0,I19/TrRoad_act!I5*1000)</f>
        <v>35.628490434584343</v>
      </c>
      <c r="J89" s="152">
        <f>IF(TrRoad_act!J5=0,0,J19/TrRoad_act!J5*1000)</f>
        <v>35.726069482483993</v>
      </c>
      <c r="K89" s="152">
        <f>IF(TrRoad_act!K5=0,0,K19/TrRoad_act!K5*1000)</f>
        <v>35.811053549310159</v>
      </c>
      <c r="L89" s="152">
        <f>IF(TrRoad_act!L5=0,0,L19/TrRoad_act!L5*1000)</f>
        <v>35.531317714391825</v>
      </c>
      <c r="M89" s="152">
        <f>IF(TrRoad_act!M5=0,0,M19/TrRoad_act!M5*1000)</f>
        <v>35.123383861069172</v>
      </c>
      <c r="N89" s="152">
        <f>IF(TrRoad_act!N5=0,0,N19/TrRoad_act!N5*1000)</f>
        <v>34.687129100399488</v>
      </c>
      <c r="O89" s="152">
        <f>IF(TrRoad_act!O5=0,0,O19/TrRoad_act!O5*1000)</f>
        <v>34.066505487830163</v>
      </c>
      <c r="P89" s="152">
        <f>IF(TrRoad_act!P5=0,0,P19/TrRoad_act!P5*1000)</f>
        <v>32.699329854384295</v>
      </c>
      <c r="Q89" s="152">
        <f>IF(TrRoad_act!Q5=0,0,Q19/TrRoad_act!Q5*1000)</f>
        <v>32.190646357330635</v>
      </c>
      <c r="R89" s="152">
        <f>IF(TrRoad_act!R5=0,0,R19/TrRoad_act!R5*1000)</f>
        <v>31.805627395163619</v>
      </c>
      <c r="S89" s="152">
        <f>IF(TrRoad_act!S5=0,0,S19/TrRoad_act!S5*1000)</f>
        <v>31.627105068694672</v>
      </c>
      <c r="T89" s="152">
        <f>IF(TrRoad_act!T5=0,0,T19/TrRoad_act!T5*1000)</f>
        <v>31.0939387939009</v>
      </c>
      <c r="U89" s="152">
        <f>IF(TrRoad_act!U5=0,0,U19/TrRoad_act!U5*1000)</f>
        <v>30.68279267521444</v>
      </c>
      <c r="V89" s="152">
        <f>IF(TrRoad_act!V5=0,0,V19/TrRoad_act!V5*1000)</f>
        <v>30.378888969094028</v>
      </c>
      <c r="W89" s="152">
        <f>IF(TrRoad_act!W5=0,0,W19/TrRoad_act!W5*1000)</f>
        <v>30.068648230251345</v>
      </c>
      <c r="X89" s="152">
        <f>IF(TrRoad_act!X5=0,0,X19/TrRoad_act!X5*1000)</f>
        <v>29.892467840986953</v>
      </c>
      <c r="Y89" s="152">
        <f>IF(TrRoad_act!Y5=0,0,Y19/TrRoad_act!Y5*1000)</f>
        <v>29.151126656050675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43.710769303568284</v>
      </c>
      <c r="C90" s="116">
        <f>IF(TrRoad_act!C6=0,0,C21/TrRoad_act!C6*1000)</f>
        <v>42.221350512092464</v>
      </c>
      <c r="D90" s="116">
        <f>IF(TrRoad_act!D6=0,0,D21/TrRoad_act!D6*1000)</f>
        <v>41.885545351863975</v>
      </c>
      <c r="E90" s="116">
        <f>IF(TrRoad_act!E6=0,0,E21/TrRoad_act!E6*1000)</f>
        <v>41.896514628736867</v>
      </c>
      <c r="F90" s="116">
        <f>IF(TrRoad_act!F6=0,0,F21/TrRoad_act!F6*1000)</f>
        <v>41.034382847096126</v>
      </c>
      <c r="G90" s="116">
        <f>IF(TrRoad_act!G6=0,0,G21/TrRoad_act!G6*1000)</f>
        <v>40.725322726880854</v>
      </c>
      <c r="H90" s="116">
        <f>IF(TrRoad_act!H6=0,0,H21/TrRoad_act!H6*1000)</f>
        <v>39.733453148528206</v>
      </c>
      <c r="I90" s="116">
        <f>IF(TrRoad_act!I6=0,0,I21/TrRoad_act!I6*1000)</f>
        <v>39.640219287260784</v>
      </c>
      <c r="J90" s="116">
        <f>IF(TrRoad_act!J6=0,0,J21/TrRoad_act!J6*1000)</f>
        <v>36.713394373513957</v>
      </c>
      <c r="K90" s="116">
        <f>IF(TrRoad_act!K6=0,0,K21/TrRoad_act!K6*1000)</f>
        <v>37.354096016940552</v>
      </c>
      <c r="L90" s="116">
        <f>IF(TrRoad_act!L6=0,0,L21/TrRoad_act!L6*1000)</f>
        <v>34.254989669093028</v>
      </c>
      <c r="M90" s="116">
        <f>IF(TrRoad_act!M6=0,0,M21/TrRoad_act!M6*1000)</f>
        <v>33.061755188567531</v>
      </c>
      <c r="N90" s="116">
        <f>IF(TrRoad_act!N6=0,0,N21/TrRoad_act!N6*1000)</f>
        <v>28.203112865655719</v>
      </c>
      <c r="O90" s="116">
        <f>IF(TrRoad_act!O6=0,0,O21/TrRoad_act!O6*1000)</f>
        <v>26.40347997606267</v>
      </c>
      <c r="P90" s="116">
        <f>IF(TrRoad_act!P6=0,0,P21/TrRoad_act!P6*1000)</f>
        <v>25.23042611923222</v>
      </c>
      <c r="Q90" s="116">
        <f>IF(TrRoad_act!Q6=0,0,Q21/TrRoad_act!Q6*1000)</f>
        <v>25.659913330239817</v>
      </c>
      <c r="R90" s="116">
        <f>IF(TrRoad_act!R6=0,0,R21/TrRoad_act!R6*1000)</f>
        <v>25.364855639809686</v>
      </c>
      <c r="S90" s="116">
        <f>IF(TrRoad_act!S6=0,0,S21/TrRoad_act!S6*1000)</f>
        <v>24.883984101529499</v>
      </c>
      <c r="T90" s="116">
        <f>IF(TrRoad_act!T6=0,0,T21/TrRoad_act!T6*1000)</f>
        <v>24.416728259023628</v>
      </c>
      <c r="U90" s="116">
        <f>IF(TrRoad_act!U6=0,0,U21/TrRoad_act!U6*1000)</f>
        <v>24.382550977841515</v>
      </c>
      <c r="V90" s="116">
        <f>IF(TrRoad_act!V6=0,0,V21/TrRoad_act!V6*1000)</f>
        <v>22.844385253393359</v>
      </c>
      <c r="W90" s="116">
        <f>IF(TrRoad_act!W6=0,0,W21/TrRoad_act!W6*1000)</f>
        <v>23.261519273103129</v>
      </c>
      <c r="X90" s="116">
        <f>IF(TrRoad_act!X6=0,0,X21/TrRoad_act!X6*1000)</f>
        <v>23.220784636033816</v>
      </c>
      <c r="Y90" s="116">
        <f>IF(TrRoad_act!Y6=0,0,Y21/TrRoad_act!Y6*1000)</f>
        <v>23.608591436670832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44.368581353483506</v>
      </c>
      <c r="C91" s="87">
        <f>IF(TrRoad_act!C7=0,0,C22/TrRoad_act!C7*1000)</f>
        <v>42.664772548193064</v>
      </c>
      <c r="D91" s="87">
        <f>IF(TrRoad_act!D7=0,0,D22/TrRoad_act!D7*1000)</f>
        <v>42.288319323725695</v>
      </c>
      <c r="E91" s="87">
        <f>IF(TrRoad_act!E7=0,0,E22/TrRoad_act!E7*1000)</f>
        <v>42.333545147890732</v>
      </c>
      <c r="F91" s="87">
        <f>IF(TrRoad_act!F7=0,0,F22/TrRoad_act!F7*1000)</f>
        <v>41.343284563085774</v>
      </c>
      <c r="G91" s="87">
        <f>IF(TrRoad_act!G7=0,0,G22/TrRoad_act!G7*1000)</f>
        <v>40.979127269058438</v>
      </c>
      <c r="H91" s="87">
        <f>IF(TrRoad_act!H7=0,0,H22/TrRoad_act!H7*1000)</f>
        <v>39.969182394243319</v>
      </c>
      <c r="I91" s="87">
        <f>IF(TrRoad_act!I7=0,0,I22/TrRoad_act!I7*1000)</f>
        <v>39.820364252509691</v>
      </c>
      <c r="J91" s="87">
        <f>IF(TrRoad_act!J7=0,0,J22/TrRoad_act!J7*1000)</f>
        <v>36.820283391395975</v>
      </c>
      <c r="K91" s="87">
        <f>IF(TrRoad_act!K7=0,0,K22/TrRoad_act!K7*1000)</f>
        <v>37.36501938550682</v>
      </c>
      <c r="L91" s="87">
        <f>IF(TrRoad_act!L7=0,0,L22/TrRoad_act!L7*1000)</f>
        <v>34.006344571005108</v>
      </c>
      <c r="M91" s="87">
        <f>IF(TrRoad_act!M7=0,0,M22/TrRoad_act!M7*1000)</f>
        <v>31.763842610930773</v>
      </c>
      <c r="N91" s="87">
        <f>IF(TrRoad_act!N7=0,0,N22/TrRoad_act!N7*1000)</f>
        <v>27.573679782569332</v>
      </c>
      <c r="O91" s="87">
        <f>IF(TrRoad_act!O7=0,0,O22/TrRoad_act!O7*1000)</f>
        <v>25.977980747094406</v>
      </c>
      <c r="P91" s="87">
        <f>IF(TrRoad_act!P7=0,0,P22/TrRoad_act!P7*1000)</f>
        <v>25.147234881209418</v>
      </c>
      <c r="Q91" s="87">
        <f>IF(TrRoad_act!Q7=0,0,Q22/TrRoad_act!Q7*1000)</f>
        <v>24.056208280955499</v>
      </c>
      <c r="R91" s="87">
        <f>IF(TrRoad_act!R7=0,0,R22/TrRoad_act!R7*1000)</f>
        <v>23.898395487328738</v>
      </c>
      <c r="S91" s="87">
        <f>IF(TrRoad_act!S7=0,0,S22/TrRoad_act!S7*1000)</f>
        <v>23.278294118558296</v>
      </c>
      <c r="T91" s="87">
        <f>IF(TrRoad_act!T7=0,0,T22/TrRoad_act!T7*1000)</f>
        <v>23.026119076416744</v>
      </c>
      <c r="U91" s="87">
        <f>IF(TrRoad_act!U7=0,0,U22/TrRoad_act!U7*1000)</f>
        <v>23.073809958804887</v>
      </c>
      <c r="V91" s="87">
        <f>IF(TrRoad_act!V7=0,0,V22/TrRoad_act!V7*1000)</f>
        <v>21.925813049488539</v>
      </c>
      <c r="W91" s="87">
        <f>IF(TrRoad_act!W7=0,0,W22/TrRoad_act!W7*1000)</f>
        <v>21.992615741747169</v>
      </c>
      <c r="X91" s="87">
        <f>IF(TrRoad_act!X7=0,0,X22/TrRoad_act!X7*1000)</f>
        <v>21.669629452291002</v>
      </c>
      <c r="Y91" s="87">
        <f>IF(TrRoad_act!Y7=0,0,Y22/TrRoad_act!Y7*1000)</f>
        <v>21.653112310317098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34.689094877682372</v>
      </c>
      <c r="C92" s="87">
        <f>IF(TrRoad_act!C8=0,0,C24/TrRoad_act!C8*1000)</f>
        <v>34.704778650577843</v>
      </c>
      <c r="D92" s="87">
        <f>IF(TrRoad_act!D8=0,0,D24/TrRoad_act!D8*1000)</f>
        <v>34.497489774627837</v>
      </c>
      <c r="E92" s="87">
        <f>IF(TrRoad_act!E8=0,0,E24/TrRoad_act!E8*1000)</f>
        <v>34.427027007100264</v>
      </c>
      <c r="F92" s="87">
        <f>IF(TrRoad_act!F8=0,0,F24/TrRoad_act!F8*1000)</f>
        <v>34.577185269643309</v>
      </c>
      <c r="G92" s="87">
        <f>IF(TrRoad_act!G8=0,0,G24/TrRoad_act!G8*1000)</f>
        <v>35.070525937292004</v>
      </c>
      <c r="H92" s="87">
        <f>IF(TrRoad_act!H8=0,0,H24/TrRoad_act!H8*1000)</f>
        <v>34.711924039414107</v>
      </c>
      <c r="I92" s="87">
        <f>IF(TrRoad_act!I8=0,0,I24/TrRoad_act!I8*1000)</f>
        <v>35.653535678966804</v>
      </c>
      <c r="J92" s="87">
        <f>IF(TrRoad_act!J8=0,0,J24/TrRoad_act!J8*1000)</f>
        <v>33.712246640441393</v>
      </c>
      <c r="K92" s="87">
        <f>IF(TrRoad_act!K8=0,0,K24/TrRoad_act!K8*1000)</f>
        <v>36.360704632097004</v>
      </c>
      <c r="L92" s="87">
        <f>IF(TrRoad_act!L8=0,0,L24/TrRoad_act!L8*1000)</f>
        <v>36.448456780141122</v>
      </c>
      <c r="M92" s="87">
        <f>IF(TrRoad_act!M8=0,0,M24/TrRoad_act!M8*1000)</f>
        <v>35.650018112435887</v>
      </c>
      <c r="N92" s="87">
        <f>IF(TrRoad_act!N8=0,0,N24/TrRoad_act!N8*1000)</f>
        <v>35.429634874427805</v>
      </c>
      <c r="O92" s="87">
        <f>IF(TrRoad_act!O8=0,0,O24/TrRoad_act!O8*1000)</f>
        <v>22.562100225155451</v>
      </c>
      <c r="P92" s="87">
        <f>IF(TrRoad_act!P8=0,0,P24/TrRoad_act!P8*1000)</f>
        <v>17.602937189604877</v>
      </c>
      <c r="Q92" s="87">
        <f>IF(TrRoad_act!Q8=0,0,Q24/TrRoad_act!Q8*1000)</f>
        <v>36.039577687222938</v>
      </c>
      <c r="R92" s="87">
        <f>IF(TrRoad_act!R8=0,0,R24/TrRoad_act!R8*1000)</f>
        <v>33.488088726762797</v>
      </c>
      <c r="S92" s="87">
        <f>IF(TrRoad_act!S8=0,0,S24/TrRoad_act!S8*1000)</f>
        <v>32.575581747176372</v>
      </c>
      <c r="T92" s="87">
        <f>IF(TrRoad_act!T8=0,0,T24/TrRoad_act!T8*1000)</f>
        <v>28.875897100819959</v>
      </c>
      <c r="U92" s="87">
        <f>IF(TrRoad_act!U8=0,0,U24/TrRoad_act!U8*1000)</f>
        <v>27.258767882948</v>
      </c>
      <c r="V92" s="87">
        <f>IF(TrRoad_act!V8=0,0,V24/TrRoad_act!V8*1000)</f>
        <v>23.006917807168893</v>
      </c>
      <c r="W92" s="87">
        <f>IF(TrRoad_act!W8=0,0,W24/TrRoad_act!W8*1000)</f>
        <v>25.487369648444261</v>
      </c>
      <c r="X92" s="87">
        <f>IF(TrRoad_act!X8=0,0,X24/TrRoad_act!X8*1000)</f>
        <v>26.788198119993336</v>
      </c>
      <c r="Y92" s="87">
        <f>IF(TrRoad_act!Y8=0,0,Y24/TrRoad_act!Y8*1000)</f>
        <v>29.187978933617707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48.398793625133059</v>
      </c>
      <c r="C93" s="87">
        <f>IF(TrRoad_act!C9=0,0,C26/TrRoad_act!C9*1000)</f>
        <v>53.394435340729174</v>
      </c>
      <c r="D93" s="87">
        <f>IF(TrRoad_act!D9=0,0,D26/TrRoad_act!D9*1000)</f>
        <v>55.079492750922526</v>
      </c>
      <c r="E93" s="87">
        <f>IF(TrRoad_act!E9=0,0,E26/TrRoad_act!E9*1000)</f>
        <v>50.177419877903432</v>
      </c>
      <c r="F93" s="87">
        <f>IF(TrRoad_act!F9=0,0,F26/TrRoad_act!F9*1000)</f>
        <v>50.807517762077765</v>
      </c>
      <c r="G93" s="87">
        <f>IF(TrRoad_act!G9=0,0,G26/TrRoad_act!G9*1000)</f>
        <v>51.375294910901026</v>
      </c>
      <c r="H93" s="87">
        <f>IF(TrRoad_act!H9=0,0,H26/TrRoad_act!H9*1000)</f>
        <v>50.897649582455223</v>
      </c>
      <c r="I93" s="87">
        <f>IF(TrRoad_act!I9=0,0,I26/TrRoad_act!I9*1000)</f>
        <v>50.065560418917805</v>
      </c>
      <c r="J93" s="87">
        <f>IF(TrRoad_act!J9=0,0,J26/TrRoad_act!J9*1000)</f>
        <v>49.516790842221262</v>
      </c>
      <c r="K93" s="87">
        <f>IF(TrRoad_act!K9=0,0,K26/TrRoad_act!K9*1000)</f>
        <v>46.758290223635761</v>
      </c>
      <c r="L93" s="87">
        <f>IF(TrRoad_act!L9=0,0,L26/TrRoad_act!L9*1000)</f>
        <v>45.646258115516162</v>
      </c>
      <c r="M93" s="87">
        <f>IF(TrRoad_act!M9=0,0,M26/TrRoad_act!M9*1000)</f>
        <v>70.774113094403944</v>
      </c>
      <c r="N93" s="87">
        <f>IF(TrRoad_act!N9=0,0,N26/TrRoad_act!N9*1000)</f>
        <v>37.670639554079699</v>
      </c>
      <c r="O93" s="87">
        <f>IF(TrRoad_act!O9=0,0,O26/TrRoad_act!O9*1000)</f>
        <v>35.575623349789517</v>
      </c>
      <c r="P93" s="87">
        <f>IF(TrRoad_act!P9=0,0,P26/TrRoad_act!P9*1000)</f>
        <v>34.742212734175354</v>
      </c>
      <c r="Q93" s="87">
        <f>IF(TrRoad_act!Q9=0,0,Q26/TrRoad_act!Q9*1000)</f>
        <v>34.322206159745569</v>
      </c>
      <c r="R93" s="87">
        <f>IF(TrRoad_act!R9=0,0,R26/TrRoad_act!R9*1000)</f>
        <v>31.230417630261346</v>
      </c>
      <c r="S93" s="87">
        <f>IF(TrRoad_act!S9=0,0,S26/TrRoad_act!S9*1000)</f>
        <v>30.674389046416852</v>
      </c>
      <c r="T93" s="87">
        <f>IF(TrRoad_act!T9=0,0,T26/TrRoad_act!T9*1000)</f>
        <v>30.640945852210983</v>
      </c>
      <c r="U93" s="87">
        <f>IF(TrRoad_act!U9=0,0,U26/TrRoad_act!U9*1000)</f>
        <v>30.913991155884872</v>
      </c>
      <c r="V93" s="87">
        <f>IF(TrRoad_act!V9=0,0,V26/TrRoad_act!V9*1000)</f>
        <v>32.704315020064506</v>
      </c>
      <c r="W93" s="87">
        <f>IF(TrRoad_act!W9=0,0,W26/TrRoad_act!W9*1000)</f>
        <v>31.213919943925465</v>
      </c>
      <c r="X93" s="87">
        <f>IF(TrRoad_act!X9=0,0,X26/TrRoad_act!X9*1000)</f>
        <v>30.425542433740759</v>
      </c>
      <c r="Y93" s="87">
        <f>IF(TrRoad_act!Y9=0,0,Y26/TrRoad_act!Y9*1000)</f>
        <v>29.579552251242166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47.924920591990727</v>
      </c>
      <c r="D94" s="87">
        <f>IF(TrRoad_act!D10=0,0,D27/TrRoad_act!D10*1000)</f>
        <v>48.315877633084312</v>
      </c>
      <c r="E94" s="87">
        <f>IF(TrRoad_act!E10=0,0,E27/TrRoad_act!E10*1000)</f>
        <v>48.728050170781792</v>
      </c>
      <c r="F94" s="87">
        <f>IF(TrRoad_act!F10=0,0,F27/TrRoad_act!F10*1000)</f>
        <v>49.208804289040025</v>
      </c>
      <c r="G94" s="87">
        <f>IF(TrRoad_act!G10=0,0,G27/TrRoad_act!G10*1000)</f>
        <v>49.556467413858563</v>
      </c>
      <c r="H94" s="87">
        <f>IF(TrRoad_act!H10=0,0,H27/TrRoad_act!H10*1000)</f>
        <v>49.44150842508855</v>
      </c>
      <c r="I94" s="87">
        <f>IF(TrRoad_act!I10=0,0,I27/TrRoad_act!I10*1000)</f>
        <v>49.028866747734988</v>
      </c>
      <c r="J94" s="87">
        <f>IF(TrRoad_act!J10=0,0,J27/TrRoad_act!J10*1000)</f>
        <v>48.827975701243915</v>
      </c>
      <c r="K94" s="87">
        <f>IF(TrRoad_act!K10=0,0,K27/TrRoad_act!K10*1000)</f>
        <v>46.79009297681889</v>
      </c>
      <c r="L94" s="87">
        <f>IF(TrRoad_act!L10=0,0,L27/TrRoad_act!L10*1000)</f>
        <v>45.616378690410961</v>
      </c>
      <c r="M94" s="87">
        <f>IF(TrRoad_act!M10=0,0,M27/TrRoad_act!M10*1000)</f>
        <v>41.984088647840402</v>
      </c>
      <c r="N94" s="87">
        <f>IF(TrRoad_act!N10=0,0,N27/TrRoad_act!N10*1000)</f>
        <v>36.483636590396273</v>
      </c>
      <c r="O94" s="87">
        <f>IF(TrRoad_act!O10=0,0,O27/TrRoad_act!O10*1000)</f>
        <v>34.856269699644635</v>
      </c>
      <c r="P94" s="87">
        <f>IF(TrRoad_act!P10=0,0,P27/TrRoad_act!P10*1000)</f>
        <v>33.937196171930687</v>
      </c>
      <c r="Q94" s="87">
        <f>IF(TrRoad_act!Q10=0,0,Q27/TrRoad_act!Q10*1000)</f>
        <v>30.809820305834087</v>
      </c>
      <c r="R94" s="87">
        <f>IF(TrRoad_act!R10=0,0,R27/TrRoad_act!R10*1000)</f>
        <v>29.870967091153268</v>
      </c>
      <c r="S94" s="87">
        <f>IF(TrRoad_act!S10=0,0,S27/TrRoad_act!S10*1000)</f>
        <v>29.230788887668371</v>
      </c>
      <c r="T94" s="87">
        <f>IF(TrRoad_act!T10=0,0,T27/TrRoad_act!T10*1000)</f>
        <v>28.634805215689841</v>
      </c>
      <c r="U94" s="87">
        <f>IF(TrRoad_act!U10=0,0,U27/TrRoad_act!U10*1000)</f>
        <v>27.274542716324223</v>
      </c>
      <c r="V94" s="87">
        <f>IF(TrRoad_act!V10=0,0,V27/TrRoad_act!V10*1000)</f>
        <v>25.747955830342292</v>
      </c>
      <c r="W94" s="87">
        <f>IF(TrRoad_act!W10=0,0,W27/TrRoad_act!W10*1000)</f>
        <v>22.057970342348526</v>
      </c>
      <c r="X94" s="87">
        <f>IF(TrRoad_act!X10=0,0,X27/TrRoad_act!X10*1000)</f>
        <v>21.153951877719656</v>
      </c>
      <c r="Y94" s="87">
        <f>IF(TrRoad_act!Y10=0,0,Y27/TrRoad_act!Y10*1000)</f>
        <v>20.426722833008348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10.729212179373459</v>
      </c>
      <c r="O95" s="87">
        <f>IF(TrRoad_act!O11=0,0,O29/TrRoad_act!O11*1000)</f>
        <v>6.3552289794711569</v>
      </c>
      <c r="P95" s="87">
        <f>IF(TrRoad_act!P11=0,0,P29/TrRoad_act!P11*1000)</f>
        <v>8.0402753712985913</v>
      </c>
      <c r="Q95" s="87">
        <f>IF(TrRoad_act!Q11=0,0,Q29/TrRoad_act!Q11*1000)</f>
        <v>8.9422298011181738</v>
      </c>
      <c r="R95" s="87">
        <f>IF(TrRoad_act!R11=0,0,R29/TrRoad_act!R11*1000)</f>
        <v>12.19788311821905</v>
      </c>
      <c r="S95" s="87">
        <f>IF(TrRoad_act!S11=0,0,S29/TrRoad_act!S11*1000)</f>
        <v>13.013220431799807</v>
      </c>
      <c r="T95" s="87">
        <f>IF(TrRoad_act!T11=0,0,T29/TrRoad_act!T11*1000)</f>
        <v>13.905358847380151</v>
      </c>
      <c r="U95" s="87">
        <f>IF(TrRoad_act!U11=0,0,U29/TrRoad_act!U11*1000)</f>
        <v>14.447571387874</v>
      </c>
      <c r="V95" s="87">
        <f>IF(TrRoad_act!V11=0,0,V29/TrRoad_act!V11*1000)</f>
        <v>13.615269852211382</v>
      </c>
      <c r="W95" s="87">
        <f>IF(TrRoad_act!W11=0,0,W29/TrRoad_act!W11*1000)</f>
        <v>12.699037641432172</v>
      </c>
      <c r="X95" s="87">
        <f>IF(TrRoad_act!X11=0,0,X29/TrRoad_act!X11*1000)</f>
        <v>12.359517293646752</v>
      </c>
      <c r="Y95" s="87">
        <f>IF(TrRoad_act!Y11=0,0,Y29/TrRoad_act!Y11*1000)</f>
        <v>11.782789859905067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0</v>
      </c>
      <c r="L96" s="87">
        <f>IF(TrRoad_act!L12=0,0,L32/TrRoad_act!L12*1000)</f>
        <v>0</v>
      </c>
      <c r="M96" s="87">
        <f>IF(TrRoad_act!M12=0,0,M32/TrRoad_act!M12*1000)</f>
        <v>0</v>
      </c>
      <c r="N96" s="87">
        <f>IF(TrRoad_act!N12=0,0,N32/TrRoad_act!N12*1000)</f>
        <v>6.2858240879660077</v>
      </c>
      <c r="O96" s="87">
        <f>IF(TrRoad_act!O12=0,0,O32/TrRoad_act!O12*1000)</f>
        <v>6.3248313111958119</v>
      </c>
      <c r="P96" s="87">
        <f>IF(TrRoad_act!P12=0,0,P32/TrRoad_act!P12*1000)</f>
        <v>6.1745537438079934</v>
      </c>
      <c r="Q96" s="87">
        <f>IF(TrRoad_act!Q12=0,0,Q32/TrRoad_act!Q12*1000)</f>
        <v>6.364241780151163</v>
      </c>
      <c r="R96" s="87">
        <f>IF(TrRoad_act!R12=0,0,R32/TrRoad_act!R12*1000)</f>
        <v>6.4231002164170174</v>
      </c>
      <c r="S96" s="87">
        <f>IF(TrRoad_act!S12=0,0,S32/TrRoad_act!S12*1000)</f>
        <v>6.3441178551211035</v>
      </c>
      <c r="T96" s="87">
        <f>IF(TrRoad_act!T12=0,0,T32/TrRoad_act!T12*1000)</f>
        <v>6.51088629680961</v>
      </c>
      <c r="U96" s="87">
        <f>IF(TrRoad_act!U12=0,0,U32/TrRoad_act!U12*1000)</f>
        <v>7.4577139773566241</v>
      </c>
      <c r="V96" s="87">
        <f>IF(TrRoad_act!V12=0,0,V32/TrRoad_act!V12*1000)</f>
        <v>8.7775958945945085</v>
      </c>
      <c r="W96" s="87">
        <f>IF(TrRoad_act!W12=0,0,W32/TrRoad_act!W12*1000)</f>
        <v>8.3899763216594145</v>
      </c>
      <c r="X96" s="87">
        <f>IF(TrRoad_act!X12=0,0,X32/TrRoad_act!X12*1000)</f>
        <v>8.1845784018223373</v>
      </c>
      <c r="Y96" s="87">
        <f>IF(TrRoad_act!Y12=0,0,Y32/TrRoad_act!Y12*1000)</f>
        <v>7.9981258313027404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26.102376885960279</v>
      </c>
      <c r="C97" s="116">
        <f>IF(TrRoad_act!C13=0,0,C33/TrRoad_act!C13*1000)</f>
        <v>25.160698993284505</v>
      </c>
      <c r="D97" s="116">
        <f>IF(TrRoad_act!D13=0,0,D33/TrRoad_act!D13*1000)</f>
        <v>24.827782744312206</v>
      </c>
      <c r="E97" s="116">
        <f>IF(TrRoad_act!E13=0,0,E33/TrRoad_act!E13*1000)</f>
        <v>32.035859900233476</v>
      </c>
      <c r="F97" s="116">
        <f>IF(TrRoad_act!F13=0,0,F33/TrRoad_act!F13*1000)</f>
        <v>24.610125796099112</v>
      </c>
      <c r="G97" s="116">
        <f>IF(TrRoad_act!G13=0,0,G33/TrRoad_act!G13*1000)</f>
        <v>27.678223129215556</v>
      </c>
      <c r="H97" s="116">
        <f>IF(TrRoad_act!H13=0,0,H33/TrRoad_act!H13*1000)</f>
        <v>26.972249945826547</v>
      </c>
      <c r="I97" s="116">
        <f>IF(TrRoad_act!I13=0,0,I33/TrRoad_act!I13*1000)</f>
        <v>27.54900371981546</v>
      </c>
      <c r="J97" s="116">
        <f>IF(TrRoad_act!J13=0,0,J33/TrRoad_act!J13*1000)</f>
        <v>25.121636314318788</v>
      </c>
      <c r="K97" s="116">
        <f>IF(TrRoad_act!K13=0,0,K33/TrRoad_act!K13*1000)</f>
        <v>31.471935201375963</v>
      </c>
      <c r="L97" s="116">
        <f>IF(TrRoad_act!L13=0,0,L33/TrRoad_act!L13*1000)</f>
        <v>27.366508172411127</v>
      </c>
      <c r="M97" s="116">
        <f>IF(TrRoad_act!M13=0,0,M33/TrRoad_act!M13*1000)</f>
        <v>29.059487452508819</v>
      </c>
      <c r="N97" s="116">
        <f>IF(TrRoad_act!N13=0,0,N33/TrRoad_act!N13*1000)</f>
        <v>23.997644914757224</v>
      </c>
      <c r="O97" s="116">
        <f>IF(TrRoad_act!O13=0,0,O33/TrRoad_act!O13*1000)</f>
        <v>27.272460223167496</v>
      </c>
      <c r="P97" s="116">
        <f>IF(TrRoad_act!P13=0,0,P33/TrRoad_act!P13*1000)</f>
        <v>26.408786670928091</v>
      </c>
      <c r="Q97" s="116">
        <f>IF(TrRoad_act!Q13=0,0,Q33/TrRoad_act!Q13*1000)</f>
        <v>25.15128222674986</v>
      </c>
      <c r="R97" s="116">
        <f>IF(TrRoad_act!R13=0,0,R33/TrRoad_act!R13*1000)</f>
        <v>25.784439730106289</v>
      </c>
      <c r="S97" s="116">
        <f>IF(TrRoad_act!S13=0,0,S33/TrRoad_act!S13*1000)</f>
        <v>26.509328183159042</v>
      </c>
      <c r="T97" s="116">
        <f>IF(TrRoad_act!T13=0,0,T33/TrRoad_act!T13*1000)</f>
        <v>26.769268490278687</v>
      </c>
      <c r="U97" s="116">
        <f>IF(TrRoad_act!U13=0,0,U33/TrRoad_act!U13*1000)</f>
        <v>27.882962428403022</v>
      </c>
      <c r="V97" s="116">
        <f>IF(TrRoad_act!V13=0,0,V33/TrRoad_act!V13*1000)</f>
        <v>41.824435480035717</v>
      </c>
      <c r="W97" s="116">
        <f>IF(TrRoad_act!W13=0,0,W33/TrRoad_act!W13*1000)</f>
        <v>39.737032810850408</v>
      </c>
      <c r="X97" s="116">
        <f>IF(TrRoad_act!X13=0,0,X33/TrRoad_act!X13*1000)</f>
        <v>31.890559979891346</v>
      </c>
      <c r="Y97" s="116">
        <f>IF(TrRoad_act!Y13=0,0,Y33/TrRoad_act!Y13*1000)</f>
        <v>30.851563977829112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X98" s="101">
        <f>IF(TrRoad_act!X14=0,0,X34/TrRoad_act!X14*1000)</f>
        <v>0</v>
      </c>
      <c r="Y98" s="101">
        <f>IF(TrRoad_act!Y14=0,0,Y34/TrRoad_act!Y14*1000)</f>
        <v>0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26.102376885960279</v>
      </c>
      <c r="C99" s="101">
        <f>IF(TrRoad_act!C15=0,0,C36/TrRoad_act!C15*1000)</f>
        <v>25.305192666155541</v>
      </c>
      <c r="D99" s="101">
        <f>IF(TrRoad_act!D15=0,0,D36/TrRoad_act!D15*1000)</f>
        <v>25.032568941724456</v>
      </c>
      <c r="E99" s="101">
        <f>IF(TrRoad_act!E15=0,0,E36/TrRoad_act!E15*1000)</f>
        <v>32.44273087834064</v>
      </c>
      <c r="F99" s="101">
        <f>IF(TrRoad_act!F15=0,0,F36/TrRoad_act!F15*1000)</f>
        <v>24.822069171764714</v>
      </c>
      <c r="G99" s="101">
        <f>IF(TrRoad_act!G15=0,0,G36/TrRoad_act!G15*1000)</f>
        <v>27.962984167249299</v>
      </c>
      <c r="H99" s="101">
        <f>IF(TrRoad_act!H15=0,0,H36/TrRoad_act!H15*1000)</f>
        <v>27.236056642133043</v>
      </c>
      <c r="I99" s="101">
        <f>IF(TrRoad_act!I15=0,0,I36/TrRoad_act!I15*1000)</f>
        <v>27.886074178710786</v>
      </c>
      <c r="J99" s="101">
        <f>IF(TrRoad_act!J15=0,0,J36/TrRoad_act!J15*1000)</f>
        <v>25.421497500989286</v>
      </c>
      <c r="K99" s="101">
        <f>IF(TrRoad_act!K15=0,0,K36/TrRoad_act!K15*1000)</f>
        <v>31.915479312338903</v>
      </c>
      <c r="L99" s="101">
        <f>IF(TrRoad_act!L15=0,0,L36/TrRoad_act!L15*1000)</f>
        <v>27.686644031443528</v>
      </c>
      <c r="M99" s="101">
        <f>IF(TrRoad_act!M15=0,0,M36/TrRoad_act!M15*1000)</f>
        <v>29.378909287165296</v>
      </c>
      <c r="N99" s="101">
        <f>IF(TrRoad_act!N15=0,0,N36/TrRoad_act!N15*1000)</f>
        <v>24.166658250785577</v>
      </c>
      <c r="O99" s="101">
        <f>IF(TrRoad_act!O15=0,0,O36/TrRoad_act!O15*1000)</f>
        <v>27.909025883732319</v>
      </c>
      <c r="P99" s="101">
        <f>IF(TrRoad_act!P15=0,0,P36/TrRoad_act!P15*1000)</f>
        <v>26.991702494060902</v>
      </c>
      <c r="Q99" s="101">
        <f>IF(TrRoad_act!Q15=0,0,Q36/TrRoad_act!Q15*1000)</f>
        <v>25.666989953149692</v>
      </c>
      <c r="R99" s="101">
        <f>IF(TrRoad_act!R15=0,0,R36/TrRoad_act!R15*1000)</f>
        <v>26.159235671300888</v>
      </c>
      <c r="S99" s="101">
        <f>IF(TrRoad_act!S15=0,0,S36/TrRoad_act!S15*1000)</f>
        <v>27.153252888517414</v>
      </c>
      <c r="T99" s="101">
        <f>IF(TrRoad_act!T15=0,0,T36/TrRoad_act!T15*1000)</f>
        <v>27.449788193756426</v>
      </c>
      <c r="U99" s="101">
        <f>IF(TrRoad_act!U15=0,0,U36/TrRoad_act!U15*1000)</f>
        <v>28.598874349170718</v>
      </c>
      <c r="V99" s="101">
        <f>IF(TrRoad_act!V15=0,0,V36/TrRoad_act!V15*1000)</f>
        <v>43.095315044986165</v>
      </c>
      <c r="W99" s="101">
        <f>IF(TrRoad_act!W15=0,0,W36/TrRoad_act!W15*1000)</f>
        <v>40.919531298371453</v>
      </c>
      <c r="X99" s="101">
        <f>IF(TrRoad_act!X15=0,0,X36/TrRoad_act!X15*1000)</f>
        <v>33.094540731072556</v>
      </c>
      <c r="Y99" s="101">
        <f>IF(TrRoad_act!Y15=0,0,Y36/TrRoad_act!Y15*1000)</f>
        <v>32.246674969357436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X100" s="101">
        <f>IF(TrRoad_act!X16=0,0,X38/TrRoad_act!X16*1000)</f>
        <v>0</v>
      </c>
      <c r="Y100" s="101">
        <f>IF(TrRoad_act!Y16=0,0,Y38/TrRoad_act!Y16*1000)</f>
        <v>0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15.723857804537563</v>
      </c>
      <c r="D101" s="101">
        <f>IF(TrRoad_act!D17=0,0,D39/TrRoad_act!D17*1000)</f>
        <v>16.115358272141862</v>
      </c>
      <c r="E101" s="101">
        <f>IF(TrRoad_act!E17=0,0,E39/TrRoad_act!E17*1000)</f>
        <v>16.268139870680599</v>
      </c>
      <c r="F101" s="101">
        <f>IF(TrRoad_act!F17=0,0,F39/TrRoad_act!F17*1000)</f>
        <v>16.423912608530497</v>
      </c>
      <c r="G101" s="101">
        <f>IF(TrRoad_act!G17=0,0,G39/TrRoad_act!G17*1000)</f>
        <v>17.313665217723361</v>
      </c>
      <c r="H101" s="101">
        <f>IF(TrRoad_act!H17=0,0,H39/TrRoad_act!H17*1000)</f>
        <v>17.662464242265493</v>
      </c>
      <c r="I101" s="101">
        <f>IF(TrRoad_act!I17=0,0,I39/TrRoad_act!I17*1000)</f>
        <v>17.347150972533523</v>
      </c>
      <c r="J101" s="101">
        <f>IF(TrRoad_act!J17=0,0,J39/TrRoad_act!J17*1000)</f>
        <v>16.430465822952467</v>
      </c>
      <c r="K101" s="101">
        <f>IF(TrRoad_act!K17=0,0,K39/TrRoad_act!K17*1000)</f>
        <v>18.065502191849724</v>
      </c>
      <c r="L101" s="101">
        <f>IF(TrRoad_act!L17=0,0,L39/TrRoad_act!L17*1000)</f>
        <v>17.274585541542635</v>
      </c>
      <c r="M101" s="101">
        <f>IF(TrRoad_act!M17=0,0,M39/TrRoad_act!M17*1000)</f>
        <v>18.717721661414551</v>
      </c>
      <c r="N101" s="101">
        <f>IF(TrRoad_act!N17=0,0,N39/TrRoad_act!N17*1000)</f>
        <v>18.521006979620477</v>
      </c>
      <c r="O101" s="101">
        <f>IF(TrRoad_act!O17=0,0,O39/TrRoad_act!O17*1000)</f>
        <v>17.699439129002403</v>
      </c>
      <c r="P101" s="101">
        <f>IF(TrRoad_act!P17=0,0,P39/TrRoad_act!P17*1000)</f>
        <v>17.884369838389144</v>
      </c>
      <c r="Q101" s="101">
        <f>IF(TrRoad_act!Q17=0,0,Q39/TrRoad_act!Q17*1000)</f>
        <v>18.536720199770969</v>
      </c>
      <c r="R101" s="101">
        <f>IF(TrRoad_act!R17=0,0,R39/TrRoad_act!R17*1000)</f>
        <v>24.049289349076382</v>
      </c>
      <c r="S101" s="101">
        <f>IF(TrRoad_act!S17=0,0,S39/TrRoad_act!S17*1000)</f>
        <v>16.602153359575929</v>
      </c>
      <c r="T101" s="101">
        <f>IF(TrRoad_act!T17=0,0,T39/TrRoad_act!T17*1000)</f>
        <v>17.5148775012489</v>
      </c>
      <c r="U101" s="101">
        <f>IF(TrRoad_act!U17=0,0,U39/TrRoad_act!U17*1000)</f>
        <v>19.39937502080118</v>
      </c>
      <c r="V101" s="101">
        <f>IF(TrRoad_act!V17=0,0,V39/TrRoad_act!V17*1000)</f>
        <v>26.032951939578201</v>
      </c>
      <c r="W101" s="101">
        <f>IF(TrRoad_act!W17=0,0,W39/TrRoad_act!W17*1000)</f>
        <v>26.805765863142469</v>
      </c>
      <c r="X101" s="101">
        <f>IF(TrRoad_act!X17=0,0,X39/TrRoad_act!X17*1000)</f>
        <v>20.019209918820138</v>
      </c>
      <c r="Y101" s="101">
        <f>IF(TrRoad_act!Y17=0,0,Y39/TrRoad_act!Y17*1000)</f>
        <v>16.008962088097217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0</v>
      </c>
      <c r="K102" s="101">
        <f>IF(TrRoad_act!K18=0,0,K41/TrRoad_act!K18*1000)</f>
        <v>0</v>
      </c>
      <c r="L102" s="101">
        <f>IF(TrRoad_act!L18=0,0,L41/TrRoad_act!L18*1000)</f>
        <v>0</v>
      </c>
      <c r="M102" s="101">
        <f>IF(TrRoad_act!M18=0,0,M41/TrRoad_act!M18*1000)</f>
        <v>0</v>
      </c>
      <c r="N102" s="101">
        <f>IF(TrRoad_act!N18=0,0,N41/TrRoad_act!N18*1000)</f>
        <v>0</v>
      </c>
      <c r="O102" s="101">
        <f>IF(TrRoad_act!O18=0,0,O41/TrRoad_act!O18*1000)</f>
        <v>11.197564807832171</v>
      </c>
      <c r="P102" s="101">
        <f>IF(TrRoad_act!P18=0,0,P41/TrRoad_act!P18*1000)</f>
        <v>11.203987553776056</v>
      </c>
      <c r="Q102" s="101">
        <f>IF(TrRoad_act!Q18=0,0,Q41/TrRoad_act!Q18*1000)</f>
        <v>11.111743367673096</v>
      </c>
      <c r="R102" s="101">
        <f>IF(TrRoad_act!R18=0,0,R41/TrRoad_act!R18*1000)</f>
        <v>11.110458174689956</v>
      </c>
      <c r="S102" s="101">
        <f>IF(TrRoad_act!S18=0,0,S41/TrRoad_act!S18*1000)</f>
        <v>11.120296477708894</v>
      </c>
      <c r="T102" s="101">
        <f>IF(TrRoad_act!T18=0,0,T41/TrRoad_act!T18*1000)</f>
        <v>11.140154417149812</v>
      </c>
      <c r="U102" s="101">
        <f>IF(TrRoad_act!U18=0,0,U41/TrRoad_act!U18*1000)</f>
        <v>11.165013991305907</v>
      </c>
      <c r="V102" s="101">
        <f>IF(TrRoad_act!V18=0,0,V41/TrRoad_act!V18*1000)</f>
        <v>17.011872517683916</v>
      </c>
      <c r="W102" s="101">
        <f>IF(TrRoad_act!W18=0,0,W41/TrRoad_act!W18*1000)</f>
        <v>16.480032522600997</v>
      </c>
      <c r="X102" s="101">
        <f>IF(TrRoad_act!X18=0,0,X41/TrRoad_act!X18*1000)</f>
        <v>12.883004581344345</v>
      </c>
      <c r="Y102" s="101">
        <f>IF(TrRoad_act!Y18=0,0,Y41/TrRoad_act!Y18*1000)</f>
        <v>12.176982768737957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72.607394812021596</v>
      </c>
      <c r="C103" s="29">
        <f>IF(TrRoad_act!C19=0,0,C42/TrRoad_act!C19*1000)</f>
        <v>71.154739108788903</v>
      </c>
      <c r="D103" s="29">
        <f>IF(TrRoad_act!D19=0,0,D42/TrRoad_act!D19*1000)</f>
        <v>70.757782306770196</v>
      </c>
      <c r="E103" s="29">
        <f>IF(TrRoad_act!E19=0,0,E42/TrRoad_act!E19*1000)</f>
        <v>103.48981508967783</v>
      </c>
      <c r="F103" s="29">
        <f>IF(TrRoad_act!F19=0,0,F42/TrRoad_act!F19*1000)</f>
        <v>57.75768848795871</v>
      </c>
      <c r="G103" s="29">
        <f>IF(TrRoad_act!G19=0,0,G42/TrRoad_act!G19*1000)</f>
        <v>83.396132112578087</v>
      </c>
      <c r="H103" s="29">
        <f>IF(TrRoad_act!H19=0,0,H42/TrRoad_act!H19*1000)</f>
        <v>67.363135474196966</v>
      </c>
      <c r="I103" s="29">
        <f>IF(TrRoad_act!I19=0,0,I42/TrRoad_act!I19*1000)</f>
        <v>82.764180359549215</v>
      </c>
      <c r="J103" s="29">
        <f>IF(TrRoad_act!J19=0,0,J42/TrRoad_act!J19*1000)</f>
        <v>75.002911084054148</v>
      </c>
      <c r="K103" s="29">
        <f>IF(TrRoad_act!K19=0,0,K42/TrRoad_act!K19*1000)</f>
        <v>87.992940680564189</v>
      </c>
      <c r="L103" s="29">
        <f>IF(TrRoad_act!L19=0,0,L42/TrRoad_act!L19*1000)</f>
        <v>75.223648638293923</v>
      </c>
      <c r="M103" s="29">
        <f>IF(TrRoad_act!M19=0,0,M42/TrRoad_act!M19*1000)</f>
        <v>87.669498939312803</v>
      </c>
      <c r="N103" s="29">
        <f>IF(TrRoad_act!N19=0,0,N42/TrRoad_act!N19*1000)</f>
        <v>66.708162805162857</v>
      </c>
      <c r="O103" s="29">
        <f>IF(TrRoad_act!O19=0,0,O42/TrRoad_act!O19*1000)</f>
        <v>93.153192514248985</v>
      </c>
      <c r="P103" s="29">
        <f>IF(TrRoad_act!P19=0,0,P42/TrRoad_act!P19*1000)</f>
        <v>85.771209918671232</v>
      </c>
      <c r="Q103" s="29">
        <f>IF(TrRoad_act!Q19=0,0,Q42/TrRoad_act!Q19*1000)</f>
        <v>82.796066479159478</v>
      </c>
      <c r="R103" s="29">
        <f>IF(TrRoad_act!R19=0,0,R42/TrRoad_act!R19*1000)</f>
        <v>79.93672296986297</v>
      </c>
      <c r="S103" s="29">
        <f>IF(TrRoad_act!S19=0,0,S42/TrRoad_act!S19*1000)</f>
        <v>75.751157767341482</v>
      </c>
      <c r="T103" s="29">
        <f>IF(TrRoad_act!T19=0,0,T42/TrRoad_act!T19*1000)</f>
        <v>78.766605433892721</v>
      </c>
      <c r="U103" s="29">
        <f>IF(TrRoad_act!U19=0,0,U42/TrRoad_act!U19*1000)</f>
        <v>83.892089251747663</v>
      </c>
      <c r="V103" s="29">
        <f>IF(TrRoad_act!V19=0,0,V42/TrRoad_act!V19*1000)</f>
        <v>88.975455118078557</v>
      </c>
      <c r="W103" s="29">
        <f>IF(TrRoad_act!W19=0,0,W42/TrRoad_act!W19*1000)</f>
        <v>80.115351221623229</v>
      </c>
      <c r="X103" s="29">
        <f>IF(TrRoad_act!X19=0,0,X42/TrRoad_act!X19*1000)</f>
        <v>83.111818908862276</v>
      </c>
      <c r="Y103" s="29">
        <f>IF(TrRoad_act!Y19=0,0,Y42/TrRoad_act!Y19*1000)</f>
        <v>87.613185656758475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607.60948512873745</v>
      </c>
      <c r="C104" s="152">
        <f>IF(TrRoad_act!C20=0,0,C43/TrRoad_act!C20*1000)</f>
        <v>572.65265314205317</v>
      </c>
      <c r="D104" s="152">
        <f>IF(TrRoad_act!D20=0,0,D43/TrRoad_act!D20*1000)</f>
        <v>548.48420969341169</v>
      </c>
      <c r="E104" s="152">
        <f>IF(TrRoad_act!E20=0,0,E43/TrRoad_act!E20*1000)</f>
        <v>518.49861689717625</v>
      </c>
      <c r="F104" s="152">
        <f>IF(TrRoad_act!F20=0,0,F43/TrRoad_act!F20*1000)</f>
        <v>497.58813371317461</v>
      </c>
      <c r="G104" s="152">
        <f>IF(TrRoad_act!G20=0,0,G43/TrRoad_act!G20*1000)</f>
        <v>483.30572340297743</v>
      </c>
      <c r="H104" s="152">
        <f>IF(TrRoad_act!H20=0,0,H43/TrRoad_act!H20*1000)</f>
        <v>455.08770676961268</v>
      </c>
      <c r="I104" s="152">
        <f>IF(TrRoad_act!I20=0,0,I43/TrRoad_act!I20*1000)</f>
        <v>436.47398519773174</v>
      </c>
      <c r="J104" s="152">
        <f>IF(TrRoad_act!J20=0,0,J43/TrRoad_act!J20*1000)</f>
        <v>424.04140077899507</v>
      </c>
      <c r="K104" s="152">
        <f>IF(TrRoad_act!K20=0,0,K43/TrRoad_act!K20*1000)</f>
        <v>392.73426447340802</v>
      </c>
      <c r="L104" s="152">
        <f>IF(TrRoad_act!L20=0,0,L43/TrRoad_act!L20*1000)</f>
        <v>376.24282578944366</v>
      </c>
      <c r="M104" s="152">
        <f>IF(TrRoad_act!M20=0,0,M43/TrRoad_act!M20*1000)</f>
        <v>360.42028806646221</v>
      </c>
      <c r="N104" s="152">
        <f>IF(TrRoad_act!N20=0,0,N43/TrRoad_act!N20*1000)</f>
        <v>349.61597350573425</v>
      </c>
      <c r="O104" s="152">
        <f>IF(TrRoad_act!O20=0,0,O43/TrRoad_act!O20*1000)</f>
        <v>343.33156329850084</v>
      </c>
      <c r="P104" s="152">
        <f>IF(TrRoad_act!P20=0,0,P43/TrRoad_act!P20*1000)</f>
        <v>340.5677143750446</v>
      </c>
      <c r="Q104" s="152">
        <f>IF(TrRoad_act!Q20=0,0,Q43/TrRoad_act!Q20*1000)</f>
        <v>331.87198922199633</v>
      </c>
      <c r="R104" s="152">
        <f>IF(TrRoad_act!R20=0,0,R43/TrRoad_act!R20*1000)</f>
        <v>325.10798502176692</v>
      </c>
      <c r="S104" s="152">
        <f>IF(TrRoad_act!S20=0,0,S43/TrRoad_act!S20*1000)</f>
        <v>327.5866314260731</v>
      </c>
      <c r="T104" s="152">
        <f>IF(TrRoad_act!T20=0,0,T43/TrRoad_act!T20*1000)</f>
        <v>334.77848315300758</v>
      </c>
      <c r="U104" s="152">
        <f>IF(TrRoad_act!U20=0,0,U43/TrRoad_act!U20*1000)</f>
        <v>333.49848887015816</v>
      </c>
      <c r="V104" s="152">
        <f>IF(TrRoad_act!V20=0,0,V43/TrRoad_act!V20*1000)</f>
        <v>326.00485658352142</v>
      </c>
      <c r="W104" s="152">
        <f>IF(TrRoad_act!W20=0,0,W43/TrRoad_act!W20*1000)</f>
        <v>331.82793464837846</v>
      </c>
      <c r="X104" s="152">
        <f>IF(TrRoad_act!X20=0,0,X43/TrRoad_act!X20*1000)</f>
        <v>326.72993976372197</v>
      </c>
      <c r="Y104" s="152">
        <f>IF(TrRoad_act!Y20=0,0,Y43/TrRoad_act!Y20*1000)</f>
        <v>321.17648521717132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698.80093101930197</v>
      </c>
      <c r="C105" s="87">
        <f>IF(TrRoad_act!C21=0,0,C44/TrRoad_act!C21*1000)</f>
        <v>674.08847745366108</v>
      </c>
      <c r="D105" s="87">
        <f>IF(TrRoad_act!D21=0,0,D44/TrRoad_act!D21*1000)</f>
        <v>655.57747792620398</v>
      </c>
      <c r="E105" s="87">
        <f>IF(TrRoad_act!E21=0,0,E44/TrRoad_act!E21*1000)</f>
        <v>643.10343648965568</v>
      </c>
      <c r="F105" s="87">
        <f>IF(TrRoad_act!F21=0,0,F44/TrRoad_act!F21*1000)</f>
        <v>631.05107318947182</v>
      </c>
      <c r="G105" s="87">
        <f>IF(TrRoad_act!G21=0,0,G44/TrRoad_act!G21*1000)</f>
        <v>622.16695439151897</v>
      </c>
      <c r="H105" s="87">
        <f>IF(TrRoad_act!H21=0,0,H44/TrRoad_act!H21*1000)</f>
        <v>608.27614840835417</v>
      </c>
      <c r="I105" s="87">
        <f>IF(TrRoad_act!I21=0,0,I44/TrRoad_act!I21*1000)</f>
        <v>590.61519563396268</v>
      </c>
      <c r="J105" s="87">
        <f>IF(TrRoad_act!J21=0,0,J44/TrRoad_act!J21*1000)</f>
        <v>568.54472630274199</v>
      </c>
      <c r="K105" s="87">
        <f>IF(TrRoad_act!K21=0,0,K44/TrRoad_act!K21*1000)</f>
        <v>549.76383993109926</v>
      </c>
      <c r="L105" s="87">
        <f>IF(TrRoad_act!L21=0,0,L44/TrRoad_act!L21*1000)</f>
        <v>538.07048954715754</v>
      </c>
      <c r="M105" s="87">
        <f>IF(TrRoad_act!M21=0,0,M44/TrRoad_act!M21*1000)</f>
        <v>519.8137334429166</v>
      </c>
      <c r="N105" s="87">
        <f>IF(TrRoad_act!N21=0,0,N44/TrRoad_act!N21*1000)</f>
        <v>511.00289592292359</v>
      </c>
      <c r="O105" s="87">
        <f>IF(TrRoad_act!O21=0,0,O44/TrRoad_act!O21*1000)</f>
        <v>514.29346936140587</v>
      </c>
      <c r="P105" s="87">
        <f>IF(TrRoad_act!P21=0,0,P44/TrRoad_act!P21*1000)</f>
        <v>509.40425003137881</v>
      </c>
      <c r="Q105" s="87">
        <f>IF(TrRoad_act!Q21=0,0,Q44/TrRoad_act!Q21*1000)</f>
        <v>501.16599348119996</v>
      </c>
      <c r="R105" s="87">
        <f>IF(TrRoad_act!R21=0,0,R44/TrRoad_act!R21*1000)</f>
        <v>486.68601944361899</v>
      </c>
      <c r="S105" s="87">
        <f>IF(TrRoad_act!S21=0,0,S44/TrRoad_act!S21*1000)</f>
        <v>490.61100555346337</v>
      </c>
      <c r="T105" s="87">
        <f>IF(TrRoad_act!T21=0,0,T44/TrRoad_act!T21*1000)</f>
        <v>497.30731694371252</v>
      </c>
      <c r="U105" s="87">
        <f>IF(TrRoad_act!U21=0,0,U44/TrRoad_act!U21*1000)</f>
        <v>481.9899995866013</v>
      </c>
      <c r="V105" s="87">
        <f>IF(TrRoad_act!V21=0,0,V44/TrRoad_act!V21*1000)</f>
        <v>461.48254436557806</v>
      </c>
      <c r="W105" s="87">
        <f>IF(TrRoad_act!W21=0,0,W44/TrRoad_act!W21*1000)</f>
        <v>458.86910208257291</v>
      </c>
      <c r="X105" s="87">
        <f>IF(TrRoad_act!X21=0,0,X44/TrRoad_act!X21*1000)</f>
        <v>447.80179439395476</v>
      </c>
      <c r="Y105" s="87">
        <f>IF(TrRoad_act!Y21=0,0,Y44/TrRoad_act!Y21*1000)</f>
        <v>437.86471912828421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366.59459412346632</v>
      </c>
      <c r="C106" s="87">
        <f>IF(TrRoad_act!C22=0,0,C46/TrRoad_act!C22*1000)</f>
        <v>345.90799327792621</v>
      </c>
      <c r="D106" s="87">
        <f>IF(TrRoad_act!D22=0,0,D46/TrRoad_act!D22*1000)</f>
        <v>332.55431515962363</v>
      </c>
      <c r="E106" s="87">
        <f>IF(TrRoad_act!E22=0,0,E46/TrRoad_act!E22*1000)</f>
        <v>313.41559306242709</v>
      </c>
      <c r="F106" s="87">
        <f>IF(TrRoad_act!F22=0,0,F46/TrRoad_act!F22*1000)</f>
        <v>305.72603400491607</v>
      </c>
      <c r="G106" s="87">
        <f>IF(TrRoad_act!G22=0,0,G46/TrRoad_act!G22*1000)</f>
        <v>300.04158487040638</v>
      </c>
      <c r="H106" s="87">
        <f>IF(TrRoad_act!H22=0,0,H46/TrRoad_act!H22*1000)</f>
        <v>292.03385764509773</v>
      </c>
      <c r="I106" s="87">
        <f>IF(TrRoad_act!I22=0,0,I46/TrRoad_act!I22*1000)</f>
        <v>286.87595081824446</v>
      </c>
      <c r="J106" s="87">
        <f>IF(TrRoad_act!J22=0,0,J46/TrRoad_act!J22*1000)</f>
        <v>282.42194241463471</v>
      </c>
      <c r="K106" s="87">
        <f>IF(TrRoad_act!K22=0,0,K46/TrRoad_act!K22*1000)</f>
        <v>278.61753150002562</v>
      </c>
      <c r="L106" s="87">
        <f>IF(TrRoad_act!L22=0,0,L46/TrRoad_act!L22*1000)</f>
        <v>276.84172723647299</v>
      </c>
      <c r="M106" s="87">
        <f>IF(TrRoad_act!M22=0,0,M46/TrRoad_act!M22*1000)</f>
        <v>269.70105506484327</v>
      </c>
      <c r="N106" s="87">
        <f>IF(TrRoad_act!N22=0,0,N46/TrRoad_act!N22*1000)</f>
        <v>261.26066424598343</v>
      </c>
      <c r="O106" s="87">
        <f>IF(TrRoad_act!O22=0,0,O46/TrRoad_act!O22*1000)</f>
        <v>272.30962042546145</v>
      </c>
      <c r="P106" s="87">
        <f>IF(TrRoad_act!P22=0,0,P46/TrRoad_act!P22*1000)</f>
        <v>272.43344088192833</v>
      </c>
      <c r="Q106" s="87">
        <f>IF(TrRoad_act!Q22=0,0,Q46/TrRoad_act!Q22*1000)</f>
        <v>277.84785626478896</v>
      </c>
      <c r="R106" s="87">
        <f>IF(TrRoad_act!R22=0,0,R46/TrRoad_act!R22*1000)</f>
        <v>275.7411195353979</v>
      </c>
      <c r="S106" s="87">
        <f>IF(TrRoad_act!S22=0,0,S46/TrRoad_act!S22*1000)</f>
        <v>273.16146789374426</v>
      </c>
      <c r="T106" s="87">
        <f>IF(TrRoad_act!T22=0,0,T46/TrRoad_act!T22*1000)</f>
        <v>271.3241397265748</v>
      </c>
      <c r="U106" s="87">
        <f>IF(TrRoad_act!U22=0,0,U46/TrRoad_act!U22*1000)</f>
        <v>273.70369109427054</v>
      </c>
      <c r="V106" s="87">
        <f>IF(TrRoad_act!V22=0,0,V46/TrRoad_act!V22*1000)</f>
        <v>267.18143666761841</v>
      </c>
      <c r="W106" s="87">
        <f>IF(TrRoad_act!W22=0,0,W46/TrRoad_act!W22*1000)</f>
        <v>274.27428773128753</v>
      </c>
      <c r="X106" s="87">
        <f>IF(TrRoad_act!X22=0,0,X46/TrRoad_act!X22*1000)</f>
        <v>274.30808957317964</v>
      </c>
      <c r="Y106" s="87">
        <f>IF(TrRoad_act!Y22=0,0,Y46/TrRoad_act!Y22*1000)</f>
        <v>272.73443842032242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0</v>
      </c>
      <c r="P107" s="87">
        <f>IF(TrRoad_act!P23=0,0,P48/TrRoad_act!P23*1000)</f>
        <v>0</v>
      </c>
      <c r="Q107" s="87">
        <f>IF(TrRoad_act!Q23=0,0,Q48/TrRoad_act!Q23*1000)</f>
        <v>0</v>
      </c>
      <c r="R107" s="87">
        <f>IF(TrRoad_act!R23=0,0,R48/TrRoad_act!R23*1000)</f>
        <v>0</v>
      </c>
      <c r="S107" s="87">
        <f>IF(TrRoad_act!S23=0,0,S48/TrRoad_act!S23*1000)</f>
        <v>0</v>
      </c>
      <c r="T107" s="87">
        <f>IF(TrRoad_act!T23=0,0,T48/TrRoad_act!T23*1000)</f>
        <v>0</v>
      </c>
      <c r="U107" s="87">
        <f>IF(TrRoad_act!U23=0,0,U48/TrRoad_act!U23*1000)</f>
        <v>0</v>
      </c>
      <c r="V107" s="87">
        <f>IF(TrRoad_act!V23=0,0,V48/TrRoad_act!V23*1000)</f>
        <v>0</v>
      </c>
      <c r="W107" s="87">
        <f>IF(TrRoad_act!W23=0,0,W48/TrRoad_act!W23*1000)</f>
        <v>0</v>
      </c>
      <c r="X107" s="87">
        <f>IF(TrRoad_act!X23=0,0,X48/TrRoad_act!X23*1000)</f>
        <v>0</v>
      </c>
      <c r="Y107" s="87">
        <f>IF(TrRoad_act!Y23=0,0,Y48/TrRoad_act!Y23*1000)</f>
        <v>0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X108" s="87">
        <f>IF(TrRoad_act!X24=0,0,X49/TrRoad_act!X24*1000)</f>
        <v>0</v>
      </c>
      <c r="Y108" s="87">
        <f>IF(TrRoad_act!Y24=0,0,Y49/TrRoad_act!Y24*1000)</f>
        <v>0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0</v>
      </c>
      <c r="N109" s="87">
        <f>IF(TrRoad_act!N25=0,0,N51/TrRoad_act!N25*1000)</f>
        <v>0</v>
      </c>
      <c r="O109" s="87">
        <f>IF(TrRoad_act!O25=0,0,O51/TrRoad_act!O25*1000)</f>
        <v>0</v>
      </c>
      <c r="P109" s="87">
        <f>IF(TrRoad_act!P25=0,0,P51/TrRoad_act!P25*1000)</f>
        <v>0</v>
      </c>
      <c r="Q109" s="87">
        <f>IF(TrRoad_act!Q25=0,0,Q51/TrRoad_act!Q25*1000)</f>
        <v>0</v>
      </c>
      <c r="R109" s="87">
        <f>IF(TrRoad_act!R25=0,0,R51/TrRoad_act!R25*1000)</f>
        <v>0</v>
      </c>
      <c r="S109" s="87">
        <f>IF(TrRoad_act!S25=0,0,S51/TrRoad_act!S25*1000)</f>
        <v>0</v>
      </c>
      <c r="T109" s="87">
        <f>IF(TrRoad_act!T25=0,0,T51/TrRoad_act!T25*1000)</f>
        <v>0</v>
      </c>
      <c r="U109" s="87">
        <f>IF(TrRoad_act!U25=0,0,U51/TrRoad_act!U25*1000)</f>
        <v>0</v>
      </c>
      <c r="V109" s="87">
        <f>IF(TrRoad_act!V25=0,0,V51/TrRoad_act!V25*1000)</f>
        <v>0</v>
      </c>
      <c r="W109" s="87">
        <f>IF(TrRoad_act!W25=0,0,W51/TrRoad_act!W25*1000)</f>
        <v>0</v>
      </c>
      <c r="X109" s="87">
        <f>IF(TrRoad_act!X25=0,0,X51/TrRoad_act!X25*1000)</f>
        <v>0</v>
      </c>
      <c r="Y109" s="87">
        <f>IF(TrRoad_act!Y25=0,0,Y51/TrRoad_act!Y25*1000)</f>
        <v>0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44.148844173364239</v>
      </c>
      <c r="C110" s="116">
        <f>IF(TrRoad_act!C26=0,0,C52/TrRoad_act!C26*1000)</f>
        <v>43.807417682066571</v>
      </c>
      <c r="D110" s="116">
        <f>IF(TrRoad_act!D26=0,0,D52/TrRoad_act!D26*1000)</f>
        <v>43.658374159838907</v>
      </c>
      <c r="E110" s="116">
        <f>IF(TrRoad_act!E26=0,0,E52/TrRoad_act!E26*1000)</f>
        <v>65.087456008315499</v>
      </c>
      <c r="F110" s="116">
        <f>IF(TrRoad_act!F26=0,0,F52/TrRoad_act!F26*1000)</f>
        <v>36.725578996031658</v>
      </c>
      <c r="G110" s="116">
        <f>IF(TrRoad_act!G26=0,0,G52/TrRoad_act!G26*1000)</f>
        <v>52.872275785403843</v>
      </c>
      <c r="H110" s="116">
        <f>IF(TrRoad_act!H26=0,0,H52/TrRoad_act!H26*1000)</f>
        <v>43.564575020305945</v>
      </c>
      <c r="I110" s="116">
        <f>IF(TrRoad_act!I26=0,0,I52/TrRoad_act!I26*1000)</f>
        <v>54.065016003484516</v>
      </c>
      <c r="J110" s="116">
        <f>IF(TrRoad_act!J26=0,0,J52/TrRoad_act!J26*1000)</f>
        <v>49.020278409533283</v>
      </c>
      <c r="K110" s="116">
        <f>IF(TrRoad_act!K26=0,0,K52/TrRoad_act!K26*1000)</f>
        <v>64.756684795740355</v>
      </c>
      <c r="L110" s="116">
        <f>IF(TrRoad_act!L26=0,0,L52/TrRoad_act!L26*1000)</f>
        <v>52.505385723816026</v>
      </c>
      <c r="M110" s="116">
        <f>IF(TrRoad_act!M26=0,0,M52/TrRoad_act!M26*1000)</f>
        <v>60.675232474109656</v>
      </c>
      <c r="N110" s="116">
        <f>IF(TrRoad_act!N26=0,0,N52/TrRoad_act!N26*1000)</f>
        <v>42.801757233453749</v>
      </c>
      <c r="O110" s="116">
        <f>IF(TrRoad_act!O26=0,0,O52/TrRoad_act!O26*1000)</f>
        <v>62.516385769478518</v>
      </c>
      <c r="P110" s="116">
        <f>IF(TrRoad_act!P26=0,0,P52/TrRoad_act!P26*1000)</f>
        <v>58.572864303832525</v>
      </c>
      <c r="Q110" s="116">
        <f>IF(TrRoad_act!Q26=0,0,Q52/TrRoad_act!Q26*1000)</f>
        <v>50.339107600509124</v>
      </c>
      <c r="R110" s="116">
        <f>IF(TrRoad_act!R26=0,0,R52/TrRoad_act!R26*1000)</f>
        <v>48.397177343343877</v>
      </c>
      <c r="S110" s="116">
        <f>IF(TrRoad_act!S26=0,0,S52/TrRoad_act!S26*1000)</f>
        <v>47.90031685930947</v>
      </c>
      <c r="T110" s="116">
        <f>IF(TrRoad_act!T26=0,0,T52/TrRoad_act!T26*1000)</f>
        <v>50.740369100681221</v>
      </c>
      <c r="U110" s="116">
        <f>IF(TrRoad_act!U26=0,0,U52/TrRoad_act!U26*1000)</f>
        <v>55.832741266192315</v>
      </c>
      <c r="V110" s="116">
        <f>IF(TrRoad_act!V26=0,0,V52/TrRoad_act!V26*1000)</f>
        <v>62.418108100565675</v>
      </c>
      <c r="W110" s="116">
        <f>IF(TrRoad_act!W26=0,0,W52/TrRoad_act!W26*1000)</f>
        <v>54.465107406549478</v>
      </c>
      <c r="X110" s="116">
        <f>IF(TrRoad_act!X26=0,0,X52/TrRoad_act!X26*1000)</f>
        <v>57.062773497329715</v>
      </c>
      <c r="Y110" s="116">
        <f>IF(TrRoad_act!Y26=0,0,Y52/TrRoad_act!Y26*1000)</f>
        <v>59.622274470205056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43.243700526582174</v>
      </c>
      <c r="C111" s="101">
        <f>IF(TrRoad_act!C27=0,0,C53/TrRoad_act!C27*1000)</f>
        <v>42.978858301601996</v>
      </c>
      <c r="D111" s="101">
        <f>IF(TrRoad_act!D27=0,0,D53/TrRoad_act!D27*1000)</f>
        <v>42.877695641904914</v>
      </c>
      <c r="E111" s="101">
        <f>IF(TrRoad_act!E27=0,0,E53/TrRoad_act!E27*1000)</f>
        <v>60.824554199770112</v>
      </c>
      <c r="F111" s="101">
        <f>IF(TrRoad_act!F27=0,0,F53/TrRoad_act!F27*1000)</f>
        <v>35.615347695923568</v>
      </c>
      <c r="G111" s="101">
        <f>IF(TrRoad_act!G27=0,0,G53/TrRoad_act!G27*1000)</f>
        <v>50.867868025044203</v>
      </c>
      <c r="H111" s="101">
        <f>IF(TrRoad_act!H27=0,0,H53/TrRoad_act!H27*1000)</f>
        <v>41.765421685244171</v>
      </c>
      <c r="I111" s="101">
        <f>IF(TrRoad_act!I27=0,0,I53/TrRoad_act!I27*1000)</f>
        <v>52.111878245608644</v>
      </c>
      <c r="J111" s="101">
        <f>IF(TrRoad_act!J27=0,0,J53/TrRoad_act!J27*1000)</f>
        <v>47.436983747040593</v>
      </c>
      <c r="K111" s="101">
        <f>IF(TrRoad_act!K27=0,0,K53/TrRoad_act!K27*1000)</f>
        <v>60.167043663295296</v>
      </c>
      <c r="L111" s="101">
        <f>IF(TrRoad_act!L27=0,0,L53/TrRoad_act!L27*1000)</f>
        <v>50.233512532836976</v>
      </c>
      <c r="M111" s="101">
        <f>IF(TrRoad_act!M27=0,0,M53/TrRoad_act!M27*1000)</f>
        <v>57.664269454582865</v>
      </c>
      <c r="N111" s="101">
        <f>IF(TrRoad_act!N27=0,0,N53/TrRoad_act!N27*1000)</f>
        <v>42.691230038781882</v>
      </c>
      <c r="O111" s="101">
        <f>IF(TrRoad_act!O27=0,0,O53/TrRoad_act!O27*1000)</f>
        <v>61.054081183236669</v>
      </c>
      <c r="P111" s="101">
        <f>IF(TrRoad_act!P27=0,0,P53/TrRoad_act!P27*1000)</f>
        <v>56.676311342966024</v>
      </c>
      <c r="Q111" s="101">
        <f>IF(TrRoad_act!Q27=0,0,Q53/TrRoad_act!Q27*1000)</f>
        <v>50.52447554124889</v>
      </c>
      <c r="R111" s="101">
        <f>IF(TrRoad_act!R27=0,0,R53/TrRoad_act!R27*1000)</f>
        <v>47.858735992564633</v>
      </c>
      <c r="S111" s="101">
        <f>IF(TrRoad_act!S27=0,0,S53/TrRoad_act!S27*1000)</f>
        <v>47.64149066211926</v>
      </c>
      <c r="T111" s="101">
        <f>IF(TrRoad_act!T27=0,0,T53/TrRoad_act!T27*1000)</f>
        <v>50.268997380320791</v>
      </c>
      <c r="U111" s="101">
        <f>IF(TrRoad_act!U27=0,0,U53/TrRoad_act!U27*1000)</f>
        <v>52.762994542006091</v>
      </c>
      <c r="V111" s="101">
        <f>IF(TrRoad_act!V27=0,0,V53/TrRoad_act!V27*1000)</f>
        <v>59.386990130934713</v>
      </c>
      <c r="W111" s="101">
        <f>IF(TrRoad_act!W27=0,0,W53/TrRoad_act!W27*1000)</f>
        <v>52.778687122617761</v>
      </c>
      <c r="X111" s="101">
        <f>IF(TrRoad_act!X27=0,0,X53/TrRoad_act!X27*1000)</f>
        <v>54.901840014601007</v>
      </c>
      <c r="Y111" s="101">
        <f>IF(TrRoad_act!Y27=0,0,Y53/TrRoad_act!Y27*1000)</f>
        <v>56.677795287397217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56.630838746551113</v>
      </c>
      <c r="C112" s="88">
        <f>IF(TrRoad_act!C28=0,0,C55/TrRoad_act!C28*1000)</f>
        <v>54.707365570692303</v>
      </c>
      <c r="D112" s="88">
        <f>IF(TrRoad_act!D28=0,0,D55/TrRoad_act!D28*1000)</f>
        <v>53.564214250914191</v>
      </c>
      <c r="E112" s="88">
        <f>IF(TrRoad_act!E28=0,0,E55/TrRoad_act!E28*1000)</f>
        <v>98.993890845695361</v>
      </c>
      <c r="F112" s="88">
        <f>IF(TrRoad_act!F28=0,0,F55/TrRoad_act!F28*1000)</f>
        <v>52.523902727388851</v>
      </c>
      <c r="G112" s="88">
        <f>IF(TrRoad_act!G28=0,0,G55/TrRoad_act!G28*1000)</f>
        <v>69.913139258538891</v>
      </c>
      <c r="H112" s="88">
        <f>IF(TrRoad_act!H28=0,0,H55/TrRoad_act!H28*1000)</f>
        <v>60.157893443268108</v>
      </c>
      <c r="I112" s="88">
        <f>IF(TrRoad_act!I28=0,0,I55/TrRoad_act!I28*1000)</f>
        <v>71.6442981915513</v>
      </c>
      <c r="J112" s="88">
        <f>IF(TrRoad_act!J28=0,0,J55/TrRoad_act!J28*1000)</f>
        <v>67.383281715048199</v>
      </c>
      <c r="K112" s="88">
        <f>IF(TrRoad_act!K28=0,0,K55/TrRoad_act!K28*1000)</f>
        <v>124.94014757534177</v>
      </c>
      <c r="L112" s="88">
        <f>IF(TrRoad_act!L28=0,0,L55/TrRoad_act!L28*1000)</f>
        <v>76.517671506776651</v>
      </c>
      <c r="M112" s="88">
        <f>IF(TrRoad_act!M28=0,0,M55/TrRoad_act!M28*1000)</f>
        <v>86.95524562343175</v>
      </c>
      <c r="N112" s="88">
        <f>IF(TrRoad_act!N28=0,0,N55/TrRoad_act!N28*1000)</f>
        <v>43.651741756279179</v>
      </c>
      <c r="O112" s="88">
        <f>IF(TrRoad_act!O28=0,0,O55/TrRoad_act!O28*1000)</f>
        <v>70.050335268741279</v>
      </c>
      <c r="P112" s="88">
        <f>IF(TrRoad_act!P28=0,0,P55/TrRoad_act!P28*1000)</f>
        <v>70.464468871678861</v>
      </c>
      <c r="Q112" s="88">
        <f>IF(TrRoad_act!Q28=0,0,Q55/TrRoad_act!Q28*1000)</f>
        <v>49.280143410741942</v>
      </c>
      <c r="R112" s="88">
        <f>IF(TrRoad_act!R28=0,0,R55/TrRoad_act!R28*1000)</f>
        <v>51.557203784460036</v>
      </c>
      <c r="S112" s="88">
        <f>IF(TrRoad_act!S28=0,0,S55/TrRoad_act!S28*1000)</f>
        <v>48.998736198995815</v>
      </c>
      <c r="T112" s="88">
        <f>IF(TrRoad_act!T28=0,0,T55/TrRoad_act!T28*1000)</f>
        <v>52.821306005317894</v>
      </c>
      <c r="U112" s="88">
        <f>IF(TrRoad_act!U28=0,0,U55/TrRoad_act!U28*1000)</f>
        <v>88.567901478012274</v>
      </c>
      <c r="V112" s="88">
        <f>IF(TrRoad_act!V28=0,0,V55/TrRoad_act!V28*1000)</f>
        <v>81.062002011768257</v>
      </c>
      <c r="W112" s="88">
        <f>IF(TrRoad_act!W28=0,0,W55/TrRoad_act!W28*1000)</f>
        <v>63.062564604125292</v>
      </c>
      <c r="X112" s="88">
        <f>IF(TrRoad_act!X28=0,0,X55/TrRoad_act!X28*1000)</f>
        <v>67.426800058537737</v>
      </c>
      <c r="Y112" s="88">
        <f>IF(TrRoad_act!Y28=0,0,Y55/TrRoad_act!Y28*1000)</f>
        <v>72.781387318862045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216.45070115480317</v>
      </c>
      <c r="C116" s="152">
        <f>IF(C19=0,0,1000000*C19/TrRoad_act!C59)</f>
        <v>214.77521054239898</v>
      </c>
      <c r="D116" s="152">
        <f>IF(D19=0,0,1000000*D19/TrRoad_act!D59)</f>
        <v>221.43624829748012</v>
      </c>
      <c r="E116" s="152">
        <f>IF(E19=0,0,1000000*E19/TrRoad_act!E59)</f>
        <v>217.88084069403118</v>
      </c>
      <c r="F116" s="152">
        <f>IF(F19=0,0,1000000*F19/TrRoad_act!F59)</f>
        <v>204.10171209548179</v>
      </c>
      <c r="G116" s="152">
        <f>IF(G19=0,0,1000000*G19/TrRoad_act!G59)</f>
        <v>194.95397213635118</v>
      </c>
      <c r="H116" s="152">
        <f>IF(H19=0,0,1000000*H19/TrRoad_act!H59)</f>
        <v>165.91162673995586</v>
      </c>
      <c r="I116" s="152">
        <f>IF(I19=0,0,1000000*I19/TrRoad_act!I59)</f>
        <v>154.19950265615256</v>
      </c>
      <c r="J116" s="152">
        <f>IF(J19=0,0,1000000*J19/TrRoad_act!J59)</f>
        <v>154.58256900036614</v>
      </c>
      <c r="K116" s="152">
        <f>IF(K19=0,0,1000000*K19/TrRoad_act!K59)</f>
        <v>151.94811999475866</v>
      </c>
      <c r="L116" s="152">
        <f>IF(L19=0,0,1000000*L19/TrRoad_act!L59)</f>
        <v>173.65361343216421</v>
      </c>
      <c r="M116" s="152">
        <f>IF(M19=0,0,1000000*M19/TrRoad_act!M59)</f>
        <v>173.49337435112619</v>
      </c>
      <c r="N116" s="152">
        <f>IF(N19=0,0,1000000*N19/TrRoad_act!N59)</f>
        <v>175.91736763242881</v>
      </c>
      <c r="O116" s="152">
        <f>IF(O19=0,0,1000000*O19/TrRoad_act!O59)</f>
        <v>174.69528200949284</v>
      </c>
      <c r="P116" s="152">
        <f>IF(P19=0,0,1000000*P19/TrRoad_act!P59)</f>
        <v>173.04350601611546</v>
      </c>
      <c r="Q116" s="152">
        <f>IF(Q19=0,0,1000000*Q19/TrRoad_act!Q59)</f>
        <v>169.22583278869911</v>
      </c>
      <c r="R116" s="152">
        <f>IF(R19=0,0,1000000*R19/TrRoad_act!R59)</f>
        <v>168.73440973002442</v>
      </c>
      <c r="S116" s="152">
        <f>IF(S19=0,0,1000000*S19/TrRoad_act!S59)</f>
        <v>157.21845116211369</v>
      </c>
      <c r="T116" s="152">
        <f>IF(T19=0,0,1000000*T19/TrRoad_act!T59)</f>
        <v>151.18771652858513</v>
      </c>
      <c r="U116" s="152">
        <f>IF(U19=0,0,1000000*U19/TrRoad_act!U59)</f>
        <v>155.81149089799601</v>
      </c>
      <c r="V116" s="152">
        <f>IF(V19=0,0,1000000*V19/TrRoad_act!V59)</f>
        <v>135.56543380081115</v>
      </c>
      <c r="W116" s="152">
        <f>IF(W19=0,0,1000000*W19/TrRoad_act!W59)</f>
        <v>136.28621654316203</v>
      </c>
      <c r="X116" s="152">
        <f>IF(X19=0,0,1000000*X19/TrRoad_act!X59)</f>
        <v>134.04075956960551</v>
      </c>
      <c r="Y116" s="152">
        <f>IF(Y19=0,0,1000000*Y19/TrRoad_act!Y59)</f>
        <v>136.64329781066692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774.60706516612277</v>
      </c>
      <c r="C117" s="116">
        <f>IF(C21=0,0,1000000*C21/TrRoad_act!C60)</f>
        <v>762.39286524220154</v>
      </c>
      <c r="D117" s="116">
        <f>IF(D21=0,0,1000000*D21/TrRoad_act!D60)</f>
        <v>759.3622321930842</v>
      </c>
      <c r="E117" s="116">
        <f>IF(E21=0,0,1000000*E21/TrRoad_act!E60)</f>
        <v>761.65787315681393</v>
      </c>
      <c r="F117" s="116">
        <f>IF(F21=0,0,1000000*F21/TrRoad_act!F60)</f>
        <v>766.39400635006484</v>
      </c>
      <c r="G117" s="116">
        <f>IF(G21=0,0,1000000*G21/TrRoad_act!G60)</f>
        <v>767.66515257155334</v>
      </c>
      <c r="H117" s="116">
        <f>IF(H21=0,0,1000000*H21/TrRoad_act!H60)</f>
        <v>769.48716790790684</v>
      </c>
      <c r="I117" s="116">
        <f>IF(I21=0,0,1000000*I21/TrRoad_act!I60)</f>
        <v>768.76549338062125</v>
      </c>
      <c r="J117" s="116">
        <f>IF(J21=0,0,1000000*J21/TrRoad_act!J60)</f>
        <v>730.76838383377594</v>
      </c>
      <c r="K117" s="116">
        <f>IF(K21=0,0,1000000*K21/TrRoad_act!K60)</f>
        <v>737.33425952581047</v>
      </c>
      <c r="L117" s="116">
        <f>IF(L21=0,0,1000000*L21/TrRoad_act!L60)</f>
        <v>656.50959164129381</v>
      </c>
      <c r="M117" s="116">
        <f>IF(M21=0,0,1000000*M21/TrRoad_act!M60)</f>
        <v>627.49591330468104</v>
      </c>
      <c r="N117" s="116">
        <f>IF(N21=0,0,1000000*N21/TrRoad_act!N60)</f>
        <v>530.08481481953299</v>
      </c>
      <c r="O117" s="116">
        <f>IF(O21=0,0,1000000*O21/TrRoad_act!O60)</f>
        <v>495.5353080899115</v>
      </c>
      <c r="P117" s="116">
        <f>IF(P21=0,0,1000000*P21/TrRoad_act!P60)</f>
        <v>480.26943503295684</v>
      </c>
      <c r="Q117" s="116">
        <f>IF(Q21=0,0,1000000*Q21/TrRoad_act!Q60)</f>
        <v>494.21088629389413</v>
      </c>
      <c r="R117" s="116">
        <f>IF(R21=0,0,1000000*R21/TrRoad_act!R60)</f>
        <v>491.18000113913882</v>
      </c>
      <c r="S117" s="116">
        <f>IF(S21=0,0,1000000*S21/TrRoad_act!S60)</f>
        <v>484.17545576120688</v>
      </c>
      <c r="T117" s="116">
        <f>IF(T21=0,0,1000000*T21/TrRoad_act!T60)</f>
        <v>477.8955203439192</v>
      </c>
      <c r="U117" s="116">
        <f>IF(U21=0,0,1000000*U21/TrRoad_act!U60)</f>
        <v>474.90693236746228</v>
      </c>
      <c r="V117" s="116">
        <f>IF(V21=0,0,1000000*V21/TrRoad_act!V60)</f>
        <v>378.70447816342443</v>
      </c>
      <c r="W117" s="116">
        <f>IF(W21=0,0,1000000*W21/TrRoad_act!W60)</f>
        <v>405.30331872015216</v>
      </c>
      <c r="X117" s="116">
        <f>IF(X21=0,0,1000000*X21/TrRoad_act!X60)</f>
        <v>420.26960779472358</v>
      </c>
      <c r="Y117" s="116">
        <f>IF(Y21=0,0,1000000*Y21/TrRoad_act!Y60)</f>
        <v>439.44248725228323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751.44628487627426</v>
      </c>
      <c r="C118" s="87">
        <f>IF(C22=0,0,1000000*C22/TrRoad_act!C61)</f>
        <v>740.27862199210097</v>
      </c>
      <c r="D118" s="87">
        <f>IF(D22=0,0,1000000*D22/TrRoad_act!D61)</f>
        <v>738.65583197529168</v>
      </c>
      <c r="E118" s="87">
        <f>IF(E22=0,0,1000000*E22/TrRoad_act!E61)</f>
        <v>741.76714389060601</v>
      </c>
      <c r="F118" s="87">
        <f>IF(F22=0,0,1000000*F22/TrRoad_act!F61)</f>
        <v>748.94039238336393</v>
      </c>
      <c r="G118" s="87">
        <f>IF(G22=0,0,1000000*G22/TrRoad_act!G61)</f>
        <v>750.22484006403806</v>
      </c>
      <c r="H118" s="87">
        <f>IF(H22=0,0,1000000*H22/TrRoad_act!H61)</f>
        <v>750.95969635192785</v>
      </c>
      <c r="I118" s="87">
        <f>IF(I22=0,0,1000000*I22/TrRoad_act!I61)</f>
        <v>749.14544447030903</v>
      </c>
      <c r="J118" s="87">
        <f>IF(J22=0,0,1000000*J22/TrRoad_act!J61)</f>
        <v>713.39613413058862</v>
      </c>
      <c r="K118" s="87">
        <f>IF(K22=0,0,1000000*K22/TrRoad_act!K61)</f>
        <v>715.37259981065006</v>
      </c>
      <c r="L118" s="87">
        <f>IF(L22=0,0,1000000*L22/TrRoad_act!L61)</f>
        <v>631.74313297333367</v>
      </c>
      <c r="M118" s="87">
        <f>IF(M22=0,0,1000000*M22/TrRoad_act!M61)</f>
        <v>579.07958392943772</v>
      </c>
      <c r="N118" s="87">
        <f>IF(N22=0,0,1000000*N22/TrRoad_act!N61)</f>
        <v>497.19837228728244</v>
      </c>
      <c r="O118" s="87">
        <f>IF(O22=0,0,1000000*O22/TrRoad_act!O61)</f>
        <v>457.91493729680991</v>
      </c>
      <c r="P118" s="87">
        <f>IF(P22=0,0,1000000*P22/TrRoad_act!P61)</f>
        <v>439.03208236923064</v>
      </c>
      <c r="Q118" s="87">
        <f>IF(Q22=0,0,1000000*Q22/TrRoad_act!Q61)</f>
        <v>424.63568103922813</v>
      </c>
      <c r="R118" s="87">
        <f>IF(R22=0,0,1000000*R22/TrRoad_act!R61)</f>
        <v>415.74113623478036</v>
      </c>
      <c r="S118" s="87">
        <f>IF(S22=0,0,1000000*S22/TrRoad_act!S61)</f>
        <v>401.74150322980546</v>
      </c>
      <c r="T118" s="87">
        <f>IF(T22=0,0,1000000*T22/TrRoad_act!T61)</f>
        <v>390.83589830002779</v>
      </c>
      <c r="U118" s="87">
        <f>IF(U22=0,0,1000000*U22/TrRoad_act!U61)</f>
        <v>377.12803057101661</v>
      </c>
      <c r="V118" s="87">
        <f>IF(V22=0,0,1000000*V22/TrRoad_act!V61)</f>
        <v>299.13531063349461</v>
      </c>
      <c r="W118" s="87">
        <f>IF(W22=0,0,1000000*W22/TrRoad_act!W61)</f>
        <v>313.99125711966769</v>
      </c>
      <c r="X118" s="87">
        <f>IF(X22=0,0,1000000*X22/TrRoad_act!X61)</f>
        <v>320.50632659542765</v>
      </c>
      <c r="Y118" s="87">
        <f>IF(Y22=0,0,1000000*Y22/TrRoad_act!Y61)</f>
        <v>328.85387306123852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1437.2686545628262</v>
      </c>
      <c r="C119" s="87">
        <f>IF(C24=0,0,1000000*C24/TrRoad_act!C62)</f>
        <v>1443.2942695374816</v>
      </c>
      <c r="D119" s="87">
        <f>IF(D24=0,0,1000000*D24/TrRoad_act!D62)</f>
        <v>1439.6017593103613</v>
      </c>
      <c r="E119" s="87">
        <f>IF(E24=0,0,1000000*E24/TrRoad_act!E62)</f>
        <v>1441.371598927039</v>
      </c>
      <c r="F119" s="87">
        <f>IF(F24=0,0,1000000*F24/TrRoad_act!F62)</f>
        <v>1450.5452798614938</v>
      </c>
      <c r="G119" s="87">
        <f>IF(G24=0,0,1000000*G24/TrRoad_act!G62)</f>
        <v>1476.137726027715</v>
      </c>
      <c r="H119" s="87">
        <f>IF(H24=0,0,1000000*H24/TrRoad_act!H62)</f>
        <v>1477.8421076910233</v>
      </c>
      <c r="I119" s="87">
        <f>IF(I24=0,0,1000000*I24/TrRoad_act!I62)</f>
        <v>1520.1484216887416</v>
      </c>
      <c r="J119" s="87">
        <f>IF(J24=0,0,1000000*J24/TrRoad_act!J62)</f>
        <v>1417.1783828153555</v>
      </c>
      <c r="K119" s="87">
        <f>IF(K24=0,0,1000000*K24/TrRoad_act!K62)</f>
        <v>1501.2558095512693</v>
      </c>
      <c r="L119" s="87">
        <f>IF(L24=0,0,1000000*L24/TrRoad_act!L62)</f>
        <v>1423.281500876456</v>
      </c>
      <c r="M119" s="87">
        <f>IF(M24=0,0,1000000*M24/TrRoad_act!M62)</f>
        <v>1413.8726812088287</v>
      </c>
      <c r="N119" s="87">
        <f>IF(N24=0,0,1000000*N24/TrRoad_act!N62)</f>
        <v>1512.6021409166169</v>
      </c>
      <c r="O119" s="87">
        <f>IF(O24=0,0,1000000*O24/TrRoad_act!O62)</f>
        <v>953.49060709302091</v>
      </c>
      <c r="P119" s="87">
        <f>IF(P24=0,0,1000000*P24/TrRoad_act!P62)</f>
        <v>782.69565929565226</v>
      </c>
      <c r="Q119" s="87">
        <f>IF(Q24=0,0,1000000*Q24/TrRoad_act!Q62)</f>
        <v>1541.6499676819012</v>
      </c>
      <c r="R119" s="87">
        <f>IF(R24=0,0,1000000*R24/TrRoad_act!R62)</f>
        <v>1512.7463756271839</v>
      </c>
      <c r="S119" s="87">
        <f>IF(S24=0,0,1000000*S24/TrRoad_act!S62)</f>
        <v>1551.9103660974802</v>
      </c>
      <c r="T119" s="87">
        <f>IF(T24=0,0,1000000*T24/TrRoad_act!T62)</f>
        <v>1452.7599872218209</v>
      </c>
      <c r="U119" s="87">
        <f>IF(U24=0,0,1000000*U24/TrRoad_act!U62)</f>
        <v>1431.9775950057335</v>
      </c>
      <c r="V119" s="87">
        <f>IF(V24=0,0,1000000*V24/TrRoad_act!V62)</f>
        <v>1003.7427713810193</v>
      </c>
      <c r="W119" s="87">
        <f>IF(W24=0,0,1000000*W24/TrRoad_act!W62)</f>
        <v>1211.3352475839645</v>
      </c>
      <c r="X119" s="87">
        <f>IF(X24=0,0,1000000*X24/TrRoad_act!X62)</f>
        <v>1352.330578537159</v>
      </c>
      <c r="Y119" s="87">
        <f>IF(Y24=0,0,1000000*Y24/TrRoad_act!Y62)</f>
        <v>1538.4550331705022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1613.9131146869752</v>
      </c>
      <c r="C120" s="87">
        <f>IF(C26=0,0,1000000*C26/TrRoad_act!C63)</f>
        <v>1855.8355594555608</v>
      </c>
      <c r="D120" s="87">
        <f>IF(D26=0,0,1000000*D26/TrRoad_act!D63)</f>
        <v>1829.4383789499341</v>
      </c>
      <c r="E120" s="87">
        <f>IF(E26=0,0,1000000*E26/TrRoad_act!E63)</f>
        <v>1592.4963883571315</v>
      </c>
      <c r="F120" s="87">
        <f>IF(F26=0,0,1000000*F26/TrRoad_act!F63)</f>
        <v>1583.886197960788</v>
      </c>
      <c r="G120" s="87">
        <f>IF(G26=0,0,1000000*G26/TrRoad_act!G63)</f>
        <v>1597.5281024810827</v>
      </c>
      <c r="H120" s="87">
        <f>IF(H26=0,0,1000000*H26/TrRoad_act!H63)</f>
        <v>1576.4519991374275</v>
      </c>
      <c r="I120" s="87">
        <f>IF(I26=0,0,1000000*I26/TrRoad_act!I63)</f>
        <v>1582.8279923040584</v>
      </c>
      <c r="J120" s="87">
        <f>IF(J26=0,0,1000000*J26/TrRoad_act!J63)</f>
        <v>1543.3654091625981</v>
      </c>
      <c r="K120" s="87">
        <f>IF(K26=0,0,1000000*K26/TrRoad_act!K63)</f>
        <v>1462.9693748412662</v>
      </c>
      <c r="L120" s="87">
        <f>IF(L26=0,0,1000000*L26/TrRoad_act!L63)</f>
        <v>1426.8724764978297</v>
      </c>
      <c r="M120" s="87">
        <f>IF(M26=0,0,1000000*M26/TrRoad_act!M63)</f>
        <v>2405.1081347120999</v>
      </c>
      <c r="N120" s="87">
        <f>IF(N26=0,0,1000000*N26/TrRoad_act!N63)</f>
        <v>1378.3089678765525</v>
      </c>
      <c r="O120" s="87">
        <f>IF(O26=0,0,1000000*O26/TrRoad_act!O63)</f>
        <v>1421.2550444131773</v>
      </c>
      <c r="P120" s="87">
        <f>IF(P26=0,0,1000000*P26/TrRoad_act!P63)</f>
        <v>1409.4370623916154</v>
      </c>
      <c r="Q120" s="87">
        <f>IF(Q26=0,0,1000000*Q26/TrRoad_act!Q63)</f>
        <v>1392.1188399800549</v>
      </c>
      <c r="R120" s="87">
        <f>IF(R26=0,0,1000000*R26/TrRoad_act!R63)</f>
        <v>1231.2292968921117</v>
      </c>
      <c r="S120" s="87">
        <f>IF(S26=0,0,1000000*S26/TrRoad_act!S63)</f>
        <v>1154.5079008581847</v>
      </c>
      <c r="T120" s="87">
        <f>IF(T26=0,0,1000000*T26/TrRoad_act!T63)</f>
        <v>1102.5996074185484</v>
      </c>
      <c r="U120" s="87">
        <f>IF(U26=0,0,1000000*U26/TrRoad_act!U63)</f>
        <v>1113.74194135428</v>
      </c>
      <c r="V120" s="87">
        <f>IF(V26=0,0,1000000*V26/TrRoad_act!V63)</f>
        <v>1030.7212983003678</v>
      </c>
      <c r="W120" s="87">
        <f>IF(W26=0,0,1000000*W26/TrRoad_act!W63)</f>
        <v>993.39569541789001</v>
      </c>
      <c r="X120" s="87">
        <f>IF(X26=0,0,1000000*X26/TrRoad_act!X63)</f>
        <v>994.63892868989421</v>
      </c>
      <c r="Y120" s="87">
        <f>IF(Y26=0,0,1000000*Y26/TrRoad_act!Y63)</f>
        <v>998.23343117872935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1417.4570536111971</v>
      </c>
      <c r="D121" s="87">
        <f>IF(D27=0,0,1000000*D27/TrRoad_act!D64)</f>
        <v>1405.7622196582993</v>
      </c>
      <c r="E121" s="87">
        <f>IF(E27=0,0,1000000*E27/TrRoad_act!E64)</f>
        <v>1394.5446754528982</v>
      </c>
      <c r="F121" s="87">
        <f>IF(F27=0,0,1000000*F27/TrRoad_act!F64)</f>
        <v>1383.285448327588</v>
      </c>
      <c r="G121" s="87">
        <f>IF(G27=0,0,1000000*G27/TrRoad_act!G64)</f>
        <v>1370.2598834542207</v>
      </c>
      <c r="H121" s="87">
        <f>IF(H27=0,0,1000000*H27/TrRoad_act!H64)</f>
        <v>1355.7444647669749</v>
      </c>
      <c r="I121" s="87">
        <f>IF(I27=0,0,1000000*I27/TrRoad_act!I64)</f>
        <v>1319.9870383059153</v>
      </c>
      <c r="J121" s="87">
        <f>IF(J27=0,0,1000000*J27/TrRoad_act!J64)</f>
        <v>1295.8756632529028</v>
      </c>
      <c r="K121" s="87">
        <f>IF(K27=0,0,1000000*K27/TrRoad_act!K64)</f>
        <v>1206.1350213306282</v>
      </c>
      <c r="L121" s="87">
        <f>IF(L27=0,0,1000000*L27/TrRoad_act!L64)</f>
        <v>1141.5943216065039</v>
      </c>
      <c r="M121" s="87">
        <f>IF(M27=0,0,1000000*M27/TrRoad_act!M64)</f>
        <v>1126.1757729025574</v>
      </c>
      <c r="N121" s="87">
        <f>IF(N27=0,0,1000000*N27/TrRoad_act!N64)</f>
        <v>1128.9279131015169</v>
      </c>
      <c r="O121" s="87">
        <f>IF(O27=0,0,1000000*O27/TrRoad_act!O64)</f>
        <v>1142.4616268722389</v>
      </c>
      <c r="P121" s="87">
        <f>IF(P27=0,0,1000000*P27/TrRoad_act!P64)</f>
        <v>1156.8903680772537</v>
      </c>
      <c r="Q121" s="87">
        <f>IF(Q27=0,0,1000000*Q27/TrRoad_act!Q64)</f>
        <v>1082.1030170508222</v>
      </c>
      <c r="R121" s="87">
        <f>IF(R27=0,0,1000000*R27/TrRoad_act!R64)</f>
        <v>1076.3008787185709</v>
      </c>
      <c r="S121" s="87">
        <f>IF(S27=0,0,1000000*S27/TrRoad_act!S64)</f>
        <v>1037.2591082316699</v>
      </c>
      <c r="T121" s="87">
        <f>IF(T27=0,0,1000000*T27/TrRoad_act!T64)</f>
        <v>1043.0669833331547</v>
      </c>
      <c r="U121" s="87">
        <f>IF(U27=0,0,1000000*U27/TrRoad_act!U64)</f>
        <v>1008.3085059886961</v>
      </c>
      <c r="V121" s="87">
        <f>IF(V27=0,0,1000000*V27/TrRoad_act!V64)</f>
        <v>894.05033709945405</v>
      </c>
      <c r="W121" s="87">
        <f>IF(W27=0,0,1000000*W27/TrRoad_act!W64)</f>
        <v>810.54338612564004</v>
      </c>
      <c r="X121" s="87">
        <f>IF(X27=0,0,1000000*X27/TrRoad_act!X64)</f>
        <v>801.96710920346754</v>
      </c>
      <c r="Y121" s="87">
        <f>IF(Y27=0,0,1000000*Y27/TrRoad_act!Y64)</f>
        <v>797.65736632655353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209.16405753968954</v>
      </c>
      <c r="O122" s="87">
        <f>IF(O29=0,0,1000000*O29/TrRoad_act!O65)</f>
        <v>133.69624802227085</v>
      </c>
      <c r="P122" s="87">
        <f>IF(P29=0,0,1000000*P29/TrRoad_act!P65)</f>
        <v>172.40130443257155</v>
      </c>
      <c r="Q122" s="87">
        <f>IF(Q29=0,0,1000000*Q29/TrRoad_act!Q65)</f>
        <v>193.59971895342392</v>
      </c>
      <c r="R122" s="87">
        <f>IF(R29=0,0,1000000*R29/TrRoad_act!R65)</f>
        <v>252.33167242819809</v>
      </c>
      <c r="S122" s="87">
        <f>IF(S29=0,0,1000000*S29/TrRoad_act!S65)</f>
        <v>270.52556861648566</v>
      </c>
      <c r="T122" s="87">
        <f>IF(T29=0,0,1000000*T29/TrRoad_act!T65)</f>
        <v>290.92216179010842</v>
      </c>
      <c r="U122" s="87">
        <f>IF(U29=0,0,1000000*U29/TrRoad_act!U65)</f>
        <v>300.75113146657537</v>
      </c>
      <c r="V122" s="87">
        <f>IF(V29=0,0,1000000*V29/TrRoad_act!V65)</f>
        <v>255.7689620639421</v>
      </c>
      <c r="W122" s="87">
        <f>IF(W29=0,0,1000000*W29/TrRoad_act!W65)</f>
        <v>252.55597804761965</v>
      </c>
      <c r="X122" s="87">
        <f>IF(X29=0,0,1000000*X29/TrRoad_act!X65)</f>
        <v>248.62368962111194</v>
      </c>
      <c r="Y122" s="87">
        <f>IF(Y29=0,0,1000000*Y29/TrRoad_act!Y65)</f>
        <v>239.35450027157296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0</v>
      </c>
      <c r="L123" s="87">
        <f>IF(L32=0,0,1000000*L32/TrRoad_act!L66)</f>
        <v>0</v>
      </c>
      <c r="M123" s="87">
        <f>IF(M32=0,0,1000000*M32/TrRoad_act!M66)</f>
        <v>0</v>
      </c>
      <c r="N123" s="87">
        <f>IF(N32=0,0,1000000*N32/TrRoad_act!N66)</f>
        <v>154.32299285870334</v>
      </c>
      <c r="O123" s="87">
        <f>IF(O32=0,0,1000000*O32/TrRoad_act!O66)</f>
        <v>162.04545734482409</v>
      </c>
      <c r="P123" s="87">
        <f>IF(P32=0,0,1000000*P32/TrRoad_act!P66)</f>
        <v>161.99861404547548</v>
      </c>
      <c r="Q123" s="87">
        <f>IF(Q32=0,0,1000000*Q32/TrRoad_act!Q66)</f>
        <v>170.55404882812633</v>
      </c>
      <c r="R123" s="87">
        <f>IF(R32=0,0,1000000*R32/TrRoad_act!R66)</f>
        <v>170.51818875585946</v>
      </c>
      <c r="S123" s="87">
        <f>IF(S32=0,0,1000000*S32/TrRoad_act!S66)</f>
        <v>168.40669808385613</v>
      </c>
      <c r="T123" s="87">
        <f>IF(T32=0,0,1000000*T32/TrRoad_act!T66)</f>
        <v>172.10976124991055</v>
      </c>
      <c r="U123" s="87">
        <f>IF(U32=0,0,1000000*U32/TrRoad_act!U66)</f>
        <v>196.65326462599921</v>
      </c>
      <c r="V123" s="87">
        <f>IF(V32=0,0,1000000*V32/TrRoad_act!V66)</f>
        <v>189.13613077021381</v>
      </c>
      <c r="W123" s="87">
        <f>IF(W32=0,0,1000000*W32/TrRoad_act!W66)</f>
        <v>214.15929045702373</v>
      </c>
      <c r="X123" s="87">
        <f>IF(X32=0,0,1000000*X32/TrRoad_act!X66)</f>
        <v>213.9093491978972</v>
      </c>
      <c r="Y123" s="87">
        <f>IF(Y32=0,0,1000000*Y32/TrRoad_act!Y66)</f>
        <v>213.64411996986075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20627.902633939255</v>
      </c>
      <c r="C124" s="116">
        <f>IF(C33=0,0,1000000*C33/TrRoad_act!C67)</f>
        <v>19932.525548862643</v>
      </c>
      <c r="D124" s="116">
        <f>IF(D33=0,0,1000000*D33/TrRoad_act!D67)</f>
        <v>19754.474516270107</v>
      </c>
      <c r="E124" s="116">
        <f>IF(E33=0,0,1000000*E33/TrRoad_act!E67)</f>
        <v>25572.300705874059</v>
      </c>
      <c r="F124" s="116">
        <f>IF(F33=0,0,1000000*F33/TrRoad_act!F67)</f>
        <v>19577.884398782437</v>
      </c>
      <c r="G124" s="116">
        <f>IF(G33=0,0,1000000*G33/TrRoad_act!G67)</f>
        <v>22083.147360246254</v>
      </c>
      <c r="H124" s="116">
        <f>IF(H33=0,0,1000000*H33/TrRoad_act!H67)</f>
        <v>21532.758956275633</v>
      </c>
      <c r="I124" s="116">
        <f>IF(I33=0,0,1000000*I33/TrRoad_act!I67)</f>
        <v>22062.468852096397</v>
      </c>
      <c r="J124" s="116">
        <f>IF(J33=0,0,1000000*J33/TrRoad_act!J67)</f>
        <v>20148.363728776818</v>
      </c>
      <c r="K124" s="116">
        <f>IF(K33=0,0,1000000*K33/TrRoad_act!K67)</f>
        <v>23774.475155867858</v>
      </c>
      <c r="L124" s="116">
        <f>IF(L33=0,0,1000000*L33/TrRoad_act!L67)</f>
        <v>20863.291629796393</v>
      </c>
      <c r="M124" s="116">
        <f>IF(M33=0,0,1000000*M33/TrRoad_act!M67)</f>
        <v>22372.351342881298</v>
      </c>
      <c r="N124" s="116">
        <f>IF(N33=0,0,1000000*N33/TrRoad_act!N67)</f>
        <v>18525.202275341053</v>
      </c>
      <c r="O124" s="116">
        <f>IF(O33=0,0,1000000*O33/TrRoad_act!O67)</f>
        <v>21123.754070493731</v>
      </c>
      <c r="P124" s="116">
        <f>IF(P33=0,0,1000000*P33/TrRoad_act!P67)</f>
        <v>20510.450948727444</v>
      </c>
      <c r="Q124" s="116">
        <f>IF(Q33=0,0,1000000*Q33/TrRoad_act!Q67)</f>
        <v>19742.638144894219</v>
      </c>
      <c r="R124" s="116">
        <f>IF(R33=0,0,1000000*R33/TrRoad_act!R67)</f>
        <v>20038.102292670337</v>
      </c>
      <c r="S124" s="116">
        <f>IF(S33=0,0,1000000*S33/TrRoad_act!S67)</f>
        <v>20216.585065297229</v>
      </c>
      <c r="T124" s="116">
        <f>IF(T33=0,0,1000000*T33/TrRoad_act!T67)</f>
        <v>20568.946968159977</v>
      </c>
      <c r="U124" s="116">
        <f>IF(U33=0,0,1000000*U33/TrRoad_act!U67)</f>
        <v>21131.232671270311</v>
      </c>
      <c r="V124" s="116">
        <f>IF(V33=0,0,1000000*V33/TrRoad_act!V67)</f>
        <v>20704.357008068251</v>
      </c>
      <c r="W124" s="116">
        <f>IF(W33=0,0,1000000*W33/TrRoad_act!W67)</f>
        <v>20311.502037833769</v>
      </c>
      <c r="X124" s="116">
        <f>IF(X33=0,0,1000000*X33/TrRoad_act!X67)</f>
        <v>20947.434411188653</v>
      </c>
      <c r="Y124" s="116">
        <f>IF(Y33=0,0,1000000*Y33/TrRoad_act!Y67)</f>
        <v>21727.411113633807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X125" s="101">
        <f>IF(X34=0,0,1000000*X34/TrRoad_act!X68)</f>
        <v>0</v>
      </c>
      <c r="Y125" s="101">
        <f>IF(Y34=0,0,1000000*Y34/TrRoad_act!Y68)</f>
        <v>0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20627.902633939255</v>
      </c>
      <c r="C126" s="101">
        <f>IF(C36=0,0,1000000*C36/TrRoad_act!C69)</f>
        <v>19969.636084651091</v>
      </c>
      <c r="D126" s="101">
        <f>IF(D36=0,0,1000000*D36/TrRoad_act!D69)</f>
        <v>19799.424504398794</v>
      </c>
      <c r="E126" s="101">
        <f>IF(E36=0,0,1000000*E36/TrRoad_act!E69)</f>
        <v>25728.435762155637</v>
      </c>
      <c r="F126" s="101">
        <f>IF(F36=0,0,1000000*F36/TrRoad_act!F69)</f>
        <v>19617.347891442416</v>
      </c>
      <c r="G126" s="101">
        <f>IF(G36=0,0,1000000*G36/TrRoad_act!G69)</f>
        <v>22155.278770847282</v>
      </c>
      <c r="H126" s="101">
        <f>IF(H36=0,0,1000000*H36/TrRoad_act!H69)</f>
        <v>21586.905765459716</v>
      </c>
      <c r="I126" s="101">
        <f>IF(I36=0,0,1000000*I36/TrRoad_act!I69)</f>
        <v>22145.356591444921</v>
      </c>
      <c r="J126" s="101">
        <f>IF(J36=0,0,1000000*J36/TrRoad_act!J69)</f>
        <v>20211.310717917517</v>
      </c>
      <c r="K126" s="101">
        <f>IF(K36=0,0,1000000*K36/TrRoad_act!K69)</f>
        <v>23908.995190902817</v>
      </c>
      <c r="L126" s="101">
        <f>IF(L36=0,0,1000000*L36/TrRoad_act!L69)</f>
        <v>20938.775334595575</v>
      </c>
      <c r="M126" s="101">
        <f>IF(M36=0,0,1000000*M36/TrRoad_act!M69)</f>
        <v>22441.901463781738</v>
      </c>
      <c r="N126" s="101">
        <f>IF(N36=0,0,1000000*N36/TrRoad_act!N69)</f>
        <v>18510.358144355723</v>
      </c>
      <c r="O126" s="101">
        <f>IF(O36=0,0,1000000*O36/TrRoad_act!O69)</f>
        <v>21291.666174448055</v>
      </c>
      <c r="P126" s="101">
        <f>IF(P36=0,0,1000000*P36/TrRoad_act!P69)</f>
        <v>20649.522232338699</v>
      </c>
      <c r="Q126" s="101">
        <f>IF(Q36=0,0,1000000*Q36/TrRoad_act!Q69)</f>
        <v>19834.991544304823</v>
      </c>
      <c r="R126" s="101">
        <f>IF(R36=0,0,1000000*R36/TrRoad_act!R69)</f>
        <v>20005.699307127888</v>
      </c>
      <c r="S126" s="101">
        <f>IF(S36=0,0,1000000*S36/TrRoad_act!S69)</f>
        <v>20384.01008752521</v>
      </c>
      <c r="T126" s="101">
        <f>IF(T36=0,0,1000000*T36/TrRoad_act!T69)</f>
        <v>20735.477626164604</v>
      </c>
      <c r="U126" s="101">
        <f>IF(U36=0,0,1000000*U36/TrRoad_act!U69)</f>
        <v>21280.45147639461</v>
      </c>
      <c r="V126" s="101">
        <f>IF(V36=0,0,1000000*V36/TrRoad_act!V69)</f>
        <v>20919.945779142461</v>
      </c>
      <c r="W126" s="101">
        <f>IF(W36=0,0,1000000*W36/TrRoad_act!W69)</f>
        <v>20479.264340782134</v>
      </c>
      <c r="X126" s="101">
        <f>IF(X36=0,0,1000000*X36/TrRoad_act!X69)</f>
        <v>21209.452223922606</v>
      </c>
      <c r="Y126" s="101">
        <f>IF(Y36=0,0,1000000*Y36/TrRoad_act!Y69)</f>
        <v>22165.996182372652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X127" s="101">
        <f>IF(X38=0,0,1000000*X38/TrRoad_act!X70)</f>
        <v>0</v>
      </c>
      <c r="Y127" s="101">
        <f>IF(Y38=0,0,1000000*Y38/TrRoad_act!Y70)</f>
        <v>0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16675.417620694861</v>
      </c>
      <c r="D128" s="101">
        <f>IF(D39=0,0,1000000*D39/TrRoad_act!D71)</f>
        <v>17177.341863558824</v>
      </c>
      <c r="E128" s="101">
        <f>IF(E39=0,0,1000000*E39/TrRoad_act!E71)</f>
        <v>17407.889681475666</v>
      </c>
      <c r="F128" s="101">
        <f>IF(F39=0,0,1000000*F39/TrRoad_act!F71)</f>
        <v>17520.45405053479</v>
      </c>
      <c r="G128" s="101">
        <f>IF(G39=0,0,1000000*G39/TrRoad_act!G71)</f>
        <v>18535.666030022814</v>
      </c>
      <c r="H128" s="101">
        <f>IF(H39=0,0,1000000*H39/TrRoad_act!H71)</f>
        <v>18946.571982620928</v>
      </c>
      <c r="I128" s="101">
        <f>IF(I39=0,0,1000000*I39/TrRoad_act!I71)</f>
        <v>18663.691319819169</v>
      </c>
      <c r="J128" s="101">
        <f>IF(J39=0,0,1000000*J39/TrRoad_act!J71)</f>
        <v>17679.187672995093</v>
      </c>
      <c r="K128" s="101">
        <f>IF(K39=0,0,1000000*K39/TrRoad_act!K71)</f>
        <v>18281.912396056727</v>
      </c>
      <c r="L128" s="101">
        <f>IF(L39=0,0,1000000*L39/TrRoad_act!L71)</f>
        <v>17648.755653135759</v>
      </c>
      <c r="M128" s="101">
        <f>IF(M39=0,0,1000000*M39/TrRoad_act!M71)</f>
        <v>19328.344178455529</v>
      </c>
      <c r="N128" s="101">
        <f>IF(N39=0,0,1000000*N39/TrRoad_act!N71)</f>
        <v>19175.375212498475</v>
      </c>
      <c r="O128" s="101">
        <f>IF(O39=0,0,1000000*O39/TrRoad_act!O71)</f>
        <v>18391.091839939854</v>
      </c>
      <c r="P128" s="101">
        <f>IF(P39=0,0,1000000*P39/TrRoad_act!P71)</f>
        <v>18636.87431483814</v>
      </c>
      <c r="Q128" s="101">
        <f>IF(Q39=0,0,1000000*Q39/TrRoad_act!Q71)</f>
        <v>19525.103974297275</v>
      </c>
      <c r="R128" s="101">
        <f>IF(R39=0,0,1000000*R39/TrRoad_act!R71)</f>
        <v>25066.673204792784</v>
      </c>
      <c r="S128" s="101">
        <f>IF(S39=0,0,1000000*S39/TrRoad_act!S71)</f>
        <v>16965.043269045913</v>
      </c>
      <c r="T128" s="101">
        <f>IF(T39=0,0,1000000*T39/TrRoad_act!T71)</f>
        <v>18039.659879365412</v>
      </c>
      <c r="U128" s="101">
        <f>IF(U39=0,0,1000000*U39/TrRoad_act!U71)</f>
        <v>19693.259154921398</v>
      </c>
      <c r="V128" s="101">
        <f>IF(V39=0,0,1000000*V39/TrRoad_act!V71)</f>
        <v>17256.730715552018</v>
      </c>
      <c r="W128" s="101">
        <f>IF(W39=0,0,1000000*W39/TrRoad_act!W71)</f>
        <v>18346.33363692939</v>
      </c>
      <c r="X128" s="101">
        <f>IF(X39=0,0,1000000*X39/TrRoad_act!X71)</f>
        <v>17610.306175174584</v>
      </c>
      <c r="Y128" s="101">
        <f>IF(Y39=0,0,1000000*Y39/TrRoad_act!Y71)</f>
        <v>15101.231758359547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0</v>
      </c>
      <c r="K129" s="101">
        <f>IF(K41=0,0,1000000*K41/TrRoad_act!K72)</f>
        <v>0</v>
      </c>
      <c r="L129" s="101">
        <f>IF(L41=0,0,1000000*L41/TrRoad_act!L72)</f>
        <v>0</v>
      </c>
      <c r="M129" s="101">
        <f>IF(M41=0,0,1000000*M41/TrRoad_act!M72)</f>
        <v>0</v>
      </c>
      <c r="N129" s="101">
        <f>IF(N41=0,0,1000000*N41/TrRoad_act!N72)</f>
        <v>0</v>
      </c>
      <c r="O129" s="101">
        <f>IF(O41=0,0,1000000*O41/TrRoad_act!O72)</f>
        <v>13377.413123675315</v>
      </c>
      <c r="P129" s="101">
        <f>IF(P41=0,0,1000000*P41/TrRoad_act!P72)</f>
        <v>13379.61416511748</v>
      </c>
      <c r="Q129" s="101">
        <f>IF(Q41=0,0,1000000*Q41/TrRoad_act!Q72)</f>
        <v>13386.269336591929</v>
      </c>
      <c r="R129" s="101">
        <f>IF(R41=0,0,1000000*R41/TrRoad_act!R72)</f>
        <v>13379.509812262086</v>
      </c>
      <c r="S129" s="101">
        <f>IF(S41=0,0,1000000*S41/TrRoad_act!S72)</f>
        <v>13381.427132481378</v>
      </c>
      <c r="T129" s="101">
        <f>IF(T41=0,0,1000000*T41/TrRoad_act!T72)</f>
        <v>13399.707449506976</v>
      </c>
      <c r="U129" s="101">
        <f>IF(U41=0,0,1000000*U41/TrRoad_act!U72)</f>
        <v>13421.681719145437</v>
      </c>
      <c r="V129" s="101">
        <f>IF(V41=0,0,1000000*V41/TrRoad_act!V72)</f>
        <v>13379.749761340216</v>
      </c>
      <c r="W129" s="101">
        <f>IF(W41=0,0,1000000*W41/TrRoad_act!W72)</f>
        <v>13461.28404319023</v>
      </c>
      <c r="X129" s="101">
        <f>IF(X41=0,0,1000000*X41/TrRoad_act!X72)</f>
        <v>13477.462617286445</v>
      </c>
      <c r="Y129" s="101">
        <f>IF(Y41=0,0,1000000*Y41/TrRoad_act!Y72)</f>
        <v>13618.130196289992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1113.5914606721171</v>
      </c>
      <c r="C131" s="152">
        <f>IF(C43=0,0,1000000*C43/TrRoad_act!C74)</f>
        <v>1070.0900258559657</v>
      </c>
      <c r="D131" s="152">
        <f>IF(D43=0,0,1000000*D43/TrRoad_act!D74)</f>
        <v>1066.0408205440635</v>
      </c>
      <c r="E131" s="152">
        <f>IF(E43=0,0,1000000*E43/TrRoad_act!E74)</f>
        <v>1070.7229444367933</v>
      </c>
      <c r="F131" s="152">
        <f>IF(F43=0,0,1000000*F43/TrRoad_act!F74)</f>
        <v>1064.7070419803003</v>
      </c>
      <c r="G131" s="152">
        <f>IF(G43=0,0,1000000*G43/TrRoad_act!G74)</f>
        <v>1083.5831664071181</v>
      </c>
      <c r="H131" s="152">
        <f>IF(H43=0,0,1000000*H43/TrRoad_act!H74)</f>
        <v>1077.8058761457492</v>
      </c>
      <c r="I131" s="152">
        <f>IF(I43=0,0,1000000*I43/TrRoad_act!I74)</f>
        <v>1079.0543281167652</v>
      </c>
      <c r="J131" s="152">
        <f>IF(J43=0,0,1000000*J43/TrRoad_act!J74)</f>
        <v>1026.8509531962468</v>
      </c>
      <c r="K131" s="152">
        <f>IF(K43=0,0,1000000*K43/TrRoad_act!K74)</f>
        <v>984.57038702439206</v>
      </c>
      <c r="L131" s="152">
        <f>IF(L43=0,0,1000000*L43/TrRoad_act!L74)</f>
        <v>981.20905713973696</v>
      </c>
      <c r="M131" s="152">
        <f>IF(M43=0,0,1000000*M43/TrRoad_act!M74)</f>
        <v>910.56848558233241</v>
      </c>
      <c r="N131" s="152">
        <f>IF(N43=0,0,1000000*N43/TrRoad_act!N74)</f>
        <v>813.94240480401902</v>
      </c>
      <c r="O131" s="152">
        <f>IF(O43=0,0,1000000*O43/TrRoad_act!O74)</f>
        <v>971.85399431874112</v>
      </c>
      <c r="P131" s="152">
        <f>IF(P43=0,0,1000000*P43/TrRoad_act!P74)</f>
        <v>1005.7352637033706</v>
      </c>
      <c r="Q131" s="152">
        <f>IF(Q43=0,0,1000000*Q43/TrRoad_act!Q74)</f>
        <v>1130.0182495776119</v>
      </c>
      <c r="R131" s="152">
        <f>IF(R43=0,0,1000000*R43/TrRoad_act!R74)</f>
        <v>1125.8255488833033</v>
      </c>
      <c r="S131" s="152">
        <f>IF(S43=0,0,1000000*S43/TrRoad_act!S74)</f>
        <v>1119.3071733287036</v>
      </c>
      <c r="T131" s="152">
        <f>IF(T43=0,0,1000000*T43/TrRoad_act!T74)</f>
        <v>1152.4455731790215</v>
      </c>
      <c r="U131" s="152">
        <f>IF(U43=0,0,1000000*U43/TrRoad_act!U74)</f>
        <v>1182.6641947748133</v>
      </c>
      <c r="V131" s="152">
        <f>IF(V43=0,0,1000000*V43/TrRoad_act!V74)</f>
        <v>1044.5833611941143</v>
      </c>
      <c r="W131" s="152">
        <f>IF(W43=0,0,1000000*W43/TrRoad_act!W74)</f>
        <v>1165.1642546432704</v>
      </c>
      <c r="X131" s="152">
        <f>IF(X43=0,0,1000000*X43/TrRoad_act!X74)</f>
        <v>1170.274760004236</v>
      </c>
      <c r="Y131" s="152">
        <f>IF(Y43=0,0,1000000*Y43/TrRoad_act!Y74)</f>
        <v>1172.4234332347964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1061.0869344504408</v>
      </c>
      <c r="C132" s="87">
        <f>IF(C44=0,0,1000000*C44/TrRoad_act!C75)</f>
        <v>1008.1601874652491</v>
      </c>
      <c r="D132" s="87">
        <f>IF(D44=0,0,1000000*D44/TrRoad_act!D75)</f>
        <v>997.91356417896998</v>
      </c>
      <c r="E132" s="87">
        <f>IF(E44=0,0,1000000*E44/TrRoad_act!E75)</f>
        <v>1000.0441692381285</v>
      </c>
      <c r="F132" s="87">
        <f>IF(F44=0,0,1000000*F44/TrRoad_act!F75)</f>
        <v>984.13043234414306</v>
      </c>
      <c r="G132" s="87">
        <f>IF(G44=0,0,1000000*G44/TrRoad_act!G75)</f>
        <v>998.89788364935305</v>
      </c>
      <c r="H132" s="87">
        <f>IF(H44=0,0,1000000*H44/TrRoad_act!H75)</f>
        <v>976.69484137700431</v>
      </c>
      <c r="I132" s="87">
        <f>IF(I44=0,0,1000000*I44/TrRoad_act!I75)</f>
        <v>969.04504535398678</v>
      </c>
      <c r="J132" s="87">
        <f>IF(J44=0,0,1000000*J44/TrRoad_act!J75)</f>
        <v>912.4778817332699</v>
      </c>
      <c r="K132" s="87">
        <f>IF(K44=0,0,1000000*K44/TrRoad_act!K75)</f>
        <v>828.08181194288863</v>
      </c>
      <c r="L132" s="87">
        <f>IF(L44=0,0,1000000*L44/TrRoad_act!L75)</f>
        <v>813.58400723061629</v>
      </c>
      <c r="M132" s="87">
        <f>IF(M44=0,0,1000000*M44/TrRoad_act!M75)</f>
        <v>753.05770404457564</v>
      </c>
      <c r="N132" s="87">
        <f>IF(N44=0,0,1000000*N44/TrRoad_act!N75)</f>
        <v>677.98425136375727</v>
      </c>
      <c r="O132" s="87">
        <f>IF(O44=0,0,1000000*O44/TrRoad_act!O75)</f>
        <v>747.59891399417313</v>
      </c>
      <c r="P132" s="87">
        <f>IF(P44=0,0,1000000*P44/TrRoad_act!P75)</f>
        <v>784.48447986945314</v>
      </c>
      <c r="Q132" s="87">
        <f>IF(Q44=0,0,1000000*Q44/TrRoad_act!Q75)</f>
        <v>814.20414083152991</v>
      </c>
      <c r="R132" s="87">
        <f>IF(R44=0,0,1000000*R44/TrRoad_act!R75)</f>
        <v>786.68299722858899</v>
      </c>
      <c r="S132" s="87">
        <f>IF(S44=0,0,1000000*S44/TrRoad_act!S75)</f>
        <v>827.66848581648333</v>
      </c>
      <c r="T132" s="87">
        <f>IF(T44=0,0,1000000*T44/TrRoad_act!T75)</f>
        <v>930.24943069391293</v>
      </c>
      <c r="U132" s="87">
        <f>IF(U44=0,0,1000000*U44/TrRoad_act!U75)</f>
        <v>926.36977677347818</v>
      </c>
      <c r="V132" s="87">
        <f>IF(V44=0,0,1000000*V44/TrRoad_act!V75)</f>
        <v>823.974214690591</v>
      </c>
      <c r="W132" s="87">
        <f>IF(W44=0,0,1000000*W44/TrRoad_act!W75)</f>
        <v>900.94458428700875</v>
      </c>
      <c r="X132" s="87">
        <f>IF(X44=0,0,1000000*X44/TrRoad_act!X75)</f>
        <v>886.95658055325885</v>
      </c>
      <c r="Y132" s="87">
        <f>IF(Y44=0,0,1000000*Y44/TrRoad_act!Y75)</f>
        <v>874.88269996899794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1483.3822025440302</v>
      </c>
      <c r="C133" s="87">
        <f>IF(C46=0,0,1000000*C46/TrRoad_act!C76)</f>
        <v>1461.0563859633639</v>
      </c>
      <c r="D133" s="87">
        <f>IF(D46=0,0,1000000*D46/TrRoad_act!D76)</f>
        <v>1463.0482829366756</v>
      </c>
      <c r="E133" s="87">
        <f>IF(E46=0,0,1000000*E46/TrRoad_act!E76)</f>
        <v>1406.4123209302556</v>
      </c>
      <c r="F133" s="87">
        <f>IF(F46=0,0,1000000*F46/TrRoad_act!F76)</f>
        <v>1406.3893495036957</v>
      </c>
      <c r="G133" s="87">
        <f>IF(G46=0,0,1000000*G46/TrRoad_act!G76)</f>
        <v>1410.9360268851867</v>
      </c>
      <c r="H133" s="87">
        <f>IF(H46=0,0,1000000*H46/TrRoad_act!H76)</f>
        <v>1398.8679631201924</v>
      </c>
      <c r="I133" s="87">
        <f>IF(I46=0,0,1000000*I46/TrRoad_act!I76)</f>
        <v>1395.6259678603703</v>
      </c>
      <c r="J133" s="87">
        <f>IF(J46=0,0,1000000*J46/TrRoad_act!J76)</f>
        <v>1364.211643889947</v>
      </c>
      <c r="K133" s="87">
        <f>IF(K46=0,0,1000000*K46/TrRoad_act!K76)</f>
        <v>1350.5485762309793</v>
      </c>
      <c r="L133" s="87">
        <f>IF(L46=0,0,1000000*L46/TrRoad_act!L76)</f>
        <v>1301.2869066709068</v>
      </c>
      <c r="M133" s="87">
        <f>IF(M46=0,0,1000000*M46/TrRoad_act!M76)</f>
        <v>1181.702658810713</v>
      </c>
      <c r="N133" s="87">
        <f>IF(N46=0,0,1000000*N46/TrRoad_act!N76)</f>
        <v>1036.5170880100202</v>
      </c>
      <c r="O133" s="87">
        <f>IF(O46=0,0,1000000*O46/TrRoad_act!O76)</f>
        <v>1270.9794557048224</v>
      </c>
      <c r="P133" s="87">
        <f>IF(P46=0,0,1000000*P46/TrRoad_act!P76)</f>
        <v>1277.6348581289403</v>
      </c>
      <c r="Q133" s="87">
        <f>IF(Q46=0,0,1000000*Q46/TrRoad_act!Q76)</f>
        <v>1454.8295276495253</v>
      </c>
      <c r="R133" s="87">
        <f>IF(R46=0,0,1000000*R46/TrRoad_act!R76)</f>
        <v>1466.8328890306082</v>
      </c>
      <c r="S133" s="87">
        <f>IF(S46=0,0,1000000*S46/TrRoad_act!S76)</f>
        <v>1419.139848886367</v>
      </c>
      <c r="T133" s="87">
        <f>IF(T46=0,0,1000000*T46/TrRoad_act!T76)</f>
        <v>1390.0370309401203</v>
      </c>
      <c r="U133" s="87">
        <f>IF(U46=0,0,1000000*U46/TrRoad_act!U76)</f>
        <v>1471.3206295606801</v>
      </c>
      <c r="V133" s="87">
        <f>IF(V46=0,0,1000000*V46/TrRoad_act!V76)</f>
        <v>1307.0193585366503</v>
      </c>
      <c r="W133" s="87">
        <f>IF(W46=0,0,1000000*W46/TrRoad_act!W76)</f>
        <v>1498.1784089828654</v>
      </c>
      <c r="X133" s="87">
        <f>IF(X46=0,0,1000000*X46/TrRoad_act!X76)</f>
        <v>1511.5562756010518</v>
      </c>
      <c r="Y133" s="87">
        <f>IF(Y46=0,0,1000000*Y46/TrRoad_act!Y76)</f>
        <v>1516.0692183390584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0</v>
      </c>
      <c r="P134" s="87">
        <f>IF(P48=0,0,1000000*P48/TrRoad_act!P77)</f>
        <v>0</v>
      </c>
      <c r="Q134" s="87">
        <f>IF(Q48=0,0,1000000*Q48/TrRoad_act!Q77)</f>
        <v>0</v>
      </c>
      <c r="R134" s="87">
        <f>IF(R48=0,0,1000000*R48/TrRoad_act!R77)</f>
        <v>0</v>
      </c>
      <c r="S134" s="87">
        <f>IF(S48=0,0,1000000*S48/TrRoad_act!S77)</f>
        <v>0</v>
      </c>
      <c r="T134" s="87">
        <f>IF(T48=0,0,1000000*T48/TrRoad_act!T77)</f>
        <v>0</v>
      </c>
      <c r="U134" s="87">
        <f>IF(U48=0,0,1000000*U48/TrRoad_act!U77)</f>
        <v>0</v>
      </c>
      <c r="V134" s="87">
        <f>IF(V48=0,0,1000000*V48/TrRoad_act!V77)</f>
        <v>0</v>
      </c>
      <c r="W134" s="87">
        <f>IF(W48=0,0,1000000*W48/TrRoad_act!W77)</f>
        <v>0</v>
      </c>
      <c r="X134" s="87">
        <f>IF(X48=0,0,1000000*X48/TrRoad_act!X77)</f>
        <v>0</v>
      </c>
      <c r="Y134" s="87">
        <f>IF(Y48=0,0,1000000*Y48/TrRoad_act!Y77)</f>
        <v>0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X135" s="87">
        <f>IF(X49=0,0,1000000*X49/TrRoad_act!X78)</f>
        <v>0</v>
      </c>
      <c r="Y135" s="87">
        <f>IF(Y49=0,0,1000000*Y49/TrRoad_act!Y78)</f>
        <v>0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0</v>
      </c>
      <c r="N136" s="87">
        <f>IF(N51=0,0,1000000*N51/TrRoad_act!N79)</f>
        <v>0</v>
      </c>
      <c r="O136" s="87">
        <f>IF(O51=0,0,1000000*O51/TrRoad_act!O79)</f>
        <v>0</v>
      </c>
      <c r="P136" s="87">
        <f>IF(P51=0,0,1000000*P51/TrRoad_act!P79)</f>
        <v>0</v>
      </c>
      <c r="Q136" s="87">
        <f>IF(Q51=0,0,1000000*Q51/TrRoad_act!Q79)</f>
        <v>0</v>
      </c>
      <c r="R136" s="87">
        <f>IF(R51=0,0,1000000*R51/TrRoad_act!R79)</f>
        <v>0</v>
      </c>
      <c r="S136" s="87">
        <f>IF(S51=0,0,1000000*S51/TrRoad_act!S79)</f>
        <v>0</v>
      </c>
      <c r="T136" s="87">
        <f>IF(T51=0,0,1000000*T51/TrRoad_act!T79)</f>
        <v>0</v>
      </c>
      <c r="U136" s="87">
        <f>IF(U51=0,0,1000000*U51/TrRoad_act!U79)</f>
        <v>0</v>
      </c>
      <c r="V136" s="87">
        <f>IF(V51=0,0,1000000*V51/TrRoad_act!V79)</f>
        <v>0</v>
      </c>
      <c r="W136" s="87">
        <f>IF(W51=0,0,1000000*W51/TrRoad_act!W79)</f>
        <v>0</v>
      </c>
      <c r="X136" s="87">
        <f>IF(X51=0,0,1000000*X51/TrRoad_act!X79)</f>
        <v>0</v>
      </c>
      <c r="Y136" s="87">
        <f>IF(Y51=0,0,1000000*Y51/TrRoad_act!Y79)</f>
        <v>0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5762.911919327008</v>
      </c>
      <c r="C137" s="116">
        <f>IF(C52=0,0,1000000*C52/TrRoad_act!C80)</f>
        <v>5680.8112550240667</v>
      </c>
      <c r="D137" s="116">
        <f>IF(D52=0,0,1000000*D52/TrRoad_act!D80)</f>
        <v>5648.3038111819496</v>
      </c>
      <c r="E137" s="116">
        <f>IF(E52=0,0,1000000*E52/TrRoad_act!E80)</f>
        <v>5613.7835282197093</v>
      </c>
      <c r="F137" s="116">
        <f>IF(F52=0,0,1000000*F52/TrRoad_act!F80)</f>
        <v>5238.0367517897976</v>
      </c>
      <c r="G137" s="116">
        <f>IF(G52=0,0,1000000*G52/TrRoad_act!G80)</f>
        <v>5532.7826190733103</v>
      </c>
      <c r="H137" s="116">
        <f>IF(H52=0,0,1000000*H52/TrRoad_act!H80)</f>
        <v>5346.1201294707171</v>
      </c>
      <c r="I137" s="116">
        <f>IF(I52=0,0,1000000*I52/TrRoad_act!I80)</f>
        <v>5634.5104643107952</v>
      </c>
      <c r="J137" s="116">
        <f>IF(J52=0,0,1000000*J52/TrRoad_act!J80)</f>
        <v>5284.4051429066667</v>
      </c>
      <c r="K137" s="116">
        <f>IF(K52=0,0,1000000*K52/TrRoad_act!K80)</f>
        <v>7390.8489892446732</v>
      </c>
      <c r="L137" s="116">
        <f>IF(L52=0,0,1000000*L52/TrRoad_act!L80)</f>
        <v>6872.6266584052892</v>
      </c>
      <c r="M137" s="116">
        <f>IF(M52=0,0,1000000*M52/TrRoad_act!M80)</f>
        <v>5877.2739201930317</v>
      </c>
      <c r="N137" s="116">
        <f>IF(N52=0,0,1000000*N52/TrRoad_act!N80)</f>
        <v>4542.1893710863897</v>
      </c>
      <c r="O137" s="116">
        <f>IF(O52=0,0,1000000*O52/TrRoad_act!O80)</f>
        <v>5985.8784306481621</v>
      </c>
      <c r="P137" s="116">
        <f>IF(P52=0,0,1000000*P52/TrRoad_act!P80)</f>
        <v>7180.9628133237702</v>
      </c>
      <c r="Q137" s="116">
        <f>IF(Q52=0,0,1000000*Q52/TrRoad_act!Q80)</f>
        <v>6895.2800930300655</v>
      </c>
      <c r="R137" s="116">
        <f>IF(R52=0,0,1000000*R52/TrRoad_act!R80)</f>
        <v>8054.6976990862831</v>
      </c>
      <c r="S137" s="116">
        <f>IF(S52=0,0,1000000*S52/TrRoad_act!S80)</f>
        <v>9025.984907119393</v>
      </c>
      <c r="T137" s="116">
        <f>IF(T52=0,0,1000000*T52/TrRoad_act!T80)</f>
        <v>11005.99508408253</v>
      </c>
      <c r="U137" s="116">
        <f>IF(U52=0,0,1000000*U52/TrRoad_act!U80)</f>
        <v>12824.075368351043</v>
      </c>
      <c r="V137" s="116">
        <f>IF(V52=0,0,1000000*V52/TrRoad_act!V80)</f>
        <v>13970.861116691922</v>
      </c>
      <c r="W137" s="116">
        <f>IF(W52=0,0,1000000*W52/TrRoad_act!W80)</f>
        <v>15113.86415167811</v>
      </c>
      <c r="X137" s="116">
        <f>IF(X52=0,0,1000000*X52/TrRoad_act!X80)</f>
        <v>17639.093299724645</v>
      </c>
      <c r="Y137" s="116">
        <f>IF(Y52=0,0,1000000*Y52/TrRoad_act!Y80)</f>
        <v>19289.277755577681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5301.7047463040717</v>
      </c>
      <c r="C138" s="101">
        <f>IF(C53=0,0,1000000*C53/TrRoad_act!C81)</f>
        <v>5219.1151823462524</v>
      </c>
      <c r="D138" s="101">
        <f>IF(D53=0,0,1000000*D53/TrRoad_act!D81)</f>
        <v>5182.2469868096077</v>
      </c>
      <c r="E138" s="101">
        <f>IF(E53=0,0,1000000*E53/TrRoad_act!E81)</f>
        <v>4697.5464112301979</v>
      </c>
      <c r="F138" s="101">
        <f>IF(F53=0,0,1000000*F53/TrRoad_act!F81)</f>
        <v>4783.8250512274426</v>
      </c>
      <c r="G138" s="101">
        <f>IF(G53=0,0,1000000*G53/TrRoad_act!G81)</f>
        <v>4807.2967936111963</v>
      </c>
      <c r="H138" s="101">
        <f>IF(H53=0,0,1000000*H53/TrRoad_act!H81)</f>
        <v>4670.7835104903315</v>
      </c>
      <c r="I138" s="101">
        <f>IF(I53=0,0,1000000*I53/TrRoad_act!I81)</f>
        <v>4930.7163178699329</v>
      </c>
      <c r="J138" s="101">
        <f>IF(J53=0,0,1000000*J53/TrRoad_act!J81)</f>
        <v>4742.1206544501756</v>
      </c>
      <c r="K138" s="101">
        <f>IF(K53=0,0,1000000*K53/TrRoad_act!K81)</f>
        <v>6424.9603714406794</v>
      </c>
      <c r="L138" s="101">
        <f>IF(L53=0,0,1000000*L53/TrRoad_act!L81)</f>
        <v>6063.8533647320346</v>
      </c>
      <c r="M138" s="101">
        <f>IF(M53=0,0,1000000*M53/TrRoad_act!M81)</f>
        <v>5053.3272783592265</v>
      </c>
      <c r="N138" s="101">
        <f>IF(N53=0,0,1000000*N53/TrRoad_act!N81)</f>
        <v>4050.4348986214291</v>
      </c>
      <c r="O138" s="101">
        <f>IF(O53=0,0,1000000*O53/TrRoad_act!O81)</f>
        <v>4960.0274561965443</v>
      </c>
      <c r="P138" s="101">
        <f>IF(P53=0,0,1000000*P53/TrRoad_act!P81)</f>
        <v>6077.9608264422177</v>
      </c>
      <c r="Q138" s="101">
        <f>IF(Q53=0,0,1000000*Q53/TrRoad_act!Q81)</f>
        <v>5992.4146058988827</v>
      </c>
      <c r="R138" s="101">
        <f>IF(R53=0,0,1000000*R53/TrRoad_act!R81)</f>
        <v>6947.6494963336218</v>
      </c>
      <c r="S138" s="101">
        <f>IF(S53=0,0,1000000*S53/TrRoad_act!S81)</f>
        <v>7491.281695855705</v>
      </c>
      <c r="T138" s="101">
        <f>IF(T53=0,0,1000000*T53/TrRoad_act!T81)</f>
        <v>9196.3290948876711</v>
      </c>
      <c r="U138" s="101">
        <f>IF(U53=0,0,1000000*U53/TrRoad_act!U81)</f>
        <v>11265.542152397315</v>
      </c>
      <c r="V138" s="101">
        <f>IF(V53=0,0,1000000*V53/TrRoad_act!V81)</f>
        <v>11745.589663380924</v>
      </c>
      <c r="W138" s="101">
        <f>IF(W53=0,0,1000000*W53/TrRoad_act!W81)</f>
        <v>12729.350012511137</v>
      </c>
      <c r="X138" s="101">
        <f>IF(X53=0,0,1000000*X53/TrRoad_act!X81)</f>
        <v>14702.394213121177</v>
      </c>
      <c r="Y138" s="101">
        <f>IF(Y53=0,0,1000000*Y53/TrRoad_act!Y81)</f>
        <v>15777.259675368556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68642.945979120515</v>
      </c>
      <c r="C139" s="88">
        <f>IF(C55=0,0,1000000*C55/TrRoad_act!C82)</f>
        <v>66255.335990353182</v>
      </c>
      <c r="D139" s="88">
        <f>IF(D55=0,0,1000000*D55/TrRoad_act!D82)</f>
        <v>65279.253488848022</v>
      </c>
      <c r="E139" s="88">
        <f>IF(E55=0,0,1000000*E55/TrRoad_act!E82)</f>
        <v>119953.23891753028</v>
      </c>
      <c r="F139" s="88">
        <f>IF(F55=0,0,1000000*F55/TrRoad_act!F82)</f>
        <v>62459.994806644347</v>
      </c>
      <c r="G139" s="88">
        <f>IF(G55=0,0,1000000*G55/TrRoad_act!G82)</f>
        <v>83210.302881825672</v>
      </c>
      <c r="H139" s="88">
        <f>IF(H55=0,0,1000000*H55/TrRoad_act!H82)</f>
        <v>72055.73434407881</v>
      </c>
      <c r="I139" s="88">
        <f>IF(I55=0,0,1000000*I55/TrRoad_act!I82)</f>
        <v>85965.686274521446</v>
      </c>
      <c r="J139" s="88">
        <f>IF(J55=0,0,1000000*J55/TrRoad_act!J82)</f>
        <v>79689.197595403661</v>
      </c>
      <c r="K139" s="88">
        <f>IF(K55=0,0,1000000*K55/TrRoad_act!K82)</f>
        <v>145827.76563514429</v>
      </c>
      <c r="L139" s="88">
        <f>IF(L55=0,0,1000000*L55/TrRoad_act!L82)</f>
        <v>92204.938722045801</v>
      </c>
      <c r="M139" s="88">
        <f>IF(M55=0,0,1000000*M55/TrRoad_act!M82)</f>
        <v>104468.16934760532</v>
      </c>
      <c r="N139" s="88">
        <f>IF(N55=0,0,1000000*N55/TrRoad_act!N82)</f>
        <v>52278.361935323293</v>
      </c>
      <c r="O139" s="88">
        <f>IF(O55=0,0,1000000*O55/TrRoad_act!O82)</f>
        <v>83988.916027112282</v>
      </c>
      <c r="P139" s="88">
        <f>IF(P55=0,0,1000000*P55/TrRoad_act!P82)</f>
        <v>84700.668255258948</v>
      </c>
      <c r="Q139" s="88">
        <f>IF(Q55=0,0,1000000*Q55/TrRoad_act!Q82)</f>
        <v>58665.971323211677</v>
      </c>
      <c r="R139" s="88">
        <f>IF(R55=0,0,1000000*R55/TrRoad_act!R82)</f>
        <v>61051.022490154479</v>
      </c>
      <c r="S139" s="88">
        <f>IF(S55=0,0,1000000*S55/TrRoad_act!S82)</f>
        <v>58358.16161888343</v>
      </c>
      <c r="T139" s="88">
        <f>IF(T55=0,0,1000000*T55/TrRoad_act!T82)</f>
        <v>63524.010145508313</v>
      </c>
      <c r="U139" s="88">
        <f>IF(U55=0,0,1000000*U55/TrRoad_act!U82)</f>
        <v>105878.01300861572</v>
      </c>
      <c r="V139" s="88">
        <f>IF(V55=0,0,1000000*V55/TrRoad_act!V82)</f>
        <v>95508.292530933788</v>
      </c>
      <c r="W139" s="88">
        <f>IF(W55=0,0,1000000*W55/TrRoad_act!W82)</f>
        <v>75288.504935427263</v>
      </c>
      <c r="X139" s="88">
        <f>IF(X55=0,0,1000000*X55/TrRoad_act!X82)</f>
        <v>80189.64518770056</v>
      </c>
      <c r="Y139" s="88">
        <f>IF(Y55=0,0,1000000*Y55/TrRoad_act!Y82)</f>
        <v>85617.565281060204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0.64909621007610196</v>
      </c>
      <c r="C142" s="46">
        <f t="shared" si="42"/>
        <v>0.65503794317092812</v>
      </c>
      <c r="D142" s="46">
        <f t="shared" si="42"/>
        <v>0.66033360031225019</v>
      </c>
      <c r="E142" s="46">
        <f t="shared" si="42"/>
        <v>0.67824712731125436</v>
      </c>
      <c r="F142" s="46">
        <f t="shared" si="42"/>
        <v>0.66199343582594328</v>
      </c>
      <c r="G142" s="46">
        <f t="shared" si="42"/>
        <v>0.68517175266988462</v>
      </c>
      <c r="H142" s="46">
        <f t="shared" si="42"/>
        <v>0.67813146558916115</v>
      </c>
      <c r="I142" s="46">
        <f t="shared" si="42"/>
        <v>0.67911955809501434</v>
      </c>
      <c r="J142" s="46">
        <f t="shared" si="42"/>
        <v>0.67574281997732299</v>
      </c>
      <c r="K142" s="46">
        <f t="shared" si="42"/>
        <v>0.65374978618376711</v>
      </c>
      <c r="L142" s="46">
        <f t="shared" ref="L142" si="43">IF(L18=0,0,L18/L$17)</f>
        <v>0.65517869327056533</v>
      </c>
      <c r="M142" s="46">
        <f t="shared" ref="M142:V142" si="44">IF(M18=0,0,M18/M$17)</f>
        <v>0.69596792333927127</v>
      </c>
      <c r="N142" s="46">
        <f t="shared" si="44"/>
        <v>0.72277685974821848</v>
      </c>
      <c r="O142" s="46">
        <f t="shared" si="44"/>
        <v>0.68017342463116348</v>
      </c>
      <c r="P142" s="46">
        <f t="shared" si="44"/>
        <v>0.66304042637244787</v>
      </c>
      <c r="Q142" s="46">
        <f t="shared" si="44"/>
        <v>0.66825103935758068</v>
      </c>
      <c r="R142" s="46">
        <f t="shared" si="44"/>
        <v>0.65767125268690629</v>
      </c>
      <c r="S142" s="46">
        <f t="shared" si="44"/>
        <v>0.66803721592581544</v>
      </c>
      <c r="T142" s="46">
        <f t="shared" si="44"/>
        <v>0.66180860009564069</v>
      </c>
      <c r="U142" s="46">
        <f t="shared" si="44"/>
        <v>0.65654958079975501</v>
      </c>
      <c r="V142" s="46">
        <f t="shared" si="44"/>
        <v>0.63255716290994457</v>
      </c>
      <c r="W142" s="46">
        <f t="shared" ref="W142:Y142" si="45">IF(W18=0,0,W18/W$17)</f>
        <v>0.63645405032016833</v>
      </c>
      <c r="X142" s="46">
        <f t="shared" si="45"/>
        <v>0.64010863078391511</v>
      </c>
      <c r="Y142" s="46">
        <f t="shared" si="45"/>
        <v>0.65716681208704186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3.1461413582578007E-2</v>
      </c>
      <c r="C143" s="154">
        <f t="shared" si="46"/>
        <v>3.3322788756169827E-2</v>
      </c>
      <c r="D143" s="154">
        <f t="shared" si="46"/>
        <v>3.5376494199997457E-2</v>
      </c>
      <c r="E143" s="154">
        <f t="shared" si="46"/>
        <v>3.4969671423079426E-2</v>
      </c>
      <c r="F143" s="154">
        <f t="shared" si="46"/>
        <v>3.4980404634895115E-2</v>
      </c>
      <c r="G143" s="154">
        <f t="shared" si="46"/>
        <v>3.5073191391488699E-2</v>
      </c>
      <c r="H143" s="154">
        <f t="shared" si="46"/>
        <v>3.1087126240101983E-2</v>
      </c>
      <c r="I143" s="154">
        <f t="shared" si="46"/>
        <v>2.974493352392385E-2</v>
      </c>
      <c r="J143" s="154">
        <f t="shared" si="46"/>
        <v>3.2660493000723989E-2</v>
      </c>
      <c r="K143" s="154">
        <f t="shared" si="46"/>
        <v>3.0868346442816476E-2</v>
      </c>
      <c r="L143" s="154">
        <f t="shared" ref="L143" si="47">IF(L19=0,0,L19/L$17)</f>
        <v>4.0136525393287555E-2</v>
      </c>
      <c r="M143" s="154">
        <f t="shared" ref="M143:V143" si="48">IF(M19=0,0,M19/M$17)</f>
        <v>4.4853699658825866E-2</v>
      </c>
      <c r="N143" s="154">
        <f t="shared" si="48"/>
        <v>5.6318712635168959E-2</v>
      </c>
      <c r="O143" s="154">
        <f t="shared" si="48"/>
        <v>5.5188207848721846E-2</v>
      </c>
      <c r="P143" s="154">
        <f t="shared" si="48"/>
        <v>5.5815064665521601E-2</v>
      </c>
      <c r="Q143" s="154">
        <f t="shared" si="48"/>
        <v>5.5039038621187253E-2</v>
      </c>
      <c r="R143" s="154">
        <f t="shared" si="48"/>
        <v>5.4733952176791209E-2</v>
      </c>
      <c r="S143" s="154">
        <f t="shared" si="48"/>
        <v>5.2124323207333366E-2</v>
      </c>
      <c r="T143" s="154">
        <f t="shared" si="48"/>
        <v>4.7808450594150599E-2</v>
      </c>
      <c r="U143" s="154">
        <f t="shared" si="48"/>
        <v>4.8646710425847145E-2</v>
      </c>
      <c r="V143" s="154">
        <f t="shared" si="48"/>
        <v>4.9123300598588528E-2</v>
      </c>
      <c r="W143" s="154">
        <f t="shared" ref="W143:Y143" si="49">IF(W19=0,0,W19/W$17)</f>
        <v>4.7706616644781312E-2</v>
      </c>
      <c r="X143" s="154">
        <f t="shared" si="49"/>
        <v>4.5966151655835348E-2</v>
      </c>
      <c r="Y143" s="154">
        <f t="shared" si="49"/>
        <v>4.6930426566111141E-2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0.51226714646457072</v>
      </c>
      <c r="C144" s="156">
        <f t="shared" si="50"/>
        <v>0.52199084289586406</v>
      </c>
      <c r="D144" s="156">
        <f t="shared" si="50"/>
        <v>0.52912290844523702</v>
      </c>
      <c r="E144" s="156">
        <f t="shared" si="50"/>
        <v>0.52691344047341504</v>
      </c>
      <c r="F144" s="156">
        <f t="shared" si="50"/>
        <v>0.53963023001116051</v>
      </c>
      <c r="G144" s="156">
        <f t="shared" si="50"/>
        <v>0.55397975405943622</v>
      </c>
      <c r="H144" s="156">
        <f t="shared" si="50"/>
        <v>0.55567586311812234</v>
      </c>
      <c r="I144" s="156">
        <f t="shared" si="50"/>
        <v>0.55935156260565022</v>
      </c>
      <c r="J144" s="156">
        <f t="shared" si="50"/>
        <v>0.55860832626526791</v>
      </c>
      <c r="K144" s="156">
        <f t="shared" si="50"/>
        <v>0.530569139886098</v>
      </c>
      <c r="L144" s="156">
        <f t="shared" ref="L144" si="51">IF(L21=0,0,L21/L$17)</f>
        <v>0.52601601087218797</v>
      </c>
      <c r="M144" s="156">
        <f t="shared" ref="M144:V144" si="52">IF(M21=0,0,M21/M$17)</f>
        <v>0.54753475039105948</v>
      </c>
      <c r="N144" s="156">
        <f t="shared" si="52"/>
        <v>0.56232624043207569</v>
      </c>
      <c r="O144" s="156">
        <f t="shared" si="52"/>
        <v>0.50948602318090741</v>
      </c>
      <c r="P144" s="156">
        <f t="shared" si="52"/>
        <v>0.49489581206792488</v>
      </c>
      <c r="Q144" s="156">
        <f t="shared" si="52"/>
        <v>0.50639858643549907</v>
      </c>
      <c r="R144" s="156">
        <f t="shared" si="52"/>
        <v>0.49720637576285315</v>
      </c>
      <c r="S144" s="156">
        <f t="shared" si="52"/>
        <v>0.50734192400543421</v>
      </c>
      <c r="T144" s="156">
        <f t="shared" si="52"/>
        <v>0.50415149423339911</v>
      </c>
      <c r="U144" s="156">
        <f t="shared" si="52"/>
        <v>0.49794078881124465</v>
      </c>
      <c r="V144" s="156">
        <f t="shared" si="52"/>
        <v>0.46022849735313853</v>
      </c>
      <c r="W144" s="156">
        <f t="shared" ref="W144:Y144" si="53">IF(W21=0,0,W21/W$17)</f>
        <v>0.47445674520414971</v>
      </c>
      <c r="X144" s="156">
        <f t="shared" si="53"/>
        <v>0.48138258210123469</v>
      </c>
      <c r="Y144" s="156">
        <f t="shared" si="53"/>
        <v>0.49781993793584789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0.48054596632592261</v>
      </c>
      <c r="C145" s="103">
        <f t="shared" si="54"/>
        <v>0.49167219347797209</v>
      </c>
      <c r="D145" s="103">
        <f t="shared" si="54"/>
        <v>0.50015122499761577</v>
      </c>
      <c r="E145" s="103">
        <f t="shared" si="54"/>
        <v>0.49877937279725804</v>
      </c>
      <c r="F145" s="103">
        <f t="shared" si="54"/>
        <v>0.51439190891513986</v>
      </c>
      <c r="G145" s="103">
        <f t="shared" si="54"/>
        <v>0.52851982577546563</v>
      </c>
      <c r="H145" s="103">
        <f t="shared" si="54"/>
        <v>0.52857121532444229</v>
      </c>
      <c r="I145" s="103">
        <f t="shared" si="54"/>
        <v>0.53123610890877226</v>
      </c>
      <c r="J145" s="103">
        <f t="shared" si="54"/>
        <v>0.53200876632158511</v>
      </c>
      <c r="K145" s="103">
        <f t="shared" si="54"/>
        <v>0.5002365091245955</v>
      </c>
      <c r="L145" s="103">
        <f t="shared" ref="L145" si="55">IF(L22=0,0,L22/L$17)</f>
        <v>0.49025981909043703</v>
      </c>
      <c r="M145" s="103">
        <f t="shared" ref="M145:V145" si="56">IF(M22=0,0,M22/M$17)</f>
        <v>0.48536099326164328</v>
      </c>
      <c r="N145" s="103">
        <f t="shared" si="56"/>
        <v>0.50942296743634896</v>
      </c>
      <c r="O145" s="103">
        <f t="shared" si="56"/>
        <v>0.44767057148994438</v>
      </c>
      <c r="P145" s="103">
        <f t="shared" si="56"/>
        <v>0.42387763313165305</v>
      </c>
      <c r="Q145" s="103">
        <f t="shared" si="56"/>
        <v>0.40578829458117649</v>
      </c>
      <c r="R145" s="103">
        <f t="shared" si="56"/>
        <v>0.38734727964144566</v>
      </c>
      <c r="S145" s="103">
        <f t="shared" si="56"/>
        <v>0.38474475655547397</v>
      </c>
      <c r="T145" s="103">
        <f t="shared" si="56"/>
        <v>0.37287522031358028</v>
      </c>
      <c r="U145" s="103">
        <f t="shared" si="56"/>
        <v>0.35383857939079921</v>
      </c>
      <c r="V145" s="103">
        <f t="shared" si="56"/>
        <v>0.32268770120757878</v>
      </c>
      <c r="W145" s="103">
        <f t="shared" ref="W145:Y145" si="57">IF(W22=0,0,W22/W$17)</f>
        <v>0.32629350268975799</v>
      </c>
      <c r="X145" s="103">
        <f t="shared" si="57"/>
        <v>0.32590237549533801</v>
      </c>
      <c r="Y145" s="103">
        <f t="shared" si="57"/>
        <v>0.33051614014921671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2.8568811820439875E-2</v>
      </c>
      <c r="C146" s="103">
        <f t="shared" si="58"/>
        <v>2.6862161550632688E-2</v>
      </c>
      <c r="D146" s="103">
        <f t="shared" si="58"/>
        <v>2.5733551321858901E-2</v>
      </c>
      <c r="E146" s="103">
        <f t="shared" si="58"/>
        <v>2.5616270423852398E-2</v>
      </c>
      <c r="F146" s="103">
        <f t="shared" si="58"/>
        <v>2.2925132508284062E-2</v>
      </c>
      <c r="G146" s="103">
        <f t="shared" si="58"/>
        <v>2.3179953287060268E-2</v>
      </c>
      <c r="H146" s="103">
        <f t="shared" si="58"/>
        <v>2.4878233364483939E-2</v>
      </c>
      <c r="I146" s="103">
        <f t="shared" si="58"/>
        <v>2.5785151829034073E-2</v>
      </c>
      <c r="J146" s="103">
        <f t="shared" si="58"/>
        <v>2.4220755075141192E-2</v>
      </c>
      <c r="K146" s="103">
        <f t="shared" si="58"/>
        <v>2.7346070978394477E-2</v>
      </c>
      <c r="L146" s="103">
        <f t="shared" ref="L146" si="59">IF(L24=0,0,L24/L$17)</f>
        <v>2.8188884306950858E-2</v>
      </c>
      <c r="M146" s="103">
        <f t="shared" ref="M146:V146" si="60">IF(M24=0,0,M24/M$17)</f>
        <v>2.8530719324463858E-2</v>
      </c>
      <c r="N146" s="103">
        <f t="shared" si="60"/>
        <v>3.4879205242208666E-2</v>
      </c>
      <c r="O146" s="103">
        <f t="shared" si="60"/>
        <v>2.0079295265101639E-2</v>
      </c>
      <c r="P146" s="103">
        <f t="shared" si="60"/>
        <v>2.5490989693845834E-2</v>
      </c>
      <c r="Q146" s="103">
        <f t="shared" si="60"/>
        <v>4.837847457542338E-2</v>
      </c>
      <c r="R146" s="103">
        <f t="shared" si="60"/>
        <v>5.7967038925214244E-2</v>
      </c>
      <c r="S146" s="103">
        <f t="shared" si="60"/>
        <v>7.280139037748852E-2</v>
      </c>
      <c r="T146" s="103">
        <f t="shared" si="60"/>
        <v>8.3642623102578459E-2</v>
      </c>
      <c r="U146" s="103">
        <f t="shared" si="60"/>
        <v>9.6878259980636122E-2</v>
      </c>
      <c r="V146" s="103">
        <f t="shared" si="60"/>
        <v>9.3757832010137335E-2</v>
      </c>
      <c r="W146" s="103">
        <f t="shared" ref="W146:Y146" si="61">IF(W24=0,0,W24/W$17)</f>
        <v>0.10752962491037253</v>
      </c>
      <c r="X146" s="103">
        <f t="shared" si="61"/>
        <v>0.1156726535272064</v>
      </c>
      <c r="Y146" s="103">
        <f t="shared" si="61"/>
        <v>0.12770652984315459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3.1523683182081512E-3</v>
      </c>
      <c r="C147" s="103">
        <f t="shared" si="62"/>
        <v>3.2863990755773458E-3</v>
      </c>
      <c r="D147" s="103">
        <f t="shared" si="62"/>
        <v>2.9732357339960643E-3</v>
      </c>
      <c r="E147" s="103">
        <f t="shared" si="62"/>
        <v>2.2434111722323155E-3</v>
      </c>
      <c r="F147" s="103">
        <f t="shared" si="62"/>
        <v>2.0428226095888504E-3</v>
      </c>
      <c r="G147" s="103">
        <f t="shared" si="62"/>
        <v>1.9887615323585942E-3</v>
      </c>
      <c r="H147" s="103">
        <f t="shared" si="62"/>
        <v>1.9310565461210904E-3</v>
      </c>
      <c r="I147" s="103">
        <f t="shared" si="62"/>
        <v>2.0136606877971769E-3</v>
      </c>
      <c r="J147" s="103">
        <f t="shared" si="62"/>
        <v>2.0627374557939497E-3</v>
      </c>
      <c r="K147" s="103">
        <f t="shared" si="62"/>
        <v>2.6188969093659982E-3</v>
      </c>
      <c r="L147" s="103">
        <f t="shared" ref="L147" si="63">IF(L26=0,0,L26/L$17)</f>
        <v>7.114443921113346E-3</v>
      </c>
      <c r="M147" s="103">
        <f t="shared" ref="M147:V147" si="64">IF(M26=0,0,M26/M$17)</f>
        <v>3.3125567692790486E-2</v>
      </c>
      <c r="N147" s="103">
        <f t="shared" si="64"/>
        <v>1.7401208197748392E-2</v>
      </c>
      <c r="O147" s="103">
        <f t="shared" si="64"/>
        <v>4.1156897877306926E-2</v>
      </c>
      <c r="P147" s="103">
        <f t="shared" si="64"/>
        <v>4.493933841808545E-2</v>
      </c>
      <c r="Q147" s="103">
        <f t="shared" si="64"/>
        <v>5.162763770753425E-2</v>
      </c>
      <c r="R147" s="103">
        <f t="shared" si="64"/>
        <v>5.1297258523639269E-2</v>
      </c>
      <c r="S147" s="103">
        <f t="shared" si="64"/>
        <v>4.9212880935333971E-2</v>
      </c>
      <c r="T147" s="103">
        <f t="shared" si="64"/>
        <v>4.7042593842076277E-2</v>
      </c>
      <c r="U147" s="103">
        <f t="shared" si="64"/>
        <v>4.6607382826767976E-2</v>
      </c>
      <c r="V147" s="103">
        <f t="shared" si="64"/>
        <v>4.2864328550469358E-2</v>
      </c>
      <c r="W147" s="103">
        <f t="shared" ref="W147:Y147" si="65">IF(W26=0,0,W26/W$17)</f>
        <v>3.9388757211395703E-2</v>
      </c>
      <c r="X147" s="103">
        <f t="shared" si="65"/>
        <v>3.8145473200520759E-2</v>
      </c>
      <c r="Y147" s="103">
        <f t="shared" si="65"/>
        <v>3.7254515784383165E-2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1.7008879168185992E-4</v>
      </c>
      <c r="D148" s="103">
        <f t="shared" si="66"/>
        <v>2.6489639176615639E-4</v>
      </c>
      <c r="E148" s="103">
        <f t="shared" si="66"/>
        <v>2.7438608007227829E-4</v>
      </c>
      <c r="F148" s="103">
        <f t="shared" si="66"/>
        <v>2.7036597814769034E-4</v>
      </c>
      <c r="G148" s="103">
        <f t="shared" si="66"/>
        <v>2.912134645517499E-4</v>
      </c>
      <c r="H148" s="103">
        <f t="shared" si="66"/>
        <v>2.9535788307507086E-4</v>
      </c>
      <c r="I148" s="103">
        <f t="shared" si="66"/>
        <v>3.1664118004663173E-4</v>
      </c>
      <c r="J148" s="103">
        <f t="shared" si="66"/>
        <v>3.1606741274764477E-4</v>
      </c>
      <c r="K148" s="103">
        <f t="shared" si="66"/>
        <v>3.6766287374204106E-4</v>
      </c>
      <c r="L148" s="103">
        <f t="shared" ref="L148" si="67">IF(L27=0,0,L27/L$17)</f>
        <v>4.5286355368678866E-4</v>
      </c>
      <c r="M148" s="103">
        <f t="shared" ref="M148:V148" si="68">IF(M27=0,0,M27/M$17)</f>
        <v>5.1747011216183257E-4</v>
      </c>
      <c r="N148" s="103">
        <f t="shared" si="68"/>
        <v>6.2278479014675015E-4</v>
      </c>
      <c r="O148" s="103">
        <f t="shared" si="68"/>
        <v>5.7913371583258723E-4</v>
      </c>
      <c r="P148" s="103">
        <f t="shared" si="68"/>
        <v>5.8564160422703291E-4</v>
      </c>
      <c r="Q148" s="103">
        <f t="shared" si="68"/>
        <v>5.9974753290788273E-4</v>
      </c>
      <c r="R148" s="103">
        <f t="shared" si="68"/>
        <v>5.8697565503313981E-4</v>
      </c>
      <c r="S148" s="103">
        <f t="shared" si="68"/>
        <v>5.6670131418298992E-4</v>
      </c>
      <c r="T148" s="103">
        <f t="shared" si="68"/>
        <v>5.6240416057727995E-4</v>
      </c>
      <c r="U148" s="103">
        <f t="shared" si="68"/>
        <v>5.6707476113205797E-4</v>
      </c>
      <c r="V148" s="103">
        <f t="shared" si="68"/>
        <v>7.5748834956580627E-4</v>
      </c>
      <c r="W148" s="103">
        <f t="shared" ref="W148:Y148" si="69">IF(W27=0,0,W27/W$17)</f>
        <v>7.3818669831478658E-4</v>
      </c>
      <c r="X148" s="103">
        <f t="shared" si="69"/>
        <v>7.820622276750865E-4</v>
      </c>
      <c r="Y148" s="103">
        <f t="shared" si="69"/>
        <v>8.8336557146636858E-4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0</v>
      </c>
      <c r="N149" s="103">
        <f t="shared" si="72"/>
        <v>4.3022938611058741E-8</v>
      </c>
      <c r="O149" s="103">
        <f t="shared" si="72"/>
        <v>2.6926086183466456E-8</v>
      </c>
      <c r="P149" s="103">
        <f t="shared" si="72"/>
        <v>7.3309380559442061E-7</v>
      </c>
      <c r="Q149" s="103">
        <f t="shared" si="72"/>
        <v>1.5550898759764949E-6</v>
      </c>
      <c r="R149" s="103">
        <f t="shared" si="72"/>
        <v>4.0095753874015041E-6</v>
      </c>
      <c r="S149" s="103">
        <f t="shared" si="72"/>
        <v>1.1206835048138104E-5</v>
      </c>
      <c r="T149" s="103">
        <f t="shared" si="72"/>
        <v>2.1263289564684164E-5</v>
      </c>
      <c r="U149" s="103">
        <f t="shared" si="72"/>
        <v>3.3245358102031722E-5</v>
      </c>
      <c r="V149" s="103">
        <f t="shared" si="72"/>
        <v>1.1494402068986626E-4</v>
      </c>
      <c r="W149" s="103">
        <f t="shared" ref="W149:Y149" si="73">IF(W29=0,0,W29/W$17)</f>
        <v>3.5994528053751197E-4</v>
      </c>
      <c r="X149" s="103">
        <f t="shared" si="73"/>
        <v>6.1018539326078045E-4</v>
      </c>
      <c r="Y149" s="103">
        <f t="shared" si="73"/>
        <v>9.522980104114771E-4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0</v>
      </c>
      <c r="L150" s="103">
        <f t="shared" ref="L150" si="75">IF(L32=0,0,L32/L$17)</f>
        <v>0</v>
      </c>
      <c r="M150" s="103">
        <f t="shared" ref="M150:V150" si="76">IF(M32=0,0,M32/M$17)</f>
        <v>0</v>
      </c>
      <c r="N150" s="103">
        <f t="shared" si="76"/>
        <v>3.1742684312647736E-8</v>
      </c>
      <c r="O150" s="103">
        <f t="shared" si="76"/>
        <v>9.7906635705569304E-8</v>
      </c>
      <c r="P150" s="103">
        <f t="shared" si="76"/>
        <v>1.4761263080242288E-6</v>
      </c>
      <c r="Q150" s="103">
        <f t="shared" si="76"/>
        <v>2.8769485810915828E-6</v>
      </c>
      <c r="R150" s="103">
        <f t="shared" si="76"/>
        <v>3.8134421335363824E-6</v>
      </c>
      <c r="S150" s="103">
        <f t="shared" si="76"/>
        <v>4.9879879066255587E-6</v>
      </c>
      <c r="T150" s="103">
        <f t="shared" si="76"/>
        <v>7.389525022222843E-6</v>
      </c>
      <c r="U150" s="103">
        <f t="shared" si="76"/>
        <v>1.6246493807219639E-5</v>
      </c>
      <c r="V150" s="103">
        <f t="shared" si="76"/>
        <v>4.6203214697374067E-5</v>
      </c>
      <c r="W150" s="103">
        <f t="shared" ref="W150:Y150" si="77">IF(W32=0,0,W32/W$17)</f>
        <v>1.4672841377118436E-4</v>
      </c>
      <c r="X150" s="103">
        <f t="shared" si="77"/>
        <v>2.6983225723364092E-4</v>
      </c>
      <c r="Y150" s="103">
        <f t="shared" si="77"/>
        <v>5.0708857721560349E-4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0.10536765002895329</v>
      </c>
      <c r="C151" s="156">
        <f t="shared" si="78"/>
        <v>9.9724311518894188E-2</v>
      </c>
      <c r="D151" s="156">
        <f t="shared" si="78"/>
        <v>9.5834197667015827E-2</v>
      </c>
      <c r="E151" s="156">
        <f t="shared" si="78"/>
        <v>0.11636401541475982</v>
      </c>
      <c r="F151" s="156">
        <f t="shared" si="78"/>
        <v>8.7382801179887601E-2</v>
      </c>
      <c r="G151" s="156">
        <f t="shared" si="78"/>
        <v>9.6118807218959712E-2</v>
      </c>
      <c r="H151" s="156">
        <f t="shared" si="78"/>
        <v>9.1368476230936829E-2</v>
      </c>
      <c r="I151" s="156">
        <f t="shared" si="78"/>
        <v>9.0023061965440271E-2</v>
      </c>
      <c r="J151" s="156">
        <f t="shared" si="78"/>
        <v>8.4474000711330988E-2</v>
      </c>
      <c r="K151" s="156">
        <f t="shared" si="78"/>
        <v>9.2312299854852606E-2</v>
      </c>
      <c r="L151" s="156">
        <f t="shared" ref="L151" si="79">IF(L33=0,0,L33/L$17)</f>
        <v>8.9026157005089701E-2</v>
      </c>
      <c r="M151" s="156">
        <f t="shared" ref="M151:V151" si="80">IF(M33=0,0,M33/M$17)</f>
        <v>0.10357947328938594</v>
      </c>
      <c r="N151" s="156">
        <f t="shared" si="80"/>
        <v>0.10413190668097388</v>
      </c>
      <c r="O151" s="156">
        <f t="shared" si="80"/>
        <v>0.1154991936015342</v>
      </c>
      <c r="P151" s="156">
        <f t="shared" si="80"/>
        <v>0.11232954963900132</v>
      </c>
      <c r="Q151" s="156">
        <f t="shared" si="80"/>
        <v>0.10681341430089432</v>
      </c>
      <c r="R151" s="156">
        <f t="shared" si="80"/>
        <v>0.10573092474726206</v>
      </c>
      <c r="S151" s="156">
        <f t="shared" si="80"/>
        <v>0.10857096871304783</v>
      </c>
      <c r="T151" s="156">
        <f t="shared" si="80"/>
        <v>0.10984865526809094</v>
      </c>
      <c r="U151" s="156">
        <f t="shared" si="80"/>
        <v>0.1099620815626632</v>
      </c>
      <c r="V151" s="156">
        <f t="shared" si="80"/>
        <v>0.12320536495821752</v>
      </c>
      <c r="W151" s="156">
        <f t="shared" ref="W151:Y151" si="81">IF(W33=0,0,W33/W$17)</f>
        <v>0.11429068847123723</v>
      </c>
      <c r="X151" s="156">
        <f t="shared" si="81"/>
        <v>0.11275989702684509</v>
      </c>
      <c r="Y151" s="156">
        <f t="shared" si="81"/>
        <v>0.11241644758508292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0</v>
      </c>
      <c r="E152" s="103">
        <f t="shared" si="82"/>
        <v>0</v>
      </c>
      <c r="F152" s="103">
        <f t="shared" si="82"/>
        <v>0</v>
      </c>
      <c r="G152" s="103">
        <f t="shared" si="82"/>
        <v>0</v>
      </c>
      <c r="H152" s="103">
        <f t="shared" si="82"/>
        <v>0</v>
      </c>
      <c r="I152" s="103">
        <f t="shared" si="82"/>
        <v>0</v>
      </c>
      <c r="J152" s="103">
        <f t="shared" si="82"/>
        <v>0</v>
      </c>
      <c r="K152" s="103">
        <f t="shared" si="82"/>
        <v>0</v>
      </c>
      <c r="L152" s="103">
        <f t="shared" ref="L152" si="83">IF(L34=0,0,L34/L$17)</f>
        <v>0</v>
      </c>
      <c r="M152" s="103">
        <f t="shared" ref="M152:V152" si="84">IF(M34=0,0,M34/M$17)</f>
        <v>0</v>
      </c>
      <c r="N152" s="103">
        <f t="shared" si="84"/>
        <v>0</v>
      </c>
      <c r="O152" s="103">
        <f t="shared" si="84"/>
        <v>0</v>
      </c>
      <c r="P152" s="103">
        <f t="shared" si="84"/>
        <v>0</v>
      </c>
      <c r="Q152" s="103">
        <f t="shared" si="84"/>
        <v>0</v>
      </c>
      <c r="R152" s="103">
        <f t="shared" si="84"/>
        <v>0</v>
      </c>
      <c r="S152" s="103">
        <f t="shared" si="84"/>
        <v>0</v>
      </c>
      <c r="T152" s="103">
        <f t="shared" si="84"/>
        <v>0</v>
      </c>
      <c r="U152" s="103">
        <f t="shared" si="84"/>
        <v>0</v>
      </c>
      <c r="V152" s="103">
        <f t="shared" si="84"/>
        <v>0</v>
      </c>
      <c r="W152" s="103">
        <f t="shared" ref="W152:Y152" si="85">IF(W34=0,0,W34/W$17)</f>
        <v>0</v>
      </c>
      <c r="X152" s="103">
        <f t="shared" si="85"/>
        <v>0</v>
      </c>
      <c r="Y152" s="103">
        <f t="shared" si="85"/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0.10536765002895329</v>
      </c>
      <c r="C153" s="103">
        <f t="shared" si="86"/>
        <v>9.8784457800439193E-2</v>
      </c>
      <c r="D153" s="103">
        <f t="shared" si="86"/>
        <v>9.4405651781280672E-2</v>
      </c>
      <c r="E153" s="103">
        <f t="shared" si="86"/>
        <v>0.11487758830904339</v>
      </c>
      <c r="F153" s="103">
        <f t="shared" si="86"/>
        <v>8.5911083067378546E-2</v>
      </c>
      <c r="G153" s="103">
        <f t="shared" si="86"/>
        <v>9.4511059451165114E-2</v>
      </c>
      <c r="H153" s="103">
        <f t="shared" si="86"/>
        <v>8.9719777194126729E-2</v>
      </c>
      <c r="I153" s="103">
        <f t="shared" si="86"/>
        <v>8.8210050738645338E-2</v>
      </c>
      <c r="J153" s="103">
        <f t="shared" si="86"/>
        <v>8.2631380872190435E-2</v>
      </c>
      <c r="K153" s="103">
        <f t="shared" si="86"/>
        <v>9.0615330799821245E-2</v>
      </c>
      <c r="L153" s="103">
        <f t="shared" ref="L153" si="87">IF(L36=0,0,L36/L$17)</f>
        <v>8.729831670306093E-2</v>
      </c>
      <c r="M153" s="103">
        <f t="shared" ref="M153:V153" si="88">IF(M36=0,0,M36/M$17)</f>
        <v>0.10158054255081166</v>
      </c>
      <c r="N153" s="103">
        <f t="shared" si="88"/>
        <v>0.10172595601147405</v>
      </c>
      <c r="O153" s="103">
        <f t="shared" si="88"/>
        <v>0.11239077895464936</v>
      </c>
      <c r="P153" s="103">
        <f t="shared" si="88"/>
        <v>0.10916497496833882</v>
      </c>
      <c r="Q153" s="103">
        <f t="shared" si="88"/>
        <v>0.10342157010569834</v>
      </c>
      <c r="R153" s="103">
        <f t="shared" si="88"/>
        <v>0.10166674796699988</v>
      </c>
      <c r="S153" s="103">
        <f t="shared" si="88"/>
        <v>0.10562733256056624</v>
      </c>
      <c r="T153" s="103">
        <f t="shared" si="88"/>
        <v>0.10642741768472826</v>
      </c>
      <c r="U153" s="103">
        <f t="shared" si="88"/>
        <v>0.10613290023806526</v>
      </c>
      <c r="V153" s="103">
        <f t="shared" si="88"/>
        <v>0.11890103986333665</v>
      </c>
      <c r="W153" s="103">
        <f t="shared" ref="W153:Y153" si="89">IF(W36=0,0,W36/W$17)</f>
        <v>0.10963934126090748</v>
      </c>
      <c r="X153" s="103">
        <f t="shared" si="89"/>
        <v>0.10756873755599936</v>
      </c>
      <c r="Y153" s="103">
        <f t="shared" si="89"/>
        <v>0.10776052011711662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0</v>
      </c>
      <c r="G154" s="103">
        <f t="shared" si="90"/>
        <v>0</v>
      </c>
      <c r="H154" s="103">
        <f t="shared" si="90"/>
        <v>0</v>
      </c>
      <c r="I154" s="103">
        <f t="shared" si="90"/>
        <v>0</v>
      </c>
      <c r="J154" s="103">
        <f t="shared" si="90"/>
        <v>0</v>
      </c>
      <c r="K154" s="103">
        <f t="shared" si="90"/>
        <v>0</v>
      </c>
      <c r="L154" s="103">
        <f t="shared" ref="L154" si="91">IF(L38=0,0,L38/L$17)</f>
        <v>0</v>
      </c>
      <c r="M154" s="103">
        <f t="shared" ref="M154:V154" si="92">IF(M38=0,0,M38/M$17)</f>
        <v>0</v>
      </c>
      <c r="N154" s="103">
        <f t="shared" si="92"/>
        <v>0</v>
      </c>
      <c r="O154" s="103">
        <f t="shared" si="92"/>
        <v>0</v>
      </c>
      <c r="P154" s="103">
        <f t="shared" si="92"/>
        <v>0</v>
      </c>
      <c r="Q154" s="103">
        <f t="shared" si="92"/>
        <v>0</v>
      </c>
      <c r="R154" s="103">
        <f t="shared" si="92"/>
        <v>0</v>
      </c>
      <c r="S154" s="103">
        <f t="shared" si="92"/>
        <v>0</v>
      </c>
      <c r="T154" s="103">
        <f t="shared" si="92"/>
        <v>0</v>
      </c>
      <c r="U154" s="103">
        <f t="shared" si="92"/>
        <v>0</v>
      </c>
      <c r="V154" s="103">
        <f t="shared" si="92"/>
        <v>0</v>
      </c>
      <c r="W154" s="103">
        <f t="shared" ref="W154:Y154" si="93">IF(W38=0,0,W38/W$17)</f>
        <v>0</v>
      </c>
      <c r="X154" s="103">
        <f t="shared" si="93"/>
        <v>0</v>
      </c>
      <c r="Y154" s="103">
        <f t="shared" si="93"/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0</v>
      </c>
      <c r="C155" s="103">
        <f t="shared" si="94"/>
        <v>9.39853718455003E-4</v>
      </c>
      <c r="D155" s="103">
        <f t="shared" si="94"/>
        <v>1.4285458857351612E-3</v>
      </c>
      <c r="E155" s="103">
        <f t="shared" si="94"/>
        <v>1.4864271057164348E-3</v>
      </c>
      <c r="F155" s="103">
        <f t="shared" si="94"/>
        <v>1.4717181125090365E-3</v>
      </c>
      <c r="G155" s="103">
        <f t="shared" si="94"/>
        <v>1.6077477677945826E-3</v>
      </c>
      <c r="H155" s="103">
        <f t="shared" si="94"/>
        <v>1.6486990368101055E-3</v>
      </c>
      <c r="I155" s="103">
        <f t="shared" si="94"/>
        <v>1.8130112267949483E-3</v>
      </c>
      <c r="J155" s="103">
        <f t="shared" si="94"/>
        <v>1.8426198391405595E-3</v>
      </c>
      <c r="K155" s="103">
        <f t="shared" si="94"/>
        <v>1.6969690550313703E-3</v>
      </c>
      <c r="L155" s="103">
        <f t="shared" ref="L155" si="95">IF(L39=0,0,L39/L$17)</f>
        <v>1.7278403020287731E-3</v>
      </c>
      <c r="M155" s="103">
        <f t="shared" ref="M155:V155" si="96">IF(M39=0,0,M39/M$17)</f>
        <v>1.998930738574278E-3</v>
      </c>
      <c r="N155" s="103">
        <f t="shared" si="96"/>
        <v>2.4059506694998306E-3</v>
      </c>
      <c r="O155" s="103">
        <f t="shared" si="96"/>
        <v>2.1223458039140832E-3</v>
      </c>
      <c r="P155" s="103">
        <f t="shared" si="96"/>
        <v>2.2000945175025925E-3</v>
      </c>
      <c r="Q155" s="103">
        <f t="shared" si="96"/>
        <v>2.4348697578818958E-3</v>
      </c>
      <c r="R155" s="103">
        <f t="shared" si="96"/>
        <v>3.132403711409736E-3</v>
      </c>
      <c r="S155" s="103">
        <f t="shared" si="96"/>
        <v>1.9929545222807082E-3</v>
      </c>
      <c r="T155" s="103">
        <f t="shared" si="96"/>
        <v>2.4712974598860922E-3</v>
      </c>
      <c r="U155" s="103">
        <f t="shared" si="96"/>
        <v>2.9025524619369619E-3</v>
      </c>
      <c r="V155" s="103">
        <f t="shared" si="96"/>
        <v>3.2533196546039892E-3</v>
      </c>
      <c r="W155" s="103">
        <f t="shared" ref="W155:Y155" si="97">IF(W39=0,0,W39/W$17)</f>
        <v>3.6559573558743981E-3</v>
      </c>
      <c r="X155" s="103">
        <f t="shared" si="97"/>
        <v>4.2448669972288012E-3</v>
      </c>
      <c r="Y155" s="103">
        <f t="shared" si="97"/>
        <v>4.0863724495475654E-3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0</v>
      </c>
      <c r="C156" s="103">
        <f t="shared" si="98"/>
        <v>0</v>
      </c>
      <c r="D156" s="103">
        <f t="shared" si="98"/>
        <v>0</v>
      </c>
      <c r="E156" s="103">
        <f t="shared" si="98"/>
        <v>0</v>
      </c>
      <c r="F156" s="103">
        <f t="shared" si="98"/>
        <v>0</v>
      </c>
      <c r="G156" s="103">
        <f t="shared" si="98"/>
        <v>0</v>
      </c>
      <c r="H156" s="103">
        <f t="shared" si="98"/>
        <v>0</v>
      </c>
      <c r="I156" s="103">
        <f t="shared" si="98"/>
        <v>0</v>
      </c>
      <c r="J156" s="103">
        <f t="shared" si="98"/>
        <v>0</v>
      </c>
      <c r="K156" s="103">
        <f t="shared" si="98"/>
        <v>0</v>
      </c>
      <c r="L156" s="103">
        <f t="shared" ref="L156" si="99">IF(L41=0,0,L41/L$17)</f>
        <v>0</v>
      </c>
      <c r="M156" s="103">
        <f t="shared" ref="M156:V156" si="100">IF(M41=0,0,M41/M$17)</f>
        <v>0</v>
      </c>
      <c r="N156" s="103">
        <f t="shared" si="100"/>
        <v>0</v>
      </c>
      <c r="O156" s="103">
        <f t="shared" si="100"/>
        <v>9.8606884297073867E-4</v>
      </c>
      <c r="P156" s="103">
        <f t="shared" si="100"/>
        <v>9.6448015315990987E-4</v>
      </c>
      <c r="Q156" s="103">
        <f t="shared" si="100"/>
        <v>9.5697443731407263E-4</v>
      </c>
      <c r="R156" s="103">
        <f t="shared" si="100"/>
        <v>9.3177306885241097E-4</v>
      </c>
      <c r="S156" s="103">
        <f t="shared" si="100"/>
        <v>9.5068163020087921E-4</v>
      </c>
      <c r="T156" s="103">
        <f t="shared" si="100"/>
        <v>9.4994012347658662E-4</v>
      </c>
      <c r="U156" s="103">
        <f t="shared" si="100"/>
        <v>9.2662886266096109E-4</v>
      </c>
      <c r="V156" s="103">
        <f t="shared" si="100"/>
        <v>1.051005440276861E-3</v>
      </c>
      <c r="W156" s="103">
        <f t="shared" ref="W156:Y156" si="101">IF(W41=0,0,W41/W$17)</f>
        <v>9.9538985445535191E-4</v>
      </c>
      <c r="X156" s="103">
        <f t="shared" si="101"/>
        <v>9.4629247361691646E-4</v>
      </c>
      <c r="Y156" s="103">
        <f t="shared" si="101"/>
        <v>5.6955501841872837E-4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0.35090378992389804</v>
      </c>
      <c r="C157" s="46">
        <f t="shared" si="102"/>
        <v>0.34496205682907199</v>
      </c>
      <c r="D157" s="46">
        <f t="shared" si="102"/>
        <v>0.33966639968774975</v>
      </c>
      <c r="E157" s="46">
        <f t="shared" si="102"/>
        <v>0.32175287268874564</v>
      </c>
      <c r="F157" s="46">
        <f t="shared" si="102"/>
        <v>0.33800656417405678</v>
      </c>
      <c r="G157" s="46">
        <f t="shared" si="102"/>
        <v>0.31482824733011544</v>
      </c>
      <c r="H157" s="46">
        <f t="shared" si="102"/>
        <v>0.32186853441083885</v>
      </c>
      <c r="I157" s="46">
        <f t="shared" si="102"/>
        <v>0.32088044190498571</v>
      </c>
      <c r="J157" s="46">
        <f t="shared" si="102"/>
        <v>0.32425718002267712</v>
      </c>
      <c r="K157" s="46">
        <f t="shared" si="102"/>
        <v>0.34625021381623289</v>
      </c>
      <c r="L157" s="46">
        <f t="shared" ref="L157" si="103">IF(L42=0,0,L42/L$17)</f>
        <v>0.34482130672943473</v>
      </c>
      <c r="M157" s="46">
        <f t="shared" ref="M157:V157" si="104">IF(M42=0,0,M42/M$17)</f>
        <v>0.30403207666072873</v>
      </c>
      <c r="N157" s="46">
        <f t="shared" si="104"/>
        <v>0.27722314025178146</v>
      </c>
      <c r="O157" s="46">
        <f t="shared" si="104"/>
        <v>0.31982657536883652</v>
      </c>
      <c r="P157" s="46">
        <f t="shared" si="104"/>
        <v>0.33695957362755208</v>
      </c>
      <c r="Q157" s="46">
        <f t="shared" si="104"/>
        <v>0.33174896064241949</v>
      </c>
      <c r="R157" s="46">
        <f t="shared" si="104"/>
        <v>0.34232874731309365</v>
      </c>
      <c r="S157" s="46">
        <f t="shared" si="104"/>
        <v>0.33196278407418456</v>
      </c>
      <c r="T157" s="46">
        <f t="shared" si="104"/>
        <v>0.33819139990435942</v>
      </c>
      <c r="U157" s="46">
        <f t="shared" si="104"/>
        <v>0.34345041920024494</v>
      </c>
      <c r="V157" s="46">
        <f t="shared" si="104"/>
        <v>0.36744283709005537</v>
      </c>
      <c r="W157" s="46">
        <f t="shared" ref="W157:Y157" si="105">IF(W42=0,0,W42/W$17)</f>
        <v>0.36354594967983167</v>
      </c>
      <c r="X157" s="46">
        <f t="shared" si="105"/>
        <v>0.35989136921608489</v>
      </c>
      <c r="Y157" s="46">
        <f t="shared" si="105"/>
        <v>0.34283318791295803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0.14831358836484604</v>
      </c>
      <c r="C158" s="154">
        <f t="shared" si="106"/>
        <v>0.14356380963571641</v>
      </c>
      <c r="D158" s="154">
        <f t="shared" si="106"/>
        <v>0.14133858449785766</v>
      </c>
      <c r="E158" s="154">
        <f t="shared" si="106"/>
        <v>0.13653315383159184</v>
      </c>
      <c r="F158" s="154">
        <f t="shared" si="106"/>
        <v>0.13289136318522693</v>
      </c>
      <c r="G158" s="154">
        <f t="shared" si="106"/>
        <v>0.1293847557285091</v>
      </c>
      <c r="H158" s="154">
        <f t="shared" si="106"/>
        <v>0.125749934930455</v>
      </c>
      <c r="I158" s="154">
        <f t="shared" si="106"/>
        <v>0.1269990212812693</v>
      </c>
      <c r="J158" s="154">
        <f t="shared" si="106"/>
        <v>0.12701270528535699</v>
      </c>
      <c r="K158" s="154">
        <f t="shared" si="106"/>
        <v>0.10948711331735259</v>
      </c>
      <c r="L158" s="154">
        <f t="shared" ref="L158" si="107">IF(L43=0,0,L43/L$17)</f>
        <v>0.1210291879293401</v>
      </c>
      <c r="M158" s="154">
        <f t="shared" ref="M158:V158" si="108">IF(M43=0,0,M43/M$17)</f>
        <v>0.1125640248881483</v>
      </c>
      <c r="N158" s="154">
        <f t="shared" si="108"/>
        <v>0.11320889976309821</v>
      </c>
      <c r="O158" s="154">
        <f t="shared" si="108"/>
        <v>0.12860369757661327</v>
      </c>
      <c r="P158" s="154">
        <f t="shared" si="108"/>
        <v>0.12904496058319609</v>
      </c>
      <c r="Q158" s="154">
        <f t="shared" si="108"/>
        <v>0.15330247434295585</v>
      </c>
      <c r="R158" s="154">
        <f t="shared" si="108"/>
        <v>0.1586916140620071</v>
      </c>
      <c r="S158" s="154">
        <f t="shared" si="108"/>
        <v>0.14295303814412133</v>
      </c>
      <c r="T158" s="154">
        <f t="shared" si="108"/>
        <v>0.14182935471135474</v>
      </c>
      <c r="U158" s="154">
        <f t="shared" si="108"/>
        <v>0.13797238668565584</v>
      </c>
      <c r="V158" s="154">
        <f t="shared" si="108"/>
        <v>0.13564530083114829</v>
      </c>
      <c r="W158" s="154">
        <f t="shared" ref="W158:Y158" si="109">IF(W43=0,0,W43/W$17)</f>
        <v>0.13925145942076886</v>
      </c>
      <c r="X158" s="154">
        <f t="shared" si="109"/>
        <v>0.13666626284833686</v>
      </c>
      <c r="Y158" s="154">
        <f t="shared" si="109"/>
        <v>0.13449695330547709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0.12375017914628127</v>
      </c>
      <c r="C159" s="103">
        <f t="shared" si="110"/>
        <v>0.11676022332197386</v>
      </c>
      <c r="D159" s="103">
        <f t="shared" si="110"/>
        <v>0.11292750710038015</v>
      </c>
      <c r="E159" s="103">
        <f t="shared" si="110"/>
        <v>0.10534116786665815</v>
      </c>
      <c r="F159" s="103">
        <f t="shared" si="110"/>
        <v>9.9394637320680532E-2</v>
      </c>
      <c r="G159" s="103">
        <f t="shared" si="110"/>
        <v>9.4759044400109391E-2</v>
      </c>
      <c r="H159" s="103">
        <f t="shared" si="110"/>
        <v>8.6661172456098237E-2</v>
      </c>
      <c r="I159" s="103">
        <f t="shared" si="110"/>
        <v>8.4639210768720663E-2</v>
      </c>
      <c r="J159" s="103">
        <f t="shared" si="110"/>
        <v>8.4289606892825761E-2</v>
      </c>
      <c r="K159" s="103">
        <f t="shared" si="110"/>
        <v>6.4503906489897872E-2</v>
      </c>
      <c r="L159" s="103">
        <f t="shared" ref="L159" si="111">IF(L44=0,0,L44/L$17)</f>
        <v>6.5861445313832506E-2</v>
      </c>
      <c r="M159" s="103">
        <f t="shared" ref="M159:V159" si="112">IF(M44=0,0,M44/M$17)</f>
        <v>5.8884609079900764E-2</v>
      </c>
      <c r="N159" s="103">
        <f t="shared" si="112"/>
        <v>5.8540082122516983E-2</v>
      </c>
      <c r="O159" s="103">
        <f t="shared" si="112"/>
        <v>5.6540142989885508E-2</v>
      </c>
      <c r="P159" s="103">
        <f t="shared" si="112"/>
        <v>5.5497180114016761E-2</v>
      </c>
      <c r="Q159" s="103">
        <f t="shared" si="112"/>
        <v>5.6004634773694585E-2</v>
      </c>
      <c r="R159" s="103">
        <f t="shared" si="112"/>
        <v>5.5595768134425974E-2</v>
      </c>
      <c r="S159" s="103">
        <f t="shared" si="112"/>
        <v>5.3585311514596418E-2</v>
      </c>
      <c r="T159" s="103">
        <f t="shared" si="112"/>
        <v>5.9158708350780936E-2</v>
      </c>
      <c r="U159" s="103">
        <f t="shared" si="112"/>
        <v>5.7245191499275441E-2</v>
      </c>
      <c r="V159" s="103">
        <f t="shared" si="112"/>
        <v>5.813142314857081E-2</v>
      </c>
      <c r="W159" s="103">
        <f t="shared" ref="W159:Y159" si="113">IF(W44=0,0,W44/W$17)</f>
        <v>6.0038381833894774E-2</v>
      </c>
      <c r="X159" s="103">
        <f t="shared" si="113"/>
        <v>5.6596143545983406E-2</v>
      </c>
      <c r="Y159" s="103">
        <f t="shared" si="113"/>
        <v>5.3790356745340488E-2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2.4563409218564754E-2</v>
      </c>
      <c r="C160" s="103">
        <f t="shared" si="114"/>
        <v>2.6803586313742529E-2</v>
      </c>
      <c r="D160" s="103">
        <f t="shared" si="114"/>
        <v>2.8411077397477513E-2</v>
      </c>
      <c r="E160" s="103">
        <f t="shared" si="114"/>
        <v>3.1191985964933697E-2</v>
      </c>
      <c r="F160" s="103">
        <f t="shared" si="114"/>
        <v>3.3496725864546391E-2</v>
      </c>
      <c r="G160" s="103">
        <f t="shared" si="114"/>
        <v>3.4625711328399714E-2</v>
      </c>
      <c r="H160" s="103">
        <f t="shared" si="114"/>
        <v>3.9088762474356754E-2</v>
      </c>
      <c r="I160" s="103">
        <f t="shared" si="114"/>
        <v>4.235981051254864E-2</v>
      </c>
      <c r="J160" s="103">
        <f t="shared" si="114"/>
        <v>4.2723098392531238E-2</v>
      </c>
      <c r="K160" s="103">
        <f t="shared" si="114"/>
        <v>4.4983206827454721E-2</v>
      </c>
      <c r="L160" s="103">
        <f t="shared" ref="L160" si="115">IF(L46=0,0,L46/L$17)</f>
        <v>5.5167742615507595E-2</v>
      </c>
      <c r="M160" s="103">
        <f t="shared" ref="M160:V160" si="116">IF(M46=0,0,M46/M$17)</f>
        <v>5.3679415808247546E-2</v>
      </c>
      <c r="N160" s="103">
        <f t="shared" si="116"/>
        <v>5.4668817640581222E-2</v>
      </c>
      <c r="O160" s="103">
        <f t="shared" si="116"/>
        <v>7.2063554586727765E-2</v>
      </c>
      <c r="P160" s="103">
        <f t="shared" si="116"/>
        <v>7.3547780469179327E-2</v>
      </c>
      <c r="Q160" s="103">
        <f t="shared" si="116"/>
        <v>9.7297839569261274E-2</v>
      </c>
      <c r="R160" s="103">
        <f t="shared" si="116"/>
        <v>0.10309584592758114</v>
      </c>
      <c r="S160" s="103">
        <f t="shared" si="116"/>
        <v>8.9367726629524899E-2</v>
      </c>
      <c r="T160" s="103">
        <f t="shared" si="116"/>
        <v>8.2670646360573821E-2</v>
      </c>
      <c r="U160" s="103">
        <f t="shared" si="116"/>
        <v>8.0727195186380399E-2</v>
      </c>
      <c r="V160" s="103">
        <f t="shared" si="116"/>
        <v>7.7513877682577489E-2</v>
      </c>
      <c r="W160" s="103">
        <f t="shared" ref="W160:Y160" si="117">IF(W46=0,0,W46/W$17)</f>
        <v>7.9213077586874084E-2</v>
      </c>
      <c r="X160" s="103">
        <f t="shared" si="117"/>
        <v>8.0070119302353457E-2</v>
      </c>
      <c r="Y160" s="103">
        <f t="shared" si="117"/>
        <v>8.0706596560136595E-2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0</v>
      </c>
      <c r="I161" s="103">
        <f t="shared" si="118"/>
        <v>0</v>
      </c>
      <c r="J161" s="103">
        <f t="shared" si="118"/>
        <v>0</v>
      </c>
      <c r="K161" s="103">
        <f t="shared" si="118"/>
        <v>0</v>
      </c>
      <c r="L161" s="103">
        <f t="shared" ref="L161" si="119">IF(L48=0,0,L48/L$17)</f>
        <v>0</v>
      </c>
      <c r="M161" s="103">
        <f t="shared" ref="M161:V161" si="120">IF(M48=0,0,M48/M$17)</f>
        <v>0</v>
      </c>
      <c r="N161" s="103">
        <f t="shared" si="120"/>
        <v>0</v>
      </c>
      <c r="O161" s="103">
        <f t="shared" si="120"/>
        <v>0</v>
      </c>
      <c r="P161" s="103">
        <f t="shared" si="120"/>
        <v>0</v>
      </c>
      <c r="Q161" s="103">
        <f t="shared" si="120"/>
        <v>0</v>
      </c>
      <c r="R161" s="103">
        <f t="shared" si="120"/>
        <v>0</v>
      </c>
      <c r="S161" s="103">
        <f t="shared" si="120"/>
        <v>0</v>
      </c>
      <c r="T161" s="103">
        <f t="shared" si="120"/>
        <v>0</v>
      </c>
      <c r="U161" s="103">
        <f t="shared" si="120"/>
        <v>0</v>
      </c>
      <c r="V161" s="103">
        <f t="shared" si="120"/>
        <v>0</v>
      </c>
      <c r="W161" s="103">
        <f t="shared" ref="W161:Y161" si="121">IF(W48=0,0,W48/W$17)</f>
        <v>0</v>
      </c>
      <c r="X161" s="103">
        <f t="shared" si="121"/>
        <v>0</v>
      </c>
      <c r="Y161" s="103">
        <f t="shared" si="121"/>
        <v>0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0</v>
      </c>
      <c r="I162" s="103">
        <f t="shared" si="122"/>
        <v>0</v>
      </c>
      <c r="J162" s="103">
        <f t="shared" si="122"/>
        <v>0</v>
      </c>
      <c r="K162" s="103">
        <f t="shared" si="122"/>
        <v>0</v>
      </c>
      <c r="L162" s="103">
        <f t="shared" ref="L162" si="123">IF(L49=0,0,L49/L$17)</f>
        <v>0</v>
      </c>
      <c r="M162" s="103">
        <f t="shared" ref="M162:V162" si="124">IF(M49=0,0,M49/M$17)</f>
        <v>0</v>
      </c>
      <c r="N162" s="103">
        <f t="shared" si="124"/>
        <v>0</v>
      </c>
      <c r="O162" s="103">
        <f t="shared" si="124"/>
        <v>0</v>
      </c>
      <c r="P162" s="103">
        <f t="shared" si="124"/>
        <v>0</v>
      </c>
      <c r="Q162" s="103">
        <f t="shared" si="124"/>
        <v>0</v>
      </c>
      <c r="R162" s="103">
        <f t="shared" si="124"/>
        <v>0</v>
      </c>
      <c r="S162" s="103">
        <f t="shared" si="124"/>
        <v>0</v>
      </c>
      <c r="T162" s="103">
        <f t="shared" si="124"/>
        <v>0</v>
      </c>
      <c r="U162" s="103">
        <f t="shared" si="124"/>
        <v>0</v>
      </c>
      <c r="V162" s="103">
        <f t="shared" si="124"/>
        <v>0</v>
      </c>
      <c r="W162" s="103">
        <f t="shared" ref="W162:Y162" si="125">IF(W49=0,0,W49/W$17)</f>
        <v>0</v>
      </c>
      <c r="X162" s="103">
        <f t="shared" si="125"/>
        <v>0</v>
      </c>
      <c r="Y162" s="103">
        <f t="shared" si="125"/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0</v>
      </c>
      <c r="N163" s="103">
        <f t="shared" si="128"/>
        <v>0</v>
      </c>
      <c r="O163" s="103">
        <f t="shared" si="128"/>
        <v>0</v>
      </c>
      <c r="P163" s="103">
        <f t="shared" si="128"/>
        <v>0</v>
      </c>
      <c r="Q163" s="103">
        <f t="shared" si="128"/>
        <v>0</v>
      </c>
      <c r="R163" s="103">
        <f t="shared" si="128"/>
        <v>0</v>
      </c>
      <c r="S163" s="103">
        <f t="shared" si="128"/>
        <v>0</v>
      </c>
      <c r="T163" s="103">
        <f t="shared" si="128"/>
        <v>0</v>
      </c>
      <c r="U163" s="103">
        <f t="shared" si="128"/>
        <v>0</v>
      </c>
      <c r="V163" s="103">
        <f t="shared" si="128"/>
        <v>0</v>
      </c>
      <c r="W163" s="103">
        <f t="shared" ref="W163:Y163" si="129">IF(W51=0,0,W51/W$17)</f>
        <v>0</v>
      </c>
      <c r="X163" s="103">
        <f t="shared" si="129"/>
        <v>0</v>
      </c>
      <c r="Y163" s="103">
        <f t="shared" si="129"/>
        <v>0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0.20259020155905202</v>
      </c>
      <c r="C164" s="156">
        <f t="shared" si="130"/>
        <v>0.20139824719335561</v>
      </c>
      <c r="D164" s="156">
        <f t="shared" si="130"/>
        <v>0.19832781518989206</v>
      </c>
      <c r="E164" s="156">
        <f t="shared" si="130"/>
        <v>0.18521971885715377</v>
      </c>
      <c r="F164" s="156">
        <f t="shared" si="130"/>
        <v>0.20511520098882988</v>
      </c>
      <c r="G164" s="156">
        <f t="shared" si="130"/>
        <v>0.18544349160160631</v>
      </c>
      <c r="H164" s="156">
        <f t="shared" si="130"/>
        <v>0.19611859948038379</v>
      </c>
      <c r="I164" s="156">
        <f t="shared" si="130"/>
        <v>0.19388142062371641</v>
      </c>
      <c r="J164" s="156">
        <f t="shared" si="130"/>
        <v>0.1972444747373201</v>
      </c>
      <c r="K164" s="156">
        <f t="shared" si="130"/>
        <v>0.23676310049888025</v>
      </c>
      <c r="L164" s="156">
        <f t="shared" ref="L164" si="131">IF(L52=0,0,L52/L$17)</f>
        <v>0.22379211880009461</v>
      </c>
      <c r="M164" s="156">
        <f t="shared" ref="M164:V164" si="132">IF(M52=0,0,M52/M$17)</f>
        <v>0.19146805177258042</v>
      </c>
      <c r="N164" s="156">
        <f t="shared" si="132"/>
        <v>0.16401424048868327</v>
      </c>
      <c r="O164" s="156">
        <f t="shared" si="132"/>
        <v>0.19122287779222324</v>
      </c>
      <c r="P164" s="156">
        <f t="shared" si="132"/>
        <v>0.20791461304435602</v>
      </c>
      <c r="Q164" s="156">
        <f t="shared" si="132"/>
        <v>0.17844648629946361</v>
      </c>
      <c r="R164" s="156">
        <f t="shared" si="132"/>
        <v>0.18363713325108652</v>
      </c>
      <c r="S164" s="156">
        <f t="shared" si="132"/>
        <v>0.18900974593006323</v>
      </c>
      <c r="T164" s="156">
        <f t="shared" si="132"/>
        <v>0.19636204519300465</v>
      </c>
      <c r="U164" s="156">
        <f t="shared" si="132"/>
        <v>0.20547803251458913</v>
      </c>
      <c r="V164" s="156">
        <f t="shared" si="132"/>
        <v>0.23179753625890706</v>
      </c>
      <c r="W164" s="156">
        <f t="shared" ref="W164:Y164" si="133">IF(W52=0,0,W52/W$17)</f>
        <v>0.22429449025906284</v>
      </c>
      <c r="X164" s="156">
        <f t="shared" si="133"/>
        <v>0.22322510636774803</v>
      </c>
      <c r="Y164" s="156">
        <f t="shared" si="133"/>
        <v>0.20833623460748094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0.18501979331596871</v>
      </c>
      <c r="C165" s="104">
        <f t="shared" si="134"/>
        <v>0.18363040321568377</v>
      </c>
      <c r="D165" s="104">
        <f t="shared" si="134"/>
        <v>0.18055211199062463</v>
      </c>
      <c r="E165" s="104">
        <f t="shared" si="134"/>
        <v>0.15375752269456489</v>
      </c>
      <c r="F165" s="104">
        <f t="shared" si="134"/>
        <v>0.18585356569310471</v>
      </c>
      <c r="G165" s="104">
        <f t="shared" si="134"/>
        <v>0.15963626659042435</v>
      </c>
      <c r="H165" s="104">
        <f t="shared" si="134"/>
        <v>0.16962713288914522</v>
      </c>
      <c r="I165" s="104">
        <f t="shared" si="134"/>
        <v>0.1681905801147715</v>
      </c>
      <c r="J165" s="104">
        <f t="shared" si="134"/>
        <v>0.17572257139974928</v>
      </c>
      <c r="K165" s="104">
        <f t="shared" si="134"/>
        <v>0.20439513173415222</v>
      </c>
      <c r="L165" s="104">
        <f t="shared" ref="L165" si="135">IF(L53=0,0,L53/L$17)</f>
        <v>0.19560227419443277</v>
      </c>
      <c r="M165" s="104">
        <f t="shared" ref="M165:V165" si="136">IF(M53=0,0,M53/M$17)</f>
        <v>0.16326135488696245</v>
      </c>
      <c r="N165" s="104">
        <f t="shared" si="136"/>
        <v>0.14476613390188131</v>
      </c>
      <c r="O165" s="104">
        <f t="shared" si="136"/>
        <v>0.15639457313612723</v>
      </c>
      <c r="P165" s="104">
        <f t="shared" si="136"/>
        <v>0.17350993698191514</v>
      </c>
      <c r="Q165" s="104">
        <f t="shared" si="136"/>
        <v>0.15242256351641667</v>
      </c>
      <c r="R165" s="104">
        <f t="shared" si="136"/>
        <v>0.15515671317998084</v>
      </c>
      <c r="S165" s="104">
        <f t="shared" si="136"/>
        <v>0.15213912088753129</v>
      </c>
      <c r="T165" s="104">
        <f t="shared" si="136"/>
        <v>0.15860974694620122</v>
      </c>
      <c r="U165" s="104">
        <f t="shared" si="136"/>
        <v>0.1775324737699171</v>
      </c>
      <c r="V165" s="104">
        <f t="shared" si="136"/>
        <v>0.18969977168573618</v>
      </c>
      <c r="W165" s="104">
        <f t="shared" ref="W165:Y165" si="137">IF(W53=0,0,W53/W$17)</f>
        <v>0.18170712302582301</v>
      </c>
      <c r="X165" s="104">
        <f t="shared" si="137"/>
        <v>0.17771710512913216</v>
      </c>
      <c r="Y165" s="104">
        <f t="shared" si="137"/>
        <v>0.16183523065189315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1.7570408243083313E-2</v>
      </c>
      <c r="C166" s="105">
        <f t="shared" si="138"/>
        <v>1.7767843977671838E-2</v>
      </c>
      <c r="D166" s="105">
        <f t="shared" si="138"/>
        <v>1.7775703199267447E-2</v>
      </c>
      <c r="E166" s="105">
        <f t="shared" si="138"/>
        <v>3.1462196162588899E-2</v>
      </c>
      <c r="F166" s="105">
        <f t="shared" si="138"/>
        <v>1.9261635295725169E-2</v>
      </c>
      <c r="G166" s="105">
        <f t="shared" si="138"/>
        <v>2.5807225011181982E-2</v>
      </c>
      <c r="H166" s="105">
        <f t="shared" si="138"/>
        <v>2.6491466591238563E-2</v>
      </c>
      <c r="I166" s="105">
        <f t="shared" si="138"/>
        <v>2.5690840508944914E-2</v>
      </c>
      <c r="J166" s="105">
        <f t="shared" si="138"/>
        <v>2.1521903337570827E-2</v>
      </c>
      <c r="K166" s="105">
        <f t="shared" si="138"/>
        <v>3.2367968764728028E-2</v>
      </c>
      <c r="L166" s="105">
        <f t="shared" ref="L166" si="139">IF(L55=0,0,L55/L$17)</f>
        <v>2.8189844605661842E-2</v>
      </c>
      <c r="M166" s="105">
        <f t="shared" ref="M166:V166" si="140">IF(M55=0,0,M55/M$17)</f>
        <v>2.8206696885617989E-2</v>
      </c>
      <c r="N166" s="105">
        <f t="shared" si="140"/>
        <v>1.9248106586801959E-2</v>
      </c>
      <c r="O166" s="105">
        <f t="shared" si="140"/>
        <v>3.4828304656095987E-2</v>
      </c>
      <c r="P166" s="105">
        <f t="shared" si="140"/>
        <v>3.4404676062440895E-2</v>
      </c>
      <c r="Q166" s="105">
        <f t="shared" si="140"/>
        <v>2.6023922783046972E-2</v>
      </c>
      <c r="R166" s="105">
        <f t="shared" si="140"/>
        <v>2.848042007110568E-2</v>
      </c>
      <c r="S166" s="105">
        <f t="shared" si="140"/>
        <v>3.6870625042531954E-2</v>
      </c>
      <c r="T166" s="105">
        <f t="shared" si="140"/>
        <v>3.7752298246803428E-2</v>
      </c>
      <c r="U166" s="105">
        <f t="shared" si="140"/>
        <v>2.7945558744672035E-2</v>
      </c>
      <c r="V166" s="105">
        <f t="shared" si="140"/>
        <v>4.2097764573170882E-2</v>
      </c>
      <c r="W166" s="105">
        <f t="shared" ref="W166:Y166" si="141">IF(W55=0,0,W55/W$17)</f>
        <v>4.2587367233239803E-2</v>
      </c>
      <c r="X166" s="105">
        <f t="shared" si="141"/>
        <v>4.5508001238615862E-2</v>
      </c>
      <c r="Y166" s="105">
        <f t="shared" si="141"/>
        <v>4.6501003955587802E-2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15982.943963399999</v>
      </c>
      <c r="C4" s="146">
        <f t="shared" si="0"/>
        <v>16341.618187079997</v>
      </c>
      <c r="D4" s="146">
        <f t="shared" si="0"/>
        <v>16924.542385680001</v>
      </c>
      <c r="E4" s="146">
        <f t="shared" si="0"/>
        <v>17957.50165224</v>
      </c>
      <c r="F4" s="146">
        <f t="shared" si="0"/>
        <v>18066.190885919998</v>
      </c>
      <c r="G4" s="146">
        <f t="shared" si="0"/>
        <v>18544.669395479999</v>
      </c>
      <c r="H4" s="146">
        <f t="shared" si="0"/>
        <v>18974.519569079999</v>
      </c>
      <c r="I4" s="146">
        <f t="shared" si="0"/>
        <v>19738.665509759998</v>
      </c>
      <c r="J4" s="146">
        <f t="shared" si="0"/>
        <v>19307.558927880003</v>
      </c>
      <c r="K4" s="146">
        <f t="shared" si="0"/>
        <v>21017.007762120003</v>
      </c>
      <c r="L4" s="146">
        <f t="shared" ref="L4" si="1">L5+L9+L10+L15</f>
        <v>18926.917978319994</v>
      </c>
      <c r="M4" s="146">
        <f t="shared" ref="M4:V4" si="2">M5+M9+M10+M15</f>
        <v>17293.4996904</v>
      </c>
      <c r="N4" s="146">
        <f t="shared" si="2"/>
        <v>14102.204688719999</v>
      </c>
      <c r="O4" s="146">
        <f t="shared" si="2"/>
        <v>14353.389043559999</v>
      </c>
      <c r="P4" s="146">
        <f t="shared" si="2"/>
        <v>14256.62077356</v>
      </c>
      <c r="Q4" s="146">
        <f t="shared" si="2"/>
        <v>14356.6203726</v>
      </c>
      <c r="R4" s="146">
        <f t="shared" si="2"/>
        <v>14699.852541720002</v>
      </c>
      <c r="S4" s="146">
        <f t="shared" si="2"/>
        <v>14364.167197319997</v>
      </c>
      <c r="T4" s="146">
        <f t="shared" si="2"/>
        <v>14431.168811879996</v>
      </c>
      <c r="U4" s="146">
        <f t="shared" si="2"/>
        <v>14810.49708408</v>
      </c>
      <c r="V4" s="146">
        <f t="shared" si="2"/>
        <v>12905.828079479998</v>
      </c>
      <c r="W4" s="146">
        <f t="shared" ref="W4:Y4" si="3">W5+W9+W10+W15</f>
        <v>13655.144325239997</v>
      </c>
      <c r="X4" s="146">
        <f t="shared" si="3"/>
        <v>14947.615064519998</v>
      </c>
      <c r="Y4" s="146">
        <f t="shared" si="3"/>
        <v>15512.301706679998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15982.943963399999</v>
      </c>
      <c r="C5" s="101">
        <f t="shared" si="4"/>
        <v>16327.279027079998</v>
      </c>
      <c r="D5" s="101">
        <f t="shared" si="4"/>
        <v>16901.872173719999</v>
      </c>
      <c r="E5" s="101">
        <f t="shared" si="4"/>
        <v>17932.509102240001</v>
      </c>
      <c r="F5" s="101">
        <f t="shared" si="4"/>
        <v>18041.299113959998</v>
      </c>
      <c r="G5" s="101">
        <f t="shared" si="4"/>
        <v>18516.798511559999</v>
      </c>
      <c r="H5" s="101">
        <f t="shared" si="4"/>
        <v>18945.134187119998</v>
      </c>
      <c r="I5" s="101">
        <f t="shared" si="4"/>
        <v>19704.988881719997</v>
      </c>
      <c r="J5" s="101">
        <f t="shared" si="4"/>
        <v>19274.235325920003</v>
      </c>
      <c r="K5" s="101">
        <f t="shared" si="4"/>
        <v>20982.422314080002</v>
      </c>
      <c r="L5" s="101">
        <f t="shared" ref="L5" si="5">SUM(L6:L8)</f>
        <v>18893.695962239995</v>
      </c>
      <c r="M5" s="101">
        <f t="shared" ref="M5:V5" si="6">SUM(M6:M8)</f>
        <v>17258.409140399999</v>
      </c>
      <c r="N5" s="101">
        <f t="shared" si="6"/>
        <v>14067.61924068</v>
      </c>
      <c r="O5" s="101">
        <f t="shared" si="6"/>
        <v>14321.883081599999</v>
      </c>
      <c r="P5" s="101">
        <f t="shared" si="6"/>
        <v>14224.307173560001</v>
      </c>
      <c r="Q5" s="101">
        <f t="shared" si="6"/>
        <v>14321.12610456</v>
      </c>
      <c r="R5" s="101">
        <f t="shared" si="6"/>
        <v>14655.320361720002</v>
      </c>
      <c r="S5" s="101">
        <f t="shared" si="6"/>
        <v>14334.125647319997</v>
      </c>
      <c r="T5" s="101">
        <f t="shared" si="6"/>
        <v>14395.487124959996</v>
      </c>
      <c r="U5" s="101">
        <f t="shared" si="6"/>
        <v>14768.47486296</v>
      </c>
      <c r="V5" s="101">
        <f t="shared" si="6"/>
        <v>12863.253699719997</v>
      </c>
      <c r="W5" s="101">
        <f t="shared" ref="W5:Y5" si="7">SUM(W6:W8)</f>
        <v>13605.734205359997</v>
      </c>
      <c r="X5" s="101">
        <f t="shared" si="7"/>
        <v>14888.589830999998</v>
      </c>
      <c r="Y5" s="101">
        <f t="shared" si="7"/>
        <v>15451.736932079999</v>
      </c>
      <c r="DA5" s="175"/>
    </row>
    <row r="6" spans="1:105" ht="11.45" customHeight="1" x14ac:dyDescent="0.25">
      <c r="A6" s="128" t="s">
        <v>52</v>
      </c>
      <c r="B6" s="101">
        <v>44.769374280000008</v>
      </c>
      <c r="C6" s="101">
        <v>47.754029520000003</v>
      </c>
      <c r="D6" s="101">
        <v>44.769374280000008</v>
      </c>
      <c r="E6" s="101">
        <v>35.815635719999996</v>
      </c>
      <c r="F6" s="101">
        <v>32.830980479999994</v>
      </c>
      <c r="G6" s="101">
        <v>32.830980479999994</v>
      </c>
      <c r="H6" s="101">
        <v>32.830980479999994</v>
      </c>
      <c r="I6" s="101">
        <v>35.815635719999996</v>
      </c>
      <c r="J6" s="101">
        <v>35.815635719999996</v>
      </c>
      <c r="K6" s="101">
        <v>49.344149519999995</v>
      </c>
      <c r="L6" s="101">
        <v>121.90927572000002</v>
      </c>
      <c r="M6" s="101">
        <v>519.56534952000004</v>
      </c>
      <c r="N6" s="101">
        <v>223.50022524000005</v>
      </c>
      <c r="O6" s="101">
        <v>539.88367572000004</v>
      </c>
      <c r="P6" s="101">
        <v>586.32517475999998</v>
      </c>
      <c r="Q6" s="101">
        <v>679.20839999999998</v>
      </c>
      <c r="R6" s="101">
        <v>690.81877476000011</v>
      </c>
      <c r="S6" s="101">
        <v>649.65988152</v>
      </c>
      <c r="T6" s="101">
        <v>622.34366436000005</v>
      </c>
      <c r="U6" s="101">
        <v>634.9176518400003</v>
      </c>
      <c r="V6" s="101">
        <v>511.77489732000009</v>
      </c>
      <c r="W6" s="101">
        <v>498.17323799999991</v>
      </c>
      <c r="X6" s="101">
        <v>503.78409000000016</v>
      </c>
      <c r="Y6" s="101">
        <v>510.66022320000008</v>
      </c>
      <c r="DA6" s="175" t="s">
        <v>741</v>
      </c>
    </row>
    <row r="7" spans="1:105" ht="11.45" customHeight="1" x14ac:dyDescent="0.25">
      <c r="A7" s="128" t="s">
        <v>53</v>
      </c>
      <c r="B7" s="101">
        <v>9916.0675891200008</v>
      </c>
      <c r="C7" s="101">
        <v>10241.486556839998</v>
      </c>
      <c r="D7" s="101">
        <v>10723.475180879999</v>
      </c>
      <c r="E7" s="101">
        <v>11205.463555439999</v>
      </c>
      <c r="F7" s="101">
        <v>11451.062644559999</v>
      </c>
      <c r="G7" s="101">
        <v>11936.12112</v>
      </c>
      <c r="H7" s="101">
        <v>12068.13071772</v>
      </c>
      <c r="I7" s="101">
        <v>12611.518864560001</v>
      </c>
      <c r="J7" s="101">
        <v>12375.129579120003</v>
      </c>
      <c r="K7" s="101">
        <v>12324.86634456</v>
      </c>
      <c r="L7" s="101">
        <v>11221.05605544</v>
      </c>
      <c r="M7" s="101">
        <v>10147.737710879997</v>
      </c>
      <c r="N7" s="101">
        <v>8806.0896554400006</v>
      </c>
      <c r="O7" s="101">
        <v>8059.0355168399983</v>
      </c>
      <c r="P7" s="101">
        <v>7668.7380277200009</v>
      </c>
      <c r="Q7" s="101">
        <v>7467.490744560002</v>
      </c>
      <c r="R7" s="101">
        <v>7360.7686891199992</v>
      </c>
      <c r="S7" s="101">
        <v>7110.7465690799982</v>
      </c>
      <c r="T7" s="101">
        <v>6971.9211611999981</v>
      </c>
      <c r="U7" s="101">
        <v>6805.4239637999999</v>
      </c>
      <c r="V7" s="101">
        <v>5456.5312125599985</v>
      </c>
      <c r="W7" s="101">
        <v>5834.2966189199988</v>
      </c>
      <c r="X7" s="101">
        <v>6218.6272451999994</v>
      </c>
      <c r="Y7" s="101">
        <v>6498.092296079999</v>
      </c>
      <c r="DA7" s="175" t="s">
        <v>742</v>
      </c>
    </row>
    <row r="8" spans="1:105" ht="11.45" customHeight="1" x14ac:dyDescent="0.25">
      <c r="A8" s="128" t="s">
        <v>54</v>
      </c>
      <c r="B8" s="101">
        <v>6022.1069999999982</v>
      </c>
      <c r="C8" s="101">
        <v>6038.0384407199999</v>
      </c>
      <c r="D8" s="101">
        <v>6133.62761856</v>
      </c>
      <c r="E8" s="101">
        <v>6691.2299110800013</v>
      </c>
      <c r="F8" s="101">
        <v>6557.4054889199988</v>
      </c>
      <c r="G8" s="101">
        <v>6547.8464110799996</v>
      </c>
      <c r="H8" s="101">
        <v>6844.1724889199995</v>
      </c>
      <c r="I8" s="101">
        <v>7057.6543814399975</v>
      </c>
      <c r="J8" s="101">
        <v>6863.2901110799994</v>
      </c>
      <c r="K8" s="101">
        <v>8608.2118200000004</v>
      </c>
      <c r="L8" s="101">
        <v>7550.7306310799977</v>
      </c>
      <c r="M8" s="101">
        <v>6591.1060799999996</v>
      </c>
      <c r="N8" s="101">
        <v>5038.0293599999995</v>
      </c>
      <c r="O8" s="101">
        <v>5722.9638890400001</v>
      </c>
      <c r="P8" s="101">
        <v>5969.243971079999</v>
      </c>
      <c r="Q8" s="101">
        <v>6174.4269599999998</v>
      </c>
      <c r="R8" s="101">
        <v>6603.732897840001</v>
      </c>
      <c r="S8" s="101">
        <v>6573.7191967199988</v>
      </c>
      <c r="T8" s="101">
        <v>6801.2222993999985</v>
      </c>
      <c r="U8" s="101">
        <v>7328.13324732</v>
      </c>
      <c r="V8" s="101">
        <v>6894.9475898399978</v>
      </c>
      <c r="W8" s="101">
        <v>7273.2643484399987</v>
      </c>
      <c r="X8" s="101">
        <v>8166.178495799998</v>
      </c>
      <c r="Y8" s="101">
        <v>8442.9844128000004</v>
      </c>
      <c r="DA8" s="175" t="s">
        <v>743</v>
      </c>
    </row>
    <row r="9" spans="1:105" ht="11.45" customHeight="1" x14ac:dyDescent="0.25">
      <c r="A9" s="92" t="s">
        <v>55</v>
      </c>
      <c r="B9" s="101">
        <v>0</v>
      </c>
      <c r="C9" s="101">
        <v>14.339160000000001</v>
      </c>
      <c r="D9" s="101">
        <v>22.670211960000003</v>
      </c>
      <c r="E9" s="101">
        <v>24.992549999999994</v>
      </c>
      <c r="F9" s="101">
        <v>24.89177196</v>
      </c>
      <c r="G9" s="101">
        <v>27.870883920000004</v>
      </c>
      <c r="H9" s="101">
        <v>29.385381959999997</v>
      </c>
      <c r="I9" s="101">
        <v>33.67662803999999</v>
      </c>
      <c r="J9" s="101">
        <v>33.323601959999991</v>
      </c>
      <c r="K9" s="101">
        <v>34.585448040000003</v>
      </c>
      <c r="L9" s="101">
        <v>33.22201608000001</v>
      </c>
      <c r="M9" s="101">
        <v>35.09055</v>
      </c>
      <c r="N9" s="101">
        <v>34.585448040000003</v>
      </c>
      <c r="O9" s="101">
        <v>31.505961960000011</v>
      </c>
      <c r="P9" s="101">
        <v>32.313600000000015</v>
      </c>
      <c r="Q9" s="101">
        <v>35.494268039999994</v>
      </c>
      <c r="R9" s="101">
        <v>44.532180000000011</v>
      </c>
      <c r="S9" s="101">
        <v>30.041550000000012</v>
      </c>
      <c r="T9" s="101">
        <v>35.68168691999999</v>
      </c>
      <c r="U9" s="101">
        <v>42.022221120000005</v>
      </c>
      <c r="V9" s="101">
        <v>42.574379760000014</v>
      </c>
      <c r="W9" s="101">
        <v>49.410119879999989</v>
      </c>
      <c r="X9" s="101">
        <v>59.025233520000015</v>
      </c>
      <c r="Y9" s="101">
        <v>60.5647746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15982.943963400001</v>
      </c>
      <c r="C17" s="79">
        <f t="shared" si="12"/>
        <v>16341.618187079999</v>
      </c>
      <c r="D17" s="79">
        <f t="shared" si="12"/>
        <v>16924.542385679997</v>
      </c>
      <c r="E17" s="79">
        <f t="shared" si="12"/>
        <v>17957.501652239996</v>
      </c>
      <c r="F17" s="79">
        <f t="shared" si="12"/>
        <v>18066.190885919998</v>
      </c>
      <c r="G17" s="79">
        <f t="shared" si="12"/>
        <v>18544.669395479999</v>
      </c>
      <c r="H17" s="79">
        <f t="shared" si="12"/>
        <v>18974.519569079999</v>
      </c>
      <c r="I17" s="79">
        <f t="shared" si="12"/>
        <v>19738.665509759998</v>
      </c>
      <c r="J17" s="79">
        <f t="shared" si="12"/>
        <v>19307.558927880003</v>
      </c>
      <c r="K17" s="79">
        <f t="shared" si="12"/>
        <v>21017.007762120003</v>
      </c>
      <c r="L17" s="79">
        <f t="shared" ref="L17" si="13">SUM(L18,L33)</f>
        <v>18926.917978319998</v>
      </c>
      <c r="M17" s="79">
        <f t="shared" ref="M17:V17" si="14">SUM(M18,M33)</f>
        <v>17293.4996904</v>
      </c>
      <c r="N17" s="79">
        <f t="shared" si="14"/>
        <v>14102.204688720001</v>
      </c>
      <c r="O17" s="79">
        <f t="shared" si="14"/>
        <v>14353.389043559999</v>
      </c>
      <c r="P17" s="79">
        <f t="shared" si="14"/>
        <v>14256.62077356</v>
      </c>
      <c r="Q17" s="79">
        <f t="shared" si="14"/>
        <v>14356.620372600002</v>
      </c>
      <c r="R17" s="79">
        <f t="shared" si="14"/>
        <v>14699.85254172</v>
      </c>
      <c r="S17" s="79">
        <f t="shared" si="14"/>
        <v>14364.167197319995</v>
      </c>
      <c r="T17" s="79">
        <f t="shared" si="14"/>
        <v>14431.168811879998</v>
      </c>
      <c r="U17" s="79">
        <f t="shared" si="14"/>
        <v>14810.497084079998</v>
      </c>
      <c r="V17" s="79">
        <f t="shared" si="14"/>
        <v>12905.828079479998</v>
      </c>
      <c r="W17" s="79">
        <f t="shared" ref="W17:Y17" si="15">SUM(W18,W33)</f>
        <v>13655.14432524</v>
      </c>
      <c r="X17" s="79">
        <f t="shared" si="15"/>
        <v>14947.615064519998</v>
      </c>
      <c r="Y17" s="79">
        <f t="shared" si="15"/>
        <v>15512.301706680002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10264.410344570928</v>
      </c>
      <c r="C18" s="32">
        <f t="shared" si="16"/>
        <v>10584.277859351563</v>
      </c>
      <c r="D18" s="32">
        <f t="shared" si="16"/>
        <v>11047.7837273529</v>
      </c>
      <c r="E18" s="32">
        <f t="shared" si="16"/>
        <v>12053.241294043437</v>
      </c>
      <c r="F18" s="32">
        <f t="shared" si="16"/>
        <v>11808.491235937785</v>
      </c>
      <c r="G18" s="32">
        <f t="shared" si="16"/>
        <v>12560.380311185007</v>
      </c>
      <c r="H18" s="32">
        <f t="shared" si="16"/>
        <v>12754.38814368832</v>
      </c>
      <c r="I18" s="32">
        <f t="shared" si="16"/>
        <v>13324.802694046684</v>
      </c>
      <c r="J18" s="32">
        <f t="shared" si="16"/>
        <v>12951.453024281805</v>
      </c>
      <c r="K18" s="32">
        <f t="shared" si="16"/>
        <v>13614.471935247186</v>
      </c>
      <c r="L18" s="32">
        <f t="shared" ref="L18" si="17">SUM(L19,L20,L27)</f>
        <v>12347.453759607863</v>
      </c>
      <c r="M18" s="32">
        <f t="shared" ref="M18:V18" si="18">SUM(M19,M20,M27)</f>
        <v>11973.351633009444</v>
      </c>
      <c r="N18" s="32">
        <f t="shared" si="18"/>
        <v>10175.489164986329</v>
      </c>
      <c r="O18" s="32">
        <f t="shared" si="18"/>
        <v>9731.5000363974395</v>
      </c>
      <c r="P18" s="32">
        <f t="shared" si="18"/>
        <v>9423.8062318868724</v>
      </c>
      <c r="Q18" s="32">
        <f t="shared" si="18"/>
        <v>9565.2431913633518</v>
      </c>
      <c r="R18" s="32">
        <f t="shared" si="18"/>
        <v>9635.5351586377728</v>
      </c>
      <c r="S18" s="32">
        <f t="shared" si="18"/>
        <v>9581.2606449176601</v>
      </c>
      <c r="T18" s="32">
        <f t="shared" si="18"/>
        <v>9526.1195986584335</v>
      </c>
      <c r="U18" s="32">
        <f t="shared" si="18"/>
        <v>9675.9653199409768</v>
      </c>
      <c r="V18" s="32">
        <f t="shared" si="18"/>
        <v>8082.3193662961658</v>
      </c>
      <c r="W18" s="32">
        <f t="shared" ref="W18:Y18" si="19">SUM(W19,W20,W27)</f>
        <v>8608.7555042480217</v>
      </c>
      <c r="X18" s="32">
        <f t="shared" si="19"/>
        <v>9422.8354226154261</v>
      </c>
      <c r="Y18" s="32">
        <f t="shared" si="19"/>
        <v>10049.837950989986</v>
      </c>
      <c r="DA18" s="173" t="s">
        <v>403</v>
      </c>
    </row>
    <row r="19" spans="1:105" ht="11.45" customHeight="1" x14ac:dyDescent="0.25">
      <c r="A19" s="136" t="s">
        <v>173</v>
      </c>
      <c r="B19" s="141">
        <v>490.71143408492213</v>
      </c>
      <c r="C19" s="141">
        <v>531.78359930403531</v>
      </c>
      <c r="D19" s="141">
        <v>585.01950814085353</v>
      </c>
      <c r="E19" s="141">
        <v>613.13938355808773</v>
      </c>
      <c r="F19" s="141">
        <v>617.4217171029477</v>
      </c>
      <c r="G19" s="141">
        <v>635.88752121057269</v>
      </c>
      <c r="H19" s="141">
        <v>580.46135845409731</v>
      </c>
      <c r="I19" s="141">
        <v>581.03628007626685</v>
      </c>
      <c r="J19" s="141">
        <v>622.80963254135304</v>
      </c>
      <c r="K19" s="141">
        <v>638.75528437689479</v>
      </c>
      <c r="L19" s="141">
        <v>755.33470424190648</v>
      </c>
      <c r="M19" s="141">
        <v>772.64321644038671</v>
      </c>
      <c r="N19" s="141">
        <v>794.42912231804758</v>
      </c>
      <c r="O19" s="141">
        <v>795.07432550700003</v>
      </c>
      <c r="P19" s="141">
        <v>799.77380336274791</v>
      </c>
      <c r="Q19" s="141">
        <v>795.23504260776474</v>
      </c>
      <c r="R19" s="141">
        <v>809.52573592099282</v>
      </c>
      <c r="S19" s="141">
        <v>755.70372599193627</v>
      </c>
      <c r="T19" s="141">
        <v>694.62088314906839</v>
      </c>
      <c r="U19" s="141">
        <v>720.09083865849448</v>
      </c>
      <c r="V19" s="141">
        <v>623.3603452931095</v>
      </c>
      <c r="W19" s="141">
        <v>641.0293831990499</v>
      </c>
      <c r="X19" s="141">
        <v>666.7200159594189</v>
      </c>
      <c r="Y19" s="141">
        <v>706.4988914392336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8016.4219568535627</v>
      </c>
      <c r="C20" s="130">
        <f t="shared" si="20"/>
        <v>8354.7032708771403</v>
      </c>
      <c r="D20" s="130">
        <f t="shared" si="20"/>
        <v>8774.324312208204</v>
      </c>
      <c r="E20" s="130">
        <f t="shared" si="20"/>
        <v>9265.290360338382</v>
      </c>
      <c r="F20" s="130">
        <f t="shared" si="20"/>
        <v>9548.6368724398744</v>
      </c>
      <c r="G20" s="130">
        <f t="shared" si="20"/>
        <v>10068.697102748332</v>
      </c>
      <c r="H20" s="130">
        <f t="shared" si="20"/>
        <v>10393.579355095748</v>
      </c>
      <c r="I20" s="130">
        <f t="shared" si="20"/>
        <v>10937.566089260921</v>
      </c>
      <c r="J20" s="130">
        <f t="shared" si="20"/>
        <v>10664.988676125195</v>
      </c>
      <c r="K20" s="130">
        <f t="shared" si="20"/>
        <v>10995.774135833366</v>
      </c>
      <c r="L20" s="130">
        <f t="shared" ref="L20" si="21">SUM(L21:L26)</f>
        <v>9894.6820398255095</v>
      </c>
      <c r="M20" s="130">
        <f t="shared" ref="M20:V20" si="22">SUM(M21:M26)</f>
        <v>9388.6564852514421</v>
      </c>
      <c r="N20" s="130">
        <f t="shared" si="22"/>
        <v>7911.1000406895655</v>
      </c>
      <c r="O20" s="130">
        <f t="shared" si="22"/>
        <v>7286.4109821125458</v>
      </c>
      <c r="P20" s="130">
        <f t="shared" si="22"/>
        <v>7032.5336546538856</v>
      </c>
      <c r="Q20" s="130">
        <f t="shared" si="22"/>
        <v>7247.9553276745219</v>
      </c>
      <c r="R20" s="130">
        <f t="shared" si="22"/>
        <v>7284.4055688079216</v>
      </c>
      <c r="S20" s="130">
        <f t="shared" si="22"/>
        <v>7282.124884379803</v>
      </c>
      <c r="T20" s="130">
        <f t="shared" si="22"/>
        <v>7259.4084231766492</v>
      </c>
      <c r="U20" s="130">
        <f t="shared" si="22"/>
        <v>7330.9207236787979</v>
      </c>
      <c r="V20" s="130">
        <f t="shared" si="22"/>
        <v>5853.8063338521824</v>
      </c>
      <c r="W20" s="130">
        <f t="shared" ref="W20:Y20" si="23">SUM(W21:W26)</f>
        <v>6395.0785418616488</v>
      </c>
      <c r="X20" s="130">
        <f t="shared" si="23"/>
        <v>7037.9645004890926</v>
      </c>
      <c r="Y20" s="130">
        <f t="shared" si="23"/>
        <v>7558.9290234412993</v>
      </c>
      <c r="DA20" s="176" t="s">
        <v>405</v>
      </c>
    </row>
    <row r="21" spans="1:105" ht="11.45" customHeight="1" x14ac:dyDescent="0.25">
      <c r="A21" s="111" t="s">
        <v>110</v>
      </c>
      <c r="B21" s="96">
        <v>7495.1940624212575</v>
      </c>
      <c r="C21" s="96">
        <v>7846.3783640261881</v>
      </c>
      <c r="D21" s="96">
        <v>8270.9785200866954</v>
      </c>
      <c r="E21" s="96">
        <v>8745.3288727947074</v>
      </c>
      <c r="F21" s="96">
        <v>9079.2756396370096</v>
      </c>
      <c r="G21" s="96">
        <v>9582.2235898544932</v>
      </c>
      <c r="H21" s="96">
        <v>9869.5248739708677</v>
      </c>
      <c r="I21" s="96">
        <v>10377.143802129609</v>
      </c>
      <c r="J21" s="96">
        <v>10144.98416341052</v>
      </c>
      <c r="K21" s="96">
        <v>10351.338845879294</v>
      </c>
      <c r="L21" s="96">
        <v>9226.2658968555534</v>
      </c>
      <c r="M21" s="96">
        <v>8360.7569012333624</v>
      </c>
      <c r="N21" s="96">
        <v>7185.8965159724467</v>
      </c>
      <c r="O21" s="96">
        <v>6449.4099654831252</v>
      </c>
      <c r="P21" s="96">
        <v>6073.7406440651239</v>
      </c>
      <c r="Q21" s="96">
        <v>5863.0579278827008</v>
      </c>
      <c r="R21" s="96">
        <v>5728.9411624417226</v>
      </c>
      <c r="S21" s="96">
        <v>5578.0685137783448</v>
      </c>
      <c r="T21" s="96">
        <v>5417.5969231329218</v>
      </c>
      <c r="U21" s="96">
        <v>5237.680351925128</v>
      </c>
      <c r="V21" s="96">
        <v>4094.8127343946385</v>
      </c>
      <c r="W21" s="96">
        <v>4384.3755328214793</v>
      </c>
      <c r="X21" s="96">
        <v>4727.0791476814911</v>
      </c>
      <c r="Y21" s="96">
        <v>4975.6480753323267</v>
      </c>
      <c r="DA21" s="171" t="s">
        <v>751</v>
      </c>
    </row>
    <row r="22" spans="1:105" ht="11.45" customHeight="1" x14ac:dyDescent="0.25">
      <c r="A22" s="111" t="s">
        <v>111</v>
      </c>
      <c r="B22" s="96">
        <v>476.45852015230548</v>
      </c>
      <c r="C22" s="96">
        <v>458.37352893150006</v>
      </c>
      <c r="D22" s="96">
        <v>455.03023417256259</v>
      </c>
      <c r="E22" s="96">
        <v>480.25128317729173</v>
      </c>
      <c r="F22" s="96">
        <v>432.66712751167682</v>
      </c>
      <c r="G22" s="96">
        <v>449.36841847817254</v>
      </c>
      <c r="H22" s="96">
        <v>486.75902014522029</v>
      </c>
      <c r="I22" s="96">
        <v>519.59953982431273</v>
      </c>
      <c r="J22" s="96">
        <v>479.30975212574418</v>
      </c>
      <c r="K22" s="96">
        <v>588.9322774237537</v>
      </c>
      <c r="L22" s="96">
        <v>539.60770016535071</v>
      </c>
      <c r="M22" s="96">
        <v>501.11824947764359</v>
      </c>
      <c r="N22" s="96">
        <v>494.59129370768926</v>
      </c>
      <c r="O22" s="96">
        <v>290.36308892849274</v>
      </c>
      <c r="P22" s="96">
        <v>365.66984742979332</v>
      </c>
      <c r="Q22" s="96">
        <v>698.66282490870185</v>
      </c>
      <c r="R22" s="96">
        <v>857.58813388006968</v>
      </c>
      <c r="S22" s="96">
        <v>1047.6563194398977</v>
      </c>
      <c r="T22" s="96">
        <v>1212.6812192860582</v>
      </c>
      <c r="U22" s="96">
        <v>1451.1713332530092</v>
      </c>
      <c r="V22" s="96">
        <v>1238.4906869508889</v>
      </c>
      <c r="W22" s="96">
        <v>1502.0676680541112</v>
      </c>
      <c r="X22" s="96">
        <v>1793.9940086418758</v>
      </c>
      <c r="Y22" s="96">
        <v>2055.6795585241489</v>
      </c>
      <c r="DA22" s="171" t="s">
        <v>752</v>
      </c>
    </row>
    <row r="23" spans="1:105" ht="11.45" customHeight="1" x14ac:dyDescent="0.25">
      <c r="A23" s="111" t="s">
        <v>112</v>
      </c>
      <c r="B23" s="96">
        <v>44.769374280000008</v>
      </c>
      <c r="C23" s="96">
        <v>47.754029520000003</v>
      </c>
      <c r="D23" s="96">
        <v>44.769374280000008</v>
      </c>
      <c r="E23" s="96">
        <v>35.815635719999996</v>
      </c>
      <c r="F23" s="96">
        <v>32.830980479999994</v>
      </c>
      <c r="G23" s="96">
        <v>32.830980479999994</v>
      </c>
      <c r="H23" s="96">
        <v>32.830980479999994</v>
      </c>
      <c r="I23" s="96">
        <v>35.815635719999996</v>
      </c>
      <c r="J23" s="96">
        <v>35.815635719999996</v>
      </c>
      <c r="K23" s="96">
        <v>49.344149519999995</v>
      </c>
      <c r="L23" s="96">
        <v>121.90927572000002</v>
      </c>
      <c r="M23" s="96">
        <v>519.56534952000004</v>
      </c>
      <c r="N23" s="96">
        <v>223.50022524000005</v>
      </c>
      <c r="O23" s="96">
        <v>539.88367572000004</v>
      </c>
      <c r="P23" s="96">
        <v>586.32517475999998</v>
      </c>
      <c r="Q23" s="96">
        <v>679.20839999999998</v>
      </c>
      <c r="R23" s="96">
        <v>690.81877476000011</v>
      </c>
      <c r="S23" s="96">
        <v>649.65988152</v>
      </c>
      <c r="T23" s="96">
        <v>622.34366436000005</v>
      </c>
      <c r="U23" s="96">
        <v>634.9176518400003</v>
      </c>
      <c r="V23" s="96">
        <v>511.77489732000009</v>
      </c>
      <c r="W23" s="96">
        <v>498.17323799999991</v>
      </c>
      <c r="X23" s="96">
        <v>503.78409000000016</v>
      </c>
      <c r="Y23" s="96">
        <v>510.66022320000008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2.197348399451899</v>
      </c>
      <c r="D24" s="96">
        <v>3.5461836689460418</v>
      </c>
      <c r="E24" s="96">
        <v>3.8945686463829605</v>
      </c>
      <c r="F24" s="96">
        <v>3.8631248111895871</v>
      </c>
      <c r="G24" s="96">
        <v>4.2741139356670086</v>
      </c>
      <c r="H24" s="96">
        <v>4.464480499660783</v>
      </c>
      <c r="I24" s="96">
        <v>5.0071115869991409</v>
      </c>
      <c r="J24" s="96">
        <v>4.8791248689298348</v>
      </c>
      <c r="K24" s="96">
        <v>6.1588630103172113</v>
      </c>
      <c r="L24" s="96">
        <v>6.8991670846070292</v>
      </c>
      <c r="M24" s="96">
        <v>7.2159850204344966</v>
      </c>
      <c r="N24" s="96">
        <v>7.1116448718291583</v>
      </c>
      <c r="O24" s="96">
        <v>6.7541377557753872</v>
      </c>
      <c r="P24" s="96">
        <v>6.7932452017748499</v>
      </c>
      <c r="Q24" s="96">
        <v>7.0149207130566618</v>
      </c>
      <c r="R24" s="96">
        <v>7.0278675419315162</v>
      </c>
      <c r="S24" s="96">
        <v>6.6511230230914116</v>
      </c>
      <c r="T24" s="96">
        <v>6.6148658275624221</v>
      </c>
      <c r="U24" s="96">
        <v>6.8680983494198538</v>
      </c>
      <c r="V24" s="96">
        <v>8.0406732570250963</v>
      </c>
      <c r="W24" s="96">
        <v>8.3005683946074491</v>
      </c>
      <c r="X24" s="96">
        <v>9.1828238573571674</v>
      </c>
      <c r="Y24" s="96">
        <v>10.765323342807811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3.6089760057804714E-4</v>
      </c>
      <c r="O25" s="96">
        <v>1.1422515227605564E-4</v>
      </c>
      <c r="P25" s="96">
        <v>4.743197193802973E-3</v>
      </c>
      <c r="Q25" s="96">
        <v>1.1254170061907634E-2</v>
      </c>
      <c r="R25" s="96">
        <v>2.963018419762253E-2</v>
      </c>
      <c r="S25" s="96">
        <v>8.9046618469214148E-2</v>
      </c>
      <c r="T25" s="96">
        <v>0.17175057010674263</v>
      </c>
      <c r="U25" s="96">
        <v>0.28328831124190129</v>
      </c>
      <c r="V25" s="96">
        <v>0.68734192962890994</v>
      </c>
      <c r="W25" s="96">
        <v>2.1615345914502537</v>
      </c>
      <c r="X25" s="96">
        <v>3.9244303083687551</v>
      </c>
      <c r="Y25" s="96">
        <v>6.1758430420149111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1757.2769536324431</v>
      </c>
      <c r="C27" s="130">
        <f t="shared" si="24"/>
        <v>1697.790989170388</v>
      </c>
      <c r="D27" s="130">
        <f t="shared" si="24"/>
        <v>1688.439907003843</v>
      </c>
      <c r="E27" s="130">
        <f t="shared" si="24"/>
        <v>2174.8115501469683</v>
      </c>
      <c r="F27" s="130">
        <f t="shared" si="24"/>
        <v>1642.4326463949621</v>
      </c>
      <c r="G27" s="130">
        <f t="shared" si="24"/>
        <v>1855.795687226102</v>
      </c>
      <c r="H27" s="130">
        <f t="shared" si="24"/>
        <v>1780.3474301384749</v>
      </c>
      <c r="I27" s="130">
        <f t="shared" si="24"/>
        <v>1806.200324709496</v>
      </c>
      <c r="J27" s="130">
        <f t="shared" si="24"/>
        <v>1663.6547156152576</v>
      </c>
      <c r="K27" s="130">
        <f t="shared" si="24"/>
        <v>1979.9425150369245</v>
      </c>
      <c r="L27" s="130">
        <f t="shared" ref="L27" si="25">SUM(L28:L32)</f>
        <v>1697.4370155404472</v>
      </c>
      <c r="M27" s="130">
        <f t="shared" ref="M27:V27" si="26">SUM(M28:M32)</f>
        <v>1812.0519313176151</v>
      </c>
      <c r="N27" s="130">
        <f t="shared" si="26"/>
        <v>1469.9600019787165</v>
      </c>
      <c r="O27" s="130">
        <f t="shared" si="26"/>
        <v>1650.0147287778946</v>
      </c>
      <c r="P27" s="130">
        <f t="shared" si="26"/>
        <v>1591.498773870238</v>
      </c>
      <c r="Q27" s="130">
        <f t="shared" si="26"/>
        <v>1522.0528210810653</v>
      </c>
      <c r="R27" s="130">
        <f t="shared" si="26"/>
        <v>1541.6038539088579</v>
      </c>
      <c r="S27" s="130">
        <f t="shared" si="26"/>
        <v>1543.4320345459212</v>
      </c>
      <c r="T27" s="130">
        <f t="shared" si="26"/>
        <v>1572.0902923327153</v>
      </c>
      <c r="U27" s="130">
        <f t="shared" si="26"/>
        <v>1624.9537576036839</v>
      </c>
      <c r="V27" s="130">
        <f t="shared" si="26"/>
        <v>1605.1526871508736</v>
      </c>
      <c r="W27" s="130">
        <f t="shared" ref="W27:Y27" si="27">SUM(W28:W32)</f>
        <v>1572.647579187322</v>
      </c>
      <c r="X27" s="130">
        <f t="shared" si="27"/>
        <v>1718.150906166914</v>
      </c>
      <c r="Y27" s="130">
        <f t="shared" si="27"/>
        <v>1784.4100361094524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X28" s="97">
        <v>0</v>
      </c>
      <c r="Y28" s="97">
        <v>0</v>
      </c>
      <c r="DA28" s="175" t="s">
        <v>757</v>
      </c>
    </row>
    <row r="29" spans="1:105" ht="11.45" customHeight="1" x14ac:dyDescent="0.25">
      <c r="A29" s="111" t="s">
        <v>111</v>
      </c>
      <c r="B29" s="97">
        <v>1757.2769536324431</v>
      </c>
      <c r="C29" s="97">
        <v>1685.6491775698398</v>
      </c>
      <c r="D29" s="97">
        <v>1669.3158787127891</v>
      </c>
      <c r="E29" s="97">
        <v>2153.7135687933514</v>
      </c>
      <c r="F29" s="97">
        <v>1621.4039992461517</v>
      </c>
      <c r="G29" s="97">
        <v>1832.1989172417691</v>
      </c>
      <c r="H29" s="97">
        <v>1755.4265286781358</v>
      </c>
      <c r="I29" s="97">
        <v>1777.5308082564952</v>
      </c>
      <c r="J29" s="97">
        <v>1635.2102385241874</v>
      </c>
      <c r="K29" s="97">
        <v>1951.5159300072416</v>
      </c>
      <c r="L29" s="97">
        <v>1671.1141665450541</v>
      </c>
      <c r="M29" s="97">
        <v>1784.1773663380495</v>
      </c>
      <c r="N29" s="97">
        <v>1442.4861988105456</v>
      </c>
      <c r="O29" s="97">
        <v>1625.2629045736699</v>
      </c>
      <c r="P29" s="97">
        <v>1565.9784190720129</v>
      </c>
      <c r="Q29" s="97">
        <v>1493.573473754122</v>
      </c>
      <c r="R29" s="97">
        <v>1504.0995414507895</v>
      </c>
      <c r="S29" s="97">
        <v>1520.0416075690125</v>
      </c>
      <c r="T29" s="97">
        <v>1543.0234712402778</v>
      </c>
      <c r="U29" s="97">
        <v>1589.7996348331037</v>
      </c>
      <c r="V29" s="97">
        <v>1570.6189806478988</v>
      </c>
      <c r="W29" s="97">
        <v>1531.5380277019294</v>
      </c>
      <c r="X29" s="97">
        <v>1668.308496504271</v>
      </c>
      <c r="Y29" s="97">
        <v>1734.6105848522602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X30" s="97">
        <v>0</v>
      </c>
      <c r="Y30" s="97">
        <v>0</v>
      </c>
      <c r="DA30" s="175" t="s">
        <v>759</v>
      </c>
    </row>
    <row r="31" spans="1:105" ht="11.45" customHeight="1" x14ac:dyDescent="0.25">
      <c r="A31" s="111" t="s">
        <v>113</v>
      </c>
      <c r="B31" s="97">
        <v>0</v>
      </c>
      <c r="C31" s="97">
        <v>12.141811600548104</v>
      </c>
      <c r="D31" s="97">
        <v>19.124028291053957</v>
      </c>
      <c r="E31" s="97">
        <v>21.097981353617033</v>
      </c>
      <c r="F31" s="97">
        <v>21.028647148810414</v>
      </c>
      <c r="G31" s="97">
        <v>23.596769984332994</v>
      </c>
      <c r="H31" s="97">
        <v>24.920901460339213</v>
      </c>
      <c r="I31" s="97">
        <v>28.669516453000849</v>
      </c>
      <c r="J31" s="97">
        <v>28.444477091070155</v>
      </c>
      <c r="K31" s="97">
        <v>28.426585029682794</v>
      </c>
      <c r="L31" s="97">
        <v>26.322848995392981</v>
      </c>
      <c r="M31" s="97">
        <v>27.874564979565509</v>
      </c>
      <c r="N31" s="97">
        <v>27.473803168170846</v>
      </c>
      <c r="O31" s="97">
        <v>24.751824204224622</v>
      </c>
      <c r="P31" s="97">
        <v>25.520354798225164</v>
      </c>
      <c r="Q31" s="97">
        <v>28.479347326943333</v>
      </c>
      <c r="R31" s="97">
        <v>37.504312458068497</v>
      </c>
      <c r="S31" s="97">
        <v>23.3904269769086</v>
      </c>
      <c r="T31" s="97">
        <v>29.066821092437571</v>
      </c>
      <c r="U31" s="97">
        <v>35.154122770580152</v>
      </c>
      <c r="V31" s="97">
        <v>34.533706502974916</v>
      </c>
      <c r="W31" s="97">
        <v>41.109551485392544</v>
      </c>
      <c r="X31" s="97">
        <v>49.842409662642844</v>
      </c>
      <c r="Y31" s="97">
        <v>49.799451257192189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5718.533618829073</v>
      </c>
      <c r="C33" s="32">
        <f t="shared" si="28"/>
        <v>5757.3403277284351</v>
      </c>
      <c r="D33" s="32">
        <f t="shared" si="28"/>
        <v>5876.7586583270986</v>
      </c>
      <c r="E33" s="32">
        <f t="shared" si="28"/>
        <v>5904.2603581965614</v>
      </c>
      <c r="F33" s="32">
        <f t="shared" si="28"/>
        <v>6257.6996499822126</v>
      </c>
      <c r="G33" s="32">
        <f t="shared" si="28"/>
        <v>5984.2890842949928</v>
      </c>
      <c r="H33" s="32">
        <f t="shared" si="28"/>
        <v>6220.1314253916789</v>
      </c>
      <c r="I33" s="32">
        <f t="shared" si="28"/>
        <v>6413.8628157133135</v>
      </c>
      <c r="J33" s="32">
        <f t="shared" si="28"/>
        <v>6356.105903598198</v>
      </c>
      <c r="K33" s="32">
        <f t="shared" si="28"/>
        <v>7402.5358268728169</v>
      </c>
      <c r="L33" s="32">
        <f t="shared" ref="L33" si="29">L34+L40</f>
        <v>6579.4642187121344</v>
      </c>
      <c r="M33" s="32">
        <f t="shared" ref="M33:V33" si="30">M34+M40</f>
        <v>5320.1480573905537</v>
      </c>
      <c r="N33" s="32">
        <f t="shared" si="30"/>
        <v>3926.7155237336719</v>
      </c>
      <c r="O33" s="32">
        <f t="shared" si="30"/>
        <v>4621.8890071625592</v>
      </c>
      <c r="P33" s="32">
        <f t="shared" si="30"/>
        <v>4832.8145416731268</v>
      </c>
      <c r="Q33" s="32">
        <f t="shared" si="30"/>
        <v>4791.3771812366513</v>
      </c>
      <c r="R33" s="32">
        <f t="shared" si="30"/>
        <v>5064.317383082227</v>
      </c>
      <c r="S33" s="32">
        <f t="shared" si="30"/>
        <v>4782.9065524023354</v>
      </c>
      <c r="T33" s="32">
        <f t="shared" si="30"/>
        <v>4905.0492132215632</v>
      </c>
      <c r="U33" s="32">
        <f t="shared" si="30"/>
        <v>5134.531764139022</v>
      </c>
      <c r="V33" s="32">
        <f t="shared" si="30"/>
        <v>4823.5087131838318</v>
      </c>
      <c r="W33" s="32">
        <f t="shared" ref="W33:Y33" si="31">W34+W40</f>
        <v>5046.3888209919787</v>
      </c>
      <c r="X33" s="32">
        <f t="shared" si="31"/>
        <v>5524.7796419045717</v>
      </c>
      <c r="Y33" s="32">
        <f t="shared" si="31"/>
        <v>5462.4637556900152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2339.8202078946092</v>
      </c>
      <c r="C34" s="141">
        <f t="shared" si="32"/>
        <v>2320.6985998231589</v>
      </c>
      <c r="D34" s="141">
        <f t="shared" si="32"/>
        <v>2369.8523996432377</v>
      </c>
      <c r="E34" s="141">
        <f t="shared" si="32"/>
        <v>2431.7795411585621</v>
      </c>
      <c r="F34" s="141">
        <f t="shared" si="32"/>
        <v>2386.5506047695653</v>
      </c>
      <c r="G34" s="141">
        <f t="shared" si="32"/>
        <v>2389.2668033569748</v>
      </c>
      <c r="H34" s="141">
        <f t="shared" si="32"/>
        <v>2382.9418662806852</v>
      </c>
      <c r="I34" s="141">
        <f t="shared" si="32"/>
        <v>2506.9361625557754</v>
      </c>
      <c r="J34" s="141">
        <f t="shared" si="32"/>
        <v>2452.792402379187</v>
      </c>
      <c r="K34" s="141">
        <f t="shared" si="32"/>
        <v>2303.5425529622407</v>
      </c>
      <c r="L34" s="141">
        <f t="shared" ref="L34" si="33">SUM(L35:L39)</f>
        <v>2295.5078469066411</v>
      </c>
      <c r="M34" s="141">
        <f t="shared" ref="M34:V34" si="34">SUM(M35:M39)</f>
        <v>1957.1716864128007</v>
      </c>
      <c r="N34" s="141">
        <f t="shared" si="34"/>
        <v>1600.9740159651556</v>
      </c>
      <c r="O34" s="141">
        <f t="shared" si="34"/>
        <v>1856.6492546475415</v>
      </c>
      <c r="P34" s="141">
        <f t="shared" si="34"/>
        <v>1850.2663651027494</v>
      </c>
      <c r="Q34" s="141">
        <f t="shared" si="34"/>
        <v>2214.3234955392008</v>
      </c>
      <c r="R34" s="141">
        <f t="shared" si="34"/>
        <v>2347.5143630234797</v>
      </c>
      <c r="S34" s="141">
        <f t="shared" si="34"/>
        <v>2062.9412642037928</v>
      </c>
      <c r="T34" s="141">
        <f t="shared" si="34"/>
        <v>2058.1207507542467</v>
      </c>
      <c r="U34" s="141">
        <f t="shared" si="34"/>
        <v>2056.6087042285531</v>
      </c>
      <c r="V34" s="141">
        <f t="shared" si="34"/>
        <v>1761.587551399954</v>
      </c>
      <c r="W34" s="141">
        <f t="shared" ref="W34:Y34" si="35">SUM(W35:W39)</f>
        <v>1913.2475845965978</v>
      </c>
      <c r="X34" s="141">
        <f t="shared" si="35"/>
        <v>2062.7297001869692</v>
      </c>
      <c r="Y34" s="141">
        <f t="shared" si="35"/>
        <v>2108.8957015859555</v>
      </c>
      <c r="DA34" s="174" t="s">
        <v>412</v>
      </c>
    </row>
    <row r="35" spans="1:105" ht="11.45" customHeight="1" x14ac:dyDescent="0.25">
      <c r="A35" s="111" t="s">
        <v>110</v>
      </c>
      <c r="B35" s="96">
        <v>1930.1620926138226</v>
      </c>
      <c r="C35" s="96">
        <v>1863.3245935097748</v>
      </c>
      <c r="D35" s="96">
        <v>1867.4771526524491</v>
      </c>
      <c r="E35" s="96">
        <v>1846.9952990872036</v>
      </c>
      <c r="F35" s="96">
        <v>1754.3652878200423</v>
      </c>
      <c r="G35" s="96">
        <v>1718.0100089349341</v>
      </c>
      <c r="H35" s="96">
        <v>1618.1444852950344</v>
      </c>
      <c r="I35" s="96">
        <v>1653.338782354122</v>
      </c>
      <c r="J35" s="96">
        <v>1607.3357831681299</v>
      </c>
      <c r="K35" s="96">
        <v>1334.7722143038118</v>
      </c>
      <c r="L35" s="96">
        <v>1239.4554543425413</v>
      </c>
      <c r="M35" s="96">
        <v>1014.3375932062478</v>
      </c>
      <c r="N35" s="96">
        <v>825.76365625190692</v>
      </c>
      <c r="O35" s="96">
        <v>814.55111162472133</v>
      </c>
      <c r="P35" s="96">
        <v>795.21883709493432</v>
      </c>
      <c r="Q35" s="96">
        <v>809.18651989947512</v>
      </c>
      <c r="R35" s="96">
        <v>822.2721605730859</v>
      </c>
      <c r="S35" s="96">
        <v>776.88528269124731</v>
      </c>
      <c r="T35" s="96">
        <v>859.53160434790107</v>
      </c>
      <c r="U35" s="96">
        <v>847.36948490513521</v>
      </c>
      <c r="V35" s="96">
        <v>737.67079094262181</v>
      </c>
      <c r="W35" s="96">
        <v>806.73016830801976</v>
      </c>
      <c r="X35" s="96">
        <v>820.90365125072117</v>
      </c>
      <c r="Y35" s="96">
        <v>809.769486266424</v>
      </c>
      <c r="DA35" s="171" t="s">
        <v>762</v>
      </c>
    </row>
    <row r="36" spans="1:105" ht="11.45" customHeight="1" x14ac:dyDescent="0.25">
      <c r="A36" s="111" t="s">
        <v>111</v>
      </c>
      <c r="B36" s="96">
        <v>409.65811528078677</v>
      </c>
      <c r="C36" s="96">
        <v>457.37400631338414</v>
      </c>
      <c r="D36" s="96">
        <v>502.37524699078836</v>
      </c>
      <c r="E36" s="96">
        <v>584.78424207135845</v>
      </c>
      <c r="F36" s="96">
        <v>632.1853169495231</v>
      </c>
      <c r="G36" s="96">
        <v>671.25679442204068</v>
      </c>
      <c r="H36" s="96">
        <v>764.79738098565088</v>
      </c>
      <c r="I36" s="96">
        <v>853.59738020165344</v>
      </c>
      <c r="J36" s="96">
        <v>845.45661921105727</v>
      </c>
      <c r="K36" s="96">
        <v>968.77033865842907</v>
      </c>
      <c r="L36" s="96">
        <v>1056.0523925641</v>
      </c>
      <c r="M36" s="96">
        <v>942.83409320655278</v>
      </c>
      <c r="N36" s="96">
        <v>775.21035971324864</v>
      </c>
      <c r="O36" s="96">
        <v>1042.0981430228203</v>
      </c>
      <c r="P36" s="96">
        <v>1055.0475280078151</v>
      </c>
      <c r="Q36" s="96">
        <v>1405.1369756397255</v>
      </c>
      <c r="R36" s="96">
        <v>1525.242202450394</v>
      </c>
      <c r="S36" s="96">
        <v>1286.0559815125455</v>
      </c>
      <c r="T36" s="96">
        <v>1198.5891464063454</v>
      </c>
      <c r="U36" s="96">
        <v>1209.239219323418</v>
      </c>
      <c r="V36" s="96">
        <v>1023.9167604573321</v>
      </c>
      <c r="W36" s="96">
        <v>1106.517416288578</v>
      </c>
      <c r="X36" s="96">
        <v>1241.8260489362483</v>
      </c>
      <c r="Y36" s="96">
        <v>1299.1262153195314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0</v>
      </c>
      <c r="P37" s="96">
        <v>0</v>
      </c>
      <c r="Q37" s="96">
        <v>0</v>
      </c>
      <c r="R37" s="96">
        <v>0</v>
      </c>
      <c r="S37" s="96">
        <v>0</v>
      </c>
      <c r="T37" s="96">
        <v>0</v>
      </c>
      <c r="U37" s="96">
        <v>0</v>
      </c>
      <c r="V37" s="96">
        <v>0</v>
      </c>
      <c r="W37" s="96">
        <v>0</v>
      </c>
      <c r="X37" s="96">
        <v>0</v>
      </c>
      <c r="Y37" s="96">
        <v>0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3378.7134109344634</v>
      </c>
      <c r="C40" s="130">
        <f t="shared" si="36"/>
        <v>3436.6417279052762</v>
      </c>
      <c r="D40" s="130">
        <f t="shared" si="36"/>
        <v>3506.9062586838604</v>
      </c>
      <c r="E40" s="130">
        <f t="shared" si="36"/>
        <v>3472.4808170379993</v>
      </c>
      <c r="F40" s="130">
        <f t="shared" si="36"/>
        <v>3871.1490452126477</v>
      </c>
      <c r="G40" s="130">
        <f t="shared" si="36"/>
        <v>3595.0222809380175</v>
      </c>
      <c r="H40" s="130">
        <f t="shared" si="36"/>
        <v>3837.1895591109933</v>
      </c>
      <c r="I40" s="130">
        <f t="shared" si="36"/>
        <v>3906.9266531575377</v>
      </c>
      <c r="J40" s="130">
        <f t="shared" si="36"/>
        <v>3903.3135012190114</v>
      </c>
      <c r="K40" s="130">
        <f t="shared" si="36"/>
        <v>5098.9932739105761</v>
      </c>
      <c r="L40" s="130">
        <f t="shared" ref="L40" si="37">SUM(L41:L42)</f>
        <v>4283.9563718054933</v>
      </c>
      <c r="M40" s="130">
        <f t="shared" ref="M40:V40" si="38">SUM(M41:M42)</f>
        <v>3362.9763709777535</v>
      </c>
      <c r="N40" s="130">
        <f t="shared" si="38"/>
        <v>2325.7415077685164</v>
      </c>
      <c r="O40" s="130">
        <f t="shared" si="38"/>
        <v>2765.2397525150172</v>
      </c>
      <c r="P40" s="130">
        <f t="shared" si="38"/>
        <v>2982.5481765703776</v>
      </c>
      <c r="Q40" s="130">
        <f t="shared" si="38"/>
        <v>2577.0536856974504</v>
      </c>
      <c r="R40" s="130">
        <f t="shared" si="38"/>
        <v>2716.8030200587468</v>
      </c>
      <c r="S40" s="130">
        <f t="shared" si="38"/>
        <v>2719.965288198543</v>
      </c>
      <c r="T40" s="130">
        <f t="shared" si="38"/>
        <v>2846.9284624673164</v>
      </c>
      <c r="U40" s="130">
        <f t="shared" si="38"/>
        <v>3077.923059910469</v>
      </c>
      <c r="V40" s="130">
        <f t="shared" si="38"/>
        <v>3061.9211617838782</v>
      </c>
      <c r="W40" s="130">
        <f t="shared" ref="W40:Y40" si="39">SUM(W41:W42)</f>
        <v>3133.1412363953805</v>
      </c>
      <c r="X40" s="130">
        <f t="shared" si="39"/>
        <v>3462.0499417176029</v>
      </c>
      <c r="Y40" s="130">
        <f t="shared" si="39"/>
        <v>3353.5680541040597</v>
      </c>
      <c r="DA40" s="176" t="s">
        <v>413</v>
      </c>
    </row>
    <row r="41" spans="1:105" ht="11.45" customHeight="1" x14ac:dyDescent="0.25">
      <c r="A41" s="128" t="s">
        <v>27</v>
      </c>
      <c r="B41" s="97">
        <v>3085.6815983904844</v>
      </c>
      <c r="C41" s="97">
        <v>3133.4528229395132</v>
      </c>
      <c r="D41" s="97">
        <v>3192.589657442973</v>
      </c>
      <c r="E41" s="97">
        <v>2882.6307011292588</v>
      </c>
      <c r="F41" s="97">
        <v>3507.6232766454445</v>
      </c>
      <c r="G41" s="97">
        <v>3094.7213638063618</v>
      </c>
      <c r="H41" s="97">
        <v>3318.866568437149</v>
      </c>
      <c r="I41" s="97">
        <v>3389.2275915170831</v>
      </c>
      <c r="J41" s="97">
        <v>3477.4119088862149</v>
      </c>
      <c r="K41" s="97">
        <v>4401.9080664870635</v>
      </c>
      <c r="L41" s="97">
        <v>3744.3302890545365</v>
      </c>
      <c r="M41" s="97">
        <v>2867.5493049399433</v>
      </c>
      <c r="N41" s="97">
        <v>2052.8010588081306</v>
      </c>
      <c r="O41" s="97">
        <v>2261.5938830475238</v>
      </c>
      <c r="P41" s="97">
        <v>2489.0109386003064</v>
      </c>
      <c r="Q41" s="97">
        <v>2201.2264698462486</v>
      </c>
      <c r="R41" s="97">
        <v>2295.4520117312204</v>
      </c>
      <c r="S41" s="97">
        <v>2189.3745518511241</v>
      </c>
      <c r="T41" s="97">
        <v>2299.5818899831115</v>
      </c>
      <c r="U41" s="97">
        <v>2659.3173402153398</v>
      </c>
      <c r="V41" s="97">
        <v>2505.8322650217824</v>
      </c>
      <c r="W41" s="97">
        <v>2538.243714508591</v>
      </c>
      <c r="X41" s="97">
        <v>2756.2557969663389</v>
      </c>
      <c r="Y41" s="97">
        <v>2605.0459276336692</v>
      </c>
      <c r="DA41" s="175" t="s">
        <v>767</v>
      </c>
    </row>
    <row r="42" spans="1:105" ht="11.45" customHeight="1" x14ac:dyDescent="0.25">
      <c r="A42" s="138" t="s">
        <v>116</v>
      </c>
      <c r="B42" s="98">
        <v>293.03181254397884</v>
      </c>
      <c r="C42" s="98">
        <v>303.18890496576279</v>
      </c>
      <c r="D42" s="98">
        <v>314.31660124088751</v>
      </c>
      <c r="E42" s="98">
        <v>589.85011590874058</v>
      </c>
      <c r="F42" s="98">
        <v>363.52576856720316</v>
      </c>
      <c r="G42" s="98">
        <v>500.30091713165552</v>
      </c>
      <c r="H42" s="98">
        <v>518.32299067384406</v>
      </c>
      <c r="I42" s="98">
        <v>517.69906164045437</v>
      </c>
      <c r="J42" s="98">
        <v>425.90159233279661</v>
      </c>
      <c r="K42" s="98">
        <v>697.08520742351232</v>
      </c>
      <c r="L42" s="98">
        <v>539.62608275095658</v>
      </c>
      <c r="M42" s="98">
        <v>495.42706603781028</v>
      </c>
      <c r="N42" s="98">
        <v>272.94044896038577</v>
      </c>
      <c r="O42" s="98">
        <v>503.64586946749336</v>
      </c>
      <c r="P42" s="98">
        <v>493.53723797007126</v>
      </c>
      <c r="Q42" s="98">
        <v>375.82721585120186</v>
      </c>
      <c r="R42" s="98">
        <v>421.35100832752659</v>
      </c>
      <c r="S42" s="98">
        <v>530.59073634741912</v>
      </c>
      <c r="T42" s="98">
        <v>547.34657248420513</v>
      </c>
      <c r="U42" s="98">
        <v>418.6057196951291</v>
      </c>
      <c r="V42" s="98">
        <v>556.08889676209594</v>
      </c>
      <c r="W42" s="98">
        <v>594.89752188678926</v>
      </c>
      <c r="X42" s="98">
        <v>705.79414475126396</v>
      </c>
      <c r="Y42" s="98">
        <v>748.52212647039039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2.9732010751597588</v>
      </c>
      <c r="C47" s="145">
        <f>IF(C4=0,0,C4/TrRoad_ene!C4)</f>
        <v>2.9710975428224091</v>
      </c>
      <c r="D47" s="145">
        <f>IF(D4=0,0,D4/TrRoad_ene!D4)</f>
        <v>2.9694555510959466</v>
      </c>
      <c r="E47" s="145">
        <f>IF(E4=0,0,E4/TrRoad_ene!E4)</f>
        <v>2.971622951196764</v>
      </c>
      <c r="F47" s="145">
        <f>IF(F4=0,0,F4/TrRoad_ene!F4)</f>
        <v>2.9697847471965977</v>
      </c>
      <c r="G47" s="145">
        <f>IF(G4=0,0,G4/TrRoad_ene!G4)</f>
        <v>2.9677651333483186</v>
      </c>
      <c r="H47" s="145">
        <f>IF(H4=0,0,H4/TrRoad_ene!H4)</f>
        <v>2.9484481947985679</v>
      </c>
      <c r="I47" s="145">
        <f>IF(I4=0,0,I4/TrRoad_ene!I4)</f>
        <v>2.9318583884728295</v>
      </c>
      <c r="J47" s="145">
        <f>IF(J4=0,0,J4/TrRoad_ene!J4)</f>
        <v>2.9377188791761339</v>
      </c>
      <c r="K47" s="145">
        <f>IF(K4=0,0,K4/TrRoad_ene!K4)</f>
        <v>2.9468986138571727</v>
      </c>
      <c r="L47" s="145">
        <f>IF(L4=0,0,L4/TrRoad_ene!L4)</f>
        <v>2.9180698551418573</v>
      </c>
      <c r="M47" s="145">
        <f>IF(M4=0,0,M4/TrRoad_ene!M4)</f>
        <v>2.9128466094058676</v>
      </c>
      <c r="N47" s="145">
        <f>IF(N4=0,0,N4/TrRoad_ene!N4)</f>
        <v>2.9006813777661526</v>
      </c>
      <c r="O47" s="145">
        <f>IF(O4=0,0,O4/TrRoad_ene!O4)</f>
        <v>2.8907362482404184</v>
      </c>
      <c r="P47" s="145">
        <f>IF(P4=0,0,P4/TrRoad_ene!P4)</f>
        <v>2.886797397945517</v>
      </c>
      <c r="Q47" s="145">
        <f>IF(Q4=0,0,Q4/TrRoad_ene!Q4)</f>
        <v>2.882989076037771</v>
      </c>
      <c r="R47" s="145">
        <f>IF(R4=0,0,R4/TrRoad_ene!R4)</f>
        <v>2.8837298746247031</v>
      </c>
      <c r="S47" s="145">
        <f>IF(S4=0,0,S4/TrRoad_ene!S4)</f>
        <v>2.8746486238775049</v>
      </c>
      <c r="T47" s="145">
        <f>IF(T4=0,0,T4/TrRoad_ene!T4)</f>
        <v>2.881867895876379</v>
      </c>
      <c r="U47" s="145">
        <f>IF(U4=0,0,U4/TrRoad_ene!U4)</f>
        <v>2.8722254412384154</v>
      </c>
      <c r="V47" s="145">
        <f>IF(V4=0,0,V4/TrRoad_ene!V4)</f>
        <v>2.8557125853704988</v>
      </c>
      <c r="W47" s="145">
        <f>IF(W4=0,0,W4/TrRoad_ene!W4)</f>
        <v>2.8523298982200034</v>
      </c>
      <c r="X47" s="145">
        <f>IF(X4=0,0,X4/TrRoad_ene!X4)</f>
        <v>2.9900747035588751</v>
      </c>
      <c r="Y47" s="145">
        <f>IF(Y4=0,0,Y4/TrRoad_ene!Y4)</f>
        <v>2.9897488672491996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2.9014524000000006</v>
      </c>
      <c r="C48" s="97">
        <f>IF(C7=0,0,(C7+C12)/(TrRoad_ene!C7+TrRoad_ene!C12))</f>
        <v>2.9014524000000002</v>
      </c>
      <c r="D48" s="97">
        <f>IF(D7=0,0,(D7+D12)/(TrRoad_ene!D7+TrRoad_ene!D12))</f>
        <v>2.9014523999999997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2.9014524000000002</v>
      </c>
      <c r="K48" s="97">
        <f>IF(K7=0,0,(K7+K12)/(TrRoad_ene!K7+TrRoad_ene!K12))</f>
        <v>2.9014524000000002</v>
      </c>
      <c r="L48" s="97">
        <f>IF(L7=0,0,(L7+L12)/(TrRoad_ene!L7+TrRoad_ene!L12))</f>
        <v>2.9014524000000002</v>
      </c>
      <c r="M48" s="97">
        <f>IF(M7=0,0,(M7+M12)/(TrRoad_ene!M7+TrRoad_ene!M12))</f>
        <v>2.9014524000000002</v>
      </c>
      <c r="N48" s="97">
        <f>IF(N7=0,0,(N7+N12)/(TrRoad_ene!N7+TrRoad_ene!N12))</f>
        <v>2.9014524000000002</v>
      </c>
      <c r="O48" s="97">
        <f>IF(O7=0,0,(O7+O12)/(TrRoad_ene!O7+TrRoad_ene!O12))</f>
        <v>2.9014524000000002</v>
      </c>
      <c r="P48" s="97">
        <f>IF(P7=0,0,(P7+P12)/(TrRoad_ene!P7+TrRoad_ene!P12))</f>
        <v>2.9014524000000002</v>
      </c>
      <c r="Q48" s="97">
        <f>IF(Q7=0,0,(Q7+Q12)/(TrRoad_ene!Q7+TrRoad_ene!Q12))</f>
        <v>2.9014524000000002</v>
      </c>
      <c r="R48" s="97">
        <f>IF(R7=0,0,(R7+R12)/(TrRoad_ene!R7+TrRoad_ene!R12))</f>
        <v>2.9014524000000002</v>
      </c>
      <c r="S48" s="97">
        <f>IF(S7=0,0,(S7+S12)/(TrRoad_ene!S7+TrRoad_ene!S12))</f>
        <v>2.9014524000000002</v>
      </c>
      <c r="T48" s="97">
        <f>IF(T7=0,0,(T7+T12)/(TrRoad_ene!T7+TrRoad_ene!T12))</f>
        <v>2.9014542619456796</v>
      </c>
      <c r="U48" s="97">
        <f>IF(U7=0,0,(U7+U12)/(TrRoad_ene!U7+TrRoad_ene!U12))</f>
        <v>2.8706662113205259</v>
      </c>
      <c r="V48" s="97">
        <f>IF(V7=0,0,(V7+V12)/(TrRoad_ene!V7+TrRoad_ene!V12))</f>
        <v>2.8078910466170441</v>
      </c>
      <c r="W48" s="97">
        <f>IF(W7=0,0,(W7+W12)/(TrRoad_ene!W7+TrRoad_ene!W12))</f>
        <v>2.8067438456745664</v>
      </c>
      <c r="X48" s="97">
        <f>IF(X7=0,0,(X7+X12)/(TrRoad_ene!X7+TrRoad_ene!X12))</f>
        <v>2.9014526096225706</v>
      </c>
      <c r="Y48" s="97">
        <f>IF(Y7=0,0,(Y7+Y12)/(TrRoad_ene!Y7+TrRoad_ene!Y12))</f>
        <v>2.9014524000000002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3.0403052112908089</v>
      </c>
      <c r="I49" s="97">
        <f>IF(I8=0,0,(I8+I13+I14)/(TrRoad_ene!I8+TrRoad_ene!I13+TrRoad_ene!I14))</f>
        <v>2.9931209508257628</v>
      </c>
      <c r="J49" s="97">
        <f>IF(J8=0,0,(J8+J13+J14)/(TrRoad_ene!J8+TrRoad_ene!J13+TrRoad_ene!J14))</f>
        <v>3.0110048325366767</v>
      </c>
      <c r="K49" s="97">
        <f>IF(K8=0,0,(K8+K13+K14)/(TrRoad_ene!K8+TrRoad_ene!K13+TrRoad_ene!K14))</f>
        <v>3.0197064760589032</v>
      </c>
      <c r="L49" s="97">
        <f>IF(L8=0,0,(L8+L13+L14)/(TrRoad_ene!L8+TrRoad_ene!L13+TrRoad_ene!L14))</f>
        <v>2.9513181952128384</v>
      </c>
      <c r="M49" s="97">
        <f>IF(M8=0,0,(M8+M13+M14)/(TrRoad_ene!M8+TrRoad_ene!M13+TrRoad_ene!M14))</f>
        <v>2.9584362984272787</v>
      </c>
      <c r="N49" s="97">
        <f>IF(N8=0,0,(N8+N13+N14)/(TrRoad_ene!N8+TrRoad_ene!N13+TrRoad_ene!N14))</f>
        <v>2.9167076415262465</v>
      </c>
      <c r="O49" s="97">
        <f>IF(O8=0,0,(O8+O13+O14)/(TrRoad_ene!O8+TrRoad_ene!O13+TrRoad_ene!O14))</f>
        <v>2.9123727152968191</v>
      </c>
      <c r="P49" s="97">
        <f>IF(P8=0,0,(P8+P13+P14)/(TrRoad_ene!P8+TrRoad_ene!P13+TrRoad_ene!P14))</f>
        <v>2.9047058597150017</v>
      </c>
      <c r="Q49" s="97">
        <f>IF(Q8=0,0,(Q8+Q13+Q14)/(TrRoad_ene!Q8+TrRoad_ene!Q13+TrRoad_ene!Q14))</f>
        <v>2.9000550720361455</v>
      </c>
      <c r="R49" s="97">
        <f>IF(R8=0,0,(R8+R13+R14)/(TrRoad_ene!R8+TrRoad_ene!R13+TrRoad_ene!R14))</f>
        <v>2.9022795740106102</v>
      </c>
      <c r="S49" s="97">
        <f>IF(S8=0,0,(S8+S13+S14)/(TrRoad_ene!S8+TrRoad_ene!S13+TrRoad_ene!S14))</f>
        <v>2.8799402594794712</v>
      </c>
      <c r="T49" s="97">
        <f>IF(T8=0,0,(T8+T13+T14)/(TrRoad_ene!T8+TrRoad_ene!T13+TrRoad_ene!T14))</f>
        <v>2.8952866613338255</v>
      </c>
      <c r="U49" s="97">
        <f>IF(U8=0,0,(U8+U13+U14)/(TrRoad_ene!U8+TrRoad_ene!U13+TrRoad_ene!U14))</f>
        <v>2.9049673162533383</v>
      </c>
      <c r="V49" s="97">
        <f>IF(V8=0,0,(V8+V13+V14)/(TrRoad_ene!V8+TrRoad_ene!V13+TrRoad_ene!V14))</f>
        <v>2.9228990002270203</v>
      </c>
      <c r="W49" s="97">
        <f>IF(W8=0,0,(W8+W13+W14)/(TrRoad_ene!W8+TrRoad_ene!W13+TrRoad_ene!W14))</f>
        <v>2.9178625280463821</v>
      </c>
      <c r="X49" s="97">
        <f>IF(X8=0,0,(X8+X13+X14)/(TrRoad_ene!X8+TrRoad_ene!X13+TrRoad_ene!X14))</f>
        <v>3.1024188000000001</v>
      </c>
      <c r="Y49" s="97">
        <f>IF(Y8=0,0,(Y8+Y13+Y14)/(TrRoad_ene!Y8+TrRoad_ene!Y13+TrRoad_ene!Y14))</f>
        <v>3.1024213493771007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</v>
      </c>
      <c r="G50" s="97">
        <f>IF(G6=0,0,G6/TrRoad_ene!G6)</f>
        <v>2.6418708</v>
      </c>
      <c r="H50" s="97">
        <f>IF(H6=0,0,H6/TrRoad_ene!H6)</f>
        <v>2.6418708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2.3487947999999998</v>
      </c>
      <c r="K51" s="97">
        <f>IF(K9=0,0,(K9+K11)/(TrRoad_ene!K9+TrRoad_ene!K11))</f>
        <v>2.3487948000000003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X51" s="97">
        <f>IF(X9=0,0,(X9+X11)/(TrRoad_ene!X9+TrRoad_ene!X11))</f>
        <v>2.3487948000000003</v>
      </c>
      <c r="Y51" s="97">
        <f>IF(Y9=0,0,(Y9+Y11)/(TrRoad_ene!Y9+TrRoad_ene!Y11))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350.75731204144313</v>
      </c>
      <c r="C54" s="62">
        <f>IF(TrRoad_act!C30=0,0,C17/TrRoad_act!C30*1000
)</f>
        <v>333.77794565562442</v>
      </c>
      <c r="D54" s="62">
        <f>IF(TrRoad_act!D30=0,0,D17/TrRoad_act!D30*1000
)</f>
        <v>323.69231308388447</v>
      </c>
      <c r="E54" s="62">
        <f>IF(TrRoad_act!E30=0,0,E17/TrRoad_act!E30*1000
)</f>
        <v>329.45329894639315</v>
      </c>
      <c r="F54" s="62">
        <f>IF(TrRoad_act!F30=0,0,F17/TrRoad_act!F30*1000
)</f>
        <v>308.57462731381867</v>
      </c>
      <c r="G54" s="62">
        <f>IF(TrRoad_act!G30=0,0,G17/TrRoad_act!G30*1000
)</f>
        <v>302.796110855417</v>
      </c>
      <c r="H54" s="62">
        <f>IF(TrRoad_act!H30=0,0,H17/TrRoad_act!H30*1000
)</f>
        <v>294.72622873366163</v>
      </c>
      <c r="I54" s="62">
        <f>IF(TrRoad_act!I30=0,0,I17/TrRoad_act!I30*1000
)</f>
        <v>291.07723949918648</v>
      </c>
      <c r="J54" s="62">
        <f>IF(TrRoad_act!J30=0,0,J17/TrRoad_act!J30*1000
)</f>
        <v>272.21365861779486</v>
      </c>
      <c r="K54" s="62">
        <f>IF(TrRoad_act!K30=0,0,K17/TrRoad_act!K30*1000
)</f>
        <v>294.35802018365837</v>
      </c>
      <c r="L54" s="62">
        <f>IF(TrRoad_act!L30=0,0,L17/TrRoad_act!L30*1000
)</f>
        <v>263.53038321684522</v>
      </c>
      <c r="M54" s="62">
        <f>IF(TrRoad_act!M30=0,0,M17/TrRoad_act!M30*1000
)</f>
        <v>260.79134301734052</v>
      </c>
      <c r="N54" s="62">
        <f>IF(TrRoad_act!N30=0,0,N17/TrRoad_act!N30*1000
)</f>
        <v>241.1749453539322</v>
      </c>
      <c r="O54" s="62">
        <f>IF(TrRoad_act!O30=0,0,O17/TrRoad_act!O30*1000
)</f>
        <v>250.42620437085367</v>
      </c>
      <c r="P54" s="62">
        <f>IF(TrRoad_act!P30=0,0,P17/TrRoad_act!P30*1000
)</f>
        <v>248.07797372969003</v>
      </c>
      <c r="Q54" s="62">
        <f>IF(TrRoad_act!Q30=0,0,Q17/TrRoad_act!Q30*1000
)</f>
        <v>243.1886722958329</v>
      </c>
      <c r="R54" s="62">
        <f>IF(TrRoad_act!R30=0,0,R17/TrRoad_act!R30*1000
)</f>
        <v>242.0404875930337</v>
      </c>
      <c r="S54" s="62">
        <f>IF(TrRoad_act!S30=0,0,S17/TrRoad_act!S30*1000
)</f>
        <v>240.15707943058925</v>
      </c>
      <c r="T54" s="62">
        <f>IF(TrRoad_act!T30=0,0,T17/TrRoad_act!T30*1000
)</f>
        <v>240.03934985226931</v>
      </c>
      <c r="U54" s="62">
        <f>IF(TrRoad_act!U30=0,0,U17/TrRoad_act!U30*1000
)</f>
        <v>240.72015742242786</v>
      </c>
      <c r="V54" s="62">
        <f>IF(TrRoad_act!V30=0,0,V17/TrRoad_act!V30*1000
)</f>
        <v>228.5780095403139</v>
      </c>
      <c r="W54" s="62">
        <f>IF(TrRoad_act!W30=0,0,W17/TrRoad_act!W30*1000
)</f>
        <v>232.60601343134209</v>
      </c>
      <c r="X54" s="62">
        <f>IF(TrRoad_act!X30=0,0,X17/TrRoad_act!X30*1000
)</f>
        <v>246.27211154312388</v>
      </c>
      <c r="Y54" s="62">
        <f>IF(TrRoad_act!Y30=0,0,Y17/TrRoad_act!Y30*1000
)</f>
        <v>246.55902468449426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279.96525068916111</v>
      </c>
      <c r="C55" s="29">
        <f>IF(TrRoad_act!C31=0,0,C18/TrRoad_act!C31*1000
)</f>
        <v>266.02646212321986</v>
      </c>
      <c r="D55" s="29">
        <f>IF(TrRoad_act!D31=0,0,D18/TrRoad_act!D31*1000
)</f>
        <v>258.9413498096057</v>
      </c>
      <c r="E55" s="29">
        <f>IF(TrRoad_act!E31=0,0,E18/TrRoad_act!E31*1000
)</f>
        <v>265.41307158528525</v>
      </c>
      <c r="F55" s="29">
        <f>IF(TrRoad_act!F31=0,0,F18/TrRoad_act!F31*1000
)</f>
        <v>245.46418793119412</v>
      </c>
      <c r="G55" s="29">
        <f>IF(TrRoad_act!G31=0,0,G18/TrRoad_act!G31*1000
)</f>
        <v>244.67652255740504</v>
      </c>
      <c r="H55" s="29">
        <f>IF(TrRoad_act!H31=0,0,H18/TrRoad_act!H31*1000
)</f>
        <v>237.02939465943058</v>
      </c>
      <c r="I55" s="29">
        <f>IF(TrRoad_act!I31=0,0,I18/TrRoad_act!I31*1000
)</f>
        <v>235.53354363243196</v>
      </c>
      <c r="J55" s="29">
        <f>IF(TrRoad_act!J31=0,0,J18/TrRoad_act!J31*1000
)</f>
        <v>217.88384263494075</v>
      </c>
      <c r="K55" s="29">
        <f>IF(TrRoad_act!K31=0,0,K18/TrRoad_act!K31*1000
)</f>
        <v>226.02506681765891</v>
      </c>
      <c r="L55" s="29">
        <f>IF(TrRoad_act!L31=0,0,L18/TrRoad_act!L31*1000
)</f>
        <v>204.55950309392915</v>
      </c>
      <c r="M55" s="29">
        <f>IF(TrRoad_act!M31=0,0,M18/TrRoad_act!M31*1000
)</f>
        <v>210.55789259876749</v>
      </c>
      <c r="N55" s="29">
        <f>IF(TrRoad_act!N31=0,0,N18/TrRoad_act!N31*1000
)</f>
        <v>201.96010737469356</v>
      </c>
      <c r="O55" s="29">
        <f>IF(TrRoad_act!O31=0,0,O18/TrRoad_act!O31*1000
)</f>
        <v>201.10713342846037</v>
      </c>
      <c r="P55" s="29">
        <f>IF(TrRoad_act!P31=0,0,P18/TrRoad_act!P31*1000
)</f>
        <v>195.27823723590038</v>
      </c>
      <c r="Q55" s="29">
        <f>IF(TrRoad_act!Q31=0,0,Q18/TrRoad_act!Q31*1000
)</f>
        <v>198.87908934952546</v>
      </c>
      <c r="R55" s="29">
        <f>IF(TrRoad_act!R31=0,0,R18/TrRoad_act!R31*1000
)</f>
        <v>196.46818895511424</v>
      </c>
      <c r="S55" s="29">
        <f>IF(TrRoad_act!S31=0,0,S18/TrRoad_act!S31*1000
)</f>
        <v>194.4266252569046</v>
      </c>
      <c r="T55" s="29">
        <f>IF(TrRoad_act!T31=0,0,T18/TrRoad_act!T31*1000
)</f>
        <v>192.08482330065107</v>
      </c>
      <c r="U55" s="29">
        <f>IF(TrRoad_act!U31=0,0,U18/TrRoad_act!U31*1000
)</f>
        <v>190.28077823941103</v>
      </c>
      <c r="V55" s="29">
        <f>IF(TrRoad_act!V31=0,0,V18/TrRoad_act!V31*1000
)</f>
        <v>171.64865120212318</v>
      </c>
      <c r="W55" s="29">
        <f>IF(TrRoad_act!W31=0,0,W18/TrRoad_act!W31*1000
)</f>
        <v>178.26830624864689</v>
      </c>
      <c r="X55" s="29">
        <f>IF(TrRoad_act!X31=0,0,X18/TrRoad_act!X31*1000
)</f>
        <v>188.50827662387641</v>
      </c>
      <c r="Y55" s="29">
        <f>IF(TrRoad_act!Y31=0,0,Y18/TrRoad_act!Y31*1000
)</f>
        <v>192.96267587995067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129.36349520603864</v>
      </c>
      <c r="C56" s="152">
        <f>IF(TrRoad_act!C32=0,0,C19/TrRoad_act!C32*1000
)</f>
        <v>132.54662566281027</v>
      </c>
      <c r="D56" s="152">
        <f>IF(TrRoad_act!D32=0,0,D19/TrRoad_act!D32*1000
)</f>
        <v>131.54809522067009</v>
      </c>
      <c r="E56" s="152">
        <f>IF(TrRoad_act!E32=0,0,E19/TrRoad_act!E32*1000
)</f>
        <v>130.02352058297095</v>
      </c>
      <c r="F56" s="152">
        <f>IF(TrRoad_act!F32=0,0,F19/TrRoad_act!F32*1000
)</f>
        <v>126.12905090605369</v>
      </c>
      <c r="G56" s="152">
        <f>IF(TrRoad_act!G32=0,0,G19/TrRoad_act!G32*1000
)</f>
        <v>126.91408108660448</v>
      </c>
      <c r="H56" s="152">
        <f>IF(TrRoad_act!H32=0,0,H19/TrRoad_act!H32*1000
)</f>
        <v>122.19797380114242</v>
      </c>
      <c r="I56" s="152">
        <f>IF(TrRoad_act!I32=0,0,I19/TrRoad_act!I32*1000
)</f>
        <v>119.55174862356145</v>
      </c>
      <c r="J56" s="152">
        <f>IF(TrRoad_act!J32=0,0,J19/TrRoad_act!J32*1000
)</f>
        <v>119.94226559519169</v>
      </c>
      <c r="K56" s="152">
        <f>IF(TrRoad_act!K32=0,0,K19/TrRoad_act!K32*1000
)</f>
        <v>120.28527664578839</v>
      </c>
      <c r="L56" s="152">
        <f>IF(TrRoad_act!L32=0,0,L19/TrRoad_act!L32*1000
)</f>
        <v>119.14064077986616</v>
      </c>
      <c r="M56" s="152">
        <f>IF(TrRoad_act!M32=0,0,M19/TrRoad_act!M32*1000
)</f>
        <v>117.66962190011355</v>
      </c>
      <c r="N56" s="152">
        <f>IF(TrRoad_act!N32=0,0,N19/TrRoad_act!N32*1000
)</f>
        <v>115.49087757484317</v>
      </c>
      <c r="O56" s="152">
        <f>IF(TrRoad_act!O32=0,0,O19/TrRoad_act!O32*1000
)</f>
        <v>113.36615994760571</v>
      </c>
      <c r="P56" s="152">
        <f>IF(TrRoad_act!P32=0,0,P19/TrRoad_act!P32*1000
)</f>
        <v>109.0527580042576</v>
      </c>
      <c r="Q56" s="152">
        <f>IF(TrRoad_act!Q32=0,0,Q19/TrRoad_act!Q32*1000
)</f>
        <v>107.54183742340813</v>
      </c>
      <c r="R56" s="152">
        <f>IF(TrRoad_act!R32=0,0,R19/TrRoad_act!R32*1000
)</f>
        <v>106.28728928286428</v>
      </c>
      <c r="S56" s="152">
        <f>IF(TrRoad_act!S32=0,0,S19/TrRoad_act!S32*1000
)</f>
        <v>105.62396342189632</v>
      </c>
      <c r="T56" s="152">
        <f>IF(TrRoad_act!T32=0,0,T19/TrRoad_act!T32*1000
)</f>
        <v>103.77358816357693</v>
      </c>
      <c r="U56" s="152">
        <f>IF(TrRoad_act!U32=0,0,U19/TrRoad_act!U32*1000
)</f>
        <v>101.37561030807284</v>
      </c>
      <c r="V56" s="152">
        <f>IF(TrRoad_act!V32=0,0,V19/TrRoad_act!V32*1000
)</f>
        <v>98.066530502835974</v>
      </c>
      <c r="W56" s="152">
        <f>IF(TrRoad_act!W32=0,0,W19/TrRoad_act!W32*1000
)</f>
        <v>97.062863077934168</v>
      </c>
      <c r="X56" s="152">
        <f>IF(TrRoad_act!X32=0,0,X19/TrRoad_act!X32*1000
)</f>
        <v>99.748475718023954</v>
      </c>
      <c r="Y56" s="152">
        <f>IF(TrRoad_act!Y32=0,0,Y19/TrRoad_act!Y32*1000
)</f>
        <v>97.393515966791682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249.80996800624308</v>
      </c>
      <c r="C57" s="116">
        <f>IF(TrRoad_act!C33=0,0,C20/TrRoad_act!C33*1000
)</f>
        <v>238.81988657883932</v>
      </c>
      <c r="D57" s="116">
        <f>IF(TrRoad_act!D33=0,0,D20/TrRoad_act!D33*1000
)</f>
        <v>234.53528113174343</v>
      </c>
      <c r="E57" s="116">
        <f>IF(TrRoad_act!E33=0,0,E20/TrRoad_act!E33*1000
)</f>
        <v>232.30099216934948</v>
      </c>
      <c r="F57" s="116">
        <f>IF(TrRoad_act!F33=0,0,F20/TrRoad_act!F33*1000
)</f>
        <v>225.18302034226787</v>
      </c>
      <c r="G57" s="116">
        <f>IF(TrRoad_act!G33=0,0,G20/TrRoad_act!G33*1000
)</f>
        <v>221.26729459993382</v>
      </c>
      <c r="H57" s="116">
        <f>IF(TrRoad_act!H33=0,0,H20/TrRoad_act!H33*1000
)</f>
        <v>215.57537415455553</v>
      </c>
      <c r="I57" s="116">
        <f>IF(TrRoad_act!I33=0,0,I20/TrRoad_act!I33*1000
)</f>
        <v>215.0326895653979</v>
      </c>
      <c r="J57" s="116">
        <f>IF(TrRoad_act!J33=0,0,J20/TrRoad_act!J33*1000
)</f>
        <v>199.6366920643911</v>
      </c>
      <c r="K57" s="116">
        <f>IF(TrRoad_act!K33=0,0,K20/TrRoad_act!K33*1000
)</f>
        <v>203.18719339098658</v>
      </c>
      <c r="L57" s="116">
        <f>IF(TrRoad_act!L33=0,0,L20/TrRoad_act!L33*1000
)</f>
        <v>185.96125607337751</v>
      </c>
      <c r="M57" s="116">
        <f>IF(TrRoad_act!M33=0,0,M20/TrRoad_act!M33*1000
)</f>
        <v>189.75733580556221</v>
      </c>
      <c r="N57" s="116">
        <f>IF(TrRoad_act!N33=0,0,N20/TrRoad_act!N33*1000
)</f>
        <v>185.31755849843023</v>
      </c>
      <c r="O57" s="116">
        <f>IF(TrRoad_act!O33=0,0,O20/TrRoad_act!O33*1000
)</f>
        <v>179.63737438038407</v>
      </c>
      <c r="P57" s="116">
        <f>IF(TrRoad_act!P33=0,0,P20/TrRoad_act!P33*1000
)</f>
        <v>175.32947579195707</v>
      </c>
      <c r="Q57" s="116">
        <f>IF(TrRoad_act!Q33=0,0,Q20/TrRoad_act!Q33*1000
)</f>
        <v>181.7052138867152</v>
      </c>
      <c r="R57" s="116">
        <f>IF(TrRoad_act!R33=0,0,R20/TrRoad_act!R33*1000
)</f>
        <v>179.31152537496951</v>
      </c>
      <c r="S57" s="116">
        <f>IF(TrRoad_act!S33=0,0,S20/TrRoad_act!S33*1000
)</f>
        <v>176.15694397146979</v>
      </c>
      <c r="T57" s="116">
        <f>IF(TrRoad_act!T33=0,0,T20/TrRoad_act!T33*1000
)</f>
        <v>172.39006886959658</v>
      </c>
      <c r="U57" s="116">
        <f>IF(TrRoad_act!U33=0,0,U20/TrRoad_act!U33*1000
)</f>
        <v>170.61846295830262</v>
      </c>
      <c r="V57" s="116">
        <f>IF(TrRoad_act!V33=0,0,V20/TrRoad_act!V33*1000
)</f>
        <v>146.52036200440676</v>
      </c>
      <c r="W57" s="116">
        <f>IF(TrRoad_act!W33=0,0,W20/TrRoad_act!W33*1000
)</f>
        <v>156.32551342195353</v>
      </c>
      <c r="X57" s="116">
        <f>IF(TrRoad_act!X33=0,0,X20/TrRoad_act!X33*1000
)</f>
        <v>165.51207556781964</v>
      </c>
      <c r="Y57" s="116">
        <f>IF(TrRoad_act!Y33=0,0,Y20/TrRoad_act!Y33*1000
)</f>
        <v>171.60961767541045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252.5120035803653</v>
      </c>
      <c r="C58" s="87">
        <f>IF(TrRoad_act!C34=0,0,C21/TrRoad_act!C34*1000
)</f>
        <v>240.43640557112261</v>
      </c>
      <c r="D58" s="87">
        <f>IF(TrRoad_act!D34=0,0,D21/TrRoad_act!D34*1000
)</f>
        <v>235.96383734300889</v>
      </c>
      <c r="E58" s="87">
        <f>IF(TrRoad_act!E34=0,0,E21/TrRoad_act!E34*1000
)</f>
        <v>233.87202776760836</v>
      </c>
      <c r="F58" s="87">
        <f>IF(TrRoad_act!F34=0,0,F21/TrRoad_act!F34*1000
)</f>
        <v>226.16567256800411</v>
      </c>
      <c r="G58" s="87">
        <f>IF(TrRoad_act!G34=0,0,G21/TrRoad_act!G34*1000
)</f>
        <v>221.95872023082111</v>
      </c>
      <c r="H58" s="87">
        <f>IF(TrRoad_act!H34=0,0,H21/TrRoad_act!H34*1000
)</f>
        <v>216.33633607690291</v>
      </c>
      <c r="I58" s="87">
        <f>IF(TrRoad_act!I34=0,0,I21/TrRoad_act!I34*1000
)</f>
        <v>215.64654152453582</v>
      </c>
      <c r="J58" s="87">
        <f>IF(TrRoad_act!J34=0,0,J21/TrRoad_act!J34*1000
)</f>
        <v>199.85777211540969</v>
      </c>
      <c r="K58" s="87">
        <f>IF(TrRoad_act!K34=0,0,K21/TrRoad_act!K34*1000
)</f>
        <v>202.80553178948483</v>
      </c>
      <c r="L58" s="87">
        <f>IF(TrRoad_act!L34=0,0,L21/TrRoad_act!L34*1000
)</f>
        <v>184.61844671950436</v>
      </c>
      <c r="M58" s="87">
        <f>IF(TrRoad_act!M34=0,0,M21/TrRoad_act!M34*1000
)</f>
        <v>183.17937019531965</v>
      </c>
      <c r="N58" s="87">
        <f>IF(TrRoad_act!N34=0,0,N21/TrRoad_act!N34*1000
)</f>
        <v>181.66619740419145</v>
      </c>
      <c r="O58" s="87">
        <f>IF(TrRoad_act!O34=0,0,O21/TrRoad_act!O34*1000
)</f>
        <v>178.26923072870494</v>
      </c>
      <c r="P58" s="87">
        <f>IF(TrRoad_act!P34=0,0,P21/TrRoad_act!P34*1000
)</f>
        <v>176.3983686466018</v>
      </c>
      <c r="Q58" s="87">
        <f>IF(TrRoad_act!Q34=0,0,Q21/TrRoad_act!Q34*1000
)</f>
        <v>172.22477558435824</v>
      </c>
      <c r="R58" s="87">
        <f>IF(TrRoad_act!R34=0,0,R21/TrRoad_act!R34*1000
)</f>
        <v>170.80129407668275</v>
      </c>
      <c r="S58" s="87">
        <f>IF(TrRoad_act!S34=0,0,S21/TrRoad_act!S34*1000
)</f>
        <v>166.60502968767707</v>
      </c>
      <c r="T58" s="87">
        <f>IF(TrRoad_act!T34=0,0,T21/TrRoad_act!T34*1000
)</f>
        <v>164.08746813323029</v>
      </c>
      <c r="U58" s="87">
        <f>IF(TrRoad_act!U34=0,0,U21/TrRoad_act!U34*1000
)</f>
        <v>162.29703498747608</v>
      </c>
      <c r="V58" s="87">
        <f>IF(TrRoad_act!V34=0,0,V21/TrRoad_act!V34*1000
)</f>
        <v>140.17032862431736</v>
      </c>
      <c r="W58" s="87">
        <f>IF(TrRoad_act!W34=0,0,W21/TrRoad_act!W34*1000
)</f>
        <v>147.20024824570103</v>
      </c>
      <c r="X58" s="87">
        <f>IF(TrRoad_act!X34=0,0,X21/TrRoad_act!X34*1000
)</f>
        <v>153.10850251434098</v>
      </c>
      <c r="Y58" s="87">
        <f>IF(TrRoad_act!Y34=0,0,Y21/TrRoad_act!Y34*1000
)</f>
        <v>155.98010219584603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214.26462194024722</v>
      </c>
      <c r="C59" s="87">
        <f>IF(TrRoad_act!C35=0,0,C22/TrRoad_act!C35*1000
)</f>
        <v>212.26143038795513</v>
      </c>
      <c r="D59" s="87">
        <f>IF(TrRoad_act!D35=0,0,D22/TrRoad_act!D35*1000
)</f>
        <v>208.91207141781004</v>
      </c>
      <c r="E59" s="87">
        <f>IF(TrRoad_act!E35=0,0,E22/TrRoad_act!E35*1000
)</f>
        <v>206.41638970073168</v>
      </c>
      <c r="F59" s="87">
        <f>IF(TrRoad_act!F35=0,0,F22/TrRoad_act!F35*1000
)</f>
        <v>205.28743305430245</v>
      </c>
      <c r="G59" s="87">
        <f>IF(TrRoad_act!G35=0,0,G22/TrRoad_act!G35*1000
)</f>
        <v>206.15923858715678</v>
      </c>
      <c r="H59" s="87">
        <f>IF(TrRoad_act!H35=0,0,H22/TrRoad_act!H35*1000
)</f>
        <v>199.82538963336611</v>
      </c>
      <c r="I59" s="87">
        <f>IF(TrRoad_act!I35=0,0,I22/TrRoad_act!I35*1000
)</f>
        <v>202.16907888944579</v>
      </c>
      <c r="J59" s="87">
        <f>IF(TrRoad_act!J35=0,0,J22/TrRoad_act!J35*1000
)</f>
        <v>192.74523723339973</v>
      </c>
      <c r="K59" s="87">
        <f>IF(TrRoad_act!K35=0,0,K22/TrRoad_act!K35*1000
)</f>
        <v>208.47894381692734</v>
      </c>
      <c r="L59" s="87">
        <f>IF(TrRoad_act!L35=0,0,L22/TrRoad_act!L35*1000
)</f>
        <v>204.29649430472321</v>
      </c>
      <c r="M59" s="87">
        <f>IF(TrRoad_act!M35=0,0,M22/TrRoad_act!M35*1000
)</f>
        <v>212.77279348420535</v>
      </c>
      <c r="N59" s="87">
        <f>IF(TrRoad_act!N35=0,0,N22/TrRoad_act!N35*1000
)</f>
        <v>238.1713762737505</v>
      </c>
      <c r="O59" s="87">
        <f>IF(TrRoad_act!O35=0,0,O22/TrRoad_act!O35*1000
)</f>
        <v>157.74226399935344</v>
      </c>
      <c r="P59" s="87">
        <f>IF(TrRoad_act!P35=0,0,P22/TrRoad_act!P35*1000
)</f>
        <v>125.47067040693094</v>
      </c>
      <c r="Q59" s="87">
        <f>IF(TrRoad_act!Q35=0,0,Q22/TrRoad_act!Q35*1000
)</f>
        <v>261.76102517056466</v>
      </c>
      <c r="R59" s="87">
        <f>IF(TrRoad_act!R35=0,0,R22/TrRoad_act!R35*1000
)</f>
        <v>242.9979512740691</v>
      </c>
      <c r="S59" s="87">
        <f>IF(TrRoad_act!S35=0,0,S22/TrRoad_act!S35*1000
)</f>
        <v>234.88928642388453</v>
      </c>
      <c r="T59" s="87">
        <f>IF(TrRoad_act!T35=0,0,T22/TrRoad_act!T35*1000
)</f>
        <v>208.41647015753549</v>
      </c>
      <c r="U59" s="87">
        <f>IF(TrRoad_act!U35=0,0,U22/TrRoad_act!U35*1000
)</f>
        <v>196.934629854061</v>
      </c>
      <c r="V59" s="87">
        <f>IF(TrRoad_act!V35=0,0,V22/TrRoad_act!V35*1000
)</f>
        <v>155.40265154557423</v>
      </c>
      <c r="W59" s="87">
        <f>IF(TrRoad_act!W35=0,0,W22/TrRoad_act!W35*1000
)</f>
        <v>180.00508086139203</v>
      </c>
      <c r="X59" s="87">
        <f>IF(TrRoad_act!X35=0,0,X22/TrRoad_act!X35*1000
)</f>
        <v>205.41980391971956</v>
      </c>
      <c r="Y59" s="87">
        <f>IF(TrRoad_act!Y35=0,0,Y22/TrRoad_act!Y35*1000
)</f>
        <v>228.19402497236229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243.49362204649447</v>
      </c>
      <c r="C60" s="87">
        <f>IF(TrRoad_act!C36=0,0,C23/TrRoad_act!C36*1000
)</f>
        <v>265.9669528403428</v>
      </c>
      <c r="D60" s="87">
        <f>IF(TrRoad_act!D36=0,0,D23/TrRoad_act!D36*1000
)</f>
        <v>271.64407560621362</v>
      </c>
      <c r="E60" s="87">
        <f>IF(TrRoad_act!E36=0,0,E23/TrRoad_act!E36*1000
)</f>
        <v>245.01758678344083</v>
      </c>
      <c r="F60" s="87">
        <f>IF(TrRoad_act!F36=0,0,F23/TrRoad_act!F36*1000
)</f>
        <v>245.63799048747649</v>
      </c>
      <c r="G60" s="87">
        <f>IF(TrRoad_act!G36=0,0,G23/TrRoad_act!G36*1000
)</f>
        <v>245.92377247681364</v>
      </c>
      <c r="H60" s="87">
        <f>IF(TrRoad_act!H36=0,0,H23/TrRoad_act!H36*1000
)</f>
        <v>243.47678481394419</v>
      </c>
      <c r="I60" s="87">
        <f>IF(TrRoad_act!I36=0,0,I23/TrRoad_act!I36*1000
)</f>
        <v>239.62371278520072</v>
      </c>
      <c r="J60" s="87">
        <f>IF(TrRoad_act!J36=0,0,J23/TrRoad_act!J36*1000
)</f>
        <v>237.52852176024911</v>
      </c>
      <c r="K60" s="87">
        <f>IF(TrRoad_act!K36=0,0,K23/TrRoad_act!K36*1000
)</f>
        <v>224.29619060423531</v>
      </c>
      <c r="L60" s="87">
        <f>IF(TrRoad_act!L36=0,0,L23/TrRoad_act!L36*1000
)</f>
        <v>218.96185172041646</v>
      </c>
      <c r="M60" s="87">
        <f>IF(TrRoad_act!M36=0,0,M23/TrRoad_act!M36*1000
)</f>
        <v>360.41588750779488</v>
      </c>
      <c r="N60" s="87">
        <f>IF(TrRoad_act!N36=0,0,N23/TrRoad_act!N36*1000
)</f>
        <v>219.201886600949</v>
      </c>
      <c r="O60" s="87">
        <f>IF(TrRoad_act!O36=0,0,O23/TrRoad_act!O36*1000
)</f>
        <v>215.34557620266636</v>
      </c>
      <c r="P60" s="87">
        <f>IF(TrRoad_act!P36=0,0,P23/TrRoad_act!P36*1000
)</f>
        <v>215.01729057783956</v>
      </c>
      <c r="Q60" s="87">
        <f>IF(TrRoad_act!Q36=0,0,Q23/TrRoad_act!Q36*1000
)</f>
        <v>216.69899906069566</v>
      </c>
      <c r="R60" s="87">
        <f>IF(TrRoad_act!R36=0,0,R23/TrRoad_act!R36*1000
)</f>
        <v>196.85111721827238</v>
      </c>
      <c r="S60" s="87">
        <f>IF(TrRoad_act!S36=0,0,S23/TrRoad_act!S36*1000
)</f>
        <v>193.7213094738259</v>
      </c>
      <c r="T60" s="87">
        <f>IF(TrRoad_act!T36=0,0,T23/TrRoad_act!T36*1000
)</f>
        <v>192.79577633057065</v>
      </c>
      <c r="U60" s="87">
        <f>IF(TrRoad_act!U36=0,0,U23/TrRoad_act!U36*1000
)</f>
        <v>194.15812164004652</v>
      </c>
      <c r="V60" s="87">
        <f>IF(TrRoad_act!V36=0,0,V23/TrRoad_act!V36*1000
)</f>
        <v>190.9912232470389</v>
      </c>
      <c r="W60" s="87">
        <f>IF(TrRoad_act!W36=0,0,W23/TrRoad_act!W36*1000
)</f>
        <v>190.92846967950314</v>
      </c>
      <c r="X60" s="87">
        <f>IF(TrRoad_act!X36=0,0,X23/TrRoad_act!X36*1000
)</f>
        <v>190.02362541215294</v>
      </c>
      <c r="Y60" s="87">
        <f>IF(TrRoad_act!Y36=0,0,Y23/TrRoad_act!Y36*1000
)</f>
        <v>188.27818536184375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212.23968065276668</v>
      </c>
      <c r="D61" s="87">
        <f>IF(TrRoad_act!D37=0,0,D24/TrRoad_act!D37*1000
)</f>
        <v>211.85254250030744</v>
      </c>
      <c r="E61" s="87">
        <f>IF(TrRoad_act!E37=0,0,E24/TrRoad_act!E37*1000
)</f>
        <v>211.54436807221344</v>
      </c>
      <c r="F61" s="87">
        <f>IF(TrRoad_act!F37=0,0,F24/TrRoad_act!F37*1000
)</f>
        <v>211.51631543813031</v>
      </c>
      <c r="G61" s="87">
        <f>IF(TrRoad_act!G37=0,0,G24/TrRoad_act!G37*1000
)</f>
        <v>210.90167402839481</v>
      </c>
      <c r="H61" s="87">
        <f>IF(TrRoad_act!H37=0,0,H24/TrRoad_act!H37*1000
)</f>
        <v>210.27374279251586</v>
      </c>
      <c r="I61" s="87">
        <f>IF(TrRoad_act!I37=0,0,I24/TrRoad_act!I37*1000
)</f>
        <v>208.62966857670244</v>
      </c>
      <c r="J61" s="87">
        <f>IF(TrRoad_act!J37=0,0,J24/TrRoad_act!J37*1000
)</f>
        <v>208.2406435373766</v>
      </c>
      <c r="K61" s="87">
        <f>IF(TrRoad_act!K37=0,0,K24/TrRoad_act!K37*1000
)</f>
        <v>199.54951915850637</v>
      </c>
      <c r="L61" s="87">
        <f>IF(TrRoad_act!L37=0,0,L24/TrRoad_act!L37*1000
)</f>
        <v>194.54388427767358</v>
      </c>
      <c r="M61" s="87">
        <f>IF(TrRoad_act!M37=0,0,M24/TrRoad_act!M37*1000
)</f>
        <v>190.08494590071635</v>
      </c>
      <c r="N61" s="87">
        <f>IF(TrRoad_act!N37=0,0,N24/TrRoad_act!N37*1000
)</f>
        <v>188.74389682033819</v>
      </c>
      <c r="O61" s="87">
        <f>IF(TrRoad_act!O37=0,0,O24/TrRoad_act!O37*1000
)</f>
        <v>187.58488674780037</v>
      </c>
      <c r="P61" s="87">
        <f>IF(TrRoad_act!P37=0,0,P24/TrRoad_act!P37*1000
)</f>
        <v>186.73484721833483</v>
      </c>
      <c r="Q61" s="87">
        <f>IF(TrRoad_act!Q37=0,0,Q24/TrRoad_act!Q37*1000
)</f>
        <v>172.94355302532594</v>
      </c>
      <c r="R61" s="87">
        <f>IF(TrRoad_act!R37=0,0,R24/TrRoad_act!R37*1000
)</f>
        <v>167.39515253815395</v>
      </c>
      <c r="S61" s="87">
        <f>IF(TrRoad_act!S37=0,0,S24/TrRoad_act!S37*1000
)</f>
        <v>164.12529244016679</v>
      </c>
      <c r="T61" s="87">
        <f>IF(TrRoad_act!T37=0,0,T24/TrRoad_act!T37*1000
)</f>
        <v>160.18545650996953</v>
      </c>
      <c r="U61" s="87">
        <f>IF(TrRoad_act!U37=0,0,U24/TrRoad_act!U37*1000
)</f>
        <v>152.29704029576462</v>
      </c>
      <c r="V61" s="87">
        <f>IF(TrRoad_act!V37=0,0,V24/TrRoad_act!V37*1000
)</f>
        <v>133.6855940676578</v>
      </c>
      <c r="W61" s="87">
        <f>IF(TrRoad_act!W37=0,0,W24/TrRoad_act!W37*1000
)</f>
        <v>119.95584929888105</v>
      </c>
      <c r="X61" s="87">
        <f>IF(TrRoad_act!X37=0,0,X24/TrRoad_act!X37*1000
)</f>
        <v>117.46115961456019</v>
      </c>
      <c r="Y61" s="87">
        <f>IF(TrRoad_act!Y37=0,0,Y24/TrRoad_act!Y37*1000
)</f>
        <v>115.59541439829977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42.036132829593342</v>
      </c>
      <c r="O62" s="87">
        <f>IF(TrRoad_act!O38=0,0,O25/TrRoad_act!O38*1000
)</f>
        <v>12.825486740366548</v>
      </c>
      <c r="P62" s="87">
        <f>IF(TrRoad_act!P38=0,0,P25/TrRoad_act!P38*1000
)</f>
        <v>25.439868501462513</v>
      </c>
      <c r="Q62" s="87">
        <f>IF(TrRoad_act!Q38=0,0,Q25/TrRoad_act!Q38*1000
)</f>
        <v>32.017910529121394</v>
      </c>
      <c r="R62" s="87">
        <f>IF(TrRoad_act!R38=0,0,R25/TrRoad_act!R38*1000
)</f>
        <v>43.494948092209604</v>
      </c>
      <c r="S62" s="87">
        <f>IF(TrRoad_act!S38=0,0,S25/TrRoad_act!S38*1000
)</f>
        <v>50.996658431897799</v>
      </c>
      <c r="T62" s="87">
        <f>IF(TrRoad_act!T38=0,0,T25/TrRoad_act!T38*1000
)</f>
        <v>55.072467561070894</v>
      </c>
      <c r="U62" s="87">
        <f>IF(TrRoad_act!U38=0,0,U25/TrRoad_act!U38*1000
)</f>
        <v>58.513833747816612</v>
      </c>
      <c r="V62" s="87">
        <f>IF(TrRoad_act!V38=0,0,V25/TrRoad_act!V38*1000
)</f>
        <v>41.05502969232198</v>
      </c>
      <c r="W62" s="87">
        <f>IF(TrRoad_act!W38=0,0,W25/TrRoad_act!W38*1000
)</f>
        <v>38.022358021958482</v>
      </c>
      <c r="X62" s="87">
        <f>IF(TrRoad_act!X38=0,0,X25/TrRoad_act!X38*1000
)</f>
        <v>38.753632625122229</v>
      </c>
      <c r="Y62" s="87">
        <f>IF(TrRoad_act!Y38=0,0,Y25/TrRoad_act!Y38*1000
)</f>
        <v>36.580957719873794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2253.49090438851</v>
      </c>
      <c r="C64" s="116">
        <f>IF(TrRoad_act!C40=0,0,C27/TrRoad_act!C40*1000
)</f>
        <v>2145.7626764240008</v>
      </c>
      <c r="D64" s="116">
        <f>IF(TrRoad_act!D40=0,0,D27/TrRoad_act!D40*1000
)</f>
        <v>2093.6086786646506</v>
      </c>
      <c r="E64" s="116">
        <f>IF(TrRoad_act!E40=0,0,E27/TrRoad_act!E40*1000
)</f>
        <v>2676.075209540279</v>
      </c>
      <c r="F64" s="116">
        <f>IF(TrRoad_act!F40=0,0,F27/TrRoad_act!F40*1000
)</f>
        <v>2033.4039016873237</v>
      </c>
      <c r="G64" s="116">
        <f>IF(TrRoad_act!G40=0,0,G27/TrRoad_act!G40*1000
)</f>
        <v>2264.3256609301784</v>
      </c>
      <c r="H64" s="116">
        <f>IF(TrRoad_act!H40=0,0,H27/TrRoad_act!H40*1000
)</f>
        <v>2104.5918275735567</v>
      </c>
      <c r="I64" s="116">
        <f>IF(TrRoad_act!I40=0,0,I27/TrRoad_act!I40*1000
)</f>
        <v>2129.8155925533565</v>
      </c>
      <c r="J64" s="116">
        <f>IF(TrRoad_act!J40=0,0,J27/TrRoad_act!J40*1000
)</f>
        <v>2010.5985535012114</v>
      </c>
      <c r="K64" s="116">
        <f>IF(TrRoad_act!K40=0,0,K27/TrRoad_act!K40*1000
)</f>
        <v>2451.8301060914496</v>
      </c>
      <c r="L64" s="116">
        <f>IF(TrRoad_act!L40=0,0,L27/TrRoad_act!L40*1000
)</f>
        <v>2087.797728434989</v>
      </c>
      <c r="M64" s="116">
        <f>IF(TrRoad_act!M40=0,0,M27/TrRoad_act!M40*1000
)</f>
        <v>2205.7567653223059</v>
      </c>
      <c r="N64" s="116">
        <f>IF(TrRoad_act!N40=0,0,N27/TrRoad_act!N40*1000
)</f>
        <v>1802.4901134003371</v>
      </c>
      <c r="O64" s="116">
        <f>IF(TrRoad_act!O40=0,0,O27/TrRoad_act!O40*1000
)</f>
        <v>2025.7392116294177</v>
      </c>
      <c r="P64" s="116">
        <f>IF(TrRoad_act!P40=0,0,P27/TrRoad_act!P40*1000
)</f>
        <v>1954.82439717024</v>
      </c>
      <c r="Q64" s="116">
        <f>IF(TrRoad_act!Q40=0,0,Q27/TrRoad_act!Q40*1000
)</f>
        <v>1873.1208312712881</v>
      </c>
      <c r="R64" s="116">
        <f>IF(TrRoad_act!R40=0,0,R27/TrRoad_act!R40*1000
)</f>
        <v>1919.6927816645964</v>
      </c>
      <c r="S64" s="116">
        <f>IF(TrRoad_act!S40=0,0,S27/TrRoad_act!S40*1000
)</f>
        <v>1963.4978625375657</v>
      </c>
      <c r="T64" s="116">
        <f>IF(TrRoad_act!T40=0,0,T27/TrRoad_act!T40*1000
)</f>
        <v>1991.7171137382493</v>
      </c>
      <c r="U64" s="116">
        <f>IF(TrRoad_act!U40=0,0,U27/TrRoad_act!U40*1000
)</f>
        <v>2080.496602841572</v>
      </c>
      <c r="V64" s="116">
        <f>IF(TrRoad_act!V40=0,0,V27/TrRoad_act!V40*1000
)</f>
        <v>2063.8693288047657</v>
      </c>
      <c r="W64" s="116">
        <f>IF(TrRoad_act!W40=0,0,W27/TrRoad_act!W40*1000
)</f>
        <v>2021.3934179137568</v>
      </c>
      <c r="X64" s="116">
        <f>IF(TrRoad_act!X40=0,0,X27/TrRoad_act!X40*1000
)</f>
        <v>2202.90636406158</v>
      </c>
      <c r="Y64" s="116">
        <f>IF(TrRoad_act!Y40=0,0,Y27/TrRoad_act!Y40*1000
)</f>
        <v>2286.3213461292776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X65" s="101">
        <f>IF(TrRoad_act!X41=0,0,X28/TrRoad_act!X41*1000
)</f>
        <v>0</v>
      </c>
      <c r="Y65" s="101">
        <f>IF(TrRoad_act!Y41=0,0,Y28/TrRoad_act!Y41*1000
)</f>
        <v>0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2253.49090438851</v>
      </c>
      <c r="C66" s="101">
        <f>IF(TrRoad_act!C42=0,0,C29/TrRoad_act!C42*1000
)</f>
        <v>2163.03739618488</v>
      </c>
      <c r="D66" s="101">
        <f>IF(TrRoad_act!D42=0,0,D29/TrRoad_act!D42*1000
)</f>
        <v>2118.5485782049168</v>
      </c>
      <c r="E66" s="101">
        <f>IF(TrRoad_act!E42=0,0,E29/TrRoad_act!E42*1000
)</f>
        <v>2718.4981141650865</v>
      </c>
      <c r="F66" s="101">
        <f>IF(TrRoad_act!F42=0,0,F29/TrRoad_act!F42*1000
)</f>
        <v>2059.3408756342415</v>
      </c>
      <c r="G66" s="101">
        <f>IF(TrRoad_act!G42=0,0,G29/TrRoad_act!G42*1000
)</f>
        <v>2296.9545471514057</v>
      </c>
      <c r="H66" s="101">
        <f>IF(TrRoad_act!H42=0,0,H29/TrRoad_act!H42*1000
)</f>
        <v>2133.9342002398212</v>
      </c>
      <c r="I66" s="101">
        <f>IF(TrRoad_act!I42=0,0,I29/TrRoad_act!I42*1000
)</f>
        <v>2165.2617906262913</v>
      </c>
      <c r="J66" s="101">
        <f>IF(TrRoad_act!J42=0,0,J29/TrRoad_act!J42*1000
)</f>
        <v>2044.405433574198</v>
      </c>
      <c r="K66" s="101">
        <f>IF(TrRoad_act!K42=0,0,K29/TrRoad_act!K42*1000
)</f>
        <v>2496.5812611381216</v>
      </c>
      <c r="L66" s="101">
        <f>IF(TrRoad_act!L42=0,0,L29/TrRoad_act!L42*1000
)</f>
        <v>2120.6234514493913</v>
      </c>
      <c r="M66" s="101">
        <f>IF(TrRoad_act!M42=0,0,M29/TrRoad_act!M42*1000
)</f>
        <v>2238.9061751127388</v>
      </c>
      <c r="N66" s="101">
        <f>IF(TrRoad_act!N42=0,0,N29/TrRoad_act!N42*1000
)</f>
        <v>1823.3878581308343</v>
      </c>
      <c r="O66" s="101">
        <f>IF(TrRoad_act!O42=0,0,O29/TrRoad_act!O42*1000
)</f>
        <v>2098.3985092544967</v>
      </c>
      <c r="P66" s="101">
        <f>IF(TrRoad_act!P42=0,0,P29/TrRoad_act!P42*1000
)</f>
        <v>2022.9248208761805</v>
      </c>
      <c r="Q66" s="101">
        <f>IF(TrRoad_act!Q42=0,0,Q29/TrRoad_act!Q42*1000
)</f>
        <v>1937.2788718722099</v>
      </c>
      <c r="R66" s="101">
        <f>IF(TrRoad_act!R42=0,0,R29/TrRoad_act!R42*1000
)</f>
        <v>1976.1776058757666</v>
      </c>
      <c r="S66" s="101">
        <f>IF(TrRoad_act!S42=0,0,S29/TrRoad_act!S42*1000
)</f>
        <v>2035.9117164355464</v>
      </c>
      <c r="T66" s="101">
        <f>IF(TrRoad_act!T42=0,0,T29/TrRoad_act!T42*1000
)</f>
        <v>2069.0282265996966</v>
      </c>
      <c r="U66" s="101">
        <f>IF(TrRoad_act!U42=0,0,U29/TrRoad_act!U42*1000
)</f>
        <v>2163.0738335735923</v>
      </c>
      <c r="V66" s="101">
        <f>IF(TrRoad_act!V42=0,0,V29/TrRoad_act!V42*1000
)</f>
        <v>2156.1582238359351</v>
      </c>
      <c r="W66" s="101">
        <f>IF(TrRoad_act!W42=0,0,W29/TrRoad_act!W42*1000
)</f>
        <v>2113.1331742139591</v>
      </c>
      <c r="X66" s="101">
        <f>IF(TrRoad_act!X42=0,0,X29/TrRoad_act!X42*1000
)</f>
        <v>2326.8795665067187</v>
      </c>
      <c r="Y66" s="101">
        <f>IF(TrRoad_act!Y42=0,0,Y29/TrRoad_act!Y42*1000
)</f>
        <v>2423.3856938802846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X67" s="101">
        <f>IF(TrRoad_act!X43=0,0,X30/TrRoad_act!X43*1000
)</f>
        <v>0</v>
      </c>
      <c r="Y67" s="101">
        <f>IF(TrRoad_act!Y43=0,0,Y30/TrRoad_act!Y43*1000
)</f>
        <v>0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1017.5555810930362</v>
      </c>
      <c r="D68" s="101">
        <f>IF(TrRoad_act!D44=0,0,D31/TrRoad_act!D44*1000
)</f>
        <v>1032.5655330142085</v>
      </c>
      <c r="E68" s="101">
        <f>IF(TrRoad_act!E44=0,0,E31/TrRoad_act!E44*1000
)</f>
        <v>1032.0344227623893</v>
      </c>
      <c r="F68" s="101">
        <f>IF(TrRoad_act!F44=0,0,F31/TrRoad_act!F44*1000
)</f>
        <v>1031.6004836608304</v>
      </c>
      <c r="G68" s="101">
        <f>IF(TrRoad_act!G44=0,0,G31/TrRoad_act!G44*1000
)</f>
        <v>1076.7194379632788</v>
      </c>
      <c r="H68" s="101">
        <f>IF(TrRoad_act!H44=0,0,H31/TrRoad_act!H44*1000
)</f>
        <v>1069.0942250427336</v>
      </c>
      <c r="I68" s="101">
        <f>IF(TrRoad_act!I44=0,0,I31/TrRoad_act!I44*1000
)</f>
        <v>1056.9927341629077</v>
      </c>
      <c r="J68" s="101">
        <f>IF(TrRoad_act!J44=0,0,J31/TrRoad_act!J44*1000
)</f>
        <v>1030.7406340487216</v>
      </c>
      <c r="K68" s="101">
        <f>IF(TrRoad_act!K44=0,0,K31/TrRoad_act!K44*1000
)</f>
        <v>1099.1949399303448</v>
      </c>
      <c r="L68" s="101">
        <f>IF(TrRoad_act!L44=0,0,L31/TrRoad_act!L44*1000
)</f>
        <v>1053.003757010054</v>
      </c>
      <c r="M68" s="101">
        <f>IF(TrRoad_act!M44=0,0,M31/TrRoad_act!M44*1000
)</f>
        <v>1132.4944051134432</v>
      </c>
      <c r="N68" s="101">
        <f>IF(TrRoad_act!N44=0,0,N31/TrRoad_act!N44*1000
)</f>
        <v>1125.3282737532854</v>
      </c>
      <c r="O68" s="101">
        <f>IF(TrRoad_act!O44=0,0,O31/TrRoad_act!O44*1000
)</f>
        <v>1073.2500516188575</v>
      </c>
      <c r="P68" s="101">
        <f>IF(TrRoad_act!P44=0,0,P31/TrRoad_act!P44*1000
)</f>
        <v>1083.8421160800497</v>
      </c>
      <c r="Q68" s="101">
        <f>IF(TrRoad_act!Q44=0,0,Q31/TrRoad_act!Q44*1000
)</f>
        <v>1133.1539774693445</v>
      </c>
      <c r="R68" s="101">
        <f>IF(TrRoad_act!R44=0,0,R31/TrRoad_act!R44*1000
)</f>
        <v>1470.3103083735393</v>
      </c>
      <c r="S68" s="101">
        <f>IF(TrRoad_act!S44=0,0,S31/TrRoad_act!S44*1000
)</f>
        <v>1015.2268527653674</v>
      </c>
      <c r="T68" s="101">
        <f>IF(TrRoad_act!T44=0,0,T31/TrRoad_act!T44*1000
)</f>
        <v>1070.9964449617025</v>
      </c>
      <c r="U68" s="101">
        <f>IF(TrRoad_act!U44=0,0,U31/TrRoad_act!U44*1000
)</f>
        <v>1186.3530989787316</v>
      </c>
      <c r="V68" s="101">
        <f>IF(TrRoad_act!V44=0,0,V31/TrRoad_act!V44*1000
)</f>
        <v>1046.6590956976813</v>
      </c>
      <c r="W68" s="101">
        <f>IF(TrRoad_act!W44=0,0,W31/TrRoad_act!W44*1000
)</f>
        <v>1114.3065605305387</v>
      </c>
      <c r="X68" s="101">
        <f>IF(TrRoad_act!X44=0,0,X31/TrRoad_act!X44*1000
)</f>
        <v>1065.6366145401435</v>
      </c>
      <c r="Y68" s="101">
        <f>IF(TrRoad_act!Y44=0,0,Y31/TrRoad_act!Y44*1000
)</f>
        <v>910.84624475173086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642.25762394184744</v>
      </c>
      <c r="C70" s="29">
        <f>IF(TrRoad_act!C46=0,0,C33/TrRoad_act!C46*1000
)</f>
        <v>627.64051411184391</v>
      </c>
      <c r="D70" s="29">
        <f>IF(TrRoad_act!D46=0,0,D33/TrRoad_act!D46*1000
)</f>
        <v>610.84534071329892</v>
      </c>
      <c r="E70" s="29">
        <f>IF(TrRoad_act!E46=0,0,E33/TrRoad_act!E46*1000
)</f>
        <v>649.25999367956285</v>
      </c>
      <c r="F70" s="29">
        <f>IF(TrRoad_act!F46=0,0,F33/TrRoad_act!F46*1000
)</f>
        <v>599.37035301670051</v>
      </c>
      <c r="G70" s="29">
        <f>IF(TrRoad_act!G46=0,0,G33/TrRoad_act!G46*1000
)</f>
        <v>603.85730330402714</v>
      </c>
      <c r="H70" s="29">
        <f>IF(TrRoad_act!H46=0,0,H33/TrRoad_act!H46*1000
)</f>
        <v>588.4234212625031</v>
      </c>
      <c r="I70" s="29">
        <f>IF(TrRoad_act!I46=0,0,I33/TrRoad_act!I46*1000
)</f>
        <v>570.64759618977052</v>
      </c>
      <c r="J70" s="29">
        <f>IF(TrRoad_act!J46=0,0,J33/TrRoad_act!J46*1000
)</f>
        <v>553.38093095725981</v>
      </c>
      <c r="K70" s="29">
        <f>IF(TrRoad_act!K46=0,0,K33/TrRoad_act!K46*1000
)</f>
        <v>663.00498384330194</v>
      </c>
      <c r="L70" s="29">
        <f>IF(TrRoad_act!L46=0,0,L33/TrRoad_act!L46*1000
)</f>
        <v>574.15205392602491</v>
      </c>
      <c r="M70" s="29">
        <f>IF(TrRoad_act!M46=0,0,M33/TrRoad_act!M46*1000
)</f>
        <v>563.17282833150455</v>
      </c>
      <c r="N70" s="29">
        <f>IF(TrRoad_act!N46=0,0,N33/TrRoad_act!N46*1000
)</f>
        <v>485.42291563176855</v>
      </c>
      <c r="O70" s="29">
        <f>IF(TrRoad_act!O46=0,0,O33/TrRoad_act!O46*1000
)</f>
        <v>517.78840719297114</v>
      </c>
      <c r="P70" s="29">
        <f>IF(TrRoad_act!P46=0,0,P33/TrRoad_act!P46*1000
)</f>
        <v>524.7383087729329</v>
      </c>
      <c r="Q70" s="29">
        <f>IF(TrRoad_act!Q46=0,0,Q33/TrRoad_act!Q46*1000
)</f>
        <v>438.00331238941976</v>
      </c>
      <c r="R70" s="29">
        <f>IF(TrRoad_act!R46=0,0,R33/TrRoad_act!R46*1000
)</f>
        <v>433.24424338523454</v>
      </c>
      <c r="S70" s="29">
        <f>IF(TrRoad_act!S46=0,0,S33/TrRoad_act!S46*1000
)</f>
        <v>454.13178276975373</v>
      </c>
      <c r="T70" s="29">
        <f>IF(TrRoad_act!T46=0,0,T33/TrRoad_act!T46*1000
)</f>
        <v>465.96194208100928</v>
      </c>
      <c r="U70" s="29">
        <f>IF(TrRoad_act!U46=0,0,U33/TrRoad_act!U46*1000
)</f>
        <v>480.99558838639621</v>
      </c>
      <c r="V70" s="29">
        <f>IF(TrRoad_act!V46=0,0,V33/TrRoad_act!V46*1000
)</f>
        <v>514.50986090286528</v>
      </c>
      <c r="W70" s="29">
        <f>IF(TrRoad_act!W46=0,0,W33/TrRoad_act!W46*1000
)</f>
        <v>484.57590672728861</v>
      </c>
      <c r="X70" s="29">
        <f>IF(TrRoad_act!X46=0,0,X33/TrRoad_act!X46*1000
)</f>
        <v>515.89084111352167</v>
      </c>
      <c r="Y70" s="29">
        <f>IF(TrRoad_act!Y46=0,0,Y33/TrRoad_act!Y46*1000
)</f>
        <v>504.22461559723052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376.46726250298769</v>
      </c>
      <c r="C71" s="152">
        <f>IF(TrRoad_act!C47=0,0,C34/TrRoad_act!C47*1000
)</f>
        <v>361.47567909588548</v>
      </c>
      <c r="D71" s="152">
        <f>IF(TrRoad_act!D47=0,0,D34/TrRoad_act!D47*1000
)</f>
        <v>348.23317008659825</v>
      </c>
      <c r="E71" s="152">
        <f>IF(TrRoad_act!E47=0,0,E34/TrRoad_act!E47*1000
)</f>
        <v>335.36734899371163</v>
      </c>
      <c r="F71" s="152">
        <f>IF(TrRoad_act!F47=0,0,F34/TrRoad_act!F47*1000
)</f>
        <v>326.6549834032607</v>
      </c>
      <c r="G71" s="152">
        <f>IF(TrRoad_act!G47=0,0,G34/TrRoad_act!G47*1000
)</f>
        <v>318.68190764160175</v>
      </c>
      <c r="H71" s="152">
        <f>IF(TrRoad_act!H47=0,0,H34/TrRoad_act!H47*1000
)</f>
        <v>306.46030724643987</v>
      </c>
      <c r="I71" s="152">
        <f>IF(TrRoad_act!I47=0,0,I34/TrRoad_act!I47*1000
)</f>
        <v>294.63600888801142</v>
      </c>
      <c r="J71" s="152">
        <f>IF(TrRoad_act!J47=0,0,J34/TrRoad_act!J47*1000
)</f>
        <v>287.68048848512785</v>
      </c>
      <c r="K71" s="152">
        <f>IF(TrRoad_act!K47=0,0,K34/TrRoad_act!K47*1000
)</f>
        <v>280.08040101203227</v>
      </c>
      <c r="L71" s="152">
        <f>IF(TrRoad_act!L47=0,0,L34/TrRoad_act!L47*1000
)</f>
        <v>272.36960123133179</v>
      </c>
      <c r="M71" s="152">
        <f>IF(TrRoad_act!M47=0,0,M34/TrRoad_act!M47*1000
)</f>
        <v>267.53847823548307</v>
      </c>
      <c r="N71" s="152">
        <f>IF(TrRoad_act!N47=0,0,N34/TrRoad_act!N47*1000
)</f>
        <v>265.14613622373338</v>
      </c>
      <c r="O71" s="152">
        <f>IF(TrRoad_act!O47=0,0,O34/TrRoad_act!O47*1000
)</f>
        <v>260.17370754867147</v>
      </c>
      <c r="P71" s="152">
        <f>IF(TrRoad_act!P47=0,0,P34/TrRoad_act!P47*1000
)</f>
        <v>256.86009900744477</v>
      </c>
      <c r="Q71" s="152">
        <f>IF(TrRoad_act!Q47=0,0,Q34/TrRoad_act!Q47*1000
)</f>
        <v>250.79060678285282</v>
      </c>
      <c r="R71" s="152">
        <f>IF(TrRoad_act!R47=0,0,R34/TrRoad_act!R47*1000
)</f>
        <v>246.32394478091007</v>
      </c>
      <c r="S71" s="152">
        <f>IF(TrRoad_act!S47=0,0,S34/TrRoad_act!S47*1000
)</f>
        <v>244.84099955033258</v>
      </c>
      <c r="T71" s="152">
        <f>IF(TrRoad_act!T47=0,0,T34/TrRoad_act!T47*1000
)</f>
        <v>244.84764165810623</v>
      </c>
      <c r="U71" s="152">
        <f>IF(TrRoad_act!U47=0,0,U34/TrRoad_act!U47*1000
)</f>
        <v>240.03093513687264</v>
      </c>
      <c r="V71" s="152">
        <f>IF(TrRoad_act!V47=0,0,V34/TrRoad_act!V47*1000
)</f>
        <v>236.14895199337397</v>
      </c>
      <c r="W71" s="152">
        <f>IF(TrRoad_act!W47=0,0,W34/TrRoad_act!W47*1000
)</f>
        <v>232.70240334417019</v>
      </c>
      <c r="X71" s="152">
        <f>IF(TrRoad_act!X47=0,0,X34/TrRoad_act!X47*1000
)</f>
        <v>241.84640686300574</v>
      </c>
      <c r="Y71" s="152">
        <f>IF(TrRoad_act!Y47=0,0,Y34/TrRoad_act!Y47*1000
)</f>
        <v>238.64860640330926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379.09502184498422</v>
      </c>
      <c r="C72" s="87">
        <f>IF(TrRoad_act!C48=0,0,C35/TrRoad_act!C48*1000
)</f>
        <v>367.0774644880035</v>
      </c>
      <c r="D72" s="87">
        <f>IF(TrRoad_act!D48=0,0,D35/TrRoad_act!D48*1000
)</f>
        <v>355.42729759485013</v>
      </c>
      <c r="E72" s="87">
        <f>IF(TrRoad_act!E48=0,0,E35/TrRoad_act!E48*1000
)</f>
        <v>346.80889027725368</v>
      </c>
      <c r="F72" s="87">
        <f>IF(TrRoad_act!F48=0,0,F35/TrRoad_act!F48*1000
)</f>
        <v>340.0646203575501</v>
      </c>
      <c r="G72" s="87">
        <f>IF(TrRoad_act!G48=0,0,G35/TrRoad_act!G48*1000
)</f>
        <v>332.84909599054777</v>
      </c>
      <c r="H72" s="87">
        <f>IF(TrRoad_act!H48=0,0,H35/TrRoad_act!H48*1000
)</f>
        <v>325.40950947579779</v>
      </c>
      <c r="I72" s="87">
        <f>IF(TrRoad_act!I48=0,0,I35/TrRoad_act!I48*1000
)</f>
        <v>314.2597486536007</v>
      </c>
      <c r="J72" s="87">
        <f>IF(TrRoad_act!J48=0,0,J35/TrRoad_act!J48*1000
)</f>
        <v>304.18947781547541</v>
      </c>
      <c r="K72" s="87">
        <f>IF(TrRoad_act!K48=0,0,K35/TrRoad_act!K48*1000
)</f>
        <v>298.84492299471748</v>
      </c>
      <c r="L72" s="87">
        <f>IF(TrRoad_act!L48=0,0,L35/TrRoad_act!L48*1000
)</f>
        <v>292.20816437548086</v>
      </c>
      <c r="M72" s="87">
        <f>IF(TrRoad_act!M48=0,0,M35/TrRoad_act!M48*1000
)</f>
        <v>285.32945196528595</v>
      </c>
      <c r="N72" s="87">
        <f>IF(TrRoad_act!N48=0,0,N35/TrRoad_act!N48*1000
)</f>
        <v>286.72679466258808</v>
      </c>
      <c r="O72" s="87">
        <f>IF(TrRoad_act!O48=0,0,O35/TrRoad_act!O48*1000
)</f>
        <v>282.05939888933233</v>
      </c>
      <c r="P72" s="87">
        <f>IF(TrRoad_act!P48=0,0,P35/TrRoad_act!P48*1000
)</f>
        <v>275.37600526189948</v>
      </c>
      <c r="Q72" s="87">
        <f>IF(TrRoad_act!Q48=0,0,Q35/TrRoad_act!Q48*1000
)</f>
        <v>267.32381218863634</v>
      </c>
      <c r="R72" s="87">
        <f>IF(TrRoad_act!R48=0,0,R35/TrRoad_act!R48*1000
)</f>
        <v>259.92923413376417</v>
      </c>
      <c r="S72" s="87">
        <f>IF(TrRoad_act!S48=0,0,S35/TrRoad_act!S48*1000
)</f>
        <v>259.23968343782047</v>
      </c>
      <c r="T72" s="87">
        <f>IF(TrRoad_act!T48=0,0,T35/TrRoad_act!T48*1000
)</f>
        <v>256.07988516358353</v>
      </c>
      <c r="U72" s="87">
        <f>IF(TrRoad_act!U48=0,0,U35/TrRoad_act!U48*1000
)</f>
        <v>243.90048671099365</v>
      </c>
      <c r="V72" s="87">
        <f>IF(TrRoad_act!V48=0,0,V35/TrRoad_act!V48*1000
)</f>
        <v>232.66147347328578</v>
      </c>
      <c r="W72" s="87">
        <f>IF(TrRoad_act!W48=0,0,W35/TrRoad_act!W48*1000
)</f>
        <v>225.82281045710229</v>
      </c>
      <c r="X72" s="87">
        <f>IF(TrRoad_act!X48=0,0,X35/TrRoad_act!X48*1000
)</f>
        <v>227.31375060186625</v>
      </c>
      <c r="Y72" s="87">
        <f>IF(TrRoad_act!Y48=0,0,Y35/TrRoad_act!Y48*1000
)</f>
        <v>221.78463942619797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364.56088105927029</v>
      </c>
      <c r="C73" s="87">
        <f>IF(TrRoad_act!C49=0,0,C36/TrRoad_act!C49*1000
)</f>
        <v>340.31787730157532</v>
      </c>
      <c r="D73" s="87">
        <f>IF(TrRoad_act!D49=0,0,D36/TrRoad_act!D49*1000
)</f>
        <v>323.86523403750755</v>
      </c>
      <c r="E73" s="87">
        <f>IF(TrRoad_act!E49=0,0,E36/TrRoad_act!E49*1000
)</f>
        <v>303.71996741682375</v>
      </c>
      <c r="F73" s="87">
        <f>IF(TrRoad_act!F49=0,0,F36/TrRoad_act!F49*1000
)</f>
        <v>294.43531351515833</v>
      </c>
      <c r="G73" s="87">
        <f>IF(TrRoad_act!G49=0,0,G36/TrRoad_act!G49*1000
)</f>
        <v>287.37616400940288</v>
      </c>
      <c r="H73" s="87">
        <f>IF(TrRoad_act!H49=0,0,H36/TrRoad_act!H49*1000
)</f>
        <v>272.84427570387976</v>
      </c>
      <c r="I73" s="87">
        <f>IF(TrRoad_act!I49=0,0,I36/TrRoad_act!I49*1000
)</f>
        <v>262.84518243785942</v>
      </c>
      <c r="J73" s="87">
        <f>IF(TrRoad_act!J49=0,0,J36/TrRoad_act!J49*1000
)</f>
        <v>260.77406456830795</v>
      </c>
      <c r="K73" s="87">
        <f>IF(TrRoad_act!K49=0,0,K36/TrRoad_act!K49*1000
)</f>
        <v>257.77931499744659</v>
      </c>
      <c r="L73" s="87">
        <f>IF(TrRoad_act!L49=0,0,L36/TrRoad_act!L49*1000
)</f>
        <v>252.2682213372166</v>
      </c>
      <c r="M73" s="87">
        <f>IF(TrRoad_act!M49=0,0,M36/TrRoad_act!M49*1000
)</f>
        <v>250.71990415739538</v>
      </c>
      <c r="N73" s="87">
        <f>IF(TrRoad_act!N49=0,0,N36/TrRoad_act!N49*1000
)</f>
        <v>245.46617395006641</v>
      </c>
      <c r="O73" s="87">
        <f>IF(TrRoad_act!O49=0,0,O36/TrRoad_act!O49*1000
)</f>
        <v>245.29652123922978</v>
      </c>
      <c r="P73" s="87">
        <f>IF(TrRoad_act!P49=0,0,P36/TrRoad_act!P49*1000
)</f>
        <v>244.47042607197693</v>
      </c>
      <c r="Q73" s="87">
        <f>IF(TrRoad_act!Q49=0,0,Q36/TrRoad_act!Q49*1000
)</f>
        <v>242.16555400626277</v>
      </c>
      <c r="R73" s="87">
        <f>IF(TrRoad_act!R49=0,0,R36/TrRoad_act!R49*1000
)</f>
        <v>239.56388137177669</v>
      </c>
      <c r="S73" s="87">
        <f>IF(TrRoad_act!S49=0,0,S36/TrRoad_act!S49*1000
)</f>
        <v>236.89277460066808</v>
      </c>
      <c r="T73" s="87">
        <f>IF(TrRoad_act!T49=0,0,T36/TrRoad_act!T49*1000
)</f>
        <v>237.38094667844354</v>
      </c>
      <c r="U73" s="87">
        <f>IF(TrRoad_act!U49=0,0,U36/TrRoad_act!U49*1000
)</f>
        <v>237.39172395325573</v>
      </c>
      <c r="V73" s="87">
        <f>IF(TrRoad_act!V49=0,0,V36/TrRoad_act!V49*1000
)</f>
        <v>238.72697325223908</v>
      </c>
      <c r="W73" s="87">
        <f>IF(TrRoad_act!W49=0,0,W36/TrRoad_act!W49*1000
)</f>
        <v>237.98832381872234</v>
      </c>
      <c r="X73" s="87">
        <f>IF(TrRoad_act!X49=0,0,X36/TrRoad_act!X49*1000
)</f>
        <v>252.51835399821226</v>
      </c>
      <c r="Y73" s="87">
        <f>IF(TrRoad_act!Y49=0,0,Y36/TrRoad_act!Y49*1000
)</f>
        <v>250.52226821923529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0</v>
      </c>
      <c r="P74" s="87">
        <f>IF(TrRoad_act!P50=0,0,P37/TrRoad_act!P50*1000
)</f>
        <v>0</v>
      </c>
      <c r="Q74" s="87">
        <f>IF(TrRoad_act!Q50=0,0,Q37/TrRoad_act!Q50*1000
)</f>
        <v>0</v>
      </c>
      <c r="R74" s="87">
        <f>IF(TrRoad_act!R50=0,0,R37/TrRoad_act!R50*1000
)</f>
        <v>0</v>
      </c>
      <c r="S74" s="87">
        <f>IF(TrRoad_act!S50=0,0,S37/TrRoad_act!S50*1000
)</f>
        <v>0</v>
      </c>
      <c r="T74" s="87">
        <f>IF(TrRoad_act!T50=0,0,T37/TrRoad_act!T50*1000
)</f>
        <v>0</v>
      </c>
      <c r="U74" s="87">
        <f>IF(TrRoad_act!U50=0,0,U37/TrRoad_act!U50*1000
)</f>
        <v>0</v>
      </c>
      <c r="V74" s="87">
        <f>IF(TrRoad_act!V50=0,0,V37/TrRoad_act!V50*1000
)</f>
        <v>0</v>
      </c>
      <c r="W74" s="87">
        <f>IF(TrRoad_act!W50=0,0,W37/TrRoad_act!W50*1000
)</f>
        <v>0</v>
      </c>
      <c r="X74" s="87">
        <f>IF(TrRoad_act!X50=0,0,X37/TrRoad_act!X50*1000
)</f>
        <v>0</v>
      </c>
      <c r="Y74" s="87">
        <f>IF(TrRoad_act!Y50=0,0,Y37/TrRoad_act!Y50*1000
)</f>
        <v>0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X75" s="87">
        <f>IF(TrRoad_act!X51=0,0,X38/TrRoad_act!X51*1000
)</f>
        <v>0</v>
      </c>
      <c r="Y75" s="87">
        <f>IF(TrRoad_act!Y51=0,0,Y38/TrRoad_act!Y51*1000
)</f>
        <v>0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1256.6822793555352</v>
      </c>
      <c r="C77" s="116">
        <f>IF(TrRoad_act!C53=0,0,C40/TrRoad_act!C53*1000
)</f>
        <v>1248.3615390665725</v>
      </c>
      <c r="D77" s="116">
        <f>IF(TrRoad_act!D53=0,0,D40/TrRoad_act!D53*1000
)</f>
        <v>1245.6433840854247</v>
      </c>
      <c r="E77" s="116">
        <f>IF(TrRoad_act!E53=0,0,E40/TrRoad_act!E53*1000
)</f>
        <v>1884.4133160816236</v>
      </c>
      <c r="F77" s="116">
        <f>IF(TrRoad_act!F53=0,0,F40/TrRoad_act!F53*1000
)</f>
        <v>1235.0419014026895</v>
      </c>
      <c r="G77" s="116">
        <f>IF(TrRoad_act!G53=0,0,G40/TrRoad_act!G53*1000
)</f>
        <v>1490.0015764816369</v>
      </c>
      <c r="H77" s="116">
        <f>IF(TrRoad_act!H53=0,0,H40/TrRoad_act!H53*1000
)</f>
        <v>1372.8038440913458</v>
      </c>
      <c r="I77" s="116">
        <f>IF(TrRoad_act!I53=0,0,I40/TrRoad_act!I53*1000
)</f>
        <v>1430.566814093509</v>
      </c>
      <c r="J77" s="116">
        <f>IF(TrRoad_act!J53=0,0,J40/TrRoad_act!J53*1000
)</f>
        <v>1318.7533356307042</v>
      </c>
      <c r="K77" s="116">
        <f>IF(TrRoad_act!K53=0,0,K40/TrRoad_act!K53*1000
)</f>
        <v>1734.0256173782861</v>
      </c>
      <c r="L77" s="116">
        <f>IF(TrRoad_act!L53=0,0,L40/TrRoad_act!L53*1000
)</f>
        <v>1413.1331514384033</v>
      </c>
      <c r="M77" s="116">
        <f>IF(TrRoad_act!M53=0,0,M40/TrRoad_act!M53*1000
)</f>
        <v>1577.925768939848</v>
      </c>
      <c r="N77" s="116">
        <f>IF(TrRoad_act!N53=0,0,N40/TrRoad_act!N53*1000
)</f>
        <v>1133.8524846705077</v>
      </c>
      <c r="O77" s="116">
        <f>IF(TrRoad_act!O53=0,0,O40/TrRoad_act!O53*1000
)</f>
        <v>1544.8086465033587</v>
      </c>
      <c r="P77" s="116">
        <f>IF(TrRoad_act!P53=0,0,P40/TrRoad_act!P53*1000
)</f>
        <v>1486.4057060867933</v>
      </c>
      <c r="Q77" s="116">
        <f>IF(TrRoad_act!Q53=0,0,Q40/TrRoad_act!Q53*1000
)</f>
        <v>1221.4897486244306</v>
      </c>
      <c r="R77" s="116">
        <f>IF(TrRoad_act!R53=0,0,R40/TrRoad_act!R53*1000
)</f>
        <v>1258.3046332165395</v>
      </c>
      <c r="S77" s="116">
        <f>IF(TrRoad_act!S53=0,0,S40/TrRoad_act!S53*1000
)</f>
        <v>1291.3212651687957</v>
      </c>
      <c r="T77" s="116">
        <f>IF(TrRoad_act!T53=0,0,T40/TrRoad_act!T53*1000
)</f>
        <v>1342.2600113279705</v>
      </c>
      <c r="U77" s="116">
        <f>IF(TrRoad_act!U53=0,0,U40/TrRoad_act!U53*1000
)</f>
        <v>1461.0152128418276</v>
      </c>
      <c r="V77" s="116">
        <f>IF(TrRoad_act!V53=0,0,V40/TrRoad_act!V53*1000
)</f>
        <v>1598.6532549846579</v>
      </c>
      <c r="W77" s="116">
        <f>IF(TrRoad_act!W53=0,0,W40/TrRoad_act!W53*1000
)</f>
        <v>1429.2436541556287</v>
      </c>
      <c r="X77" s="116">
        <f>IF(TrRoad_act!X53=0,0,X40/TrRoad_act!X53*1000
)</f>
        <v>1588.013921049426</v>
      </c>
      <c r="Y77" s="116">
        <f>IF(TrRoad_act!Y53=0,0,Y40/TrRoad_act!Y53*1000
)</f>
        <v>1679.6648254153072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1199.9000126517931</v>
      </c>
      <c r="C78" s="101">
        <f>IF(TrRoad_act!C54=0,0,C41/TrRoad_act!C54*1000
)</f>
        <v>1192.551330988689</v>
      </c>
      <c r="D78" s="101">
        <f>IF(TrRoad_act!D54=0,0,D41/TrRoad_act!D54*1000
)</f>
        <v>1189.7443307742694</v>
      </c>
      <c r="E78" s="101">
        <f>IF(TrRoad_act!E54=0,0,E41/TrRoad_act!E54*1000
)</f>
        <v>1687.7228929328214</v>
      </c>
      <c r="F78" s="101">
        <f>IF(TrRoad_act!F54=0,0,F41/TrRoad_act!F54*1000
)</f>
        <v>1179.033034166536</v>
      </c>
      <c r="G78" s="101">
        <f>IF(TrRoad_act!G54=0,0,G41/TrRoad_act!G54*1000
)</f>
        <v>1376.6554109458905</v>
      </c>
      <c r="H78" s="101">
        <f>IF(TrRoad_act!H54=0,0,H41/TrRoad_act!H54*1000
)</f>
        <v>1279.4396948485539</v>
      </c>
      <c r="I78" s="101">
        <f>IF(TrRoad_act!I54=0,0,I41/TrRoad_act!I54*1000
)</f>
        <v>1323.9170279363607</v>
      </c>
      <c r="J78" s="101">
        <f>IF(TrRoad_act!J54=0,0,J41/TrRoad_act!J54*1000
)</f>
        <v>1237.9536877487417</v>
      </c>
      <c r="K78" s="101">
        <f>IF(TrRoad_act!K54=0,0,K41/TrRoad_act!K54*1000
)</f>
        <v>1568.7484199882622</v>
      </c>
      <c r="L78" s="101">
        <f>IF(TrRoad_act!L54=0,0,L41/TrRoad_act!L54*1000
)</f>
        <v>1307.8345403613469</v>
      </c>
      <c r="M78" s="101">
        <f>IF(TrRoad_act!M54=0,0,M41/TrRoad_act!M54*1000
)</f>
        <v>1437.3680726516006</v>
      </c>
      <c r="N78" s="101">
        <f>IF(TrRoad_act!N54=0,0,N41/TrRoad_act!N54*1000
)</f>
        <v>1080.9905522949607</v>
      </c>
      <c r="O78" s="101">
        <f>IF(TrRoad_act!O54=0,0,O41/TrRoad_act!O54*1000
)</f>
        <v>1400.3677294411912</v>
      </c>
      <c r="P78" s="101">
        <f>IF(TrRoad_act!P54=0,0,P41/TrRoad_act!P54*1000
)</f>
        <v>1355.6704458607335</v>
      </c>
      <c r="Q78" s="101">
        <f>IF(TrRoad_act!Q54=0,0,Q41/TrRoad_act!Q54*1000
)</f>
        <v>1145.2791206276008</v>
      </c>
      <c r="R78" s="101">
        <f>IF(TrRoad_act!R54=0,0,R41/TrRoad_act!R54*1000
)</f>
        <v>1172.9443084983243</v>
      </c>
      <c r="S78" s="101">
        <f>IF(TrRoad_act!S54=0,0,S41/TrRoad_act!S54*1000
)</f>
        <v>1191.1722262519718</v>
      </c>
      <c r="T78" s="101">
        <f>IF(TrRoad_act!T54=0,0,T41/TrRoad_act!T54*1000
)</f>
        <v>1231.0395556654771</v>
      </c>
      <c r="U78" s="101">
        <f>IF(TrRoad_act!U54=0,0,U41/TrRoad_act!U54*1000
)</f>
        <v>1335.6691814240783</v>
      </c>
      <c r="V78" s="101">
        <f>IF(TrRoad_act!V54=0,0,V41/TrRoad_act!V54*1000
)</f>
        <v>1435.1845733228995</v>
      </c>
      <c r="W78" s="101">
        <f>IF(TrRoad_act!W54=0,0,W41/TrRoad_act!W54*1000
)</f>
        <v>1293.7021990359792</v>
      </c>
      <c r="X78" s="101">
        <f>IF(TrRoad_act!X54=0,0,X41/TrRoad_act!X54*1000
)</f>
        <v>1421.483134072377</v>
      </c>
      <c r="Y78" s="101">
        <f>IF(TrRoad_act!Y54=0,0,Y41/TrRoad_act!Y54*1000
)</f>
        <v>1482.6670049138697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2504.9232331263529</v>
      </c>
      <c r="C79" s="88">
        <f>IF(TrRoad_act!C55=0,0,C42/TrRoad_act!C55*1000
)</f>
        <v>2417.7448061731629</v>
      </c>
      <c r="D79" s="88">
        <f>IF(TrRoad_act!D55=0,0,D42/TrRoad_act!D55*1000
)</f>
        <v>2382.7694498565957</v>
      </c>
      <c r="E79" s="88">
        <f>IF(TrRoad_act!E55=0,0,E42/TrRoad_act!E55*1000
)</f>
        <v>4377.7425557683182</v>
      </c>
      <c r="F79" s="88">
        <f>IF(TrRoad_act!F55=0,0,F42/TrRoad_act!F55*1000
)</f>
        <v>2280.197819556518</v>
      </c>
      <c r="G79" s="88">
        <f>IF(TrRoad_act!G55=0,0,G42/TrRoad_act!G55*1000
)</f>
        <v>3036.4683921743208</v>
      </c>
      <c r="H79" s="88">
        <f>IF(TrRoad_act!H55=0,0,H42/TrRoad_act!H55*1000
)</f>
        <v>2576.8273439875679</v>
      </c>
      <c r="I79" s="88">
        <f>IF(TrRoad_act!I55=0,0,I42/TrRoad_act!I55*1000
)</f>
        <v>3026.8775055286355</v>
      </c>
      <c r="J79" s="88">
        <f>IF(TrRoad_act!J55=0,0,J42/TrRoad_act!J55*1000
)</f>
        <v>2823.3245463691696</v>
      </c>
      <c r="K79" s="88">
        <f>IF(TrRoad_act!K55=0,0,K42/TrRoad_act!K55*1000
)</f>
        <v>5180.7694195131899</v>
      </c>
      <c r="L79" s="88">
        <f>IF(TrRoad_act!L55=0,0,L42/TrRoad_act!L55*1000
)</f>
        <v>3201.9474506063648</v>
      </c>
      <c r="M79" s="88">
        <f>IF(TrRoad_act!M55=0,0,M42/TrRoad_act!M55*1000
)</f>
        <v>3635.7886212298099</v>
      </c>
      <c r="N79" s="88">
        <f>IF(TrRoad_act!N55=0,0,N42/TrRoad_act!N55*1000
)</f>
        <v>1793.4748892250952</v>
      </c>
      <c r="O79" s="88">
        <f>IF(TrRoad_act!O55=0,0,O42/TrRoad_act!O55*1000
)</f>
        <v>2877.6328448793015</v>
      </c>
      <c r="P79" s="88">
        <f>IF(TrRoad_act!P55=0,0,P42/TrRoad_act!P55*1000
)</f>
        <v>2893.7887237198574</v>
      </c>
      <c r="Q79" s="88">
        <f>IF(TrRoad_act!Q55=0,0,Q42/TrRoad_act!Q55*1000
)</f>
        <v>2001.6058997570312</v>
      </c>
      <c r="R79" s="88">
        <f>IF(TrRoad_act!R55=0,0,R42/TrRoad_act!R55*1000
)</f>
        <v>2084.8845768261135</v>
      </c>
      <c r="S79" s="88">
        <f>IF(TrRoad_act!S55=0,0,S42/TrRoad_act!S55*1000
)</f>
        <v>1977.2868021822073</v>
      </c>
      <c r="T79" s="88">
        <f>IF(TrRoad_act!T55=0,0,T42/TrRoad_act!T55*1000
)</f>
        <v>2163.4571788253929</v>
      </c>
      <c r="U79" s="88">
        <f>IF(TrRoad_act!U55=0,0,U42/TrRoad_act!U55*1000
)</f>
        <v>3617.9775006144587</v>
      </c>
      <c r="V79" s="88">
        <f>IF(TrRoad_act!V55=0,0,V42/TrRoad_act!V55*1000
)</f>
        <v>3284.3863590881469</v>
      </c>
      <c r="W79" s="88">
        <f>IF(TrRoad_act!W55=0,0,W42/TrRoad_act!W55*1000
)</f>
        <v>2584.6306593512454</v>
      </c>
      <c r="X79" s="88">
        <f>IF(TrRoad_act!X55=0,0,X42/TrRoad_act!X55*1000
)</f>
        <v>2927.2327558662973</v>
      </c>
      <c r="Y79" s="88">
        <f>IF(TrRoad_act!Y55=0,0,Y42/TrRoad_act!Y55*1000
)</f>
        <v>3124.4428383499853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115.22554150590884</v>
      </c>
      <c r="C82" s="29">
        <f>IF(TrRoad_act!C4=0,0,C18/TrRoad_act!C4*1000)</f>
        <v>112.08167439257498</v>
      </c>
      <c r="D82" s="29">
        <f>IF(TrRoad_act!D4=0,0,D18/TrRoad_act!D4*1000)</f>
        <v>111.44149401306554</v>
      </c>
      <c r="E82" s="29">
        <f>IF(TrRoad_act!E4=0,0,E18/TrRoad_act!E4*1000)</f>
        <v>116.57187245624615</v>
      </c>
      <c r="F82" s="29">
        <f>IF(TrRoad_act!F4=0,0,F18/TrRoad_act!F4*1000)</f>
        <v>110.09664082687804</v>
      </c>
      <c r="G82" s="29">
        <f>IF(TrRoad_act!G4=0,0,G18/TrRoad_act!G4*1000)</f>
        <v>111.66413401876353</v>
      </c>
      <c r="H82" s="29">
        <f>IF(TrRoad_act!H4=0,0,H18/TrRoad_act!H4*1000)</f>
        <v>108.74721129645714</v>
      </c>
      <c r="I82" s="29">
        <f>IF(TrRoad_act!I4=0,0,I18/TrRoad_act!I4*1000)</f>
        <v>108.66682976129752</v>
      </c>
      <c r="J82" s="29">
        <f>IF(TrRoad_act!J4=0,0,J18/TrRoad_act!J4*1000)</f>
        <v>101.09765562589791</v>
      </c>
      <c r="K82" s="29">
        <f>IF(TrRoad_act!K4=0,0,K18/TrRoad_act!K4*1000)</f>
        <v>106.05930860983727</v>
      </c>
      <c r="L82" s="29">
        <f>IF(TrRoad_act!L4=0,0,L18/TrRoad_act!L4*1000)</f>
        <v>96.444310593901477</v>
      </c>
      <c r="M82" s="29">
        <f>IF(TrRoad_act!M4=0,0,M18/TrRoad_act!M4*1000)</f>
        <v>94.22975062062207</v>
      </c>
      <c r="N82" s="29">
        <f>IF(TrRoad_act!N4=0,0,N18/TrRoad_act!N4*1000)</f>
        <v>80.806518141986317</v>
      </c>
      <c r="O82" s="29">
        <f>IF(TrRoad_act!O4=0,0,O18/TrRoad_act!O4*1000)</f>
        <v>77.924706365503454</v>
      </c>
      <c r="P82" s="29">
        <f>IF(TrRoad_act!P4=0,0,P18/TrRoad_act!P4*1000)</f>
        <v>74.610987653981994</v>
      </c>
      <c r="Q82" s="29">
        <f>IF(TrRoad_act!Q4=0,0,Q18/TrRoad_act!Q4*1000)</f>
        <v>74.764452052567165</v>
      </c>
      <c r="R82" s="29">
        <f>IF(TrRoad_act!R4=0,0,R18/TrRoad_act!R4*1000)</f>
        <v>74.349794263833331</v>
      </c>
      <c r="S82" s="29">
        <f>IF(TrRoad_act!S4=0,0,S18/TrRoad_act!S4*1000)</f>
        <v>73.376166959773812</v>
      </c>
      <c r="T82" s="29">
        <f>IF(TrRoad_act!T4=0,0,T18/TrRoad_act!T4*1000)</f>
        <v>72.363003123124372</v>
      </c>
      <c r="U82" s="29">
        <f>IF(TrRoad_act!U4=0,0,U18/TrRoad_act!U4*1000)</f>
        <v>72.307935478226199</v>
      </c>
      <c r="V82" s="29">
        <f>IF(TrRoad_act!V4=0,0,V18/TrRoad_act!V4*1000)</f>
        <v>72.378371576875494</v>
      </c>
      <c r="W82" s="29">
        <f>IF(TrRoad_act!W4=0,0,W18/TrRoad_act!W4*1000)</f>
        <v>72.33577821214061</v>
      </c>
      <c r="X82" s="29">
        <f>IF(TrRoad_act!X4=0,0,X18/TrRoad_act!X4*1000)</f>
        <v>73.046730817903764</v>
      </c>
      <c r="Y82" s="29">
        <f>IF(TrRoad_act!Y4=0,0,Y18/TrRoad_act!Y4*1000)</f>
        <v>73.536089774318157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112.00813987416316</v>
      </c>
      <c r="C83" s="152">
        <f>IF(TrRoad_act!C5=0,0,C19/TrRoad_act!C5*1000)</f>
        <v>114.76642405448652</v>
      </c>
      <c r="D83" s="152">
        <f>IF(TrRoad_act!D5=0,0,D19/TrRoad_act!D5*1000)</f>
        <v>113.92163485988728</v>
      </c>
      <c r="E83" s="152">
        <f>IF(TrRoad_act!E5=0,0,E19/TrRoad_act!E5*1000)</f>
        <v>112.55407253367895</v>
      </c>
      <c r="F83" s="152">
        <f>IF(TrRoad_act!F5=0,0,F19/TrRoad_act!F5*1000)</f>
        <v>109.16822884880777</v>
      </c>
      <c r="G83" s="152">
        <f>IF(TrRoad_act!G5=0,0,G19/TrRoad_act!G5*1000)</f>
        <v>109.9472546376806</v>
      </c>
      <c r="H83" s="152">
        <f>IF(TrRoad_act!H5=0,0,H19/TrRoad_act!H5*1000)</f>
        <v>105.83211062959569</v>
      </c>
      <c r="I83" s="152">
        <f>IF(TrRoad_act!I5=0,0,I19/TrRoad_act!I5*1000)</f>
        <v>103.3743690798018</v>
      </c>
      <c r="J83" s="152">
        <f>IF(TrRoad_act!J5=0,0,J19/TrRoad_act!J5*1000)</f>
        <v>103.65749004251994</v>
      </c>
      <c r="K83" s="152">
        <f>IF(TrRoad_act!K5=0,0,K19/TrRoad_act!K5*1000)</f>
        <v>103.9040672671745</v>
      </c>
      <c r="L83" s="152">
        <f>IF(TrRoad_act!L5=0,0,L19/TrRoad_act!L5*1000)</f>
        <v>103.09242705758466</v>
      </c>
      <c r="M83" s="152">
        <f>IF(TrRoad_act!M5=0,0,M19/TrRoad_act!M5*1000)</f>
        <v>101.90882639982044</v>
      </c>
      <c r="N83" s="152">
        <f>IF(TrRoad_act!N5=0,0,N19/TrRoad_act!N5*1000)</f>
        <v>100.64305397746396</v>
      </c>
      <c r="O83" s="152">
        <f>IF(TrRoad_act!O5=0,0,O19/TrRoad_act!O5*1000)</f>
        <v>98.842344107278009</v>
      </c>
      <c r="P83" s="152">
        <f>IF(TrRoad_act!P5=0,0,P19/TrRoad_act!P5*1000)</f>
        <v>94.875549084394976</v>
      </c>
      <c r="Q83" s="152">
        <f>IF(TrRoad_act!Q5=0,0,Q19/TrRoad_act!Q5*1000)</f>
        <v>93.399628131028223</v>
      </c>
      <c r="R83" s="152">
        <f>IF(TrRoad_act!R5=0,0,R19/TrRoad_act!R5*1000)</f>
        <v>92.282513939203241</v>
      </c>
      <c r="S83" s="152">
        <f>IF(TrRoad_act!S5=0,0,S19/TrRoad_act!S5*1000)</f>
        <v>91.764539906616321</v>
      </c>
      <c r="T83" s="152">
        <f>IF(TrRoad_act!T5=0,0,T19/TrRoad_act!T5*1000)</f>
        <v>90.217641234241867</v>
      </c>
      <c r="U83" s="152">
        <f>IF(TrRoad_act!U5=0,0,U19/TrRoad_act!U5*1000)</f>
        <v>88.080056201691036</v>
      </c>
      <c r="V83" s="152">
        <f>IF(TrRoad_act!V5=0,0,V19/TrRoad_act!V5*1000)</f>
        <v>85.300610342492405</v>
      </c>
      <c r="W83" s="152">
        <f>IF(TrRoad_act!W5=0,0,W19/TrRoad_act!W5*1000)</f>
        <v>84.394993368011413</v>
      </c>
      <c r="X83" s="152">
        <f>IF(TrRoad_act!X5=0,0,X19/TrRoad_act!X5*1000)</f>
        <v>86.731578825290356</v>
      </c>
      <c r="Y83" s="152">
        <f>IF(TrRoad_act!Y5=0,0,Y19/TrRoad_act!Y5*1000)</f>
        <v>84.580606398902205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127.24479296592955</v>
      </c>
      <c r="C84" s="116">
        <f>IF(TrRoad_act!C6=0,0,C20/TrRoad_act!C6*1000)</f>
        <v>122.86328339525204</v>
      </c>
      <c r="D84" s="116">
        <f>IF(TrRoad_act!D6=0,0,D20/TrRoad_act!D6*1000)</f>
        <v>121.86561544733617</v>
      </c>
      <c r="E84" s="116">
        <f>IF(TrRoad_act!E6=0,0,E20/TrRoad_act!E6*1000)</f>
        <v>121.91171526761029</v>
      </c>
      <c r="F84" s="116">
        <f>IF(TrRoad_act!F6=0,0,F20/TrRoad_act!F6*1000)</f>
        <v>119.35796090549843</v>
      </c>
      <c r="G84" s="116">
        <f>IF(TrRoad_act!G6=0,0,G20/TrRoad_act!G6*1000)</f>
        <v>118.45526003233333</v>
      </c>
      <c r="H84" s="116">
        <f>IF(TrRoad_act!H6=0,0,H20/TrRoad_act!H6*1000)</f>
        <v>115.48421505661942</v>
      </c>
      <c r="I84" s="116">
        <f>IF(TrRoad_act!I6=0,0,I20/TrRoad_act!I6*1000)</f>
        <v>115.13227462379918</v>
      </c>
      <c r="J84" s="116">
        <f>IF(TrRoad_act!J6=0,0,J20/TrRoad_act!J6*1000)</f>
        <v>106.64988676125195</v>
      </c>
      <c r="K84" s="116">
        <f>IF(TrRoad_act!K6=0,0,K20/TrRoad_act!K6*1000)</f>
        <v>108.54663510200756</v>
      </c>
      <c r="L84" s="116">
        <f>IF(TrRoad_act!L6=0,0,L20/TrRoad_act!L6*1000)</f>
        <v>99.344197187003104</v>
      </c>
      <c r="M84" s="116">
        <f>IF(TrRoad_act!M6=0,0,M20/TrRoad_act!M6*1000)</f>
        <v>95.488790420833666</v>
      </c>
      <c r="N84" s="116">
        <f>IF(TrRoad_act!N6=0,0,N20/TrRoad_act!N6*1000)</f>
        <v>81.612857633343367</v>
      </c>
      <c r="O84" s="116">
        <f>IF(TrRoad_act!O6=0,0,O20/TrRoad_act!O6*1000)</f>
        <v>76.04953651445301</v>
      </c>
      <c r="P84" s="116">
        <f>IF(TrRoad_act!P6=0,0,P20/TrRoad_act!P6*1000)</f>
        <v>72.597611689085113</v>
      </c>
      <c r="Q84" s="116">
        <f>IF(TrRoad_act!Q6=0,0,Q20/TrRoad_act!Q6*1000)</f>
        <v>73.751182586851741</v>
      </c>
      <c r="R84" s="116">
        <f>IF(TrRoad_act!R6=0,0,R20/TrRoad_act!R6*1000)</f>
        <v>72.900653589361895</v>
      </c>
      <c r="S84" s="116">
        <f>IF(TrRoad_act!S6=0,0,S20/TrRoad_act!S6*1000)</f>
        <v>71.479515785832319</v>
      </c>
      <c r="T84" s="116">
        <f>IF(TrRoad_act!T6=0,0,T20/TrRoad_act!T6*1000)</f>
        <v>70.210199028654344</v>
      </c>
      <c r="U84" s="116">
        <f>IF(TrRoad_act!U6=0,0,U20/TrRoad_act!U6*1000)</f>
        <v>69.615965507193195</v>
      </c>
      <c r="V84" s="116">
        <f>IF(TrRoad_act!V6=0,0,V20/TrRoad_act!V6*1000)</f>
        <v>64.294369110574962</v>
      </c>
      <c r="W84" s="116">
        <f>IF(TrRoad_act!W6=0,0,W20/TrRoad_act!W6*1000)</f>
        <v>65.492383052643348</v>
      </c>
      <c r="X84" s="116">
        <f>IF(TrRoad_act!X6=0,0,X20/TrRoad_act!X6*1000)</f>
        <v>67.911562682897639</v>
      </c>
      <c r="Y84" s="116">
        <f>IF(TrRoad_act!Y6=0,0,Y20/TrRoad_act!Y6*1000)</f>
        <v>69.090211892306286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128.73332685265999</v>
      </c>
      <c r="C85" s="87">
        <f>IF(TrRoad_act!C7=0,0,C21/TrRoad_act!C7*1000)</f>
        <v>123.78980670540889</v>
      </c>
      <c r="D85" s="87">
        <f>IF(TrRoad_act!D7=0,0,D21/TrRoad_act!D7*1000)</f>
        <v>122.69754559379028</v>
      </c>
      <c r="E85" s="87">
        <f>IF(TrRoad_act!E7=0,0,E21/TrRoad_act!E7*1000)</f>
        <v>122.82876616985592</v>
      </c>
      <c r="F85" s="87">
        <f>IF(TrRoad_act!F7=0,0,F21/TrRoad_act!F7*1000)</f>
        <v>119.95557221944817</v>
      </c>
      <c r="G85" s="87">
        <f>IF(TrRoad_act!G7=0,0,G21/TrRoad_act!G7*1000)</f>
        <v>118.89898716471507</v>
      </c>
      <c r="H85" s="87">
        <f>IF(TrRoad_act!H7=0,0,H21/TrRoad_act!H7*1000)</f>
        <v>115.96868018381504</v>
      </c>
      <c r="I85" s="87">
        <f>IF(TrRoad_act!I7=0,0,I21/TrRoad_act!I7*1000)</f>
        <v>115.53689142931844</v>
      </c>
      <c r="J85" s="87">
        <f>IF(TrRoad_act!J7=0,0,J21/TrRoad_act!J7*1000)</f>
        <v>106.83229961464599</v>
      </c>
      <c r="K85" s="87">
        <f>IF(TrRoad_act!K7=0,0,K21/TrRoad_act!K7*1000)</f>
        <v>108.4128251721253</v>
      </c>
      <c r="L85" s="87">
        <f>IF(TrRoad_act!L7=0,0,L21/TrRoad_act!L7*1000)</f>
        <v>98.66779007076974</v>
      </c>
      <c r="M85" s="87">
        <f>IF(TrRoad_act!M7=0,0,M21/TrRoad_act!M7*1000)</f>
        <v>92.161277376707346</v>
      </c>
      <c r="N85" s="87">
        <f>IF(TrRoad_act!N7=0,0,N21/TrRoad_act!N7*1000)</f>
        <v>80.003719381967272</v>
      </c>
      <c r="O85" s="87">
        <f>IF(TrRoad_act!O7=0,0,O21/TrRoad_act!O7*1000)</f>
        <v>75.373874585810853</v>
      </c>
      <c r="P85" s="87">
        <f>IF(TrRoad_act!P7=0,0,P21/TrRoad_act!P7*1000)</f>
        <v>72.963504999448787</v>
      </c>
      <c r="Q85" s="87">
        <f>IF(TrRoad_act!Q7=0,0,Q21/TrRoad_act!Q7*1000)</f>
        <v>69.797943251678205</v>
      </c>
      <c r="R85" s="87">
        <f>IF(TrRoad_act!R7=0,0,R21/TrRoad_act!R7*1000)</f>
        <v>69.34005694285915</v>
      </c>
      <c r="S85" s="87">
        <f>IF(TrRoad_act!S7=0,0,S21/TrRoad_act!S7*1000)</f>
        <v>67.54086233819686</v>
      </c>
      <c r="T85" s="87">
        <f>IF(TrRoad_act!T7=0,0,T21/TrRoad_act!T7*1000)</f>
        <v>66.809231330338079</v>
      </c>
      <c r="U85" s="87">
        <f>IF(TrRoad_act!U7=0,0,U21/TrRoad_act!U7*1000)</f>
        <v>66.237206615172269</v>
      </c>
      <c r="V85" s="87">
        <f>IF(TrRoad_act!V7=0,0,V21/TrRoad_act!V7*1000)</f>
        <v>61.565294151458026</v>
      </c>
      <c r="W85" s="87">
        <f>IF(TrRoad_act!W7=0,0,W21/TrRoad_act!W7*1000)</f>
        <v>61.727638883434473</v>
      </c>
      <c r="X85" s="87">
        <f>IF(TrRoad_act!X7=0,0,X21/TrRoad_act!X7*1000)</f>
        <v>62.873402923903853</v>
      </c>
      <c r="Y85" s="87">
        <f>IF(TrRoad_act!Y7=0,0,Y21/TrRoad_act!Y7*1000)</f>
        <v>62.825474680239097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107.62010010350551</v>
      </c>
      <c r="C86" s="87">
        <f>IF(TrRoad_act!C8=0,0,C22/TrRoad_act!C8*1000)</f>
        <v>107.66875773539134</v>
      </c>
      <c r="D86" s="87">
        <f>IF(TrRoad_act!D8=0,0,D22/TrRoad_act!D8*1000)</f>
        <v>107.02566082961317</v>
      </c>
      <c r="E86" s="87">
        <f>IF(TrRoad_act!E8=0,0,E22/TrRoad_act!E8*1000)</f>
        <v>106.80705581493561</v>
      </c>
      <c r="F86" s="87">
        <f>IF(TrRoad_act!F8=0,0,F22/TrRoad_act!F8*1000)</f>
        <v>107.27290963162447</v>
      </c>
      <c r="G86" s="87">
        <f>IF(TrRoad_act!G8=0,0,G22/TrRoad_act!G8*1000)</f>
        <v>108.80345899374235</v>
      </c>
      <c r="H86" s="87">
        <f>IF(TrRoad_act!H8=0,0,H22/TrRoad_act!H8*1000)</f>
        <v>105.53484355096141</v>
      </c>
      <c r="I86" s="87">
        <f>IF(TrRoad_act!I8=0,0,I22/TrRoad_act!I8*1000)</f>
        <v>106.71534461172941</v>
      </c>
      <c r="J86" s="87">
        <f>IF(TrRoad_act!J8=0,0,J22/TrRoad_act!J8*1000)</f>
        <v>101.50773755003738</v>
      </c>
      <c r="K86" s="87">
        <f>IF(TrRoad_act!K8=0,0,K22/TrRoad_act!K8*1000)</f>
        <v>109.79865525160828</v>
      </c>
      <c r="L86" s="87">
        <f>IF(TrRoad_act!L8=0,0,L22/TrRoad_act!L8*1000)</f>
        <v>107.57099368265924</v>
      </c>
      <c r="M86" s="87">
        <f>IF(TrRoad_act!M8=0,0,M22/TrRoad_act!M8*1000)</f>
        <v>105.46830762342026</v>
      </c>
      <c r="N86" s="87">
        <f>IF(TrRoad_act!N8=0,0,N22/TrRoad_act!N8*1000)</f>
        <v>103.33788677472837</v>
      </c>
      <c r="O86" s="87">
        <f>IF(TrRoad_act!O8=0,0,O22/TrRoad_act!O8*1000)</f>
        <v>65.709245095534968</v>
      </c>
      <c r="P86" s="87">
        <f>IF(TrRoad_act!P8=0,0,P22/TrRoad_act!P8*1000)</f>
        <v>51.131354802840406</v>
      </c>
      <c r="Q86" s="87">
        <f>IF(TrRoad_act!Q8=0,0,Q22/TrRoad_act!Q8*1000)</f>
        <v>104.51676006587157</v>
      </c>
      <c r="R86" s="87">
        <f>IF(TrRoad_act!R8=0,0,R22/TrRoad_act!R8*1000)</f>
        <v>97.191795884338646</v>
      </c>
      <c r="S86" s="87">
        <f>IF(TrRoad_act!S8=0,0,S22/TrRoad_act!S8*1000)</f>
        <v>93.815729349657843</v>
      </c>
      <c r="T86" s="87">
        <f>IF(TrRoad_act!T8=0,0,T22/TrRoad_act!T8*1000)</f>
        <v>83.603999710052108</v>
      </c>
      <c r="U86" s="87">
        <f>IF(TrRoad_act!U8=0,0,U22/TrRoad_act!U8*1000)</f>
        <v>79.185829781300143</v>
      </c>
      <c r="V86" s="87">
        <f>IF(TrRoad_act!V8=0,0,V22/TrRoad_act!V8*1000)</f>
        <v>67.246897056879192</v>
      </c>
      <c r="W86" s="87">
        <f>IF(TrRoad_act!W8=0,0,W22/TrRoad_act!W8*1000)</f>
        <v>74.368640835662205</v>
      </c>
      <c r="X86" s="87">
        <f>IF(TrRoad_act!X8=0,0,X22/TrRoad_act!X8*1000)</f>
        <v>83.108209465591983</v>
      </c>
      <c r="Y86" s="87">
        <f>IF(TrRoad_act!Y8=0,0,Y22/TrRoad_act!Y8*1000)</f>
        <v>90.553408988824614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127.86335963346521</v>
      </c>
      <c r="C87" s="87">
        <f>IF(TrRoad_act!C9=0,0,C23/TrRoad_act!C9*1000)</f>
        <v>141.06119960916047</v>
      </c>
      <c r="D87" s="87">
        <f>IF(TrRoad_act!D9=0,0,D23/TrRoad_act!D9*1000)</f>
        <v>145.51290357747394</v>
      </c>
      <c r="E87" s="87">
        <f>IF(TrRoad_act!E9=0,0,E23/TrRoad_act!E9*1000)</f>
        <v>132.56226039477266</v>
      </c>
      <c r="F87" s="87">
        <f>IF(TrRoad_act!F9=0,0,F23/TrRoad_act!F9*1000)</f>
        <v>134.22689759611461</v>
      </c>
      <c r="G87" s="87">
        <f>IF(TrRoad_act!G9=0,0,G23/TrRoad_act!G9*1000)</f>
        <v>135.72689146649802</v>
      </c>
      <c r="H87" s="87">
        <f>IF(TrRoad_act!H9=0,0,H23/TrRoad_act!H9*1000)</f>
        <v>134.46501422052069</v>
      </c>
      <c r="I87" s="87">
        <f>IF(TrRoad_act!I9=0,0,I23/TrRoad_act!I9*1000)</f>
        <v>132.26674215637473</v>
      </c>
      <c r="J87" s="87">
        <f>IF(TrRoad_act!J9=0,0,J23/TrRoad_act!J9*1000)</f>
        <v>130.81696383577179</v>
      </c>
      <c r="K87" s="87">
        <f>IF(TrRoad_act!K9=0,0,K23/TrRoad_act!K9*1000)</f>
        <v>123.52936159974881</v>
      </c>
      <c r="L87" s="87">
        <f>IF(TrRoad_act!L9=0,0,L23/TrRoad_act!L9*1000)</f>
        <v>120.59151644464521</v>
      </c>
      <c r="M87" s="87">
        <f>IF(TrRoad_act!M9=0,0,M23/TrRoad_act!M9*1000)</f>
        <v>186.97606278000347</v>
      </c>
      <c r="N87" s="87">
        <f>IF(TrRoad_act!N9=0,0,N23/TrRoad_act!N9*1000)</f>
        <v>99.520962655248198</v>
      </c>
      <c r="O87" s="87">
        <f>IF(TrRoad_act!O9=0,0,O23/TrRoad_act!O9*1000)</f>
        <v>93.986200519607124</v>
      </c>
      <c r="P87" s="87">
        <f>IF(TrRoad_act!P9=0,0,P23/TrRoad_act!P9*1000)</f>
        <v>91.784437349806026</v>
      </c>
      <c r="Q87" s="87">
        <f>IF(TrRoad_act!Q9=0,0,Q23/TrRoad_act!Q9*1000)</f>
        <v>90.674834245011979</v>
      </c>
      <c r="R87" s="87">
        <f>IF(TrRoad_act!R9=0,0,R23/TrRoad_act!R9*1000)</f>
        <v>82.506728409192661</v>
      </c>
      <c r="S87" s="87">
        <f>IF(TrRoad_act!S9=0,0,S23/TrRoad_act!S9*1000)</f>
        <v>81.037772729568545</v>
      </c>
      <c r="T87" s="87">
        <f>IF(TrRoad_act!T9=0,0,T23/TrRoad_act!T9*1000)</f>
        <v>80.94942013133732</v>
      </c>
      <c r="U87" s="87">
        <f>IF(TrRoad_act!U9=0,0,U23/TrRoad_act!U9*1000)</f>
        <v>81.670770546190511</v>
      </c>
      <c r="V87" s="87">
        <f>IF(TrRoad_act!V9=0,0,V23/TrRoad_act!V9*1000)</f>
        <v>86.40057488550984</v>
      </c>
      <c r="W87" s="87">
        <f>IF(TrRoad_act!W9=0,0,W23/TrRoad_act!W9*1000)</f>
        <v>82.463143653394326</v>
      </c>
      <c r="X87" s="87">
        <f>IF(TrRoad_act!X9=0,0,X23/TrRoad_act!X9*1000)</f>
        <v>80.380352129860654</v>
      </c>
      <c r="Y87" s="87">
        <f>IF(TrRoad_act!Y9=0,0,Y23/TrRoad_act!Y9*1000)</f>
        <v>78.145355369630948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112.56580427688075</v>
      </c>
      <c r="D88" s="87">
        <f>IF(TrRoad_act!D10=0,0,D24/TrRoad_act!D10*1000)</f>
        <v>113.48408214202475</v>
      </c>
      <c r="E88" s="87">
        <f>IF(TrRoad_act!E10=0,0,E24/TrRoad_act!E10*1000)</f>
        <v>114.45219085527141</v>
      </c>
      <c r="F88" s="87">
        <f>IF(TrRoad_act!F10=0,0,F24/TrRoad_act!F10*1000)</f>
        <v>115.58138362831491</v>
      </c>
      <c r="G88" s="87">
        <f>IF(TrRoad_act!G10=0,0,G24/TrRoad_act!G10*1000)</f>
        <v>116.39797296804045</v>
      </c>
      <c r="H88" s="87">
        <f>IF(TrRoad_act!H10=0,0,H24/TrRoad_act!H10*1000)</f>
        <v>116.12795789300421</v>
      </c>
      <c r="I88" s="87">
        <f>IF(TrRoad_act!I10=0,0,I24/TrRoad_act!I10*1000)</f>
        <v>115.15874726697285</v>
      </c>
      <c r="J88" s="87">
        <f>IF(TrRoad_act!J10=0,0,J24/TrRoad_act!J10*1000)</f>
        <v>114.68689542160804</v>
      </c>
      <c r="K88" s="87">
        <f>IF(TrRoad_act!K10=0,0,K24/TrRoad_act!K10*1000)</f>
        <v>109.90032707546872</v>
      </c>
      <c r="L88" s="87">
        <f>IF(TrRoad_act!L10=0,0,L24/TrRoad_act!L10*1000)</f>
        <v>107.1435130628681</v>
      </c>
      <c r="M88" s="87">
        <f>IF(TrRoad_act!M10=0,0,M24/TrRoad_act!M10*1000)</f>
        <v>98.612009098786572</v>
      </c>
      <c r="N88" s="87">
        <f>IF(TrRoad_act!N10=0,0,N24/TrRoad_act!N10*1000)</f>
        <v>85.692575908612511</v>
      </c>
      <c r="O88" s="87">
        <f>IF(TrRoad_act!O10=0,0,O24/TrRoad_act!O10*1000)</f>
        <v>81.870225017922891</v>
      </c>
      <c r="P88" s="87">
        <f>IF(TrRoad_act!P10=0,0,P24/TrRoad_act!P10*1000)</f>
        <v>79.71150989521071</v>
      </c>
      <c r="Q88" s="87">
        <f>IF(TrRoad_act!Q10=0,0,Q24/TrRoad_act!Q10*1000)</f>
        <v>72.36594572327752</v>
      </c>
      <c r="R88" s="87">
        <f>IF(TrRoad_act!R10=0,0,R24/TrRoad_act!R10*1000)</f>
        <v>70.160772174671919</v>
      </c>
      <c r="S88" s="87">
        <f>IF(TrRoad_act!S10=0,0,S24/TrRoad_act!S10*1000)</f>
        <v>68.657124939253265</v>
      </c>
      <c r="T88" s="87">
        <f>IF(TrRoad_act!T10=0,0,T24/TrRoad_act!T10*1000)</f>
        <v>67.25728158962518</v>
      </c>
      <c r="U88" s="87">
        <f>IF(TrRoad_act!U10=0,0,U24/TrRoad_act!U10*1000)</f>
        <v>64.062304104480219</v>
      </c>
      <c r="V88" s="87">
        <f>IF(TrRoad_act!V10=0,0,V24/TrRoad_act!V10*1000)</f>
        <v>60.476664764937659</v>
      </c>
      <c r="W88" s="87">
        <f>IF(TrRoad_act!W10=0,0,W24/TrRoad_act!W10*1000)</f>
        <v>51.809646038662436</v>
      </c>
      <c r="X88" s="87">
        <f>IF(TrRoad_act!X10=0,0,X24/TrRoad_act!X10*1000)</f>
        <v>49.686292169838161</v>
      </c>
      <c r="Y88" s="87">
        <f>IF(TrRoad_act!Y10=0,0,Y24/TrRoad_act!Y10*1000)</f>
        <v>47.97818037121128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18.512487169999986</v>
      </c>
      <c r="O89" s="87">
        <f>IF(TrRoad_act!O11=0,0,O25/TrRoad_act!O11*1000)</f>
        <v>5.4296736719819636</v>
      </c>
      <c r="P89" s="87">
        <f>IF(TrRoad_act!P11=0,0,P25/TrRoad_act!P11*1000)</f>
        <v>10.533731915573808</v>
      </c>
      <c r="Q89" s="87">
        <f>IF(TrRoad_act!Q11=0,0,Q25/TrRoad_act!Q11*1000)</f>
        <v>12.995547650905122</v>
      </c>
      <c r="R89" s="87">
        <f>IF(TrRoad_act!R11=0,0,R25/TrRoad_act!R11*1000)</f>
        <v>17.683247839907505</v>
      </c>
      <c r="S89" s="87">
        <f>IF(TrRoad_act!S11=0,0,S25/TrRoad_act!S11*1000)</f>
        <v>20.693004597070633</v>
      </c>
      <c r="T89" s="87">
        <f>IF(TrRoad_act!T11=0,0,T25/TrRoad_act!T11*1000)</f>
        <v>22.429650001397704</v>
      </c>
      <c r="U89" s="87">
        <f>IF(TrRoad_act!U11=0,0,U25/TrRoad_act!U11*1000)</f>
        <v>23.874889981145586</v>
      </c>
      <c r="V89" s="87">
        <f>IF(TrRoad_act!V11=0,0,V25/TrRoad_act!V11*1000)</f>
        <v>18.015292869699401</v>
      </c>
      <c r="W89" s="87">
        <f>IF(TrRoad_act!W11=0,0,W25/TrRoad_act!W11*1000)</f>
        <v>15.929420486964121</v>
      </c>
      <c r="X89" s="87">
        <f>IF(TrRoad_act!X11=0,0,X25/TrRoad_act!X11*1000)</f>
        <v>15.901073937850354</v>
      </c>
      <c r="Y89" s="87">
        <f>IF(TrRoad_act!Y11=0,0,Y25/TrRoad_act!Y11*1000)</f>
        <v>14.727531908322185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80.980504775688615</v>
      </c>
      <c r="C91" s="116">
        <f>IF(TrRoad_act!C13=0,0,C27/TrRoad_act!C13*1000)</f>
        <v>77.880320604146235</v>
      </c>
      <c r="D91" s="116">
        <f>IF(TrRoad_act!D13=0,0,D27/TrRoad_act!D13*1000)</f>
        <v>76.747268500174684</v>
      </c>
      <c r="E91" s="116">
        <f>IF(TrRoad_act!E13=0,0,E27/TrRoad_act!E13*1000)</f>
        <v>99.080252854076008</v>
      </c>
      <c r="F91" s="116">
        <f>IF(TrRoad_act!F13=0,0,F27/TrRoad_act!F13*1000)</f>
        <v>76.038548444211202</v>
      </c>
      <c r="G91" s="116">
        <f>IF(TrRoad_act!G13=0,0,G27/TrRoad_act!G13*1000)</f>
        <v>85.520538581848015</v>
      </c>
      <c r="H91" s="116">
        <f>IF(TrRoad_act!H13=0,0,H27/TrRoad_act!H13*1000)</f>
        <v>81.667313309104358</v>
      </c>
      <c r="I91" s="116">
        <f>IF(TrRoad_act!I13=0,0,I27/TrRoad_act!I13*1000)</f>
        <v>82.100014759522537</v>
      </c>
      <c r="J91" s="116">
        <f>IF(TrRoad_act!J13=0,0,J27/TrRoad_act!J13*1000)</f>
        <v>75.278493919242422</v>
      </c>
      <c r="K91" s="116">
        <f>IF(TrRoad_act!K13=0,0,K27/TrRoad_act!K13*1000)</f>
        <v>94.64785336014792</v>
      </c>
      <c r="L91" s="116">
        <f>IF(TrRoad_act!L13=0,0,L27/TrRoad_act!L13*1000)</f>
        <v>80.447251921348197</v>
      </c>
      <c r="M91" s="116">
        <f>IF(TrRoad_act!M13=0,0,M27/TrRoad_act!M13*1000)</f>
        <v>85.628752397331567</v>
      </c>
      <c r="N91" s="116">
        <f>IF(TrRoad_act!N13=0,0,N27/TrRoad_act!N13*1000)</f>
        <v>69.679228404593644</v>
      </c>
      <c r="O91" s="116">
        <f>IF(TrRoad_act!O13=0,0,O27/TrRoad_act!O13*1000)</f>
        <v>78.467026934639762</v>
      </c>
      <c r="P91" s="116">
        <f>IF(TrRoad_act!P13=0,0,P27/TrRoad_act!P13*1000)</f>
        <v>75.763572820793001</v>
      </c>
      <c r="Q91" s="116">
        <f>IF(TrRoad_act!Q13=0,0,Q27/TrRoad_act!Q13*1000)</f>
        <v>71.970552644395212</v>
      </c>
      <c r="R91" s="116">
        <f>IF(TrRoad_act!R13=0,0,R27/TrRoad_act!R13*1000)</f>
        <v>73.751363545490292</v>
      </c>
      <c r="S91" s="116">
        <f>IF(TrRoad_act!S13=0,0,S27/TrRoad_act!S13*1000)</f>
        <v>75.418316626988513</v>
      </c>
      <c r="T91" s="116">
        <f>IF(TrRoad_act!T13=0,0,T27/TrRoad_act!T13*1000)</f>
        <v>76.505350077139113</v>
      </c>
      <c r="U91" s="116">
        <f>IF(TrRoad_act!U13=0,0,U27/TrRoad_act!U13*1000)</f>
        <v>79.907189776078823</v>
      </c>
      <c r="V91" s="116">
        <f>IF(TrRoad_act!V13=0,0,V27/TrRoad_act!V13*1000)</f>
        <v>120.57171504610554</v>
      </c>
      <c r="W91" s="116">
        <f>IF(TrRoad_act!W13=0,0,W27/TrRoad_act!W13*1000)</f>
        <v>114.21403017859654</v>
      </c>
      <c r="X91" s="116">
        <f>IF(TrRoad_act!X13=0,0,X27/TrRoad_act!X13*1000)</f>
        <v>97.202830988076798</v>
      </c>
      <c r="Y91" s="116">
        <f>IF(TrRoad_act!Y13=0,0,Y27/TrRoad_act!Y13*1000)</f>
        <v>94.384450531071622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X92" s="101">
        <f>IF(TrRoad_act!X14=0,0,X28/TrRoad_act!X14*1000)</f>
        <v>0</v>
      </c>
      <c r="Y92" s="101">
        <f>IF(TrRoad_act!Y14=0,0,Y28/TrRoad_act!Y14*1000)</f>
        <v>0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80.980504775688615</v>
      </c>
      <c r="C93" s="101">
        <f>IF(TrRoad_act!C15=0,0,C29/TrRoad_act!C15*1000)</f>
        <v>78.507305465103087</v>
      </c>
      <c r="D93" s="101">
        <f>IF(TrRoad_act!D15=0,0,D29/TrRoad_act!D15*1000)</f>
        <v>77.661512497102066</v>
      </c>
      <c r="E93" s="101">
        <f>IF(TrRoad_act!E15=0,0,E29/TrRoad_act!E15*1000)</f>
        <v>100.65093820030452</v>
      </c>
      <c r="F93" s="101">
        <f>IF(TrRoad_act!F15=0,0,F29/TrRoad_act!F15*1000)</f>
        <v>77.008454053383289</v>
      </c>
      <c r="G93" s="101">
        <f>IF(TrRoad_act!G15=0,0,G29/TrRoad_act!G15*1000)</f>
        <v>86.752887784576586</v>
      </c>
      <c r="H93" s="101">
        <f>IF(TrRoad_act!H15=0,0,H29/TrRoad_act!H15*1000)</f>
        <v>82.805924944088758</v>
      </c>
      <c r="I93" s="101">
        <f>IF(TrRoad_act!I15=0,0,I29/TrRoad_act!I15*1000)</f>
        <v>83.466392860580598</v>
      </c>
      <c r="J93" s="101">
        <f>IF(TrRoad_act!J15=0,0,J29/TrRoad_act!J15*1000)</f>
        <v>76.544251825797787</v>
      </c>
      <c r="K93" s="101">
        <f>IF(TrRoad_act!K15=0,0,K29/TrRoad_act!K15*1000)</f>
        <v>96.375379565993725</v>
      </c>
      <c r="L93" s="101">
        <f>IF(TrRoad_act!L15=0,0,L29/TrRoad_act!L15*1000)</f>
        <v>81.712096294380231</v>
      </c>
      <c r="M93" s="101">
        <f>IF(TrRoad_act!M15=0,0,M29/TrRoad_act!M15*1000)</f>
        <v>86.9156316433521</v>
      </c>
      <c r="N93" s="101">
        <f>IF(TrRoad_act!N15=0,0,N29/TrRoad_act!N15*1000)</f>
        <v>70.487076790219604</v>
      </c>
      <c r="O93" s="101">
        <f>IF(TrRoad_act!O15=0,0,O29/TrRoad_act!O15*1000)</f>
        <v>81.281485494294714</v>
      </c>
      <c r="P93" s="101">
        <f>IF(TrRoad_act!P15=0,0,P29/TrRoad_act!P15*1000)</f>
        <v>78.402956398182752</v>
      </c>
      <c r="Q93" s="101">
        <f>IF(TrRoad_act!Q15=0,0,Q29/TrRoad_act!Q15*1000)</f>
        <v>74.435684397532569</v>
      </c>
      <c r="R93" s="101">
        <f>IF(TrRoad_act!R15=0,0,R29/TrRoad_act!R15*1000)</f>
        <v>75.921415360546291</v>
      </c>
      <c r="S93" s="101">
        <f>IF(TrRoad_act!S15=0,0,S29/TrRoad_act!S15*1000)</f>
        <v>78.199746169468568</v>
      </c>
      <c r="T93" s="101">
        <f>IF(TrRoad_act!T15=0,0,T29/TrRoad_act!T15*1000)</f>
        <v>79.475005613821708</v>
      </c>
      <c r="U93" s="101">
        <f>IF(TrRoad_act!U15=0,0,U29/TrRoad_act!U15*1000)</f>
        <v>83.078795265976908</v>
      </c>
      <c r="V93" s="101">
        <f>IF(TrRoad_act!V15=0,0,V29/TrRoad_act!V15*1000)</f>
        <v>125.96325325945854</v>
      </c>
      <c r="W93" s="101">
        <f>IF(TrRoad_act!W15=0,0,W29/TrRoad_act!W15*1000)</f>
        <v>119.39756704073918</v>
      </c>
      <c r="X93" s="101">
        <f>IF(TrRoad_act!X15=0,0,X29/TrRoad_act!X15*1000)</f>
        <v>102.67312534144524</v>
      </c>
      <c r="Y93" s="101">
        <f>IF(TrRoad_act!Y15=0,0,Y29/TrRoad_act!Y15*1000)</f>
        <v>100.04277287135868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X94" s="101">
        <f>IF(TrRoad_act!X16=0,0,X30/TrRoad_act!X16*1000)</f>
        <v>0</v>
      </c>
      <c r="Y94" s="101">
        <f>IF(TrRoad_act!Y16=0,0,Y30/TrRoad_act!Y16*1000)</f>
        <v>0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36.932115447237251</v>
      </c>
      <c r="D95" s="101">
        <f>IF(TrRoad_act!D17=0,0,D31/TrRoad_act!D17*1000)</f>
        <v>37.851669709743788</v>
      </c>
      <c r="E95" s="101">
        <f>IF(TrRoad_act!E17=0,0,E31/TrRoad_act!E17*1000)</f>
        <v>38.210522333927273</v>
      </c>
      <c r="F95" s="101">
        <f>IF(TrRoad_act!F17=0,0,F31/TrRoad_act!F17*1000)</f>
        <v>38.576400530570872</v>
      </c>
      <c r="G95" s="101">
        <f>IF(TrRoad_act!G17=0,0,G31/TrRoad_act!G17*1000)</f>
        <v>40.666246832329506</v>
      </c>
      <c r="H95" s="101">
        <f>IF(TrRoad_act!H17=0,0,H31/TrRoad_act!H17*1000)</f>
        <v>41.485504167419137</v>
      </c>
      <c r="I95" s="101">
        <f>IF(TrRoad_act!I17=0,0,I31/TrRoad_act!I17*1000)</f>
        <v>40.744897999101688</v>
      </c>
      <c r="J95" s="101">
        <f>IF(TrRoad_act!J17=0,0,J31/TrRoad_act!J17*1000)</f>
        <v>38.591792686528478</v>
      </c>
      <c r="K95" s="101">
        <f>IF(TrRoad_act!K17=0,0,K31/TrRoad_act!K17*1000)</f>
        <v>42.432157607605241</v>
      </c>
      <c r="L95" s="101">
        <f>IF(TrRoad_act!L17=0,0,L31/TrRoad_act!L17*1000)</f>
        <v>40.574456692130525</v>
      </c>
      <c r="M95" s="101">
        <f>IF(TrRoad_act!M17=0,0,M31/TrRoad_act!M17*1000)</f>
        <v>43.964087306177866</v>
      </c>
      <c r="N95" s="101">
        <f>IF(TrRoad_act!N17=0,0,N31/TrRoad_act!N17*1000)</f>
        <v>43.502044884496293</v>
      </c>
      <c r="O95" s="101">
        <f>IF(TrRoad_act!O17=0,0,O31/TrRoad_act!O17*1000)</f>
        <v>41.572350589117384</v>
      </c>
      <c r="P95" s="101">
        <f>IF(TrRoad_act!P17=0,0,P31/TrRoad_act!P17*1000)</f>
        <v>42.006714877685262</v>
      </c>
      <c r="Q95" s="101">
        <f>IF(TrRoad_act!Q17=0,0,Q31/TrRoad_act!Q17*1000)</f>
        <v>43.538952014277015</v>
      </c>
      <c r="R95" s="101">
        <f>IF(TrRoad_act!R17=0,0,R31/TrRoad_act!R17*1000)</f>
        <v>56.486845766805992</v>
      </c>
      <c r="S95" s="101">
        <f>IF(TrRoad_act!S17=0,0,S31/TrRoad_act!S17*1000)</f>
        <v>38.995051479774482</v>
      </c>
      <c r="T95" s="101">
        <f>IF(TrRoad_act!T17=0,0,T31/TrRoad_act!T17*1000)</f>
        <v>41.13885319757042</v>
      </c>
      <c r="U95" s="101">
        <f>IF(TrRoad_act!U17=0,0,U31/TrRoad_act!U17*1000)</f>
        <v>45.565151172107711</v>
      </c>
      <c r="V95" s="101">
        <f>IF(TrRoad_act!V17=0,0,V31/TrRoad_act!V17*1000)</f>
        <v>61.146062144331204</v>
      </c>
      <c r="W95" s="101">
        <f>IF(TrRoad_act!W17=0,0,W31/TrRoad_act!W17*1000)</f>
        <v>62.961243469366558</v>
      </c>
      <c r="X95" s="101">
        <f>IF(TrRoad_act!X17=0,0,X31/TrRoad_act!X17*1000)</f>
        <v>47.021016157433166</v>
      </c>
      <c r="Y95" s="101">
        <f>IF(TrRoad_act!Y17=0,0,Y31/TrRoad_act!Y17*1000)</f>
        <v>37.601766905919895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220.11263788761593</v>
      </c>
      <c r="C97" s="29">
        <f>IF(TrRoad_act!C19=0,0,C33/TrRoad_act!C19*1000)</f>
        <v>215.91173891149066</v>
      </c>
      <c r="D97" s="29">
        <f>IF(TrRoad_act!D19=0,0,D33/TrRoad_act!D19*1000)</f>
        <v>214.79262949941176</v>
      </c>
      <c r="E97" s="29">
        <f>IF(TrRoad_act!E19=0,0,E33/TrRoad_act!E19*1000)</f>
        <v>314.25953745131682</v>
      </c>
      <c r="F97" s="29">
        <f>IF(TrRoad_act!F19=0,0,F33/TrRoad_act!F19*1000)</f>
        <v>175.77526521285245</v>
      </c>
      <c r="G97" s="29">
        <f>IF(TrRoad_act!G19=0,0,G33/TrRoad_act!G19*1000)</f>
        <v>253.68524883578797</v>
      </c>
      <c r="H97" s="29">
        <f>IF(TrRoad_act!H19=0,0,H33/TrRoad_act!H19*1000)</f>
        <v>202.2861017011744</v>
      </c>
      <c r="I97" s="29">
        <f>IF(TrRoad_act!I19=0,0,I33/TrRoad_act!I19*1000)</f>
        <v>245.72199922640164</v>
      </c>
      <c r="J97" s="29">
        <f>IF(TrRoad_act!J19=0,0,J33/TrRoad_act!J19*1000)</f>
        <v>223.69820974585045</v>
      </c>
      <c r="K97" s="29">
        <f>IF(TrRoad_act!K19=0,0,K33/TrRoad_act!K19*1000)</f>
        <v>263.77437909886407</v>
      </c>
      <c r="L97" s="29">
        <f>IF(TrRoad_act!L19=0,0,L33/TrRoad_act!L19*1000)</f>
        <v>221.29245904540926</v>
      </c>
      <c r="M97" s="29">
        <f>IF(TrRoad_act!M19=0,0,M33/TrRoad_act!M19*1000)</f>
        <v>258.39705641742478</v>
      </c>
      <c r="N97" s="29">
        <f>IF(TrRoad_act!N19=0,0,N33/TrRoad_act!N19*1000)</f>
        <v>194.35331538030252</v>
      </c>
      <c r="O97" s="29">
        <f>IF(TrRoad_act!O19=0,0,O33/TrRoad_act!O19*1000)</f>
        <v>271.11698078374201</v>
      </c>
      <c r="P97" s="29">
        <f>IF(TrRoad_act!P19=0,0,P33/TrRoad_act!P19*1000)</f>
        <v>249.09417603855917</v>
      </c>
      <c r="Q97" s="29">
        <f>IF(TrRoad_act!Q19=0,0,Q33/TrRoad_act!Q19*1000)</f>
        <v>240.13268344639056</v>
      </c>
      <c r="R97" s="29">
        <f>IF(TrRoad_act!R19=0,0,R33/TrRoad_act!R19*1000)</f>
        <v>231.98797983913153</v>
      </c>
      <c r="S97" s="29">
        <f>IF(TrRoad_act!S19=0,0,S33/TrRoad_act!S19*1000)</f>
        <v>218.42185347876585</v>
      </c>
      <c r="T97" s="29">
        <f>IF(TrRoad_act!T19=0,0,T33/TrRoad_act!T19*1000)</f>
        <v>228.13688163477815</v>
      </c>
      <c r="U97" s="29">
        <f>IF(TrRoad_act!U19=0,0,U33/TrRoad_act!U19*1000)</f>
        <v>243.22414986177392</v>
      </c>
      <c r="V97" s="29">
        <f>IF(TrRoad_act!V19=0,0,V33/TrRoad_act!V19*1000)</f>
        <v>258.447371640151</v>
      </c>
      <c r="W97" s="29">
        <f>IF(TrRoad_act!W19=0,0,W33/TrRoad_act!W19*1000)</f>
        <v>232.29539454275519</v>
      </c>
      <c r="X97" s="29">
        <f>IF(TrRoad_act!X19=0,0,X33/TrRoad_act!X19*1000)</f>
        <v>255.22102560867293</v>
      </c>
      <c r="Y97" s="29">
        <f>IF(TrRoad_act!Y19=0,0,Y33/TrRoad_act!Y19*1000)</f>
        <v>269.05040498490609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1783.1734699853857</v>
      </c>
      <c r="C98" s="152">
        <f>IF(TrRoad_act!C20=0,0,C34/TrRoad_act!C20*1000)</f>
        <v>1683.010765630883</v>
      </c>
      <c r="D98" s="152">
        <f>IF(TrRoad_act!D20=0,0,D34/TrRoad_act!D20*1000)</f>
        <v>1613.5580097363388</v>
      </c>
      <c r="E98" s="152">
        <f>IF(TrRoad_act!E20=0,0,E34/TrRoad_act!E20*1000)</f>
        <v>1528.204482501847</v>
      </c>
      <c r="F98" s="152">
        <f>IF(TrRoad_act!F20=0,0,F34/TrRoad_act!F20*1000)</f>
        <v>1468.9340026189825</v>
      </c>
      <c r="G98" s="152">
        <f>IF(TrRoad_act!G20=0,0,G34/TrRoad_act!G20*1000)</f>
        <v>1428.2818251039389</v>
      </c>
      <c r="H98" s="152">
        <f>IF(TrRoad_act!H20=0,0,H34/TrRoad_act!H20*1000)</f>
        <v>1340.0576910933348</v>
      </c>
      <c r="I98" s="152">
        <f>IF(TrRoad_act!I20=0,0,I34/TrRoad_act!I20*1000)</f>
        <v>1279.7539155167469</v>
      </c>
      <c r="J98" s="152">
        <f>IF(TrRoad_act!J20=0,0,J34/TrRoad_act!J20*1000)</f>
        <v>1245.9618694965213</v>
      </c>
      <c r="K98" s="152">
        <f>IF(TrRoad_act!K20=0,0,K34/TrRoad_act!K20*1000)</f>
        <v>1158.5808264282255</v>
      </c>
      <c r="L98" s="152">
        <f>IF(TrRoad_act!L20=0,0,L34/TrRoad_act!L20*1000)</f>
        <v>1100.2026179454149</v>
      </c>
      <c r="M98" s="152">
        <f>IF(TrRoad_act!M20=0,0,M34/TrRoad_act!M20*1000)</f>
        <v>1055.536523028446</v>
      </c>
      <c r="N98" s="152">
        <f>IF(TrRoad_act!N20=0,0,N34/TrRoad_act!N20*1000)</f>
        <v>1016.9696523278178</v>
      </c>
      <c r="O98" s="152">
        <f>IF(TrRoad_act!O20=0,0,O34/TrRoad_act!O20*1000)</f>
        <v>998.261116155492</v>
      </c>
      <c r="P98" s="152">
        <f>IF(TrRoad_act!P20=0,0,P34/TrRoad_act!P20*1000)</f>
        <v>988.7725181616704</v>
      </c>
      <c r="Q98" s="152">
        <f>IF(TrRoad_act!Q20=0,0,Q34/TrRoad_act!Q20*1000)</f>
        <v>962.61645744776433</v>
      </c>
      <c r="R98" s="152">
        <f>IF(TrRoad_act!R20=0,0,R34/TrRoad_act!R20*1000)</f>
        <v>943.4600509637097</v>
      </c>
      <c r="S98" s="152">
        <f>IF(TrRoad_act!S20=0,0,S34/TrRoad_act!S20*1000)</f>
        <v>946.07149857061631</v>
      </c>
      <c r="T98" s="152">
        <f>IF(TrRoad_act!T20=0,0,T34/TrRoad_act!T20*1000)</f>
        <v>970.14092102639768</v>
      </c>
      <c r="U98" s="152">
        <f>IF(TrRoad_act!U20=0,0,U34/TrRoad_act!U20*1000)</f>
        <v>964.05597979399499</v>
      </c>
      <c r="V98" s="152">
        <f>IF(TrRoad_act!V20=0,0,V34/TrRoad_act!V20*1000)</f>
        <v>936.81140534376368</v>
      </c>
      <c r="W98" s="152">
        <f>IF(TrRoad_act!W20=0,0,W34/TrRoad_act!W20*1000)</f>
        <v>952.33078103067669</v>
      </c>
      <c r="X98" s="152">
        <f>IF(TrRoad_act!X20=0,0,X34/TrRoad_act!X20*1000)</f>
        <v>986.4613392050677</v>
      </c>
      <c r="Y98" s="152">
        <f>IF(TrRoad_act!Y20=0,0,Y34/TrRoad_act!Y20*1000)</f>
        <v>970.61022737909286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2027.5376384281888</v>
      </c>
      <c r="C99" s="87">
        <f>IF(TrRoad_act!C21=0,0,C35/TrRoad_act!C21*1000)</f>
        <v>1955.835630720271</v>
      </c>
      <c r="D99" s="87">
        <f>IF(TrRoad_act!D21=0,0,D35/TrRoad_act!D21*1000)</f>
        <v>1902.1268467149312</v>
      </c>
      <c r="E99" s="87">
        <f>IF(TrRoad_act!E21=0,0,E35/TrRoad_act!E21*1000)</f>
        <v>1865.9340092511591</v>
      </c>
      <c r="F99" s="87">
        <f>IF(TrRoad_act!F21=0,0,F35/TrRoad_act!F21*1000)</f>
        <v>1830.9646508281689</v>
      </c>
      <c r="G99" s="87">
        <f>IF(TrRoad_act!G21=0,0,G35/TrRoad_act!G21*1000)</f>
        <v>1805.1878030199632</v>
      </c>
      <c r="H99" s="87">
        <f>IF(TrRoad_act!H21=0,0,H35/TrRoad_act!H21*1000)</f>
        <v>1764.8842906621755</v>
      </c>
      <c r="I99" s="87">
        <f>IF(TrRoad_act!I21=0,0,I35/TrRoad_act!I21*1000)</f>
        <v>1713.6418768486308</v>
      </c>
      <c r="J99" s="87">
        <f>IF(TrRoad_act!J21=0,0,J35/TrRoad_act!J21*1000)</f>
        <v>1649.6054606384341</v>
      </c>
      <c r="K99" s="87">
        <f>IF(TrRoad_act!K21=0,0,K35/TrRoad_act!K21*1000)</f>
        <v>1595.1136128013036</v>
      </c>
      <c r="L99" s="87">
        <f>IF(TrRoad_act!L21=0,0,L35/TrRoad_act!L21*1000)</f>
        <v>1561.1859132657751</v>
      </c>
      <c r="M99" s="87">
        <f>IF(TrRoad_act!M21=0,0,M35/TrRoad_act!M21*1000)</f>
        <v>1508.2148044509106</v>
      </c>
      <c r="N99" s="87">
        <f>IF(TrRoad_act!N21=0,0,N35/TrRoad_act!N21*1000)</f>
        <v>1482.6505787825165</v>
      </c>
      <c r="O99" s="87">
        <f>IF(TrRoad_act!O21=0,0,O35/TrRoad_act!O21*1000)</f>
        <v>1492.1980209829778</v>
      </c>
      <c r="P99" s="87">
        <f>IF(TrRoad_act!P21=0,0,P35/TrRoad_act!P21*1000)</f>
        <v>1478.0121838237444</v>
      </c>
      <c r="Q99" s="87">
        <f>IF(TrRoad_act!Q21=0,0,Q35/TrRoad_act!Q21*1000)</f>
        <v>1454.1092745844121</v>
      </c>
      <c r="R99" s="87">
        <f>IF(TrRoad_act!R21=0,0,R35/TrRoad_act!R21*1000)</f>
        <v>1412.0963191611352</v>
      </c>
      <c r="S99" s="87">
        <f>IF(TrRoad_act!S21=0,0,S35/TrRoad_act!S21*1000)</f>
        <v>1423.4844795295096</v>
      </c>
      <c r="T99" s="87">
        <f>IF(TrRoad_act!T21=0,0,T35/TrRoad_act!T21*1000)</f>
        <v>1442.9144342431055</v>
      </c>
      <c r="U99" s="87">
        <f>IF(TrRoad_act!U21=0,0,U35/TrRoad_act!U21*1000)</f>
        <v>1383.6324060076511</v>
      </c>
      <c r="V99" s="87">
        <f>IF(TrRoad_act!V21=0,0,V35/TrRoad_act!V21*1000)</f>
        <v>1295.7927044941598</v>
      </c>
      <c r="W99" s="87">
        <f>IF(TrRoad_act!W21=0,0,W35/TrRoad_act!W21*1000)</f>
        <v>1287.9280282404759</v>
      </c>
      <c r="X99" s="87">
        <f>IF(TrRoad_act!X21=0,0,X35/TrRoad_act!X21*1000)</f>
        <v>1299.2756849380098</v>
      </c>
      <c r="Y99" s="87">
        <f>IF(TrRoad_act!Y21=0,0,Y35/TrRoad_act!Y21*1000)</f>
        <v>1270.4436401900862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1137.3299607870115</v>
      </c>
      <c r="C100" s="87">
        <f>IF(TrRoad_act!C22=0,0,C36/TrRoad_act!C22*1000)</f>
        <v>1073.1514614157118</v>
      </c>
      <c r="D100" s="87">
        <f>IF(TrRoad_act!D22=0,0,D36/TrRoad_act!D22*1000)</f>
        <v>1031.7227593723414</v>
      </c>
      <c r="E100" s="87">
        <f>IF(TrRoad_act!E22=0,0,E36/TrRoad_act!E22*1000)</f>
        <v>972.34642813002347</v>
      </c>
      <c r="F100" s="87">
        <f>IF(TrRoad_act!F22=0,0,F36/TrRoad_act!F22*1000)</f>
        <v>948.49019554629081</v>
      </c>
      <c r="G100" s="87">
        <f>IF(TrRoad_act!G22=0,0,G36/TrRoad_act!G22*1000)</f>
        <v>930.85465368374423</v>
      </c>
      <c r="H100" s="87">
        <f>IF(TrRoad_act!H22=0,0,H36/TrRoad_act!H22*1000)</f>
        <v>887.87205927174909</v>
      </c>
      <c r="I100" s="87">
        <f>IF(TrRoad_act!I22=0,0,I36/TrRoad_act!I22*1000)</f>
        <v>858.65441868214896</v>
      </c>
      <c r="J100" s="87">
        <f>IF(TrRoad_act!J22=0,0,J36/TrRoad_act!J22*1000)</f>
        <v>850.37383342486009</v>
      </c>
      <c r="K100" s="87">
        <f>IF(TrRoad_act!K22=0,0,K36/TrRoad_act!K22*1000)</f>
        <v>841.3431642141727</v>
      </c>
      <c r="L100" s="87">
        <f>IF(TrRoad_act!L22=0,0,L36/TrRoad_act!L22*1000)</f>
        <v>817.04802678715248</v>
      </c>
      <c r="M100" s="87">
        <f>IF(TrRoad_act!M22=0,0,M36/TrRoad_act!M22*1000)</f>
        <v>797.89339102796657</v>
      </c>
      <c r="N100" s="87">
        <f>IF(TrRoad_act!N22=0,0,N36/TrRoad_act!N22*1000)</f>
        <v>762.02097583648288</v>
      </c>
      <c r="O100" s="87">
        <f>IF(TrRoad_act!O22=0,0,O36/TrRoad_act!O22*1000)</f>
        <v>793.06710863994726</v>
      </c>
      <c r="P100" s="87">
        <f>IF(TrRoad_act!P22=0,0,P36/TrRoad_act!P22*1000)</f>
        <v>791.33901211205773</v>
      </c>
      <c r="Q100" s="87">
        <f>IF(TrRoad_act!Q22=0,0,Q36/TrRoad_act!Q22*1000)</f>
        <v>805.77408481507143</v>
      </c>
      <c r="R100" s="87">
        <f>IF(TrRoad_act!R22=0,0,R36/TrRoad_act!R22*1000)</f>
        <v>800.27781894240331</v>
      </c>
      <c r="S100" s="87">
        <f>IF(TrRoad_act!S22=0,0,S36/TrRoad_act!S22*1000)</f>
        <v>786.68870872570312</v>
      </c>
      <c r="T100" s="87">
        <f>IF(TrRoad_act!T22=0,0,T36/TrRoad_act!T22*1000)</f>
        <v>785.56116264822708</v>
      </c>
      <c r="U100" s="87">
        <f>IF(TrRoad_act!U22=0,0,U36/TrRoad_act!U22*1000)</f>
        <v>795.10027696675593</v>
      </c>
      <c r="V100" s="87">
        <f>IF(TrRoad_act!V22=0,0,V36/TrRoad_act!V22*1000)</f>
        <v>780.94435411500081</v>
      </c>
      <c r="W100" s="87">
        <f>IF(TrRoad_act!W22=0,0,W36/TrRoad_act!W22*1000)</f>
        <v>800.29466657773537</v>
      </c>
      <c r="X100" s="87">
        <f>IF(TrRoad_act!X22=0,0,X36/TrRoad_act!X22*1000)</f>
        <v>851.01857408391641</v>
      </c>
      <c r="Y100" s="87">
        <f>IF(TrRoad_act!Y22=0,0,Y36/TrRoad_act!Y22*1000)</f>
        <v>846.13714446558242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0</v>
      </c>
      <c r="P101" s="87">
        <f>IF(TrRoad_act!P23=0,0,P37/TrRoad_act!P23*1000)</f>
        <v>0</v>
      </c>
      <c r="Q101" s="87">
        <f>IF(TrRoad_act!Q23=0,0,Q37/TrRoad_act!Q23*1000)</f>
        <v>0</v>
      </c>
      <c r="R101" s="87">
        <f>IF(TrRoad_act!R23=0,0,R37/TrRoad_act!R23*1000)</f>
        <v>0</v>
      </c>
      <c r="S101" s="87">
        <f>IF(TrRoad_act!S23=0,0,S37/TrRoad_act!S23*1000)</f>
        <v>0</v>
      </c>
      <c r="T101" s="87">
        <f>IF(TrRoad_act!T23=0,0,T37/TrRoad_act!T23*1000)</f>
        <v>0</v>
      </c>
      <c r="U101" s="87">
        <f>IF(TrRoad_act!U23=0,0,U37/TrRoad_act!U23*1000)</f>
        <v>0</v>
      </c>
      <c r="V101" s="87">
        <f>IF(TrRoad_act!V23=0,0,V37/TrRoad_act!V23*1000)</f>
        <v>0</v>
      </c>
      <c r="W101" s="87">
        <f>IF(TrRoad_act!W23=0,0,W37/TrRoad_act!W23*1000)</f>
        <v>0</v>
      </c>
      <c r="X101" s="87">
        <f>IF(TrRoad_act!X23=0,0,X37/TrRoad_act!X23*1000)</f>
        <v>0</v>
      </c>
      <c r="Y101" s="87">
        <f>IF(TrRoad_act!Y23=0,0,Y37/TrRoad_act!Y23*1000)</f>
        <v>0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X102" s="87">
        <f>IF(TrRoad_act!X24=0,0,X38/TrRoad_act!X24*1000)</f>
        <v>0</v>
      </c>
      <c r="Y102" s="87">
        <f>IF(TrRoad_act!Y24=0,0,Y38/TrRoad_act!Y24*1000)</f>
        <v>0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136.96820416171568</v>
      </c>
      <c r="C104" s="116">
        <f>IF(TrRoad_act!C26=0,0,C40/TrRoad_act!C26*1000)</f>
        <v>135.90895619629578</v>
      </c>
      <c r="D104" s="116">
        <f>IF(TrRoad_act!D26=0,0,D40/TrRoad_act!D26*1000)</f>
        <v>135.44656077091844</v>
      </c>
      <c r="E104" s="116">
        <f>IF(TrRoad_act!E26=0,0,E40/TrRoad_act!E26*1000)</f>
        <v>201.92854716437094</v>
      </c>
      <c r="F104" s="116">
        <f>IF(TrRoad_act!F26=0,0,F40/TrRoad_act!F26*1000)</f>
        <v>113.93812671817375</v>
      </c>
      <c r="G104" s="116">
        <f>IF(TrRoad_act!G26=0,0,G40/TrRoad_act!G26*1000)</f>
        <v>164.03194239542165</v>
      </c>
      <c r="H104" s="116">
        <f>IF(TrRoad_act!H26=0,0,H40/TrRoad_act!H26*1000)</f>
        <v>132.44960446190558</v>
      </c>
      <c r="I104" s="116">
        <f>IF(TrRoad_act!I26=0,0,I40/TrRoad_act!I26*1000)</f>
        <v>161.82313210675972</v>
      </c>
      <c r="J104" s="116">
        <f>IF(TrRoad_act!J26=0,0,J40/TrRoad_act!J26*1000)</f>
        <v>147.600295183398</v>
      </c>
      <c r="K104" s="116">
        <f>IF(TrRoad_act!K26=0,0,K40/TrRoad_act!K26*1000)</f>
        <v>195.54618044580229</v>
      </c>
      <c r="L104" s="116">
        <f>IF(TrRoad_act!L26=0,0,L40/TrRoad_act!L26*1000)</f>
        <v>154.96010023336666</v>
      </c>
      <c r="M104" s="116">
        <f>IF(TrRoad_act!M26=0,0,M40/TrRoad_act!M26*1000)</f>
        <v>179.50381016691958</v>
      </c>
      <c r="N104" s="116">
        <f>IF(TrRoad_act!N26=0,0,N40/TrRoad_act!N26*1000)</f>
        <v>124.84021239356586</v>
      </c>
      <c r="O104" s="116">
        <f>IF(TrRoad_act!O26=0,0,O40/TrRoad_act!O26*1000)</f>
        <v>182.0710161739996</v>
      </c>
      <c r="P104" s="116">
        <f>IF(TrRoad_act!P26=0,0,P40/TrRoad_act!P26*1000)</f>
        <v>170.13694216363399</v>
      </c>
      <c r="Q104" s="116">
        <f>IF(TrRoad_act!Q26=0,0,Q40/TrRoad_act!Q26*1000)</f>
        <v>145.98618431862977</v>
      </c>
      <c r="R104" s="116">
        <f>IF(TrRoad_act!R26=0,0,R40/TrRoad_act!R26*1000)</f>
        <v>140.46213924335601</v>
      </c>
      <c r="S104" s="116">
        <f>IF(TrRoad_act!S26=0,0,S40/TrRoad_act!S26*1000)</f>
        <v>137.95005096494862</v>
      </c>
      <c r="T104" s="116">
        <f>IF(TrRoad_act!T26=0,0,T40/TrRoad_act!T26*1000)</f>
        <v>146.90791384835731</v>
      </c>
      <c r="U104" s="116">
        <f>IF(TrRoad_act!U26=0,0,U40/TrRoad_act!U26*1000)</f>
        <v>162.19228855511773</v>
      </c>
      <c r="V104" s="116">
        <f>IF(TrRoad_act!V26=0,0,V40/TrRoad_act!V26*1000)</f>
        <v>182.44182576320551</v>
      </c>
      <c r="W104" s="116">
        <f>IF(TrRoad_act!W26=0,0,W40/TrRoad_act!W26*1000)</f>
        <v>158.92169598759222</v>
      </c>
      <c r="X104" s="116">
        <f>IF(TrRoad_act!X26=0,0,X40/TrRoad_act!X26*1000)</f>
        <v>177.03262127825747</v>
      </c>
      <c r="Y104" s="116">
        <f>IF(TrRoad_act!Y26=0,0,Y40/TrRoad_act!Y26*1000)</f>
        <v>184.9734172147854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134.16006949523845</v>
      </c>
      <c r="C105" s="101">
        <f>IF(TrRoad_act!C27=0,0,C41/TrRoad_act!C27*1000)</f>
        <v>133.33841799742609</v>
      </c>
      <c r="D105" s="101">
        <f>IF(TrRoad_act!D27=0,0,D41/TrRoad_act!D27*1000)</f>
        <v>133.02456906012389</v>
      </c>
      <c r="E105" s="101">
        <f>IF(TrRoad_act!E27=0,0,E41/TrRoad_act!E27*1000)</f>
        <v>188.70324045098576</v>
      </c>
      <c r="F105" s="101">
        <f>IF(TrRoad_act!F27=0,0,F41/TrRoad_act!F27*1000)</f>
        <v>110.49372426036996</v>
      </c>
      <c r="G105" s="101">
        <f>IF(TrRoad_act!G27=0,0,G41/TrRoad_act!G27*1000)</f>
        <v>157.81343007681599</v>
      </c>
      <c r="H105" s="101">
        <f>IF(TrRoad_act!H27=0,0,H41/TrRoad_act!H27*1000)</f>
        <v>126.97962920140601</v>
      </c>
      <c r="I105" s="101">
        <f>IF(TrRoad_act!I27=0,0,I41/TrRoad_act!I27*1000)</f>
        <v>155.97715456381255</v>
      </c>
      <c r="J105" s="101">
        <f>IF(TrRoad_act!J27=0,0,J41/TrRoad_act!J27*1000)</f>
        <v>142.83298730330299</v>
      </c>
      <c r="K105" s="101">
        <f>IF(TrRoad_act!K27=0,0,K41/TrRoad_act!K27*1000)</f>
        <v>181.68681139537162</v>
      </c>
      <c r="L105" s="101">
        <f>IF(TrRoad_act!L27=0,0,L41/TrRoad_act!L27*1000)</f>
        <v>148.25507954761392</v>
      </c>
      <c r="M105" s="101">
        <f>IF(TrRoad_act!M27=0,0,M41/TrRoad_act!M27*1000)</f>
        <v>170.59606787672931</v>
      </c>
      <c r="N105" s="101">
        <f>IF(TrRoad_act!N27=0,0,N41/TrRoad_act!N27*1000)</f>
        <v>124.51783688026995</v>
      </c>
      <c r="O105" s="101">
        <f>IF(TrRoad_act!O27=0,0,O41/TrRoad_act!O27*1000)</f>
        <v>177.81224019557544</v>
      </c>
      <c r="P105" s="101">
        <f>IF(TrRoad_act!P27=0,0,P41/TrRoad_act!P27*1000)</f>
        <v>164.62801366494523</v>
      </c>
      <c r="Q105" s="101">
        <f>IF(TrRoad_act!Q27=0,0,Q41/TrRoad_act!Q27*1000)</f>
        <v>146.52376155536501</v>
      </c>
      <c r="R105" s="101">
        <f>IF(TrRoad_act!R27=0,0,R41/TrRoad_act!R27*1000)</f>
        <v>138.89943190918677</v>
      </c>
      <c r="S105" s="101">
        <f>IF(TrRoad_act!S27=0,0,S41/TrRoad_act!S27*1000)</f>
        <v>137.20464697945255</v>
      </c>
      <c r="T105" s="101">
        <f>IF(TrRoad_act!T27=0,0,T41/TrRoad_act!T27*1000)</f>
        <v>145.54315759386779</v>
      </c>
      <c r="U105" s="101">
        <f>IF(TrRoad_act!U27=0,0,U41/TrRoad_act!U27*1000)</f>
        <v>153.27477465218098</v>
      </c>
      <c r="V105" s="101">
        <f>IF(TrRoad_act!V27=0,0,V41/TrRoad_act!V27*1000)</f>
        <v>173.58217408020101</v>
      </c>
      <c r="W105" s="101">
        <f>IF(TrRoad_act!W27=0,0,W41/TrRoad_act!W27*1000)</f>
        <v>154.00095343457048</v>
      </c>
      <c r="X105" s="101">
        <f>IF(TrRoad_act!X27=0,0,X41/TrRoad_act!X27*1000)</f>
        <v>170.32850061589045</v>
      </c>
      <c r="Y105" s="101">
        <f>IF(TrRoad_act!Y27=0,0,Y41/TrRoad_act!Y27*1000)</f>
        <v>175.83840213524596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175.69257878706858</v>
      </c>
      <c r="C106" s="88">
        <f>IF(TrRoad_act!C28=0,0,C42/TrRoad_act!C28*1000)</f>
        <v>169.72515944498855</v>
      </c>
      <c r="D106" s="88">
        <f>IF(TrRoad_act!D28=0,0,D42/TrRoad_act!D28*1000)</f>
        <v>166.17862529926413</v>
      </c>
      <c r="E106" s="88">
        <f>IF(TrRoad_act!E28=0,0,E42/TrRoad_act!E28*1000)</f>
        <v>307.12050804483317</v>
      </c>
      <c r="F106" s="88">
        <f>IF(TrRoad_act!F28=0,0,F42/TrRoad_act!F28*1000)</f>
        <v>162.95114327082243</v>
      </c>
      <c r="G106" s="88">
        <f>IF(TrRoad_act!G28=0,0,G42/TrRoad_act!G28*1000)</f>
        <v>216.89983760270908</v>
      </c>
      <c r="H106" s="88">
        <f>IF(TrRoad_act!H28=0,0,H42/TrRoad_act!H28*1000)</f>
        <v>182.89835693584524</v>
      </c>
      <c r="I106" s="88">
        <f>IF(TrRoad_act!I28=0,0,I42/TrRoad_act!I28*1000)</f>
        <v>214.44004992434051</v>
      </c>
      <c r="J106" s="88">
        <f>IF(TrRoad_act!J28=0,0,J42/TrRoad_act!J28*1000)</f>
        <v>202.89138687619038</v>
      </c>
      <c r="K106" s="88">
        <f>IF(TrRoad_act!K28=0,0,K42/TrRoad_act!K28*1000)</f>
        <v>377.28257275301462</v>
      </c>
      <c r="L106" s="88">
        <f>IF(TrRoad_act!L28=0,0,L42/TrRoad_act!L28*1000)</f>
        <v>225.82799617326884</v>
      </c>
      <c r="M106" s="88">
        <f>IF(TrRoad_act!M28=0,0,M42/TrRoad_act!M28*1000)</f>
        <v>257.25155499102027</v>
      </c>
      <c r="N106" s="88">
        <f>IF(TrRoad_act!N28=0,0,N42/TrRoad_act!N28*1000)</f>
        <v>127.31936874646979</v>
      </c>
      <c r="O106" s="88">
        <f>IF(TrRoad_act!O28=0,0,O42/TrRoad_act!O28*1000)</f>
        <v>204.01268513407658</v>
      </c>
      <c r="P106" s="88">
        <f>IF(TrRoad_act!P28=0,0,P42/TrRoad_act!P28*1000)</f>
        <v>204.67855563327092</v>
      </c>
      <c r="Q106" s="88">
        <f>IF(TrRoad_act!Q28=0,0,Q42/TrRoad_act!Q28*1000)</f>
        <v>142.91512984899083</v>
      </c>
      <c r="R106" s="88">
        <f>IF(TrRoad_act!R28=0,0,R42/TrRoad_act!R28*1000)</f>
        <v>149.63341943674092</v>
      </c>
      <c r="S106" s="88">
        <f>IF(TrRoad_act!S28=0,0,S42/TrRoad_act!S28*1000)</f>
        <v>141.11343304310216</v>
      </c>
      <c r="T106" s="88">
        <f>IF(TrRoad_act!T28=0,0,T42/TrRoad_act!T28*1000)</f>
        <v>152.93282271142922</v>
      </c>
      <c r="U106" s="88">
        <f>IF(TrRoad_act!U28=0,0,U42/TrRoad_act!U28*1000)</f>
        <v>257.28685906277144</v>
      </c>
      <c r="V106" s="88">
        <f>IF(TrRoad_act!V28=0,0,V42/TrRoad_act!V28*1000)</f>
        <v>236.93604463659818</v>
      </c>
      <c r="W106" s="88">
        <f>IF(TrRoad_act!W28=0,0,W42/TrRoad_act!W28*1000)</f>
        <v>184.00789418088132</v>
      </c>
      <c r="X106" s="88">
        <f>IF(TrRoad_act!X28=0,0,X42/TrRoad_act!X28*1000)</f>
        <v>209.18617212544859</v>
      </c>
      <c r="Y106" s="88">
        <f>IF(TrRoad_act!Y28=0,0,Y42/TrRoad_act!Y28*1000)</f>
        <v>225.79852985532139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628.02140634728653</v>
      </c>
      <c r="C110" s="152">
        <f>IF(C19=0,0,1000000*C19/TrRoad_act!C59)</f>
        <v>623.1600500887489</v>
      </c>
      <c r="D110" s="152">
        <f>IF(D19=0,0,1000000*D19/TrRoad_act!D59)</f>
        <v>642.48673406971955</v>
      </c>
      <c r="E110" s="152">
        <f>IF(E19=0,0,1000000*E19/TrRoad_act!E59)</f>
        <v>632.17088814571446</v>
      </c>
      <c r="F110" s="152">
        <f>IF(F19=0,0,1000000*F19/TrRoad_act!F59)</f>
        <v>592.19140240354466</v>
      </c>
      <c r="G110" s="152">
        <f>IF(G19=0,0,1000000*G19/TrRoad_act!G59)</f>
        <v>565.64967034454935</v>
      </c>
      <c r="H110" s="152">
        <f>IF(H19=0,0,1000000*H19/TrRoad_act!H59)</f>
        <v>481.3846875925492</v>
      </c>
      <c r="I110" s="152">
        <f>IF(I19=0,0,1000000*I19/TrRoad_act!I59)</f>
        <v>447.4025170605002</v>
      </c>
      <c r="J110" s="152">
        <f>IF(J19=0,0,1000000*J19/TrRoad_act!J59)</f>
        <v>448.51396582427782</v>
      </c>
      <c r="K110" s="152">
        <f>IF(K19=0,0,1000000*K19/TrRoad_act!K59)</f>
        <v>440.87023743428057</v>
      </c>
      <c r="L110" s="152">
        <f>IF(L19=0,0,1000000*L19/TrRoad_act!L59)</f>
        <v>503.84769346142508</v>
      </c>
      <c r="M110" s="152">
        <f>IF(M19=0,0,1000000*M19/TrRoad_act!M59)</f>
        <v>503.38276739517352</v>
      </c>
      <c r="N110" s="152">
        <f>IF(N19=0,0,1000000*N19/TrRoad_act!N59)</f>
        <v>510.41586851879293</v>
      </c>
      <c r="O110" s="152">
        <f>IF(O19=0,0,1000000*O19/TrRoad_act!O59)</f>
        <v>506.87004525511986</v>
      </c>
      <c r="P110" s="152">
        <f>IF(P19=0,0,1000000*P19/TrRoad_act!P59)</f>
        <v>502.07749583487271</v>
      </c>
      <c r="Q110" s="152">
        <f>IF(Q19=0,0,1000000*Q19/TrRoad_act!Q59)</f>
        <v>491.00069868676974</v>
      </c>
      <c r="R110" s="152">
        <f>IF(R19=0,0,1000000*R19/TrRoad_act!R59)</f>
        <v>489.57485807376281</v>
      </c>
      <c r="S110" s="152">
        <f>IF(S19=0,0,1000000*S19/TrRoad_act!S59)</f>
        <v>456.16185244859759</v>
      </c>
      <c r="T110" s="152">
        <f>IF(T19=0,0,1000000*T19/TrRoad_act!T59)</f>
        <v>438.66424447569852</v>
      </c>
      <c r="U110" s="152">
        <f>IF(U19=0,0,1000000*U19/TrRoad_act!U59)</f>
        <v>447.2827822563529</v>
      </c>
      <c r="V110" s="152">
        <f>IF(V19=0,0,1000000*V19/TrRoad_act!V59)</f>
        <v>380.6529678000532</v>
      </c>
      <c r="W110" s="152">
        <f>IF(W19=0,0,1000000*W19/TrRoad_act!W59)</f>
        <v>382.5204995327914</v>
      </c>
      <c r="X110" s="152">
        <f>IF(X19=0,0,1000000*X19/TrRoad_act!X59)</f>
        <v>388.91291164902344</v>
      </c>
      <c r="Y110" s="152">
        <f>IF(Y19=0,0,1000000*Y19/TrRoad_act!Y59)</f>
        <v>396.46402437667433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2254.9297852088675</v>
      </c>
      <c r="C111" s="116">
        <f>IF(C20=0,0,1000000*C20/TrRoad_act!C60)</f>
        <v>2218.547950851148</v>
      </c>
      <c r="D111" s="116">
        <f>IF(D20=0,0,1000000*D20/TrRoad_act!D60)</f>
        <v>2209.3575479626656</v>
      </c>
      <c r="E111" s="116">
        <f>IF(E20=0,0,1000000*E20/TrRoad_act!E60)</f>
        <v>2216.2945673752488</v>
      </c>
      <c r="F111" s="116">
        <f>IF(F20=0,0,1000000*F20/TrRoad_act!F60)</f>
        <v>2229.2336207174803</v>
      </c>
      <c r="G111" s="116">
        <f>IF(G20=0,0,1000000*G20/TrRoad_act!G60)</f>
        <v>2232.8607651671964</v>
      </c>
      <c r="H111" s="116">
        <f>IF(H20=0,0,1000000*H20/TrRoad_act!H60)</f>
        <v>2236.493799061544</v>
      </c>
      <c r="I111" s="116">
        <f>IF(I20=0,0,1000000*I20/TrRoad_act!I60)</f>
        <v>2232.8261926049081</v>
      </c>
      <c r="J111" s="116">
        <f>IF(J20=0,0,1000000*J20/TrRoad_act!J60)</f>
        <v>2122.8319177373783</v>
      </c>
      <c r="K111" s="116">
        <f>IF(K20=0,0,1000000*K20/TrRoad_act!K60)</f>
        <v>2142.6071395399354</v>
      </c>
      <c r="L111" s="116">
        <f>IF(L20=0,0,1000000*L20/TrRoad_act!L60)</f>
        <v>1903.9684132795837</v>
      </c>
      <c r="M111" s="116">
        <f>IF(M20=0,0,1000000*M20/TrRoad_act!M60)</f>
        <v>1812.3304529276688</v>
      </c>
      <c r="N111" s="116">
        <f>IF(N20=0,0,1000000*N20/TrRoad_act!N60)</f>
        <v>1533.9348082440083</v>
      </c>
      <c r="O111" s="116">
        <f>IF(O20=0,0,1000000*O20/TrRoad_act!O60)</f>
        <v>1427.2827120118177</v>
      </c>
      <c r="P111" s="116">
        <f>IF(P20=0,0,1000000*P20/TrRoad_act!P60)</f>
        <v>1381.9193455508671</v>
      </c>
      <c r="Q111" s="116">
        <f>IF(Q20=0,0,1000000*Q20/TrRoad_act!Q60)</f>
        <v>1420.4505230544423</v>
      </c>
      <c r="R111" s="116">
        <f>IF(R20=0,0,1000000*R20/TrRoad_act!R60)</f>
        <v>1411.6911849034045</v>
      </c>
      <c r="S111" s="116">
        <f>IF(S20=0,0,1000000*S20/TrRoad_act!S60)</f>
        <v>1390.7992784430578</v>
      </c>
      <c r="T111" s="116">
        <f>IF(T20=0,0,1000000*T20/TrRoad_act!T60)</f>
        <v>1374.1865512161214</v>
      </c>
      <c r="U111" s="116">
        <f>IF(U20=0,0,1000000*U20/TrRoad_act!U60)</f>
        <v>1355.932964227804</v>
      </c>
      <c r="V111" s="116">
        <f>IF(V20=0,0,1000000*V20/TrRoad_act!V60)</f>
        <v>1065.8446367800636</v>
      </c>
      <c r="W111" s="116">
        <f>IF(W20=0,0,1000000*W20/TrRoad_act!W60)</f>
        <v>1141.1240981503931</v>
      </c>
      <c r="X111" s="116">
        <f>IF(X20=0,0,1000000*X20/TrRoad_act!X60)</f>
        <v>1229.121507340378</v>
      </c>
      <c r="Y111" s="116">
        <f>IF(Y20=0,0,1000000*Y20/TrRoad_act!Y60)</f>
        <v>1286.0222788040985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2180.2856267253505</v>
      </c>
      <c r="C112" s="87">
        <f>IF(C21=0,0,1000000*C21/TrRoad_act!C61)</f>
        <v>2147.8831844476745</v>
      </c>
      <c r="D112" s="87">
        <f>IF(D21=0,0,1000000*D21/TrRoad_act!D61)</f>
        <v>2143.1747364587063</v>
      </c>
      <c r="E112" s="87">
        <f>IF(E21=0,0,1000000*E21/TrRoad_act!E61)</f>
        <v>2152.2020598825447</v>
      </c>
      <c r="F112" s="87">
        <f>IF(F21=0,0,1000000*F21/TrRoad_act!F61)</f>
        <v>2173.014898937653</v>
      </c>
      <c r="G112" s="87">
        <f>IF(G21=0,0,1000000*G21/TrRoad_act!G61)</f>
        <v>2176.7416627434195</v>
      </c>
      <c r="H112" s="87">
        <f>IF(H21=0,0,1000000*H21/TrRoad_act!H61)</f>
        <v>2178.8738132835724</v>
      </c>
      <c r="I112" s="87">
        <f>IF(I21=0,0,1000000*I21/TrRoad_act!I61)</f>
        <v>2173.6098478074446</v>
      </c>
      <c r="J112" s="87">
        <f>IF(J21=0,0,1000000*J21/TrRoad_act!J61)</f>
        <v>2069.8849255239184</v>
      </c>
      <c r="K112" s="87">
        <f>IF(K21=0,0,1000000*K21/TrRoad_act!K61)</f>
        <v>2075.6195466148506</v>
      </c>
      <c r="L112" s="87">
        <f>IF(L21=0,0,1000000*L21/TrRoad_act!L61)</f>
        <v>1832.9726293489982</v>
      </c>
      <c r="M112" s="87">
        <f>IF(M21=0,0,1000000*M21/TrRoad_act!M61)</f>
        <v>1680.1718485830686</v>
      </c>
      <c r="N112" s="87">
        <f>IF(N21=0,0,1000000*N21/TrRoad_act!N61)</f>
        <v>1442.5974105490293</v>
      </c>
      <c r="O112" s="87">
        <f>IF(O21=0,0,1000000*O21/TrRoad_act!O61)</f>
        <v>1328.6183938156787</v>
      </c>
      <c r="P112" s="87">
        <f>IF(P21=0,0,1000000*P21/TrRoad_act!P61)</f>
        <v>1273.8306890672018</v>
      </c>
      <c r="Q112" s="87">
        <f>IF(Q21=0,0,1000000*Q21/TrRoad_act!Q61)</f>
        <v>1232.0602158769029</v>
      </c>
      <c r="R112" s="87">
        <f>IF(R21=0,0,1000000*R21/TrRoad_act!R61)</f>
        <v>1206.2531175071306</v>
      </c>
      <c r="S112" s="87">
        <f>IF(S21=0,0,1000000*S21/TrRoad_act!S61)</f>
        <v>1165.6338487257269</v>
      </c>
      <c r="T112" s="87">
        <f>IF(T21=0,0,1000000*T21/TrRoad_act!T61)</f>
        <v>1133.9924828439839</v>
      </c>
      <c r="U112" s="87">
        <f>IF(U21=0,0,1000000*U21/TrRoad_act!U61)</f>
        <v>1082.6086947020717</v>
      </c>
      <c r="V112" s="87">
        <f>IF(V21=0,0,1000000*V21/TrRoad_act!V61)</f>
        <v>839.93936045479791</v>
      </c>
      <c r="W112" s="87">
        <f>IF(W21=0,0,1000000*W21/TrRoad_act!W61)</f>
        <v>881.29302851624777</v>
      </c>
      <c r="X112" s="87">
        <f>IF(X21=0,0,1000000*X21/TrRoad_act!X61)</f>
        <v>929.93391770084736</v>
      </c>
      <c r="Y112" s="87">
        <f>IF(Y21=0,0,1000000*Y21/TrRoad_act!Y61)</f>
        <v>954.15385924282589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4459.0092945664182</v>
      </c>
      <c r="C113" s="87">
        <f>IF(C22=0,0,1000000*C22/TrRoad_act!C62)</f>
        <v>4477.7032757453508</v>
      </c>
      <c r="D113" s="87">
        <f>IF(D22=0,0,1000000*D22/TrRoad_act!D62)</f>
        <v>4466.2475625975403</v>
      </c>
      <c r="E113" s="87">
        <f>IF(E22=0,0,1000000*E22/TrRoad_act!E62)</f>
        <v>4471.7383462973057</v>
      </c>
      <c r="F113" s="87">
        <f>IF(F22=0,0,1000000*F22/TrRoad_act!F62)</f>
        <v>4500.1989464935605</v>
      </c>
      <c r="G113" s="87">
        <f>IF(G22=0,0,1000000*G22/TrRoad_act!G62)</f>
        <v>4579.597432617632</v>
      </c>
      <c r="H113" s="87">
        <f>IF(H22=0,0,1000000*H22/TrRoad_act!H62)</f>
        <v>4493.0910614780105</v>
      </c>
      <c r="I113" s="87">
        <f>IF(I22=0,0,1000000*I22/TrRoad_act!I62)</f>
        <v>4549.9880893212903</v>
      </c>
      <c r="J113" s="87">
        <f>IF(J22=0,0,1000000*J22/TrRoad_act!J62)</f>
        <v>4267.1309592235475</v>
      </c>
      <c r="K113" s="87">
        <f>IF(K22=0,0,1000000*K22/TrRoad_act!K62)</f>
        <v>4533.3518903230188</v>
      </c>
      <c r="L113" s="87">
        <f>IF(L22=0,0,1000000*L22/TrRoad_act!L62)</f>
        <v>4200.556590446522</v>
      </c>
      <c r="M113" s="87">
        <f>IF(M22=0,0,1000000*M22/TrRoad_act!M62)</f>
        <v>4182.8522614428985</v>
      </c>
      <c r="N113" s="87">
        <f>IF(N22=0,0,1000000*N22/TrRoad_act!N62)</f>
        <v>4411.8182230004577</v>
      </c>
      <c r="O113" s="87">
        <f>IF(O22=0,0,1000000*O22/TrRoad_act!O62)</f>
        <v>2776.9200283895138</v>
      </c>
      <c r="P113" s="87">
        <f>IF(P22=0,0,1000000*P22/TrRoad_act!P62)</f>
        <v>2273.500667929578</v>
      </c>
      <c r="Q113" s="87">
        <f>IF(Q22=0,0,1000000*Q22/TrRoad_act!Q62)</f>
        <v>4470.8698080802578</v>
      </c>
      <c r="R113" s="87">
        <f>IF(R22=0,0,1000000*R22/TrRoad_act!R62)</f>
        <v>4390.4129066413579</v>
      </c>
      <c r="S113" s="87">
        <f>IF(S22=0,0,1000000*S22/TrRoad_act!S62)</f>
        <v>4469.4091424276585</v>
      </c>
      <c r="T113" s="87">
        <f>IF(T22=0,0,1000000*T22/TrRoad_act!T62)</f>
        <v>4206.1566131228365</v>
      </c>
      <c r="U113" s="87">
        <f>IF(U22=0,0,1000000*U22/TrRoad_act!U62)</f>
        <v>4159.8481110987159</v>
      </c>
      <c r="V113" s="87">
        <f>IF(V22=0,0,1000000*V22/TrRoad_act!V62)</f>
        <v>2933.8387429546806</v>
      </c>
      <c r="W113" s="87">
        <f>IF(W22=0,0,1000000*W22/TrRoad_act!W62)</f>
        <v>3534.5097278270364</v>
      </c>
      <c r="X113" s="87">
        <f>IF(X22=0,0,1000000*X22/TrRoad_act!X62)</f>
        <v>4195.495810668559</v>
      </c>
      <c r="Y113" s="87">
        <f>IF(Y22=0,0,1000000*Y22/TrRoad_act!Y62)</f>
        <v>4772.9357399648216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4263.7499314285724</v>
      </c>
      <c r="C114" s="87">
        <f>IF(C23=0,0,1000000*C23/TrRoad_act!C63)</f>
        <v>4902.8777741273107</v>
      </c>
      <c r="D114" s="87">
        <f>IF(D23=0,0,1000000*D23/TrRoad_act!D63)</f>
        <v>4833.1398337471674</v>
      </c>
      <c r="E114" s="87">
        <f>IF(E23=0,0,1000000*E23/TrRoad_act!E63)</f>
        <v>4207.1697075061666</v>
      </c>
      <c r="F114" s="87">
        <f>IF(F23=0,0,1000000*F23/TrRoad_act!F63)</f>
        <v>4184.4226969156252</v>
      </c>
      <c r="G114" s="87">
        <f>IF(G23=0,0,1000000*G23/TrRoad_act!G63)</f>
        <v>4220.46284612418</v>
      </c>
      <c r="H114" s="87">
        <f>IF(H23=0,0,1000000*H23/TrRoad_act!H63)</f>
        <v>4164.7825041227952</v>
      </c>
      <c r="I114" s="87">
        <f>IF(I23=0,0,1000000*I23/TrRoad_act!I63)</f>
        <v>4181.6270542907178</v>
      </c>
      <c r="J114" s="87">
        <f>IF(J23=0,0,1000000*J23/TrRoad_act!J63)</f>
        <v>4077.3720081967213</v>
      </c>
      <c r="K114" s="87">
        <f>IF(K23=0,0,1000000*K23/TrRoad_act!K63)</f>
        <v>3864.9760726873969</v>
      </c>
      <c r="L114" s="87">
        <f>IF(L23=0,0,1000000*L23/TrRoad_act!L63)</f>
        <v>3769.6127309833032</v>
      </c>
      <c r="M114" s="87">
        <f>IF(M23=0,0,1000000*M23/TrRoad_act!M63)</f>
        <v>6353.9849519383642</v>
      </c>
      <c r="N114" s="87">
        <f>IF(N23=0,0,1000000*N23/TrRoad_act!N63)</f>
        <v>3641.3142156112031</v>
      </c>
      <c r="O114" s="87">
        <f>IF(O23=0,0,1000000*O23/TrRoad_act!O63)</f>
        <v>3754.7722011878768</v>
      </c>
      <c r="P114" s="87">
        <f>IF(P23=0,0,1000000*P23/TrRoad_act!P63)</f>
        <v>3723.5506195701873</v>
      </c>
      <c r="Q114" s="87">
        <f>IF(Q23=0,0,1000000*Q23/TrRoad_act!Q63)</f>
        <v>3677.7981134731804</v>
      </c>
      <c r="R114" s="87">
        <f>IF(R23=0,0,1000000*R23/TrRoad_act!R63)</f>
        <v>3252.7487275638014</v>
      </c>
      <c r="S114" s="87">
        <f>IF(S23=0,0,1000000*S23/TrRoad_act!S63)</f>
        <v>3050.0607116465335</v>
      </c>
      <c r="T114" s="87">
        <f>IF(T23=0,0,1000000*T23/TrRoad_act!T63)</f>
        <v>2912.9257069305263</v>
      </c>
      <c r="U114" s="87">
        <f>IF(U23=0,0,1000000*U23/TrRoad_act!U63)</f>
        <v>2942.3623135991857</v>
      </c>
      <c r="V114" s="87">
        <f>IF(V23=0,0,1000000*V23/TrRoad_act!V63)</f>
        <v>2723.0325009178318</v>
      </c>
      <c r="W114" s="87">
        <f>IF(W23=0,0,1000000*W23/TrRoad_act!W63)</f>
        <v>2624.4230805702182</v>
      </c>
      <c r="X114" s="87">
        <f>IF(X23=0,0,1000000*X23/TrRoad_act!X63)</f>
        <v>2627.7075422491143</v>
      </c>
      <c r="Y114" s="87">
        <f>IF(Y23=0,0,1000000*Y23/TrRoad_act!Y63)</f>
        <v>2637.2037534148953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3329.3157567453013</v>
      </c>
      <c r="D115" s="87">
        <f>IF(D24=0,0,1000000*D24/TrRoad_act!D64)</f>
        <v>3301.8469915698711</v>
      </c>
      <c r="E115" s="87">
        <f>IF(E24=0,0,1000000*E24/TrRoad_act!E64)</f>
        <v>3275.4992820714556</v>
      </c>
      <c r="F115" s="87">
        <f>IF(F24=0,0,1000000*F24/TrRoad_act!F64)</f>
        <v>3249.0536679475081</v>
      </c>
      <c r="G115" s="87">
        <f>IF(G24=0,0,1000000*G24/TrRoad_act!G64)</f>
        <v>3218.4592889058795</v>
      </c>
      <c r="H115" s="87">
        <f>IF(H24=0,0,1000000*H24/TrRoad_act!H64)</f>
        <v>3184.3655489734542</v>
      </c>
      <c r="I115" s="87">
        <f>IF(I24=0,0,1000000*I24/TrRoad_act!I64)</f>
        <v>3100.3786916403346</v>
      </c>
      <c r="J115" s="87">
        <f>IF(J24=0,0,1000000*J24/TrRoad_act!J64)</f>
        <v>3043.7460192949688</v>
      </c>
      <c r="K115" s="87">
        <f>IF(K24=0,0,1000000*K24/TrRoad_act!K64)</f>
        <v>2832.963666199269</v>
      </c>
      <c r="L115" s="87">
        <f>IF(L24=0,0,1000000*L24/TrRoad_act!L64)</f>
        <v>2681.3708062988844</v>
      </c>
      <c r="M115" s="87">
        <f>IF(M24=0,0,1000000*M24/TrRoad_act!M64)</f>
        <v>2645.1557992795078</v>
      </c>
      <c r="N115" s="87">
        <f>IF(N24=0,0,1000000*N24/TrRoad_act!N64)</f>
        <v>2651.6200118676952</v>
      </c>
      <c r="O115" s="87">
        <f>IF(O24=0,0,1000000*O24/TrRoad_act!O64)</f>
        <v>2683.407928397055</v>
      </c>
      <c r="P115" s="87">
        <f>IF(P24=0,0,1000000*P24/TrRoad_act!P64)</f>
        <v>2717.2980807099398</v>
      </c>
      <c r="Q115" s="87">
        <f>IF(Q24=0,0,1000000*Q24/TrRoad_act!Q64)</f>
        <v>2541.6379395132835</v>
      </c>
      <c r="R115" s="87">
        <f>IF(R24=0,0,1000000*R24/TrRoad_act!R64)</f>
        <v>2528.0099071696104</v>
      </c>
      <c r="S115" s="87">
        <f>IF(S24=0,0,1000000*S24/TrRoad_act!S64)</f>
        <v>2436.3087996671834</v>
      </c>
      <c r="T115" s="87">
        <f>IF(T24=0,0,1000000*T24/TrRoad_act!T64)</f>
        <v>2449.950306504601</v>
      </c>
      <c r="U115" s="87">
        <f>IF(U24=0,0,1000000*U24/TrRoad_act!U64)</f>
        <v>2368.3097756620186</v>
      </c>
      <c r="V115" s="87">
        <f>IF(V24=0,0,1000000*V24/TrRoad_act!V64)</f>
        <v>2099.940782717445</v>
      </c>
      <c r="W115" s="87">
        <f>IF(W24=0,0,1000000*W24/TrRoad_act!W64)</f>
        <v>1903.8000905062956</v>
      </c>
      <c r="X115" s="87">
        <f>IF(X24=0,0,1000000*X24/TrRoad_act!X64)</f>
        <v>1883.6561758681369</v>
      </c>
      <c r="Y115" s="87">
        <f>IF(Y24=0,0,1000000*Y24/TrRoad_act!Y64)</f>
        <v>1873.5334742095042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360.89760057804716</v>
      </c>
      <c r="O116" s="87">
        <f>IF(O25=0,0,1000000*O25/TrRoad_act!O65)</f>
        <v>114.22515227605564</v>
      </c>
      <c r="P116" s="87">
        <f>IF(P25=0,0,1000000*P25/TrRoad_act!P65)</f>
        <v>225.86653303823681</v>
      </c>
      <c r="Q116" s="87">
        <f>IF(Q25=0,0,1000000*Q25/TrRoad_act!Q65)</f>
        <v>281.35425154769086</v>
      </c>
      <c r="R116" s="87">
        <f>IF(R25=0,0,1000000*R25/TrRoad_act!R65)</f>
        <v>365.80474318052507</v>
      </c>
      <c r="S116" s="87">
        <f>IF(S25=0,0,1000000*S25/TrRoad_act!S65)</f>
        <v>430.17690081745968</v>
      </c>
      <c r="T116" s="87">
        <f>IF(T25=0,0,1000000*T25/TrRoad_act!T65)</f>
        <v>469.26385275066298</v>
      </c>
      <c r="U116" s="87">
        <f>IF(U25=0,0,1000000*U25/TrRoad_act!U65)</f>
        <v>496.99703726649352</v>
      </c>
      <c r="V116" s="87">
        <f>IF(V25=0,0,1000000*V25/TrRoad_act!V65)</f>
        <v>338.42537155534706</v>
      </c>
      <c r="W116" s="87">
        <f>IF(W25=0,0,1000000*W25/TrRoad_act!W65)</f>
        <v>316.80120056430508</v>
      </c>
      <c r="X116" s="87">
        <f>IF(X25=0,0,1000000*X25/TrRoad_act!X65)</f>
        <v>319.86553984585174</v>
      </c>
      <c r="Y116" s="87">
        <f>IF(Y25=0,0,1000000*Y25/TrRoad_act!Y65)</f>
        <v>299.17371709610575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63996.392936102668</v>
      </c>
      <c r="C118" s="116">
        <f>IF(C27=0,0,1000000*C27/TrRoad_act!C67)</f>
        <v>61697.470352874043</v>
      </c>
      <c r="D118" s="116">
        <f>IF(D27=0,0,1000000*D27/TrRoad_act!D67)</f>
        <v>61064.734430518736</v>
      </c>
      <c r="E118" s="116">
        <f>IF(E27=0,0,1000000*E27/TrRoad_act!E67)</f>
        <v>79089.808355042856</v>
      </c>
      <c r="F118" s="116">
        <f>IF(F27=0,0,1000000*F27/TrRoad_act!F67)</f>
        <v>60490.300765872205</v>
      </c>
      <c r="G118" s="116">
        <f>IF(G27=0,0,1000000*G27/TrRoad_act!G67)</f>
        <v>68232.799736234359</v>
      </c>
      <c r="H118" s="116">
        <f>IF(H27=0,0,1000000*H27/TrRoad_act!H67)</f>
        <v>65197.474279066722</v>
      </c>
      <c r="I118" s="116">
        <f>IF(I27=0,0,1000000*I27/TrRoad_act!I67)</f>
        <v>65749.347483145713</v>
      </c>
      <c r="J118" s="116">
        <f>IF(J27=0,0,1000000*J27/TrRoad_act!J67)</f>
        <v>60375.783546189712</v>
      </c>
      <c r="K118" s="116">
        <f>IF(K27=0,0,1000000*K27/TrRoad_act!K67)</f>
        <v>71498.718584317656</v>
      </c>
      <c r="L118" s="116">
        <f>IF(L27=0,0,1000000*L27/TrRoad_act!L67)</f>
        <v>61330.238665333934</v>
      </c>
      <c r="M118" s="116">
        <f>IF(M27=0,0,1000000*M27/TrRoad_act!M67)</f>
        <v>65923.961557012954</v>
      </c>
      <c r="N118" s="116">
        <f>IF(N27=0,0,1000000*N27/TrRoad_act!N67)</f>
        <v>53789.519978729375</v>
      </c>
      <c r="O118" s="116">
        <f>IF(O27=0,0,1000000*O27/TrRoad_act!O67)</f>
        <v>60776.261695749177</v>
      </c>
      <c r="P118" s="116">
        <f>IF(P27=0,0,1000000*P27/TrRoad_act!P67)</f>
        <v>58841.970417060598</v>
      </c>
      <c r="Q118" s="116">
        <f>IF(Q27=0,0,1000000*Q27/TrRoad_act!Q67)</f>
        <v>56493.683508316586</v>
      </c>
      <c r="R118" s="116">
        <f>IF(R27=0,0,1000000*R27/TrRoad_act!R67)</f>
        <v>57315.085470827893</v>
      </c>
      <c r="S118" s="116">
        <f>IF(S27=0,0,1000000*S27/TrRoad_act!S67)</f>
        <v>57515.633856751301</v>
      </c>
      <c r="T118" s="116">
        <f>IF(T27=0,0,1000000*T27/TrRoad_act!T67)</f>
        <v>58785.113574868759</v>
      </c>
      <c r="U118" s="116">
        <f>IF(U27=0,0,1000000*U27/TrRoad_act!U67)</f>
        <v>60558.035165791523</v>
      </c>
      <c r="V118" s="116">
        <f>IF(V27=0,0,1000000*V27/TrRoad_act!V67)</f>
        <v>59686.635449777772</v>
      </c>
      <c r="W118" s="116">
        <f>IF(W27=0,0,1000000*W27/TrRoad_act!W67)</f>
        <v>58380.265022916399</v>
      </c>
      <c r="X118" s="116">
        <f>IF(X27=0,0,1000000*X27/TrRoad_act!X67)</f>
        <v>63848.04556547432</v>
      </c>
      <c r="Y118" s="116">
        <f>IF(Y27=0,0,1000000*Y27/TrRoad_act!Y67)</f>
        <v>66470.852527824638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X119" s="101">
        <f>IF(X28=0,0,1000000*X28/TrRoad_act!X68)</f>
        <v>0</v>
      </c>
      <c r="Y119" s="101">
        <f>IF(Y28=0,0,1000000*Y28/TrRoad_act!Y68)</f>
        <v>0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63996.392936102668</v>
      </c>
      <c r="C120" s="101">
        <f>IF(C29=0,0,1000000*C29/TrRoad_act!C69)</f>
        <v>61954.174418179937</v>
      </c>
      <c r="D120" s="101">
        <f>IF(D29=0,0,1000000*D29/TrRoad_act!D69)</f>
        <v>61426.106811627506</v>
      </c>
      <c r="E120" s="101">
        <f>IF(E29=0,0,1000000*E29/TrRoad_act!E69)</f>
        <v>79820.382803103988</v>
      </c>
      <c r="F120" s="101">
        <f>IF(F29=0,0,1000000*F29/TrRoad_act!F69)</f>
        <v>60861.228904551317</v>
      </c>
      <c r="G120" s="101">
        <f>IF(G29=0,0,1000000*G29/TrRoad_act!G69)</f>
        <v>68734.953377917511</v>
      </c>
      <c r="H120" s="101">
        <f>IF(H29=0,0,1000000*H29/TrRoad_act!H69)</f>
        <v>65630.782094370807</v>
      </c>
      <c r="I120" s="101">
        <f>IF(I29=0,0,1000000*I29/TrRoad_act!I69)</f>
        <v>66283.730777361197</v>
      </c>
      <c r="J120" s="101">
        <f>IF(J29=0,0,1000000*J29/TrRoad_act!J69)</f>
        <v>60856.354243549955</v>
      </c>
      <c r="K120" s="101">
        <f>IF(K29=0,0,1000000*K29/TrRoad_act!K69)</f>
        <v>72198.1476140304</v>
      </c>
      <c r="L120" s="101">
        <f>IF(L29=0,0,1000000*L29/TrRoad_act!L69)</f>
        <v>61796.988630465727</v>
      </c>
      <c r="M120" s="101">
        <f>IF(M29=0,0,1000000*M29/TrRoad_act!M69)</f>
        <v>66392.935896180163</v>
      </c>
      <c r="N120" s="101">
        <f>IF(N29=0,0,1000000*N29/TrRoad_act!N69)</f>
        <v>53989.303047029927</v>
      </c>
      <c r="O120" s="101">
        <f>IF(O29=0,0,1000000*O29/TrRoad_act!O69)</f>
        <v>62009.267629670736</v>
      </c>
      <c r="P120" s="101">
        <f>IF(P29=0,0,1000000*P29/TrRoad_act!P69)</f>
        <v>59980.78822858943</v>
      </c>
      <c r="Q120" s="101">
        <f>IF(Q29=0,0,1000000*Q29/TrRoad_act!Q69)</f>
        <v>57522.567831855267</v>
      </c>
      <c r="R120" s="101">
        <f>IF(R29=0,0,1000000*R29/TrRoad_act!R69)</f>
        <v>58062.132462875488</v>
      </c>
      <c r="S120" s="101">
        <f>IF(S29=0,0,1000000*S29/TrRoad_act!S69)</f>
        <v>58704.73130069951</v>
      </c>
      <c r="T120" s="101">
        <f>IF(T29=0,0,1000000*T29/TrRoad_act!T69)</f>
        <v>60035.151787420349</v>
      </c>
      <c r="U120" s="101">
        <f>IF(U29=0,0,1000000*U29/TrRoad_act!U69)</f>
        <v>61819.016014041437</v>
      </c>
      <c r="V120" s="101">
        <f>IF(V29=0,0,1000000*V29/TrRoad_act!V69)</f>
        <v>61146.888602658983</v>
      </c>
      <c r="W120" s="101">
        <f>IF(W29=0,0,1000000*W29/TrRoad_act!W69)</f>
        <v>59755.678021924672</v>
      </c>
      <c r="X120" s="101">
        <f>IF(X29=0,0,1000000*X29/TrRoad_act!X69)</f>
        <v>65800.603317199304</v>
      </c>
      <c r="Y120" s="101">
        <f>IF(Y29=0,0,1000000*Y29/TrRoad_act!Y69)</f>
        <v>68768.259786404218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X121" s="101">
        <f>IF(X30=0,0,1000000*X30/TrRoad_act!X70)</f>
        <v>0</v>
      </c>
      <c r="Y121" s="101">
        <f>IF(Y30=0,0,1000000*Y30/TrRoad_act!Y70)</f>
        <v>0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39167.134195316459</v>
      </c>
      <c r="D122" s="101">
        <f>IF(D31=0,0,1000000*D31/TrRoad_act!D71)</f>
        <v>40346.051246949282</v>
      </c>
      <c r="E122" s="101">
        <f>IF(E31=0,0,1000000*E31/TrRoad_act!E71)</f>
        <v>40887.560762823712</v>
      </c>
      <c r="F122" s="101">
        <f>IF(F31=0,0,1000000*F31/TrRoad_act!F71)</f>
        <v>41151.951367535054</v>
      </c>
      <c r="G122" s="101">
        <f>IF(G31=0,0,1000000*G31/TrRoad_act!G71)</f>
        <v>43536.475985854231</v>
      </c>
      <c r="H122" s="101">
        <f>IF(H31=0,0,1000000*H31/TrRoad_act!H71)</f>
        <v>44501.609750605734</v>
      </c>
      <c r="I122" s="101">
        <f>IF(I31=0,0,1000000*I31/TrRoad_act!I71)</f>
        <v>43837.181120796406</v>
      </c>
      <c r="J122" s="101">
        <f>IF(J31=0,0,1000000*J31/TrRoad_act!J71)</f>
        <v>41524.784074554977</v>
      </c>
      <c r="K122" s="101">
        <f>IF(K31=0,0,1000000*K31/TrRoad_act!K71)</f>
        <v>42940.460769913581</v>
      </c>
      <c r="L122" s="101">
        <f>IF(L31=0,0,1000000*L31/TrRoad_act!L71)</f>
        <v>41453.305504555879</v>
      </c>
      <c r="M122" s="101">
        <f>IF(M31=0,0,1000000*M31/TrRoad_act!M71)</f>
        <v>45398.314298966623</v>
      </c>
      <c r="N122" s="101">
        <f>IF(N31=0,0,1000000*N31/TrRoad_act!N71)</f>
        <v>45039.02158716532</v>
      </c>
      <c r="O122" s="101">
        <f>IF(O31=0,0,1000000*O31/TrRoad_act!O71)</f>
        <v>43196.900879973167</v>
      </c>
      <c r="P122" s="101">
        <f>IF(P31=0,0,1000000*P31/TrRoad_act!P71)</f>
        <v>43774.193478945395</v>
      </c>
      <c r="Q122" s="101">
        <f>IF(Q31=0,0,1000000*Q31/TrRoad_act!Q71)</f>
        <v>45860.462684288781</v>
      </c>
      <c r="R122" s="101">
        <f>IF(R31=0,0,1000000*R31/TrRoad_act!R71)</f>
        <v>58876.471676716639</v>
      </c>
      <c r="S122" s="101">
        <f>IF(S31=0,0,1000000*S31/TrRoad_act!S71)</f>
        <v>39847.405412110049</v>
      </c>
      <c r="T122" s="101">
        <f>IF(T31=0,0,1000000*T31/TrRoad_act!T71)</f>
        <v>42371.459318422116</v>
      </c>
      <c r="U122" s="101">
        <f>IF(U31=0,0,1000000*U31/TrRoad_act!U71)</f>
        <v>46255.424698131777</v>
      </c>
      <c r="V122" s="101">
        <f>IF(V31=0,0,1000000*V31/TrRoad_act!V71)</f>
        <v>40532.519369688867</v>
      </c>
      <c r="W122" s="101">
        <f>IF(W31=0,0,1000000*W31/TrRoad_act!W71)</f>
        <v>43091.773045484842</v>
      </c>
      <c r="X122" s="101">
        <f>IF(X31=0,0,1000000*X31/TrRoad_act!X71)</f>
        <v>41362.995570657964</v>
      </c>
      <c r="Y122" s="101">
        <f>IF(Y31=0,0,1000000*Y31/TrRoad_act!Y71)</f>
        <v>35469.69462762976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3268.0970223038348</v>
      </c>
      <c r="C125" s="152">
        <f>IF(C34=0,0,1000000*C34/TrRoad_act!C74)</f>
        <v>3144.9658424320055</v>
      </c>
      <c r="D125" s="152">
        <f>IF(D34=0,0,1000000*D34/TrRoad_act!D74)</f>
        <v>3136.1316776216286</v>
      </c>
      <c r="E125" s="152">
        <f>IF(E34=0,0,1000000*E34/TrRoad_act!E74)</f>
        <v>3155.8109315658526</v>
      </c>
      <c r="F125" s="152">
        <f>IF(F34=0,0,1000000*F34/TrRoad_act!F74)</f>
        <v>3143.1303739535501</v>
      </c>
      <c r="G125" s="152">
        <f>IF(G34=0,0,1000000*G34/TrRoad_act!G74)</f>
        <v>3202.2425301953895</v>
      </c>
      <c r="H125" s="152">
        <f>IF(H34=0,0,1000000*H34/TrRoad_act!H74)</f>
        <v>3173.7224107569377</v>
      </c>
      <c r="I125" s="152">
        <f>IF(I34=0,0,1000000*I34/TrRoad_act!I74)</f>
        <v>3163.8174285166974</v>
      </c>
      <c r="J125" s="152">
        <f>IF(J34=0,0,1000000*J34/TrRoad_act!J74)</f>
        <v>3017.1986296345067</v>
      </c>
      <c r="K125" s="152">
        <f>IF(K34=0,0,1000000*K34/TrRoad_act!K74)</f>
        <v>2904.5196099835462</v>
      </c>
      <c r="L125" s="152">
        <f>IF(L34=0,0,1000000*L34/TrRoad_act!L74)</f>
        <v>2869.2341738391747</v>
      </c>
      <c r="M125" s="152">
        <f>IF(M34=0,0,1000000*M34/TrRoad_act!M74)</f>
        <v>2666.7152906598226</v>
      </c>
      <c r="N125" s="152">
        <f>IF(N34=0,0,1000000*N34/TrRoad_act!N74)</f>
        <v>2367.6112854003645</v>
      </c>
      <c r="O125" s="152">
        <f>IF(O34=0,0,1000000*O34/TrRoad_act!O74)</f>
        <v>2825.7351109467186</v>
      </c>
      <c r="P125" s="152">
        <f>IF(P34=0,0,1000000*P34/TrRoad_act!P74)</f>
        <v>2919.9579035870061</v>
      </c>
      <c r="Q125" s="152">
        <f>IF(Q34=0,0,1000000*Q34/TrRoad_act!Q74)</f>
        <v>3277.6920004902508</v>
      </c>
      <c r="R125" s="152">
        <f>IF(R34=0,0,1000000*R34/TrRoad_act!R74)</f>
        <v>3267.1342405034206</v>
      </c>
      <c r="S125" s="152">
        <f>IF(S34=0,0,1000000*S34/TrRoad_act!S74)</f>
        <v>3232.563582408889</v>
      </c>
      <c r="T125" s="152">
        <f>IF(T34=0,0,1000000*T34/TrRoad_act!T74)</f>
        <v>3339.6250537574206</v>
      </c>
      <c r="U125" s="152">
        <f>IF(U34=0,0,1000000*U34/TrRoad_act!U74)</f>
        <v>3418.7695810064315</v>
      </c>
      <c r="V125" s="152">
        <f>IF(V34=0,0,1000000*V34/TrRoad_act!V74)</f>
        <v>3001.7270811677681</v>
      </c>
      <c r="W125" s="152">
        <f>IF(W34=0,0,1000000*W34/TrRoad_act!W74)</f>
        <v>3343.9673661871257</v>
      </c>
      <c r="X125" s="152">
        <f>IF(X34=0,0,1000000*X34/TrRoad_act!X74)</f>
        <v>3533.2874845400033</v>
      </c>
      <c r="Y125" s="152">
        <f>IF(Y34=0,0,1000000*Y34/TrRoad_act!Y74)</f>
        <v>3543.1179662705968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3078.6932325698749</v>
      </c>
      <c r="C126" s="87">
        <f>IF(C35=0,0,1000000*C35/TrRoad_act!C75)</f>
        <v>2925.1287955054972</v>
      </c>
      <c r="D126" s="87">
        <f>IF(D35=0,0,1000000*D35/TrRoad_act!D75)</f>
        <v>2895.3987057796262</v>
      </c>
      <c r="E126" s="87">
        <f>IF(E35=0,0,1000000*E35/TrRoad_act!E75)</f>
        <v>2901.5805549419742</v>
      </c>
      <c r="F126" s="87">
        <f>IF(F35=0,0,1000000*F35/TrRoad_act!F75)</f>
        <v>2855.4076048379516</v>
      </c>
      <c r="G126" s="87">
        <f>IF(G35=0,0,1000000*G35/TrRoad_act!G75)</f>
        <v>2898.2546618693368</v>
      </c>
      <c r="H126" s="87">
        <f>IF(H35=0,0,1000000*H35/TrRoad_act!H75)</f>
        <v>2833.8335915809284</v>
      </c>
      <c r="I126" s="87">
        <f>IF(I35=0,0,1000000*I35/TrRoad_act!I75)</f>
        <v>2811.6380725504341</v>
      </c>
      <c r="J126" s="87">
        <f>IF(J35=0,0,1000000*J35/TrRoad_act!J75)</f>
        <v>2647.5111399019124</v>
      </c>
      <c r="K126" s="87">
        <f>IF(K35=0,0,1000000*K35/TrRoad_act!K75)</f>
        <v>2402.639960658043</v>
      </c>
      <c r="L126" s="87">
        <f>IF(L35=0,0,1000000*L35/TrRoad_act!L75)</f>
        <v>2360.5752703808885</v>
      </c>
      <c r="M126" s="87">
        <f>IF(M35=0,0,1000000*M35/TrRoad_act!M75)</f>
        <v>2184.9610827386241</v>
      </c>
      <c r="N126" s="87">
        <f>IF(N35=0,0,1000000*N35/TrRoad_act!N75)</f>
        <v>1967.1390332815765</v>
      </c>
      <c r="O126" s="87">
        <f>IF(O35=0,0,1000000*O35/TrRoad_act!O75)</f>
        <v>2169.1226632457874</v>
      </c>
      <c r="P126" s="87">
        <f>IF(P35=0,0,1000000*P35/TrRoad_act!P75)</f>
        <v>2276.1443768799768</v>
      </c>
      <c r="Q126" s="87">
        <f>IF(Q35=0,0,1000000*Q35/TrRoad_act!Q75)</f>
        <v>2362.3745585055808</v>
      </c>
      <c r="R126" s="87">
        <f>IF(R35=0,0,1000000*R35/TrRoad_act!R75)</f>
        <v>2282.5232703480833</v>
      </c>
      <c r="S126" s="87">
        <f>IF(S35=0,0,1000000*S35/TrRoad_act!S75)</f>
        <v>2401.4407145766017</v>
      </c>
      <c r="T126" s="87">
        <f>IF(T35=0,0,1000000*T35/TrRoad_act!T75)</f>
        <v>2699.0761753593961</v>
      </c>
      <c r="U126" s="87">
        <f>IF(U35=0,0,1000000*U35/TrRoad_act!U75)</f>
        <v>2659.298417372162</v>
      </c>
      <c r="V126" s="87">
        <f>IF(V35=0,0,1000000*V35/TrRoad_act!V75)</f>
        <v>2313.6298200730212</v>
      </c>
      <c r="W126" s="87">
        <f>IF(W35=0,0,1000000*W35/TrRoad_act!W75)</f>
        <v>2528.7206672413927</v>
      </c>
      <c r="X126" s="87">
        <f>IF(X35=0,0,1000000*X35/TrRoad_act!X75)</f>
        <v>2573.4624852681645</v>
      </c>
      <c r="Y126" s="87">
        <f>IF(Y35=0,0,1000000*Y35/TrRoad_act!Y75)</f>
        <v>2538.4305095435288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4602.0728327580073</v>
      </c>
      <c r="C127" s="87">
        <f>IF(C36=0,0,1000000*C36/TrRoad_act!C76)</f>
        <v>4532.8087996727954</v>
      </c>
      <c r="D127" s="87">
        <f>IF(D36=0,0,1000000*D36/TrRoad_act!D76)</f>
        <v>4538.9884982904623</v>
      </c>
      <c r="E127" s="87">
        <f>IF(E36=0,0,1000000*E36/TrRoad_act!E76)</f>
        <v>4363.2800250056589</v>
      </c>
      <c r="F127" s="87">
        <f>IF(F36=0,0,1000000*F36/TrRoad_act!F76)</f>
        <v>4363.2087580200368</v>
      </c>
      <c r="G127" s="87">
        <f>IF(G36=0,0,1000000*G36/TrRoad_act!G76)</f>
        <v>4377.314455405909</v>
      </c>
      <c r="H127" s="87">
        <f>IF(H36=0,0,1000000*H36/TrRoad_act!H76)</f>
        <v>4252.9855581820811</v>
      </c>
      <c r="I127" s="87">
        <f>IF(I36=0,0,1000000*I36/TrRoad_act!I76)</f>
        <v>4177.2773239193584</v>
      </c>
      <c r="J127" s="87">
        <f>IF(J36=0,0,1000000*J36/TrRoad_act!J76)</f>
        <v>4107.6478523554342</v>
      </c>
      <c r="K127" s="87">
        <f>IF(K36=0,0,1000000*K36/TrRoad_act!K76)</f>
        <v>4078.2602818768191</v>
      </c>
      <c r="L127" s="87">
        <f>IF(L36=0,0,1000000*L36/TrRoad_act!L76)</f>
        <v>3840.5117248500783</v>
      </c>
      <c r="M127" s="87">
        <f>IF(M36=0,0,1000000*M36/TrRoad_act!M76)</f>
        <v>3495.9920397736391</v>
      </c>
      <c r="N127" s="87">
        <f>IF(N36=0,0,1000000*N36/TrRoad_act!N76)</f>
        <v>3023.2173111713587</v>
      </c>
      <c r="O127" s="87">
        <f>IF(O36=0,0,1000000*O36/TrRoad_act!O76)</f>
        <v>3701.5658884975273</v>
      </c>
      <c r="P127" s="87">
        <f>IF(P36=0,0,1000000*P36/TrRoad_act!P76)</f>
        <v>3711.1534589832781</v>
      </c>
      <c r="Q127" s="87">
        <f>IF(Q36=0,0,1000000*Q36/TrRoad_act!Q76)</f>
        <v>4219.0857506079556</v>
      </c>
      <c r="R127" s="87">
        <f>IF(R36=0,0,1000000*R36/TrRoad_act!R76)</f>
        <v>4257.1591323205057</v>
      </c>
      <c r="S127" s="87">
        <f>IF(S36=0,0,1000000*S36/TrRoad_act!S76)</f>
        <v>4087.0379846394621</v>
      </c>
      <c r="T127" s="87">
        <f>IF(T36=0,0,1000000*T36/TrRoad_act!T76)</f>
        <v>4024.5556744410042</v>
      </c>
      <c r="U127" s="87">
        <f>IF(U36=0,0,1000000*U36/TrRoad_act!U76)</f>
        <v>4274.1383406030609</v>
      </c>
      <c r="V127" s="87">
        <f>IF(V36=0,0,1000000*V36/TrRoad_act!V76)</f>
        <v>3820.2855763441376</v>
      </c>
      <c r="W127" s="87">
        <f>IF(W36=0,0,1000000*W36/TrRoad_act!W76)</f>
        <v>4371.4786398992501</v>
      </c>
      <c r="X127" s="87">
        <f>IF(X36=0,0,1000000*X36/TrRoad_act!X76)</f>
        <v>4689.4806066826841</v>
      </c>
      <c r="Y127" s="87">
        <f>IF(Y36=0,0,1000000*Y36/TrRoad_act!Y76)</f>
        <v>4703.4855101085477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0</v>
      </c>
      <c r="P128" s="87">
        <f>IF(P37=0,0,1000000*P37/TrRoad_act!P77)</f>
        <v>0</v>
      </c>
      <c r="Q128" s="87">
        <f>IF(Q37=0,0,1000000*Q37/TrRoad_act!Q77)</f>
        <v>0</v>
      </c>
      <c r="R128" s="87">
        <f>IF(R37=0,0,1000000*R37/TrRoad_act!R77)</f>
        <v>0</v>
      </c>
      <c r="S128" s="87">
        <f>IF(S37=0,0,1000000*S37/TrRoad_act!S77)</f>
        <v>0</v>
      </c>
      <c r="T128" s="87">
        <f>IF(T37=0,0,1000000*T37/TrRoad_act!T77)</f>
        <v>0</v>
      </c>
      <c r="U128" s="87">
        <f>IF(U37=0,0,1000000*U37/TrRoad_act!U77)</f>
        <v>0</v>
      </c>
      <c r="V128" s="87">
        <f>IF(V37=0,0,1000000*V37/TrRoad_act!V77)</f>
        <v>0</v>
      </c>
      <c r="W128" s="87">
        <f>IF(W37=0,0,1000000*W37/TrRoad_act!W77)</f>
        <v>0</v>
      </c>
      <c r="X128" s="87">
        <f>IF(X37=0,0,1000000*X37/TrRoad_act!X77)</f>
        <v>0</v>
      </c>
      <c r="Y128" s="87">
        <f>IF(Y37=0,0,1000000*Y37/TrRoad_act!Y77)</f>
        <v>0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X129" s="87">
        <f>IF(X38=0,0,1000000*X38/TrRoad_act!X78)</f>
        <v>0</v>
      </c>
      <c r="Y129" s="87">
        <f>IF(Y38=0,0,1000000*Y38/TrRoad_act!Y78)</f>
        <v>0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17878.966281264195</v>
      </c>
      <c r="C131" s="116">
        <f>IF(C40=0,0,1000000*C40/TrRoad_act!C80)</f>
        <v>17624.255636838257</v>
      </c>
      <c r="D131" s="116">
        <f>IF(D40=0,0,1000000*D40/TrRoad_act!D80)</f>
        <v>17523.40393192253</v>
      </c>
      <c r="E131" s="116">
        <f>IF(E40=0,0,1000000*E40/TrRoad_act!E80)</f>
        <v>17416.307557079155</v>
      </c>
      <c r="F131" s="116">
        <f>IF(F40=0,0,1000000*F40/TrRoad_act!F80)</f>
        <v>16250.583693843604</v>
      </c>
      <c r="G131" s="116">
        <f>IF(G40=0,0,1000000*G40/TrRoad_act!G80)</f>
        <v>17165.008813726276</v>
      </c>
      <c r="H131" s="116">
        <f>IF(H40=0,0,1000000*H40/TrRoad_act!H80)</f>
        <v>16253.836889816517</v>
      </c>
      <c r="I131" s="116">
        <f>IF(I40=0,0,1000000*I40/TrRoad_act!I80)</f>
        <v>16864.771318375639</v>
      </c>
      <c r="J131" s="116">
        <f>IF(J40=0,0,1000000*J40/TrRoad_act!J80)</f>
        <v>15911.369422373638</v>
      </c>
      <c r="K131" s="116">
        <f>IF(K40=0,0,1000000*K40/TrRoad_act!K80)</f>
        <v>22318.194556395538</v>
      </c>
      <c r="L131" s="116">
        <f>IF(L40=0,0,1000000*L40/TrRoad_act!L80)</f>
        <v>20283.308105856337</v>
      </c>
      <c r="M131" s="116">
        <f>IF(M40=0,0,1000000*M40/TrRoad_act!M80)</f>
        <v>17387.540501299052</v>
      </c>
      <c r="N131" s="116">
        <f>IF(N40=0,0,1000000*N40/TrRoad_act!N80)</f>
        <v>13248.23844790697</v>
      </c>
      <c r="O131" s="116">
        <f>IF(O40=0,0,1000000*O40/TrRoad_act!O80)</f>
        <v>17433.109018503448</v>
      </c>
      <c r="P131" s="116">
        <f>IF(P40=0,0,1000000*P40/TrRoad_act!P80)</f>
        <v>20858.584762257076</v>
      </c>
      <c r="Q131" s="116">
        <f>IF(Q40=0,0,1000000*Q40/TrRoad_act!Q80)</f>
        <v>19996.692006901707</v>
      </c>
      <c r="R131" s="116">
        <f>IF(R40=0,0,1000000*R40/TrRoad_act!R80)</f>
        <v>23376.984606888378</v>
      </c>
      <c r="S131" s="116">
        <f>IF(S40=0,0,1000000*S40/TrRoad_act!S80)</f>
        <v>25994.297315467215</v>
      </c>
      <c r="T131" s="116">
        <f>IF(T40=0,0,1000000*T40/TrRoad_act!T80)</f>
        <v>31865.510761649803</v>
      </c>
      <c r="U131" s="116">
        <f>IF(U40=0,0,1000000*U40/TrRoad_act!U80)</f>
        <v>37253.519806229277</v>
      </c>
      <c r="V131" s="116">
        <f>IF(V40=0,0,1000000*V40/TrRoad_act!V80)</f>
        <v>40835.415990289381</v>
      </c>
      <c r="W131" s="116">
        <f>IF(W40=0,0,1000000*W40/TrRoad_act!W80)</f>
        <v>44100.177862165081</v>
      </c>
      <c r="X131" s="116">
        <f>IF(X40=0,0,1000000*X40/TrRoad_act!X80)</f>
        <v>54723.854668019769</v>
      </c>
      <c r="Y131" s="116">
        <f>IF(Y40=0,0,1000000*Y40/TrRoad_act!Y80)</f>
        <v>59843.467122968999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16448.108476982983</v>
      </c>
      <c r="C132" s="101">
        <f>IF(C41=0,0,1000000*C41/TrRoad_act!C81)</f>
        <v>16191.881061076443</v>
      </c>
      <c r="D132" s="101">
        <f>IF(D41=0,0,1000000*D41/TrRoad_act!D81)</f>
        <v>16077.500478121481</v>
      </c>
      <c r="E132" s="101">
        <f>IF(E41=0,0,1000000*E41/TrRoad_act!E81)</f>
        <v>14573.756300073099</v>
      </c>
      <c r="F132" s="101">
        <f>IF(F41=0,0,1000000*F41/TrRoad_act!F81)</f>
        <v>14841.42877483898</v>
      </c>
      <c r="G132" s="101">
        <f>IF(G41=0,0,1000000*G41/TrRoad_act!G81)</f>
        <v>14914.247949679095</v>
      </c>
      <c r="H132" s="101">
        <f>IF(H41=0,0,1000000*H41/TrRoad_act!H81)</f>
        <v>14200.607447754935</v>
      </c>
      <c r="I132" s="101">
        <f>IF(I41=0,0,1000000*I41/TrRoad_act!I81)</f>
        <v>14758.230313594962</v>
      </c>
      <c r="J132" s="101">
        <f>IF(J41=0,0,1000000*J41/TrRoad_act!J81)</f>
        <v>14278.548207021466</v>
      </c>
      <c r="K132" s="101">
        <f>IF(K41=0,0,1000000*K41/TrRoad_act!K81)</f>
        <v>19401.494442061234</v>
      </c>
      <c r="L132" s="101">
        <f>IF(L41=0,0,1000000*L41/TrRoad_act!L81)</f>
        <v>17896.360768436243</v>
      </c>
      <c r="M132" s="101">
        <f>IF(M41=0,0,1000000*M41/TrRoad_act!M81)</f>
        <v>14949.946848130667</v>
      </c>
      <c r="N132" s="101">
        <f>IF(N41=0,0,1000000*N41/TrRoad_act!N81)</f>
        <v>11813.93442031371</v>
      </c>
      <c r="O132" s="101">
        <f>IF(O41=0,0,1000000*O41/TrRoad_act!O81)</f>
        <v>14445.448630549907</v>
      </c>
      <c r="P132" s="101">
        <f>IF(P41=0,0,1000000*P41/TrRoad_act!P81)</f>
        <v>17654.688427684945</v>
      </c>
      <c r="Q132" s="101">
        <f>IF(Q41=0,0,1000000*Q41/TrRoad_act!Q81)</f>
        <v>17378.332371580535</v>
      </c>
      <c r="R132" s="101">
        <f>IF(R41=0,0,1000000*R41/TrRoad_act!R81)</f>
        <v>20164.021220594175</v>
      </c>
      <c r="S132" s="101">
        <f>IF(S41=0,0,1000000*S41/TrRoad_act!S81)</f>
        <v>21574.443750996496</v>
      </c>
      <c r="T132" s="101">
        <f>IF(T41=0,0,1000000*T41/TrRoad_act!T81)</f>
        <v>26626.008961664444</v>
      </c>
      <c r="U132" s="101">
        <f>IF(U41=0,0,1000000*U41/TrRoad_act!U81)</f>
        <v>32726.031752588478</v>
      </c>
      <c r="V132" s="101">
        <f>IF(V41=0,0,1000000*V41/TrRoad_act!V81)</f>
        <v>34331.172284172935</v>
      </c>
      <c r="W132" s="101">
        <f>IF(W41=0,0,1000000*W41/TrRoad_act!W81)</f>
        <v>37142.493407892987</v>
      </c>
      <c r="X132" s="101">
        <f>IF(X41=0,0,1000000*X41/TrRoad_act!X81)</f>
        <v>45612.984211798357</v>
      </c>
      <c r="Y132" s="101">
        <f>IF(Y41=0,0,1000000*Y41/TrRoad_act!Y81)</f>
        <v>48947.707251529835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212959.16609300789</v>
      </c>
      <c r="C133" s="88">
        <f>IF(C42=0,0,1000000*C42/TrRoad_act!C82)</f>
        <v>205551.79997678834</v>
      </c>
      <c r="D133" s="88">
        <f>IF(D42=0,0,1000000*D42/TrRoad_act!D82)</f>
        <v>202523.58327376773</v>
      </c>
      <c r="E133" s="88">
        <f>IF(E42=0,0,1000000*E42/TrRoad_act!E82)</f>
        <v>372145.18353863753</v>
      </c>
      <c r="F133" s="88">
        <f>IF(F42=0,0,1000000*F42/TrRoad_act!F82)</f>
        <v>193777.06213603579</v>
      </c>
      <c r="G133" s="88">
        <f>IF(G42=0,0,1000000*G42/TrRoad_act!G82)</f>
        <v>258153.20801427015</v>
      </c>
      <c r="H133" s="88">
        <f>IF(H42=0,0,1000000*H42/TrRoad_act!H82)</f>
        <v>219071.42462968893</v>
      </c>
      <c r="I133" s="88">
        <f>IF(I42=0,0,1000000*I42/TrRoad_act!I82)</f>
        <v>257305.69664038488</v>
      </c>
      <c r="J133" s="88">
        <f>IF(J42=0,0,1000000*J42/TrRoad_act!J82)</f>
        <v>239944.55906073051</v>
      </c>
      <c r="K133" s="88">
        <f>IF(K42=0,0,1000000*K42/TrRoad_act!K82)</f>
        <v>440357.0482776452</v>
      </c>
      <c r="L133" s="88">
        <f>IF(L42=0,0,1000000*L42/TrRoad_act!L82)</f>
        <v>272126.11333885859</v>
      </c>
      <c r="M133" s="88">
        <f>IF(M42=0,0,1000000*M42/TrRoad_act!M82)</f>
        <v>309062.42422820354</v>
      </c>
      <c r="N133" s="88">
        <f>IF(N42=0,0,1000000*N42/TrRoad_act!N82)</f>
        <v>152480.69774323225</v>
      </c>
      <c r="O133" s="88">
        <f>IF(O42=0,0,1000000*O42/TrRoad_act!O82)</f>
        <v>244607.0274247175</v>
      </c>
      <c r="P133" s="88">
        <f>IF(P42=0,0,1000000*P42/TrRoad_act!P82)</f>
        <v>246030.52740282714</v>
      </c>
      <c r="Q133" s="88">
        <f>IF(Q42=0,0,1000000*Q42/TrRoad_act!Q82)</f>
        <v>170134.54769180706</v>
      </c>
      <c r="R133" s="88">
        <f>IF(R42=0,0,1000000*R42/TrRoad_act!R82)</f>
        <v>177187.13554563775</v>
      </c>
      <c r="S133" s="88">
        <f>IF(S42=0,0,1000000*S42/TrRoad_act!S82)</f>
        <v>168068.01911543211</v>
      </c>
      <c r="T133" s="88">
        <f>IF(T42=0,0,1000000*T42/TrRoad_act!T82)</f>
        <v>183920.21924872484</v>
      </c>
      <c r="U133" s="88">
        <f>IF(U42=0,0,1000000*U42/TrRoad_act!U82)</f>
        <v>307572.16729987442</v>
      </c>
      <c r="V133" s="88">
        <f>IF(V42=0,0,1000000*V42/TrRoad_act!V82)</f>
        <v>279161.0927520562</v>
      </c>
      <c r="W133" s="88">
        <f>IF(W42=0,0,1000000*W42/TrRoad_act!W82)</f>
        <v>219681.50734371837</v>
      </c>
      <c r="X133" s="88">
        <f>IF(X42=0,0,1000000*X42/TrRoad_act!X82)</f>
        <v>248781.86279565174</v>
      </c>
      <c r="Y133" s="88">
        <f>IF(Y42=0,0,1000000*Y42/TrRoad_act!Y82)</f>
        <v>265621.76240964886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0.64221024412497607</v>
      </c>
      <c r="C136" s="46">
        <f t="shared" si="40"/>
        <v>0.64768848091920905</v>
      </c>
      <c r="D136" s="46">
        <f t="shared" si="40"/>
        <v>0.6527670571879407</v>
      </c>
      <c r="E136" s="46">
        <f t="shared" si="40"/>
        <v>0.67120925435303691</v>
      </c>
      <c r="F136" s="46">
        <f t="shared" si="40"/>
        <v>0.6536237389775843</v>
      </c>
      <c r="G136" s="46">
        <f t="shared" si="40"/>
        <v>0.67730408363313399</v>
      </c>
      <c r="H136" s="46">
        <f t="shared" si="40"/>
        <v>0.67218503726820478</v>
      </c>
      <c r="I136" s="46">
        <f t="shared" si="40"/>
        <v>0.6750609704317696</v>
      </c>
      <c r="J136" s="46">
        <f t="shared" si="40"/>
        <v>0.67079702165663113</v>
      </c>
      <c r="K136" s="46">
        <f t="shared" si="40"/>
        <v>0.6477835517473246</v>
      </c>
      <c r="L136" s="46">
        <f t="shared" si="41"/>
        <v>0.65237529817328743</v>
      </c>
      <c r="M136" s="46">
        <f t="shared" si="40"/>
        <v>0.6923613986390571</v>
      </c>
      <c r="N136" s="46">
        <f t="shared" si="40"/>
        <v>0.72155307553615688</v>
      </c>
      <c r="O136" s="46">
        <f t="shared" si="40"/>
        <v>0.67799319079724352</v>
      </c>
      <c r="P136" s="46">
        <f t="shared" si="40"/>
        <v>0.66101261873809858</v>
      </c>
      <c r="Q136" s="46">
        <f t="shared" si="40"/>
        <v>0.66626009068393821</v>
      </c>
      <c r="R136" s="46">
        <f t="shared" si="40"/>
        <v>0.65548515750691594</v>
      </c>
      <c r="S136" s="46">
        <f t="shared" si="40"/>
        <v>0.6670251406364367</v>
      </c>
      <c r="T136" s="46">
        <f t="shared" si="40"/>
        <v>0.66010728048696654</v>
      </c>
      <c r="U136" s="46">
        <f t="shared" si="40"/>
        <v>0.65331806657197222</v>
      </c>
      <c r="V136" s="46">
        <f t="shared" si="40"/>
        <v>0.62625345049705783</v>
      </c>
      <c r="W136" s="46">
        <f t="shared" si="42"/>
        <v>0.63044046252485986</v>
      </c>
      <c r="X136" s="46">
        <f t="shared" si="42"/>
        <v>0.63039055942654587</v>
      </c>
      <c r="Y136" s="46">
        <f t="shared" si="42"/>
        <v>0.64786246045370965</v>
      </c>
      <c r="DA136" s="211"/>
    </row>
    <row r="137" spans="1:105" ht="11.45" customHeight="1" x14ac:dyDescent="0.25">
      <c r="A137" s="153" t="s">
        <v>173</v>
      </c>
      <c r="B137" s="154">
        <f t="shared" si="40"/>
        <v>3.0702193238531173E-2</v>
      </c>
      <c r="C137" s="154">
        <f t="shared" si="40"/>
        <v>3.2541673242890583E-2</v>
      </c>
      <c r="D137" s="154">
        <f t="shared" si="40"/>
        <v>3.4566341281749728E-2</v>
      </c>
      <c r="E137" s="154">
        <f t="shared" si="40"/>
        <v>3.4143913526055863E-2</v>
      </c>
      <c r="F137" s="154">
        <f t="shared" si="40"/>
        <v>3.4175533791361595E-2</v>
      </c>
      <c r="G137" s="154">
        <f t="shared" si="40"/>
        <v>3.4289504312520196E-2</v>
      </c>
      <c r="H137" s="154">
        <f t="shared" si="40"/>
        <v>3.059162348436955E-2</v>
      </c>
      <c r="I137" s="154">
        <f t="shared" si="40"/>
        <v>2.9436452012876309E-2</v>
      </c>
      <c r="J137" s="154">
        <f t="shared" si="40"/>
        <v>3.2257295438939175E-2</v>
      </c>
      <c r="K137" s="154">
        <f t="shared" si="40"/>
        <v>3.0392303776380344E-2</v>
      </c>
      <c r="L137" s="154">
        <f t="shared" si="41"/>
        <v>3.990796098483182E-2</v>
      </c>
      <c r="M137" s="154">
        <f t="shared" si="40"/>
        <v>4.4678245021121887E-2</v>
      </c>
      <c r="N137" s="154">
        <f t="shared" si="40"/>
        <v>5.6333682559117262E-2</v>
      </c>
      <c r="O137" s="154">
        <f t="shared" si="40"/>
        <v>5.5392794210070526E-2</v>
      </c>
      <c r="P137" s="154">
        <f t="shared" si="40"/>
        <v>5.6098413226084401E-2</v>
      </c>
      <c r="Q137" s="154">
        <f t="shared" si="40"/>
        <v>5.5391521261194059E-2</v>
      </c>
      <c r="R137" s="154">
        <f t="shared" si="40"/>
        <v>5.507033037395842E-2</v>
      </c>
      <c r="S137" s="154">
        <f t="shared" si="40"/>
        <v>5.2610340412420999E-2</v>
      </c>
      <c r="T137" s="154">
        <f t="shared" si="40"/>
        <v>4.8133376596443386E-2</v>
      </c>
      <c r="U137" s="154">
        <f t="shared" si="40"/>
        <v>4.8620301842031338E-2</v>
      </c>
      <c r="V137" s="154">
        <f t="shared" si="40"/>
        <v>4.8300685663420523E-2</v>
      </c>
      <c r="W137" s="154">
        <f t="shared" si="42"/>
        <v>4.694416755553283E-2</v>
      </c>
      <c r="X137" s="154">
        <f t="shared" si="42"/>
        <v>4.4603772112245574E-2</v>
      </c>
      <c r="Y137" s="154">
        <f t="shared" si="42"/>
        <v>4.5544426919893952E-2</v>
      </c>
      <c r="DA137" s="212"/>
    </row>
    <row r="138" spans="1:105" ht="11.45" customHeight="1" x14ac:dyDescent="0.25">
      <c r="A138" s="155" t="s">
        <v>20</v>
      </c>
      <c r="B138" s="156">
        <f t="shared" si="40"/>
        <v>0.50156103751666126</v>
      </c>
      <c r="C138" s="156">
        <f t="shared" si="40"/>
        <v>0.51125311919737126</v>
      </c>
      <c r="D138" s="156">
        <f t="shared" si="40"/>
        <v>0.51843790586812177</v>
      </c>
      <c r="E138" s="156">
        <f t="shared" si="40"/>
        <v>0.51595653670356989</v>
      </c>
      <c r="F138" s="156">
        <f t="shared" si="40"/>
        <v>0.52853625497124945</v>
      </c>
      <c r="G138" s="156">
        <f t="shared" si="40"/>
        <v>0.54294292812803846</v>
      </c>
      <c r="H138" s="156">
        <f t="shared" si="40"/>
        <v>0.54776508660765488</v>
      </c>
      <c r="I138" s="156">
        <f t="shared" si="40"/>
        <v>0.55411882246308508</v>
      </c>
      <c r="J138" s="156">
        <f t="shared" si="40"/>
        <v>0.55237374729567768</v>
      </c>
      <c r="K138" s="156">
        <f t="shared" si="40"/>
        <v>0.52318456843564554</v>
      </c>
      <c r="L138" s="156">
        <f t="shared" si="41"/>
        <v>0.52278358532326596</v>
      </c>
      <c r="M138" s="156">
        <f t="shared" si="40"/>
        <v>0.54290089648327755</v>
      </c>
      <c r="N138" s="156">
        <f t="shared" si="40"/>
        <v>0.56098320903095777</v>
      </c>
      <c r="O138" s="156">
        <f t="shared" si="40"/>
        <v>0.50764394109290678</v>
      </c>
      <c r="P138" s="156">
        <f t="shared" si="40"/>
        <v>0.49328194712847101</v>
      </c>
      <c r="Q138" s="156">
        <f t="shared" si="40"/>
        <v>0.50485108190973971</v>
      </c>
      <c r="R138" s="156">
        <f t="shared" si="40"/>
        <v>0.49554276467290248</v>
      </c>
      <c r="S138" s="156">
        <f t="shared" si="40"/>
        <v>0.50696464224800097</v>
      </c>
      <c r="T138" s="156">
        <f t="shared" si="40"/>
        <v>0.50303676145764253</v>
      </c>
      <c r="U138" s="156">
        <f t="shared" si="40"/>
        <v>0.49498140960838533</v>
      </c>
      <c r="V138" s="156">
        <f t="shared" si="40"/>
        <v>0.45357851490053663</v>
      </c>
      <c r="W138" s="156">
        <f t="shared" si="42"/>
        <v>0.4683274222185308</v>
      </c>
      <c r="X138" s="156">
        <f t="shared" si="42"/>
        <v>0.47084196844181297</v>
      </c>
      <c r="Y138" s="156">
        <f t="shared" si="42"/>
        <v>0.48728610146785806</v>
      </c>
      <c r="DA138" s="213"/>
    </row>
    <row r="139" spans="1:105" ht="11.45" customHeight="1" x14ac:dyDescent="0.25">
      <c r="A139" s="157" t="s">
        <v>110</v>
      </c>
      <c r="B139" s="103">
        <f t="shared" si="40"/>
        <v>0.46894953017321528</v>
      </c>
      <c r="C139" s="103">
        <f t="shared" si="40"/>
        <v>0.4801469642847051</v>
      </c>
      <c r="D139" s="103">
        <f t="shared" si="40"/>
        <v>0.48869732082592926</v>
      </c>
      <c r="E139" s="103">
        <f t="shared" si="40"/>
        <v>0.4870014238146444</v>
      </c>
      <c r="F139" s="103">
        <f t="shared" si="40"/>
        <v>0.50255616676302262</v>
      </c>
      <c r="G139" s="103">
        <f t="shared" si="40"/>
        <v>0.51671040262330181</v>
      </c>
      <c r="H139" s="103">
        <f t="shared" si="40"/>
        <v>0.52014623284869832</v>
      </c>
      <c r="I139" s="103">
        <f t="shared" si="40"/>
        <v>0.52572671627666612</v>
      </c>
      <c r="J139" s="103">
        <f t="shared" si="40"/>
        <v>0.52544105659888585</v>
      </c>
      <c r="K139" s="103">
        <f t="shared" si="40"/>
        <v>0.49252200708304567</v>
      </c>
      <c r="L139" s="103">
        <f t="shared" si="41"/>
        <v>0.48746794947935312</v>
      </c>
      <c r="M139" s="103">
        <f t="shared" si="40"/>
        <v>0.48346240211138997</v>
      </c>
      <c r="N139" s="103">
        <f t="shared" si="40"/>
        <v>0.50955837577086538</v>
      </c>
      <c r="O139" s="103">
        <f t="shared" si="40"/>
        <v>0.44933011610779211</v>
      </c>
      <c r="P139" s="103">
        <f t="shared" si="40"/>
        <v>0.42602947364142163</v>
      </c>
      <c r="Q139" s="103">
        <f t="shared" si="40"/>
        <v>0.40838705598655411</v>
      </c>
      <c r="R139" s="103">
        <f t="shared" si="40"/>
        <v>0.38972779802942098</v>
      </c>
      <c r="S139" s="103">
        <f t="shared" si="40"/>
        <v>0.38833219059292745</v>
      </c>
      <c r="T139" s="103">
        <f t="shared" si="40"/>
        <v>0.37540943452016573</v>
      </c>
      <c r="U139" s="103">
        <f t="shared" si="40"/>
        <v>0.35364649290233352</v>
      </c>
      <c r="V139" s="103">
        <f t="shared" si="40"/>
        <v>0.31728399829727366</v>
      </c>
      <c r="W139" s="103">
        <f t="shared" si="42"/>
        <v>0.32107866664707846</v>
      </c>
      <c r="X139" s="103">
        <f t="shared" si="42"/>
        <v>0.31624303457625119</v>
      </c>
      <c r="Y139" s="103">
        <f t="shared" si="42"/>
        <v>0.32075498332975838</v>
      </c>
      <c r="DA139" s="191"/>
    </row>
    <row r="140" spans="1:105" ht="11.45" customHeight="1" x14ac:dyDescent="0.25">
      <c r="A140" s="157" t="s">
        <v>111</v>
      </c>
      <c r="B140" s="103">
        <f t="shared" si="40"/>
        <v>2.9810435501955546E-2</v>
      </c>
      <c r="C140" s="103">
        <f t="shared" si="40"/>
        <v>2.8049457751613549E-2</v>
      </c>
      <c r="D140" s="103">
        <f t="shared" si="40"/>
        <v>2.6885822009436879E-2</v>
      </c>
      <c r="E140" s="103">
        <f t="shared" si="40"/>
        <v>2.6743769399424546E-2</v>
      </c>
      <c r="F140" s="103">
        <f t="shared" si="40"/>
        <v>2.3948995681700603E-2</v>
      </c>
      <c r="G140" s="103">
        <f t="shared" si="40"/>
        <v>2.4231675900768537E-2</v>
      </c>
      <c r="H140" s="103">
        <f t="shared" si="40"/>
        <v>2.5653298802801854E-2</v>
      </c>
      <c r="I140" s="103">
        <f t="shared" si="40"/>
        <v>2.6323944725006414E-2</v>
      </c>
      <c r="J140" s="103">
        <f t="shared" si="40"/>
        <v>2.4824979372903722E-2</v>
      </c>
      <c r="K140" s="103">
        <f t="shared" si="40"/>
        <v>2.8021699572534562E-2</v>
      </c>
      <c r="L140" s="103">
        <f t="shared" si="41"/>
        <v>2.8510067026414392E-2</v>
      </c>
      <c r="M140" s="103">
        <f t="shared" si="40"/>
        <v>2.8977260730852834E-2</v>
      </c>
      <c r="N140" s="103">
        <f t="shared" si="40"/>
        <v>3.5071912840926242E-2</v>
      </c>
      <c r="O140" s="103">
        <f t="shared" si="40"/>
        <v>2.0229583971234397E-2</v>
      </c>
      <c r="P140" s="103">
        <f t="shared" si="40"/>
        <v>2.5649124939056821E-2</v>
      </c>
      <c r="Q140" s="103">
        <f t="shared" si="40"/>
        <v>4.8664853341258418E-2</v>
      </c>
      <c r="R140" s="103">
        <f t="shared" si="40"/>
        <v>5.8339914053296006E-2</v>
      </c>
      <c r="S140" s="103">
        <f t="shared" si="40"/>
        <v>7.2935402731553065E-2</v>
      </c>
      <c r="T140" s="103">
        <f t="shared" si="40"/>
        <v>8.4032086041967519E-2</v>
      </c>
      <c r="U140" s="103">
        <f t="shared" si="40"/>
        <v>9.798262171854398E-2</v>
      </c>
      <c r="V140" s="103">
        <f t="shared" si="40"/>
        <v>9.596367465331912E-2</v>
      </c>
      <c r="W140" s="103">
        <f t="shared" si="42"/>
        <v>0.11000013125293065</v>
      </c>
      <c r="X140" s="103">
        <f t="shared" si="42"/>
        <v>0.12001874552550802</v>
      </c>
      <c r="Y140" s="103">
        <f t="shared" si="42"/>
        <v>0.13251931256848359</v>
      </c>
      <c r="DA140" s="191"/>
    </row>
    <row r="141" spans="1:105" ht="11.45" customHeight="1" x14ac:dyDescent="0.25">
      <c r="A141" s="157" t="s">
        <v>112</v>
      </c>
      <c r="B141" s="103">
        <f t="shared" si="40"/>
        <v>2.8010718414904811E-3</v>
      </c>
      <c r="C141" s="103">
        <f t="shared" si="40"/>
        <v>2.9222338310263096E-3</v>
      </c>
      <c r="D141" s="103">
        <f t="shared" si="40"/>
        <v>2.6452339602327899E-3</v>
      </c>
      <c r="E141" s="103">
        <f t="shared" si="40"/>
        <v>1.9944665139725827E-3</v>
      </c>
      <c r="F141" s="103">
        <f t="shared" si="40"/>
        <v>1.8172607987656673E-3</v>
      </c>
      <c r="G141" s="103">
        <f t="shared" si="40"/>
        <v>1.7703729184841699E-3</v>
      </c>
      <c r="H141" s="103">
        <f t="shared" si="40"/>
        <v>1.7302667590856869E-3</v>
      </c>
      <c r="I141" s="103">
        <f t="shared" si="40"/>
        <v>1.8144912432043882E-3</v>
      </c>
      <c r="J141" s="103">
        <f t="shared" si="40"/>
        <v>1.8550058996988181E-3</v>
      </c>
      <c r="K141" s="103">
        <f t="shared" si="40"/>
        <v>2.3478199217747543E-3</v>
      </c>
      <c r="L141" s="103">
        <f t="shared" si="41"/>
        <v>6.4410526774428918E-3</v>
      </c>
      <c r="M141" s="103">
        <f t="shared" si="40"/>
        <v>3.0043967896701794E-2</v>
      </c>
      <c r="N141" s="103">
        <f t="shared" si="40"/>
        <v>1.5848601702595642E-2</v>
      </c>
      <c r="O141" s="103">
        <f t="shared" si="40"/>
        <v>3.7613672567610931E-2</v>
      </c>
      <c r="P141" s="103">
        <f t="shared" si="40"/>
        <v>4.1126518273347436E-2</v>
      </c>
      <c r="Q141" s="103">
        <f t="shared" si="40"/>
        <v>4.7309769456346955E-2</v>
      </c>
      <c r="R141" s="103">
        <f t="shared" si="40"/>
        <v>4.6994945888019689E-2</v>
      </c>
      <c r="S141" s="103">
        <f t="shared" si="40"/>
        <v>4.5227813948114634E-2</v>
      </c>
      <c r="T141" s="103">
        <f t="shared" si="40"/>
        <v>4.3124966000513805E-2</v>
      </c>
      <c r="U141" s="103">
        <f t="shared" si="40"/>
        <v>4.2869435660095552E-2</v>
      </c>
      <c r="V141" s="103">
        <f t="shared" si="40"/>
        <v>3.9654557163496675E-2</v>
      </c>
      <c r="W141" s="103">
        <f t="shared" si="42"/>
        <v>3.6482458634961669E-2</v>
      </c>
      <c r="X141" s="103">
        <f t="shared" si="42"/>
        <v>3.3703309044651117E-2</v>
      </c>
      <c r="Y141" s="103">
        <f t="shared" si="42"/>
        <v>3.2919693856914636E-2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1.3446333002622502E-4</v>
      </c>
      <c r="D142" s="103">
        <f t="shared" si="40"/>
        <v>2.0952907252290017E-4</v>
      </c>
      <c r="E142" s="103">
        <f t="shared" si="40"/>
        <v>2.1687697552833898E-4</v>
      </c>
      <c r="F142" s="103">
        <f t="shared" si="40"/>
        <v>2.1383172776062818E-4</v>
      </c>
      <c r="G142" s="103">
        <f t="shared" si="40"/>
        <v>2.3047668548401102E-4</v>
      </c>
      <c r="H142" s="103">
        <f t="shared" si="40"/>
        <v>2.3528819706907859E-4</v>
      </c>
      <c r="I142" s="103">
        <f t="shared" si="40"/>
        <v>2.5367021820818232E-4</v>
      </c>
      <c r="J142" s="103">
        <f t="shared" si="40"/>
        <v>2.5270542418930064E-4</v>
      </c>
      <c r="K142" s="103">
        <f t="shared" si="40"/>
        <v>2.9304185829048585E-4</v>
      </c>
      <c r="L142" s="103">
        <f t="shared" si="41"/>
        <v>3.6451614005564666E-4</v>
      </c>
      <c r="M142" s="103">
        <f t="shared" si="40"/>
        <v>4.1726574433284015E-4</v>
      </c>
      <c r="N142" s="103">
        <f t="shared" si="40"/>
        <v>5.0429312499751077E-4</v>
      </c>
      <c r="O142" s="103">
        <f t="shared" si="40"/>
        <v>4.7056048820789102E-4</v>
      </c>
      <c r="P142" s="103">
        <f t="shared" si="40"/>
        <v>4.764975732800192E-4</v>
      </c>
      <c r="Q142" s="103">
        <f t="shared" si="40"/>
        <v>4.8861922451086241E-4</v>
      </c>
      <c r="R142" s="103">
        <f t="shared" si="40"/>
        <v>4.7809102315724315E-4</v>
      </c>
      <c r="S142" s="103">
        <f t="shared" si="40"/>
        <v>4.6303575638776675E-4</v>
      </c>
      <c r="T142" s="103">
        <f t="shared" si="40"/>
        <v>4.5837353258018474E-4</v>
      </c>
      <c r="U142" s="103">
        <f t="shared" si="40"/>
        <v>4.6373179174401003E-4</v>
      </c>
      <c r="V142" s="103">
        <f t="shared" si="40"/>
        <v>6.2302652782192272E-4</v>
      </c>
      <c r="W142" s="103">
        <f t="shared" si="42"/>
        <v>6.0787115807079252E-4</v>
      </c>
      <c r="X142" s="103">
        <f t="shared" si="42"/>
        <v>6.1433371261705348E-4</v>
      </c>
      <c r="Y142" s="103">
        <f t="shared" si="42"/>
        <v>6.9398620181375034E-4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2.5591572987642141E-8</v>
      </c>
      <c r="O143" s="103">
        <f t="shared" si="40"/>
        <v>7.958061467532336E-9</v>
      </c>
      <c r="P143" s="103">
        <f t="shared" si="40"/>
        <v>3.3270136515096179E-7</v>
      </c>
      <c r="Q143" s="103">
        <f t="shared" si="40"/>
        <v>7.8390106932036193E-7</v>
      </c>
      <c r="R143" s="103">
        <f t="shared" si="40"/>
        <v>2.015679008583821E-6</v>
      </c>
      <c r="S143" s="103">
        <f t="shared" si="40"/>
        <v>6.1992190181292293E-6</v>
      </c>
      <c r="T143" s="103">
        <f t="shared" si="40"/>
        <v>1.1901362415312784E-5</v>
      </c>
      <c r="U143" s="103">
        <f t="shared" si="40"/>
        <v>1.9127535668361307E-5</v>
      </c>
      <c r="V143" s="103">
        <f t="shared" si="40"/>
        <v>5.3258258625168696E-5</v>
      </c>
      <c r="W143" s="103">
        <f t="shared" si="42"/>
        <v>1.5829452548918872E-4</v>
      </c>
      <c r="X143" s="103">
        <f t="shared" si="42"/>
        <v>2.6254558278556909E-4</v>
      </c>
      <c r="Y143" s="103">
        <f t="shared" si="42"/>
        <v>3.9812551088762229E-4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0.10994701336978367</v>
      </c>
      <c r="C145" s="156">
        <f t="shared" si="40"/>
        <v>0.10389368847894724</v>
      </c>
      <c r="D145" s="156">
        <f t="shared" si="40"/>
        <v>9.9762810038069138E-2</v>
      </c>
      <c r="E145" s="156">
        <f t="shared" si="40"/>
        <v>0.1211088041234113</v>
      </c>
      <c r="F145" s="156">
        <f t="shared" si="40"/>
        <v>9.0911950214973239E-2</v>
      </c>
      <c r="G145" s="156">
        <f t="shared" si="40"/>
        <v>0.10007165119257537</v>
      </c>
      <c r="H145" s="156">
        <f t="shared" si="40"/>
        <v>9.3828327176180365E-2</v>
      </c>
      <c r="I145" s="156">
        <f t="shared" si="40"/>
        <v>9.1505695955808194E-2</v>
      </c>
      <c r="J145" s="156">
        <f t="shared" si="40"/>
        <v>8.6165978922014316E-2</v>
      </c>
      <c r="K145" s="156">
        <f t="shared" si="40"/>
        <v>9.420667953529871E-2</v>
      </c>
      <c r="L145" s="156">
        <f t="shared" si="41"/>
        <v>8.968375186518962E-2</v>
      </c>
      <c r="M145" s="156">
        <f t="shared" si="40"/>
        <v>0.10478225713465764</v>
      </c>
      <c r="N145" s="156">
        <f t="shared" si="40"/>
        <v>0.10423618394608189</v>
      </c>
      <c r="O145" s="156">
        <f t="shared" si="40"/>
        <v>0.11495645549426631</v>
      </c>
      <c r="P145" s="156">
        <f t="shared" si="40"/>
        <v>0.1116322583835431</v>
      </c>
      <c r="Q145" s="156">
        <f t="shared" si="40"/>
        <v>0.1060174875130044</v>
      </c>
      <c r="R145" s="156">
        <f t="shared" si="40"/>
        <v>0.10487206246005498</v>
      </c>
      <c r="S145" s="156">
        <f t="shared" si="40"/>
        <v>0.10745015797601465</v>
      </c>
      <c r="T145" s="156">
        <f t="shared" si="40"/>
        <v>0.10893714243288058</v>
      </c>
      <c r="U145" s="156">
        <f t="shared" si="40"/>
        <v>0.10971635512155554</v>
      </c>
      <c r="V145" s="156">
        <f t="shared" si="40"/>
        <v>0.12437424993310064</v>
      </c>
      <c r="W145" s="156">
        <f t="shared" si="42"/>
        <v>0.11516887275079617</v>
      </c>
      <c r="X145" s="156">
        <f t="shared" si="42"/>
        <v>0.11494481887248732</v>
      </c>
      <c r="Y145" s="156">
        <f t="shared" si="42"/>
        <v>0.11503193206595762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X146" s="103">
        <f t="shared" si="42"/>
        <v>0</v>
      </c>
      <c r="Y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0.10994701336978367</v>
      </c>
      <c r="C147" s="103">
        <f t="shared" si="40"/>
        <v>0.10315068913447915</v>
      </c>
      <c r="D147" s="103">
        <f t="shared" si="40"/>
        <v>9.863285167020007E-2</v>
      </c>
      <c r="E147" s="103">
        <f t="shared" si="40"/>
        <v>0.1199339201243899</v>
      </c>
      <c r="F147" s="103">
        <f t="shared" si="40"/>
        <v>8.9747972302772649E-2</v>
      </c>
      <c r="G147" s="103">
        <f t="shared" si="40"/>
        <v>9.8799222470277184E-2</v>
      </c>
      <c r="H147" s="103">
        <f t="shared" si="40"/>
        <v>9.2514939431652218E-2</v>
      </c>
      <c r="I147" s="103">
        <f t="shared" si="40"/>
        <v>9.0053241308414481E-2</v>
      </c>
      <c r="J147" s="103">
        <f t="shared" si="40"/>
        <v>8.4692748815747662E-2</v>
      </c>
      <c r="K147" s="103">
        <f t="shared" si="40"/>
        <v>9.2854128051689439E-2</v>
      </c>
      <c r="L147" s="103">
        <f t="shared" si="41"/>
        <v>8.8292989300172708E-2</v>
      </c>
      <c r="M147" s="103">
        <f t="shared" si="40"/>
        <v>0.10317040496600496</v>
      </c>
      <c r="N147" s="103">
        <f t="shared" si="40"/>
        <v>0.10228799188855583</v>
      </c>
      <c r="O147" s="103">
        <f t="shared" si="40"/>
        <v>0.11323199696192197</v>
      </c>
      <c r="P147" s="103">
        <f t="shared" si="40"/>
        <v>0.10984218798722908</v>
      </c>
      <c r="Q147" s="103">
        <f t="shared" si="40"/>
        <v>0.1040337791897491</v>
      </c>
      <c r="R147" s="103">
        <f t="shared" ref="R147:V147" si="43">IF(R29=0,0,R29/R$17)</f>
        <v>0.10232072309446431</v>
      </c>
      <c r="S147" s="103">
        <f t="shared" si="43"/>
        <v>0.10582177070819779</v>
      </c>
      <c r="T147" s="103">
        <f t="shared" si="43"/>
        <v>0.10692297286204795</v>
      </c>
      <c r="U147" s="103">
        <f t="shared" si="43"/>
        <v>0.10734276005779717</v>
      </c>
      <c r="V147" s="103">
        <f t="shared" si="43"/>
        <v>0.12169842732874699</v>
      </c>
      <c r="W147" s="103">
        <f t="shared" ref="W147:Y147" si="44">IF(W29=0,0,W29/W$17)</f>
        <v>0.11215831859580228</v>
      </c>
      <c r="X147" s="103">
        <f t="shared" si="44"/>
        <v>0.11161034648692596</v>
      </c>
      <c r="Y147" s="103">
        <f t="shared" si="44"/>
        <v>0.11182161214059494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:Y148" si="48">IF(W30=0,0,W30/W$17)</f>
        <v>0</v>
      </c>
      <c r="X148" s="103">
        <f t="shared" si="48"/>
        <v>0</v>
      </c>
      <c r="Y148" s="103">
        <f t="shared" si="48"/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7.4299934446808063E-4</v>
      </c>
      <c r="D149" s="103">
        <f t="shared" si="49"/>
        <v>1.1299583678690754E-3</v>
      </c>
      <c r="E149" s="103">
        <f t="shared" si="49"/>
        <v>1.174883999021395E-3</v>
      </c>
      <c r="F149" s="103">
        <f t="shared" si="49"/>
        <v>1.163977912200586E-3</v>
      </c>
      <c r="G149" s="103">
        <f t="shared" si="49"/>
        <v>1.2724287222981917E-3</v>
      </c>
      <c r="H149" s="103">
        <f t="shared" si="49"/>
        <v>1.3133877445281493E-3</v>
      </c>
      <c r="I149" s="103">
        <f t="shared" si="49"/>
        <v>1.4524546473937104E-3</v>
      </c>
      <c r="J149" s="103">
        <f t="shared" si="49"/>
        <v>1.4732301062666444E-3</v>
      </c>
      <c r="K149" s="103">
        <f t="shared" si="49"/>
        <v>1.3525514836092625E-3</v>
      </c>
      <c r="L149" s="103">
        <f t="shared" si="46"/>
        <v>1.3907625650169096E-3</v>
      </c>
      <c r="M149" s="103">
        <f t="shared" ref="M149:V149" si="50">IF(M31=0,0,M31/M$17)</f>
        <v>1.6118521686526695E-3</v>
      </c>
      <c r="N149" s="103">
        <f t="shared" si="50"/>
        <v>1.9481920575260441E-3</v>
      </c>
      <c r="O149" s="103">
        <f t="shared" si="50"/>
        <v>1.7244585323443272E-3</v>
      </c>
      <c r="P149" s="103">
        <f t="shared" si="50"/>
        <v>1.7900703963140148E-3</v>
      </c>
      <c r="Q149" s="103">
        <f t="shared" si="50"/>
        <v>1.9837083232553073E-3</v>
      </c>
      <c r="R149" s="103">
        <f t="shared" si="50"/>
        <v>2.5513393655906833E-3</v>
      </c>
      <c r="S149" s="103">
        <f t="shared" si="50"/>
        <v>1.628387267816869E-3</v>
      </c>
      <c r="T149" s="103">
        <f t="shared" si="50"/>
        <v>2.01416957083263E-3</v>
      </c>
      <c r="U149" s="103">
        <f t="shared" si="50"/>
        <v>2.3735950637583793E-3</v>
      </c>
      <c r="V149" s="103">
        <f t="shared" si="50"/>
        <v>2.6758226043536722E-3</v>
      </c>
      <c r="W149" s="103">
        <f t="shared" ref="W149:Y149" si="51">IF(W31=0,0,W31/W$17)</f>
        <v>3.0105541549938918E-3</v>
      </c>
      <c r="X149" s="103">
        <f t="shared" si="51"/>
        <v>3.3344723855613548E-3</v>
      </c>
      <c r="Y149" s="103">
        <f t="shared" si="51"/>
        <v>3.2103199253626716E-3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0.35778975587502387</v>
      </c>
      <c r="C151" s="46">
        <f t="shared" si="55"/>
        <v>0.35231151908079095</v>
      </c>
      <c r="D151" s="46">
        <f t="shared" si="55"/>
        <v>0.34723294281205946</v>
      </c>
      <c r="E151" s="46">
        <f t="shared" si="55"/>
        <v>0.32879074564696315</v>
      </c>
      <c r="F151" s="46">
        <f t="shared" si="55"/>
        <v>0.3463762610224157</v>
      </c>
      <c r="G151" s="46">
        <f t="shared" si="55"/>
        <v>0.32269591636686595</v>
      </c>
      <c r="H151" s="46">
        <f t="shared" si="55"/>
        <v>0.32781496273179522</v>
      </c>
      <c r="I151" s="46">
        <f t="shared" si="55"/>
        <v>0.3249390295682304</v>
      </c>
      <c r="J151" s="46">
        <f t="shared" si="55"/>
        <v>0.32920297834336881</v>
      </c>
      <c r="K151" s="46">
        <f t="shared" si="55"/>
        <v>0.3522164482526754</v>
      </c>
      <c r="L151" s="46">
        <f t="shared" ref="L151" si="56">IF(L33=0,0,L33/L$17)</f>
        <v>0.34762470182671257</v>
      </c>
      <c r="M151" s="46">
        <f t="shared" ref="M151:V151" si="57">IF(M33=0,0,M33/M$17)</f>
        <v>0.30763860136094284</v>
      </c>
      <c r="N151" s="46">
        <f t="shared" si="57"/>
        <v>0.27844692446384306</v>
      </c>
      <c r="O151" s="46">
        <f t="shared" si="57"/>
        <v>0.32200680920275643</v>
      </c>
      <c r="P151" s="46">
        <f t="shared" si="57"/>
        <v>0.33898738126190137</v>
      </c>
      <c r="Q151" s="46">
        <f t="shared" si="57"/>
        <v>0.3337399093160619</v>
      </c>
      <c r="R151" s="46">
        <f t="shared" si="57"/>
        <v>0.34451484249308406</v>
      </c>
      <c r="S151" s="46">
        <f t="shared" si="57"/>
        <v>0.33297485936356336</v>
      </c>
      <c r="T151" s="46">
        <f t="shared" si="57"/>
        <v>0.3398927195130334</v>
      </c>
      <c r="U151" s="46">
        <f t="shared" si="57"/>
        <v>0.34668193342802783</v>
      </c>
      <c r="V151" s="46">
        <f t="shared" si="57"/>
        <v>0.37374654950294217</v>
      </c>
      <c r="W151" s="46">
        <f t="shared" ref="W151:Y151" si="58">IF(W33=0,0,W33/W$17)</f>
        <v>0.36955953747514009</v>
      </c>
      <c r="X151" s="46">
        <f t="shared" si="58"/>
        <v>0.36960944057345413</v>
      </c>
      <c r="Y151" s="46">
        <f t="shared" si="58"/>
        <v>0.35213753954629029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0.1463948202066315</v>
      </c>
      <c r="C152" s="154">
        <f t="shared" si="59"/>
        <v>0.14201155437947682</v>
      </c>
      <c r="D152" s="154">
        <f t="shared" si="59"/>
        <v>0.14002460720287424</v>
      </c>
      <c r="E152" s="154">
        <f t="shared" si="59"/>
        <v>0.13541858930333023</v>
      </c>
      <c r="F152" s="154">
        <f t="shared" si="59"/>
        <v>0.13210037577038661</v>
      </c>
      <c r="G152" s="154">
        <f t="shared" si="59"/>
        <v>0.1288384684786737</v>
      </c>
      <c r="H152" s="154">
        <f t="shared" si="59"/>
        <v>0.12558641380115981</v>
      </c>
      <c r="I152" s="154">
        <f t="shared" si="59"/>
        <v>0.12700636531462542</v>
      </c>
      <c r="J152" s="154">
        <f t="shared" si="59"/>
        <v>0.12703793428994117</v>
      </c>
      <c r="K152" s="154">
        <f t="shared" si="59"/>
        <v>0.10960373517651879</v>
      </c>
      <c r="L152" s="154">
        <f t="shared" ref="L152" si="60">IF(L34=0,0,L34/L$17)</f>
        <v>0.12128270696454914</v>
      </c>
      <c r="M152" s="154">
        <f t="shared" ref="M152:V152" si="61">IF(M34=0,0,M34/M$17)</f>
        <v>0.11317383533994969</v>
      </c>
      <c r="N152" s="154">
        <f t="shared" si="61"/>
        <v>0.11352650534463837</v>
      </c>
      <c r="O152" s="154">
        <f t="shared" si="61"/>
        <v>0.12935267406275544</v>
      </c>
      <c r="P152" s="154">
        <f t="shared" si="61"/>
        <v>0.12978295449467314</v>
      </c>
      <c r="Q152" s="154">
        <f t="shared" si="61"/>
        <v>0.15423710024159287</v>
      </c>
      <c r="R152" s="154">
        <f t="shared" si="61"/>
        <v>0.15969645657063183</v>
      </c>
      <c r="S152" s="154">
        <f t="shared" si="61"/>
        <v>0.14361718544940688</v>
      </c>
      <c r="T152" s="154">
        <f t="shared" si="61"/>
        <v>0.14261635890919416</v>
      </c>
      <c r="U152" s="154">
        <f t="shared" si="61"/>
        <v>0.13886155829565164</v>
      </c>
      <c r="V152" s="154">
        <f t="shared" si="61"/>
        <v>0.13649550734375906</v>
      </c>
      <c r="W152" s="154">
        <f t="shared" ref="W152:Y152" si="62">IF(W34=0,0,W34/W$17)</f>
        <v>0.14011185374732177</v>
      </c>
      <c r="X152" s="154">
        <f t="shared" si="62"/>
        <v>0.13799724513130604</v>
      </c>
      <c r="Y152" s="154">
        <f t="shared" si="62"/>
        <v>0.13594988941440006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0.12076386534506908</v>
      </c>
      <c r="C153" s="103">
        <f t="shared" si="63"/>
        <v>0.11402326086549712</v>
      </c>
      <c r="D153" s="103">
        <f t="shared" si="63"/>
        <v>0.11034136758891265</v>
      </c>
      <c r="E153" s="103">
        <f t="shared" si="63"/>
        <v>0.10285368949732558</v>
      </c>
      <c r="F153" s="103">
        <f t="shared" si="63"/>
        <v>9.7107647035176534E-2</v>
      </c>
      <c r="G153" s="103">
        <f t="shared" si="63"/>
        <v>9.2641716727162302E-2</v>
      </c>
      <c r="H153" s="103">
        <f t="shared" si="63"/>
        <v>8.5279865948853215E-2</v>
      </c>
      <c r="I153" s="103">
        <f t="shared" si="63"/>
        <v>8.3761426603870995E-2</v>
      </c>
      <c r="J153" s="103">
        <f t="shared" si="63"/>
        <v>8.3249041951499431E-2</v>
      </c>
      <c r="K153" s="103">
        <f t="shared" si="63"/>
        <v>6.3509145993157878E-2</v>
      </c>
      <c r="L153" s="103">
        <f t="shared" ref="L153" si="64">IF(L35=0,0,L35/L$17)</f>
        <v>6.5486385885028212E-2</v>
      </c>
      <c r="M153" s="103">
        <f t="shared" ref="M153:V153" si="65">IF(M35=0,0,M35/M$17)</f>
        <v>5.8654269602197918E-2</v>
      </c>
      <c r="N153" s="103">
        <f t="shared" si="65"/>
        <v>5.8555642502651696E-2</v>
      </c>
      <c r="O153" s="103">
        <f t="shared" si="65"/>
        <v>5.6749741064824666E-2</v>
      </c>
      <c r="P153" s="103">
        <f t="shared" si="65"/>
        <v>5.57789149143764E-2</v>
      </c>
      <c r="Q153" s="103">
        <f t="shared" si="65"/>
        <v>5.63633013131579E-2</v>
      </c>
      <c r="R153" s="103">
        <f t="shared" si="65"/>
        <v>5.5937442789944718E-2</v>
      </c>
      <c r="S153" s="103">
        <f t="shared" si="65"/>
        <v>5.4084951255384664E-2</v>
      </c>
      <c r="T153" s="103">
        <f t="shared" si="65"/>
        <v>5.9560775398893484E-2</v>
      </c>
      <c r="U153" s="103">
        <f t="shared" si="65"/>
        <v>5.7214115103265781E-2</v>
      </c>
      <c r="V153" s="103">
        <f t="shared" si="65"/>
        <v>5.7157958900405877E-2</v>
      </c>
      <c r="W153" s="103">
        <f t="shared" ref="W153:Y153" si="66">IF(W35=0,0,W35/W$17)</f>
        <v>5.9078845971394803E-2</v>
      </c>
      <c r="X153" s="103">
        <f t="shared" si="66"/>
        <v>5.4918704268698819E-2</v>
      </c>
      <c r="Y153" s="103">
        <f t="shared" si="66"/>
        <v>5.2201762290229062E-2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2.5630954861562406E-2</v>
      </c>
      <c r="C154" s="103">
        <f t="shared" si="67"/>
        <v>2.7988293513979717E-2</v>
      </c>
      <c r="D154" s="103">
        <f t="shared" si="67"/>
        <v>2.9683239613961583E-2</v>
      </c>
      <c r="E154" s="103">
        <f t="shared" si="67"/>
        <v>3.2564899806004653E-2</v>
      </c>
      <c r="F154" s="103">
        <f t="shared" si="67"/>
        <v>3.4992728735210074E-2</v>
      </c>
      <c r="G154" s="103">
        <f t="shared" si="67"/>
        <v>3.6196751751511408E-2</v>
      </c>
      <c r="H154" s="103">
        <f t="shared" si="67"/>
        <v>4.0306547852306591E-2</v>
      </c>
      <c r="I154" s="103">
        <f t="shared" si="67"/>
        <v>4.3244938710754431E-2</v>
      </c>
      <c r="J154" s="103">
        <f t="shared" si="67"/>
        <v>4.378889233844175E-2</v>
      </c>
      <c r="K154" s="103">
        <f t="shared" si="67"/>
        <v>4.6094589183360915E-2</v>
      </c>
      <c r="L154" s="103">
        <f t="shared" ref="L154" si="68">IF(L36=0,0,L36/L$17)</f>
        <v>5.5796321079520948E-2</v>
      </c>
      <c r="M154" s="103">
        <f t="shared" ref="M154:V154" si="69">IF(M36=0,0,M36/M$17)</f>
        <v>5.4519565737751775E-2</v>
      </c>
      <c r="N154" s="103">
        <f t="shared" si="69"/>
        <v>5.4970862841986677E-2</v>
      </c>
      <c r="O154" s="103">
        <f t="shared" si="69"/>
        <v>7.2602932997930775E-2</v>
      </c>
      <c r="P154" s="103">
        <f t="shared" si="69"/>
        <v>7.4004039580296749E-2</v>
      </c>
      <c r="Q154" s="103">
        <f t="shared" si="69"/>
        <v>9.7873798928434952E-2</v>
      </c>
      <c r="R154" s="103">
        <f t="shared" si="69"/>
        <v>0.10375901378068711</v>
      </c>
      <c r="S154" s="103">
        <f t="shared" si="69"/>
        <v>8.9532234194022217E-2</v>
      </c>
      <c r="T154" s="103">
        <f t="shared" si="69"/>
        <v>8.3055583510300651E-2</v>
      </c>
      <c r="U154" s="103">
        <f t="shared" si="69"/>
        <v>8.1647443192385857E-2</v>
      </c>
      <c r="V154" s="103">
        <f t="shared" si="69"/>
        <v>7.9337548443353181E-2</v>
      </c>
      <c r="W154" s="103">
        <f t="shared" ref="W154:Y154" si="70">IF(W36=0,0,W36/W$17)</f>
        <v>8.103300777592698E-2</v>
      </c>
      <c r="X154" s="103">
        <f t="shared" si="70"/>
        <v>8.3078540862607242E-2</v>
      </c>
      <c r="Y154" s="103">
        <f t="shared" si="70"/>
        <v>8.3748127124170985E-2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0</v>
      </c>
      <c r="P155" s="103">
        <f t="shared" si="73"/>
        <v>0</v>
      </c>
      <c r="Q155" s="103">
        <f t="shared" si="73"/>
        <v>0</v>
      </c>
      <c r="R155" s="103">
        <f t="shared" si="73"/>
        <v>0</v>
      </c>
      <c r="S155" s="103">
        <f t="shared" si="73"/>
        <v>0</v>
      </c>
      <c r="T155" s="103">
        <f t="shared" si="73"/>
        <v>0</v>
      </c>
      <c r="U155" s="103">
        <f t="shared" si="73"/>
        <v>0</v>
      </c>
      <c r="V155" s="103">
        <f t="shared" si="73"/>
        <v>0</v>
      </c>
      <c r="W155" s="103">
        <f t="shared" ref="W155:Y155" si="74">IF(W37=0,0,W37/W$17)</f>
        <v>0</v>
      </c>
      <c r="X155" s="103">
        <f t="shared" si="74"/>
        <v>0</v>
      </c>
      <c r="Y155" s="103">
        <f t="shared" si="74"/>
        <v>0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:Y156" si="78">IF(W38=0,0,W38/W$17)</f>
        <v>0</v>
      </c>
      <c r="X156" s="103">
        <f t="shared" si="78"/>
        <v>0</v>
      </c>
      <c r="Y156" s="103">
        <f t="shared" si="78"/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0.21139493566839238</v>
      </c>
      <c r="C158" s="156">
        <f t="shared" si="83"/>
        <v>0.2102999647013141</v>
      </c>
      <c r="D158" s="156">
        <f t="shared" si="83"/>
        <v>0.20720833560918517</v>
      </c>
      <c r="E158" s="156">
        <f t="shared" si="83"/>
        <v>0.19337215634363292</v>
      </c>
      <c r="F158" s="156">
        <f t="shared" si="83"/>
        <v>0.21427588525202912</v>
      </c>
      <c r="G158" s="156">
        <f t="shared" si="83"/>
        <v>0.19385744788819223</v>
      </c>
      <c r="H158" s="156">
        <f t="shared" si="83"/>
        <v>0.20222854893063538</v>
      </c>
      <c r="I158" s="156">
        <f t="shared" si="83"/>
        <v>0.19793266425360495</v>
      </c>
      <c r="J158" s="156">
        <f t="shared" si="83"/>
        <v>0.20216504405342767</v>
      </c>
      <c r="K158" s="156">
        <f t="shared" si="83"/>
        <v>0.24261271307615659</v>
      </c>
      <c r="L158" s="156">
        <f t="shared" ref="L158" si="84">IF(L40=0,0,L40/L$17)</f>
        <v>0.22634199486216341</v>
      </c>
      <c r="M158" s="156">
        <f t="shared" ref="M158:V158" si="85">IF(M40=0,0,M40/M$17)</f>
        <v>0.19446476602099316</v>
      </c>
      <c r="N158" s="156">
        <f t="shared" si="85"/>
        <v>0.16492041911920471</v>
      </c>
      <c r="O158" s="156">
        <f t="shared" si="85"/>
        <v>0.19265413514000096</v>
      </c>
      <c r="P158" s="156">
        <f t="shared" si="85"/>
        <v>0.20920442676722822</v>
      </c>
      <c r="Q158" s="156">
        <f t="shared" si="85"/>
        <v>0.17950280907446903</v>
      </c>
      <c r="R158" s="156">
        <f t="shared" si="85"/>
        <v>0.1848183859224522</v>
      </c>
      <c r="S158" s="156">
        <f t="shared" si="85"/>
        <v>0.1893576739141565</v>
      </c>
      <c r="T158" s="156">
        <f t="shared" si="85"/>
        <v>0.19727636060383921</v>
      </c>
      <c r="U158" s="156">
        <f t="shared" si="85"/>
        <v>0.20782037513237619</v>
      </c>
      <c r="V158" s="156">
        <f t="shared" si="85"/>
        <v>0.23725104215918313</v>
      </c>
      <c r="W158" s="156">
        <f t="shared" ref="W158:Y158" si="86">IF(W40=0,0,W40/W$17)</f>
        <v>0.22944768372781829</v>
      </c>
      <c r="X158" s="156">
        <f t="shared" si="86"/>
        <v>0.23161219544214809</v>
      </c>
      <c r="Y158" s="156">
        <f t="shared" si="86"/>
        <v>0.2161876501318902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0.1930609032639114</v>
      </c>
      <c r="C159" s="103">
        <f t="shared" si="87"/>
        <v>0.19174678952032315</v>
      </c>
      <c r="D159" s="103">
        <f t="shared" si="87"/>
        <v>0.18863669012074744</v>
      </c>
      <c r="E159" s="103">
        <f t="shared" si="87"/>
        <v>0.16052515305043466</v>
      </c>
      <c r="F159" s="103">
        <f t="shared" si="87"/>
        <v>0.19415400284401585</v>
      </c>
      <c r="G159" s="103">
        <f t="shared" si="87"/>
        <v>0.16687929548966002</v>
      </c>
      <c r="H159" s="103">
        <f t="shared" si="87"/>
        <v>0.17491175765237402</v>
      </c>
      <c r="I159" s="103">
        <f t="shared" si="87"/>
        <v>0.17170500152815513</v>
      </c>
      <c r="J159" s="103">
        <f t="shared" si="87"/>
        <v>0.1801062434601638</v>
      </c>
      <c r="K159" s="103">
        <f t="shared" si="87"/>
        <v>0.20944504166862615</v>
      </c>
      <c r="L159" s="103">
        <f t="shared" ref="L159" si="88">IF(L41=0,0,L41/L$17)</f>
        <v>0.19783095659544317</v>
      </c>
      <c r="M159" s="103">
        <f t="shared" ref="M159:V159" si="89">IF(M41=0,0,M41/M$17)</f>
        <v>0.16581659908501822</v>
      </c>
      <c r="N159" s="103">
        <f t="shared" si="89"/>
        <v>0.14556596674916472</v>
      </c>
      <c r="O159" s="103">
        <f t="shared" si="89"/>
        <v>0.15756514898216625</v>
      </c>
      <c r="P159" s="103">
        <f t="shared" si="89"/>
        <v>0.17458631874506816</v>
      </c>
      <c r="Q159" s="103">
        <f t="shared" si="89"/>
        <v>0.15332483639724492</v>
      </c>
      <c r="R159" s="103">
        <f t="shared" si="89"/>
        <v>0.15615476449280316</v>
      </c>
      <c r="S159" s="103">
        <f t="shared" si="89"/>
        <v>0.1524191776505921</v>
      </c>
      <c r="T159" s="103">
        <f t="shared" si="89"/>
        <v>0.15934827732664691</v>
      </c>
      <c r="U159" s="103">
        <f t="shared" si="89"/>
        <v>0.17955625156389082</v>
      </c>
      <c r="V159" s="103">
        <f t="shared" si="89"/>
        <v>0.19416284252275176</v>
      </c>
      <c r="W159" s="103">
        <f t="shared" ref="W159:Y159" si="90">IF(W41=0,0,W41/W$17)</f>
        <v>0.18588186650044647</v>
      </c>
      <c r="X159" s="103">
        <f t="shared" si="90"/>
        <v>0.18439435221399639</v>
      </c>
      <c r="Y159" s="103">
        <f t="shared" si="90"/>
        <v>0.16793419680019944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1.8334032404480952E-2</v>
      </c>
      <c r="C160" s="105">
        <f t="shared" si="91"/>
        <v>1.8553175180990939E-2</v>
      </c>
      <c r="D160" s="105">
        <f t="shared" si="91"/>
        <v>1.8571645488437757E-2</v>
      </c>
      <c r="E160" s="105">
        <f t="shared" si="91"/>
        <v>3.2847003293198271E-2</v>
      </c>
      <c r="F160" s="105">
        <f t="shared" si="91"/>
        <v>2.0121882408013263E-2</v>
      </c>
      <c r="G160" s="105">
        <f t="shared" si="91"/>
        <v>2.6978152398532206E-2</v>
      </c>
      <c r="H160" s="105">
        <f t="shared" si="91"/>
        <v>2.7316791278261362E-2</v>
      </c>
      <c r="I160" s="105">
        <f t="shared" si="91"/>
        <v>2.6227662725449824E-2</v>
      </c>
      <c r="J160" s="105">
        <f t="shared" si="91"/>
        <v>2.2058800593263872E-2</v>
      </c>
      <c r="K160" s="105">
        <f t="shared" si="91"/>
        <v>3.3167671407530408E-2</v>
      </c>
      <c r="L160" s="105">
        <f t="shared" ref="L160" si="92">IF(L42=0,0,L42/L$17)</f>
        <v>2.8511038266720232E-2</v>
      </c>
      <c r="M160" s="105">
        <f t="shared" ref="M160:V160" si="93">IF(M42=0,0,M42/M$17)</f>
        <v>2.864816693597495E-2</v>
      </c>
      <c r="N160" s="105">
        <f t="shared" si="93"/>
        <v>1.9354452370039982E-2</v>
      </c>
      <c r="O160" s="105">
        <f t="shared" si="93"/>
        <v>3.508898615783472E-2</v>
      </c>
      <c r="P160" s="105">
        <f t="shared" si="93"/>
        <v>3.4618108022160067E-2</v>
      </c>
      <c r="Q160" s="105">
        <f t="shared" si="93"/>
        <v>2.6177972677224107E-2</v>
      </c>
      <c r="R160" s="105">
        <f t="shared" si="93"/>
        <v>2.866362142964906E-2</v>
      </c>
      <c r="S160" s="105">
        <f t="shared" si="93"/>
        <v>3.6938496263564408E-2</v>
      </c>
      <c r="T160" s="105">
        <f t="shared" si="93"/>
        <v>3.7928083277192319E-2</v>
      </c>
      <c r="U160" s="105">
        <f t="shared" si="93"/>
        <v>2.8264123568485355E-2</v>
      </c>
      <c r="V160" s="105">
        <f t="shared" si="93"/>
        <v>4.308819963643138E-2</v>
      </c>
      <c r="W160" s="105">
        <f t="shared" ref="W160:Y160" si="94">IF(W42=0,0,W42/W$17)</f>
        <v>4.3565817227371816E-2</v>
      </c>
      <c r="X160" s="105">
        <f t="shared" si="94"/>
        <v>4.7217843228151701E-2</v>
      </c>
      <c r="Y160" s="105">
        <f t="shared" si="94"/>
        <v>4.825345333169076E-2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5268820</v>
      </c>
      <c r="C3" s="54">
        <f>TrRoad_act!C57</f>
        <v>5579631</v>
      </c>
      <c r="D3" s="54">
        <f>TrRoad_act!D57</f>
        <v>5865430</v>
      </c>
      <c r="E3" s="54">
        <f>TrRoad_act!E57</f>
        <v>6147878</v>
      </c>
      <c r="F3" s="54">
        <f>TrRoad_act!F57</f>
        <v>6350636</v>
      </c>
      <c r="G3" s="54">
        <f>TrRoad_act!G57</f>
        <v>6616258</v>
      </c>
      <c r="H3" s="54">
        <f>TrRoad_act!H57</f>
        <v>6867302</v>
      </c>
      <c r="I3" s="54">
        <f>TrRoad_act!I57</f>
        <v>7248728</v>
      </c>
      <c r="J3" s="54">
        <f>TrRoad_act!J57</f>
        <v>7498359</v>
      </c>
      <c r="K3" s="54">
        <f>TrRoad_act!K57</f>
        <v>7630060</v>
      </c>
      <c r="L3" s="54">
        <f>TrRoad_act!L57</f>
        <v>7734931</v>
      </c>
      <c r="M3" s="54">
        <f>TrRoad_act!M57</f>
        <v>7670161</v>
      </c>
      <c r="N3" s="54">
        <f>TrRoad_act!N57</f>
        <v>7592902</v>
      </c>
      <c r="O3" s="54">
        <f>TrRoad_act!O57</f>
        <v>7516508</v>
      </c>
      <c r="P3" s="54">
        <f>TrRoad_act!P57</f>
        <v>7485588</v>
      </c>
      <c r="Q3" s="54">
        <f>TrRoad_act!Q57</f>
        <v>7553586</v>
      </c>
      <c r="R3" s="54">
        <f>TrRoad_act!R57</f>
        <v>7675222</v>
      </c>
      <c r="S3" s="54">
        <f>TrRoad_act!S57</f>
        <v>7662232</v>
      </c>
      <c r="T3" s="54">
        <f>TrRoad_act!T57</f>
        <v>7598544</v>
      </c>
      <c r="U3" s="54">
        <f>TrRoad_act!U57</f>
        <v>7727492</v>
      </c>
      <c r="V3" s="54">
        <f>TrRoad_act!V57</f>
        <v>7818517</v>
      </c>
      <c r="W3" s="54">
        <f>TrRoad_act!W57</f>
        <v>7950129</v>
      </c>
      <c r="X3" s="54">
        <f>TrRoad_act!X57</f>
        <v>8114302</v>
      </c>
      <c r="Y3" s="54">
        <f>TrRoad_act!Y57</f>
        <v>8337852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4363885</v>
      </c>
      <c r="C4" s="28">
        <f>TrRoad_act!C58</f>
        <v>4646727</v>
      </c>
      <c r="D4" s="28">
        <f>TrRoad_act!D58</f>
        <v>4909642</v>
      </c>
      <c r="E4" s="28">
        <f>TrRoad_act!E58</f>
        <v>5177925</v>
      </c>
      <c r="F4" s="28">
        <f>TrRoad_act!F58</f>
        <v>5353129</v>
      </c>
      <c r="G4" s="28">
        <f>TrRoad_act!G58</f>
        <v>5660696</v>
      </c>
      <c r="H4" s="28">
        <f>TrRoad_act!H58</f>
        <v>5880388</v>
      </c>
      <c r="I4" s="28">
        <f>TrRoad_act!I58</f>
        <v>6224689</v>
      </c>
      <c r="J4" s="28">
        <f>TrRoad_act!J58</f>
        <v>6440106</v>
      </c>
      <c r="K4" s="28">
        <f>TrRoad_act!K58</f>
        <v>6608503</v>
      </c>
      <c r="L4" s="28">
        <f>TrRoad_act!L58</f>
        <v>6723683</v>
      </c>
      <c r="M4" s="28">
        <f>TrRoad_act!M58</f>
        <v>6742822</v>
      </c>
      <c r="N4" s="28">
        <f>TrRoad_act!N58</f>
        <v>6741153</v>
      </c>
      <c r="O4" s="28">
        <f>TrRoad_act!O58</f>
        <v>6700838</v>
      </c>
      <c r="P4" s="28">
        <f>TrRoad_act!P58</f>
        <v>6708937</v>
      </c>
      <c r="Q4" s="28">
        <f>TrRoad_act!Q58</f>
        <v>6749138</v>
      </c>
      <c r="R4" s="28">
        <f>TrRoad_act!R58</f>
        <v>6840481</v>
      </c>
      <c r="S4" s="28">
        <f>TrRoad_act!S58</f>
        <v>6919420</v>
      </c>
      <c r="T4" s="28">
        <f>TrRoad_act!T58</f>
        <v>6892929</v>
      </c>
      <c r="U4" s="28">
        <f>TrRoad_act!U58</f>
        <v>7043307</v>
      </c>
      <c r="V4" s="28">
        <f>TrRoad_act!V58</f>
        <v>7156677</v>
      </c>
      <c r="W4" s="28">
        <f>TrRoad_act!W58</f>
        <v>7306934</v>
      </c>
      <c r="X4" s="28">
        <f>TrRoad_act!X58</f>
        <v>7467239</v>
      </c>
      <c r="Y4" s="28">
        <f>TrRoad_act!Y58</f>
        <v>7686604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781361</v>
      </c>
      <c r="C5" s="137">
        <f>TrRoad_act!C59</f>
        <v>853366</v>
      </c>
      <c r="D5" s="137">
        <f>TrRoad_act!D59</f>
        <v>910555</v>
      </c>
      <c r="E5" s="137">
        <f>TrRoad_act!E59</f>
        <v>969895</v>
      </c>
      <c r="F5" s="137">
        <f>TrRoad_act!F59</f>
        <v>1042605</v>
      </c>
      <c r="G5" s="137">
        <f>TrRoad_act!G59</f>
        <v>1124172</v>
      </c>
      <c r="H5" s="137">
        <f>TrRoad_act!H59</f>
        <v>1205816</v>
      </c>
      <c r="I5" s="137">
        <f>TrRoad_act!I59</f>
        <v>1298688</v>
      </c>
      <c r="J5" s="137">
        <f>TrRoad_act!J59</f>
        <v>1388607</v>
      </c>
      <c r="K5" s="137">
        <f>TrRoad_act!K59</f>
        <v>1448851</v>
      </c>
      <c r="L5" s="137">
        <f>TrRoad_act!L59</f>
        <v>1499133</v>
      </c>
      <c r="M5" s="137">
        <f>TrRoad_act!M59</f>
        <v>1534902</v>
      </c>
      <c r="N5" s="137">
        <f>TrRoad_act!N59</f>
        <v>1556435</v>
      </c>
      <c r="O5" s="137">
        <f>TrRoad_act!O59</f>
        <v>1568596</v>
      </c>
      <c r="P5" s="137">
        <f>TrRoad_act!P59</f>
        <v>1592929</v>
      </c>
      <c r="Q5" s="137">
        <f>TrRoad_act!Q59</f>
        <v>1619621</v>
      </c>
      <c r="R5" s="137">
        <f>TrRoad_act!R59</f>
        <v>1653528</v>
      </c>
      <c r="S5" s="137">
        <f>TrRoad_act!S59</f>
        <v>1656657</v>
      </c>
      <c r="T5" s="137">
        <f>TrRoad_act!T59</f>
        <v>1583491</v>
      </c>
      <c r="U5" s="137">
        <f>TrRoad_act!U59</f>
        <v>1609923</v>
      </c>
      <c r="V5" s="137">
        <f>TrRoad_act!V59</f>
        <v>1637608</v>
      </c>
      <c r="W5" s="137">
        <f>TrRoad_act!W59</f>
        <v>1675804</v>
      </c>
      <c r="X5" s="137">
        <f>TrRoad_act!X59</f>
        <v>1714317</v>
      </c>
      <c r="Y5" s="137">
        <f>TrRoad_act!Y59</f>
        <v>1782000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3555065</v>
      </c>
      <c r="C6" s="110">
        <f>TrRoad_act!C60</f>
        <v>3765843</v>
      </c>
      <c r="D6" s="110">
        <f>TrRoad_act!D60</f>
        <v>3971437</v>
      </c>
      <c r="E6" s="110">
        <f>TrRoad_act!E60</f>
        <v>4180532</v>
      </c>
      <c r="F6" s="110">
        <f>TrRoad_act!F60</f>
        <v>4283372</v>
      </c>
      <c r="G6" s="110">
        <f>TrRoad_act!G60</f>
        <v>4509326</v>
      </c>
      <c r="H6" s="110">
        <f>TrRoad_act!H60</f>
        <v>4647265</v>
      </c>
      <c r="I6" s="110">
        <f>TrRoad_act!I60</f>
        <v>4898530</v>
      </c>
      <c r="J6" s="110">
        <f>TrRoad_act!J60</f>
        <v>5023944</v>
      </c>
      <c r="K6" s="110">
        <f>TrRoad_act!K60</f>
        <v>5131960</v>
      </c>
      <c r="L6" s="110">
        <f>TrRoad_act!L60</f>
        <v>5196873</v>
      </c>
      <c r="M6" s="110">
        <f>TrRoad_act!M60</f>
        <v>5180433</v>
      </c>
      <c r="N6" s="110">
        <f>TrRoad_act!N60</f>
        <v>5157390</v>
      </c>
      <c r="O6" s="110">
        <f>TrRoad_act!O60</f>
        <v>5105093</v>
      </c>
      <c r="P6" s="110">
        <f>TrRoad_act!P60</f>
        <v>5088961</v>
      </c>
      <c r="Q6" s="110">
        <f>TrRoad_act!Q60</f>
        <v>5102575</v>
      </c>
      <c r="R6" s="110">
        <f>TrRoad_act!R60</f>
        <v>5160056</v>
      </c>
      <c r="S6" s="110">
        <f>TrRoad_act!S60</f>
        <v>5235928</v>
      </c>
      <c r="T6" s="110">
        <f>TrRoad_act!T60</f>
        <v>5282695</v>
      </c>
      <c r="U6" s="110">
        <f>TrRoad_act!U60</f>
        <v>5406551</v>
      </c>
      <c r="V6" s="110">
        <f>TrRoad_act!V60</f>
        <v>5492176</v>
      </c>
      <c r="W6" s="110">
        <f>TrRoad_act!W60</f>
        <v>5604192</v>
      </c>
      <c r="X6" s="110">
        <f>TrRoad_act!X60</f>
        <v>5726012</v>
      </c>
      <c r="Y6" s="110">
        <f>TrRoad_act!Y60</f>
        <v>5877759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3437712</v>
      </c>
      <c r="C7" s="84">
        <f>TrRoad_act!C61</f>
        <v>3653075</v>
      </c>
      <c r="D7" s="84">
        <f>TrRoad_act!D61</f>
        <v>3859218</v>
      </c>
      <c r="E7" s="84">
        <f>TrRoad_act!E61</f>
        <v>4063433</v>
      </c>
      <c r="F7" s="84">
        <f>TrRoad_act!F61</f>
        <v>4178193</v>
      </c>
      <c r="G7" s="84">
        <f>TrRoad_act!G61</f>
        <v>4402095</v>
      </c>
      <c r="H7" s="84">
        <f>TrRoad_act!H61</f>
        <v>4529645</v>
      </c>
      <c r="I7" s="84">
        <f>TrRoad_act!I61</f>
        <v>4774152</v>
      </c>
      <c r="J7" s="84">
        <f>TrRoad_act!J61</f>
        <v>4901231</v>
      </c>
      <c r="K7" s="84">
        <f>TrRoad_act!K61</f>
        <v>4987108</v>
      </c>
      <c r="L7" s="84">
        <f>TrRoad_act!L61</f>
        <v>5033499</v>
      </c>
      <c r="M7" s="84">
        <f>TrRoad_act!M61</f>
        <v>4976132</v>
      </c>
      <c r="N7" s="84">
        <f>TrRoad_act!N61</f>
        <v>4981221</v>
      </c>
      <c r="O7" s="84">
        <f>TrRoad_act!O61</f>
        <v>4854223</v>
      </c>
      <c r="P7" s="84">
        <f>TrRoad_act!P61</f>
        <v>4768091</v>
      </c>
      <c r="Q7" s="84">
        <f>TrRoad_act!Q61</f>
        <v>4758743</v>
      </c>
      <c r="R7" s="84">
        <f>TrRoad_act!R61</f>
        <v>4749369</v>
      </c>
      <c r="S7" s="84">
        <f>TrRoad_act!S61</f>
        <v>4785438</v>
      </c>
      <c r="T7" s="84">
        <f>TrRoad_act!T61</f>
        <v>4777454</v>
      </c>
      <c r="U7" s="84">
        <f>TrRoad_act!U61</f>
        <v>4838018</v>
      </c>
      <c r="V7" s="84">
        <f>TrRoad_act!V61</f>
        <v>4875129</v>
      </c>
      <c r="W7" s="84">
        <f>TrRoad_act!W61</f>
        <v>4974935</v>
      </c>
      <c r="X7" s="84">
        <f>TrRoad_act!X61</f>
        <v>5083242</v>
      </c>
      <c r="Y7" s="84">
        <f>TrRoad_act!Y61</f>
        <v>5214723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106853</v>
      </c>
      <c r="C8" s="84">
        <f>TrRoad_act!C62</f>
        <v>102368</v>
      </c>
      <c r="D8" s="84">
        <f>TrRoad_act!D62</f>
        <v>101882</v>
      </c>
      <c r="E8" s="84">
        <f>TrRoad_act!E62</f>
        <v>107397</v>
      </c>
      <c r="F8" s="84">
        <f>TrRoad_act!F62</f>
        <v>96144</v>
      </c>
      <c r="G8" s="84">
        <f>TrRoad_act!G62</f>
        <v>98124</v>
      </c>
      <c r="H8" s="84">
        <f>TrRoad_act!H62</f>
        <v>108335</v>
      </c>
      <c r="I8" s="84">
        <f>TrRoad_act!I62</f>
        <v>114198</v>
      </c>
      <c r="J8" s="84">
        <f>TrRoad_act!J62</f>
        <v>112326</v>
      </c>
      <c r="K8" s="84">
        <f>TrRoad_act!K62</f>
        <v>129911</v>
      </c>
      <c r="L8" s="84">
        <f>TrRoad_act!L62</f>
        <v>128461</v>
      </c>
      <c r="M8" s="84">
        <f>TrRoad_act!M62</f>
        <v>119803</v>
      </c>
      <c r="N8" s="84">
        <f>TrRoad_act!N62</f>
        <v>112106</v>
      </c>
      <c r="O8" s="84">
        <f>TrRoad_act!O62</f>
        <v>104563</v>
      </c>
      <c r="P8" s="84">
        <f>TrRoad_act!P62</f>
        <v>160840</v>
      </c>
      <c r="Q8" s="84">
        <f>TrRoad_act!Q62</f>
        <v>156270</v>
      </c>
      <c r="R8" s="84">
        <f>TrRoad_act!R62</f>
        <v>195332</v>
      </c>
      <c r="S8" s="84">
        <f>TrRoad_act!S62</f>
        <v>234406</v>
      </c>
      <c r="T8" s="84">
        <f>TrRoad_act!T62</f>
        <v>288311</v>
      </c>
      <c r="U8" s="84">
        <f>TrRoad_act!U62</f>
        <v>348852</v>
      </c>
      <c r="V8" s="84">
        <f>TrRoad_act!V62</f>
        <v>422140</v>
      </c>
      <c r="W8" s="84">
        <f>TrRoad_act!W62</f>
        <v>424972</v>
      </c>
      <c r="X8" s="84">
        <f>TrRoad_act!X62</f>
        <v>427600</v>
      </c>
      <c r="Y8" s="84">
        <f>TrRoad_act!Y62</f>
        <v>430695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10500</v>
      </c>
      <c r="C9" s="84">
        <f>TrRoad_act!C63</f>
        <v>9740</v>
      </c>
      <c r="D9" s="84">
        <f>TrRoad_act!D63</f>
        <v>9263</v>
      </c>
      <c r="E9" s="84">
        <f>TrRoad_act!E63</f>
        <v>8513</v>
      </c>
      <c r="F9" s="84">
        <f>TrRoad_act!F63</f>
        <v>7846</v>
      </c>
      <c r="G9" s="84">
        <f>TrRoad_act!G63</f>
        <v>7779</v>
      </c>
      <c r="H9" s="84">
        <f>TrRoad_act!H63</f>
        <v>7883</v>
      </c>
      <c r="I9" s="84">
        <f>TrRoad_act!I63</f>
        <v>8565</v>
      </c>
      <c r="J9" s="84">
        <f>TrRoad_act!J63</f>
        <v>8784</v>
      </c>
      <c r="K9" s="84">
        <f>TrRoad_act!K63</f>
        <v>12767</v>
      </c>
      <c r="L9" s="84">
        <f>TrRoad_act!L63</f>
        <v>32340</v>
      </c>
      <c r="M9" s="84">
        <f>TrRoad_act!M63</f>
        <v>81770</v>
      </c>
      <c r="N9" s="84">
        <f>TrRoad_act!N63</f>
        <v>61379</v>
      </c>
      <c r="O9" s="84">
        <f>TrRoad_act!O63</f>
        <v>143786</v>
      </c>
      <c r="P9" s="84">
        <f>TrRoad_act!P63</f>
        <v>157464</v>
      </c>
      <c r="Q9" s="84">
        <f>TrRoad_act!Q63</f>
        <v>184678</v>
      </c>
      <c r="R9" s="84">
        <f>TrRoad_act!R63</f>
        <v>212380</v>
      </c>
      <c r="S9" s="84">
        <f>TrRoad_act!S63</f>
        <v>212999</v>
      </c>
      <c r="T9" s="84">
        <f>TrRoad_act!T63</f>
        <v>213649</v>
      </c>
      <c r="U9" s="84">
        <f>TrRoad_act!U63</f>
        <v>215785</v>
      </c>
      <c r="V9" s="84">
        <f>TrRoad_act!V63</f>
        <v>187943</v>
      </c>
      <c r="W9" s="84">
        <f>TrRoad_act!W63</f>
        <v>189822</v>
      </c>
      <c r="X9" s="84">
        <f>TrRoad_act!X63</f>
        <v>191720</v>
      </c>
      <c r="Y9" s="84">
        <f>TrRoad_act!Y63</f>
        <v>193637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660</v>
      </c>
      <c r="D10" s="84">
        <f>TrRoad_act!D64</f>
        <v>1074</v>
      </c>
      <c r="E10" s="84">
        <f>TrRoad_act!E64</f>
        <v>1189</v>
      </c>
      <c r="F10" s="84">
        <f>TrRoad_act!F64</f>
        <v>1189</v>
      </c>
      <c r="G10" s="84">
        <f>TrRoad_act!G64</f>
        <v>1328</v>
      </c>
      <c r="H10" s="84">
        <f>TrRoad_act!H64</f>
        <v>1402</v>
      </c>
      <c r="I10" s="84">
        <f>TrRoad_act!I64</f>
        <v>1615</v>
      </c>
      <c r="J10" s="84">
        <f>TrRoad_act!J64</f>
        <v>1603</v>
      </c>
      <c r="K10" s="84">
        <f>TrRoad_act!K64</f>
        <v>2174</v>
      </c>
      <c r="L10" s="84">
        <f>TrRoad_act!L64</f>
        <v>2573</v>
      </c>
      <c r="M10" s="84">
        <f>TrRoad_act!M64</f>
        <v>2728</v>
      </c>
      <c r="N10" s="84">
        <f>TrRoad_act!N64</f>
        <v>2682</v>
      </c>
      <c r="O10" s="84">
        <f>TrRoad_act!O64</f>
        <v>2517</v>
      </c>
      <c r="P10" s="84">
        <f>TrRoad_act!P64</f>
        <v>2500</v>
      </c>
      <c r="Q10" s="84">
        <f>TrRoad_act!Q64</f>
        <v>2760</v>
      </c>
      <c r="R10" s="84">
        <f>TrRoad_act!R64</f>
        <v>2780</v>
      </c>
      <c r="S10" s="84">
        <f>TrRoad_act!S64</f>
        <v>2730</v>
      </c>
      <c r="T10" s="84">
        <f>TrRoad_act!T64</f>
        <v>2700</v>
      </c>
      <c r="U10" s="84">
        <f>TrRoad_act!U64</f>
        <v>2900</v>
      </c>
      <c r="V10" s="84">
        <f>TrRoad_act!V64</f>
        <v>3829</v>
      </c>
      <c r="W10" s="84">
        <f>TrRoad_act!W64</f>
        <v>4360</v>
      </c>
      <c r="X10" s="84">
        <f>TrRoad_act!X64</f>
        <v>4875</v>
      </c>
      <c r="Y10" s="84">
        <f>TrRoad_act!Y64</f>
        <v>5746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1</v>
      </c>
      <c r="O11" s="84">
        <f>TrRoad_act!O65</f>
        <v>1</v>
      </c>
      <c r="P11" s="84">
        <f>TrRoad_act!P65</f>
        <v>21</v>
      </c>
      <c r="Q11" s="84">
        <f>TrRoad_act!Q65</f>
        <v>40</v>
      </c>
      <c r="R11" s="84">
        <f>TrRoad_act!R65</f>
        <v>81</v>
      </c>
      <c r="S11" s="84">
        <f>TrRoad_act!S65</f>
        <v>207</v>
      </c>
      <c r="T11" s="84">
        <f>TrRoad_act!T65</f>
        <v>366</v>
      </c>
      <c r="U11" s="84">
        <f>TrRoad_act!U65</f>
        <v>570</v>
      </c>
      <c r="V11" s="84">
        <f>TrRoad_act!V65</f>
        <v>2031</v>
      </c>
      <c r="W11" s="84">
        <f>TrRoad_act!W65</f>
        <v>6823</v>
      </c>
      <c r="X11" s="84">
        <f>TrRoad_act!X65</f>
        <v>12269</v>
      </c>
      <c r="Y11" s="84">
        <f>TrRoad_act!Y65</f>
        <v>20643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0</v>
      </c>
      <c r="L12" s="84">
        <f>TrRoad_act!L66</f>
        <v>0</v>
      </c>
      <c r="M12" s="84">
        <f>TrRoad_act!M66</f>
        <v>0</v>
      </c>
      <c r="N12" s="84">
        <f>TrRoad_act!N66</f>
        <v>1</v>
      </c>
      <c r="O12" s="84">
        <f>TrRoad_act!O66</f>
        <v>3</v>
      </c>
      <c r="P12" s="84">
        <f>TrRoad_act!P66</f>
        <v>45</v>
      </c>
      <c r="Q12" s="84">
        <f>TrRoad_act!Q66</f>
        <v>84</v>
      </c>
      <c r="R12" s="84">
        <f>TrRoad_act!R66</f>
        <v>114</v>
      </c>
      <c r="S12" s="84">
        <f>TrRoad_act!S66</f>
        <v>148</v>
      </c>
      <c r="T12" s="84">
        <f>TrRoad_act!T66</f>
        <v>215</v>
      </c>
      <c r="U12" s="84">
        <f>TrRoad_act!U66</f>
        <v>426</v>
      </c>
      <c r="V12" s="84">
        <f>TrRoad_act!V66</f>
        <v>1104</v>
      </c>
      <c r="W12" s="84">
        <f>TrRoad_act!W66</f>
        <v>3280</v>
      </c>
      <c r="X12" s="84">
        <f>TrRoad_act!X66</f>
        <v>6306</v>
      </c>
      <c r="Y12" s="84">
        <f>TrRoad_act!Y66</f>
        <v>12315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27459</v>
      </c>
      <c r="C13" s="110">
        <f>TrRoad_act!C67</f>
        <v>27518</v>
      </c>
      <c r="D13" s="110">
        <f>TrRoad_act!D67</f>
        <v>27650</v>
      </c>
      <c r="E13" s="110">
        <f>TrRoad_act!E67</f>
        <v>27498</v>
      </c>
      <c r="F13" s="110">
        <f>TrRoad_act!F67</f>
        <v>27152</v>
      </c>
      <c r="G13" s="110">
        <f>TrRoad_act!G67</f>
        <v>27198</v>
      </c>
      <c r="H13" s="110">
        <f>TrRoad_act!H67</f>
        <v>27307</v>
      </c>
      <c r="I13" s="110">
        <f>TrRoad_act!I67</f>
        <v>27471</v>
      </c>
      <c r="J13" s="110">
        <f>TrRoad_act!J67</f>
        <v>27555</v>
      </c>
      <c r="K13" s="110">
        <f>TrRoad_act!K67</f>
        <v>27692</v>
      </c>
      <c r="L13" s="110">
        <f>TrRoad_act!L67</f>
        <v>27677</v>
      </c>
      <c r="M13" s="110">
        <f>TrRoad_act!M67</f>
        <v>27487</v>
      </c>
      <c r="N13" s="110">
        <f>TrRoad_act!N67</f>
        <v>27328</v>
      </c>
      <c r="O13" s="110">
        <f>TrRoad_act!O67</f>
        <v>27149</v>
      </c>
      <c r="P13" s="110">
        <f>TrRoad_act!P67</f>
        <v>27047</v>
      </c>
      <c r="Q13" s="110">
        <f>TrRoad_act!Q67</f>
        <v>26942</v>
      </c>
      <c r="R13" s="110">
        <f>TrRoad_act!R67</f>
        <v>26897</v>
      </c>
      <c r="S13" s="110">
        <f>TrRoad_act!S67</f>
        <v>26835</v>
      </c>
      <c r="T13" s="110">
        <f>TrRoad_act!T67</f>
        <v>26743</v>
      </c>
      <c r="U13" s="110">
        <f>TrRoad_act!U67</f>
        <v>26833</v>
      </c>
      <c r="V13" s="110">
        <f>TrRoad_act!V67</f>
        <v>26893</v>
      </c>
      <c r="W13" s="110">
        <f>TrRoad_act!W67</f>
        <v>26938</v>
      </c>
      <c r="X13" s="110">
        <f>TrRoad_act!X67</f>
        <v>26910</v>
      </c>
      <c r="Y13" s="110">
        <f>TrRoad_act!Y67</f>
        <v>26845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X14" s="102">
        <f>TrRoad_act!X68</f>
        <v>0</v>
      </c>
      <c r="Y14" s="102">
        <f>TrRoad_act!Y68</f>
        <v>0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27459</v>
      </c>
      <c r="C15" s="102">
        <f>TrRoad_act!C69</f>
        <v>27208</v>
      </c>
      <c r="D15" s="102">
        <f>TrRoad_act!D69</f>
        <v>27176</v>
      </c>
      <c r="E15" s="102">
        <f>TrRoad_act!E69</f>
        <v>26982</v>
      </c>
      <c r="F15" s="102">
        <f>TrRoad_act!F69</f>
        <v>26641</v>
      </c>
      <c r="G15" s="102">
        <f>TrRoad_act!G69</f>
        <v>26656</v>
      </c>
      <c r="H15" s="102">
        <f>TrRoad_act!H69</f>
        <v>26747</v>
      </c>
      <c r="I15" s="102">
        <f>TrRoad_act!I69</f>
        <v>26817</v>
      </c>
      <c r="J15" s="102">
        <f>TrRoad_act!J69</f>
        <v>26870</v>
      </c>
      <c r="K15" s="102">
        <f>TrRoad_act!K69</f>
        <v>27030</v>
      </c>
      <c r="L15" s="102">
        <f>TrRoad_act!L69</f>
        <v>27042</v>
      </c>
      <c r="M15" s="102">
        <f>TrRoad_act!M69</f>
        <v>26873</v>
      </c>
      <c r="N15" s="102">
        <f>TrRoad_act!N69</f>
        <v>26718</v>
      </c>
      <c r="O15" s="102">
        <f>TrRoad_act!O69</f>
        <v>26210</v>
      </c>
      <c r="P15" s="102">
        <f>TrRoad_act!P69</f>
        <v>26108</v>
      </c>
      <c r="Q15" s="102">
        <f>TrRoad_act!Q69</f>
        <v>25965</v>
      </c>
      <c r="R15" s="102">
        <f>TrRoad_act!R69</f>
        <v>25905</v>
      </c>
      <c r="S15" s="102">
        <f>TrRoad_act!S69</f>
        <v>25893</v>
      </c>
      <c r="T15" s="102">
        <f>TrRoad_act!T69</f>
        <v>25702</v>
      </c>
      <c r="U15" s="102">
        <f>TrRoad_act!U69</f>
        <v>25717</v>
      </c>
      <c r="V15" s="102">
        <f>TrRoad_act!V69</f>
        <v>25686</v>
      </c>
      <c r="W15" s="102">
        <f>TrRoad_act!W69</f>
        <v>25630</v>
      </c>
      <c r="X15" s="102">
        <f>TrRoad_act!X69</f>
        <v>25354</v>
      </c>
      <c r="Y15" s="102">
        <f>TrRoad_act!Y69</f>
        <v>25224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X16" s="102">
        <f>TrRoad_act!X70</f>
        <v>0</v>
      </c>
      <c r="Y16" s="102">
        <f>TrRoad_act!Y70</f>
        <v>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310</v>
      </c>
      <c r="D17" s="102">
        <f>TrRoad_act!D71</f>
        <v>474</v>
      </c>
      <c r="E17" s="102">
        <f>TrRoad_act!E71</f>
        <v>516</v>
      </c>
      <c r="F17" s="102">
        <f>TrRoad_act!F71</f>
        <v>511</v>
      </c>
      <c r="G17" s="102">
        <f>TrRoad_act!G71</f>
        <v>542</v>
      </c>
      <c r="H17" s="102">
        <f>TrRoad_act!H71</f>
        <v>560</v>
      </c>
      <c r="I17" s="102">
        <f>TrRoad_act!I71</f>
        <v>654</v>
      </c>
      <c r="J17" s="102">
        <f>TrRoad_act!J71</f>
        <v>685</v>
      </c>
      <c r="K17" s="102">
        <f>TrRoad_act!K71</f>
        <v>662</v>
      </c>
      <c r="L17" s="102">
        <f>TrRoad_act!L71</f>
        <v>635</v>
      </c>
      <c r="M17" s="102">
        <f>TrRoad_act!M71</f>
        <v>614</v>
      </c>
      <c r="N17" s="102">
        <f>TrRoad_act!N71</f>
        <v>610</v>
      </c>
      <c r="O17" s="102">
        <f>TrRoad_act!O71</f>
        <v>573</v>
      </c>
      <c r="P17" s="102">
        <f>TrRoad_act!P71</f>
        <v>583</v>
      </c>
      <c r="Q17" s="102">
        <f>TrRoad_act!Q71</f>
        <v>621</v>
      </c>
      <c r="R17" s="102">
        <f>TrRoad_act!R71</f>
        <v>637</v>
      </c>
      <c r="S17" s="102">
        <f>TrRoad_act!S71</f>
        <v>587</v>
      </c>
      <c r="T17" s="102">
        <f>TrRoad_act!T71</f>
        <v>686</v>
      </c>
      <c r="U17" s="102">
        <f>TrRoad_act!U71</f>
        <v>760</v>
      </c>
      <c r="V17" s="102">
        <f>TrRoad_act!V71</f>
        <v>852</v>
      </c>
      <c r="W17" s="102">
        <f>TrRoad_act!W71</f>
        <v>954</v>
      </c>
      <c r="X17" s="102">
        <f>TrRoad_act!X71</f>
        <v>1205</v>
      </c>
      <c r="Y17" s="102">
        <f>TrRoad_act!Y71</f>
        <v>1404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0</v>
      </c>
      <c r="K18" s="102">
        <f>TrRoad_act!K72</f>
        <v>0</v>
      </c>
      <c r="L18" s="102">
        <f>TrRoad_act!L72</f>
        <v>0</v>
      </c>
      <c r="M18" s="102">
        <f>TrRoad_act!M72</f>
        <v>0</v>
      </c>
      <c r="N18" s="102">
        <f>TrRoad_act!N72</f>
        <v>0</v>
      </c>
      <c r="O18" s="102">
        <f>TrRoad_act!O72</f>
        <v>366</v>
      </c>
      <c r="P18" s="102">
        <f>TrRoad_act!P72</f>
        <v>356</v>
      </c>
      <c r="Q18" s="102">
        <f>TrRoad_act!Q72</f>
        <v>356</v>
      </c>
      <c r="R18" s="102">
        <f>TrRoad_act!R72</f>
        <v>355</v>
      </c>
      <c r="S18" s="102">
        <f>TrRoad_act!S72</f>
        <v>355</v>
      </c>
      <c r="T18" s="102">
        <f>TrRoad_act!T72</f>
        <v>355</v>
      </c>
      <c r="U18" s="102">
        <f>TrRoad_act!U72</f>
        <v>356</v>
      </c>
      <c r="V18" s="102">
        <f>TrRoad_act!V72</f>
        <v>355</v>
      </c>
      <c r="W18" s="102">
        <f>TrRoad_act!W72</f>
        <v>354</v>
      </c>
      <c r="X18" s="102">
        <f>TrRoad_act!X72</f>
        <v>351</v>
      </c>
      <c r="Y18" s="102">
        <f>TrRoad_act!Y72</f>
        <v>217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904935</v>
      </c>
      <c r="C19" s="28">
        <f>TrRoad_act!C73</f>
        <v>932904</v>
      </c>
      <c r="D19" s="28">
        <f>TrRoad_act!D73</f>
        <v>955788</v>
      </c>
      <c r="E19" s="28">
        <f>TrRoad_act!E73</f>
        <v>969953</v>
      </c>
      <c r="F19" s="28">
        <f>TrRoad_act!F73</f>
        <v>997507</v>
      </c>
      <c r="G19" s="28">
        <f>TrRoad_act!G73</f>
        <v>955562</v>
      </c>
      <c r="H19" s="28">
        <f>TrRoad_act!H73</f>
        <v>986914</v>
      </c>
      <c r="I19" s="28">
        <f>TrRoad_act!I73</f>
        <v>1024039</v>
      </c>
      <c r="J19" s="28">
        <f>TrRoad_act!J73</f>
        <v>1058253</v>
      </c>
      <c r="K19" s="28">
        <f>TrRoad_act!K73</f>
        <v>1021557</v>
      </c>
      <c r="L19" s="28">
        <f>TrRoad_act!L73</f>
        <v>1011248</v>
      </c>
      <c r="M19" s="28">
        <f>TrRoad_act!M73</f>
        <v>927339</v>
      </c>
      <c r="N19" s="28">
        <f>TrRoad_act!N73</f>
        <v>851749</v>
      </c>
      <c r="O19" s="28">
        <f>TrRoad_act!O73</f>
        <v>815670</v>
      </c>
      <c r="P19" s="28">
        <f>TrRoad_act!P73</f>
        <v>776651</v>
      </c>
      <c r="Q19" s="28">
        <f>TrRoad_act!Q73</f>
        <v>804448</v>
      </c>
      <c r="R19" s="28">
        <f>TrRoad_act!R73</f>
        <v>834741</v>
      </c>
      <c r="S19" s="28">
        <f>TrRoad_act!S73</f>
        <v>742812</v>
      </c>
      <c r="T19" s="28">
        <f>TrRoad_act!T73</f>
        <v>705615</v>
      </c>
      <c r="U19" s="28">
        <f>TrRoad_act!U73</f>
        <v>684185</v>
      </c>
      <c r="V19" s="28">
        <f>TrRoad_act!V73</f>
        <v>661840</v>
      </c>
      <c r="W19" s="28">
        <f>TrRoad_act!W73</f>
        <v>643195</v>
      </c>
      <c r="X19" s="28">
        <f>TrRoad_act!X73</f>
        <v>647063</v>
      </c>
      <c r="Y19" s="28">
        <f>TrRoad_act!Y73</f>
        <v>651248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715958</v>
      </c>
      <c r="C20" s="137">
        <f>TrRoad_act!C74</f>
        <v>737909</v>
      </c>
      <c r="D20" s="137">
        <f>TrRoad_act!D74</f>
        <v>755661</v>
      </c>
      <c r="E20" s="137">
        <f>TrRoad_act!E74</f>
        <v>770572</v>
      </c>
      <c r="F20" s="137">
        <f>TrRoad_act!F74</f>
        <v>759291</v>
      </c>
      <c r="G20" s="137">
        <f>TrRoad_act!G74</f>
        <v>746123</v>
      </c>
      <c r="H20" s="137">
        <f>TrRoad_act!H74</f>
        <v>750835</v>
      </c>
      <c r="I20" s="137">
        <f>TrRoad_act!I74</f>
        <v>792377</v>
      </c>
      <c r="J20" s="137">
        <f>TrRoad_act!J74</f>
        <v>812937</v>
      </c>
      <c r="K20" s="137">
        <f>TrRoad_act!K74</f>
        <v>793089</v>
      </c>
      <c r="L20" s="137">
        <f>TrRoad_act!L74</f>
        <v>800042</v>
      </c>
      <c r="M20" s="137">
        <f>TrRoad_act!M74</f>
        <v>733926</v>
      </c>
      <c r="N20" s="137">
        <f>TrRoad_act!N74</f>
        <v>676198</v>
      </c>
      <c r="O20" s="137">
        <f>TrRoad_act!O74</f>
        <v>657050</v>
      </c>
      <c r="P20" s="137">
        <f>TrRoad_act!P74</f>
        <v>633662</v>
      </c>
      <c r="Q20" s="137">
        <f>TrRoad_act!Q74</f>
        <v>675574</v>
      </c>
      <c r="R20" s="137">
        <f>TrRoad_act!R74</f>
        <v>718524</v>
      </c>
      <c r="S20" s="137">
        <f>TrRoad_act!S74</f>
        <v>638175</v>
      </c>
      <c r="T20" s="137">
        <f>TrRoad_act!T74</f>
        <v>616273</v>
      </c>
      <c r="U20" s="137">
        <f>TrRoad_act!U74</f>
        <v>601564</v>
      </c>
      <c r="V20" s="137">
        <f>TrRoad_act!V74</f>
        <v>586858</v>
      </c>
      <c r="W20" s="137">
        <f>TrRoad_act!W74</f>
        <v>572149</v>
      </c>
      <c r="X20" s="137">
        <f>TrRoad_act!X74</f>
        <v>583799</v>
      </c>
      <c r="Y20" s="137">
        <f>TrRoad_act!Y74</f>
        <v>595209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626942</v>
      </c>
      <c r="C21" s="84">
        <f>TrRoad_act!C75</f>
        <v>637006</v>
      </c>
      <c r="D21" s="84">
        <f>TrRoad_act!D75</f>
        <v>644981</v>
      </c>
      <c r="E21" s="84">
        <f>TrRoad_act!E75</f>
        <v>636548</v>
      </c>
      <c r="F21" s="84">
        <f>TrRoad_act!F75</f>
        <v>614401</v>
      </c>
      <c r="G21" s="84">
        <f>TrRoad_act!G75</f>
        <v>592774</v>
      </c>
      <c r="H21" s="84">
        <f>TrRoad_act!H75</f>
        <v>571009</v>
      </c>
      <c r="I21" s="84">
        <f>TrRoad_act!I75</f>
        <v>588034</v>
      </c>
      <c r="J21" s="84">
        <f>TrRoad_act!J75</f>
        <v>607112</v>
      </c>
      <c r="K21" s="84">
        <f>TrRoad_act!K75</f>
        <v>555544</v>
      </c>
      <c r="L21" s="84">
        <f>TrRoad_act!L75</f>
        <v>525065</v>
      </c>
      <c r="M21" s="84">
        <f>TrRoad_act!M75</f>
        <v>464236</v>
      </c>
      <c r="N21" s="84">
        <f>TrRoad_act!N75</f>
        <v>419779</v>
      </c>
      <c r="O21" s="84">
        <f>TrRoad_act!O75</f>
        <v>375521</v>
      </c>
      <c r="P21" s="84">
        <f>TrRoad_act!P75</f>
        <v>349371</v>
      </c>
      <c r="Q21" s="84">
        <f>TrRoad_act!Q75</f>
        <v>342531</v>
      </c>
      <c r="R21" s="84">
        <f>TrRoad_act!R75</f>
        <v>360247</v>
      </c>
      <c r="S21" s="84">
        <f>TrRoad_act!S75</f>
        <v>323508</v>
      </c>
      <c r="T21" s="84">
        <f>TrRoad_act!T75</f>
        <v>318454</v>
      </c>
      <c r="U21" s="84">
        <f>TrRoad_act!U75</f>
        <v>318644</v>
      </c>
      <c r="V21" s="84">
        <f>TrRoad_act!V75</f>
        <v>318837</v>
      </c>
      <c r="W21" s="84">
        <f>TrRoad_act!W75</f>
        <v>319027</v>
      </c>
      <c r="X21" s="84">
        <f>TrRoad_act!X75</f>
        <v>318988</v>
      </c>
      <c r="Y21" s="84">
        <f>TrRoad_act!Y75</f>
        <v>319004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89016</v>
      </c>
      <c r="C22" s="84">
        <f>TrRoad_act!C76</f>
        <v>100903</v>
      </c>
      <c r="D22" s="84">
        <f>TrRoad_act!D76</f>
        <v>110680</v>
      </c>
      <c r="E22" s="84">
        <f>TrRoad_act!E76</f>
        <v>134024</v>
      </c>
      <c r="F22" s="84">
        <f>TrRoad_act!F76</f>
        <v>144890</v>
      </c>
      <c r="G22" s="84">
        <f>TrRoad_act!G76</f>
        <v>153349</v>
      </c>
      <c r="H22" s="84">
        <f>TrRoad_act!H76</f>
        <v>179826</v>
      </c>
      <c r="I22" s="84">
        <f>TrRoad_act!I76</f>
        <v>204343</v>
      </c>
      <c r="J22" s="84">
        <f>TrRoad_act!J76</f>
        <v>205825</v>
      </c>
      <c r="K22" s="84">
        <f>TrRoad_act!K76</f>
        <v>237545</v>
      </c>
      <c r="L22" s="84">
        <f>TrRoad_act!L76</f>
        <v>274977</v>
      </c>
      <c r="M22" s="84">
        <f>TrRoad_act!M76</f>
        <v>269690</v>
      </c>
      <c r="N22" s="84">
        <f>TrRoad_act!N76</f>
        <v>256419</v>
      </c>
      <c r="O22" s="84">
        <f>TrRoad_act!O76</f>
        <v>281529</v>
      </c>
      <c r="P22" s="84">
        <f>TrRoad_act!P76</f>
        <v>284291</v>
      </c>
      <c r="Q22" s="84">
        <f>TrRoad_act!Q76</f>
        <v>333043</v>
      </c>
      <c r="R22" s="84">
        <f>TrRoad_act!R76</f>
        <v>358277</v>
      </c>
      <c r="S22" s="84">
        <f>TrRoad_act!S76</f>
        <v>314667</v>
      </c>
      <c r="T22" s="84">
        <f>TrRoad_act!T76</f>
        <v>297819</v>
      </c>
      <c r="U22" s="84">
        <f>TrRoad_act!U76</f>
        <v>282920</v>
      </c>
      <c r="V22" s="84">
        <f>TrRoad_act!V76</f>
        <v>268021</v>
      </c>
      <c r="W22" s="84">
        <f>TrRoad_act!W76</f>
        <v>253122</v>
      </c>
      <c r="X22" s="84">
        <f>TrRoad_act!X76</f>
        <v>264811</v>
      </c>
      <c r="Y22" s="84">
        <f>TrRoad_act!Y76</f>
        <v>276205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0</v>
      </c>
      <c r="P23" s="84">
        <f>TrRoad_act!P77</f>
        <v>0</v>
      </c>
      <c r="Q23" s="84">
        <f>TrRoad_act!Q77</f>
        <v>0</v>
      </c>
      <c r="R23" s="84">
        <f>TrRoad_act!R77</f>
        <v>0</v>
      </c>
      <c r="S23" s="84">
        <f>TrRoad_act!S77</f>
        <v>0</v>
      </c>
      <c r="T23" s="84">
        <f>TrRoad_act!T77</f>
        <v>0</v>
      </c>
      <c r="U23" s="84">
        <f>TrRoad_act!U77</f>
        <v>0</v>
      </c>
      <c r="V23" s="84">
        <f>TrRoad_act!V77</f>
        <v>0</v>
      </c>
      <c r="W23" s="84">
        <f>TrRoad_act!W77</f>
        <v>0</v>
      </c>
      <c r="X23" s="84">
        <f>TrRoad_act!X77</f>
        <v>0</v>
      </c>
      <c r="Y23" s="84">
        <f>TrRoad_act!Y77</f>
        <v>0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X24" s="84">
        <f>TrRoad_act!X78</f>
        <v>0</v>
      </c>
      <c r="Y24" s="84">
        <f>TrRoad_act!Y78</f>
        <v>0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0</v>
      </c>
      <c r="N25" s="84">
        <f>TrRoad_act!N79</f>
        <v>0</v>
      </c>
      <c r="O25" s="84">
        <f>TrRoad_act!O79</f>
        <v>0</v>
      </c>
      <c r="P25" s="84">
        <f>TrRoad_act!P79</f>
        <v>0</v>
      </c>
      <c r="Q25" s="84">
        <f>TrRoad_act!Q79</f>
        <v>0</v>
      </c>
      <c r="R25" s="84">
        <f>TrRoad_act!R79</f>
        <v>0</v>
      </c>
      <c r="S25" s="84">
        <f>TrRoad_act!S79</f>
        <v>0</v>
      </c>
      <c r="T25" s="84">
        <f>TrRoad_act!T79</f>
        <v>0</v>
      </c>
      <c r="U25" s="84">
        <f>TrRoad_act!U79</f>
        <v>0</v>
      </c>
      <c r="V25" s="84">
        <f>TrRoad_act!V79</f>
        <v>0</v>
      </c>
      <c r="W25" s="84">
        <f>TrRoad_act!W79</f>
        <v>0</v>
      </c>
      <c r="X25" s="84">
        <f>TrRoad_act!X79</f>
        <v>0</v>
      </c>
      <c r="Y25" s="84">
        <f>TrRoad_act!Y79</f>
        <v>0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188977</v>
      </c>
      <c r="C26" s="110">
        <f>TrRoad_act!C80</f>
        <v>194995</v>
      </c>
      <c r="D26" s="110">
        <f>TrRoad_act!D80</f>
        <v>200127</v>
      </c>
      <c r="E26" s="110">
        <f>TrRoad_act!E80</f>
        <v>199381</v>
      </c>
      <c r="F26" s="110">
        <f>TrRoad_act!F80</f>
        <v>238216</v>
      </c>
      <c r="G26" s="110">
        <f>TrRoad_act!G80</f>
        <v>209439</v>
      </c>
      <c r="H26" s="110">
        <f>TrRoad_act!H80</f>
        <v>236079</v>
      </c>
      <c r="I26" s="110">
        <f>TrRoad_act!I80</f>
        <v>231662</v>
      </c>
      <c r="J26" s="110">
        <f>TrRoad_act!J80</f>
        <v>245316</v>
      </c>
      <c r="K26" s="110">
        <f>TrRoad_act!K80</f>
        <v>228468</v>
      </c>
      <c r="L26" s="110">
        <f>TrRoad_act!L80</f>
        <v>211206</v>
      </c>
      <c r="M26" s="110">
        <f>TrRoad_act!M80</f>
        <v>193413</v>
      </c>
      <c r="N26" s="110">
        <f>TrRoad_act!N80</f>
        <v>175551</v>
      </c>
      <c r="O26" s="110">
        <f>TrRoad_act!O80</f>
        <v>158620</v>
      </c>
      <c r="P26" s="110">
        <f>TrRoad_act!P80</f>
        <v>142989</v>
      </c>
      <c r="Q26" s="110">
        <f>TrRoad_act!Q80</f>
        <v>128874</v>
      </c>
      <c r="R26" s="110">
        <f>TrRoad_act!R80</f>
        <v>116217</v>
      </c>
      <c r="S26" s="110">
        <f>TrRoad_act!S80</f>
        <v>104637</v>
      </c>
      <c r="T26" s="110">
        <f>TrRoad_act!T80</f>
        <v>89342</v>
      </c>
      <c r="U26" s="110">
        <f>TrRoad_act!U80</f>
        <v>82621</v>
      </c>
      <c r="V26" s="110">
        <f>TrRoad_act!V80</f>
        <v>74982</v>
      </c>
      <c r="W26" s="110">
        <f>TrRoad_act!W80</f>
        <v>71046</v>
      </c>
      <c r="X26" s="110">
        <f>TrRoad_act!X80</f>
        <v>63264</v>
      </c>
      <c r="Y26" s="110">
        <f>TrRoad_act!Y80</f>
        <v>56039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187601</v>
      </c>
      <c r="C27" s="102">
        <f>TrRoad_act!C81</f>
        <v>193520</v>
      </c>
      <c r="D27" s="102">
        <f>TrRoad_act!D81</f>
        <v>198575</v>
      </c>
      <c r="E27" s="102">
        <f>TrRoad_act!E81</f>
        <v>197796</v>
      </c>
      <c r="F27" s="102">
        <f>TrRoad_act!F81</f>
        <v>236340</v>
      </c>
      <c r="G27" s="102">
        <f>TrRoad_act!G81</f>
        <v>207501</v>
      </c>
      <c r="H27" s="102">
        <f>TrRoad_act!H81</f>
        <v>233713</v>
      </c>
      <c r="I27" s="102">
        <f>TrRoad_act!I81</f>
        <v>229650</v>
      </c>
      <c r="J27" s="102">
        <f>TrRoad_act!J81</f>
        <v>243541</v>
      </c>
      <c r="K27" s="102">
        <f>TrRoad_act!K81</f>
        <v>226885</v>
      </c>
      <c r="L27" s="102">
        <f>TrRoad_act!L81</f>
        <v>209223</v>
      </c>
      <c r="M27" s="102">
        <f>TrRoad_act!M81</f>
        <v>191810</v>
      </c>
      <c r="N27" s="102">
        <f>TrRoad_act!N81</f>
        <v>173761</v>
      </c>
      <c r="O27" s="102">
        <f>TrRoad_act!O81</f>
        <v>156561</v>
      </c>
      <c r="P27" s="102">
        <f>TrRoad_act!P81</f>
        <v>140983</v>
      </c>
      <c r="Q27" s="102">
        <f>TrRoad_act!Q81</f>
        <v>126665</v>
      </c>
      <c r="R27" s="102">
        <f>TrRoad_act!R81</f>
        <v>113839</v>
      </c>
      <c r="S27" s="102">
        <f>TrRoad_act!S81</f>
        <v>101480</v>
      </c>
      <c r="T27" s="102">
        <f>TrRoad_act!T81</f>
        <v>86366</v>
      </c>
      <c r="U27" s="102">
        <f>TrRoad_act!U81</f>
        <v>81260</v>
      </c>
      <c r="V27" s="102">
        <f>TrRoad_act!V81</f>
        <v>72990</v>
      </c>
      <c r="W27" s="102">
        <f>TrRoad_act!W81</f>
        <v>68338</v>
      </c>
      <c r="X27" s="102">
        <f>TrRoad_act!X81</f>
        <v>60427</v>
      </c>
      <c r="Y27" s="102">
        <f>TrRoad_act!Y81</f>
        <v>53221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1376</v>
      </c>
      <c r="C28" s="86">
        <f>TrRoad_act!C82</f>
        <v>1475</v>
      </c>
      <c r="D28" s="86">
        <f>TrRoad_act!D82</f>
        <v>1552</v>
      </c>
      <c r="E28" s="86">
        <f>TrRoad_act!E82</f>
        <v>1585</v>
      </c>
      <c r="F28" s="86">
        <f>TrRoad_act!F82</f>
        <v>1876</v>
      </c>
      <c r="G28" s="86">
        <f>TrRoad_act!G82</f>
        <v>1938</v>
      </c>
      <c r="H28" s="86">
        <f>TrRoad_act!H82</f>
        <v>2366</v>
      </c>
      <c r="I28" s="86">
        <f>TrRoad_act!I82</f>
        <v>2012</v>
      </c>
      <c r="J28" s="86">
        <f>TrRoad_act!J82</f>
        <v>1775</v>
      </c>
      <c r="K28" s="86">
        <f>TrRoad_act!K82</f>
        <v>1583</v>
      </c>
      <c r="L28" s="86">
        <f>TrRoad_act!L82</f>
        <v>1983</v>
      </c>
      <c r="M28" s="86">
        <f>TrRoad_act!M82</f>
        <v>1603</v>
      </c>
      <c r="N28" s="86">
        <f>TrRoad_act!N82</f>
        <v>1790</v>
      </c>
      <c r="O28" s="86">
        <f>TrRoad_act!O82</f>
        <v>2059</v>
      </c>
      <c r="P28" s="86">
        <f>TrRoad_act!P82</f>
        <v>2006</v>
      </c>
      <c r="Q28" s="86">
        <f>TrRoad_act!Q82</f>
        <v>2209</v>
      </c>
      <c r="R28" s="86">
        <f>TrRoad_act!R82</f>
        <v>2378</v>
      </c>
      <c r="S28" s="86">
        <f>TrRoad_act!S82</f>
        <v>3157</v>
      </c>
      <c r="T28" s="86">
        <f>TrRoad_act!T82</f>
        <v>2976</v>
      </c>
      <c r="U28" s="86">
        <f>TrRoad_act!U82</f>
        <v>1361</v>
      </c>
      <c r="V28" s="86">
        <f>TrRoad_act!V82</f>
        <v>1992</v>
      </c>
      <c r="W28" s="86">
        <f>TrRoad_act!W82</f>
        <v>2708</v>
      </c>
      <c r="X28" s="86">
        <f>TrRoad_act!X82</f>
        <v>2837</v>
      </c>
      <c r="Y28" s="86">
        <f>TrRoad_act!Y82</f>
        <v>2818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394315</v>
      </c>
      <c r="C30" s="54">
        <f>TrRoad_act!C111</f>
        <v>614037</v>
      </c>
      <c r="D30" s="54">
        <f>TrRoad_act!D111</f>
        <v>517561</v>
      </c>
      <c r="E30" s="54">
        <f>TrRoad_act!E111</f>
        <v>540722</v>
      </c>
      <c r="F30" s="54">
        <f>TrRoad_act!F111</f>
        <v>501660</v>
      </c>
      <c r="G30" s="54">
        <f>TrRoad_act!G111</f>
        <v>600661</v>
      </c>
      <c r="H30" s="54">
        <f>TrRoad_act!H111</f>
        <v>586535</v>
      </c>
      <c r="I30" s="54">
        <f>TrRoad_act!I111</f>
        <v>753597</v>
      </c>
      <c r="J30" s="54">
        <f>TrRoad_act!J111</f>
        <v>644947</v>
      </c>
      <c r="K30" s="54">
        <f>TrRoad_act!K111</f>
        <v>538194</v>
      </c>
      <c r="L30" s="54">
        <f>TrRoad_act!L111</f>
        <v>524232</v>
      </c>
      <c r="M30" s="54">
        <f>TrRoad_act!M111</f>
        <v>371411</v>
      </c>
      <c r="N30" s="54">
        <f>TrRoad_act!N111</f>
        <v>369295</v>
      </c>
      <c r="O30" s="54">
        <f>TrRoad_act!O111</f>
        <v>354848</v>
      </c>
      <c r="P30" s="54">
        <f>TrRoad_act!P111</f>
        <v>412315</v>
      </c>
      <c r="Q30" s="54">
        <f>TrRoad_act!Q111</f>
        <v>515361</v>
      </c>
      <c r="R30" s="54">
        <f>TrRoad_act!R111</f>
        <v>446626</v>
      </c>
      <c r="S30" s="54">
        <f>TrRoad_act!S111</f>
        <v>344552</v>
      </c>
      <c r="T30" s="54">
        <f>TrRoad_act!T111</f>
        <v>363999</v>
      </c>
      <c r="U30" s="54">
        <f>TrRoad_act!U111</f>
        <v>485080</v>
      </c>
      <c r="V30" s="54">
        <f>TrRoad_act!V111</f>
        <v>484187</v>
      </c>
      <c r="W30" s="54">
        <f>TrRoad_act!W111</f>
        <v>643358</v>
      </c>
      <c r="X30" s="54">
        <f>TrRoad_act!X111</f>
        <v>651678</v>
      </c>
      <c r="Y30" s="54">
        <f>TrRoad_act!Y111</f>
        <v>742621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394177</v>
      </c>
      <c r="C31" s="28">
        <f>TrRoad_act!C112</f>
        <v>536588</v>
      </c>
      <c r="D31" s="28">
        <f>TrRoad_act!D112</f>
        <v>438179</v>
      </c>
      <c r="E31" s="28">
        <f>TrRoad_act!E112</f>
        <v>465927</v>
      </c>
      <c r="F31" s="28">
        <f>TrRoad_act!F112</f>
        <v>405043</v>
      </c>
      <c r="G31" s="28">
        <f>TrRoad_act!G112</f>
        <v>550148</v>
      </c>
      <c r="H31" s="28">
        <f>TrRoad_act!H112</f>
        <v>489198</v>
      </c>
      <c r="I31" s="28">
        <f>TrRoad_act!I112</f>
        <v>638985</v>
      </c>
      <c r="J31" s="28">
        <f>TrRoad_act!J112</f>
        <v>528575</v>
      </c>
      <c r="K31" s="28">
        <f>TrRoad_act!K112</f>
        <v>488194</v>
      </c>
      <c r="L31" s="28">
        <f>TrRoad_act!L112</f>
        <v>447337</v>
      </c>
      <c r="M31" s="28">
        <f>TrRoad_act!M112</f>
        <v>360867</v>
      </c>
      <c r="N31" s="28">
        <f>TrRoad_act!N112</f>
        <v>364721</v>
      </c>
      <c r="O31" s="28">
        <f>TrRoad_act!O112</f>
        <v>312043</v>
      </c>
      <c r="P31" s="28">
        <f>TrRoad_act!P112</f>
        <v>373200</v>
      </c>
      <c r="Q31" s="28">
        <f>TrRoad_act!Q112</f>
        <v>411655</v>
      </c>
      <c r="R31" s="28">
        <f>TrRoad_act!R112</f>
        <v>343708</v>
      </c>
      <c r="S31" s="28">
        <f>TrRoad_act!S112</f>
        <v>334722</v>
      </c>
      <c r="T31" s="28">
        <f>TrRoad_act!T112</f>
        <v>328426</v>
      </c>
      <c r="U31" s="28">
        <f>TrRoad_act!U112</f>
        <v>443712</v>
      </c>
      <c r="V31" s="28">
        <f>TrRoad_act!V112</f>
        <v>447076</v>
      </c>
      <c r="W31" s="28">
        <f>TrRoad_act!W112</f>
        <v>602916</v>
      </c>
      <c r="X31" s="28">
        <f>TrRoad_act!X112</f>
        <v>607763</v>
      </c>
      <c r="Y31" s="28">
        <f>TrRoad_act!Y112</f>
        <v>675293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89659</v>
      </c>
      <c r="C32" s="137">
        <f>TrRoad_act!C113</f>
        <v>117215</v>
      </c>
      <c r="D32" s="137">
        <f>TrRoad_act!D113</f>
        <v>97985</v>
      </c>
      <c r="E32" s="137">
        <f>TrRoad_act!E113</f>
        <v>102197</v>
      </c>
      <c r="F32" s="137">
        <f>TrRoad_act!F113</f>
        <v>122161</v>
      </c>
      <c r="G32" s="137">
        <f>TrRoad_act!G113</f>
        <v>136088</v>
      </c>
      <c r="H32" s="137">
        <f>TrRoad_act!H113</f>
        <v>137910</v>
      </c>
      <c r="I32" s="137">
        <f>TrRoad_act!I113</f>
        <v>155343</v>
      </c>
      <c r="J32" s="137">
        <f>TrRoad_act!J113</f>
        <v>153159</v>
      </c>
      <c r="K32" s="137">
        <f>TrRoad_act!K113</f>
        <v>113502</v>
      </c>
      <c r="L32" s="137">
        <f>TrRoad_act!L113</f>
        <v>100821</v>
      </c>
      <c r="M32" s="137">
        <f>TrRoad_act!M113</f>
        <v>81558</v>
      </c>
      <c r="N32" s="137">
        <f>TrRoad_act!N113</f>
        <v>62380</v>
      </c>
      <c r="O32" s="137">
        <f>TrRoad_act!O113</f>
        <v>49711</v>
      </c>
      <c r="P32" s="137">
        <f>TrRoad_act!P113</f>
        <v>67007</v>
      </c>
      <c r="Q32" s="137">
        <f>TrRoad_act!Q113</f>
        <v>70820</v>
      </c>
      <c r="R32" s="137">
        <f>TrRoad_act!R113</f>
        <v>81481</v>
      </c>
      <c r="S32" s="137">
        <f>TrRoad_act!S113</f>
        <v>40393</v>
      </c>
      <c r="T32" s="137">
        <f>TrRoad_act!T113</f>
        <v>46728</v>
      </c>
      <c r="U32" s="137">
        <f>TrRoad_act!U113</f>
        <v>70258</v>
      </c>
      <c r="V32" s="137">
        <f>TrRoad_act!V113</f>
        <v>72568</v>
      </c>
      <c r="W32" s="137">
        <f>TrRoad_act!W113</f>
        <v>87864</v>
      </c>
      <c r="X32" s="137">
        <f>TrRoad_act!X113</f>
        <v>89110</v>
      </c>
      <c r="Y32" s="137">
        <f>TrRoad_act!Y113</f>
        <v>130757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302605</v>
      </c>
      <c r="C33" s="110">
        <f>TrRoad_act!C114</f>
        <v>417069</v>
      </c>
      <c r="D33" s="110">
        <f>TrRoad_act!D114</f>
        <v>337740</v>
      </c>
      <c r="E33" s="110">
        <f>TrRoad_act!E114</f>
        <v>361325</v>
      </c>
      <c r="F33" s="110">
        <f>TrRoad_act!F114</f>
        <v>281026</v>
      </c>
      <c r="G33" s="110">
        <f>TrRoad_act!G114</f>
        <v>411633</v>
      </c>
      <c r="H33" s="110">
        <f>TrRoad_act!H114</f>
        <v>348835</v>
      </c>
      <c r="I33" s="110">
        <f>TrRoad_act!I114</f>
        <v>481191</v>
      </c>
      <c r="J33" s="110">
        <f>TrRoad_act!J114</f>
        <v>373118</v>
      </c>
      <c r="K33" s="110">
        <f>TrRoad_act!K114</f>
        <v>372422</v>
      </c>
      <c r="L33" s="110">
        <f>TrRoad_act!L114</f>
        <v>344483</v>
      </c>
      <c r="M33" s="110">
        <f>TrRoad_act!M114</f>
        <v>277532</v>
      </c>
      <c r="N33" s="110">
        <f>TrRoad_act!N114</f>
        <v>300606</v>
      </c>
      <c r="O33" s="110">
        <f>TrRoad_act!O114</f>
        <v>260676</v>
      </c>
      <c r="P33" s="110">
        <f>TrRoad_act!P114</f>
        <v>304496</v>
      </c>
      <c r="Q33" s="110">
        <f>TrRoad_act!Q114</f>
        <v>339178</v>
      </c>
      <c r="R33" s="110">
        <f>TrRoad_act!R114</f>
        <v>260881</v>
      </c>
      <c r="S33" s="110">
        <f>TrRoad_act!S114</f>
        <v>292889</v>
      </c>
      <c r="T33" s="110">
        <f>TrRoad_act!T114</f>
        <v>280206</v>
      </c>
      <c r="U33" s="110">
        <f>TrRoad_act!U114</f>
        <v>371699</v>
      </c>
      <c r="V33" s="110">
        <f>TrRoad_act!V114</f>
        <v>372719</v>
      </c>
      <c r="W33" s="110">
        <f>TrRoad_act!W114</f>
        <v>513230</v>
      </c>
      <c r="X33" s="110">
        <f>TrRoad_act!X114</f>
        <v>516511</v>
      </c>
      <c r="Y33" s="110">
        <f>TrRoad_act!Y114</f>
        <v>542376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300456</v>
      </c>
      <c r="C34" s="84">
        <f>TrRoad_act!C115</f>
        <v>415608</v>
      </c>
      <c r="D34" s="84">
        <f>TrRoad_act!D115</f>
        <v>333584</v>
      </c>
      <c r="E34" s="84">
        <f>TrRoad_act!E115</f>
        <v>350929</v>
      </c>
      <c r="F34" s="84">
        <f>TrRoad_act!F115</f>
        <v>281015</v>
      </c>
      <c r="G34" s="84">
        <f>TrRoad_act!G115</f>
        <v>409497</v>
      </c>
      <c r="H34" s="84">
        <f>TrRoad_act!H115</f>
        <v>332050</v>
      </c>
      <c r="I34" s="84">
        <f>TrRoad_act!I115</f>
        <v>467255</v>
      </c>
      <c r="J34" s="84">
        <f>TrRoad_act!J115</f>
        <v>367233</v>
      </c>
      <c r="K34" s="84">
        <f>TrRoad_act!K115</f>
        <v>342420</v>
      </c>
      <c r="L34" s="84">
        <f>TrRoad_act!L115</f>
        <v>317810</v>
      </c>
      <c r="M34" s="84">
        <f>TrRoad_act!M115</f>
        <v>227147</v>
      </c>
      <c r="N34" s="84">
        <f>TrRoad_act!N115</f>
        <v>300568</v>
      </c>
      <c r="O34" s="84">
        <f>TrRoad_act!O115</f>
        <v>177253</v>
      </c>
      <c r="P34" s="84">
        <f>TrRoad_act!P115</f>
        <v>224649</v>
      </c>
      <c r="Q34" s="84">
        <f>TrRoad_act!Q115</f>
        <v>305677</v>
      </c>
      <c r="R34" s="84">
        <f>TrRoad_act!R115</f>
        <v>185763</v>
      </c>
      <c r="S34" s="84">
        <f>TrRoad_act!S115</f>
        <v>247505</v>
      </c>
      <c r="T34" s="84">
        <f>TrRoad_act!T115</f>
        <v>218265</v>
      </c>
      <c r="U34" s="84">
        <f>TrRoad_act!U115</f>
        <v>299960</v>
      </c>
      <c r="V34" s="84">
        <f>TrRoad_act!V115</f>
        <v>287907</v>
      </c>
      <c r="W34" s="84">
        <f>TrRoad_act!W115</f>
        <v>482612</v>
      </c>
      <c r="X34" s="84">
        <f>TrRoad_act!X115</f>
        <v>485262</v>
      </c>
      <c r="Y34" s="84">
        <f>TrRoad_act!Y115</f>
        <v>500719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2149</v>
      </c>
      <c r="C35" s="84">
        <f>TrRoad_act!C116</f>
        <v>801</v>
      </c>
      <c r="D35" s="84">
        <f>TrRoad_act!D116</f>
        <v>3741</v>
      </c>
      <c r="E35" s="84">
        <f>TrRoad_act!E116</f>
        <v>10275</v>
      </c>
      <c r="F35" s="84">
        <f>TrRoad_act!F116</f>
        <v>0</v>
      </c>
      <c r="G35" s="84">
        <f>TrRoad_act!G116</f>
        <v>1980</v>
      </c>
      <c r="H35" s="84">
        <f>TrRoad_act!H116</f>
        <v>16155</v>
      </c>
      <c r="I35" s="84">
        <f>TrRoad_act!I116</f>
        <v>12399</v>
      </c>
      <c r="J35" s="84">
        <f>TrRoad_act!J116</f>
        <v>5008</v>
      </c>
      <c r="K35" s="84">
        <f>TrRoad_act!K116</f>
        <v>24754</v>
      </c>
      <c r="L35" s="84">
        <f>TrRoad_act!L116</f>
        <v>5979</v>
      </c>
      <c r="M35" s="84">
        <f>TrRoad_act!M116</f>
        <v>0</v>
      </c>
      <c r="N35" s="84">
        <f>TrRoad_act!N116</f>
        <v>0</v>
      </c>
      <c r="O35" s="84">
        <f>TrRoad_act!O116</f>
        <v>0</v>
      </c>
      <c r="P35" s="84">
        <f>TrRoad_act!P116</f>
        <v>63578</v>
      </c>
      <c r="Q35" s="84">
        <f>TrRoad_act!Q116</f>
        <v>3323</v>
      </c>
      <c r="R35" s="84">
        <f>TrRoad_act!R116</f>
        <v>42973</v>
      </c>
      <c r="S35" s="84">
        <f>TrRoad_act!S116</f>
        <v>43668</v>
      </c>
      <c r="T35" s="84">
        <f>TrRoad_act!T116</f>
        <v>59414</v>
      </c>
      <c r="U35" s="84">
        <f>TrRoad_act!U116</f>
        <v>67144</v>
      </c>
      <c r="V35" s="84">
        <f>TrRoad_act!V116</f>
        <v>81245</v>
      </c>
      <c r="W35" s="84">
        <f>TrRoad_act!W116</f>
        <v>20276</v>
      </c>
      <c r="X35" s="84">
        <f>TrRoad_act!X116</f>
        <v>19999</v>
      </c>
      <c r="Y35" s="84">
        <f>TrRoad_act!Y116</f>
        <v>21474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532</v>
      </c>
      <c r="I36" s="84">
        <f>TrRoad_act!I117</f>
        <v>1294</v>
      </c>
      <c r="J36" s="84">
        <f>TrRoad_act!J117</f>
        <v>850</v>
      </c>
      <c r="K36" s="84">
        <f>TrRoad_act!K117</f>
        <v>4630</v>
      </c>
      <c r="L36" s="84">
        <f>TrRoad_act!L117</f>
        <v>20238</v>
      </c>
      <c r="M36" s="84">
        <f>TrRoad_act!M117</f>
        <v>50161</v>
      </c>
      <c r="N36" s="84">
        <f>TrRoad_act!N117</f>
        <v>0</v>
      </c>
      <c r="O36" s="84">
        <f>TrRoad_act!O117</f>
        <v>83419</v>
      </c>
      <c r="P36" s="84">
        <f>TrRoad_act!P117</f>
        <v>16186</v>
      </c>
      <c r="Q36" s="84">
        <f>TrRoad_act!Q117</f>
        <v>29722</v>
      </c>
      <c r="R36" s="84">
        <f>TrRoad_act!R117</f>
        <v>31873</v>
      </c>
      <c r="S36" s="84">
        <f>TrRoad_act!S117</f>
        <v>1428</v>
      </c>
      <c r="T36" s="84">
        <f>TrRoad_act!T117</f>
        <v>2136</v>
      </c>
      <c r="U36" s="84">
        <f>TrRoad_act!U117</f>
        <v>3730</v>
      </c>
      <c r="V36" s="84">
        <f>TrRoad_act!V117</f>
        <v>71</v>
      </c>
      <c r="W36" s="84">
        <f>TrRoad_act!W117</f>
        <v>1986</v>
      </c>
      <c r="X36" s="84">
        <f>TrRoad_act!X117</f>
        <v>2085</v>
      </c>
      <c r="Y36" s="84">
        <f>TrRoad_act!Y117</f>
        <v>3936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660</v>
      </c>
      <c r="D37" s="84">
        <f>TrRoad_act!D118</f>
        <v>415</v>
      </c>
      <c r="E37" s="84">
        <f>TrRoad_act!E118</f>
        <v>121</v>
      </c>
      <c r="F37" s="84">
        <f>TrRoad_act!F118</f>
        <v>11</v>
      </c>
      <c r="G37" s="84">
        <f>TrRoad_act!G118</f>
        <v>156</v>
      </c>
      <c r="H37" s="84">
        <f>TrRoad_act!H118</f>
        <v>98</v>
      </c>
      <c r="I37" s="84">
        <f>TrRoad_act!I118</f>
        <v>243</v>
      </c>
      <c r="J37" s="84">
        <f>TrRoad_act!J118</f>
        <v>27</v>
      </c>
      <c r="K37" s="84">
        <f>TrRoad_act!K118</f>
        <v>618</v>
      </c>
      <c r="L37" s="84">
        <f>TrRoad_act!L118</f>
        <v>456</v>
      </c>
      <c r="M37" s="84">
        <f>TrRoad_act!M118</f>
        <v>224</v>
      </c>
      <c r="N37" s="84">
        <f>TrRoad_act!N118</f>
        <v>36</v>
      </c>
      <c r="O37" s="84">
        <f>TrRoad_act!O118</f>
        <v>0</v>
      </c>
      <c r="P37" s="84">
        <f>TrRoad_act!P118</f>
        <v>20</v>
      </c>
      <c r="Q37" s="84">
        <f>TrRoad_act!Q118</f>
        <v>378</v>
      </c>
      <c r="R37" s="84">
        <f>TrRoad_act!R118</f>
        <v>150</v>
      </c>
      <c r="S37" s="84">
        <f>TrRoad_act!S118</f>
        <v>90</v>
      </c>
      <c r="T37" s="84">
        <f>TrRoad_act!T118</f>
        <v>120</v>
      </c>
      <c r="U37" s="84">
        <f>TrRoad_act!U118</f>
        <v>359</v>
      </c>
      <c r="V37" s="84">
        <f>TrRoad_act!V118</f>
        <v>1354</v>
      </c>
      <c r="W37" s="84">
        <f>TrRoad_act!W118</f>
        <v>1349</v>
      </c>
      <c r="X37" s="84">
        <f>TrRoad_act!X118</f>
        <v>679</v>
      </c>
      <c r="Y37" s="84">
        <f>TrRoad_act!Y118</f>
        <v>1016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1</v>
      </c>
      <c r="O38" s="84">
        <f>TrRoad_act!O119</f>
        <v>1</v>
      </c>
      <c r="P38" s="84">
        <f>TrRoad_act!P119</f>
        <v>21</v>
      </c>
      <c r="Q38" s="84">
        <f>TrRoad_act!Q119</f>
        <v>39</v>
      </c>
      <c r="R38" s="84">
        <f>TrRoad_act!R119</f>
        <v>81</v>
      </c>
      <c r="S38" s="84">
        <f>TrRoad_act!S119</f>
        <v>155</v>
      </c>
      <c r="T38" s="84">
        <f>TrRoad_act!T119</f>
        <v>194</v>
      </c>
      <c r="U38" s="84">
        <f>TrRoad_act!U119</f>
        <v>294</v>
      </c>
      <c r="V38" s="84">
        <f>TrRoad_act!V119</f>
        <v>1463</v>
      </c>
      <c r="W38" s="84">
        <f>TrRoad_act!W119</f>
        <v>4811</v>
      </c>
      <c r="X38" s="84">
        <f>TrRoad_act!X119</f>
        <v>5455</v>
      </c>
      <c r="Y38" s="84">
        <f>TrRoad_act!Y119</f>
        <v>8754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0</v>
      </c>
      <c r="L39" s="84">
        <f>TrRoad_act!L120</f>
        <v>0</v>
      </c>
      <c r="M39" s="84">
        <f>TrRoad_act!M120</f>
        <v>0</v>
      </c>
      <c r="N39" s="84">
        <f>TrRoad_act!N120</f>
        <v>1</v>
      </c>
      <c r="O39" s="84">
        <f>TrRoad_act!O120</f>
        <v>3</v>
      </c>
      <c r="P39" s="84">
        <f>TrRoad_act!P120</f>
        <v>42</v>
      </c>
      <c r="Q39" s="84">
        <f>TrRoad_act!Q120</f>
        <v>39</v>
      </c>
      <c r="R39" s="84">
        <f>TrRoad_act!R120</f>
        <v>41</v>
      </c>
      <c r="S39" s="84">
        <f>TrRoad_act!S120</f>
        <v>43</v>
      </c>
      <c r="T39" s="84">
        <f>TrRoad_act!T120</f>
        <v>77</v>
      </c>
      <c r="U39" s="84">
        <f>TrRoad_act!U120</f>
        <v>212</v>
      </c>
      <c r="V39" s="84">
        <f>TrRoad_act!V120</f>
        <v>679</v>
      </c>
      <c r="W39" s="84">
        <f>TrRoad_act!W120</f>
        <v>2196</v>
      </c>
      <c r="X39" s="84">
        <f>TrRoad_act!X120</f>
        <v>3031</v>
      </c>
      <c r="Y39" s="84">
        <f>TrRoad_act!Y120</f>
        <v>6477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1913</v>
      </c>
      <c r="C40" s="110">
        <f>TrRoad_act!C121</f>
        <v>2304</v>
      </c>
      <c r="D40" s="110">
        <f>TrRoad_act!D121</f>
        <v>2454</v>
      </c>
      <c r="E40" s="110">
        <f>TrRoad_act!E121</f>
        <v>2405</v>
      </c>
      <c r="F40" s="110">
        <f>TrRoad_act!F121</f>
        <v>1856</v>
      </c>
      <c r="G40" s="110">
        <f>TrRoad_act!G121</f>
        <v>2427</v>
      </c>
      <c r="H40" s="110">
        <f>TrRoad_act!H121</f>
        <v>2453</v>
      </c>
      <c r="I40" s="110">
        <f>TrRoad_act!I121</f>
        <v>2451</v>
      </c>
      <c r="J40" s="110">
        <f>TrRoad_act!J121</f>
        <v>2298</v>
      </c>
      <c r="K40" s="110">
        <f>TrRoad_act!K121</f>
        <v>2270</v>
      </c>
      <c r="L40" s="110">
        <f>TrRoad_act!L121</f>
        <v>2033</v>
      </c>
      <c r="M40" s="110">
        <f>TrRoad_act!M121</f>
        <v>1777</v>
      </c>
      <c r="N40" s="110">
        <f>TrRoad_act!N121</f>
        <v>1735</v>
      </c>
      <c r="O40" s="110">
        <f>TrRoad_act!O121</f>
        <v>1656</v>
      </c>
      <c r="P40" s="110">
        <f>TrRoad_act!P121</f>
        <v>1697</v>
      </c>
      <c r="Q40" s="110">
        <f>TrRoad_act!Q121</f>
        <v>1657</v>
      </c>
      <c r="R40" s="110">
        <f>TrRoad_act!R121</f>
        <v>1346</v>
      </c>
      <c r="S40" s="110">
        <f>TrRoad_act!S121</f>
        <v>1440</v>
      </c>
      <c r="T40" s="110">
        <f>TrRoad_act!T121</f>
        <v>1492</v>
      </c>
      <c r="U40" s="110">
        <f>TrRoad_act!U121</f>
        <v>1755</v>
      </c>
      <c r="V40" s="110">
        <f>TrRoad_act!V121</f>
        <v>1789</v>
      </c>
      <c r="W40" s="110">
        <f>TrRoad_act!W121</f>
        <v>1822</v>
      </c>
      <c r="X40" s="110">
        <f>TrRoad_act!X121</f>
        <v>2142</v>
      </c>
      <c r="Y40" s="110">
        <f>TrRoad_act!Y121</f>
        <v>2160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1913</v>
      </c>
      <c r="C42" s="102">
        <f>TrRoad_act!C123</f>
        <v>1994</v>
      </c>
      <c r="D42" s="102">
        <f>TrRoad_act!D123</f>
        <v>2289</v>
      </c>
      <c r="E42" s="102">
        <f>TrRoad_act!E123</f>
        <v>2360</v>
      </c>
      <c r="F42" s="102">
        <f>TrRoad_act!F123</f>
        <v>1856</v>
      </c>
      <c r="G42" s="102">
        <f>TrRoad_act!G123</f>
        <v>2387</v>
      </c>
      <c r="H42" s="102">
        <f>TrRoad_act!H123</f>
        <v>2423</v>
      </c>
      <c r="I42" s="102">
        <f>TrRoad_act!I123</f>
        <v>2341</v>
      </c>
      <c r="J42" s="102">
        <f>TrRoad_act!J123</f>
        <v>2248</v>
      </c>
      <c r="K42" s="102">
        <f>TrRoad_act!K123</f>
        <v>2270</v>
      </c>
      <c r="L42" s="102">
        <f>TrRoad_act!L123</f>
        <v>2033</v>
      </c>
      <c r="M42" s="102">
        <f>TrRoad_act!M123</f>
        <v>1767</v>
      </c>
      <c r="N42" s="102">
        <f>TrRoad_act!N123</f>
        <v>1705</v>
      </c>
      <c r="O42" s="102">
        <f>TrRoad_act!O123</f>
        <v>1290</v>
      </c>
      <c r="P42" s="102">
        <f>TrRoad_act!P123</f>
        <v>1647</v>
      </c>
      <c r="Q42" s="102">
        <f>TrRoad_act!Q123</f>
        <v>1576</v>
      </c>
      <c r="R42" s="102">
        <f>TrRoad_act!R123</f>
        <v>1286</v>
      </c>
      <c r="S42" s="102">
        <f>TrRoad_act!S123</f>
        <v>1438</v>
      </c>
      <c r="T42" s="102">
        <f>TrRoad_act!T123</f>
        <v>1349</v>
      </c>
      <c r="U42" s="102">
        <f>TrRoad_act!U123</f>
        <v>1631</v>
      </c>
      <c r="V42" s="102">
        <f>TrRoad_act!V123</f>
        <v>1646</v>
      </c>
      <c r="W42" s="102">
        <f>TrRoad_act!W123</f>
        <v>1669</v>
      </c>
      <c r="X42" s="102">
        <f>TrRoad_act!X123</f>
        <v>1840</v>
      </c>
      <c r="Y42" s="102">
        <f>TrRoad_act!Y123</f>
        <v>1903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310</v>
      </c>
      <c r="D44" s="102">
        <f>TrRoad_act!D125</f>
        <v>165</v>
      </c>
      <c r="E44" s="102">
        <f>TrRoad_act!E125</f>
        <v>45</v>
      </c>
      <c r="F44" s="102">
        <f>TrRoad_act!F125</f>
        <v>0</v>
      </c>
      <c r="G44" s="102">
        <f>TrRoad_act!G125</f>
        <v>40</v>
      </c>
      <c r="H44" s="102">
        <f>TrRoad_act!H125</f>
        <v>30</v>
      </c>
      <c r="I44" s="102">
        <f>TrRoad_act!I125</f>
        <v>110</v>
      </c>
      <c r="J44" s="102">
        <f>TrRoad_act!J125</f>
        <v>50</v>
      </c>
      <c r="K44" s="102">
        <f>TrRoad_act!K125</f>
        <v>0</v>
      </c>
      <c r="L44" s="102">
        <f>TrRoad_act!L125</f>
        <v>0</v>
      </c>
      <c r="M44" s="102">
        <f>TrRoad_act!M125</f>
        <v>10</v>
      </c>
      <c r="N44" s="102">
        <f>TrRoad_act!N125</f>
        <v>30</v>
      </c>
      <c r="O44" s="102">
        <f>TrRoad_act!O125</f>
        <v>0</v>
      </c>
      <c r="P44" s="102">
        <f>TrRoad_act!P125</f>
        <v>50</v>
      </c>
      <c r="Q44" s="102">
        <f>TrRoad_act!Q125</f>
        <v>80</v>
      </c>
      <c r="R44" s="102">
        <f>TrRoad_act!R125</f>
        <v>60</v>
      </c>
      <c r="S44" s="102">
        <f>TrRoad_act!S125</f>
        <v>0</v>
      </c>
      <c r="T44" s="102">
        <f>TrRoad_act!T125</f>
        <v>140</v>
      </c>
      <c r="U44" s="102">
        <f>TrRoad_act!U125</f>
        <v>120</v>
      </c>
      <c r="V44" s="102">
        <f>TrRoad_act!V125</f>
        <v>140</v>
      </c>
      <c r="W44" s="102">
        <f>TrRoad_act!W125</f>
        <v>150</v>
      </c>
      <c r="X44" s="102">
        <f>TrRoad_act!X125</f>
        <v>300</v>
      </c>
      <c r="Y44" s="102">
        <f>TrRoad_act!Y125</f>
        <v>250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366</v>
      </c>
      <c r="P45" s="102">
        <f>TrRoad_act!P126</f>
        <v>0</v>
      </c>
      <c r="Q45" s="102">
        <f>TrRoad_act!Q126</f>
        <v>1</v>
      </c>
      <c r="R45" s="102">
        <f>TrRoad_act!R126</f>
        <v>0</v>
      </c>
      <c r="S45" s="102">
        <f>TrRoad_act!S126</f>
        <v>2</v>
      </c>
      <c r="T45" s="102">
        <f>TrRoad_act!T126</f>
        <v>3</v>
      </c>
      <c r="U45" s="102">
        <f>TrRoad_act!U126</f>
        <v>4</v>
      </c>
      <c r="V45" s="102">
        <f>TrRoad_act!V126</f>
        <v>3</v>
      </c>
      <c r="W45" s="102">
        <f>TrRoad_act!W126</f>
        <v>3</v>
      </c>
      <c r="X45" s="102">
        <f>TrRoad_act!X126</f>
        <v>2</v>
      </c>
      <c r="Y45" s="102">
        <f>TrRoad_act!Y126</f>
        <v>7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138</v>
      </c>
      <c r="C46" s="28">
        <f>TrRoad_act!C127</f>
        <v>77449</v>
      </c>
      <c r="D46" s="28">
        <f>TrRoad_act!D127</f>
        <v>79382</v>
      </c>
      <c r="E46" s="28">
        <f>TrRoad_act!E127</f>
        <v>74795</v>
      </c>
      <c r="F46" s="28">
        <f>TrRoad_act!F127</f>
        <v>96617</v>
      </c>
      <c r="G46" s="28">
        <f>TrRoad_act!G127</f>
        <v>50513</v>
      </c>
      <c r="H46" s="28">
        <f>TrRoad_act!H127</f>
        <v>97337</v>
      </c>
      <c r="I46" s="28">
        <f>TrRoad_act!I127</f>
        <v>114612</v>
      </c>
      <c r="J46" s="28">
        <f>TrRoad_act!J127</f>
        <v>116372</v>
      </c>
      <c r="K46" s="28">
        <f>TrRoad_act!K127</f>
        <v>50000</v>
      </c>
      <c r="L46" s="28">
        <f>TrRoad_act!L127</f>
        <v>76895</v>
      </c>
      <c r="M46" s="28">
        <f>TrRoad_act!M127</f>
        <v>10544</v>
      </c>
      <c r="N46" s="28">
        <f>TrRoad_act!N127</f>
        <v>4574</v>
      </c>
      <c r="O46" s="28">
        <f>TrRoad_act!O127</f>
        <v>42805</v>
      </c>
      <c r="P46" s="28">
        <f>TrRoad_act!P127</f>
        <v>39115</v>
      </c>
      <c r="Q46" s="28">
        <f>TrRoad_act!Q127</f>
        <v>103706</v>
      </c>
      <c r="R46" s="28">
        <f>TrRoad_act!R127</f>
        <v>102918</v>
      </c>
      <c r="S46" s="28">
        <f>TrRoad_act!S127</f>
        <v>9830</v>
      </c>
      <c r="T46" s="28">
        <f>TrRoad_act!T127</f>
        <v>35573</v>
      </c>
      <c r="U46" s="28">
        <f>TrRoad_act!U127</f>
        <v>41368</v>
      </c>
      <c r="V46" s="28">
        <f>TrRoad_act!V127</f>
        <v>37111</v>
      </c>
      <c r="W46" s="28">
        <f>TrRoad_act!W127</f>
        <v>40442</v>
      </c>
      <c r="X46" s="28">
        <f>TrRoad_act!X127</f>
        <v>43915</v>
      </c>
      <c r="Y46" s="28">
        <f>TrRoad_act!Y127</f>
        <v>67328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0</v>
      </c>
      <c r="C47" s="137">
        <f>TrRoad_act!C128</f>
        <v>63609</v>
      </c>
      <c r="D47" s="137">
        <f>TrRoad_act!D128</f>
        <v>65072</v>
      </c>
      <c r="E47" s="137">
        <f>TrRoad_act!E128</f>
        <v>67491</v>
      </c>
      <c r="F47" s="137">
        <f>TrRoad_act!F128</f>
        <v>45983</v>
      </c>
      <c r="G47" s="137">
        <f>TrRoad_act!G128</f>
        <v>47975</v>
      </c>
      <c r="H47" s="137">
        <f>TrRoad_act!H128</f>
        <v>68730</v>
      </c>
      <c r="I47" s="137">
        <f>TrRoad_act!I128</f>
        <v>107432</v>
      </c>
      <c r="J47" s="137">
        <f>TrRoad_act!J128</f>
        <v>87533</v>
      </c>
      <c r="K47" s="137">
        <f>TrRoad_act!K128</f>
        <v>47565</v>
      </c>
      <c r="L47" s="137">
        <f>TrRoad_act!L128</f>
        <v>74098</v>
      </c>
      <c r="M47" s="137">
        <f>TrRoad_act!M128</f>
        <v>8452</v>
      </c>
      <c r="N47" s="137">
        <f>TrRoad_act!N128</f>
        <v>2364</v>
      </c>
      <c r="O47" s="137">
        <f>TrRoad_act!O128</f>
        <v>40684</v>
      </c>
      <c r="P47" s="137">
        <f>TrRoad_act!P128</f>
        <v>37418</v>
      </c>
      <c r="Q47" s="137">
        <f>TrRoad_act!Q128</f>
        <v>100797</v>
      </c>
      <c r="R47" s="137">
        <f>TrRoad_act!R128</f>
        <v>100141</v>
      </c>
      <c r="S47" s="137">
        <f>TrRoad_act!S128</f>
        <v>6451</v>
      </c>
      <c r="T47" s="137">
        <f>TrRoad_act!T128</f>
        <v>33241</v>
      </c>
      <c r="U47" s="137">
        <f>TrRoad_act!U128</f>
        <v>38921</v>
      </c>
      <c r="V47" s="137">
        <f>TrRoad_act!V128</f>
        <v>34040</v>
      </c>
      <c r="W47" s="137">
        <f>TrRoad_act!W128</f>
        <v>37011</v>
      </c>
      <c r="X47" s="137">
        <f>TrRoad_act!X128</f>
        <v>41144</v>
      </c>
      <c r="Y47" s="137">
        <f>TrRoad_act!Y128</f>
        <v>64853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46543</v>
      </c>
      <c r="D48" s="84">
        <f>TrRoad_act!D129</f>
        <v>49379</v>
      </c>
      <c r="E48" s="84">
        <f>TrRoad_act!E129</f>
        <v>37481</v>
      </c>
      <c r="F48" s="84">
        <f>TrRoad_act!F129</f>
        <v>27664</v>
      </c>
      <c r="G48" s="84">
        <f>TrRoad_act!G129</f>
        <v>31241</v>
      </c>
      <c r="H48" s="84">
        <f>TrRoad_act!H129</f>
        <v>33183</v>
      </c>
      <c r="I48" s="84">
        <f>TrRoad_act!I129</f>
        <v>73030</v>
      </c>
      <c r="J48" s="84">
        <f>TrRoad_act!J129</f>
        <v>75268</v>
      </c>
      <c r="K48" s="84">
        <f>TrRoad_act!K129</f>
        <v>4160</v>
      </c>
      <c r="L48" s="84">
        <f>TrRoad_act!L129</f>
        <v>24044</v>
      </c>
      <c r="M48" s="84">
        <f>TrRoad_act!M129</f>
        <v>0</v>
      </c>
      <c r="N48" s="84">
        <f>TrRoad_act!N129</f>
        <v>187</v>
      </c>
      <c r="O48" s="84">
        <f>TrRoad_act!O129</f>
        <v>91</v>
      </c>
      <c r="P48" s="84">
        <f>TrRoad_act!P129</f>
        <v>17572</v>
      </c>
      <c r="Q48" s="84">
        <f>TrRoad_act!Q129</f>
        <v>33837</v>
      </c>
      <c r="R48" s="84">
        <f>TrRoad_act!R129</f>
        <v>55451</v>
      </c>
      <c r="S48" s="84">
        <f>TrRoad_act!S129</f>
        <v>61</v>
      </c>
      <c r="T48" s="84">
        <f>TrRoad_act!T129</f>
        <v>26620</v>
      </c>
      <c r="U48" s="84">
        <f>TrRoad_act!U129</f>
        <v>31586</v>
      </c>
      <c r="V48" s="84">
        <f>TrRoad_act!V129</f>
        <v>27729</v>
      </c>
      <c r="W48" s="84">
        <f>TrRoad_act!W129</f>
        <v>27503</v>
      </c>
      <c r="X48" s="84">
        <f>TrRoad_act!X129</f>
        <v>29235</v>
      </c>
      <c r="Y48" s="84">
        <f>TrRoad_act!Y129</f>
        <v>27787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17066</v>
      </c>
      <c r="D49" s="84">
        <f>TrRoad_act!D130</f>
        <v>15693</v>
      </c>
      <c r="E49" s="84">
        <f>TrRoad_act!E130</f>
        <v>30010</v>
      </c>
      <c r="F49" s="84">
        <f>TrRoad_act!F130</f>
        <v>18319</v>
      </c>
      <c r="G49" s="84">
        <f>TrRoad_act!G130</f>
        <v>16734</v>
      </c>
      <c r="H49" s="84">
        <f>TrRoad_act!H130</f>
        <v>35547</v>
      </c>
      <c r="I49" s="84">
        <f>TrRoad_act!I130</f>
        <v>34402</v>
      </c>
      <c r="J49" s="84">
        <f>TrRoad_act!J130</f>
        <v>12265</v>
      </c>
      <c r="K49" s="84">
        <f>TrRoad_act!K130</f>
        <v>43405</v>
      </c>
      <c r="L49" s="84">
        <f>TrRoad_act!L130</f>
        <v>50054</v>
      </c>
      <c r="M49" s="84">
        <f>TrRoad_act!M130</f>
        <v>8452</v>
      </c>
      <c r="N49" s="84">
        <f>TrRoad_act!N130</f>
        <v>2177</v>
      </c>
      <c r="O49" s="84">
        <f>TrRoad_act!O130</f>
        <v>40593</v>
      </c>
      <c r="P49" s="84">
        <f>TrRoad_act!P130</f>
        <v>19846</v>
      </c>
      <c r="Q49" s="84">
        <f>TrRoad_act!Q130</f>
        <v>66960</v>
      </c>
      <c r="R49" s="84">
        <f>TrRoad_act!R130</f>
        <v>44690</v>
      </c>
      <c r="S49" s="84">
        <f>TrRoad_act!S130</f>
        <v>6390</v>
      </c>
      <c r="T49" s="84">
        <f>TrRoad_act!T130</f>
        <v>6621</v>
      </c>
      <c r="U49" s="84">
        <f>TrRoad_act!U130</f>
        <v>7335</v>
      </c>
      <c r="V49" s="84">
        <f>TrRoad_act!V130</f>
        <v>6311</v>
      </c>
      <c r="W49" s="84">
        <f>TrRoad_act!W130</f>
        <v>9508</v>
      </c>
      <c r="X49" s="84">
        <f>TrRoad_act!X130</f>
        <v>11909</v>
      </c>
      <c r="Y49" s="84">
        <f>TrRoad_act!Y130</f>
        <v>37066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0</v>
      </c>
      <c r="P50" s="84">
        <f>TrRoad_act!P131</f>
        <v>0</v>
      </c>
      <c r="Q50" s="84">
        <f>TrRoad_act!Q131</f>
        <v>0</v>
      </c>
      <c r="R50" s="84">
        <f>TrRoad_act!R131</f>
        <v>0</v>
      </c>
      <c r="S50" s="84">
        <f>TrRoad_act!S131</f>
        <v>0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X50" s="84">
        <f>TrRoad_act!X131</f>
        <v>0</v>
      </c>
      <c r="Y50" s="84">
        <f>TrRoad_act!Y131</f>
        <v>0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X51" s="84">
        <f>TrRoad_act!X132</f>
        <v>0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0</v>
      </c>
      <c r="N52" s="84">
        <f>TrRoad_act!N133</f>
        <v>0</v>
      </c>
      <c r="O52" s="84">
        <f>TrRoad_act!O133</f>
        <v>0</v>
      </c>
      <c r="P52" s="84">
        <f>TrRoad_act!P133</f>
        <v>0</v>
      </c>
      <c r="Q52" s="84">
        <f>TrRoad_act!Q133</f>
        <v>0</v>
      </c>
      <c r="R52" s="84">
        <f>TrRoad_act!R133</f>
        <v>0</v>
      </c>
      <c r="S52" s="84">
        <f>TrRoad_act!S133</f>
        <v>0</v>
      </c>
      <c r="T52" s="84">
        <f>TrRoad_act!T133</f>
        <v>0</v>
      </c>
      <c r="U52" s="84">
        <f>TrRoad_act!U133</f>
        <v>0</v>
      </c>
      <c r="V52" s="84">
        <f>TrRoad_act!V133</f>
        <v>0</v>
      </c>
      <c r="W52" s="84">
        <f>TrRoad_act!W133</f>
        <v>0</v>
      </c>
      <c r="X52" s="84">
        <f>TrRoad_act!X133</f>
        <v>0</v>
      </c>
      <c r="Y52" s="84">
        <f>TrRoad_act!Y133</f>
        <v>0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138</v>
      </c>
      <c r="C53" s="110">
        <f>TrRoad_act!C134</f>
        <v>13840</v>
      </c>
      <c r="D53" s="110">
        <f>TrRoad_act!D134</f>
        <v>14310</v>
      </c>
      <c r="E53" s="110">
        <f>TrRoad_act!E134</f>
        <v>7304</v>
      </c>
      <c r="F53" s="110">
        <f>TrRoad_act!F134</f>
        <v>50634</v>
      </c>
      <c r="G53" s="110">
        <f>TrRoad_act!G134</f>
        <v>2538</v>
      </c>
      <c r="H53" s="110">
        <f>TrRoad_act!H134</f>
        <v>28607</v>
      </c>
      <c r="I53" s="110">
        <f>TrRoad_act!I134</f>
        <v>7180</v>
      </c>
      <c r="J53" s="110">
        <f>TrRoad_act!J134</f>
        <v>28839</v>
      </c>
      <c r="K53" s="110">
        <f>TrRoad_act!K134</f>
        <v>2435</v>
      </c>
      <c r="L53" s="110">
        <f>TrRoad_act!L134</f>
        <v>2797</v>
      </c>
      <c r="M53" s="110">
        <f>TrRoad_act!M134</f>
        <v>2092</v>
      </c>
      <c r="N53" s="110">
        <f>TrRoad_act!N134</f>
        <v>2210</v>
      </c>
      <c r="O53" s="110">
        <f>TrRoad_act!O134</f>
        <v>2121</v>
      </c>
      <c r="P53" s="110">
        <f>TrRoad_act!P134</f>
        <v>1697</v>
      </c>
      <c r="Q53" s="110">
        <f>TrRoad_act!Q134</f>
        <v>2909</v>
      </c>
      <c r="R53" s="110">
        <f>TrRoad_act!R134</f>
        <v>2777</v>
      </c>
      <c r="S53" s="110">
        <f>TrRoad_act!S134</f>
        <v>3379</v>
      </c>
      <c r="T53" s="110">
        <f>TrRoad_act!T134</f>
        <v>2332</v>
      </c>
      <c r="U53" s="110">
        <f>TrRoad_act!U134</f>
        <v>2447</v>
      </c>
      <c r="V53" s="110">
        <f>TrRoad_act!V134</f>
        <v>3071</v>
      </c>
      <c r="W53" s="110">
        <f>TrRoad_act!W134</f>
        <v>3431</v>
      </c>
      <c r="X53" s="110">
        <f>TrRoad_act!X134</f>
        <v>2771</v>
      </c>
      <c r="Y53" s="110">
        <f>TrRoad_act!Y134</f>
        <v>2475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13680</v>
      </c>
      <c r="D54" s="102">
        <f>TrRoad_act!D135</f>
        <v>14159</v>
      </c>
      <c r="E54" s="102">
        <f>TrRoad_act!E135</f>
        <v>7184</v>
      </c>
      <c r="F54" s="102">
        <f>TrRoad_act!F135</f>
        <v>50245</v>
      </c>
      <c r="G54" s="102">
        <f>TrRoad_act!G135</f>
        <v>2363</v>
      </c>
      <c r="H54" s="102">
        <f>TrRoad_act!H135</f>
        <v>28053</v>
      </c>
      <c r="I54" s="102">
        <f>TrRoad_act!I135</f>
        <v>7180</v>
      </c>
      <c r="J54" s="102">
        <f>TrRoad_act!J135</f>
        <v>28839</v>
      </c>
      <c r="K54" s="102">
        <f>TrRoad_act!K135</f>
        <v>2435</v>
      </c>
      <c r="L54" s="102">
        <f>TrRoad_act!L135</f>
        <v>2269</v>
      </c>
      <c r="M54" s="102">
        <f>TrRoad_act!M135</f>
        <v>2092</v>
      </c>
      <c r="N54" s="102">
        <f>TrRoad_act!N135</f>
        <v>1918</v>
      </c>
      <c r="O54" s="102">
        <f>TrRoad_act!O135</f>
        <v>1738</v>
      </c>
      <c r="P54" s="102">
        <f>TrRoad_act!P135</f>
        <v>1626</v>
      </c>
      <c r="Q54" s="102">
        <f>TrRoad_act!Q135</f>
        <v>2571</v>
      </c>
      <c r="R54" s="102">
        <f>TrRoad_act!R135</f>
        <v>2462</v>
      </c>
      <c r="S54" s="102">
        <f>TrRoad_act!S135</f>
        <v>2445</v>
      </c>
      <c r="T54" s="102">
        <f>TrRoad_act!T135</f>
        <v>2332</v>
      </c>
      <c r="U54" s="102">
        <f>TrRoad_act!U135</f>
        <v>2447</v>
      </c>
      <c r="V54" s="102">
        <f>TrRoad_act!V135</f>
        <v>2384</v>
      </c>
      <c r="W54" s="102">
        <f>TrRoad_act!W135</f>
        <v>2642</v>
      </c>
      <c r="X54" s="102">
        <f>TrRoad_act!X135</f>
        <v>2546</v>
      </c>
      <c r="Y54" s="102">
        <f>TrRoad_act!Y135</f>
        <v>2377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138</v>
      </c>
      <c r="C55" s="86">
        <f>TrRoad_act!C136</f>
        <v>160</v>
      </c>
      <c r="D55" s="86">
        <f>TrRoad_act!D136</f>
        <v>151</v>
      </c>
      <c r="E55" s="86">
        <f>TrRoad_act!E136</f>
        <v>120</v>
      </c>
      <c r="F55" s="86">
        <f>TrRoad_act!F136</f>
        <v>389</v>
      </c>
      <c r="G55" s="86">
        <f>TrRoad_act!G136</f>
        <v>175</v>
      </c>
      <c r="H55" s="86">
        <f>TrRoad_act!H136</f>
        <v>554</v>
      </c>
      <c r="I55" s="86">
        <f>TrRoad_act!I136</f>
        <v>0</v>
      </c>
      <c r="J55" s="86">
        <f>TrRoad_act!J136</f>
        <v>0</v>
      </c>
      <c r="K55" s="86">
        <f>TrRoad_act!K136</f>
        <v>0</v>
      </c>
      <c r="L55" s="86">
        <f>TrRoad_act!L136</f>
        <v>528</v>
      </c>
      <c r="M55" s="86">
        <f>TrRoad_act!M136</f>
        <v>0</v>
      </c>
      <c r="N55" s="86">
        <f>TrRoad_act!N136</f>
        <v>292</v>
      </c>
      <c r="O55" s="86">
        <f>TrRoad_act!O136</f>
        <v>383</v>
      </c>
      <c r="P55" s="86">
        <f>TrRoad_act!P136</f>
        <v>71</v>
      </c>
      <c r="Q55" s="86">
        <f>TrRoad_act!Q136</f>
        <v>338</v>
      </c>
      <c r="R55" s="86">
        <f>TrRoad_act!R136</f>
        <v>315</v>
      </c>
      <c r="S55" s="86">
        <f>TrRoad_act!S136</f>
        <v>934</v>
      </c>
      <c r="T55" s="86">
        <f>TrRoad_act!T136</f>
        <v>0</v>
      </c>
      <c r="U55" s="86">
        <f>TrRoad_act!U136</f>
        <v>0</v>
      </c>
      <c r="V55" s="86">
        <f>TrRoad_act!V136</f>
        <v>687</v>
      </c>
      <c r="W55" s="86">
        <f>TrRoad_act!W136</f>
        <v>789</v>
      </c>
      <c r="X55" s="86">
        <f>TrRoad_act!X136</f>
        <v>225</v>
      </c>
      <c r="Y55" s="86">
        <f>TrRoad_act!Y136</f>
        <v>98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63607</v>
      </c>
      <c r="C59" s="54">
        <f t="shared" si="0"/>
        <v>116306</v>
      </c>
      <c r="D59" s="54">
        <f t="shared" si="0"/>
        <v>117101</v>
      </c>
      <c r="E59" s="54">
        <f t="shared" si="0"/>
        <v>146816</v>
      </c>
      <c r="F59" s="54">
        <f t="shared" si="0"/>
        <v>168221</v>
      </c>
      <c r="G59" s="54">
        <f t="shared" si="0"/>
        <v>241109</v>
      </c>
      <c r="H59" s="54">
        <f t="shared" si="0"/>
        <v>249925</v>
      </c>
      <c r="I59" s="54">
        <f t="shared" si="0"/>
        <v>364460</v>
      </c>
      <c r="J59" s="54">
        <f t="shared" si="0"/>
        <v>363035</v>
      </c>
      <c r="K59" s="54">
        <f t="shared" si="0"/>
        <v>337091</v>
      </c>
      <c r="L59" s="54">
        <f t="shared" ref="L59" si="1">L60+L75</f>
        <v>348817</v>
      </c>
      <c r="M59" s="54">
        <f t="shared" ref="M59:V59" si="2">M60+M75</f>
        <v>279851</v>
      </c>
      <c r="N59" s="54">
        <f t="shared" si="2"/>
        <v>298286</v>
      </c>
      <c r="O59" s="54">
        <f t="shared" si="2"/>
        <v>299902</v>
      </c>
      <c r="P59" s="54">
        <f t="shared" si="2"/>
        <v>362936</v>
      </c>
      <c r="Q59" s="54">
        <f t="shared" si="2"/>
        <v>470021</v>
      </c>
      <c r="R59" s="54">
        <f t="shared" si="2"/>
        <v>420793</v>
      </c>
      <c r="S59" s="54">
        <f t="shared" si="2"/>
        <v>331634</v>
      </c>
      <c r="T59" s="54">
        <f t="shared" si="2"/>
        <v>356848</v>
      </c>
      <c r="U59" s="54">
        <f t="shared" si="2"/>
        <v>480865</v>
      </c>
      <c r="V59" s="54">
        <f t="shared" si="2"/>
        <v>482898</v>
      </c>
      <c r="W59" s="54">
        <f t="shared" ref="W59:Y59" si="3">W60+W75</f>
        <v>643077</v>
      </c>
      <c r="X59" s="54">
        <f t="shared" si="3"/>
        <v>651632</v>
      </c>
      <c r="Y59" s="54">
        <f t="shared" si="3"/>
        <v>742621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63413</v>
      </c>
      <c r="C60" s="28">
        <f t="shared" si="4"/>
        <v>115693</v>
      </c>
      <c r="D60" s="28">
        <f t="shared" si="4"/>
        <v>116193</v>
      </c>
      <c r="E60" s="28">
        <f t="shared" si="4"/>
        <v>146173</v>
      </c>
      <c r="F60" s="28">
        <f t="shared" si="4"/>
        <v>162108</v>
      </c>
      <c r="G60" s="28">
        <f t="shared" si="4"/>
        <v>240728</v>
      </c>
      <c r="H60" s="28">
        <f t="shared" si="4"/>
        <v>244082</v>
      </c>
      <c r="I60" s="28">
        <f t="shared" si="4"/>
        <v>351944</v>
      </c>
      <c r="J60" s="28">
        <f t="shared" si="4"/>
        <v>328594</v>
      </c>
      <c r="K60" s="28">
        <f t="shared" si="4"/>
        <v>319541</v>
      </c>
      <c r="L60" s="28">
        <f t="shared" ref="L60" si="5">L61+L62+L69</f>
        <v>307473</v>
      </c>
      <c r="M60" s="28">
        <f t="shared" ref="M60:V60" si="6">M61+M62+M69</f>
        <v>273470</v>
      </c>
      <c r="N60" s="28">
        <f t="shared" si="6"/>
        <v>295491</v>
      </c>
      <c r="O60" s="28">
        <f t="shared" si="6"/>
        <v>268046</v>
      </c>
      <c r="P60" s="28">
        <f t="shared" si="6"/>
        <v>330635</v>
      </c>
      <c r="Q60" s="28">
        <f t="shared" si="6"/>
        <v>380002</v>
      </c>
      <c r="R60" s="28">
        <f t="shared" si="6"/>
        <v>326276</v>
      </c>
      <c r="S60" s="28">
        <f t="shared" si="6"/>
        <v>322900</v>
      </c>
      <c r="T60" s="28">
        <f t="shared" si="6"/>
        <v>322071</v>
      </c>
      <c r="U60" s="28">
        <f t="shared" si="6"/>
        <v>439946</v>
      </c>
      <c r="V60" s="28">
        <f t="shared" si="6"/>
        <v>446016</v>
      </c>
      <c r="W60" s="28">
        <f t="shared" ref="W60:Y60" si="7">W61+W62+W69</f>
        <v>602765</v>
      </c>
      <c r="X60" s="28">
        <f t="shared" si="7"/>
        <v>607751</v>
      </c>
      <c r="Y60" s="28">
        <f t="shared" si="7"/>
        <v>675293</v>
      </c>
      <c r="DA60" s="173" t="s">
        <v>839</v>
      </c>
    </row>
    <row r="61" spans="1:105" ht="11.45" customHeight="1" x14ac:dyDescent="0.25">
      <c r="A61" s="136" t="s">
        <v>173</v>
      </c>
      <c r="B61" s="137">
        <v>12272</v>
      </c>
      <c r="C61" s="137">
        <v>53283</v>
      </c>
      <c r="D61" s="137">
        <v>50981</v>
      </c>
      <c r="E61" s="137">
        <v>59603</v>
      </c>
      <c r="F61" s="137">
        <v>76943</v>
      </c>
      <c r="G61" s="137">
        <v>91606</v>
      </c>
      <c r="H61" s="137">
        <v>98522</v>
      </c>
      <c r="I61" s="137">
        <v>117021</v>
      </c>
      <c r="J61" s="137">
        <v>120935</v>
      </c>
      <c r="K61" s="137">
        <v>93423</v>
      </c>
      <c r="L61" s="137">
        <v>86063</v>
      </c>
      <c r="M61" s="137">
        <v>71863</v>
      </c>
      <c r="N61" s="137">
        <v>56490</v>
      </c>
      <c r="O61" s="137">
        <v>46079</v>
      </c>
      <c r="P61" s="137">
        <v>63342</v>
      </c>
      <c r="Q61" s="137">
        <v>68041</v>
      </c>
      <c r="R61" s="137">
        <v>79314</v>
      </c>
      <c r="S61" s="137">
        <v>39722</v>
      </c>
      <c r="T61" s="137">
        <v>46300</v>
      </c>
      <c r="U61" s="137">
        <v>69976</v>
      </c>
      <c r="V61" s="137">
        <v>72493</v>
      </c>
      <c r="W61" s="137">
        <v>87861</v>
      </c>
      <c r="X61" s="137">
        <v>89110</v>
      </c>
      <c r="Y61" s="137">
        <v>130757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51141</v>
      </c>
      <c r="C62" s="110">
        <f t="shared" si="8"/>
        <v>62380</v>
      </c>
      <c r="D62" s="110">
        <f t="shared" si="8"/>
        <v>65190</v>
      </c>
      <c r="E62" s="110">
        <f t="shared" si="8"/>
        <v>86562</v>
      </c>
      <c r="F62" s="110">
        <f t="shared" si="8"/>
        <v>85165</v>
      </c>
      <c r="G62" s="110">
        <f t="shared" si="8"/>
        <v>148878</v>
      </c>
      <c r="H62" s="110">
        <f t="shared" si="8"/>
        <v>144830</v>
      </c>
      <c r="I62" s="110">
        <f t="shared" si="8"/>
        <v>233953</v>
      </c>
      <c r="J62" s="110">
        <f t="shared" si="8"/>
        <v>206527</v>
      </c>
      <c r="K62" s="110">
        <f t="shared" si="8"/>
        <v>224786</v>
      </c>
      <c r="L62" s="110">
        <f t="shared" ref="L62" si="9">SUM(L63:L68)</f>
        <v>220043</v>
      </c>
      <c r="M62" s="110">
        <f t="shared" ref="M62:V62" si="10">SUM(M63:M68)</f>
        <v>200277</v>
      </c>
      <c r="N62" s="110">
        <f t="shared" si="10"/>
        <v>237592</v>
      </c>
      <c r="O62" s="110">
        <f t="shared" si="10"/>
        <v>220653</v>
      </c>
      <c r="P62" s="110">
        <f t="shared" si="10"/>
        <v>265749</v>
      </c>
      <c r="Q62" s="110">
        <f t="shared" si="10"/>
        <v>310399</v>
      </c>
      <c r="R62" s="110">
        <f t="shared" si="10"/>
        <v>245661</v>
      </c>
      <c r="S62" s="110">
        <f t="shared" si="10"/>
        <v>281758</v>
      </c>
      <c r="T62" s="110">
        <f t="shared" si="10"/>
        <v>274295</v>
      </c>
      <c r="U62" s="110">
        <f t="shared" si="10"/>
        <v>368223</v>
      </c>
      <c r="V62" s="110">
        <f t="shared" si="10"/>
        <v>371738</v>
      </c>
      <c r="W62" s="110">
        <f t="shared" ref="W62:Y62" si="11">SUM(W63:W68)</f>
        <v>513083</v>
      </c>
      <c r="X62" s="110">
        <f t="shared" si="11"/>
        <v>516500</v>
      </c>
      <c r="Y62" s="110">
        <f t="shared" si="11"/>
        <v>542376</v>
      </c>
      <c r="DA62" s="176" t="s">
        <v>841</v>
      </c>
    </row>
    <row r="63" spans="1:105" ht="11.45" customHeight="1" x14ac:dyDescent="0.25">
      <c r="A63" s="111" t="s">
        <v>110</v>
      </c>
      <c r="B63" s="84">
        <v>51141</v>
      </c>
      <c r="C63" s="84">
        <v>62380</v>
      </c>
      <c r="D63" s="84">
        <v>65190</v>
      </c>
      <c r="E63" s="84">
        <v>86562</v>
      </c>
      <c r="F63" s="84">
        <v>85165</v>
      </c>
      <c r="G63" s="84">
        <v>148878</v>
      </c>
      <c r="H63" s="84">
        <v>141762</v>
      </c>
      <c r="I63" s="84">
        <v>229786</v>
      </c>
      <c r="J63" s="84">
        <v>204429</v>
      </c>
      <c r="K63" s="84">
        <v>212368</v>
      </c>
      <c r="L63" s="84">
        <v>216446</v>
      </c>
      <c r="M63" s="84">
        <v>167657</v>
      </c>
      <c r="N63" s="84">
        <v>237567</v>
      </c>
      <c r="O63" s="84">
        <v>148402</v>
      </c>
      <c r="P63" s="84">
        <v>197272</v>
      </c>
      <c r="Q63" s="84">
        <v>279041</v>
      </c>
      <c r="R63" s="84">
        <v>174871</v>
      </c>
      <c r="S63" s="84">
        <v>238541</v>
      </c>
      <c r="T63" s="84">
        <v>213983</v>
      </c>
      <c r="U63" s="84">
        <v>297434</v>
      </c>
      <c r="V63" s="84">
        <v>287294</v>
      </c>
      <c r="W63" s="84">
        <v>482575</v>
      </c>
      <c r="X63" s="84">
        <v>485260</v>
      </c>
      <c r="Y63" s="84">
        <v>500719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3068</v>
      </c>
      <c r="I64" s="84">
        <v>4167</v>
      </c>
      <c r="J64" s="84">
        <v>2098</v>
      </c>
      <c r="K64" s="84">
        <v>12418</v>
      </c>
      <c r="L64" s="84">
        <v>3481</v>
      </c>
      <c r="M64" s="84">
        <v>0</v>
      </c>
      <c r="N64" s="84">
        <v>0</v>
      </c>
      <c r="O64" s="84">
        <v>0</v>
      </c>
      <c r="P64" s="84">
        <v>53712</v>
      </c>
      <c r="Q64" s="84">
        <v>2959</v>
      </c>
      <c r="R64" s="84">
        <v>39844</v>
      </c>
      <c r="S64" s="84">
        <v>41728</v>
      </c>
      <c r="T64" s="84">
        <v>57998</v>
      </c>
      <c r="U64" s="84">
        <v>66455</v>
      </c>
      <c r="V64" s="84">
        <v>81022</v>
      </c>
      <c r="W64" s="84">
        <v>20272</v>
      </c>
      <c r="X64" s="84">
        <v>19999</v>
      </c>
      <c r="Y64" s="84">
        <v>21474</v>
      </c>
      <c r="DA64" s="171" t="s">
        <v>843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32487</v>
      </c>
      <c r="N65" s="84">
        <v>0</v>
      </c>
      <c r="O65" s="84">
        <v>72251</v>
      </c>
      <c r="P65" s="84">
        <v>14748</v>
      </c>
      <c r="Q65" s="84">
        <v>28052</v>
      </c>
      <c r="R65" s="84">
        <v>30802</v>
      </c>
      <c r="S65" s="84">
        <v>1400</v>
      </c>
      <c r="T65" s="84">
        <v>2113</v>
      </c>
      <c r="U65" s="84">
        <v>3709</v>
      </c>
      <c r="V65" s="84">
        <v>71</v>
      </c>
      <c r="W65" s="84">
        <v>1984</v>
      </c>
      <c r="X65" s="84">
        <v>2084</v>
      </c>
      <c r="Y65" s="84">
        <v>3936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116</v>
      </c>
      <c r="M66" s="84">
        <v>133</v>
      </c>
      <c r="N66" s="84">
        <v>25</v>
      </c>
      <c r="O66" s="84">
        <v>0</v>
      </c>
      <c r="P66" s="84">
        <v>17</v>
      </c>
      <c r="Q66" s="84">
        <v>347</v>
      </c>
      <c r="R66" s="84">
        <v>144</v>
      </c>
      <c r="S66" s="84">
        <v>89</v>
      </c>
      <c r="T66" s="84">
        <v>120</v>
      </c>
      <c r="U66" s="84">
        <v>358</v>
      </c>
      <c r="V66" s="84">
        <v>1353</v>
      </c>
      <c r="W66" s="84">
        <v>1349</v>
      </c>
      <c r="X66" s="84">
        <v>679</v>
      </c>
      <c r="Y66" s="84">
        <v>1016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81</v>
      </c>
      <c r="U67" s="84">
        <v>243</v>
      </c>
      <c r="V67" s="84">
        <v>1371</v>
      </c>
      <c r="W67" s="84">
        <v>4744</v>
      </c>
      <c r="X67" s="84">
        <v>5450</v>
      </c>
      <c r="Y67" s="84">
        <v>8754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24</v>
      </c>
      <c r="V68" s="84">
        <v>627</v>
      </c>
      <c r="W68" s="84">
        <v>2159</v>
      </c>
      <c r="X68" s="84">
        <v>3028</v>
      </c>
      <c r="Y68" s="84">
        <v>6477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30</v>
      </c>
      <c r="D69" s="110">
        <f t="shared" si="12"/>
        <v>22</v>
      </c>
      <c r="E69" s="110">
        <f t="shared" si="12"/>
        <v>8</v>
      </c>
      <c r="F69" s="110">
        <f t="shared" si="12"/>
        <v>0</v>
      </c>
      <c r="G69" s="110">
        <f t="shared" si="12"/>
        <v>244</v>
      </c>
      <c r="H69" s="110">
        <f t="shared" si="12"/>
        <v>730</v>
      </c>
      <c r="I69" s="110">
        <f t="shared" si="12"/>
        <v>970</v>
      </c>
      <c r="J69" s="110">
        <f t="shared" si="12"/>
        <v>1132</v>
      </c>
      <c r="K69" s="110">
        <f t="shared" si="12"/>
        <v>1332</v>
      </c>
      <c r="L69" s="110">
        <f t="shared" ref="L69" si="13">SUM(L70:L74)</f>
        <v>1367</v>
      </c>
      <c r="M69" s="110">
        <f t="shared" ref="M69:V69" si="14">SUM(M70:M74)</f>
        <v>1330</v>
      </c>
      <c r="N69" s="110">
        <f t="shared" si="14"/>
        <v>1409</v>
      </c>
      <c r="O69" s="110">
        <f t="shared" si="14"/>
        <v>1314</v>
      </c>
      <c r="P69" s="110">
        <f t="shared" si="14"/>
        <v>1544</v>
      </c>
      <c r="Q69" s="110">
        <f t="shared" si="14"/>
        <v>1562</v>
      </c>
      <c r="R69" s="110">
        <f t="shared" si="14"/>
        <v>1301</v>
      </c>
      <c r="S69" s="110">
        <f t="shared" si="14"/>
        <v>1420</v>
      </c>
      <c r="T69" s="110">
        <f t="shared" si="14"/>
        <v>1476</v>
      </c>
      <c r="U69" s="110">
        <f t="shared" si="14"/>
        <v>1747</v>
      </c>
      <c r="V69" s="110">
        <f t="shared" si="14"/>
        <v>1785</v>
      </c>
      <c r="W69" s="110">
        <f t="shared" ref="W69:Y69" si="15">SUM(W70:W74)</f>
        <v>1821</v>
      </c>
      <c r="X69" s="110">
        <f t="shared" si="15"/>
        <v>2141</v>
      </c>
      <c r="Y69" s="110">
        <f t="shared" si="15"/>
        <v>2160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234</v>
      </c>
      <c r="H71" s="102">
        <v>721</v>
      </c>
      <c r="I71" s="102">
        <v>930</v>
      </c>
      <c r="J71" s="102">
        <v>1111</v>
      </c>
      <c r="K71" s="102">
        <v>1332</v>
      </c>
      <c r="L71" s="102">
        <v>1367</v>
      </c>
      <c r="M71" s="102">
        <v>1324</v>
      </c>
      <c r="N71" s="102">
        <v>1389</v>
      </c>
      <c r="O71" s="102">
        <v>1122</v>
      </c>
      <c r="P71" s="102">
        <v>1505</v>
      </c>
      <c r="Q71" s="102">
        <v>1495</v>
      </c>
      <c r="R71" s="102">
        <v>1249</v>
      </c>
      <c r="S71" s="102">
        <v>1418</v>
      </c>
      <c r="T71" s="102">
        <v>1342</v>
      </c>
      <c r="U71" s="102">
        <v>1628</v>
      </c>
      <c r="V71" s="102">
        <v>1645</v>
      </c>
      <c r="W71" s="102">
        <v>1669</v>
      </c>
      <c r="X71" s="102">
        <v>1840</v>
      </c>
      <c r="Y71" s="102">
        <v>1903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30</v>
      </c>
      <c r="D73" s="102">
        <v>22</v>
      </c>
      <c r="E73" s="102">
        <v>8</v>
      </c>
      <c r="F73" s="102">
        <v>0</v>
      </c>
      <c r="G73" s="102">
        <v>10</v>
      </c>
      <c r="H73" s="102">
        <v>9</v>
      </c>
      <c r="I73" s="102">
        <v>40</v>
      </c>
      <c r="J73" s="102">
        <v>21</v>
      </c>
      <c r="K73" s="102">
        <v>0</v>
      </c>
      <c r="L73" s="102">
        <v>0</v>
      </c>
      <c r="M73" s="102">
        <v>6</v>
      </c>
      <c r="N73" s="102">
        <v>20</v>
      </c>
      <c r="O73" s="102">
        <v>0</v>
      </c>
      <c r="P73" s="102">
        <v>39</v>
      </c>
      <c r="Q73" s="102">
        <v>66</v>
      </c>
      <c r="R73" s="102">
        <v>52</v>
      </c>
      <c r="S73" s="102">
        <v>0</v>
      </c>
      <c r="T73" s="102">
        <v>131</v>
      </c>
      <c r="U73" s="102">
        <v>115</v>
      </c>
      <c r="V73" s="102">
        <v>137</v>
      </c>
      <c r="W73" s="102">
        <v>149</v>
      </c>
      <c r="X73" s="102">
        <v>299</v>
      </c>
      <c r="Y73" s="102">
        <v>250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192</v>
      </c>
      <c r="P74" s="102">
        <v>0</v>
      </c>
      <c r="Q74" s="102">
        <v>1</v>
      </c>
      <c r="R74" s="102">
        <v>0</v>
      </c>
      <c r="S74" s="102">
        <v>2</v>
      </c>
      <c r="T74" s="102">
        <v>3</v>
      </c>
      <c r="U74" s="102">
        <v>4</v>
      </c>
      <c r="V74" s="102">
        <v>3</v>
      </c>
      <c r="W74" s="102">
        <v>3</v>
      </c>
      <c r="X74" s="102">
        <v>2</v>
      </c>
      <c r="Y74" s="102">
        <v>7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194</v>
      </c>
      <c r="C75" s="28">
        <f t="shared" si="16"/>
        <v>613</v>
      </c>
      <c r="D75" s="28">
        <f t="shared" si="16"/>
        <v>908</v>
      </c>
      <c r="E75" s="28">
        <f t="shared" si="16"/>
        <v>643</v>
      </c>
      <c r="F75" s="28">
        <f t="shared" si="16"/>
        <v>6113</v>
      </c>
      <c r="G75" s="28">
        <f t="shared" si="16"/>
        <v>381</v>
      </c>
      <c r="H75" s="28">
        <f t="shared" si="16"/>
        <v>5843</v>
      </c>
      <c r="I75" s="28">
        <f t="shared" si="16"/>
        <v>12516</v>
      </c>
      <c r="J75" s="28">
        <f t="shared" si="16"/>
        <v>34441</v>
      </c>
      <c r="K75" s="28">
        <f t="shared" si="16"/>
        <v>17550</v>
      </c>
      <c r="L75" s="28">
        <f t="shared" ref="L75" si="17">L76+L82</f>
        <v>41344</v>
      </c>
      <c r="M75" s="28">
        <f t="shared" ref="M75:V75" si="18">M76+M82</f>
        <v>6381</v>
      </c>
      <c r="N75" s="28">
        <f t="shared" si="18"/>
        <v>2795</v>
      </c>
      <c r="O75" s="28">
        <f t="shared" si="18"/>
        <v>31856</v>
      </c>
      <c r="P75" s="28">
        <f t="shared" si="18"/>
        <v>32301</v>
      </c>
      <c r="Q75" s="28">
        <f t="shared" si="18"/>
        <v>90019</v>
      </c>
      <c r="R75" s="28">
        <f t="shared" si="18"/>
        <v>94517</v>
      </c>
      <c r="S75" s="28">
        <f t="shared" si="18"/>
        <v>8734</v>
      </c>
      <c r="T75" s="28">
        <f t="shared" si="18"/>
        <v>34777</v>
      </c>
      <c r="U75" s="28">
        <f t="shared" si="18"/>
        <v>40919</v>
      </c>
      <c r="V75" s="28">
        <f t="shared" si="18"/>
        <v>36882</v>
      </c>
      <c r="W75" s="28">
        <f t="shared" ref="W75:Y75" si="19">W76+W82</f>
        <v>40312</v>
      </c>
      <c r="X75" s="28">
        <f t="shared" si="19"/>
        <v>43881</v>
      </c>
      <c r="Y75" s="28">
        <f t="shared" si="19"/>
        <v>67328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10631</v>
      </c>
      <c r="J76" s="137">
        <f t="shared" si="20"/>
        <v>25119</v>
      </c>
      <c r="K76" s="137">
        <f t="shared" si="20"/>
        <v>16602</v>
      </c>
      <c r="L76" s="137">
        <f t="shared" ref="L76" si="21">SUM(L77:L81)</f>
        <v>40303</v>
      </c>
      <c r="M76" s="137">
        <f t="shared" ref="M76:V76" si="22">SUM(M77:M81)</f>
        <v>5272</v>
      </c>
      <c r="N76" s="137">
        <f t="shared" si="22"/>
        <v>1641</v>
      </c>
      <c r="O76" s="137">
        <f t="shared" si="22"/>
        <v>30670</v>
      </c>
      <c r="P76" s="137">
        <f t="shared" si="22"/>
        <v>31063</v>
      </c>
      <c r="Q76" s="137">
        <f t="shared" si="22"/>
        <v>87762</v>
      </c>
      <c r="R76" s="137">
        <f t="shared" si="22"/>
        <v>92228</v>
      </c>
      <c r="S76" s="137">
        <f t="shared" si="22"/>
        <v>5939</v>
      </c>
      <c r="T76" s="137">
        <f t="shared" si="22"/>
        <v>32607</v>
      </c>
      <c r="U76" s="137">
        <f t="shared" si="22"/>
        <v>38573</v>
      </c>
      <c r="V76" s="137">
        <f t="shared" si="22"/>
        <v>33894</v>
      </c>
      <c r="W76" s="137">
        <f t="shared" ref="W76:Y76" si="23">SUM(W77:W81)</f>
        <v>36932</v>
      </c>
      <c r="X76" s="137">
        <f t="shared" si="23"/>
        <v>41120</v>
      </c>
      <c r="Y76" s="137">
        <f t="shared" si="23"/>
        <v>64853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10631</v>
      </c>
      <c r="J77" s="84">
        <v>25119</v>
      </c>
      <c r="K77" s="84">
        <v>1811</v>
      </c>
      <c r="L77" s="84">
        <v>12867</v>
      </c>
      <c r="M77" s="84">
        <v>0</v>
      </c>
      <c r="N77" s="84">
        <v>133</v>
      </c>
      <c r="O77" s="84">
        <v>72</v>
      </c>
      <c r="P77" s="84">
        <v>15050</v>
      </c>
      <c r="Q77" s="84">
        <v>30714</v>
      </c>
      <c r="R77" s="84">
        <v>52483</v>
      </c>
      <c r="S77" s="84">
        <v>59</v>
      </c>
      <c r="T77" s="84">
        <v>26347</v>
      </c>
      <c r="U77" s="84">
        <v>31490</v>
      </c>
      <c r="V77" s="84">
        <v>27703</v>
      </c>
      <c r="W77" s="84">
        <v>27503</v>
      </c>
      <c r="X77" s="84">
        <v>29235</v>
      </c>
      <c r="Y77" s="84">
        <v>27787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14791</v>
      </c>
      <c r="L78" s="84">
        <v>27436</v>
      </c>
      <c r="M78" s="84">
        <v>5272</v>
      </c>
      <c r="N78" s="84">
        <v>1508</v>
      </c>
      <c r="O78" s="84">
        <v>30598</v>
      </c>
      <c r="P78" s="84">
        <v>16013</v>
      </c>
      <c r="Q78" s="84">
        <v>57048</v>
      </c>
      <c r="R78" s="84">
        <v>39745</v>
      </c>
      <c r="S78" s="84">
        <v>5880</v>
      </c>
      <c r="T78" s="84">
        <v>6260</v>
      </c>
      <c r="U78" s="84">
        <v>7083</v>
      </c>
      <c r="V78" s="84">
        <v>6191</v>
      </c>
      <c r="W78" s="84">
        <v>9429</v>
      </c>
      <c r="X78" s="84">
        <v>11885</v>
      </c>
      <c r="Y78" s="84">
        <v>37066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0</v>
      </c>
      <c r="P79" s="84">
        <v>0</v>
      </c>
      <c r="Q79" s="84">
        <v>0</v>
      </c>
      <c r="R79" s="84">
        <v>0</v>
      </c>
      <c r="S79" s="84">
        <v>0</v>
      </c>
      <c r="T79" s="84">
        <v>0</v>
      </c>
      <c r="U79" s="84">
        <v>0</v>
      </c>
      <c r="V79" s="84">
        <v>0</v>
      </c>
      <c r="W79" s="84">
        <v>0</v>
      </c>
      <c r="X79" s="84">
        <v>0</v>
      </c>
      <c r="Y79" s="84">
        <v>0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0</v>
      </c>
      <c r="V81" s="84">
        <v>0</v>
      </c>
      <c r="W81" s="84">
        <v>0</v>
      </c>
      <c r="X81" s="84">
        <v>0</v>
      </c>
      <c r="Y81" s="84">
        <v>0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194</v>
      </c>
      <c r="C82" s="110">
        <f t="shared" si="24"/>
        <v>613</v>
      </c>
      <c r="D82" s="110">
        <f t="shared" si="24"/>
        <v>908</v>
      </c>
      <c r="E82" s="110">
        <f t="shared" si="24"/>
        <v>643</v>
      </c>
      <c r="F82" s="110">
        <f t="shared" si="24"/>
        <v>6113</v>
      </c>
      <c r="G82" s="110">
        <f t="shared" si="24"/>
        <v>381</v>
      </c>
      <c r="H82" s="110">
        <f t="shared" si="24"/>
        <v>5843</v>
      </c>
      <c r="I82" s="110">
        <f t="shared" si="24"/>
        <v>1885</v>
      </c>
      <c r="J82" s="110">
        <f t="shared" si="24"/>
        <v>9322</v>
      </c>
      <c r="K82" s="110">
        <f t="shared" si="24"/>
        <v>948</v>
      </c>
      <c r="L82" s="110">
        <f t="shared" ref="L82" si="25">SUM(L83:L84)</f>
        <v>1041</v>
      </c>
      <c r="M82" s="110">
        <f t="shared" ref="M82:V82" si="26">SUM(M83:M84)</f>
        <v>1109</v>
      </c>
      <c r="N82" s="110">
        <f t="shared" si="26"/>
        <v>1154</v>
      </c>
      <c r="O82" s="110">
        <f t="shared" si="26"/>
        <v>1186</v>
      </c>
      <c r="P82" s="110">
        <f t="shared" si="26"/>
        <v>1238</v>
      </c>
      <c r="Q82" s="110">
        <f t="shared" si="26"/>
        <v>2257</v>
      </c>
      <c r="R82" s="110">
        <f t="shared" si="26"/>
        <v>2289</v>
      </c>
      <c r="S82" s="110">
        <f t="shared" si="26"/>
        <v>2795</v>
      </c>
      <c r="T82" s="110">
        <f t="shared" si="26"/>
        <v>2170</v>
      </c>
      <c r="U82" s="110">
        <f t="shared" si="26"/>
        <v>2346</v>
      </c>
      <c r="V82" s="110">
        <f t="shared" si="26"/>
        <v>2988</v>
      </c>
      <c r="W82" s="110">
        <f t="shared" ref="W82:Y82" si="27">SUM(W83:W84)</f>
        <v>3380</v>
      </c>
      <c r="X82" s="110">
        <f t="shared" si="27"/>
        <v>2761</v>
      </c>
      <c r="Y82" s="110">
        <f t="shared" si="27"/>
        <v>2475</v>
      </c>
      <c r="DA82" s="176" t="s">
        <v>861</v>
      </c>
    </row>
    <row r="83" spans="1:105" ht="11.45" customHeight="1" x14ac:dyDescent="0.25">
      <c r="A83" s="128" t="s">
        <v>27</v>
      </c>
      <c r="B83" s="102">
        <v>194</v>
      </c>
      <c r="C83" s="102">
        <v>613</v>
      </c>
      <c r="D83" s="102">
        <v>908</v>
      </c>
      <c r="E83" s="102">
        <v>643</v>
      </c>
      <c r="F83" s="102">
        <v>6113</v>
      </c>
      <c r="G83" s="102">
        <v>381</v>
      </c>
      <c r="H83" s="102">
        <v>5843</v>
      </c>
      <c r="I83" s="102">
        <v>1885</v>
      </c>
      <c r="J83" s="102">
        <v>9322</v>
      </c>
      <c r="K83" s="102">
        <v>948</v>
      </c>
      <c r="L83" s="102">
        <v>1041</v>
      </c>
      <c r="M83" s="102">
        <v>1109</v>
      </c>
      <c r="N83" s="102">
        <v>1154</v>
      </c>
      <c r="O83" s="102">
        <v>1165</v>
      </c>
      <c r="P83" s="102">
        <v>1196</v>
      </c>
      <c r="Q83" s="102">
        <v>2045</v>
      </c>
      <c r="R83" s="102">
        <v>2088</v>
      </c>
      <c r="S83" s="102">
        <v>2185</v>
      </c>
      <c r="T83" s="102">
        <v>2170</v>
      </c>
      <c r="U83" s="102">
        <v>2346</v>
      </c>
      <c r="V83" s="102">
        <v>2334</v>
      </c>
      <c r="W83" s="102">
        <v>2620</v>
      </c>
      <c r="X83" s="102">
        <v>2541</v>
      </c>
      <c r="Y83" s="102">
        <v>2377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21</v>
      </c>
      <c r="P84" s="86">
        <v>42</v>
      </c>
      <c r="Q84" s="86">
        <v>212</v>
      </c>
      <c r="R84" s="86">
        <v>201</v>
      </c>
      <c r="S84" s="86">
        <v>610</v>
      </c>
      <c r="T84" s="86">
        <v>0</v>
      </c>
      <c r="U84" s="86">
        <v>0</v>
      </c>
      <c r="V84" s="86">
        <v>654</v>
      </c>
      <c r="W84" s="86">
        <v>760</v>
      </c>
      <c r="X84" s="86">
        <v>220</v>
      </c>
      <c r="Y84" s="86">
        <v>98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4.1347622233306165</v>
      </c>
      <c r="C90" s="141">
        <v>4.0673088507991393</v>
      </c>
      <c r="D90" s="141">
        <v>4.0161279749156789</v>
      </c>
      <c r="E90" s="141">
        <v>3.9643184709707135</v>
      </c>
      <c r="F90" s="141">
        <v>3.9100812223054318</v>
      </c>
      <c r="G90" s="141">
        <v>3.8523143425700255</v>
      </c>
      <c r="H90" s="141">
        <v>3.7933525449318002</v>
      </c>
      <c r="I90" s="141">
        <v>3.7302096167355905</v>
      </c>
      <c r="J90" s="141">
        <v>3.6574930393146157</v>
      </c>
      <c r="K90" s="141">
        <v>3.5930638771723218</v>
      </c>
      <c r="L90" s="141">
        <v>3.5315258833132628</v>
      </c>
      <c r="M90" s="141">
        <v>3.4733954241815046</v>
      </c>
      <c r="N90" s="141">
        <v>3.4388253692329949</v>
      </c>
      <c r="O90" s="141">
        <v>3.3928770715841399</v>
      </c>
      <c r="P90" s="141">
        <v>3.3491400894296666</v>
      </c>
      <c r="Q90" s="141">
        <v>3.2847512309654321</v>
      </c>
      <c r="R90" s="141">
        <v>3.2296516742116435</v>
      </c>
      <c r="S90" s="141">
        <v>3.2000792671397957</v>
      </c>
      <c r="T90" s="141">
        <v>3.1134719052471027</v>
      </c>
      <c r="U90" s="141">
        <v>3.0585621637348068</v>
      </c>
      <c r="V90" s="141">
        <v>3.0028510636242647</v>
      </c>
      <c r="W90" s="141">
        <v>2.9524637067208146</v>
      </c>
      <c r="X90" s="141">
        <v>2.8893032642705689</v>
      </c>
      <c r="Y90" s="141">
        <v>2.805353841110779</v>
      </c>
      <c r="DA90" s="174" t="s">
        <v>864</v>
      </c>
    </row>
    <row r="91" spans="1:105" ht="11.45" customHeight="1" x14ac:dyDescent="0.25">
      <c r="A91" s="109" t="s">
        <v>20</v>
      </c>
      <c r="B91" s="130">
        <v>8.1192476575412922</v>
      </c>
      <c r="C91" s="130">
        <v>7.950198499637712</v>
      </c>
      <c r="D91" s="130">
        <v>7.8829114643566855</v>
      </c>
      <c r="E91" s="130">
        <v>7.8168559876035673</v>
      </c>
      <c r="F91" s="130">
        <v>7.7658058501863474</v>
      </c>
      <c r="G91" s="130">
        <v>7.7000785861927685</v>
      </c>
      <c r="H91" s="130">
        <v>7.6434529709941197</v>
      </c>
      <c r="I91" s="130">
        <v>7.5719325344241293</v>
      </c>
      <c r="J91" s="130">
        <v>7.5049248789577456</v>
      </c>
      <c r="K91" s="130">
        <v>7.4347259618542605</v>
      </c>
      <c r="L91" s="130">
        <v>7.356865779583373</v>
      </c>
      <c r="M91" s="130">
        <v>7.2771165636159099</v>
      </c>
      <c r="N91" s="130">
        <v>7.1856600777471389</v>
      </c>
      <c r="O91" s="130">
        <v>7.1022270460398902</v>
      </c>
      <c r="P91" s="130">
        <v>7.0191047824750674</v>
      </c>
      <c r="Q91" s="130">
        <v>6.8794601439752263</v>
      </c>
      <c r="R91" s="130">
        <v>6.7844348022716927</v>
      </c>
      <c r="S91" s="130">
        <v>6.6716815510567038</v>
      </c>
      <c r="T91" s="130">
        <v>6.5514229385096474</v>
      </c>
      <c r="U91" s="130">
        <v>6.401180309568435</v>
      </c>
      <c r="V91" s="130">
        <v>6.2353235143171304</v>
      </c>
      <c r="W91" s="130">
        <v>6.0208353980830482</v>
      </c>
      <c r="X91" s="130">
        <v>5.7960940131399434</v>
      </c>
      <c r="Y91" s="130">
        <v>5.5842097055056747</v>
      </c>
      <c r="DA91" s="176" t="s">
        <v>865</v>
      </c>
    </row>
    <row r="92" spans="1:105" ht="11.45" customHeight="1" x14ac:dyDescent="0.25">
      <c r="A92" s="111" t="s">
        <v>110</v>
      </c>
      <c r="B92" s="96">
        <v>8.1214517065894007</v>
      </c>
      <c r="C92" s="96">
        <v>7.8994543200417562</v>
      </c>
      <c r="D92" s="96">
        <v>7.8184233303591348</v>
      </c>
      <c r="E92" s="96">
        <v>7.7403368888345172</v>
      </c>
      <c r="F92" s="96">
        <v>7.6824451838706853</v>
      </c>
      <c r="G92" s="96">
        <v>7.6092635962841122</v>
      </c>
      <c r="H92" s="96">
        <v>7.5505995652981497</v>
      </c>
      <c r="I92" s="96">
        <v>7.4761343059551892</v>
      </c>
      <c r="J92" s="96">
        <v>7.4062115177210783</v>
      </c>
      <c r="K92" s="96">
        <v>7.3360871015757105</v>
      </c>
      <c r="L92" s="96">
        <v>7.2508181318549578</v>
      </c>
      <c r="M92" s="96">
        <v>7.1651276599097589</v>
      </c>
      <c r="N92" s="96">
        <v>7.0807743142278996</v>
      </c>
      <c r="O92" s="96">
        <v>6.9921236371107547</v>
      </c>
      <c r="P92" s="96">
        <v>6.9167354761269797</v>
      </c>
      <c r="Q92" s="96">
        <v>6.7634917243798265</v>
      </c>
      <c r="R92" s="96">
        <v>6.6778803533177626</v>
      </c>
      <c r="S92" s="96">
        <v>6.5541738620188932</v>
      </c>
      <c r="T92" s="96">
        <v>6.4273376915079314</v>
      </c>
      <c r="U92" s="96">
        <v>6.2632298652766467</v>
      </c>
      <c r="V92" s="96">
        <v>6.0982997719722736</v>
      </c>
      <c r="W92" s="96">
        <v>5.8463258739065367</v>
      </c>
      <c r="X92" s="96">
        <v>5.6171889812851097</v>
      </c>
      <c r="Y92" s="96">
        <v>5.4206887670797181</v>
      </c>
      <c r="DA92" s="171" t="s">
        <v>866</v>
      </c>
    </row>
    <row r="93" spans="1:105" ht="11.45" customHeight="1" x14ac:dyDescent="0.25">
      <c r="A93" s="111" t="s">
        <v>111</v>
      </c>
      <c r="B93" s="96">
        <v>8.0552568484374039</v>
      </c>
      <c r="C93" s="96">
        <v>8.0193775674010457</v>
      </c>
      <c r="D93" s="96">
        <v>7.9737005736348632</v>
      </c>
      <c r="E93" s="96">
        <v>7.8646542562680164</v>
      </c>
      <c r="F93" s="96">
        <v>7.8479161153325654</v>
      </c>
      <c r="G93" s="96">
        <v>7.828199416079598</v>
      </c>
      <c r="H93" s="96">
        <v>7.6925591530050204</v>
      </c>
      <c r="I93" s="96">
        <v>7.6004063984763315</v>
      </c>
      <c r="J93" s="96">
        <v>7.5419956042295979</v>
      </c>
      <c r="K93" s="96">
        <v>7.3217947207890965</v>
      </c>
      <c r="L93" s="96">
        <v>7.2411851497235444</v>
      </c>
      <c r="M93" s="96">
        <v>7.2110010287124373</v>
      </c>
      <c r="N93" s="96">
        <v>7.1844549844632741</v>
      </c>
      <c r="O93" s="96">
        <v>7.1474017818541684</v>
      </c>
      <c r="P93" s="96">
        <v>6.0936583794523473</v>
      </c>
      <c r="Q93" s="96">
        <v>5.9927851088351076</v>
      </c>
      <c r="R93" s="96">
        <v>5.5211992322098977</v>
      </c>
      <c r="S93" s="96">
        <v>5.2503057746254544</v>
      </c>
      <c r="T93" s="96">
        <v>5.0373213455526713</v>
      </c>
      <c r="U93" s="96">
        <v>4.8770932120476278</v>
      </c>
      <c r="V93" s="96">
        <v>4.7313743896302398</v>
      </c>
      <c r="W93" s="96">
        <v>4.6577945422459024</v>
      </c>
      <c r="X93" s="96">
        <v>4.5698916164807013</v>
      </c>
      <c r="Y93" s="96">
        <v>4.4905556684619166</v>
      </c>
      <c r="DA93" s="171" t="s">
        <v>867</v>
      </c>
    </row>
    <row r="94" spans="1:105" ht="11.45" customHeight="1" x14ac:dyDescent="0.25">
      <c r="A94" s="111" t="s">
        <v>112</v>
      </c>
      <c r="B94" s="96">
        <v>8.0488404255324202</v>
      </c>
      <c r="C94" s="96">
        <v>8.0488404255324202</v>
      </c>
      <c r="D94" s="96">
        <v>8.048840425532422</v>
      </c>
      <c r="E94" s="96">
        <v>8.0488404255324202</v>
      </c>
      <c r="F94" s="96">
        <v>8.0488404255324202</v>
      </c>
      <c r="G94" s="96">
        <v>8.0488404255324202</v>
      </c>
      <c r="H94" s="96">
        <v>8.0302213449448221</v>
      </c>
      <c r="I94" s="96">
        <v>8.0455596459372671</v>
      </c>
      <c r="J94" s="96">
        <v>8.0796665867604904</v>
      </c>
      <c r="K94" s="96">
        <v>8.1122658189417898</v>
      </c>
      <c r="L94" s="96">
        <v>7.944435403154368</v>
      </c>
      <c r="M94" s="96">
        <v>7.9202080286739145</v>
      </c>
      <c r="N94" s="96">
        <v>7.8995432846772413</v>
      </c>
      <c r="O94" s="96">
        <v>7.6521135621803769</v>
      </c>
      <c r="P94" s="96">
        <v>7.5972658046340875</v>
      </c>
      <c r="Q94" s="96">
        <v>7.4742037037755784</v>
      </c>
      <c r="R94" s="96">
        <v>7.1068569409787088</v>
      </c>
      <c r="S94" s="96">
        <v>7.0881018648598397</v>
      </c>
      <c r="T94" s="96">
        <v>7.0630899142707833</v>
      </c>
      <c r="U94" s="96">
        <v>7.0046476766548844</v>
      </c>
      <c r="V94" s="96">
        <v>6.9111498784037098</v>
      </c>
      <c r="W94" s="96">
        <v>6.8785369557995404</v>
      </c>
      <c r="X94" s="96">
        <v>6.842928358166775</v>
      </c>
      <c r="Y94" s="96">
        <v>6.7744457719940661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8.7823962806957283</v>
      </c>
      <c r="D95" s="96">
        <v>8.7614097907572788</v>
      </c>
      <c r="E95" s="96">
        <v>8.7461800738455988</v>
      </c>
      <c r="F95" s="96">
        <v>8.7445887110528364</v>
      </c>
      <c r="G95" s="96">
        <v>8.7113403300687722</v>
      </c>
      <c r="H95" s="96">
        <v>8.6792276533320418</v>
      </c>
      <c r="I95" s="96">
        <v>8.5947836428033995</v>
      </c>
      <c r="J95" s="96">
        <v>8.5761544029934687</v>
      </c>
      <c r="K95" s="96">
        <v>8.1770652448288939</v>
      </c>
      <c r="L95" s="96">
        <v>7.9475223939084403</v>
      </c>
      <c r="M95" s="96">
        <v>7.7529349667151628</v>
      </c>
      <c r="N95" s="96">
        <v>7.6935073670284364</v>
      </c>
      <c r="O95" s="96">
        <v>7.64022594300289</v>
      </c>
      <c r="P95" s="96">
        <v>7.6046603456862876</v>
      </c>
      <c r="Q95" s="96">
        <v>7.015988381588488</v>
      </c>
      <c r="R95" s="96">
        <v>6.7746958842373601</v>
      </c>
      <c r="S95" s="96">
        <v>6.6335239372244885</v>
      </c>
      <c r="T95" s="96">
        <v>6.459771961106628</v>
      </c>
      <c r="U95" s="96">
        <v>6.1054509956334213</v>
      </c>
      <c r="V95" s="96">
        <v>5.2817761590161894</v>
      </c>
      <c r="W95" s="96">
        <v>4.6815316079677949</v>
      </c>
      <c r="X95" s="96">
        <v>4.5730778735113518</v>
      </c>
      <c r="Y95" s="96">
        <v>4.491191580285725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2.5169352771570628</v>
      </c>
      <c r="O96" s="96">
        <v>1.4750416540404268</v>
      </c>
      <c r="P96" s="96">
        <v>1.9487941257352628</v>
      </c>
      <c r="Q96" s="96">
        <v>2.2208448695844947</v>
      </c>
      <c r="R96" s="96">
        <v>3.0041870895838589</v>
      </c>
      <c r="S96" s="96">
        <v>3.2442698508834535</v>
      </c>
      <c r="T96" s="96">
        <v>3.4471269171216541</v>
      </c>
      <c r="U96" s="96">
        <v>3.5308175055179225</v>
      </c>
      <c r="V96" s="96">
        <v>3.2049572830831186</v>
      </c>
      <c r="W96" s="96">
        <v>2.9768440376853733</v>
      </c>
      <c r="X96" s="96">
        <v>2.8974105787790245</v>
      </c>
      <c r="Y96" s="96">
        <v>2.7471165865212703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0</v>
      </c>
      <c r="L97" s="96">
        <v>0</v>
      </c>
      <c r="M97" s="96">
        <v>0</v>
      </c>
      <c r="N97" s="96">
        <v>1.0732538457002374</v>
      </c>
      <c r="O97" s="96">
        <v>1.1175652588822278</v>
      </c>
      <c r="P97" s="96">
        <v>1.1097391631478448</v>
      </c>
      <c r="Q97" s="96">
        <v>1.1632877727248938</v>
      </c>
      <c r="R97" s="96">
        <v>1.1683010580658582</v>
      </c>
      <c r="S97" s="96">
        <v>1.153259087227678</v>
      </c>
      <c r="T97" s="96">
        <v>1.1754489879679284</v>
      </c>
      <c r="U97" s="96">
        <v>1.3391155710495171</v>
      </c>
      <c r="V97" s="96">
        <v>1.4617102768536498</v>
      </c>
      <c r="W97" s="96">
        <v>1.4610134601033502</v>
      </c>
      <c r="X97" s="96">
        <v>1.4542117349212902</v>
      </c>
      <c r="Y97" s="96">
        <v>1.4471210898933247</v>
      </c>
      <c r="DA97" s="171" t="s">
        <v>871</v>
      </c>
    </row>
    <row r="98" spans="1:105" ht="11.45" customHeight="1" x14ac:dyDescent="0.25">
      <c r="A98" s="109" t="s">
        <v>21</v>
      </c>
      <c r="B98" s="130">
        <v>58.147288754182696</v>
      </c>
      <c r="C98" s="130">
        <v>56.568240129636855</v>
      </c>
      <c r="D98" s="130">
        <v>55.66123578961728</v>
      </c>
      <c r="E98" s="130">
        <v>54.776317477690341</v>
      </c>
      <c r="F98" s="130">
        <v>54.074535666512347</v>
      </c>
      <c r="G98" s="130">
        <v>53.20535079954648</v>
      </c>
      <c r="H98" s="130">
        <v>52.345195604915084</v>
      </c>
      <c r="I98" s="130">
        <v>51.493534271169707</v>
      </c>
      <c r="J98" s="130">
        <v>50.689896345128453</v>
      </c>
      <c r="K98" s="130">
        <v>49.917621649508199</v>
      </c>
      <c r="L98" s="130">
        <v>49.058876226010064</v>
      </c>
      <c r="M98" s="130">
        <v>48.221261690286404</v>
      </c>
      <c r="N98" s="130">
        <v>47.396703553816764</v>
      </c>
      <c r="O98" s="130">
        <v>46.878810856373804</v>
      </c>
      <c r="P98" s="130">
        <v>46.275883460485396</v>
      </c>
      <c r="Q98" s="130">
        <v>45.956718051318482</v>
      </c>
      <c r="R98" s="130">
        <v>45.672516908263084</v>
      </c>
      <c r="S98" s="130">
        <v>45.334748167720086</v>
      </c>
      <c r="T98" s="130">
        <v>44.981866578404798</v>
      </c>
      <c r="U98" s="130">
        <v>44.411430334347109</v>
      </c>
      <c r="V98" s="130">
        <v>43.744435787843415</v>
      </c>
      <c r="W98" s="130">
        <v>42.980527142056367</v>
      </c>
      <c r="X98" s="130">
        <v>41.969640173655073</v>
      </c>
      <c r="Y98" s="130">
        <v>40.962961380020921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DA99" s="175" t="s">
        <v>873</v>
      </c>
    </row>
    <row r="100" spans="1:105" ht="11.45" customHeight="1" x14ac:dyDescent="0.25">
      <c r="A100" s="111" t="s">
        <v>111</v>
      </c>
      <c r="B100" s="97">
        <v>58.147288754182696</v>
      </c>
      <c r="C100" s="97">
        <v>55.925664832422662</v>
      </c>
      <c r="D100" s="97">
        <v>54.760606387273043</v>
      </c>
      <c r="E100" s="97">
        <v>53.639786926299351</v>
      </c>
      <c r="F100" s="97">
        <v>52.810292760539234</v>
      </c>
      <c r="G100" s="97">
        <v>51.885069863158513</v>
      </c>
      <c r="H100" s="97">
        <v>51.046537802433463</v>
      </c>
      <c r="I100" s="97">
        <v>50.321567353330771</v>
      </c>
      <c r="J100" s="97">
        <v>49.652431274393813</v>
      </c>
      <c r="K100" s="97">
        <v>49.012293459371961</v>
      </c>
      <c r="L100" s="97">
        <v>48.372316798452196</v>
      </c>
      <c r="M100" s="97">
        <v>47.783824203165523</v>
      </c>
      <c r="N100" s="97">
        <v>47.235812379250184</v>
      </c>
      <c r="O100" s="97">
        <v>46.990362511525376</v>
      </c>
      <c r="P100" s="97">
        <v>46.52622088033668</v>
      </c>
      <c r="Q100" s="97">
        <v>46.183683163315266</v>
      </c>
      <c r="R100" s="97">
        <v>45.869461751853692</v>
      </c>
      <c r="S100" s="97">
        <v>45.462743345461881</v>
      </c>
      <c r="T100" s="97">
        <v>45.06458229491254</v>
      </c>
      <c r="U100" s="97">
        <v>44.424449351805698</v>
      </c>
      <c r="V100" s="97">
        <v>43.680443790605977</v>
      </c>
      <c r="W100" s="97">
        <v>42.826714594803953</v>
      </c>
      <c r="X100" s="97">
        <v>41.748835954003013</v>
      </c>
      <c r="Y100" s="97">
        <v>40.553618546600632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X101" s="97">
        <v>0</v>
      </c>
      <c r="Y101" s="97">
        <v>0</v>
      </c>
      <c r="DA101" s="175" t="s">
        <v>875</v>
      </c>
    </row>
    <row r="102" spans="1:105" ht="11.45" customHeight="1" x14ac:dyDescent="0.25">
      <c r="A102" s="111" t="s">
        <v>113</v>
      </c>
      <c r="B102" s="97">
        <v>0</v>
      </c>
      <c r="C102" s="97">
        <v>40.332722191053456</v>
      </c>
      <c r="D102" s="97">
        <v>40.310886090384798</v>
      </c>
      <c r="E102" s="97">
        <v>40.295406892955711</v>
      </c>
      <c r="F102" s="97">
        <v>40.295287252184615</v>
      </c>
      <c r="G102" s="97">
        <v>40.26986117486004</v>
      </c>
      <c r="H102" s="97">
        <v>40.239417381353334</v>
      </c>
      <c r="I102" s="97">
        <v>40.121276532954887</v>
      </c>
      <c r="J102" s="97">
        <v>40.032321866194508</v>
      </c>
      <c r="K102" s="97">
        <v>40.026091059300747</v>
      </c>
      <c r="L102" s="97">
        <v>40.017728897550946</v>
      </c>
      <c r="M102" s="97">
        <v>39.959259951258659</v>
      </c>
      <c r="N102" s="97">
        <v>39.769724508422897</v>
      </c>
      <c r="O102" s="97">
        <v>39.747248935910775</v>
      </c>
      <c r="P102" s="97">
        <v>39.323883624343445</v>
      </c>
      <c r="Q102" s="97">
        <v>38.709257742370532</v>
      </c>
      <c r="R102" s="97">
        <v>38.263427792632434</v>
      </c>
      <c r="S102" s="97">
        <v>38.15596183528266</v>
      </c>
      <c r="T102" s="97">
        <v>37.366130058831821</v>
      </c>
      <c r="U102" s="97">
        <v>36.861848832658659</v>
      </c>
      <c r="V102" s="97">
        <v>36.432416203422235</v>
      </c>
      <c r="W102" s="97">
        <v>36.101384631164535</v>
      </c>
      <c r="X102" s="97">
        <v>35.721078184402486</v>
      </c>
      <c r="Y102" s="97">
        <v>35.499845230825024</v>
      </c>
      <c r="DA102" s="175" t="s">
        <v>876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23.016022963176322</v>
      </c>
      <c r="P103" s="97">
        <v>23.016022963176322</v>
      </c>
      <c r="Q103" s="97">
        <v>23.022540182507225</v>
      </c>
      <c r="R103" s="97">
        <v>23.022558536924745</v>
      </c>
      <c r="S103" s="97">
        <v>23.038027832390309</v>
      </c>
      <c r="T103" s="97">
        <v>23.061077648306501</v>
      </c>
      <c r="U103" s="97">
        <v>23.089653073032377</v>
      </c>
      <c r="V103" s="97">
        <v>23.108725545476247</v>
      </c>
      <c r="W103" s="97">
        <v>23.123974681897927</v>
      </c>
      <c r="X103" s="97">
        <v>23.131546295643055</v>
      </c>
      <c r="Y103" s="97">
        <v>23.214300258305965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11.729293489565988</v>
      </c>
      <c r="C105" s="141">
        <v>11.395836366327778</v>
      </c>
      <c r="D105" s="141">
        <v>11.079637069566388</v>
      </c>
      <c r="E105" s="141">
        <v>10.759208506213826</v>
      </c>
      <c r="F105" s="141">
        <v>10.527714967009086</v>
      </c>
      <c r="G105" s="141">
        <v>10.292975174320473</v>
      </c>
      <c r="H105" s="141">
        <v>9.972334533121737</v>
      </c>
      <c r="I105" s="141">
        <v>9.6022182148002813</v>
      </c>
      <c r="J105" s="141">
        <v>9.3075694316574289</v>
      </c>
      <c r="K105" s="141">
        <v>9.0237018689460662</v>
      </c>
      <c r="L105" s="141">
        <v>8.7581570693891226</v>
      </c>
      <c r="M105" s="141">
        <v>8.4957585589889959</v>
      </c>
      <c r="N105" s="141">
        <v>8.4794284920853453</v>
      </c>
      <c r="O105" s="141">
        <v>8.2691068183858274</v>
      </c>
      <c r="P105" s="141">
        <v>8.0683643680281474</v>
      </c>
      <c r="Q105" s="141">
        <v>7.7688613701847302</v>
      </c>
      <c r="R105" s="141">
        <v>7.5595475158016168</v>
      </c>
      <c r="S105" s="141">
        <v>7.4998660310607361</v>
      </c>
      <c r="T105" s="141">
        <v>7.3911668804867556</v>
      </c>
      <c r="U105" s="141">
        <v>7.1995718913335178</v>
      </c>
      <c r="V105" s="141">
        <v>7.0389990057060459</v>
      </c>
      <c r="W105" s="141">
        <v>6.8455267280940841</v>
      </c>
      <c r="X105" s="141">
        <v>6.6626384714030165</v>
      </c>
      <c r="Y105" s="141">
        <v>6.4488507587318402</v>
      </c>
      <c r="DA105" s="174" t="s">
        <v>878</v>
      </c>
    </row>
    <row r="106" spans="1:105" ht="11.45" customHeight="1" x14ac:dyDescent="0.25">
      <c r="A106" s="111" t="s">
        <v>110</v>
      </c>
      <c r="B106" s="96">
        <v>11.877907700253365</v>
      </c>
      <c r="C106" s="96">
        <v>11.501353436492309</v>
      </c>
      <c r="D106" s="96">
        <v>11.136287041884746</v>
      </c>
      <c r="E106" s="96">
        <v>10.866200378730728</v>
      </c>
      <c r="F106" s="96">
        <v>10.654825139807627</v>
      </c>
      <c r="G106" s="96">
        <v>10.428648061383802</v>
      </c>
      <c r="H106" s="96">
        <v>10.192965361529877</v>
      </c>
      <c r="I106" s="96">
        <v>9.8318072967354073</v>
      </c>
      <c r="J106" s="96">
        <v>9.4979183049760714</v>
      </c>
      <c r="K106" s="96">
        <v>9.3264882548198447</v>
      </c>
      <c r="L106" s="96">
        <v>9.1030570273064715</v>
      </c>
      <c r="M106" s="96">
        <v>8.8825896775470863</v>
      </c>
      <c r="N106" s="96">
        <v>8.9226346697569117</v>
      </c>
      <c r="O106" s="96">
        <v>8.7707500809362706</v>
      </c>
      <c r="P106" s="96">
        <v>8.5223920229560282</v>
      </c>
      <c r="Q106" s="96">
        <v>8.1925581402999974</v>
      </c>
      <c r="R106" s="96">
        <v>7.8485618170798341</v>
      </c>
      <c r="S106" s="96">
        <v>7.8025697291112897</v>
      </c>
      <c r="T106" s="96">
        <v>7.6169674442164306</v>
      </c>
      <c r="U106" s="96">
        <v>7.2460609797532793</v>
      </c>
      <c r="V106" s="96">
        <v>6.970877221111988</v>
      </c>
      <c r="W106" s="96">
        <v>6.6733609241159648</v>
      </c>
      <c r="X106" s="96">
        <v>6.3937097793510622</v>
      </c>
      <c r="Y106" s="96">
        <v>6.1413288672895989</v>
      </c>
      <c r="DA106" s="171" t="s">
        <v>879</v>
      </c>
    </row>
    <row r="107" spans="1:105" ht="11.45" customHeight="1" x14ac:dyDescent="0.25">
      <c r="A107" s="111" t="s">
        <v>111</v>
      </c>
      <c r="B107" s="96">
        <v>10.682599743758871</v>
      </c>
      <c r="C107" s="96">
        <v>9.9717298094425981</v>
      </c>
      <c r="D107" s="96">
        <v>9.4887580923229038</v>
      </c>
      <c r="E107" s="96">
        <v>8.8963443237184574</v>
      </c>
      <c r="F107" s="96">
        <v>8.6226491692027611</v>
      </c>
      <c r="G107" s="96">
        <v>8.4138519215479377</v>
      </c>
      <c r="H107" s="96">
        <v>8.1412402720259909</v>
      </c>
      <c r="I107" s="96">
        <v>7.9515188720909737</v>
      </c>
      <c r="J107" s="96">
        <v>7.83297430639968</v>
      </c>
      <c r="K107" s="96">
        <v>7.6860115980651509</v>
      </c>
      <c r="L107" s="96">
        <v>7.6615950837655351</v>
      </c>
      <c r="M107" s="96">
        <v>7.5844103727353946</v>
      </c>
      <c r="N107" s="96">
        <v>7.5191373637105272</v>
      </c>
      <c r="O107" s="96">
        <v>7.4586115917864477</v>
      </c>
      <c r="P107" s="96">
        <v>7.407714459634632</v>
      </c>
      <c r="Q107" s="96">
        <v>7.2416756358627481</v>
      </c>
      <c r="R107" s="96">
        <v>7.0895313560698288</v>
      </c>
      <c r="S107" s="96">
        <v>7.0021090415548661</v>
      </c>
      <c r="T107" s="96">
        <v>6.9335297787540497</v>
      </c>
      <c r="U107" s="96">
        <v>6.8600321241843751</v>
      </c>
      <c r="V107" s="96">
        <v>6.8048045880088628</v>
      </c>
      <c r="W107" s="96">
        <v>6.7253489142958109</v>
      </c>
      <c r="X107" s="96">
        <v>6.672005893735264</v>
      </c>
      <c r="Y107" s="96">
        <v>6.5064431659926827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0</v>
      </c>
      <c r="P108" s="96">
        <v>0</v>
      </c>
      <c r="Q108" s="96">
        <v>0</v>
      </c>
      <c r="R108" s="96">
        <v>0</v>
      </c>
      <c r="S108" s="96">
        <v>0</v>
      </c>
      <c r="T108" s="96">
        <v>0</v>
      </c>
      <c r="U108" s="96">
        <v>0</v>
      </c>
      <c r="V108" s="96">
        <v>0</v>
      </c>
      <c r="W108" s="96">
        <v>0</v>
      </c>
      <c r="X108" s="96">
        <v>0</v>
      </c>
      <c r="Y108" s="96">
        <v>0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X109" s="96">
        <v>0</v>
      </c>
      <c r="Y109" s="96">
        <v>0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0</v>
      </c>
      <c r="N110" s="96">
        <v>0</v>
      </c>
      <c r="O110" s="96">
        <v>0</v>
      </c>
      <c r="P110" s="96">
        <v>0</v>
      </c>
      <c r="Q110" s="96">
        <v>0</v>
      </c>
      <c r="R110" s="96">
        <v>0</v>
      </c>
      <c r="S110" s="96">
        <v>0</v>
      </c>
      <c r="T110" s="96">
        <v>0</v>
      </c>
      <c r="U110" s="96">
        <v>0</v>
      </c>
      <c r="V110" s="96">
        <v>0</v>
      </c>
      <c r="W110" s="96">
        <v>0</v>
      </c>
      <c r="X110" s="96">
        <v>0</v>
      </c>
      <c r="Y110" s="96">
        <v>0</v>
      </c>
      <c r="DA110" s="171" t="s">
        <v>883</v>
      </c>
    </row>
    <row r="111" spans="1:105" ht="11.45" customHeight="1" x14ac:dyDescent="0.25">
      <c r="A111" s="109" t="s">
        <v>154</v>
      </c>
      <c r="B111" s="130">
        <v>29.994743422522095</v>
      </c>
      <c r="C111" s="130">
        <v>29.890740926544655</v>
      </c>
      <c r="D111" s="130">
        <v>29.777898470449237</v>
      </c>
      <c r="E111" s="130">
        <v>29.711793062488873</v>
      </c>
      <c r="F111" s="130">
        <v>29.327985228489712</v>
      </c>
      <c r="G111" s="130">
        <v>29.221401315021211</v>
      </c>
      <c r="H111" s="130">
        <v>29.002701295507652</v>
      </c>
      <c r="I111" s="130">
        <v>28.892827927386914</v>
      </c>
      <c r="J111" s="130">
        <v>28.578363864924775</v>
      </c>
      <c r="K111" s="130">
        <v>28.456245311030123</v>
      </c>
      <c r="L111" s="130">
        <v>28.324900827786827</v>
      </c>
      <c r="M111" s="130">
        <v>28.171452528686178</v>
      </c>
      <c r="N111" s="130">
        <v>28.015769338192239</v>
      </c>
      <c r="O111" s="130">
        <v>27.857779078254516</v>
      </c>
      <c r="P111" s="130">
        <v>27.70125773575246</v>
      </c>
      <c r="Q111" s="130">
        <v>27.506005551119728</v>
      </c>
      <c r="R111" s="130">
        <v>27.272591979572574</v>
      </c>
      <c r="S111" s="130">
        <v>26.984636727643117</v>
      </c>
      <c r="T111" s="130">
        <v>26.595496053705734</v>
      </c>
      <c r="U111" s="130">
        <v>26.1528936077225</v>
      </c>
      <c r="V111" s="130">
        <v>25.627802903846806</v>
      </c>
      <c r="W111" s="130">
        <v>25.084575247650882</v>
      </c>
      <c r="X111" s="130">
        <v>24.371542961102936</v>
      </c>
      <c r="Y111" s="130">
        <v>23.566293424932432</v>
      </c>
      <c r="DA111" s="176" t="s">
        <v>884</v>
      </c>
    </row>
    <row r="112" spans="1:105" ht="11.45" customHeight="1" x14ac:dyDescent="0.25">
      <c r="A112" s="128" t="s">
        <v>27</v>
      </c>
      <c r="B112" s="97">
        <v>29.945252247766888</v>
      </c>
      <c r="C112" s="97">
        <v>29.841337794599099</v>
      </c>
      <c r="D112" s="97">
        <v>29.728880032822126</v>
      </c>
      <c r="E112" s="97">
        <v>29.66306559399407</v>
      </c>
      <c r="F112" s="97">
        <v>29.281901721037972</v>
      </c>
      <c r="G112" s="97">
        <v>29.168963773696145</v>
      </c>
      <c r="H112" s="97">
        <v>28.950561495524543</v>
      </c>
      <c r="I112" s="97">
        <v>28.84892310390515</v>
      </c>
      <c r="J112" s="97">
        <v>28.541038486020117</v>
      </c>
      <c r="K112" s="97">
        <v>28.421088546333586</v>
      </c>
      <c r="L112" s="97">
        <v>28.284555790582864</v>
      </c>
      <c r="M112" s="97">
        <v>28.13860776775806</v>
      </c>
      <c r="N112" s="97">
        <v>27.978355118867313</v>
      </c>
      <c r="O112" s="97">
        <v>27.815009489741374</v>
      </c>
      <c r="P112" s="97">
        <v>27.655043392267004</v>
      </c>
      <c r="Q112" s="97">
        <v>27.455491583939395</v>
      </c>
      <c r="R112" s="97">
        <v>27.218152163331251</v>
      </c>
      <c r="S112" s="97">
        <v>26.928001366070138</v>
      </c>
      <c r="T112" s="97">
        <v>26.523466974721249</v>
      </c>
      <c r="U112" s="97">
        <v>26.132915466541444</v>
      </c>
      <c r="V112" s="97">
        <v>25.605005227860747</v>
      </c>
      <c r="W112" s="97">
        <v>25.051532462902024</v>
      </c>
      <c r="X112" s="97">
        <v>24.306509420962314</v>
      </c>
      <c r="Y112" s="97">
        <v>23.456594161937396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36.372431837801145</v>
      </c>
      <c r="D113" s="98">
        <v>36.04970017908591</v>
      </c>
      <c r="E113" s="98">
        <v>35.792612216052021</v>
      </c>
      <c r="F113" s="98">
        <v>35.133622835709545</v>
      </c>
      <c r="G113" s="98">
        <v>34.835871006709873</v>
      </c>
      <c r="H113" s="98">
        <v>34.153060160026939</v>
      </c>
      <c r="I113" s="98">
        <v>33.904131462470417</v>
      </c>
      <c r="J113" s="98">
        <v>33.699637162850635</v>
      </c>
      <c r="K113" s="98">
        <v>33.495122479806646</v>
      </c>
      <c r="L113" s="98">
        <v>32.581637952812294</v>
      </c>
      <c r="M113" s="98">
        <v>32.101554583347088</v>
      </c>
      <c r="N113" s="98">
        <v>31.647686748314072</v>
      </c>
      <c r="O113" s="98">
        <v>31.109867250768652</v>
      </c>
      <c r="P113" s="98">
        <v>30.949232206146306</v>
      </c>
      <c r="Q113" s="98">
        <v>30.402497924545401</v>
      </c>
      <c r="R113" s="98">
        <v>29.878720760521208</v>
      </c>
      <c r="S113" s="98">
        <v>28.805148761987805</v>
      </c>
      <c r="T113" s="98">
        <v>28.685839950067958</v>
      </c>
      <c r="U113" s="98">
        <v>27.345710472067083</v>
      </c>
      <c r="V113" s="98">
        <v>26.463145459179387</v>
      </c>
      <c r="W113" s="98">
        <v>25.918429687889972</v>
      </c>
      <c r="X113" s="98">
        <v>25.756732150414713</v>
      </c>
      <c r="Y113" s="98">
        <v>25.638083515726862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1.0783152597997749</v>
      </c>
      <c r="C117" s="150">
        <f>IF(TrRoad_act!C59=0,0,TrRoad_ene!C62/TrRoad_tech!C90)</f>
        <v>1.1231714981473238</v>
      </c>
      <c r="D117" s="150">
        <f>IF(TrRoad_act!D59=0,0,TrRoad_ene!D62/TrRoad_tech!D90)</f>
        <v>1.1289158501401608</v>
      </c>
      <c r="E117" s="150">
        <f>IF(TrRoad_act!E59=0,0,TrRoad_ene!E62/TrRoad_tech!E90)</f>
        <v>1.13041506043347</v>
      </c>
      <c r="F117" s="150">
        <f>IF(TrRoad_act!F59=0,0,TrRoad_ene!F62/TrRoad_tech!F90)</f>
        <v>1.1117673067292007</v>
      </c>
      <c r="G117" s="150">
        <f>IF(TrRoad_act!G59=0,0,TrRoad_ene!G62/TrRoad_tech!G90)</f>
        <v>1.1354620979095129</v>
      </c>
      <c r="H117" s="150">
        <f>IF(TrRoad_act!H59=0,0,TrRoad_ene!H62/TrRoad_tech!H90)</f>
        <v>1.1102616728056385</v>
      </c>
      <c r="I117" s="150">
        <f>IF(TrRoad_act!I59=0,0,TrRoad_ene!I62/TrRoad_tech!I90)</f>
        <v>1.1046056116387979</v>
      </c>
      <c r="J117" s="150">
        <f>IF(TrRoad_act!J59=0,0,TrRoad_ene!J62/TrRoad_tech!J90)</f>
        <v>1.1302468090712201</v>
      </c>
      <c r="K117" s="150">
        <f>IF(TrRoad_act!K59=0,0,TrRoad_ene!K62/TrRoad_tech!K90)</f>
        <v>1.1538041139984117</v>
      </c>
      <c r="L117" s="150">
        <f>IF(TrRoad_act!L59=0,0,TrRoad_ene!L62/TrRoad_tech!L90)</f>
        <v>1.1627385936318595</v>
      </c>
      <c r="M117" s="150">
        <f>IF(TrRoad_act!M59=0,0,TrRoad_ene!M62/TrRoad_tech!M90)</f>
        <v>1.1676015962373865</v>
      </c>
      <c r="N117" s="150">
        <f>IF(TrRoad_act!N59=0,0,TrRoad_ene!N62/TrRoad_tech!N90)</f>
        <v>1.1575029574006404</v>
      </c>
      <c r="O117" s="150">
        <f>IF(TrRoad_act!O59=0,0,TrRoad_ene!O62/TrRoad_tech!O90)</f>
        <v>1.151595239876656</v>
      </c>
      <c r="P117" s="150">
        <f>IF(TrRoad_act!P59=0,0,TrRoad_ene!P62/TrRoad_tech!P90)</f>
        <v>1.122245544085327</v>
      </c>
      <c r="Q117" s="150">
        <f>IF(TrRoad_act!Q59=0,0,TrRoad_ene!Q62/TrRoad_tech!Q90)</f>
        <v>1.1283907522935943</v>
      </c>
      <c r="R117" s="150">
        <f>IF(TrRoad_act!R59=0,0,TrRoad_ene!R62/TrRoad_tech!R90)</f>
        <v>1.1342536770280893</v>
      </c>
      <c r="S117" s="150">
        <f>IF(TrRoad_act!S59=0,0,TrRoad_ene!S62/TrRoad_tech!S90)</f>
        <v>1.1375913305252636</v>
      </c>
      <c r="T117" s="150">
        <f>IF(TrRoad_act!T59=0,0,TrRoad_ene!T62/TrRoad_tech!T90)</f>
        <v>1.1487516641769087</v>
      </c>
      <c r="U117" s="150">
        <f>IF(TrRoad_act!U59=0,0,TrRoad_ene!U62/TrRoad_tech!U90)</f>
        <v>1.15460510272384</v>
      </c>
      <c r="V117" s="150">
        <f>IF(TrRoad_act!V59=0,0,TrRoad_ene!V62/TrRoad_tech!V90)</f>
        <v>1.1630724434657382</v>
      </c>
      <c r="W117" s="150">
        <f>IF(TrRoad_act!W59=0,0,TrRoad_ene!W62/TrRoad_tech!W90)</f>
        <v>1.1712935475414898</v>
      </c>
      <c r="X117" s="150">
        <f>IF(TrRoad_act!X59=0,0,TrRoad_ene!X62/TrRoad_tech!X90)</f>
        <v>1.1898649129518308</v>
      </c>
      <c r="Y117" s="150">
        <f>IF(TrRoad_act!Y59=0,0,TrRoad_ene!Y62/TrRoad_tech!Y90)</f>
        <v>1.196539244767449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1.0569207048369376</v>
      </c>
      <c r="C118" s="151">
        <f>IF(TrRoad_act!C60=0,0,TrRoad_ene!C63/TrRoad_tech!C91)</f>
        <v>1.0322918987205214</v>
      </c>
      <c r="D118" s="151">
        <f>IF(TrRoad_act!D60=0,0,TrRoad_ene!D63/TrRoad_tech!D91)</f>
        <v>1.0225970186555202</v>
      </c>
      <c r="E118" s="151">
        <f>IF(TrRoad_act!E60=0,0,TrRoad_ene!E63/TrRoad_tech!E91)</f>
        <v>1.0212954747339167</v>
      </c>
      <c r="F118" s="151">
        <f>IF(TrRoad_act!F60=0,0,TrRoad_ene!F63/TrRoad_tech!F91)</f>
        <v>0.99688629749530056</v>
      </c>
      <c r="G118" s="151">
        <f>IF(TrRoad_act!G60=0,0,TrRoad_ene!G63/TrRoad_tech!G91)</f>
        <v>0.98794382799921465</v>
      </c>
      <c r="H118" s="151">
        <f>IF(TrRoad_act!H60=0,0,TrRoad_ene!H63/TrRoad_tech!H91)</f>
        <v>0.97038312214785893</v>
      </c>
      <c r="I118" s="151">
        <f>IF(TrRoad_act!I60=0,0,TrRoad_ene!I63/TrRoad_tech!I91)</f>
        <v>0.9777700146521483</v>
      </c>
      <c r="J118" s="151">
        <f>IF(TrRoad_act!J60=0,0,TrRoad_ene!J63/TrRoad_tech!J91)</f>
        <v>0.91571042064233299</v>
      </c>
      <c r="K118" s="151">
        <f>IF(TrRoad_act!K60=0,0,TrRoad_ene!K63/TrRoad_tech!K91)</f>
        <v>0.94048794196365748</v>
      </c>
      <c r="L118" s="151">
        <f>IF(TrRoad_act!L60=0,0,TrRoad_ene!L63/TrRoad_tech!L91)</f>
        <v>0.87158746276028343</v>
      </c>
      <c r="M118" s="151">
        <f>IF(TrRoad_act!M60=0,0,TrRoad_ene!M63/TrRoad_tech!M91)</f>
        <v>0.90284408372016067</v>
      </c>
      <c r="N118" s="151">
        <f>IF(TrRoad_act!N60=0,0,TrRoad_ene!N63/TrRoad_tech!N91)</f>
        <v>0.89122705470739239</v>
      </c>
      <c r="O118" s="151">
        <f>IF(TrRoad_act!O60=0,0,TrRoad_ene!O63/TrRoad_tech!O91)</f>
        <v>0.87814603730745133</v>
      </c>
      <c r="P118" s="151">
        <f>IF(TrRoad_act!P60=0,0,TrRoad_ene!P63/TrRoad_tech!P91)</f>
        <v>0.86811140225727623</v>
      </c>
      <c r="Q118" s="151">
        <f>IF(TrRoad_act!Q60=0,0,TrRoad_ene!Q63/TrRoad_tech!Q91)</f>
        <v>0.91896554147624865</v>
      </c>
      <c r="R118" s="151">
        <f>IF(TrRoad_act!R60=0,0,TrRoad_ene!R63/TrRoad_tech!R91)</f>
        <v>0.91959267806700506</v>
      </c>
      <c r="S118" s="151">
        <f>IF(TrRoad_act!S60=0,0,TrRoad_ene!S63/TrRoad_tech!S91)</f>
        <v>0.91918466887620232</v>
      </c>
      <c r="T118" s="151">
        <f>IF(TrRoad_act!T60=0,0,TrRoad_ene!T63/TrRoad_tech!T91)</f>
        <v>0.91509013151487328</v>
      </c>
      <c r="U118" s="151">
        <f>IF(TrRoad_act!U60=0,0,TrRoad_ene!U63/TrRoad_tech!U91)</f>
        <v>0.93354714411557349</v>
      </c>
      <c r="V118" s="151">
        <f>IF(TrRoad_act!V60=0,0,TrRoad_ene!V63/TrRoad_tech!V91)</f>
        <v>0.83492127578614594</v>
      </c>
      <c r="W118" s="151">
        <f>IF(TrRoad_act!W60=0,0,TrRoad_ene!W63/TrRoad_tech!W91)</f>
        <v>0.92218996576806755</v>
      </c>
      <c r="X118" s="151">
        <f>IF(TrRoad_act!X60=0,0,TrRoad_ene!X63/TrRoad_tech!X91)</f>
        <v>0.97639923474156631</v>
      </c>
      <c r="Y118" s="151">
        <f>IF(TrRoad_act!Y60=0,0,TrRoad_ene!Y63/TrRoad_tech!Y91)</f>
        <v>1.0501067654641174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1.0716005099050723</v>
      </c>
      <c r="C119" s="91">
        <f>IF(TrRoad_act!C61=0,0,TrRoad_ene!C64/TrRoad_tech!C92)</f>
        <v>1.0490294598897747</v>
      </c>
      <c r="D119" s="91">
        <f>IF(TrRoad_act!D61=0,0,TrRoad_ene!D64/TrRoad_tech!D92)</f>
        <v>1.0401855549046106</v>
      </c>
      <c r="E119" s="91">
        <f>IF(TrRoad_act!E61=0,0,TrRoad_ene!E64/TrRoad_tech!E92)</f>
        <v>1.0413649778759442</v>
      </c>
      <c r="F119" s="91">
        <f>IF(TrRoad_act!F61=0,0,TrRoad_ene!F64/TrRoad_tech!F92)</f>
        <v>1.0146395062678395</v>
      </c>
      <c r="G119" s="91">
        <f>IF(TrRoad_act!G61=0,0,TrRoad_ene!G64/TrRoad_tech!G92)</f>
        <v>1.0053427098259728</v>
      </c>
      <c r="H119" s="91">
        <f>IF(TrRoad_act!H61=0,0,TrRoad_ene!H64/TrRoad_tech!H92)</f>
        <v>0.98748971562272503</v>
      </c>
      <c r="I119" s="91">
        <f>IF(TrRoad_act!I61=0,0,TrRoad_ene!I64/TrRoad_tech!I92)</f>
        <v>0.99414550368379029</v>
      </c>
      <c r="J119" s="91">
        <f>IF(TrRoad_act!J61=0,0,TrRoad_ene!J64/TrRoad_tech!J92)</f>
        <v>0.93005681764666226</v>
      </c>
      <c r="K119" s="91">
        <f>IF(TrRoad_act!K61=0,0,TrRoad_ene!K64/TrRoad_tech!K92)</f>
        <v>0.95279587352776396</v>
      </c>
      <c r="L119" s="91">
        <f>IF(TrRoad_act!L61=0,0,TrRoad_ene!L64/TrRoad_tech!L92)</f>
        <v>0.87755153559907861</v>
      </c>
      <c r="M119" s="91">
        <f>IF(TrRoad_act!M61=0,0,TrRoad_ene!M64/TrRoad_tech!M92)</f>
        <v>0.88112430056960112</v>
      </c>
      <c r="N119" s="91">
        <f>IF(TrRoad_act!N61=0,0,TrRoad_ene!N64/TrRoad_tech!N92)</f>
        <v>0.8842558125921075</v>
      </c>
      <c r="O119" s="91">
        <f>IF(TrRoad_act!O61=0,0,TrRoad_ene!O64/TrRoad_tech!O92)</f>
        <v>0.87872269112215884</v>
      </c>
      <c r="P119" s="91">
        <f>IF(TrRoad_act!P61=0,0,TrRoad_ene!P64/TrRoad_tech!P92)</f>
        <v>0.87897788312331682</v>
      </c>
      <c r="Q119" s="91">
        <f>IF(TrRoad_act!Q61=0,0,TrRoad_ene!Q64/TrRoad_tech!Q92)</f>
        <v>0.87762546155143051</v>
      </c>
      <c r="R119" s="91">
        <f>IF(TrRoad_act!R61=0,0,TrRoad_ene!R64/TrRoad_tech!R92)</f>
        <v>0.88152995212837248</v>
      </c>
      <c r="S119" s="91">
        <f>IF(TrRoad_act!S61=0,0,TrRoad_ene!S64/TrRoad_tech!S92)</f>
        <v>0.87610205800004859</v>
      </c>
      <c r="T119" s="91">
        <f>IF(TrRoad_act!T61=0,0,TrRoad_ene!T64/TrRoad_tech!T92)</f>
        <v>0.87989037454711483</v>
      </c>
      <c r="U119" s="91">
        <f>IF(TrRoad_act!U61=0,0,TrRoad_ene!U64/TrRoad_tech!U92)</f>
        <v>0.90267109793582967</v>
      </c>
      <c r="V119" s="91">
        <f>IF(TrRoad_act!V61=0,0,TrRoad_ene!V64/TrRoad_tech!V92)</f>
        <v>0.8185911978882735</v>
      </c>
      <c r="W119" s="91">
        <f>IF(TrRoad_act!W61=0,0,TrRoad_ene!W64/TrRoad_tech!W92)</f>
        <v>0.89706258660513705</v>
      </c>
      <c r="X119" s="91">
        <f>IF(TrRoad_act!X61=0,0,TrRoad_ene!X64/TrRoad_tech!X92)</f>
        <v>0.93943079426880716</v>
      </c>
      <c r="Y119" s="91">
        <f>IF(TrRoad_act!Y61=0,0,TrRoad_ene!Y64/TrRoad_tech!Y92)</f>
        <v>0.99174330600789584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0.85737467775363652</v>
      </c>
      <c r="C120" s="91">
        <f>IF(TrRoad_act!C62=0,0,TrRoad_ene!C65/TrRoad_tech!C93)</f>
        <v>0.85315904944822607</v>
      </c>
      <c r="D120" s="91">
        <f>IF(TrRoad_act!D62=0,0,TrRoad_ene!D65/TrRoad_tech!D93)</f>
        <v>0.84450687343827024</v>
      </c>
      <c r="E120" s="91">
        <f>IF(TrRoad_act!E62=0,0,TrRoad_ene!E65/TrRoad_tech!E93)</f>
        <v>0.84598783734242233</v>
      </c>
      <c r="F120" s="91">
        <f>IF(TrRoad_act!F62=0,0,TrRoad_ene!F65/TrRoad_tech!F93)</f>
        <v>0.84315532752598576</v>
      </c>
      <c r="G120" s="91">
        <f>IF(TrRoad_act!G62=0,0,TrRoad_ene!G65/TrRoad_tech!G93)</f>
        <v>0.84886865582305138</v>
      </c>
      <c r="H120" s="91">
        <f>IF(TrRoad_act!H62=0,0,TrRoad_ene!H65/TrRoad_tech!H93)</f>
        <v>0.854402754977034</v>
      </c>
      <c r="I120" s="91">
        <f>IF(TrRoad_act!I62=0,0,TrRoad_ene!I65/TrRoad_tech!I93)</f>
        <v>0.88869687009780463</v>
      </c>
      <c r="J120" s="91">
        <f>IF(TrRoad_act!J62=0,0,TrRoad_ene!J65/TrRoad_tech!J93)</f>
        <v>0.84876200076717356</v>
      </c>
      <c r="K120" s="91">
        <f>IF(TrRoad_act!K62=0,0,TrRoad_ene!K65/TrRoad_tech!K93)</f>
        <v>0.9429310116476961</v>
      </c>
      <c r="L120" s="91">
        <f>IF(TrRoad_act!L62=0,0,TrRoad_ene!L65/TrRoad_tech!L93)</f>
        <v>0.95595010859101504</v>
      </c>
      <c r="M120" s="91">
        <f>IF(TrRoad_act!M62=0,0,TrRoad_ene!M65/TrRoad_tech!M93)</f>
        <v>0.9973746266847463</v>
      </c>
      <c r="N120" s="91">
        <f>IF(TrRoad_act!N62=0,0,TrRoad_ene!N65/TrRoad_tech!N93)</f>
        <v>1.1365874041568753</v>
      </c>
      <c r="O120" s="91">
        <f>IF(TrRoad_act!O62=0,0,TrRoad_ene!O65/TrRoad_tech!O93)</f>
        <v>0.75779706690493243</v>
      </c>
      <c r="P120" s="91">
        <f>IF(TrRoad_act!P62=0,0,TrRoad_ene!P65/TrRoad_tech!P93)</f>
        <v>0.70886242213479278</v>
      </c>
      <c r="Q120" s="91">
        <f>IF(TrRoad_act!Q62=0,0,TrRoad_ene!Q65/TrRoad_tech!Q93)</f>
        <v>1.506156265413827</v>
      </c>
      <c r="R120" s="91">
        <f>IF(TrRoad_act!R62=0,0,TrRoad_ene!R65/TrRoad_tech!R93)</f>
        <v>1.5164564680906594</v>
      </c>
      <c r="S120" s="91">
        <f>IF(TrRoad_act!S62=0,0,TrRoad_ene!S65/TrRoad_tech!S93)</f>
        <v>1.5534423200761327</v>
      </c>
      <c r="T120" s="91">
        <f>IF(TrRoad_act!T62=0,0,TrRoad_ene!T65/TrRoad_tech!T93)</f>
        <v>1.4290282358294237</v>
      </c>
      <c r="U120" s="91">
        <f>IF(TrRoad_act!U62=0,0,TrRoad_ene!U65/TrRoad_tech!U93)</f>
        <v>1.3900159529503475</v>
      </c>
      <c r="V120" s="91">
        <f>IF(TrRoad_act!V62=0,0,TrRoad_ene!V65/TrRoad_tech!V93)</f>
        <v>1.1237179058268367</v>
      </c>
      <c r="W120" s="91">
        <f>IF(TrRoad_act!W62=0,0,TrRoad_ene!W65/TrRoad_tech!W93)</f>
        <v>1.3244623258980508</v>
      </c>
      <c r="X120" s="91">
        <f>IF(TrRoad_act!X62=0,0,TrRoad_ene!X65/TrRoad_tech!X93)</f>
        <v>1.4488919075304714</v>
      </c>
      <c r="Y120" s="91">
        <f>IF(TrRoad_act!Y62=0,0,TrRoad_ene!Y65/TrRoad_tech!Y93)</f>
        <v>1.6379604220133794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1.1450981103874649</v>
      </c>
      <c r="C121" s="91">
        <f>IF(TrRoad_act!C63=0,0,TrRoad_ene!C66/TrRoad_tech!C94)</f>
        <v>1.2507853493790235</v>
      </c>
      <c r="D121" s="91">
        <f>IF(TrRoad_act!D63=0,0,TrRoad_ene!D66/TrRoad_tech!D94)</f>
        <v>1.2774836361636972</v>
      </c>
      <c r="E121" s="91">
        <f>IF(TrRoad_act!E63=0,0,TrRoad_ene!E66/TrRoad_tech!E94)</f>
        <v>1.1522649886239764</v>
      </c>
      <c r="F121" s="91">
        <f>IF(TrRoad_act!F63=0,0,TrRoad_ene!F66/TrRoad_tech!F94)</f>
        <v>1.1551826137477794</v>
      </c>
      <c r="G121" s="91">
        <f>IF(TrRoad_act!G63=0,0,TrRoad_ene!G66/TrRoad_tech!G94)</f>
        <v>1.1565265849500732</v>
      </c>
      <c r="H121" s="91">
        <f>IF(TrRoad_act!H63=0,0,TrRoad_ene!H66/TrRoad_tech!H94)</f>
        <v>1.1476737992482173</v>
      </c>
      <c r="I121" s="91">
        <f>IF(TrRoad_act!I63=0,0,TrRoad_ene!I66/TrRoad_tech!I94)</f>
        <v>1.1273582811983685</v>
      </c>
      <c r="J121" s="91">
        <f>IF(TrRoad_act!J63=0,0,TrRoad_ene!J66/TrRoad_tech!J94)</f>
        <v>1.1127836898552597</v>
      </c>
      <c r="K121" s="91">
        <f>IF(TrRoad_act!K63=0,0,TrRoad_ene!K66/TrRoad_tech!K94)</f>
        <v>1.0465696830219295</v>
      </c>
      <c r="L121" s="91">
        <f>IF(TrRoad_act!L63=0,0,TrRoad_ene!L66/TrRoad_tech!L94)</f>
        <v>1.0432630941693761</v>
      </c>
      <c r="M121" s="91">
        <f>IF(TrRoad_act!M63=0,0,TrRoad_ene!M66/TrRoad_tech!M94)</f>
        <v>1.7224862485830741</v>
      </c>
      <c r="N121" s="91">
        <f>IF(TrRoad_act!N63=0,0,TrRoad_ene!N66/TrRoad_tech!N94)</f>
        <v>1.0503419948363899</v>
      </c>
      <c r="O121" s="91">
        <f>IF(TrRoad_act!O63=0,0,TrRoad_ene!O66/TrRoad_tech!O94)</f>
        <v>1.0652289803339485</v>
      </c>
      <c r="P121" s="91">
        <f>IF(TrRoad_act!P63=0,0,TrRoad_ene!P66/TrRoad_tech!P94)</f>
        <v>1.0712836802980945</v>
      </c>
      <c r="Q121" s="91">
        <f>IF(TrRoad_act!Q63=0,0,TrRoad_ene!Q66/TrRoad_tech!Q94)</f>
        <v>1.0974390271446295</v>
      </c>
      <c r="R121" s="91">
        <f>IF(TrRoad_act!R63=0,0,TrRoad_ene!R66/TrRoad_tech!R94)</f>
        <v>1.0484524428089914</v>
      </c>
      <c r="S121" s="91">
        <f>IF(TrRoad_act!S63=0,0,TrRoad_ene!S66/TrRoad_tech!S94)</f>
        <v>1.0345128058708881</v>
      </c>
      <c r="T121" s="91">
        <f>IF(TrRoad_act!T63=0,0,TrRoad_ene!T66/TrRoad_tech!T94)</f>
        <v>1.0332161970634384</v>
      </c>
      <c r="U121" s="91">
        <f>IF(TrRoad_act!U63=0,0,TrRoad_ene!U66/TrRoad_tech!U94)</f>
        <v>1.0491985730647417</v>
      </c>
      <c r="V121" s="91">
        <f>IF(TrRoad_act!V63=0,0,TrRoad_ene!V66/TrRoad_tech!V94)</f>
        <v>1.0460477848836187</v>
      </c>
      <c r="W121" s="91">
        <f>IF(TrRoad_act!W63=0,0,TrRoad_ene!W66/TrRoad_tech!W94)</f>
        <v>1.0506620407690959</v>
      </c>
      <c r="X121" s="91">
        <f>IF(TrRoad_act!X63=0,0,TrRoad_ene!X66/TrRoad_tech!X94)</f>
        <v>1.0511241921340924</v>
      </c>
      <c r="Y121" s="91">
        <f>IF(TrRoad_act!Y63=0,0,TrRoad_ene!Y66/TrRoad_tech!Y94)</f>
        <v>1.0519973806234528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1.0288888888925898</v>
      </c>
      <c r="D122" s="91">
        <f>IF(TrRoad_act!D64=0,0,TrRoad_ene!D67/TrRoad_tech!D95)</f>
        <v>1.0294721682365613</v>
      </c>
      <c r="E122" s="91">
        <f>IF(TrRoad_act!E64=0,0,TrRoad_ene!E67/TrRoad_tech!E95)</f>
        <v>1.0297646428184128</v>
      </c>
      <c r="F122" s="91">
        <f>IF(TrRoad_act!F64=0,0,TrRoad_ene!F67/TrRoad_tech!F95)</f>
        <v>1.0298154613901345</v>
      </c>
      <c r="G122" s="91">
        <f>IF(TrRoad_act!G64=0,0,TrRoad_ene!G67/TrRoad_tech!G95)</f>
        <v>1.0307419919139695</v>
      </c>
      <c r="H122" s="91">
        <f>IF(TrRoad_act!H64=0,0,TrRoad_ene!H67/TrRoad_tech!H95)</f>
        <v>1.0314754322452875</v>
      </c>
      <c r="I122" s="91">
        <f>IF(TrRoad_act!I64=0,0,TrRoad_ene!I67/TrRoad_tech!I95)</f>
        <v>1.0334656416865422</v>
      </c>
      <c r="J122" s="91">
        <f>IF(TrRoad_act!J64=0,0,TrRoad_ene!J67/TrRoad_tech!J95)</f>
        <v>1.0337792936954417</v>
      </c>
      <c r="K122" s="91">
        <f>IF(TrRoad_act!K64=0,0,TrRoad_ene!K67/TrRoad_tech!K95)</f>
        <v>1.0389822924714553</v>
      </c>
      <c r="L122" s="91">
        <f>IF(TrRoad_act!L64=0,0,TrRoad_ene!L67/TrRoad_tech!L95)</f>
        <v>1.0421752273672966</v>
      </c>
      <c r="M122" s="91">
        <f>IF(TrRoad_act!M64=0,0,TrRoad_ene!M67/TrRoad_tech!M95)</f>
        <v>1.0438461788575664</v>
      </c>
      <c r="N122" s="91">
        <f>IF(TrRoad_act!N64=0,0,TrRoad_ene!N67/TrRoad_tech!N95)</f>
        <v>1.0444880282726958</v>
      </c>
      <c r="O122" s="91">
        <f>IF(TrRoad_act!O64=0,0,TrRoad_ene!O67/TrRoad_tech!O95)</f>
        <v>1.0453135176548074</v>
      </c>
      <c r="P122" s="91">
        <f>IF(TrRoad_act!P64=0,0,TrRoad_ene!P67/TrRoad_tech!P95)</f>
        <v>1.0454432728850667</v>
      </c>
      <c r="Q122" s="91">
        <f>IF(TrRoad_act!Q64=0,0,TrRoad_ene!Q67/TrRoad_tech!Q95)</f>
        <v>1.0494709925073613</v>
      </c>
      <c r="R122" s="91">
        <f>IF(TrRoad_act!R64=0,0,TrRoad_ene!R67/TrRoad_tech!R95)</f>
        <v>1.051981242592595</v>
      </c>
      <c r="S122" s="91">
        <f>IF(TrRoad_act!S64=0,0,TrRoad_ene!S67/TrRoad_tech!S95)</f>
        <v>1.0533825884217918</v>
      </c>
      <c r="T122" s="91">
        <f>IF(TrRoad_act!T64=0,0,TrRoad_ene!T67/TrRoad_tech!T95)</f>
        <v>1.055749342037182</v>
      </c>
      <c r="U122" s="91">
        <f>IF(TrRoad_act!U64=0,0,TrRoad_ene!U67/TrRoad_tech!U95)</f>
        <v>1.0620100752242732</v>
      </c>
      <c r="V122" s="91">
        <f>IF(TrRoad_act!V64=0,0,TrRoad_ene!V67/TrRoad_tech!V95)</f>
        <v>1.0776048605977779</v>
      </c>
      <c r="W122" s="91">
        <f>IF(TrRoad_act!W64=0,0,TrRoad_ene!W67/TrRoad_tech!W95)</f>
        <v>1.090908669818824</v>
      </c>
      <c r="X122" s="91">
        <f>IF(TrRoad_act!X64=0,0,TrRoad_ene!X67/TrRoad_tech!X95)</f>
        <v>1.0935549489801022</v>
      </c>
      <c r="Y122" s="91">
        <f>IF(TrRoad_act!Y64=0,0,TrRoad_ene!Y67/TrRoad_tech!Y95)</f>
        <v>1.095806692127288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0.96795188794409204</v>
      </c>
      <c r="O123" s="91">
        <f>IF(TrRoad_act!O65=0,0,TrRoad_ene!O68/TrRoad_tech!O96)</f>
        <v>1.0177170381228475</v>
      </c>
      <c r="P123" s="91">
        <f>IF(TrRoad_act!P65=0,0,TrRoad_ene!P68/TrRoad_tech!P96)</f>
        <v>0.99640881751279953</v>
      </c>
      <c r="Q123" s="91">
        <f>IF(TrRoad_act!Q65=0,0,TrRoad_ene!Q68/TrRoad_tech!Q96)</f>
        <v>0.99203273628266309</v>
      </c>
      <c r="R123" s="91">
        <f>IF(TrRoad_act!R65=0,0,TrRoad_ene!R68/TrRoad_tech!R96)</f>
        <v>0.99869821857454333</v>
      </c>
      <c r="S123" s="91">
        <f>IF(TrRoad_act!S65=0,0,TrRoad_ene!S68/TrRoad_tech!S96)</f>
        <v>0.98852118538772993</v>
      </c>
      <c r="T123" s="91">
        <f>IF(TrRoad_act!T65=0,0,TrRoad_ene!T68/TrRoad_tech!T96)</f>
        <v>0.99046005735800569</v>
      </c>
      <c r="U123" s="91">
        <f>IF(TrRoad_act!U65=0,0,TrRoad_ene!U68/TrRoad_tech!U96)</f>
        <v>1.0028517862927833</v>
      </c>
      <c r="V123" s="91">
        <f>IF(TrRoad_act!V65=0,0,TrRoad_ene!V68/TrRoad_tech!V96)</f>
        <v>0.96811968715900065</v>
      </c>
      <c r="W123" s="91">
        <f>IF(TrRoad_act!W65=0,0,TrRoad_ene!W68/TrRoad_tech!W96)</f>
        <v>1.0182485473451157</v>
      </c>
      <c r="X123" s="91">
        <f>IF(TrRoad_act!X65=0,0,TrRoad_ene!X68/TrRoad_tech!X96)</f>
        <v>1.0396267104660641</v>
      </c>
      <c r="Y123" s="91">
        <f>IF(TrRoad_act!Y65=0,0,TrRoad_ene!Y68/TrRoad_tech!Y96)</f>
        <v>1.0653593956466656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0</v>
      </c>
      <c r="L124" s="91">
        <f>IF(TrRoad_act!L66=0,0,TrRoad_ene!L69/TrRoad_tech!L97)</f>
        <v>0</v>
      </c>
      <c r="M124" s="91">
        <f>IF(TrRoad_act!M66=0,0,TrRoad_ene!M69/TrRoad_tech!M97)</f>
        <v>0</v>
      </c>
      <c r="N124" s="91">
        <f>IF(TrRoad_act!N66=0,0,TrRoad_ene!N69/TrRoad_tech!N97)</f>
        <v>1.0655555555606799</v>
      </c>
      <c r="O124" s="91">
        <f>IF(TrRoad_act!O66=0,0,TrRoad_ene!O69/TrRoad_tech!O97)</f>
        <v>1.0711111111163001</v>
      </c>
      <c r="P124" s="91">
        <f>IF(TrRoad_act!P66=0,0,TrRoad_ene!P69/TrRoad_tech!P97)</f>
        <v>1.0766526314125229</v>
      </c>
      <c r="Q124" s="91">
        <f>IF(TrRoad_act!Q66=0,0,TrRoad_ene!Q69/TrRoad_tech!Q97)</f>
        <v>1.0799813374344343</v>
      </c>
      <c r="R124" s="91">
        <f>IF(TrRoad_act!R66=0,0,TrRoad_ene!R69/TrRoad_tech!R97)</f>
        <v>1.0834903662891044</v>
      </c>
      <c r="S124" s="91">
        <f>IF(TrRoad_act!S66=0,0,TrRoad_ene!S69/TrRoad_tech!S97)</f>
        <v>1.0862276797915673</v>
      </c>
      <c r="T124" s="91">
        <f>IF(TrRoad_act!T66=0,0,TrRoad_ene!T69/TrRoad_tech!T97)</f>
        <v>1.0896993873214136</v>
      </c>
      <c r="U124" s="91">
        <f>IF(TrRoad_act!U66=0,0,TrRoad_ene!U69/TrRoad_tech!U97)</f>
        <v>1.0936117821837719</v>
      </c>
      <c r="V124" s="91">
        <f>IF(TrRoad_act!V66=0,0,TrRoad_ene!V69/TrRoad_tech!V97)</f>
        <v>1.0964723117181516</v>
      </c>
      <c r="W124" s="91">
        <f>IF(TrRoad_act!W66=0,0,TrRoad_ene!W69/TrRoad_tech!W97)</f>
        <v>1.0982568774825394</v>
      </c>
      <c r="X124" s="91">
        <f>IF(TrRoad_act!X66=0,0,TrRoad_ene!X69/TrRoad_tech!X97)</f>
        <v>1.0990386670555528</v>
      </c>
      <c r="Y124" s="91">
        <f>IF(TrRoad_act!Y66=0,0,TrRoad_ene!Y69/TrRoad_tech!Y97)</f>
        <v>1.099934443314079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1.2491825716974172</v>
      </c>
      <c r="C125" s="151">
        <f>IF(TrRoad_act!C67=0,0,TrRoad_ene!C70/TrRoad_tech!C98)</f>
        <v>1.2254736866638278</v>
      </c>
      <c r="D125" s="151">
        <f>IF(TrRoad_act!D67=0,0,TrRoad_ene!D70/TrRoad_tech!D98)</f>
        <v>1.2167957230533402</v>
      </c>
      <c r="E125" s="151">
        <f>IF(TrRoad_act!E67=0,0,TrRoad_ene!E70/TrRoad_tech!E98)</f>
        <v>1.5796277783412485</v>
      </c>
      <c r="F125" s="151">
        <f>IF(TrRoad_act!F67=0,0,TrRoad_ene!F70/TrRoad_tech!F98)</f>
        <v>1.2170568627169422</v>
      </c>
      <c r="G125" s="151">
        <f>IF(TrRoad_act!G67=0,0,TrRoad_ene!G70/TrRoad_tech!G98)</f>
        <v>1.3773723362291646</v>
      </c>
      <c r="H125" s="151">
        <f>IF(TrRoad_act!H67=0,0,TrRoad_ene!H70/TrRoad_tech!H98)</f>
        <v>1.3278834549163046</v>
      </c>
      <c r="I125" s="151">
        <f>IF(TrRoad_act!I67=0,0,TrRoad_ene!I70/TrRoad_tech!I98)</f>
        <v>1.3878801486643004</v>
      </c>
      <c r="J125" s="151">
        <f>IF(TrRoad_act!J67=0,0,TrRoad_ene!J70/TrRoad_tech!J98)</f>
        <v>1.3236737762907658</v>
      </c>
      <c r="K125" s="151">
        <f>IF(TrRoad_act!K67=0,0,TrRoad_ene!K70/TrRoad_tech!K98)</f>
        <v>1.6332368432897302</v>
      </c>
      <c r="L125" s="151">
        <f>IF(TrRoad_act!L67=0,0,TrRoad_ene!L70/TrRoad_tech!L98)</f>
        <v>1.4477014152442245</v>
      </c>
      <c r="M125" s="151">
        <f>IF(TrRoad_act!M67=0,0,TrRoad_ene!M70/TrRoad_tech!M98)</f>
        <v>1.5523419152560765</v>
      </c>
      <c r="N125" s="151">
        <f>IF(TrRoad_act!N67=0,0,TrRoad_ene!N70/TrRoad_tech!N98)</f>
        <v>1.3097549362121892</v>
      </c>
      <c r="O125" s="151">
        <f>IF(TrRoad_act!O67=0,0,TrRoad_ene!O70/TrRoad_tech!O98)</f>
        <v>1.5019105474669856</v>
      </c>
      <c r="P125" s="151">
        <f>IF(TrRoad_act!P67=0,0,TrRoad_ene!P70/TrRoad_tech!P98)</f>
        <v>1.4724516179089799</v>
      </c>
      <c r="Q125" s="151">
        <f>IF(TrRoad_act!Q67=0,0,TrRoad_ene!Q70/TrRoad_tech!Q98)</f>
        <v>1.424367580441551</v>
      </c>
      <c r="R125" s="151">
        <f>IF(TrRoad_act!R67=0,0,TrRoad_ene!R70/TrRoad_tech!R98)</f>
        <v>1.4694825443663879</v>
      </c>
      <c r="S125" s="151">
        <f>IF(TrRoad_act!S67=0,0,TrRoad_ene!S70/TrRoad_tech!S98)</f>
        <v>1.5223731384433858</v>
      </c>
      <c r="T125" s="151">
        <f>IF(TrRoad_act!T67=0,0,TrRoad_ene!T70/TrRoad_tech!T98)</f>
        <v>1.5492977095662084</v>
      </c>
      <c r="U125" s="151">
        <f>IF(TrRoad_act!U67=0,0,TrRoad_ene!U70/TrRoad_tech!U98)</f>
        <v>1.6346519867342877</v>
      </c>
      <c r="V125" s="151">
        <f>IF(TrRoad_act!V67=0,0,TrRoad_ene!V70/TrRoad_tech!V98)</f>
        <v>1.6366055778053028</v>
      </c>
      <c r="W125" s="151">
        <f>IF(TrRoad_act!W67=0,0,TrRoad_ene!W70/TrRoad_tech!W98)</f>
        <v>1.6362704526639607</v>
      </c>
      <c r="X125" s="151">
        <f>IF(TrRoad_act!X67=0,0,TrRoad_ene!X70/TrRoad_tech!X98)</f>
        <v>1.7220431251801929</v>
      </c>
      <c r="Y125" s="151">
        <f>IF(TrRoad_act!Y67=0,0,TrRoad_ene!Y70/TrRoad_tech!Y98)</f>
        <v>1.8244108993384642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X126" s="93">
        <f>IF(TrRoad_act!X68=0,0,TrRoad_ene!X71/TrRoad_tech!X99)</f>
        <v>0</v>
      </c>
      <c r="Y126" s="93">
        <f>IF(TrRoad_act!Y68=0,0,TrRoad_ene!Y71/TrRoad_tech!Y99)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1.2491825716974172</v>
      </c>
      <c r="C127" s="93">
        <f>IF(TrRoad_act!C69=0,0,TrRoad_ene!C72/TrRoad_tech!C100)</f>
        <v>1.2466726987281413</v>
      </c>
      <c r="D127" s="93">
        <f>IF(TrRoad_act!D69=0,0,TrRoad_ene!D72/TrRoad_tech!D100)</f>
        <v>1.2470094789421948</v>
      </c>
      <c r="E127" s="93">
        <f>IF(TrRoad_act!E69=0,0,TrRoad_ene!E72/TrRoad_tech!E100)</f>
        <v>1.6335843665755567</v>
      </c>
      <c r="F127" s="93">
        <f>IF(TrRoad_act!F69=0,0,TrRoad_ene!F72/TrRoad_tech!F100)</f>
        <v>1.2569246438828865</v>
      </c>
      <c r="G127" s="93">
        <f>IF(TrRoad_act!G69=0,0,TrRoad_ene!G72/TrRoad_tech!G100)</f>
        <v>1.4269526817744285</v>
      </c>
      <c r="H127" s="93">
        <f>IF(TrRoad_act!H69=0,0,TrRoad_ene!H72/TrRoad_tech!H100)</f>
        <v>1.3749836951656673</v>
      </c>
      <c r="I127" s="93">
        <f>IF(TrRoad_act!I69=0,0,TrRoad_ene!I72/TrRoad_tech!I100)</f>
        <v>1.4375798797584183</v>
      </c>
      <c r="J127" s="93">
        <f>IF(TrRoad_act!J69=0,0,TrRoad_ene!J72/TrRoad_tech!J100)</f>
        <v>1.3674613335950301</v>
      </c>
      <c r="K127" s="93">
        <f>IF(TrRoad_act!K69=0,0,TrRoad_ene!K72/TrRoad_tech!K100)</f>
        <v>1.6868480014056602</v>
      </c>
      <c r="L127" s="93">
        <f>IF(TrRoad_act!L69=0,0,TrRoad_ene!L72/TrRoad_tech!L100)</f>
        <v>1.4854246824497315</v>
      </c>
      <c r="M127" s="93">
        <f>IF(TrRoad_act!M69=0,0,TrRoad_ene!M72/TrRoad_tech!M100)</f>
        <v>1.583772390632916</v>
      </c>
      <c r="N127" s="93">
        <f>IF(TrRoad_act!N69=0,0,TrRoad_ene!N72/TrRoad_tech!N100)</f>
        <v>1.3234720382633476</v>
      </c>
      <c r="O127" s="93">
        <f>IF(TrRoad_act!O69=0,0,TrRoad_ene!O72/TrRoad_tech!O100)</f>
        <v>1.533317950304157</v>
      </c>
      <c r="P127" s="93">
        <f>IF(TrRoad_act!P69=0,0,TrRoad_ene!P72/TrRoad_tech!P100)</f>
        <v>1.4968552474205807</v>
      </c>
      <c r="Q127" s="93">
        <f>IF(TrRoad_act!Q69=0,0,TrRoad_ene!Q72/TrRoad_tech!Q100)</f>
        <v>1.4464297033236315</v>
      </c>
      <c r="R127" s="93">
        <f>IF(TrRoad_act!R69=0,0,TrRoad_ene!R72/TrRoad_tech!R100)</f>
        <v>1.4844414896222029</v>
      </c>
      <c r="S127" s="93">
        <f>IF(TrRoad_act!S69=0,0,TrRoad_ene!S72/TrRoad_tech!S100)</f>
        <v>1.5549621566854885</v>
      </c>
      <c r="T127" s="93">
        <f>IF(TrRoad_act!T69=0,0,TrRoad_ene!T72/TrRoad_tech!T100)</f>
        <v>1.5857674388347953</v>
      </c>
      <c r="U127" s="93">
        <f>IF(TrRoad_act!U69=0,0,TrRoad_ene!U72/TrRoad_tech!U100)</f>
        <v>1.6761313143459635</v>
      </c>
      <c r="V127" s="93">
        <f>IF(TrRoad_act!V69=0,0,TrRoad_ene!V72/TrRoad_tech!V100)</f>
        <v>1.6888060509370586</v>
      </c>
      <c r="W127" s="93">
        <f>IF(TrRoad_act!W69=0,0,TrRoad_ene!W72/TrRoad_tech!W100)</f>
        <v>1.6910143074678374</v>
      </c>
      <c r="X127" s="93">
        <f>IF(TrRoad_act!X69=0,0,TrRoad_ene!X72/TrRoad_tech!X100)</f>
        <v>1.7965078178215375</v>
      </c>
      <c r="Y127" s="93">
        <f>IF(TrRoad_act!Y69=0,0,TrRoad_ene!Y72/TrRoad_tech!Y100)</f>
        <v>1.926159059099934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X128" s="93">
        <f>IF(TrRoad_act!X70=0,0,TrRoad_ene!X73/TrRoad_tech!X101)</f>
        <v>0</v>
      </c>
      <c r="Y128" s="93">
        <f>IF(TrRoad_act!Y70=0,0,TrRoad_ene!Y73/TrRoad_tech!Y101)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1.0741267414452162</v>
      </c>
      <c r="D129" s="93">
        <f>IF(TrRoad_act!D71=0,0,TrRoad_ene!D74/TrRoad_tech!D102)</f>
        <v>1.0905616030736063</v>
      </c>
      <c r="E129" s="93">
        <f>IF(TrRoad_act!E71=0,0,TrRoad_ene!E74/TrRoad_tech!E102)</f>
        <v>1.0904193780675304</v>
      </c>
      <c r="F129" s="93">
        <f>IF(TrRoad_act!F71=0,0,TrRoad_ene!F74/TrRoad_tech!F102)</f>
        <v>1.0899641260709223</v>
      </c>
      <c r="G129" s="93">
        <f>IF(TrRoad_act!G71=0,0,TrRoad_ene!G74/TrRoad_tech!G102)</f>
        <v>1.1383540165247594</v>
      </c>
      <c r="H129" s="93">
        <f>IF(TrRoad_act!H71=0,0,TrRoad_ene!H74/TrRoad_tech!H102)</f>
        <v>1.1311474553057914</v>
      </c>
      <c r="I129" s="93">
        <f>IF(TrRoad_act!I71=0,0,TrRoad_ene!I74/TrRoad_tech!I102)</f>
        <v>1.1216366270509643</v>
      </c>
      <c r="J129" s="93">
        <f>IF(TrRoad_act!J71=0,0,TrRoad_ene!J74/TrRoad_tech!J102)</f>
        <v>1.0962094474952961</v>
      </c>
      <c r="K129" s="93">
        <f>IF(TrRoad_act!K71=0,0,TrRoad_ene!K74/TrRoad_tech!K102)</f>
        <v>1.1691936948738777</v>
      </c>
      <c r="L129" s="93">
        <f>IF(TrRoad_act!L71=0,0,TrRoad_ene!L74/TrRoad_tech!L102)</f>
        <v>1.1202950220297059</v>
      </c>
      <c r="M129" s="93">
        <f>IF(TrRoad_act!M71=0,0,TrRoad_ene!M74/TrRoad_tech!M102)</f>
        <v>1.2066284249584944</v>
      </c>
      <c r="N129" s="93">
        <f>IF(TrRoad_act!N71=0,0,TrRoad_ene!N74/TrRoad_tech!N102)</f>
        <v>1.2047073812992755</v>
      </c>
      <c r="O129" s="93">
        <f>IF(TrRoad_act!O71=0,0,TrRoad_ene!O74/TrRoad_tech!O102)</f>
        <v>1.1496053241994504</v>
      </c>
      <c r="P129" s="93">
        <f>IF(TrRoad_act!P71=0,0,TrRoad_ene!P74/TrRoad_tech!P102)</f>
        <v>1.173449877461141</v>
      </c>
      <c r="Q129" s="93">
        <f>IF(TrRoad_act!Q71=0,0,TrRoad_ene!Q74/TrRoad_tech!Q102)</f>
        <v>1.2463184008557913</v>
      </c>
      <c r="R129" s="93">
        <f>IF(TrRoad_act!R71=0,0,TrRoad_ene!R74/TrRoad_tech!R102)</f>
        <v>1.6359877674178396</v>
      </c>
      <c r="S129" s="93">
        <f>IF(TrRoad_act!S71=0,0,TrRoad_ene!S74/TrRoad_tech!S102)</f>
        <v>1.1328061910185416</v>
      </c>
      <c r="T129" s="93">
        <f>IF(TrRoad_act!T71=0,0,TrRoad_ene!T74/TrRoad_tech!T102)</f>
        <v>1.2202949988366827</v>
      </c>
      <c r="U129" s="93">
        <f>IF(TrRoad_act!U71=0,0,TrRoad_ene!U74/TrRoad_tech!U102)</f>
        <v>1.3702246576344703</v>
      </c>
      <c r="V129" s="93">
        <f>IF(TrRoad_act!V71=0,0,TrRoad_ene!V74/TrRoad_tech!V102)</f>
        <v>1.2231288231569812</v>
      </c>
      <c r="W129" s="93">
        <f>IF(TrRoad_act!W71=0,0,TrRoad_ene!W74/TrRoad_tech!W102)</f>
        <v>1.3141221984613547</v>
      </c>
      <c r="X129" s="93">
        <f>IF(TrRoad_act!X71=0,0,TrRoad_ene!X74/TrRoad_tech!X102)</f>
        <v>1.2701046279223804</v>
      </c>
      <c r="Y129" s="93">
        <f>IF(TrRoad_act!Y71=0,0,TrRoad_ene!Y74/TrRoad_tech!Y102)</f>
        <v>1.0923794857349471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0</v>
      </c>
      <c r="K130" s="93">
        <f>IF(TrRoad_act!K72=0,0,TrRoad_ene!K75/TrRoad_tech!K103)</f>
        <v>0</v>
      </c>
      <c r="L130" s="93">
        <f>IF(TrRoad_act!L72=0,0,TrRoad_ene!L75/TrRoad_tech!L103)</f>
        <v>0</v>
      </c>
      <c r="M130" s="93">
        <f>IF(TrRoad_act!M72=0,0,TrRoad_ene!M75/TrRoad_tech!M103)</f>
        <v>0</v>
      </c>
      <c r="N130" s="93">
        <f>IF(TrRoad_act!N72=0,0,TrRoad_ene!N75/TrRoad_tech!N103)</f>
        <v>0</v>
      </c>
      <c r="O130" s="93">
        <f>IF(TrRoad_act!O72=0,0,TrRoad_ene!O75/TrRoad_tech!O103)</f>
        <v>1.2560000000062246</v>
      </c>
      <c r="P130" s="93">
        <f>IF(TrRoad_act!P72=0,0,TrRoad_ene!P75/TrRoad_tech!P103)</f>
        <v>1.2560000000062246</v>
      </c>
      <c r="Q130" s="93">
        <f>IF(TrRoad_act!Q72=0,0,TrRoad_ene!Q75/TrRoad_tech!Q103)</f>
        <v>1.2561454197177766</v>
      </c>
      <c r="R130" s="93">
        <f>IF(TrRoad_act!R72=0,0,TrRoad_ene!R75/TrRoad_tech!R103)</f>
        <v>1.2561458291464407</v>
      </c>
      <c r="S130" s="93">
        <f>IF(TrRoad_act!S72=0,0,TrRoad_ene!S75/TrRoad_tech!S103)</f>
        <v>1.2566798913357016</v>
      </c>
      <c r="T130" s="93">
        <f>IF(TrRoad_act!T72=0,0,TrRoad_ene!T75/TrRoad_tech!T103)</f>
        <v>1.2576142825884151</v>
      </c>
      <c r="U130" s="93">
        <f>IF(TrRoad_act!U72=0,0,TrRoad_ene!U75/TrRoad_tech!U103)</f>
        <v>1.2589921366484349</v>
      </c>
      <c r="V130" s="93">
        <f>IF(TrRoad_act!V72=0,0,TrRoad_ene!V75/TrRoad_tech!V103)</f>
        <v>1.2601228404712366</v>
      </c>
      <c r="W130" s="93">
        <f>IF(TrRoad_act!W72=0,0,TrRoad_ene!W75/TrRoad_tech!W103)</f>
        <v>1.2613249021555473</v>
      </c>
      <c r="X130" s="93">
        <f>IF(TrRoad_act!X72=0,0,TrRoad_ene!X75/TrRoad_tech!X103)</f>
        <v>1.2622041961916606</v>
      </c>
      <c r="Y130" s="93">
        <f>IF(TrRoad_act!Y72=0,0,TrRoad_ene!Y75/TrRoad_tech!Y103)</f>
        <v>1.2706352908837761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1.0936700355962228</v>
      </c>
      <c r="C132" s="150">
        <f>IF(TrRoad_act!C74=0,0,TrRoad_ene!C77/TrRoad_tech!C105)</f>
        <v>1.0792877825581408</v>
      </c>
      <c r="D132" s="150">
        <f>IF(TrRoad_act!D74=0,0,TrRoad_ene!D77/TrRoad_tech!D105)</f>
        <v>1.068376058891481</v>
      </c>
      <c r="E132" s="150">
        <f>IF(TrRoad_act!E74=0,0,TrRoad_ene!E77/TrRoad_tech!E105)</f>
        <v>1.0575638251158133</v>
      </c>
      <c r="F132" s="150">
        <f>IF(TrRoad_act!F74=0,0,TrRoad_ene!F77/TrRoad_tech!F105)</f>
        <v>1.0510488491331313</v>
      </c>
      <c r="G132" s="150">
        <f>IF(TrRoad_act!G74=0,0,TrRoad_ene!G77/TrRoad_tech!G105)</f>
        <v>1.047670007640765</v>
      </c>
      <c r="H132" s="150">
        <f>IF(TrRoad_act!H74=0,0,TrRoad_ene!H77/TrRoad_tech!H105)</f>
        <v>1.0436358811825583</v>
      </c>
      <c r="I132" s="150">
        <f>IF(TrRoad_act!I74=0,0,TrRoad_ene!I77/TrRoad_tech!I105)</f>
        <v>1.0465166651681537</v>
      </c>
      <c r="J132" s="150">
        <f>IF(TrRoad_act!J74=0,0,TrRoad_ene!J77/TrRoad_tech!J105)</f>
        <v>1.0519076939535885</v>
      </c>
      <c r="K132" s="150">
        <f>IF(TrRoad_act!K74=0,0,TrRoad_ene!K77/TrRoad_tech!K105)</f>
        <v>1.0521325037486193</v>
      </c>
      <c r="L132" s="150">
        <f>IF(TrRoad_act!L74=0,0,TrRoad_ene!L77/TrRoad_tech!L105)</f>
        <v>1.0635097087102994</v>
      </c>
      <c r="M132" s="150">
        <f>IF(TrRoad_act!M74=0,0,TrRoad_ene!M77/TrRoad_tech!M105)</f>
        <v>1.075276254007637</v>
      </c>
      <c r="N132" s="150">
        <f>IF(TrRoad_act!N74=0,0,TrRoad_ene!N77/TrRoad_tech!N105)</f>
        <v>1.0749839852618115</v>
      </c>
      <c r="O132" s="150">
        <f>IF(TrRoad_act!O74=0,0,TrRoad_ene!O77/TrRoad_tech!O105)</f>
        <v>1.0821173984536998</v>
      </c>
      <c r="P132" s="150">
        <f>IF(TrRoad_act!P74=0,0,TrRoad_ene!P77/TrRoad_tech!P105)</f>
        <v>1.0965242239996074</v>
      </c>
      <c r="Q132" s="150">
        <f>IF(TrRoad_act!Q74=0,0,TrRoad_ene!Q77/TrRoad_tech!Q105)</f>
        <v>1.1129386133441352</v>
      </c>
      <c r="R132" s="150">
        <f>IF(TrRoad_act!R74=0,0,TrRoad_ene!R77/TrRoad_tech!R105)</f>
        <v>1.1228324381774246</v>
      </c>
      <c r="S132" s="150">
        <f>IF(TrRoad_act!S74=0,0,TrRoad_ene!S77/TrRoad_tech!S105)</f>
        <v>1.1304018229427226</v>
      </c>
      <c r="T132" s="150">
        <f>IF(TrRoad_act!T74=0,0,TrRoad_ene!T77/TrRoad_tech!T105)</f>
        <v>1.1431563439684371</v>
      </c>
      <c r="U132" s="150">
        <f>IF(TrRoad_act!U74=0,0,TrRoad_ene!U77/TrRoad_tech!U105)</f>
        <v>1.1533262107119151</v>
      </c>
      <c r="V132" s="150">
        <f>IF(TrRoad_act!V74=0,0,TrRoad_ene!V77/TrRoad_tech!V105)</f>
        <v>1.1674734668468785</v>
      </c>
      <c r="W132" s="150">
        <f>IF(TrRoad_act!W74=0,0,TrRoad_ene!W77/TrRoad_tech!W105)</f>
        <v>1.1844565131758475</v>
      </c>
      <c r="X132" s="150">
        <f>IF(TrRoad_act!X74=0,0,TrRoad_ene!X77/TrRoad_tech!X105)</f>
        <v>1.2022706760985553</v>
      </c>
      <c r="Y132" s="150">
        <f>IF(TrRoad_act!Y74=0,0,TrRoad_ene!Y77/TrRoad_tech!Y105)</f>
        <v>1.2245469870264916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1.1000016171132028</v>
      </c>
      <c r="D133" s="91">
        <f>IF(TrRoad_act!D75=0,0,TrRoad_ene!D78/TrRoad_tech!D106)</f>
        <v>1.1000056425349849</v>
      </c>
      <c r="E133" s="91">
        <f>IF(TrRoad_act!E75=0,0,TrRoad_ene!E78/TrRoad_tech!E106)</f>
        <v>1.1000110868379533</v>
      </c>
      <c r="F133" s="91">
        <f>IF(TrRoad_act!F75=0,0,TrRoad_ene!F78/TrRoad_tech!F106)</f>
        <v>1.1000177025505593</v>
      </c>
      <c r="G133" s="91">
        <f>IF(TrRoad_act!G75=0,0,TrRoad_ene!G78/TrRoad_tech!G106)</f>
        <v>1.1000284569873058</v>
      </c>
      <c r="H133" s="91">
        <f>IF(TrRoad_act!H75=0,0,TrRoad_ene!H78/TrRoad_tech!H106)</f>
        <v>1.1003079269214477</v>
      </c>
      <c r="I133" s="91">
        <f>IF(TrRoad_act!I75=0,0,TrRoad_ene!I78/TrRoad_tech!I106)</f>
        <v>1.1016406452215333</v>
      </c>
      <c r="J133" s="91">
        <f>IF(TrRoad_act!J75=0,0,TrRoad_ene!J78/TrRoad_tech!J106)</f>
        <v>1.1038252072249455</v>
      </c>
      <c r="K133" s="91">
        <f>IF(TrRoad_act!K75=0,0,TrRoad_ene!K78/TrRoad_tech!K106)</f>
        <v>1.1043641100247314</v>
      </c>
      <c r="L133" s="91">
        <f>IF(TrRoad_act!L75=0,0,TrRoad_ene!L78/TrRoad_tech!L106)</f>
        <v>1.1063425928656374</v>
      </c>
      <c r="M133" s="91">
        <f>IF(TrRoad_act!M75=0,0,TrRoad_ene!M78/TrRoad_tech!M106)</f>
        <v>1.1071119827942582</v>
      </c>
      <c r="N133" s="91">
        <f>IF(TrRoad_act!N75=0,0,TrRoad_ene!N78/TrRoad_tech!N106)</f>
        <v>1.1075407597692766</v>
      </c>
      <c r="O133" s="91">
        <f>IF(TrRoad_act!O75=0,0,TrRoad_ene!O78/TrRoad_tech!O106)</f>
        <v>1.1083792577520757</v>
      </c>
      <c r="P133" s="91">
        <f>IF(TrRoad_act!P75=0,0,TrRoad_ene!P78/TrRoad_tech!P106)</f>
        <v>1.1136510681184952</v>
      </c>
      <c r="Q133" s="91">
        <f>IF(TrRoad_act!Q75=0,0,TrRoad_ene!Q78/TrRoad_tech!Q106)</f>
        <v>1.1246118712235595</v>
      </c>
      <c r="R133" s="91">
        <f>IF(TrRoad_act!R75=0,0,TrRoad_ene!R78/TrRoad_tech!R106)</f>
        <v>1.1414308173542207</v>
      </c>
      <c r="S133" s="91">
        <f>IF(TrRoad_act!S75=0,0,TrRoad_ene!S78/TrRoad_tech!S106)</f>
        <v>1.1451130758762593</v>
      </c>
      <c r="T133" s="91">
        <f>IF(TrRoad_act!T75=0,0,TrRoad_ene!T78/TrRoad_tech!T106)</f>
        <v>1.1587176923088207</v>
      </c>
      <c r="U133" s="91">
        <f>IF(TrRoad_act!U75=0,0,TrRoad_ene!U78/TrRoad_tech!U106)</f>
        <v>1.1725408577968048</v>
      </c>
      <c r="V133" s="91">
        <f>IF(TrRoad_act!V75=0,0,TrRoad_ene!V78/TrRoad_tech!V106)</f>
        <v>1.1886576469481491</v>
      </c>
      <c r="W133" s="91">
        <f>IF(TrRoad_act!W75=0,0,TrRoad_ene!W78/TrRoad_tech!W106)</f>
        <v>1.2056476806792769</v>
      </c>
      <c r="X133" s="91">
        <f>IF(TrRoad_act!X75=0,0,TrRoad_ene!X78/TrRoad_tech!X106)</f>
        <v>1.2253419646924375</v>
      </c>
      <c r="Y133" s="91">
        <f>IF(TrRoad_act!Y75=0,0,TrRoad_ene!Y78/TrRoad_tech!Y106)</f>
        <v>1.2446683881190235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1.1000535774522557</v>
      </c>
      <c r="D134" s="91">
        <f>IF(TrRoad_act!D76=0,0,TrRoad_ene!D79/TrRoad_tech!D107)</f>
        <v>1.1001566595607215</v>
      </c>
      <c r="E134" s="91">
        <f>IF(TrRoad_act!E76=0,0,TrRoad_ene!E79/TrRoad_tech!E107)</f>
        <v>1.1004272533684365</v>
      </c>
      <c r="F134" s="91">
        <f>IF(TrRoad_act!F76=0,0,TrRoad_ene!F79/TrRoad_tech!F107)</f>
        <v>1.1006487805932297</v>
      </c>
      <c r="G134" s="91">
        <f>IF(TrRoad_act!G76=0,0,TrRoad_ene!G79/TrRoad_tech!G107)</f>
        <v>1.1009192243101069</v>
      </c>
      <c r="H134" s="91">
        <f>IF(TrRoad_act!H76=0,0,TrRoad_ene!H79/TrRoad_tech!H107)</f>
        <v>1.1023184857019002</v>
      </c>
      <c r="I134" s="91">
        <f>IF(TrRoad_act!I76=0,0,TrRoad_ene!I79/TrRoad_tech!I107)</f>
        <v>1.1043981247850616</v>
      </c>
      <c r="J134" s="91">
        <f>IF(TrRoad_act!J76=0,0,TrRoad_ene!J79/TrRoad_tech!J107)</f>
        <v>1.1056718218250423</v>
      </c>
      <c r="K134" s="91">
        <f>IF(TrRoad_act!K76=0,0,TrRoad_ene!K79/TrRoad_tech!K107)</f>
        <v>1.1106629876954024</v>
      </c>
      <c r="L134" s="91">
        <f>IF(TrRoad_act!L76=0,0,TrRoad_ene!L79/TrRoad_tech!L107)</f>
        <v>1.1156483156269155</v>
      </c>
      <c r="M134" s="91">
        <f>IF(TrRoad_act!M76=0,0,TrRoad_ene!M79/TrRoad_tech!M107)</f>
        <v>1.1173899661209956</v>
      </c>
      <c r="N134" s="91">
        <f>IF(TrRoad_act!N76=0,0,TrRoad_ene!N79/TrRoad_tech!N107)</f>
        <v>1.1192593603892749</v>
      </c>
      <c r="O134" s="91">
        <f>IF(TrRoad_act!O76=0,0,TrRoad_ene!O79/TrRoad_tech!O107)</f>
        <v>1.1292404948398305</v>
      </c>
      <c r="P134" s="91">
        <f>IF(TrRoad_act!P76=0,0,TrRoad_ene!P79/TrRoad_tech!P107)</f>
        <v>1.1361611504648332</v>
      </c>
      <c r="Q134" s="91">
        <f>IF(TrRoad_act!Q76=0,0,TrRoad_ene!Q79/TrRoad_tech!Q107)</f>
        <v>1.1531002199315388</v>
      </c>
      <c r="R134" s="91">
        <f>IF(TrRoad_act!R76=0,0,TrRoad_ene!R79/TrRoad_tech!R107)</f>
        <v>1.1642991163073257</v>
      </c>
      <c r="S134" s="91">
        <f>IF(TrRoad_act!S76=0,0,TrRoad_ene!S79/TrRoad_tech!S107)</f>
        <v>1.1747338037105777</v>
      </c>
      <c r="T134" s="91">
        <f>IF(TrRoad_act!T76=0,0,TrRoad_ene!T79/TrRoad_tech!T107)</f>
        <v>1.1824966057310129</v>
      </c>
      <c r="U134" s="91">
        <f>IF(TrRoad_act!U76=0,0,TrRoad_ene!U79/TrRoad_tech!U107)</f>
        <v>1.1912370005110975</v>
      </c>
      <c r="V134" s="91">
        <f>IF(TrRoad_act!V76=0,0,TrRoad_ene!V79/TrRoad_tech!V107)</f>
        <v>1.200250857408913</v>
      </c>
      <c r="W134" s="91">
        <f>IF(TrRoad_act!W76=0,0,TrRoad_ene!W79/TrRoad_tech!W107)</f>
        <v>1.2127631792084477</v>
      </c>
      <c r="X134" s="91">
        <f>IF(TrRoad_act!X76=0,0,TrRoad_ene!X79/TrRoad_tech!X107)</f>
        <v>1.2199333528717016</v>
      </c>
      <c r="Y134" s="91">
        <f>IF(TrRoad_act!Y76=0,0,TrRoad_ene!Y79/TrRoad_tech!Y107)</f>
        <v>1.2410861074830728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0</v>
      </c>
      <c r="P135" s="91">
        <f>IF(TrRoad_act!P77=0,0,TrRoad_ene!P80/TrRoad_tech!P108)</f>
        <v>0</v>
      </c>
      <c r="Q135" s="91">
        <f>IF(TrRoad_act!Q77=0,0,TrRoad_ene!Q80/TrRoad_tech!Q108)</f>
        <v>0</v>
      </c>
      <c r="R135" s="91">
        <f>IF(TrRoad_act!R77=0,0,TrRoad_ene!R80/TrRoad_tech!R108)</f>
        <v>0</v>
      </c>
      <c r="S135" s="91">
        <f>IF(TrRoad_act!S77=0,0,TrRoad_ene!S80/TrRoad_tech!S108)</f>
        <v>0</v>
      </c>
      <c r="T135" s="91">
        <f>IF(TrRoad_act!T77=0,0,TrRoad_ene!T80/TrRoad_tech!T108)</f>
        <v>0</v>
      </c>
      <c r="U135" s="91">
        <f>IF(TrRoad_act!U77=0,0,TrRoad_ene!U80/TrRoad_tech!U108)</f>
        <v>0</v>
      </c>
      <c r="V135" s="91">
        <f>IF(TrRoad_act!V77=0,0,TrRoad_ene!V80/TrRoad_tech!V108)</f>
        <v>0</v>
      </c>
      <c r="W135" s="91">
        <f>IF(TrRoad_act!W77=0,0,TrRoad_ene!W80/TrRoad_tech!W108)</f>
        <v>0</v>
      </c>
      <c r="X135" s="91">
        <f>IF(TrRoad_act!X77=0,0,TrRoad_ene!X80/TrRoad_tech!X108)</f>
        <v>0</v>
      </c>
      <c r="Y135" s="91">
        <f>IF(TrRoad_act!Y77=0,0,TrRoad_ene!Y80/TrRoad_tech!Y108)</f>
        <v>0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X136" s="91">
        <f>IF(TrRoad_act!X78=0,0,TrRoad_ene!X81/TrRoad_tech!X109)</f>
        <v>0</v>
      </c>
      <c r="Y136" s="91">
        <f>IF(TrRoad_act!Y78=0,0,TrRoad_ene!Y81/TrRoad_tech!Y109)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0</v>
      </c>
      <c r="N137" s="91">
        <f>IF(TrRoad_act!N79=0,0,TrRoad_ene!N82/TrRoad_tech!N110)</f>
        <v>0</v>
      </c>
      <c r="O137" s="91">
        <f>IF(TrRoad_act!O79=0,0,TrRoad_ene!O82/TrRoad_tech!O110)</f>
        <v>0</v>
      </c>
      <c r="P137" s="91">
        <f>IF(TrRoad_act!P79=0,0,TrRoad_ene!P82/TrRoad_tech!P110)</f>
        <v>0</v>
      </c>
      <c r="Q137" s="91">
        <f>IF(TrRoad_act!Q79=0,0,TrRoad_ene!Q82/TrRoad_tech!Q110)</f>
        <v>0</v>
      </c>
      <c r="R137" s="91">
        <f>IF(TrRoad_act!R79=0,0,TrRoad_ene!R82/TrRoad_tech!R110)</f>
        <v>0</v>
      </c>
      <c r="S137" s="91">
        <f>IF(TrRoad_act!S79=0,0,TrRoad_ene!S82/TrRoad_tech!S110)</f>
        <v>0</v>
      </c>
      <c r="T137" s="91">
        <f>IF(TrRoad_act!T79=0,0,TrRoad_ene!T82/TrRoad_tech!T110)</f>
        <v>0</v>
      </c>
      <c r="U137" s="91">
        <f>IF(TrRoad_act!U79=0,0,TrRoad_ene!U82/TrRoad_tech!U110)</f>
        <v>0</v>
      </c>
      <c r="V137" s="91">
        <f>IF(TrRoad_act!V79=0,0,TrRoad_ene!V82/TrRoad_tech!V110)</f>
        <v>0</v>
      </c>
      <c r="W137" s="91">
        <f>IF(TrRoad_act!W79=0,0,TrRoad_ene!W82/TrRoad_tech!W110)</f>
        <v>0</v>
      </c>
      <c r="X137" s="91">
        <f>IF(TrRoad_act!X79=0,0,TrRoad_ene!X82/TrRoad_tech!X110)</f>
        <v>0</v>
      </c>
      <c r="Y137" s="91">
        <f>IF(TrRoad_act!Y79=0,0,TrRoad_ene!Y82/TrRoad_tech!Y110)</f>
        <v>0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1.3504543754378977</v>
      </c>
      <c r="C138" s="151">
        <f>IF(TrRoad_act!C80=0,0,TrRoad_ene!C83/TrRoad_tech!C111)</f>
        <v>1.3461804404062934</v>
      </c>
      <c r="D138" s="151">
        <f>IF(TrRoad_act!D80=0,0,TrRoad_ene!D83/TrRoad_tech!D111)</f>
        <v>1.348339499754784</v>
      </c>
      <c r="E138" s="151">
        <f>IF(TrRoad_act!E80=0,0,TrRoad_ene!E83/TrRoad_tech!E111)</f>
        <v>2.0443105947387203</v>
      </c>
      <c r="F138" s="151">
        <f>IF(TrRoad_act!F80=0,0,TrRoad_ene!F83/TrRoad_tech!F111)</f>
        <v>1.3573724799743894</v>
      </c>
      <c r="G138" s="151">
        <f>IF(TrRoad_act!G80=0,0,TrRoad_ene!G83/TrRoad_tech!G111)</f>
        <v>1.643558874488535</v>
      </c>
      <c r="H138" s="151">
        <f>IF(TrRoad_act!H80=0,0,TrRoad_ene!H83/TrRoad_tech!H111)</f>
        <v>1.5568718026267325</v>
      </c>
      <c r="I138" s="151">
        <f>IF(TrRoad_act!I80=0,0,TrRoad_ene!I83/TrRoad_tech!I111)</f>
        <v>1.6542221365453154</v>
      </c>
      <c r="J138" s="151">
        <f>IF(TrRoad_act!J80=0,0,TrRoad_ene!J83/TrRoad_tech!J111)</f>
        <v>1.5325503695335214</v>
      </c>
      <c r="K138" s="151">
        <f>IF(TrRoad_act!K80=0,0,TrRoad_ene!K83/TrRoad_tech!K111)</f>
        <v>2.0179629241361452</v>
      </c>
      <c r="L138" s="151">
        <f>IF(TrRoad_act!L80=0,0,TrRoad_ene!L83/TrRoad_tech!L111)</f>
        <v>1.6904356830575602</v>
      </c>
      <c r="M138" s="151">
        <f>IF(TrRoad_act!M80=0,0,TrRoad_ene!M83/TrRoad_tech!M111)</f>
        <v>1.8932811297379506</v>
      </c>
      <c r="N138" s="151">
        <f>IF(TrRoad_act!N80=0,0,TrRoad_ene!N83/TrRoad_tech!N111)</f>
        <v>1.3875898153796138</v>
      </c>
      <c r="O138" s="151">
        <f>IF(TrRoad_act!O80=0,0,TrRoad_ene!O83/TrRoad_tech!O111)</f>
        <v>1.9040627110122692</v>
      </c>
      <c r="P138" s="151">
        <f>IF(TrRoad_act!P80=0,0,TrRoad_ene!P83/TrRoad_tech!P111)</f>
        <v>1.8472927040784226</v>
      </c>
      <c r="Q138" s="151">
        <f>IF(TrRoad_act!Q80=0,0,TrRoad_ene!Q83/TrRoad_tech!Q111)</f>
        <v>1.5312850939457956</v>
      </c>
      <c r="R138" s="151">
        <f>IF(TrRoad_act!R80=0,0,TrRoad_ene!R83/TrRoad_tech!R111)</f>
        <v>1.5897181596078258</v>
      </c>
      <c r="S138" s="151">
        <f>IF(TrRoad_act!S80=0,0,TrRoad_ene!S83/TrRoad_tech!S111)</f>
        <v>1.6616297071956219</v>
      </c>
      <c r="T138" s="151">
        <f>IF(TrRoad_act!T80=0,0,TrRoad_ene!T83/TrRoad_tech!T111)</f>
        <v>1.7431589385451391</v>
      </c>
      <c r="U138" s="151">
        <f>IF(TrRoad_act!U80=0,0,TrRoad_ene!U83/TrRoad_tech!U111)</f>
        <v>1.9230640114532664</v>
      </c>
      <c r="V138" s="151">
        <f>IF(TrRoad_act!V80=0,0,TrRoad_ene!V83/TrRoad_tech!V111)</f>
        <v>2.1341704005546021</v>
      </c>
      <c r="W138" s="151">
        <f>IF(TrRoad_act!W80=0,0,TrRoad_ene!W83/TrRoad_tech!W111)</f>
        <v>1.9526962592903563</v>
      </c>
      <c r="X138" s="151">
        <f>IF(TrRoad_act!X80=0,0,TrRoad_ene!X83/TrRoad_tech!X111)</f>
        <v>2.1002493384517988</v>
      </c>
      <c r="Y138" s="151">
        <f>IF(TrRoad_act!Y80=0,0,TrRoad_ene!Y83/TrRoad_tech!Y111)</f>
        <v>2.2973679942839209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1.2915661630063546</v>
      </c>
      <c r="C139" s="93">
        <f>IF(TrRoad_act!C81=0,0,TrRoad_ene!C84/TrRoad_tech!C112)</f>
        <v>1.2881260680259183</v>
      </c>
      <c r="D139" s="93">
        <f>IF(TrRoad_act!D81=0,0,TrRoad_ene!D84/TrRoad_tech!D112)</f>
        <v>1.2899553322449111</v>
      </c>
      <c r="E139" s="93">
        <f>IF(TrRoad_act!E81=0,0,TrRoad_ene!E84/TrRoad_tech!E112)</f>
        <v>1.8339381537212587</v>
      </c>
      <c r="F139" s="93">
        <f>IF(TrRoad_act!F81=0,0,TrRoad_ene!F84/TrRoad_tech!F112)</f>
        <v>1.2978552887054771</v>
      </c>
      <c r="G139" s="93">
        <f>IF(TrRoad_act!G81=0,0,TrRoad_ene!G84/TrRoad_tech!G112)</f>
        <v>1.5212613151140122</v>
      </c>
      <c r="H139" s="93">
        <f>IF(TrRoad_act!H81=0,0,TrRoad_ene!H84/TrRoad_tech!H112)</f>
        <v>1.4536024472387052</v>
      </c>
      <c r="I139" s="93">
        <f>IF(TrRoad_act!I81=0,0,TrRoad_ene!I84/TrRoad_tech!I112)</f>
        <v>1.5332285410409934</v>
      </c>
      <c r="J139" s="93">
        <f>IF(TrRoad_act!J81=0,0,TrRoad_ene!J84/TrRoad_tech!J112)</f>
        <v>1.4405328757534706</v>
      </c>
      <c r="K139" s="93">
        <f>IF(TrRoad_act!K81=0,0,TrRoad_ene!K84/TrRoad_tech!K112)</f>
        <v>1.8278807676735276</v>
      </c>
      <c r="L139" s="93">
        <f>IF(TrRoad_act!L81=0,0,TrRoad_ene!L84/TrRoad_tech!L112)</f>
        <v>1.5667056340621985</v>
      </c>
      <c r="M139" s="93">
        <f>IF(TrRoad_act!M81=0,0,TrRoad_ene!M84/TrRoad_tech!M112)</f>
        <v>1.7266454389287367</v>
      </c>
      <c r="N139" s="93">
        <f>IF(TrRoad_act!N81=0,0,TrRoad_ene!N84/TrRoad_tech!N112)</f>
        <v>1.3246673150560682</v>
      </c>
      <c r="O139" s="93">
        <f>IF(TrRoad_act!O81=0,0,TrRoad_ene!O84/TrRoad_tech!O112)</f>
        <v>1.728685256540655</v>
      </c>
      <c r="P139" s="93">
        <f>IF(TrRoad_act!P81=0,0,TrRoad_ene!P84/TrRoad_tech!P112)</f>
        <v>1.6876315012130598</v>
      </c>
      <c r="Q139" s="93">
        <f>IF(TrRoad_act!Q81=0,0,TrRoad_ene!Q84/TrRoad_tech!Q112)</f>
        <v>1.4383874129133518</v>
      </c>
      <c r="R139" s="93">
        <f>IF(TrRoad_act!R81=0,0,TrRoad_ene!R84/TrRoad_tech!R112)</f>
        <v>1.4848394899255535</v>
      </c>
      <c r="S139" s="93">
        <f>IF(TrRoad_act!S81=0,0,TrRoad_ene!S84/TrRoad_tech!S112)</f>
        <v>1.5359849453242336</v>
      </c>
      <c r="T139" s="93">
        <f>IF(TrRoad_act!T81=0,0,TrRoad_ene!T84/TrRoad_tech!T112)</f>
        <v>1.6030613625313479</v>
      </c>
      <c r="U139" s="93">
        <f>IF(TrRoad_act!U81=0,0,TrRoad_ene!U84/TrRoad_tech!U112)</f>
        <v>1.7594210808491475</v>
      </c>
      <c r="V139" s="93">
        <f>IF(TrRoad_act!V81=0,0,TrRoad_ene!V84/TrRoad_tech!V112)</f>
        <v>1.917648830691679</v>
      </c>
      <c r="W139" s="93">
        <f>IF(TrRoad_act!W81=0,0,TrRoad_ene!W84/TrRoad_tech!W112)</f>
        <v>1.7698448309665225</v>
      </c>
      <c r="X139" s="93">
        <f>IF(TrRoad_act!X81=0,0,TrRoad_ene!X84/TrRoad_tech!X112)</f>
        <v>1.8850318474458156</v>
      </c>
      <c r="Y139" s="93">
        <f>IF(TrRoad_act!Y81=0,0,TrRoad_ene!Y84/TrRoad_tech!Y112)</f>
        <v>2.0374074444283146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2.1974957118504439</v>
      </c>
      <c r="C140" s="94">
        <f>IF(TrRoad_act!C82=0,0,TrRoad_ene!C85/TrRoad_tech!C113)</f>
        <v>2.1425832077235905</v>
      </c>
      <c r="D140" s="94">
        <f>IF(TrRoad_act!D82=0,0,TrRoad_ene!D85/TrRoad_tech!D113)</f>
        <v>2.1304921712963543</v>
      </c>
      <c r="E140" s="94">
        <f>IF(TrRoad_act!E82=0,0,TrRoad_ene!E85/TrRoad_tech!E113)</f>
        <v>3.9423610872308812</v>
      </c>
      <c r="F140" s="94">
        <f>IF(TrRoad_act!F82=0,0,TrRoad_ene!F85/TrRoad_tech!F113)</f>
        <v>2.0919397285242938</v>
      </c>
      <c r="G140" s="94">
        <f>IF(TrRoad_act!G82=0,0,TrRoad_ene!G85/TrRoad_tech!G113)</f>
        <v>2.8095817131381202</v>
      </c>
      <c r="H140" s="94">
        <f>IF(TrRoad_act!H82=0,0,TrRoad_ene!H85/TrRoad_tech!H113)</f>
        <v>2.4816384723697502</v>
      </c>
      <c r="I140" s="94">
        <f>IF(TrRoad_act!I82=0,0,TrRoad_ene!I85/TrRoad_tech!I113)</f>
        <v>2.9827575638205035</v>
      </c>
      <c r="J140" s="94">
        <f>IF(TrRoad_act!J82=0,0,TrRoad_ene!J85/TrRoad_tech!J113)</f>
        <v>2.7824292265301369</v>
      </c>
      <c r="K140" s="94">
        <f>IF(TrRoad_act!K82=0,0,TrRoad_ene!K85/TrRoad_tech!K113)</f>
        <v>5.1220989381174542</v>
      </c>
      <c r="L140" s="94">
        <f>IF(TrRoad_act!L82=0,0,TrRoad_ene!L85/TrRoad_tech!L113)</f>
        <v>3.3298544552797287</v>
      </c>
      <c r="M140" s="94">
        <f>IF(TrRoad_act!M82=0,0,TrRoad_ene!M85/TrRoad_tech!M113)</f>
        <v>3.8283385728867136</v>
      </c>
      <c r="N140" s="94">
        <f>IF(TrRoad_act!N82=0,0,TrRoad_ene!N85/TrRoad_tech!N113)</f>
        <v>1.9429446543771451</v>
      </c>
      <c r="O140" s="94">
        <f>IF(TrRoad_act!O82=0,0,TrRoad_ene!O85/TrRoad_tech!O113)</f>
        <v>3.1760714959886629</v>
      </c>
      <c r="P140" s="94">
        <f>IF(TrRoad_act!P82=0,0,TrRoad_ene!P85/TrRoad_tech!P113)</f>
        <v>3.2189540682461271</v>
      </c>
      <c r="Q140" s="94">
        <f>IF(TrRoad_act!Q82=0,0,TrRoad_ene!Q85/TrRoad_tech!Q113)</f>
        <v>2.2701944609892575</v>
      </c>
      <c r="R140" s="94">
        <f>IF(TrRoad_act!R82=0,0,TrRoad_ene!R85/TrRoad_tech!R113)</f>
        <v>2.4042563502697964</v>
      </c>
      <c r="S140" s="94">
        <f>IF(TrRoad_act!S82=0,0,TrRoad_ene!S85/TrRoad_tech!S113)</f>
        <v>2.3835049935896557</v>
      </c>
      <c r="T140" s="94">
        <f>IF(TrRoad_act!T82=0,0,TrRoad_ene!T85/TrRoad_tech!T113)</f>
        <v>2.6048886481618676</v>
      </c>
      <c r="U140" s="94">
        <f>IF(TrRoad_act!U82=0,0,TrRoad_ene!U85/TrRoad_tech!U113)</f>
        <v>4.5544443505915373</v>
      </c>
      <c r="V140" s="94">
        <f>IF(TrRoad_act!V82=0,0,TrRoad_ene!V85/TrRoad_tech!V113)</f>
        <v>4.2461855398551611</v>
      </c>
      <c r="W140" s="94">
        <f>IF(TrRoad_act!W82=0,0,TrRoad_ene!W85/TrRoad_tech!W113)</f>
        <v>3.4176294977621988</v>
      </c>
      <c r="X140" s="94">
        <f>IF(TrRoad_act!X82=0,0,TrRoad_ene!X85/TrRoad_tech!X113)</f>
        <v>3.6632458909198773</v>
      </c>
      <c r="Y140" s="94">
        <f>IF(TrRoad_act!Y82=0,0,TrRoad_ene!Y85/TrRoad_tech!Y113)</f>
        <v>3.9281335567343594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3.6861690991147427</v>
      </c>
      <c r="C144" s="141">
        <v>3.6661012617550752</v>
      </c>
      <c r="D144" s="141">
        <v>3.6439317728490392</v>
      </c>
      <c r="E144" s="141">
        <v>3.5983216087464829</v>
      </c>
      <c r="F144" s="141">
        <v>3.5933385584877873</v>
      </c>
      <c r="G144" s="141">
        <v>3.5449317845461659</v>
      </c>
      <c r="H144" s="141">
        <v>3.4734402675693605</v>
      </c>
      <c r="I144" s="141">
        <v>3.422491121046773</v>
      </c>
      <c r="J144" s="141">
        <v>3.2563216491547395</v>
      </c>
      <c r="K144" s="141">
        <v>3.0770843821965337</v>
      </c>
      <c r="L144" s="141">
        <v>2.9651691411823466</v>
      </c>
      <c r="M144" s="141">
        <v>2.7885427829520069</v>
      </c>
      <c r="N144" s="141">
        <v>2.6785041936544745</v>
      </c>
      <c r="O144" s="141">
        <v>2.5131799575839464</v>
      </c>
      <c r="P144" s="141">
        <v>2.4346952183895416</v>
      </c>
      <c r="Q144" s="141">
        <v>2.3445579804973122</v>
      </c>
      <c r="R144" s="141">
        <v>2.2688337934071776</v>
      </c>
      <c r="S144" s="141">
        <v>2.2082544437350697</v>
      </c>
      <c r="T144" s="141">
        <v>2.1597909639973834</v>
      </c>
      <c r="U144" s="141">
        <v>2.1210201802072346</v>
      </c>
      <c r="V144" s="141">
        <v>2.0900035531751153</v>
      </c>
      <c r="W144" s="141">
        <v>2.0651902515494198</v>
      </c>
      <c r="X144" s="141">
        <v>2.0453396102488637</v>
      </c>
      <c r="Y144" s="141">
        <v>2.0294590972084188</v>
      </c>
      <c r="DA144" s="174" t="s">
        <v>887</v>
      </c>
    </row>
    <row r="145" spans="1:105" ht="11.45" customHeight="1" x14ac:dyDescent="0.25">
      <c r="A145" s="109" t="s">
        <v>20</v>
      </c>
      <c r="B145" s="130">
        <v>7.2424212089024405</v>
      </c>
      <c r="C145" s="130">
        <v>7.2452792390413885</v>
      </c>
      <c r="D145" s="130">
        <v>7.2008369821944553</v>
      </c>
      <c r="E145" s="130">
        <v>7.1120705095051866</v>
      </c>
      <c r="F145" s="130">
        <v>7.0992589252105676</v>
      </c>
      <c r="G145" s="130">
        <v>7.0049366835035025</v>
      </c>
      <c r="H145" s="130">
        <v>6.8807854985009405</v>
      </c>
      <c r="I145" s="130">
        <v>6.7753290281739567</v>
      </c>
      <c r="J145" s="130">
        <v>6.4411751612184229</v>
      </c>
      <c r="K145" s="130">
        <v>6.1272219171112674</v>
      </c>
      <c r="L145" s="130">
        <v>5.9298602858731151</v>
      </c>
      <c r="M145" s="130">
        <v>5.4707470495337667</v>
      </c>
      <c r="N145" s="130">
        <v>5.291780653138435</v>
      </c>
      <c r="O145" s="130">
        <v>5.0266950451645691</v>
      </c>
      <c r="P145" s="130">
        <v>4.6824219058664971</v>
      </c>
      <c r="Q145" s="130">
        <v>4.6058368579409299</v>
      </c>
      <c r="R145" s="130">
        <v>4.5082736010135731</v>
      </c>
      <c r="S145" s="130">
        <v>4.5852314480510703</v>
      </c>
      <c r="T145" s="130">
        <v>4.6385423175362659</v>
      </c>
      <c r="U145" s="130">
        <v>4.7485747390405892</v>
      </c>
      <c r="V145" s="130">
        <v>4.5353485034163521</v>
      </c>
      <c r="W145" s="130">
        <v>4.3484447195723259</v>
      </c>
      <c r="X145" s="130">
        <v>4.3165792271632339</v>
      </c>
      <c r="Y145" s="130">
        <v>4.2248532823795006</v>
      </c>
      <c r="DA145" s="176" t="s">
        <v>888</v>
      </c>
    </row>
    <row r="146" spans="1:105" ht="11.45" customHeight="1" x14ac:dyDescent="0.25">
      <c r="A146" s="111" t="s">
        <v>110</v>
      </c>
      <c r="B146" s="96">
        <v>7.2403303270648181</v>
      </c>
      <c r="C146" s="96">
        <v>7.2429539145175612</v>
      </c>
      <c r="D146" s="96">
        <v>7.1991546370317154</v>
      </c>
      <c r="E146" s="96">
        <v>7.109044655598673</v>
      </c>
      <c r="F146" s="96">
        <v>7.0991998638702016</v>
      </c>
      <c r="G146" s="96">
        <v>7.0035647442222002</v>
      </c>
      <c r="H146" s="96">
        <v>6.8623221200361861</v>
      </c>
      <c r="I146" s="96">
        <v>6.7616641474654973</v>
      </c>
      <c r="J146" s="96">
        <v>6.4333704804385432</v>
      </c>
      <c r="K146" s="96">
        <v>6.0792593493889671</v>
      </c>
      <c r="L146" s="96">
        <v>5.858153363732197</v>
      </c>
      <c r="M146" s="96">
        <v>5.5091887542428459</v>
      </c>
      <c r="N146" s="96">
        <v>5.2917675982319627</v>
      </c>
      <c r="O146" s="96">
        <v>4.9653590807004617</v>
      </c>
      <c r="P146" s="96">
        <v>4.813241722280039</v>
      </c>
      <c r="Q146" s="96">
        <v>4.6367309393549156</v>
      </c>
      <c r="R146" s="96">
        <v>4.605871610037453</v>
      </c>
      <c r="S146" s="96">
        <v>4.626798010469841</v>
      </c>
      <c r="T146" s="96">
        <v>4.6864211895702823</v>
      </c>
      <c r="U146" s="96">
        <v>4.8030843232903662</v>
      </c>
      <c r="V146" s="96">
        <v>4.617031950161202</v>
      </c>
      <c r="W146" s="96">
        <v>4.3863746331721316</v>
      </c>
      <c r="X146" s="96">
        <v>4.3617180111386835</v>
      </c>
      <c r="Y146" s="96">
        <v>4.2926472161848279</v>
      </c>
      <c r="DA146" s="171" t="s">
        <v>889</v>
      </c>
    </row>
    <row r="147" spans="1:105" ht="11.45" customHeight="1" x14ac:dyDescent="0.25">
      <c r="A147" s="111" t="s">
        <v>111</v>
      </c>
      <c r="B147" s="96">
        <v>7.1457715328015077</v>
      </c>
      <c r="C147" s="96">
        <v>7.1852620445436939</v>
      </c>
      <c r="D147" s="96">
        <v>7.1812957789035385</v>
      </c>
      <c r="E147" s="96">
        <v>7.1976566246691789</v>
      </c>
      <c r="F147" s="96">
        <v>0</v>
      </c>
      <c r="G147" s="96">
        <v>7.1715040606044065</v>
      </c>
      <c r="H147" s="96">
        <v>7.2174879528699494</v>
      </c>
      <c r="I147" s="96">
        <v>7.1510530033973625</v>
      </c>
      <c r="J147" s="96">
        <v>6.8284220827310422</v>
      </c>
      <c r="K147" s="96">
        <v>6.5600794230143364</v>
      </c>
      <c r="L147" s="96">
        <v>6.3080976090633119</v>
      </c>
      <c r="M147" s="96">
        <v>0</v>
      </c>
      <c r="N147" s="96">
        <v>0</v>
      </c>
      <c r="O147" s="96">
        <v>0</v>
      </c>
      <c r="P147" s="96">
        <v>4.3329101273092308</v>
      </c>
      <c r="Q147" s="96">
        <v>4.3089471026104853</v>
      </c>
      <c r="R147" s="96">
        <v>4.2585749363300964</v>
      </c>
      <c r="S147" s="96">
        <v>4.3645787999620849</v>
      </c>
      <c r="T147" s="96">
        <v>4.4793332757706725</v>
      </c>
      <c r="U147" s="96">
        <v>4.5020811822279434</v>
      </c>
      <c r="V147" s="96">
        <v>4.2974941421681727</v>
      </c>
      <c r="W147" s="96">
        <v>4.0896809733233823</v>
      </c>
      <c r="X147" s="96">
        <v>4.0567845801019669</v>
      </c>
      <c r="Y147" s="96">
        <v>4.1240550513788179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7.9150129529012432</v>
      </c>
      <c r="I148" s="96">
        <v>7.8421574817131301</v>
      </c>
      <c r="J148" s="96">
        <v>7.4883463035365239</v>
      </c>
      <c r="K148" s="96">
        <v>7.1940700066666237</v>
      </c>
      <c r="L148" s="96">
        <v>6.9177357288207029</v>
      </c>
      <c r="M148" s="96">
        <v>5.2938329184849113</v>
      </c>
      <c r="N148" s="96">
        <v>0</v>
      </c>
      <c r="O148" s="96">
        <v>5.1572080308381727</v>
      </c>
      <c r="P148" s="96">
        <v>4.2531502392261089</v>
      </c>
      <c r="Q148" s="96">
        <v>4.3331322637984337</v>
      </c>
      <c r="R148" s="96">
        <v>4.2849161728797265</v>
      </c>
      <c r="S148" s="96">
        <v>4.3845253839637488</v>
      </c>
      <c r="T148" s="96">
        <v>4.3965660578310501</v>
      </c>
      <c r="U148" s="96">
        <v>5.0808308077460245</v>
      </c>
      <c r="V148" s="96">
        <v>4.6873349496626897</v>
      </c>
      <c r="W148" s="96">
        <v>4.4773129059249674</v>
      </c>
      <c r="X148" s="96">
        <v>4.4257947247696094</v>
      </c>
      <c r="Y148" s="96">
        <v>4.3888859037473589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8.7823962806957283</v>
      </c>
      <c r="D149" s="96">
        <v>8.7292877539497749</v>
      </c>
      <c r="E149" s="96">
        <v>8.6200254867683022</v>
      </c>
      <c r="F149" s="96">
        <v>8.6080882491052222</v>
      </c>
      <c r="G149" s="96">
        <v>8.4921265118067151</v>
      </c>
      <c r="H149" s="96">
        <v>8.3208636939057694</v>
      </c>
      <c r="I149" s="96">
        <v>8.1988115292281396</v>
      </c>
      <c r="J149" s="96">
        <v>7.8007411957286443</v>
      </c>
      <c r="K149" s="96">
        <v>7.371366065500454</v>
      </c>
      <c r="L149" s="96">
        <v>7.1032654522714491</v>
      </c>
      <c r="M149" s="96">
        <v>6.1058891387675818</v>
      </c>
      <c r="N149" s="96">
        <v>5.5950378562412117</v>
      </c>
      <c r="O149" s="96">
        <v>0</v>
      </c>
      <c r="P149" s="96">
        <v>4.1020021485300333</v>
      </c>
      <c r="Q149" s="96">
        <v>4.2697926303521943</v>
      </c>
      <c r="R149" s="96">
        <v>4.3630801601542704</v>
      </c>
      <c r="S149" s="96">
        <v>4.3549103898937664</v>
      </c>
      <c r="T149" s="96">
        <v>4.5963074903478667</v>
      </c>
      <c r="U149" s="96">
        <v>4.7551481947760266</v>
      </c>
      <c r="V149" s="96">
        <v>4.503337014227121</v>
      </c>
      <c r="W149" s="96">
        <v>4.395137668523418</v>
      </c>
      <c r="X149" s="96">
        <v>4.3386397032552733</v>
      </c>
      <c r="Y149" s="96">
        <v>4.3485353979031158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2.5169352771570628</v>
      </c>
      <c r="O150" s="96">
        <v>1.4750416540404268</v>
      </c>
      <c r="P150" s="96">
        <v>1.9487941257352626</v>
      </c>
      <c r="Q150" s="96">
        <v>2.2275686149937552</v>
      </c>
      <c r="R150" s="96">
        <v>3.0041870895838589</v>
      </c>
      <c r="S150" s="96">
        <v>3.3219050324471437</v>
      </c>
      <c r="T150" s="96">
        <v>3.5811228479168169</v>
      </c>
      <c r="U150" s="96">
        <v>3.5546074105893224</v>
      </c>
      <c r="V150" s="96">
        <v>3.0854944615616136</v>
      </c>
      <c r="W150" s="96">
        <v>2.8868988025402293</v>
      </c>
      <c r="X150" s="96">
        <v>2.8034225419775094</v>
      </c>
      <c r="Y150" s="96">
        <v>2.5697221722176513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0</v>
      </c>
      <c r="L151" s="96">
        <v>0</v>
      </c>
      <c r="M151" s="96">
        <v>0</v>
      </c>
      <c r="N151" s="96">
        <v>1.0732538457002374</v>
      </c>
      <c r="O151" s="96">
        <v>1.117565258882228</v>
      </c>
      <c r="P151" s="96">
        <v>1.1092003439380911</v>
      </c>
      <c r="Q151" s="96">
        <v>1.2226999140154771</v>
      </c>
      <c r="R151" s="96">
        <v>1.1639589084491109</v>
      </c>
      <c r="S151" s="96">
        <v>1.1126862029699518</v>
      </c>
      <c r="T151" s="96">
        <v>1.2103975130630336</v>
      </c>
      <c r="U151" s="96">
        <v>1.490177921820226</v>
      </c>
      <c r="V151" s="96">
        <v>1.5323005793383422</v>
      </c>
      <c r="W151" s="96">
        <v>1.4585716127074362</v>
      </c>
      <c r="X151" s="96">
        <v>1.4472532288115494</v>
      </c>
      <c r="Y151" s="96">
        <v>1.4359934371918039</v>
      </c>
      <c r="DA151" s="171" t="s">
        <v>894</v>
      </c>
    </row>
    <row r="152" spans="1:105" ht="11.45" customHeight="1" x14ac:dyDescent="0.25">
      <c r="A152" s="109" t="s">
        <v>21</v>
      </c>
      <c r="B152" s="130">
        <v>48.465514775860754</v>
      </c>
      <c r="C152" s="130">
        <v>47.31392427863684</v>
      </c>
      <c r="D152" s="130">
        <v>47.784215896520756</v>
      </c>
      <c r="E152" s="130">
        <v>48.022882428493354</v>
      </c>
      <c r="F152" s="130">
        <v>48.156415236532105</v>
      </c>
      <c r="G152" s="130">
        <v>47.860748467285795</v>
      </c>
      <c r="H152" s="130">
        <v>47.649568981022142</v>
      </c>
      <c r="I152" s="130">
        <v>47.214034814735818</v>
      </c>
      <c r="J152" s="130">
        <v>46.80029737118133</v>
      </c>
      <c r="K152" s="130">
        <v>46.296447804207567</v>
      </c>
      <c r="L152" s="130">
        <v>45.863686193507448</v>
      </c>
      <c r="M152" s="130">
        <v>45.106409930938682</v>
      </c>
      <c r="N152" s="130">
        <v>44.56097902848844</v>
      </c>
      <c r="O152" s="130">
        <v>39.336299698581385</v>
      </c>
      <c r="P152" s="130">
        <v>43.401031247015055</v>
      </c>
      <c r="Q152" s="130">
        <v>42.841503962266735</v>
      </c>
      <c r="R152" s="130">
        <v>42.187105142811788</v>
      </c>
      <c r="S152" s="130">
        <v>41.498221719626855</v>
      </c>
      <c r="T152" s="130">
        <v>39.853401258228786</v>
      </c>
      <c r="U152" s="130">
        <v>38.715907216005242</v>
      </c>
      <c r="V152" s="130">
        <v>37.322315440498414</v>
      </c>
      <c r="W152" s="130">
        <v>35.866914574871487</v>
      </c>
      <c r="X152" s="130">
        <v>34.409764936430726</v>
      </c>
      <c r="Y152" s="130">
        <v>32.885746547881766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48.465514775860754</v>
      </c>
      <c r="C154" s="97">
        <v>48.399266629264147</v>
      </c>
      <c r="D154" s="97">
        <v>48.325763779131229</v>
      </c>
      <c r="E154" s="97">
        <v>48.17311042357727</v>
      </c>
      <c r="F154" s="97">
        <v>48.156415236532105</v>
      </c>
      <c r="G154" s="97">
        <v>47.992578100854963</v>
      </c>
      <c r="H154" s="97">
        <v>47.746892447078153</v>
      </c>
      <c r="I154" s="97">
        <v>47.569854479686555</v>
      </c>
      <c r="J154" s="97">
        <v>46.97062892370419</v>
      </c>
      <c r="K154" s="97">
        <v>46.296447804207567</v>
      </c>
      <c r="L154" s="97">
        <v>45.863686193507448</v>
      </c>
      <c r="M154" s="97">
        <v>45.148755415289919</v>
      </c>
      <c r="N154" s="97">
        <v>44.689767985218175</v>
      </c>
      <c r="O154" s="97">
        <v>43.966703795603287</v>
      </c>
      <c r="P154" s="97">
        <v>43.615209253563691</v>
      </c>
      <c r="Q154" s="97">
        <v>43.199999999908329</v>
      </c>
      <c r="R154" s="97">
        <v>42.487054784170248</v>
      </c>
      <c r="S154" s="97">
        <v>41.520625816477747</v>
      </c>
      <c r="T154" s="97">
        <v>40.344292195801643</v>
      </c>
      <c r="U154" s="97">
        <v>38.999600793959864</v>
      </c>
      <c r="V154" s="97">
        <v>37.525119900427484</v>
      </c>
      <c r="W154" s="97">
        <v>35.955844625623577</v>
      </c>
      <c r="X154" s="97">
        <v>34.322888781440447</v>
      </c>
      <c r="Y154" s="97">
        <v>32.653400074421839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40.332722191053456</v>
      </c>
      <c r="D156" s="97">
        <v>40.271469815942687</v>
      </c>
      <c r="E156" s="97">
        <v>40.144258686314394</v>
      </c>
      <c r="F156" s="97">
        <v>0</v>
      </c>
      <c r="G156" s="97">
        <v>39.993815084045799</v>
      </c>
      <c r="H156" s="97">
        <v>39.789077039231792</v>
      </c>
      <c r="I156" s="97">
        <v>39.641545399738796</v>
      </c>
      <c r="J156" s="97">
        <v>39.142190769753491</v>
      </c>
      <c r="K156" s="97">
        <v>0</v>
      </c>
      <c r="L156" s="97">
        <v>0</v>
      </c>
      <c r="M156" s="97">
        <v>37.623962846074932</v>
      </c>
      <c r="N156" s="97">
        <v>37.241473321015143</v>
      </c>
      <c r="O156" s="97">
        <v>0</v>
      </c>
      <c r="P156" s="97">
        <v>36.346007711303081</v>
      </c>
      <c r="Q156" s="97">
        <v>35.99999999992361</v>
      </c>
      <c r="R156" s="97">
        <v>35.758184496362155</v>
      </c>
      <c r="S156" s="97">
        <v>0</v>
      </c>
      <c r="T156" s="97">
        <v>35.435272090709347</v>
      </c>
      <c r="U156" s="97">
        <v>35.314404574928993</v>
      </c>
      <c r="V156" s="97">
        <v>35.20683996389004</v>
      </c>
      <c r="W156" s="97">
        <v>35.107316066263159</v>
      </c>
      <c r="X156" s="97">
        <v>35.012689083841018</v>
      </c>
      <c r="Y156" s="97">
        <v>34.921079329042854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23.016022963176322</v>
      </c>
      <c r="P157" s="97">
        <v>0</v>
      </c>
      <c r="Q157" s="97">
        <v>25.172065626561686</v>
      </c>
      <c r="R157" s="97">
        <v>0</v>
      </c>
      <c r="S157" s="97">
        <v>25.38967608383232</v>
      </c>
      <c r="T157" s="97">
        <v>25.295470813875763</v>
      </c>
      <c r="U157" s="97">
        <v>25.084930037295674</v>
      </c>
      <c r="V157" s="97">
        <v>24.772457334474748</v>
      </c>
      <c r="W157" s="97">
        <v>24.372088436877242</v>
      </c>
      <c r="X157" s="97">
        <v>23.897205415941951</v>
      </c>
      <c r="Y157" s="97">
        <v>23.360338505591002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0</v>
      </c>
      <c r="C159" s="141">
        <v>7.8609644564188876</v>
      </c>
      <c r="D159" s="141">
        <v>7.9580206784687855</v>
      </c>
      <c r="E159" s="141">
        <v>7.8924099755118116</v>
      </c>
      <c r="F159" s="141">
        <v>8.01407575473519</v>
      </c>
      <c r="G159" s="141">
        <v>8.160689407461577</v>
      </c>
      <c r="H159" s="141">
        <v>8.0870900218126192</v>
      </c>
      <c r="I159" s="141">
        <v>8.2715974844267954</v>
      </c>
      <c r="J159" s="141">
        <v>8.369260561858912</v>
      </c>
      <c r="K159" s="141">
        <v>7.5944553262910786</v>
      </c>
      <c r="L159" s="141">
        <v>7.8197801754905818</v>
      </c>
      <c r="M159" s="141">
        <v>7.5437882835378929</v>
      </c>
      <c r="N159" s="141">
        <v>6.2236827192578641</v>
      </c>
      <c r="O159" s="141">
        <v>7.2209720697692594</v>
      </c>
      <c r="P159" s="141">
        <v>7.0557793137469709</v>
      </c>
      <c r="Q159" s="141">
        <v>6.8204845997663748</v>
      </c>
      <c r="R159" s="141">
        <v>6.3838941137157441</v>
      </c>
      <c r="S159" s="141">
        <v>5.5659677282821383</v>
      </c>
      <c r="T159" s="141">
        <v>6.3294905843118165</v>
      </c>
      <c r="U159" s="141">
        <v>5.2516298506165473</v>
      </c>
      <c r="V159" s="141">
        <v>5.6225945051609507</v>
      </c>
      <c r="W159" s="141">
        <v>5.3879550902048905</v>
      </c>
      <c r="X159" s="141">
        <v>5.4248102137839176</v>
      </c>
      <c r="Y159" s="141">
        <v>5.5262693979913831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8.6719790109682631</v>
      </c>
      <c r="D160" s="96">
        <v>8.6195381947576948</v>
      </c>
      <c r="E160" s="96">
        <v>8.5116496348015431</v>
      </c>
      <c r="F160" s="96">
        <v>8.4998624788643067</v>
      </c>
      <c r="G160" s="96">
        <v>8.3853586783311318</v>
      </c>
      <c r="H160" s="96">
        <v>8.2162490737621816</v>
      </c>
      <c r="I160" s="96">
        <v>8.095731418158989</v>
      </c>
      <c r="J160" s="96">
        <v>7.7026658507825063</v>
      </c>
      <c r="K160" s="96">
        <v>7.2786890683461252</v>
      </c>
      <c r="L160" s="96">
        <v>7.0139591681638604</v>
      </c>
      <c r="M160" s="96">
        <v>0</v>
      </c>
      <c r="N160" s="96">
        <v>6.3358675851310657</v>
      </c>
      <c r="O160" s="96">
        <v>6.4996835080113566</v>
      </c>
      <c r="P160" s="96">
        <v>5.1309828524796472</v>
      </c>
      <c r="Q160" s="96">
        <v>5.4656691222801186</v>
      </c>
      <c r="R160" s="96">
        <v>5.1077784367931605</v>
      </c>
      <c r="S160" s="96">
        <v>5.2729917904149399</v>
      </c>
      <c r="T160" s="96">
        <v>5.123980870234023</v>
      </c>
      <c r="U160" s="96">
        <v>5.1299288497686053</v>
      </c>
      <c r="V160" s="96">
        <v>4.9867602088749177</v>
      </c>
      <c r="W160" s="96">
        <v>5.3699768354855557</v>
      </c>
      <c r="X160" s="96">
        <v>4.980065636692748</v>
      </c>
      <c r="Y160" s="96">
        <v>7.2293979595615037</v>
      </c>
      <c r="DA160" s="171" t="s">
        <v>902</v>
      </c>
    </row>
    <row r="161" spans="1:105" ht="11.45" customHeight="1" x14ac:dyDescent="0.25">
      <c r="A161" s="111" t="s">
        <v>111</v>
      </c>
      <c r="B161" s="96">
        <v>0</v>
      </c>
      <c r="C161" s="96">
        <v>7.5434039295264199</v>
      </c>
      <c r="D161" s="96">
        <v>7.5460046106808392</v>
      </c>
      <c r="E161" s="96">
        <v>7.5394551782529291</v>
      </c>
      <c r="F161" s="96">
        <v>7.5339683011871461</v>
      </c>
      <c r="G161" s="96">
        <v>7.5480982015764457</v>
      </c>
      <c r="H161" s="96">
        <v>7.5437882835378929</v>
      </c>
      <c r="I161" s="96">
        <v>7.460644554823685</v>
      </c>
      <c r="J161" s="96">
        <v>7.3330419523558206</v>
      </c>
      <c r="K161" s="96">
        <v>7.2177158227040312</v>
      </c>
      <c r="L161" s="96">
        <v>6.8156984352436769</v>
      </c>
      <c r="M161" s="96">
        <v>6.3866166992364253</v>
      </c>
      <c r="N161" s="96">
        <v>6.2140462608663674</v>
      </c>
      <c r="O161" s="96">
        <v>5.8567115326270418</v>
      </c>
      <c r="P161" s="96">
        <v>5.7216044133552719</v>
      </c>
      <c r="Q161" s="96">
        <v>5.6766872387572276</v>
      </c>
      <c r="R161" s="96">
        <v>5.6605687020043769</v>
      </c>
      <c r="S161" s="96">
        <v>5.5687645251850952</v>
      </c>
      <c r="T161" s="96">
        <v>5.6741042435429465</v>
      </c>
      <c r="U161" s="96">
        <v>5.7712162296495011</v>
      </c>
      <c r="V161" s="96">
        <v>6.3362937422515628</v>
      </c>
      <c r="W161" s="96">
        <v>6.1840313557774689</v>
      </c>
      <c r="X161" s="96">
        <v>5.8943740382668866</v>
      </c>
      <c r="Y161" s="96">
        <v>6.0971876208818747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0</v>
      </c>
      <c r="P162" s="96">
        <v>0</v>
      </c>
      <c r="Q162" s="96">
        <v>0</v>
      </c>
      <c r="R162" s="96">
        <v>0</v>
      </c>
      <c r="S162" s="96">
        <v>0</v>
      </c>
      <c r="T162" s="96">
        <v>0</v>
      </c>
      <c r="U162" s="96">
        <v>0</v>
      </c>
      <c r="V162" s="96">
        <v>0</v>
      </c>
      <c r="W162" s="96">
        <v>0</v>
      </c>
      <c r="X162" s="96">
        <v>0</v>
      </c>
      <c r="Y162" s="96">
        <v>0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0</v>
      </c>
      <c r="N164" s="96">
        <v>0</v>
      </c>
      <c r="O164" s="96">
        <v>0</v>
      </c>
      <c r="P164" s="96">
        <v>0</v>
      </c>
      <c r="Q164" s="96">
        <v>0</v>
      </c>
      <c r="R164" s="96">
        <v>0</v>
      </c>
      <c r="S164" s="96">
        <v>0</v>
      </c>
      <c r="T164" s="96">
        <v>0</v>
      </c>
      <c r="U164" s="96">
        <v>0</v>
      </c>
      <c r="V164" s="96">
        <v>0</v>
      </c>
      <c r="W164" s="96">
        <v>0</v>
      </c>
      <c r="X164" s="96">
        <v>0</v>
      </c>
      <c r="Y164" s="96">
        <v>0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28.532215005008439</v>
      </c>
      <c r="D165" s="130">
        <v>28.381568527010707</v>
      </c>
      <c r="E165" s="130">
        <v>28.228947031215604</v>
      </c>
      <c r="F165" s="130">
        <v>27.969531973796091</v>
      </c>
      <c r="G165" s="130">
        <v>28.015472381008511</v>
      </c>
      <c r="H165" s="130">
        <v>27.489233516544573</v>
      </c>
      <c r="I165" s="130">
        <v>27.077310467848697</v>
      </c>
      <c r="J165" s="130">
        <v>26.726251577568394</v>
      </c>
      <c r="K165" s="130">
        <v>26.343482719665932</v>
      </c>
      <c r="L165" s="130">
        <v>26.814280708854309</v>
      </c>
      <c r="M165" s="130">
        <v>25.486532134561422</v>
      </c>
      <c r="N165" s="130">
        <v>25.621832464415785</v>
      </c>
      <c r="O165" s="130">
        <v>25.336101396722061</v>
      </c>
      <c r="P165" s="130">
        <v>24.17622781227502</v>
      </c>
      <c r="Q165" s="130">
        <v>23.952775899196016</v>
      </c>
      <c r="R165" s="130">
        <v>22.11967769683049</v>
      </c>
      <c r="S165" s="130">
        <v>21.895136392004954</v>
      </c>
      <c r="T165" s="130">
        <v>18.678146795159552</v>
      </c>
      <c r="U165" s="130">
        <v>16.922853929052643</v>
      </c>
      <c r="V165" s="130">
        <v>17.899699229427952</v>
      </c>
      <c r="W165" s="130">
        <v>17.96594791032004</v>
      </c>
      <c r="X165" s="130">
        <v>16.563875705862749</v>
      </c>
      <c r="Y165" s="130">
        <v>16.037468892778623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28.475257731902065</v>
      </c>
      <c r="D166" s="97">
        <v>28.329726607551049</v>
      </c>
      <c r="E166" s="97">
        <v>28.148513269188573</v>
      </c>
      <c r="F166" s="97">
        <v>27.932078183320485</v>
      </c>
      <c r="G166" s="97">
        <v>27.680967433715715</v>
      </c>
      <c r="H166" s="97">
        <v>27.395809316042968</v>
      </c>
      <c r="I166" s="97">
        <v>27.077310467848694</v>
      </c>
      <c r="J166" s="97">
        <v>26.726251577568394</v>
      </c>
      <c r="K166" s="97">
        <v>26.343482719665932</v>
      </c>
      <c r="L166" s="97">
        <v>25.929918367280472</v>
      </c>
      <c r="M166" s="97">
        <v>25.486532134561422</v>
      </c>
      <c r="N166" s="97">
        <v>25.014351302892813</v>
      </c>
      <c r="O166" s="97">
        <v>24.514451185843171</v>
      </c>
      <c r="P166" s="97">
        <v>23.987949386386653</v>
      </c>
      <c r="Q166" s="97">
        <v>23.435999999950262</v>
      </c>
      <c r="R166" s="97">
        <v>21.482056178680978</v>
      </c>
      <c r="S166" s="97">
        <v>20.114295503792476</v>
      </c>
      <c r="T166" s="97">
        <v>18.678146795159552</v>
      </c>
      <c r="U166" s="97">
        <v>16.922853929052643</v>
      </c>
      <c r="V166" s="97">
        <v>15.88836228309771</v>
      </c>
      <c r="W166" s="97">
        <v>15.940446484914048</v>
      </c>
      <c r="X166" s="97">
        <v>15.852624600901095</v>
      </c>
      <c r="Y166" s="97">
        <v>15.694098354892084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0</v>
      </c>
      <c r="J167" s="98">
        <v>0</v>
      </c>
      <c r="K167" s="98">
        <v>0</v>
      </c>
      <c r="L167" s="98">
        <v>30.614693877473673</v>
      </c>
      <c r="M167" s="98">
        <v>0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0</v>
      </c>
      <c r="U167" s="98">
        <v>0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119.96815776311952</v>
      </c>
      <c r="C171" s="152">
        <v>118.01103026692404</v>
      </c>
      <c r="D171" s="152">
        <v>116.52604151526235</v>
      </c>
      <c r="E171" s="152">
        <v>115.02281341962308</v>
      </c>
      <c r="F171" s="152">
        <v>113.4491454665303</v>
      </c>
      <c r="G171" s="152">
        <v>111.77306694804223</v>
      </c>
      <c r="H171" s="152">
        <v>110.06231845538478</v>
      </c>
      <c r="I171" s="152">
        <v>108.23025644980559</v>
      </c>
      <c r="J171" s="152">
        <v>106.12041956902685</v>
      </c>
      <c r="K171" s="152">
        <v>104.2510380977494</v>
      </c>
      <c r="L171" s="152">
        <v>102.46554249801387</v>
      </c>
      <c r="M171" s="152">
        <v>100.77891489640444</v>
      </c>
      <c r="N171" s="152">
        <v>99.775881207419602</v>
      </c>
      <c r="O171" s="152">
        <v>98.442713222527743</v>
      </c>
      <c r="P171" s="152">
        <v>97.173705504119212</v>
      </c>
      <c r="Q171" s="152">
        <v>95.30549342487609</v>
      </c>
      <c r="R171" s="152">
        <v>93.706806013053921</v>
      </c>
      <c r="S171" s="152">
        <v>92.848776698330013</v>
      </c>
      <c r="T171" s="152">
        <v>90.335905318117781</v>
      </c>
      <c r="U171" s="152">
        <v>88.742725305175483</v>
      </c>
      <c r="V171" s="152">
        <v>87.126294253951755</v>
      </c>
      <c r="W171" s="152">
        <v>85.664329077780039</v>
      </c>
      <c r="X171" s="152">
        <v>83.831758904456763</v>
      </c>
      <c r="Y171" s="152">
        <v>81.396006351400885</v>
      </c>
      <c r="DA171" s="174" t="s">
        <v>910</v>
      </c>
    </row>
    <row r="172" spans="1:105" ht="11.45" customHeight="1" x14ac:dyDescent="0.25">
      <c r="A172" s="109" t="s">
        <v>20</v>
      </c>
      <c r="B172" s="116">
        <v>235.52195810659379</v>
      </c>
      <c r="C172" s="116">
        <v>230.6173752998468</v>
      </c>
      <c r="D172" s="116">
        <v>228.82902875082002</v>
      </c>
      <c r="E172" s="116">
        <v>227.23692131402535</v>
      </c>
      <c r="F172" s="116">
        <v>225.31912325932603</v>
      </c>
      <c r="G172" s="116">
        <v>223.47076786687308</v>
      </c>
      <c r="H172" s="116">
        <v>222.46817906847326</v>
      </c>
      <c r="I172" s="116">
        <v>220.02311296376323</v>
      </c>
      <c r="J172" s="116">
        <v>217.9111990466578</v>
      </c>
      <c r="K172" s="116">
        <v>216.41457283558836</v>
      </c>
      <c r="L172" s="116">
        <v>212.35563010059971</v>
      </c>
      <c r="M172" s="116">
        <v>207.80207337000149</v>
      </c>
      <c r="N172" s="116">
        <v>208.48321626800589</v>
      </c>
      <c r="O172" s="116">
        <v>200.01414037550663</v>
      </c>
      <c r="P172" s="116">
        <v>205.48985143719966</v>
      </c>
      <c r="Q172" s="116">
        <v>198.20833057625464</v>
      </c>
      <c r="R172" s="116">
        <v>196.87607030224945</v>
      </c>
      <c r="S172" s="116">
        <v>195.35094287643275</v>
      </c>
      <c r="T172" s="116">
        <v>192.5893256097207</v>
      </c>
      <c r="U172" s="116">
        <v>187.64306350796443</v>
      </c>
      <c r="V172" s="116">
        <v>183.02426776087748</v>
      </c>
      <c r="W172" s="116">
        <v>174.1618218381027</v>
      </c>
      <c r="X172" s="116">
        <v>167.53220311145699</v>
      </c>
      <c r="Y172" s="116">
        <v>160.70521254675381</v>
      </c>
      <c r="DA172" s="176" t="s">
        <v>911</v>
      </c>
    </row>
    <row r="173" spans="1:105" ht="11.45" customHeight="1" x14ac:dyDescent="0.25">
      <c r="A173" s="111" t="s">
        <v>110</v>
      </c>
      <c r="B173" s="87">
        <v>235.64005545567915</v>
      </c>
      <c r="C173" s="87">
        <v>229.19890695575526</v>
      </c>
      <c r="D173" s="87">
        <v>226.84783136086503</v>
      </c>
      <c r="E173" s="87">
        <v>224.58219042917446</v>
      </c>
      <c r="F173" s="87">
        <v>222.90249016610039</v>
      </c>
      <c r="G173" s="87">
        <v>220.77916123671167</v>
      </c>
      <c r="H173" s="87">
        <v>219.07705230173272</v>
      </c>
      <c r="I173" s="87">
        <v>216.91647824736017</v>
      </c>
      <c r="J173" s="87">
        <v>214.88770182999465</v>
      </c>
      <c r="K173" s="87">
        <v>212.85307527475891</v>
      </c>
      <c r="L173" s="87">
        <v>210.37903670634088</v>
      </c>
      <c r="M173" s="87">
        <v>207.89276845151554</v>
      </c>
      <c r="N173" s="87">
        <v>205.44529627874891</v>
      </c>
      <c r="O173" s="87">
        <v>202.87313907991728</v>
      </c>
      <c r="P173" s="87">
        <v>200.68578747373766</v>
      </c>
      <c r="Q173" s="87">
        <v>196.23949296081986</v>
      </c>
      <c r="R173" s="87">
        <v>193.75551978046673</v>
      </c>
      <c r="S173" s="87">
        <v>190.16623481971988</v>
      </c>
      <c r="T173" s="87">
        <v>186.48614370636145</v>
      </c>
      <c r="U173" s="87">
        <v>181.72463324358606</v>
      </c>
      <c r="V173" s="87">
        <v>176.93926509308406</v>
      </c>
      <c r="W173" s="87">
        <v>169.62836238028217</v>
      </c>
      <c r="X173" s="87">
        <v>162.98006451003238</v>
      </c>
      <c r="Y173" s="87">
        <v>157.27870432896492</v>
      </c>
      <c r="DA173" s="171" t="s">
        <v>912</v>
      </c>
    </row>
    <row r="174" spans="1:105" ht="11.45" customHeight="1" x14ac:dyDescent="0.25">
      <c r="A174" s="111" t="s">
        <v>111</v>
      </c>
      <c r="B174" s="87">
        <v>249.90780285420951</v>
      </c>
      <c r="C174" s="87">
        <v>248.79467729403277</v>
      </c>
      <c r="D174" s="87">
        <v>247.37758565215586</v>
      </c>
      <c r="E174" s="87">
        <v>243.99451220145912</v>
      </c>
      <c r="F174" s="87">
        <v>243.47522497030724</v>
      </c>
      <c r="G174" s="87">
        <v>242.8635303859437</v>
      </c>
      <c r="H174" s="87">
        <v>238.65540136394853</v>
      </c>
      <c r="I174" s="87">
        <v>235.79643698273264</v>
      </c>
      <c r="J174" s="87">
        <v>233.98428952079266</v>
      </c>
      <c r="K174" s="87">
        <v>227.15273591516845</v>
      </c>
      <c r="L174" s="87">
        <v>224.65188942783141</v>
      </c>
      <c r="M174" s="87">
        <v>223.71545158296806</v>
      </c>
      <c r="N174" s="87">
        <v>222.89188211552568</v>
      </c>
      <c r="O174" s="87">
        <v>221.74233659177875</v>
      </c>
      <c r="P174" s="87">
        <v>189.05080317190499</v>
      </c>
      <c r="Q174" s="87">
        <v>185.92129186010084</v>
      </c>
      <c r="R174" s="87">
        <v>171.29072296553551</v>
      </c>
      <c r="S174" s="87">
        <v>162.88647340946576</v>
      </c>
      <c r="T174" s="87">
        <v>156.27880444083902</v>
      </c>
      <c r="U174" s="87">
        <v>151.30785670408952</v>
      </c>
      <c r="V174" s="87">
        <v>146.78704856227381</v>
      </c>
      <c r="W174" s="87">
        <v>144.50429354401081</v>
      </c>
      <c r="X174" s="87">
        <v>141.77717664932121</v>
      </c>
      <c r="Y174" s="87">
        <v>139.31584328282815</v>
      </c>
      <c r="DA174" s="171" t="s">
        <v>913</v>
      </c>
    </row>
    <row r="175" spans="1:105" ht="11.45" customHeight="1" x14ac:dyDescent="0.25">
      <c r="A175" s="111" t="s">
        <v>112</v>
      </c>
      <c r="B175" s="87">
        <v>212.63996494073677</v>
      </c>
      <c r="C175" s="87">
        <v>212.63996494073677</v>
      </c>
      <c r="D175" s="87">
        <v>212.6399649407368</v>
      </c>
      <c r="E175" s="87">
        <v>212.63996494073677</v>
      </c>
      <c r="F175" s="87">
        <v>212.63996494073677</v>
      </c>
      <c r="G175" s="87">
        <v>212.63996494073677</v>
      </c>
      <c r="H175" s="87">
        <v>212.14807288746456</v>
      </c>
      <c r="I175" s="87">
        <v>212.55329098260006</v>
      </c>
      <c r="J175" s="87">
        <v>213.45435229298212</v>
      </c>
      <c r="K175" s="87">
        <v>214.31558188900402</v>
      </c>
      <c r="L175" s="87">
        <v>209.8817191407976</v>
      </c>
      <c r="M175" s="87">
        <v>209.24166320879183</v>
      </c>
      <c r="N175" s="87">
        <v>208.69572737124892</v>
      </c>
      <c r="O175" s="87">
        <v>202.15895378208324</v>
      </c>
      <c r="P175" s="87">
        <v>200.70994689101306</v>
      </c>
      <c r="Q175" s="87">
        <v>197.45880518256556</v>
      </c>
      <c r="R175" s="87">
        <v>187.75397832148977</v>
      </c>
      <c r="S175" s="87">
        <v>187.25849344198761</v>
      </c>
      <c r="T175" s="87">
        <v>186.59771002286487</v>
      </c>
      <c r="U175" s="87">
        <v>185.05374161242386</v>
      </c>
      <c r="V175" s="87">
        <v>182.5836505817831</v>
      </c>
      <c r="W175" s="87">
        <v>181.72205930247699</v>
      </c>
      <c r="X175" s="87">
        <v>180.78132615932748</v>
      </c>
      <c r="Y175" s="87">
        <v>178.97210471214584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206.2804671563747</v>
      </c>
      <c r="D176" s="87">
        <v>205.78753757199786</v>
      </c>
      <c r="E176" s="87">
        <v>205.42982277312157</v>
      </c>
      <c r="F176" s="87">
        <v>205.39244492659603</v>
      </c>
      <c r="G176" s="87">
        <v>204.61150868295817</v>
      </c>
      <c r="H176" s="87">
        <v>203.85724780162502</v>
      </c>
      <c r="I176" s="87">
        <v>201.87383127341681</v>
      </c>
      <c r="J176" s="87">
        <v>201.43626865748166</v>
      </c>
      <c r="K176" s="87">
        <v>192.06248326314835</v>
      </c>
      <c r="L176" s="87">
        <v>186.67099271695702</v>
      </c>
      <c r="M176" s="87">
        <v>182.10053334558751</v>
      </c>
      <c r="N176" s="87">
        <v>180.70470097438084</v>
      </c>
      <c r="O176" s="87">
        <v>179.45322965750287</v>
      </c>
      <c r="P176" s="87">
        <v>178.61786675714157</v>
      </c>
      <c r="Q176" s="87">
        <v>164.7911702753546</v>
      </c>
      <c r="R176" s="87">
        <v>159.12370464478118</v>
      </c>
      <c r="S176" s="87">
        <v>155.80786529428406</v>
      </c>
      <c r="T176" s="87">
        <v>151.72678791433052</v>
      </c>
      <c r="U176" s="87">
        <v>143.40451550198605</v>
      </c>
      <c r="V176" s="87">
        <v>124.058083770612</v>
      </c>
      <c r="W176" s="87">
        <v>109.95957096830396</v>
      </c>
      <c r="X176" s="87">
        <v>107.41221529298522</v>
      </c>
      <c r="Y176" s="87">
        <v>105.48887429578895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46.139219941647873</v>
      </c>
      <c r="O177" s="87">
        <v>14.107431472155657</v>
      </c>
      <c r="P177" s="87">
        <v>27.853133932204788</v>
      </c>
      <c r="Q177" s="87">
        <v>34.981938298751068</v>
      </c>
      <c r="R177" s="87">
        <v>47.14534791122103</v>
      </c>
      <c r="S177" s="87">
        <v>55.587237132405853</v>
      </c>
      <c r="T177" s="87">
        <v>59.776128902469857</v>
      </c>
      <c r="U177" s="87">
        <v>62.63746185158903</v>
      </c>
      <c r="V177" s="87">
        <v>49.600638922290891</v>
      </c>
      <c r="W177" s="87">
        <v>42.088394679475876</v>
      </c>
      <c r="X177" s="87">
        <v>39.806776820114287</v>
      </c>
      <c r="Y177" s="87">
        <v>35.753539201443083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1803.9724180000496</v>
      </c>
      <c r="C179" s="116">
        <v>1706.087509515276</v>
      </c>
      <c r="D179" s="116">
        <v>1703.0746004467435</v>
      </c>
      <c r="E179" s="116">
        <v>1692.9339287035791</v>
      </c>
      <c r="F179" s="116">
        <v>1677.6185605305843</v>
      </c>
      <c r="G179" s="116">
        <v>1645.130587206073</v>
      </c>
      <c r="H179" s="116">
        <v>1619.9385337378017</v>
      </c>
      <c r="I179" s="116">
        <v>1582.9220955499572</v>
      </c>
      <c r="J179" s="116">
        <v>1565.66114832523</v>
      </c>
      <c r="K179" s="116">
        <v>1548.6536785672124</v>
      </c>
      <c r="L179" s="116">
        <v>1522.0117991044667</v>
      </c>
      <c r="M179" s="116">
        <v>1494.319672461769</v>
      </c>
      <c r="N179" s="116">
        <v>1465.2824940444225</v>
      </c>
      <c r="O179" s="116">
        <v>1266.300538216095</v>
      </c>
      <c r="P179" s="116">
        <v>1427.0666411321329</v>
      </c>
      <c r="Q179" s="116">
        <v>1411.2132338741058</v>
      </c>
      <c r="R179" s="116">
        <v>1403.9477140044298</v>
      </c>
      <c r="S179" s="116">
        <v>1405.2785880004828</v>
      </c>
      <c r="T179" s="116">
        <v>1365.4621099333449</v>
      </c>
      <c r="U179" s="116">
        <v>1354.9193601103625</v>
      </c>
      <c r="V179" s="116">
        <v>1331.2887988935238</v>
      </c>
      <c r="W179" s="116">
        <v>1305.8420903383139</v>
      </c>
      <c r="X179" s="116">
        <v>1256.1547009972385</v>
      </c>
      <c r="Y179" s="116">
        <v>1229.9757590600959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X180" s="101">
        <v>0</v>
      </c>
      <c r="Y180" s="101">
        <v>0</v>
      </c>
      <c r="DA180" s="175" t="s">
        <v>919</v>
      </c>
    </row>
    <row r="181" spans="1:105" ht="11.45" customHeight="1" x14ac:dyDescent="0.25">
      <c r="A181" s="111" t="s">
        <v>111</v>
      </c>
      <c r="B181" s="101">
        <v>1803.9724180000496</v>
      </c>
      <c r="C181" s="101">
        <v>1735.0483397860692</v>
      </c>
      <c r="D181" s="101">
        <v>1698.9033475527599</v>
      </c>
      <c r="E181" s="101">
        <v>1664.1308338814533</v>
      </c>
      <c r="F181" s="101">
        <v>1638.396450938008</v>
      </c>
      <c r="G181" s="101">
        <v>1609.6921618277638</v>
      </c>
      <c r="H181" s="101">
        <v>1583.6773855318024</v>
      </c>
      <c r="I181" s="101">
        <v>1561.1857660243963</v>
      </c>
      <c r="J181" s="101">
        <v>1540.4263625138735</v>
      </c>
      <c r="K181" s="101">
        <v>1520.566606594726</v>
      </c>
      <c r="L181" s="101">
        <v>1500.7118503507393</v>
      </c>
      <c r="M181" s="101">
        <v>1482.4543454379573</v>
      </c>
      <c r="N181" s="101">
        <v>1465.4527235865851</v>
      </c>
      <c r="O181" s="101">
        <v>1457.8378407457155</v>
      </c>
      <c r="P181" s="101">
        <v>1443.4382235210908</v>
      </c>
      <c r="Q181" s="101">
        <v>1432.8112689911277</v>
      </c>
      <c r="R181" s="101">
        <v>1423.0628048483184</v>
      </c>
      <c r="S181" s="101">
        <v>1410.4446965453581</v>
      </c>
      <c r="T181" s="101">
        <v>1398.0920732588381</v>
      </c>
      <c r="U181" s="101">
        <v>1378.2324684868981</v>
      </c>
      <c r="V181" s="101">
        <v>1355.1503000831924</v>
      </c>
      <c r="W181" s="101">
        <v>1328.6640450115417</v>
      </c>
      <c r="X181" s="101">
        <v>1295.2237354181489</v>
      </c>
      <c r="Y181" s="101">
        <v>1258.1430858700251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X182" s="101">
        <v>0</v>
      </c>
      <c r="Y182" s="101">
        <v>0</v>
      </c>
      <c r="DA182" s="175" t="s">
        <v>921</v>
      </c>
    </row>
    <row r="183" spans="1:105" ht="11.45" customHeight="1" x14ac:dyDescent="0.25">
      <c r="A183" s="111" t="s">
        <v>113</v>
      </c>
      <c r="B183" s="101">
        <v>0</v>
      </c>
      <c r="C183" s="101">
        <v>947.33288152190971</v>
      </c>
      <c r="D183" s="101">
        <v>946.81999632488157</v>
      </c>
      <c r="E183" s="101">
        <v>946.4564217405856</v>
      </c>
      <c r="F183" s="101">
        <v>946.45361162437541</v>
      </c>
      <c r="G183" s="101">
        <v>945.85640524233168</v>
      </c>
      <c r="H183" s="101">
        <v>945.14134300352339</v>
      </c>
      <c r="I183" s="101">
        <v>942.36645689966474</v>
      </c>
      <c r="J183" s="101">
        <v>940.27709431243966</v>
      </c>
      <c r="K183" s="101">
        <v>940.13074544412098</v>
      </c>
      <c r="L183" s="101">
        <v>939.93433542377409</v>
      </c>
      <c r="M183" s="101">
        <v>938.56101985364603</v>
      </c>
      <c r="N183" s="101">
        <v>934.10922122816271</v>
      </c>
      <c r="O183" s="101">
        <v>933.58131614972774</v>
      </c>
      <c r="P183" s="101">
        <v>923.63733372663046</v>
      </c>
      <c r="Q183" s="101">
        <v>909.20103297139656</v>
      </c>
      <c r="R183" s="101">
        <v>898.7294022951055</v>
      </c>
      <c r="S183" s="101">
        <v>896.20524747710385</v>
      </c>
      <c r="T183" s="101">
        <v>877.65371978307905</v>
      </c>
      <c r="U183" s="101">
        <v>865.8091885653472</v>
      </c>
      <c r="V183" s="101">
        <v>855.72269730033895</v>
      </c>
      <c r="W183" s="101">
        <v>847.94744494479176</v>
      </c>
      <c r="X183" s="101">
        <v>839.01482689918021</v>
      </c>
      <c r="Y183" s="101">
        <v>833.8185187896662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364.28678445150717</v>
      </c>
      <c r="C186" s="152">
        <v>357.91767491456022</v>
      </c>
      <c r="D186" s="152">
        <v>342.82636933878609</v>
      </c>
      <c r="E186" s="152">
        <v>328.75239584363186</v>
      </c>
      <c r="F186" s="152">
        <v>317.22956436794851</v>
      </c>
      <c r="G186" s="152">
        <v>302.85381971694494</v>
      </c>
      <c r="H186" s="152">
        <v>291.18893882998549</v>
      </c>
      <c r="I186" s="152">
        <v>271.40397902045453</v>
      </c>
      <c r="J186" s="152">
        <v>249.17064247070928</v>
      </c>
      <c r="K186" s="152">
        <v>264.74182659455715</v>
      </c>
      <c r="L186" s="152">
        <v>233.93840790299879</v>
      </c>
      <c r="M186" s="152">
        <v>223.14334856520759</v>
      </c>
      <c r="N186" s="152">
        <v>261.69510340787411</v>
      </c>
      <c r="O186" s="152">
        <v>208.09133867021467</v>
      </c>
      <c r="P186" s="152">
        <v>187.60528411836654</v>
      </c>
      <c r="Q186" s="152">
        <v>193.89974809866871</v>
      </c>
      <c r="R186" s="152">
        <v>189.97962226203344</v>
      </c>
      <c r="S186" s="152">
        <v>232.54223432579855</v>
      </c>
      <c r="T186" s="152">
        <v>179.97176162442781</v>
      </c>
      <c r="U186" s="152">
        <v>211.85508278759877</v>
      </c>
      <c r="V186" s="152">
        <v>193.18123348354126</v>
      </c>
      <c r="W186" s="152">
        <v>209.72253024126167</v>
      </c>
      <c r="X186" s="152">
        <v>191.10644387085554</v>
      </c>
      <c r="Y186" s="152">
        <v>231.03803260439867</v>
      </c>
      <c r="DA186" s="174" t="s">
        <v>924</v>
      </c>
    </row>
    <row r="187" spans="1:105" ht="11.45" customHeight="1" x14ac:dyDescent="0.25">
      <c r="A187" s="111" t="s">
        <v>110</v>
      </c>
      <c r="B187" s="87">
        <v>344.6318380387861</v>
      </c>
      <c r="C187" s="87">
        <v>333.70629531558865</v>
      </c>
      <c r="D187" s="87">
        <v>323.114067647654</v>
      </c>
      <c r="E187" s="87">
        <v>315.2776316774918</v>
      </c>
      <c r="F187" s="87">
        <v>309.14467973475172</v>
      </c>
      <c r="G187" s="87">
        <v>302.58225946457384</v>
      </c>
      <c r="H187" s="87">
        <v>295.74403811327727</v>
      </c>
      <c r="I187" s="87">
        <v>285.26520877450463</v>
      </c>
      <c r="J187" s="87">
        <v>275.57757860976756</v>
      </c>
      <c r="K187" s="87">
        <v>270.60361730518849</v>
      </c>
      <c r="L187" s="87">
        <v>264.12086659215231</v>
      </c>
      <c r="M187" s="87">
        <v>257.72411138134225</v>
      </c>
      <c r="N187" s="87">
        <v>258.88599776889396</v>
      </c>
      <c r="O187" s="87">
        <v>254.47913872132739</v>
      </c>
      <c r="P187" s="87">
        <v>247.27314788746625</v>
      </c>
      <c r="Q187" s="87">
        <v>237.70317478312967</v>
      </c>
      <c r="R187" s="87">
        <v>227.72228520714646</v>
      </c>
      <c r="S187" s="87">
        <v>226.38784666697299</v>
      </c>
      <c r="T187" s="87">
        <v>221.0026847174363</v>
      </c>
      <c r="U187" s="87">
        <v>210.24101020251504</v>
      </c>
      <c r="V187" s="87">
        <v>202.25668443300708</v>
      </c>
      <c r="W187" s="87">
        <v>193.62439069342486</v>
      </c>
      <c r="X187" s="87">
        <v>185.51044584201608</v>
      </c>
      <c r="Y187" s="87">
        <v>178.18773381186691</v>
      </c>
      <c r="DA187" s="171" t="s">
        <v>925</v>
      </c>
    </row>
    <row r="188" spans="1:105" ht="11.45" customHeight="1" x14ac:dyDescent="0.25">
      <c r="A188" s="111" t="s">
        <v>111</v>
      </c>
      <c r="B188" s="87">
        <v>331.41898277912702</v>
      </c>
      <c r="C188" s="87">
        <v>309.36482029335133</v>
      </c>
      <c r="D188" s="87">
        <v>294.38101494274713</v>
      </c>
      <c r="E188" s="87">
        <v>276.0018588117743</v>
      </c>
      <c r="F188" s="87">
        <v>267.51068888339029</v>
      </c>
      <c r="G188" s="87">
        <v>261.03292381826446</v>
      </c>
      <c r="H188" s="87">
        <v>252.57536875250551</v>
      </c>
      <c r="I188" s="87">
        <v>246.68941637329831</v>
      </c>
      <c r="J188" s="87">
        <v>243.0116674809133</v>
      </c>
      <c r="K188" s="87">
        <v>238.45226878855368</v>
      </c>
      <c r="L188" s="87">
        <v>237.69476625861773</v>
      </c>
      <c r="M188" s="87">
        <v>235.30017327289298</v>
      </c>
      <c r="N188" s="87">
        <v>233.27513116957979</v>
      </c>
      <c r="O188" s="87">
        <v>231.39736824256201</v>
      </c>
      <c r="P188" s="87">
        <v>229.81832604602326</v>
      </c>
      <c r="Q188" s="87">
        <v>224.66710636202546</v>
      </c>
      <c r="R188" s="87">
        <v>219.94695362260532</v>
      </c>
      <c r="S188" s="87">
        <v>217.23474730169801</v>
      </c>
      <c r="T188" s="87">
        <v>215.10713135966404</v>
      </c>
      <c r="U188" s="87">
        <v>212.8269263067354</v>
      </c>
      <c r="V188" s="87">
        <v>211.11353684164951</v>
      </c>
      <c r="W188" s="87">
        <v>208.64848908270918</v>
      </c>
      <c r="X188" s="87">
        <v>206.99356518435087</v>
      </c>
      <c r="Y188" s="87">
        <v>201.8571159930722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0</v>
      </c>
      <c r="P189" s="87">
        <v>0</v>
      </c>
      <c r="Q189" s="87">
        <v>0</v>
      </c>
      <c r="R189" s="87">
        <v>0</v>
      </c>
      <c r="S189" s="87">
        <v>0</v>
      </c>
      <c r="T189" s="87">
        <v>0</v>
      </c>
      <c r="U189" s="87">
        <v>0</v>
      </c>
      <c r="V189" s="87">
        <v>0</v>
      </c>
      <c r="W189" s="87">
        <v>0</v>
      </c>
      <c r="X189" s="87">
        <v>0</v>
      </c>
      <c r="Y189" s="87">
        <v>0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X190" s="87">
        <v>0</v>
      </c>
      <c r="Y190" s="87">
        <v>0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930.56255895208903</v>
      </c>
      <c r="C192" s="116">
        <v>927.33596596441566</v>
      </c>
      <c r="D192" s="116">
        <v>923.83512039212951</v>
      </c>
      <c r="E192" s="116">
        <v>921.78425378775069</v>
      </c>
      <c r="F192" s="116">
        <v>909.8769273898879</v>
      </c>
      <c r="G192" s="116">
        <v>906.5702480206653</v>
      </c>
      <c r="H192" s="116">
        <v>899.78525749967298</v>
      </c>
      <c r="I192" s="116">
        <v>896.37652547090204</v>
      </c>
      <c r="J192" s="116">
        <v>886.62053327783292</v>
      </c>
      <c r="K192" s="116">
        <v>882.83190430351704</v>
      </c>
      <c r="L192" s="116">
        <v>878.75704836261423</v>
      </c>
      <c r="M192" s="116">
        <v>873.99643948303549</v>
      </c>
      <c r="N192" s="116">
        <v>869.16649491271153</v>
      </c>
      <c r="O192" s="116">
        <v>864.26497538623482</v>
      </c>
      <c r="P192" s="116">
        <v>859.40902783043884</v>
      </c>
      <c r="Q192" s="116">
        <v>853.35148734698214</v>
      </c>
      <c r="R192" s="116">
        <v>846.11002082155164</v>
      </c>
      <c r="S192" s="116">
        <v>837.17644295010484</v>
      </c>
      <c r="T192" s="116">
        <v>825.10366952342486</v>
      </c>
      <c r="U192" s="116">
        <v>811.37228802998106</v>
      </c>
      <c r="V192" s="116">
        <v>795.08177531588933</v>
      </c>
      <c r="W192" s="116">
        <v>778.22857838326763</v>
      </c>
      <c r="X192" s="116">
        <v>756.1073306753342</v>
      </c>
      <c r="Y192" s="116">
        <v>731.12511767826777</v>
      </c>
      <c r="DA192" s="176" t="s">
        <v>930</v>
      </c>
    </row>
    <row r="193" spans="1:105" ht="11.45" customHeight="1" x14ac:dyDescent="0.25">
      <c r="A193" s="128" t="s">
        <v>27</v>
      </c>
      <c r="B193" s="101">
        <v>868.84724002888652</v>
      </c>
      <c r="C193" s="101">
        <v>865.83221163350265</v>
      </c>
      <c r="D193" s="101">
        <v>862.56930320543836</v>
      </c>
      <c r="E193" s="101">
        <v>860.65972859051521</v>
      </c>
      <c r="F193" s="101">
        <v>849.60044025069749</v>
      </c>
      <c r="G193" s="101">
        <v>846.32359946703752</v>
      </c>
      <c r="H193" s="101">
        <v>839.98676132537275</v>
      </c>
      <c r="I193" s="101">
        <v>837.03777177241045</v>
      </c>
      <c r="J193" s="101">
        <v>828.10464613755437</v>
      </c>
      <c r="K193" s="101">
        <v>824.6243557337209</v>
      </c>
      <c r="L193" s="101">
        <v>820.66292281520543</v>
      </c>
      <c r="M193" s="101">
        <v>816.42831040420265</v>
      </c>
      <c r="N193" s="101">
        <v>811.77865607689853</v>
      </c>
      <c r="O193" s="101">
        <v>807.03926040032889</v>
      </c>
      <c r="P193" s="101">
        <v>802.39792022597248</v>
      </c>
      <c r="Q193" s="101">
        <v>796.60801949400764</v>
      </c>
      <c r="R193" s="101">
        <v>789.72172917862656</v>
      </c>
      <c r="S193" s="101">
        <v>781.30314190787499</v>
      </c>
      <c r="T193" s="101">
        <v>769.56576910125705</v>
      </c>
      <c r="U193" s="101">
        <v>758.234102993938</v>
      </c>
      <c r="V193" s="101">
        <v>742.91703870389108</v>
      </c>
      <c r="W193" s="101">
        <v>726.85828988164997</v>
      </c>
      <c r="X193" s="101">
        <v>705.24180095073723</v>
      </c>
      <c r="Y193" s="101">
        <v>680.58191426979249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1055.3287964962456</v>
      </c>
      <c r="D194" s="88">
        <v>1045.9648910388926</v>
      </c>
      <c r="E194" s="88">
        <v>1038.5056061653347</v>
      </c>
      <c r="F194" s="88">
        <v>1019.3853429736427</v>
      </c>
      <c r="G194" s="88">
        <v>1010.7462153850878</v>
      </c>
      <c r="H194" s="88">
        <v>990.93478368654553</v>
      </c>
      <c r="I194" s="88">
        <v>983.71223601700308</v>
      </c>
      <c r="J194" s="88">
        <v>977.77893125282174</v>
      </c>
      <c r="K194" s="88">
        <v>971.84503507328964</v>
      </c>
      <c r="L194" s="88">
        <v>945.34071634118334</v>
      </c>
      <c r="M194" s="88">
        <v>931.41132589583401</v>
      </c>
      <c r="N194" s="88">
        <v>918.24256670344073</v>
      </c>
      <c r="O194" s="88">
        <v>902.63798998424102</v>
      </c>
      <c r="P194" s="88">
        <v>897.97724062680493</v>
      </c>
      <c r="Q194" s="88">
        <v>882.11400569167267</v>
      </c>
      <c r="R194" s="88">
        <v>866.91686059544088</v>
      </c>
      <c r="S194" s="88">
        <v>835.76768007826547</v>
      </c>
      <c r="T194" s="88">
        <v>832.30599169140567</v>
      </c>
      <c r="U194" s="88">
        <v>793.42277278884183</v>
      </c>
      <c r="V194" s="88">
        <v>767.81556904085141</v>
      </c>
      <c r="W194" s="88">
        <v>752.0109002215961</v>
      </c>
      <c r="X194" s="88">
        <v>747.31932313977939</v>
      </c>
      <c r="Y194" s="88">
        <v>743.87678948106134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1.0783152597997752</v>
      </c>
      <c r="C198" s="150">
        <f>IF(TrRoad_act!C59=0,0,TrRoad_emi!C56/TrRoad_tech!C171)</f>
        <v>1.123171498147324</v>
      </c>
      <c r="D198" s="150">
        <f>IF(TrRoad_act!D59=0,0,TrRoad_emi!D56/TrRoad_tech!D171)</f>
        <v>1.128915850140161</v>
      </c>
      <c r="E198" s="150">
        <f>IF(TrRoad_act!E59=0,0,TrRoad_emi!E56/TrRoad_tech!E171)</f>
        <v>1.1304150604334697</v>
      </c>
      <c r="F198" s="150">
        <f>IF(TrRoad_act!F59=0,0,TrRoad_emi!F56/TrRoad_tech!F171)</f>
        <v>1.1117673067292007</v>
      </c>
      <c r="G198" s="150">
        <f>IF(TrRoad_act!G59=0,0,TrRoad_emi!G56/TrRoad_tech!G171)</f>
        <v>1.1354620979095131</v>
      </c>
      <c r="H198" s="150">
        <f>IF(TrRoad_act!H59=0,0,TrRoad_emi!H56/TrRoad_tech!H171)</f>
        <v>1.1102616728056387</v>
      </c>
      <c r="I198" s="150">
        <f>IF(TrRoad_act!I59=0,0,TrRoad_emi!I56/TrRoad_tech!I171)</f>
        <v>1.1046056116387979</v>
      </c>
      <c r="J198" s="150">
        <f>IF(TrRoad_act!J59=0,0,TrRoad_emi!J56/TrRoad_tech!J171)</f>
        <v>1.1302468090712203</v>
      </c>
      <c r="K198" s="150">
        <f>IF(TrRoad_act!K59=0,0,TrRoad_emi!K56/TrRoad_tech!K171)</f>
        <v>1.1538041139984114</v>
      </c>
      <c r="L198" s="150">
        <f>IF(TrRoad_act!L59=0,0,TrRoad_emi!L56/TrRoad_tech!L171)</f>
        <v>1.1627385936318593</v>
      </c>
      <c r="M198" s="150">
        <f>IF(TrRoad_act!M59=0,0,TrRoad_emi!M56/TrRoad_tech!M171)</f>
        <v>1.1676015962373865</v>
      </c>
      <c r="N198" s="150">
        <f>IF(TrRoad_act!N59=0,0,TrRoad_emi!N56/TrRoad_tech!N171)</f>
        <v>1.1575029574006404</v>
      </c>
      <c r="O198" s="150">
        <f>IF(TrRoad_act!O59=0,0,TrRoad_emi!O56/TrRoad_tech!O171)</f>
        <v>1.1515952398766562</v>
      </c>
      <c r="P198" s="150">
        <f>IF(TrRoad_act!P59=0,0,TrRoad_emi!P56/TrRoad_tech!P171)</f>
        <v>1.122245544085327</v>
      </c>
      <c r="Q198" s="150">
        <f>IF(TrRoad_act!Q59=0,0,TrRoad_emi!Q56/TrRoad_tech!Q171)</f>
        <v>1.1283907522935941</v>
      </c>
      <c r="R198" s="150">
        <f>IF(TrRoad_act!R59=0,0,TrRoad_emi!R56/TrRoad_tech!R171)</f>
        <v>1.1342536770280893</v>
      </c>
      <c r="S198" s="150">
        <f>IF(TrRoad_act!S59=0,0,TrRoad_emi!S56/TrRoad_tech!S171)</f>
        <v>1.1375913305252634</v>
      </c>
      <c r="T198" s="150">
        <f>IF(TrRoad_act!T59=0,0,TrRoad_emi!T56/TrRoad_tech!T171)</f>
        <v>1.14875240136398</v>
      </c>
      <c r="U198" s="150">
        <f>IF(TrRoad_act!U59=0,0,TrRoad_emi!U56/TrRoad_tech!U171)</f>
        <v>1.1423540347612089</v>
      </c>
      <c r="V198" s="150">
        <f>IF(TrRoad_act!V59=0,0,TrRoad_emi!V56/TrRoad_tech!V171)</f>
        <v>1.1255675607755808</v>
      </c>
      <c r="W198" s="150">
        <f>IF(TrRoad_act!W59=0,0,TrRoad_emi!W56/TrRoad_tech!W171)</f>
        <v>1.1330604479468307</v>
      </c>
      <c r="X198" s="150">
        <f>IF(TrRoad_act!X59=0,0,TrRoad_emi!X56/TrRoad_tech!X171)</f>
        <v>1.1898649989165504</v>
      </c>
      <c r="Y198" s="150">
        <f>IF(TrRoad_act!Y59=0,0,TrRoad_emi!Y56/TrRoad_tech!Y171)</f>
        <v>1.1965392447674488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1.0606652985331531</v>
      </c>
      <c r="C199" s="151">
        <f>IF(TrRoad_act!C60=0,0,TrRoad_emi!C57/TrRoad_tech!C172)</f>
        <v>1.0355676204723416</v>
      </c>
      <c r="D199" s="151">
        <f>IF(TrRoad_act!D60=0,0,TrRoad_emi!D57/TrRoad_tech!D172)</f>
        <v>1.0249367504292348</v>
      </c>
      <c r="E199" s="151">
        <f>IF(TrRoad_act!E60=0,0,TrRoad_emi!E57/TrRoad_tech!E172)</f>
        <v>1.0222854227475031</v>
      </c>
      <c r="F199" s="151">
        <f>IF(TrRoad_act!F60=0,0,TrRoad_emi!F57/TrRoad_tech!F172)</f>
        <v>0.99939595487906496</v>
      </c>
      <c r="G199" s="151">
        <f>IF(TrRoad_act!G60=0,0,TrRoad_emi!G57/TrRoad_tech!G172)</f>
        <v>0.99013976956372241</v>
      </c>
      <c r="H199" s="151">
        <f>IF(TrRoad_act!H60=0,0,TrRoad_emi!H57/TrRoad_tech!H172)</f>
        <v>0.96901667041650841</v>
      </c>
      <c r="I199" s="151">
        <f>IF(TrRoad_act!I60=0,0,TrRoad_emi!I57/TrRoad_tech!I172)</f>
        <v>0.97731864015946712</v>
      </c>
      <c r="J199" s="151">
        <f>IF(TrRoad_act!J60=0,0,TrRoad_emi!J57/TrRoad_tech!J172)</f>
        <v>0.91613782558117229</v>
      </c>
      <c r="K199" s="151">
        <f>IF(TrRoad_act!K60=0,0,TrRoad_emi!K57/TrRoad_tech!K172)</f>
        <v>0.93887944202976248</v>
      </c>
      <c r="L199" s="151">
        <f>IF(TrRoad_act!L60=0,0,TrRoad_emi!L57/TrRoad_tech!L172)</f>
        <v>0.87570673772709329</v>
      </c>
      <c r="M199" s="151">
        <f>IF(TrRoad_act!M60=0,0,TrRoad_emi!M57/TrRoad_tech!M172)</f>
        <v>0.91316382328722112</v>
      </c>
      <c r="N199" s="151">
        <f>IF(TrRoad_act!N60=0,0,TrRoad_emi!N57/TrRoad_tech!N172)</f>
        <v>0.88888478322496656</v>
      </c>
      <c r="O199" s="151">
        <f>IF(TrRoad_act!O60=0,0,TrRoad_emi!O57/TrRoad_tech!O172)</f>
        <v>0.89812337289320043</v>
      </c>
      <c r="P199" s="151">
        <f>IF(TrRoad_act!P60=0,0,TrRoad_emi!P57/TrRoad_tech!P172)</f>
        <v>0.8532269334261503</v>
      </c>
      <c r="Q199" s="151">
        <f>IF(TrRoad_act!Q60=0,0,TrRoad_emi!Q57/TrRoad_tech!Q172)</f>
        <v>0.91673853141510431</v>
      </c>
      <c r="R199" s="151">
        <f>IF(TrRoad_act!R60=0,0,TrRoad_emi!R57/TrRoad_tech!R172)</f>
        <v>0.91078374888164737</v>
      </c>
      <c r="S199" s="151">
        <f>IF(TrRoad_act!S60=0,0,TrRoad_emi!S57/TrRoad_tech!S172)</f>
        <v>0.90174606468572849</v>
      </c>
      <c r="T199" s="151">
        <f>IF(TrRoad_act!T60=0,0,TrRoad_emi!T57/TrRoad_tech!T172)</f>
        <v>0.89511746470799936</v>
      </c>
      <c r="U199" s="151">
        <f>IF(TrRoad_act!U60=0,0,TrRoad_emi!U57/TrRoad_tech!U172)</f>
        <v>0.90927135684427141</v>
      </c>
      <c r="V199" s="151">
        <f>IF(TrRoad_act!V60=0,0,TrRoad_emi!V57/TrRoad_tech!V172)</f>
        <v>0.80055155415694201</v>
      </c>
      <c r="W199" s="151">
        <f>IF(TrRoad_act!W60=0,0,TrRoad_emi!W57/TrRoad_tech!W172)</f>
        <v>0.89758772486469829</v>
      </c>
      <c r="X199" s="151">
        <f>IF(TrRoad_act!X60=0,0,TrRoad_emi!X57/TrRoad_tech!X172)</f>
        <v>0.98794185532023715</v>
      </c>
      <c r="Y199" s="151">
        <f>IF(TrRoad_act!Y60=0,0,TrRoad_emi!Y57/TrRoad_tech!Y172)</f>
        <v>1.0678534625968292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1.0716005099050723</v>
      </c>
      <c r="C200" s="91">
        <f>IF(TrRoad_act!C61=0,0,TrRoad_emi!C58/TrRoad_tech!C173)</f>
        <v>1.0490294598897745</v>
      </c>
      <c r="D200" s="91">
        <f>IF(TrRoad_act!D61=0,0,TrRoad_emi!D58/TrRoad_tech!D173)</f>
        <v>1.0401855549046104</v>
      </c>
      <c r="E200" s="91">
        <f>IF(TrRoad_act!E61=0,0,TrRoad_emi!E58/TrRoad_tech!E173)</f>
        <v>1.0413649778759442</v>
      </c>
      <c r="F200" s="91">
        <f>IF(TrRoad_act!F61=0,0,TrRoad_emi!F58/TrRoad_tech!F173)</f>
        <v>1.0146395062678397</v>
      </c>
      <c r="G200" s="91">
        <f>IF(TrRoad_act!G61=0,0,TrRoad_emi!G58/TrRoad_tech!G173)</f>
        <v>1.0053427098259728</v>
      </c>
      <c r="H200" s="91">
        <f>IF(TrRoad_act!H61=0,0,TrRoad_emi!H58/TrRoad_tech!H173)</f>
        <v>0.98748971562272503</v>
      </c>
      <c r="I200" s="91">
        <f>IF(TrRoad_act!I61=0,0,TrRoad_emi!I58/TrRoad_tech!I173)</f>
        <v>0.99414550368379029</v>
      </c>
      <c r="J200" s="91">
        <f>IF(TrRoad_act!J61=0,0,TrRoad_emi!J58/TrRoad_tech!J173)</f>
        <v>0.93005681764666237</v>
      </c>
      <c r="K200" s="91">
        <f>IF(TrRoad_act!K61=0,0,TrRoad_emi!K58/TrRoad_tech!K173)</f>
        <v>0.95279587352776407</v>
      </c>
      <c r="L200" s="91">
        <f>IF(TrRoad_act!L61=0,0,TrRoad_emi!L58/TrRoad_tech!L173)</f>
        <v>0.87755153559907861</v>
      </c>
      <c r="M200" s="91">
        <f>IF(TrRoad_act!M61=0,0,TrRoad_emi!M58/TrRoad_tech!M173)</f>
        <v>0.881124300569601</v>
      </c>
      <c r="N200" s="91">
        <f>IF(TrRoad_act!N61=0,0,TrRoad_emi!N58/TrRoad_tech!N173)</f>
        <v>0.88425581259210773</v>
      </c>
      <c r="O200" s="91">
        <f>IF(TrRoad_act!O61=0,0,TrRoad_emi!O58/TrRoad_tech!O173)</f>
        <v>0.87872269112215895</v>
      </c>
      <c r="P200" s="91">
        <f>IF(TrRoad_act!P61=0,0,TrRoad_emi!P58/TrRoad_tech!P173)</f>
        <v>0.87897788312331693</v>
      </c>
      <c r="Q200" s="91">
        <f>IF(TrRoad_act!Q61=0,0,TrRoad_emi!Q58/TrRoad_tech!Q173)</f>
        <v>0.87762546155143062</v>
      </c>
      <c r="R200" s="91">
        <f>IF(TrRoad_act!R61=0,0,TrRoad_emi!R58/TrRoad_tech!R173)</f>
        <v>0.88152995212837237</v>
      </c>
      <c r="S200" s="91">
        <f>IF(TrRoad_act!S61=0,0,TrRoad_emi!S58/TrRoad_tech!S173)</f>
        <v>0.87610205800004859</v>
      </c>
      <c r="T200" s="91">
        <f>IF(TrRoad_act!T61=0,0,TrRoad_emi!T58/TrRoad_tech!T173)</f>
        <v>0.87989093919814332</v>
      </c>
      <c r="U200" s="91">
        <f>IF(TrRoad_act!U61=0,0,TrRoad_emi!U58/TrRoad_tech!U173)</f>
        <v>0.89309320421041116</v>
      </c>
      <c r="V200" s="91">
        <f>IF(TrRoad_act!V61=0,0,TrRoad_emi!V58/TrRoad_tech!V173)</f>
        <v>0.79219459033344963</v>
      </c>
      <c r="W200" s="91">
        <f>IF(TrRoad_act!W61=0,0,TrRoad_emi!W58/TrRoad_tech!W173)</f>
        <v>0.86778087213799449</v>
      </c>
      <c r="X200" s="91">
        <f>IF(TrRoad_act!X61=0,0,TrRoad_emi!X58/TrRoad_tech!X173)</f>
        <v>0.93943086214029725</v>
      </c>
      <c r="Y200" s="91">
        <f>IF(TrRoad_act!Y61=0,0,TrRoad_emi!Y58/TrRoad_tech!Y173)</f>
        <v>0.99174330600789584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0.85737467775363663</v>
      </c>
      <c r="C201" s="91">
        <f>IF(TrRoad_act!C62=0,0,TrRoad_emi!C59/TrRoad_tech!C174)</f>
        <v>0.85315904944822596</v>
      </c>
      <c r="D201" s="91">
        <f>IF(TrRoad_act!D62=0,0,TrRoad_emi!D59/TrRoad_tech!D174)</f>
        <v>0.84450687343827024</v>
      </c>
      <c r="E201" s="91">
        <f>IF(TrRoad_act!E62=0,0,TrRoad_emi!E59/TrRoad_tech!E174)</f>
        <v>0.84598783734242233</v>
      </c>
      <c r="F201" s="91">
        <f>IF(TrRoad_act!F62=0,0,TrRoad_emi!F59/TrRoad_tech!F174)</f>
        <v>0.84315532752598576</v>
      </c>
      <c r="G201" s="91">
        <f>IF(TrRoad_act!G62=0,0,TrRoad_emi!G59/TrRoad_tech!G174)</f>
        <v>0.84886865582305115</v>
      </c>
      <c r="H201" s="91">
        <f>IF(TrRoad_act!H62=0,0,TrRoad_emi!H59/TrRoad_tech!H174)</f>
        <v>0.83729674036848301</v>
      </c>
      <c r="I201" s="91">
        <f>IF(TrRoad_act!I62=0,0,TrRoad_emi!I59/TrRoad_tech!I174)</f>
        <v>0.85738818396246852</v>
      </c>
      <c r="J201" s="91">
        <f>IF(TrRoad_act!J62=0,0,TrRoad_emi!J59/TrRoad_tech!J174)</f>
        <v>0.82375290079581054</v>
      </c>
      <c r="K201" s="91">
        <f>IF(TrRoad_act!K62=0,0,TrRoad_emi!K59/TrRoad_tech!K174)</f>
        <v>0.91779191202339316</v>
      </c>
      <c r="L201" s="91">
        <f>IF(TrRoad_act!L62=0,0,TrRoad_emi!L59/TrRoad_tech!L174)</f>
        <v>0.90939139138801994</v>
      </c>
      <c r="M201" s="91">
        <f>IF(TrRoad_act!M62=0,0,TrRoad_emi!M59/TrRoad_tech!M174)</f>
        <v>0.95108671295909808</v>
      </c>
      <c r="N201" s="91">
        <f>IF(TrRoad_act!N62=0,0,TrRoad_emi!N59/TrRoad_tech!N174)</f>
        <v>1.0685511469202158</v>
      </c>
      <c r="O201" s="91">
        <f>IF(TrRoad_act!O62=0,0,TrRoad_emi!O59/TrRoad_tech!O174)</f>
        <v>0.71137639489094229</v>
      </c>
      <c r="P201" s="91">
        <f>IF(TrRoad_act!P62=0,0,TrRoad_emi!P59/TrRoad_tech!P174)</f>
        <v>0.66368758186570476</v>
      </c>
      <c r="Q201" s="91">
        <f>IF(TrRoad_act!Q62=0,0,TrRoad_emi!Q59/TrRoad_tech!Q174)</f>
        <v>1.4079131150160602</v>
      </c>
      <c r="R201" s="91">
        <f>IF(TrRoad_act!R62=0,0,TrRoad_emi!R59/TrRoad_tech!R174)</f>
        <v>1.4186287912566136</v>
      </c>
      <c r="S201" s="91">
        <f>IF(TrRoad_act!S62=0,0,TrRoad_emi!S59/TrRoad_tech!S174)</f>
        <v>1.4420429241746631</v>
      </c>
      <c r="T201" s="91">
        <f>IF(TrRoad_act!T62=0,0,TrRoad_emi!T59/TrRoad_tech!T174)</f>
        <v>1.3336195583479378</v>
      </c>
      <c r="U201" s="91">
        <f>IF(TrRoad_act!U62=0,0,TrRoad_emi!U59/TrRoad_tech!U174)</f>
        <v>1.3015492661376009</v>
      </c>
      <c r="V201" s="91">
        <f>IF(TrRoad_act!V62=0,0,TrRoad_emi!V59/TrRoad_tech!V174)</f>
        <v>1.0586945719509122</v>
      </c>
      <c r="W201" s="91">
        <f>IF(TrRoad_act!W62=0,0,TrRoad_emi!W59/TrRoad_tech!W174)</f>
        <v>1.2456728893426892</v>
      </c>
      <c r="X201" s="91">
        <f>IF(TrRoad_act!X62=0,0,TrRoad_emi!X59/TrRoad_tech!X174)</f>
        <v>1.4488919075304709</v>
      </c>
      <c r="Y201" s="91">
        <f>IF(TrRoad_act!Y62=0,0,TrRoad_emi!Y59/TrRoad_tech!Y174)</f>
        <v>1.6379617679885883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1.1450981103874649</v>
      </c>
      <c r="C202" s="91">
        <f>IF(TrRoad_act!C63=0,0,TrRoad_emi!C60/TrRoad_tech!C175)</f>
        <v>1.2507853493790237</v>
      </c>
      <c r="D202" s="91">
        <f>IF(TrRoad_act!D63=0,0,TrRoad_emi!D60/TrRoad_tech!D175)</f>
        <v>1.2774836361636976</v>
      </c>
      <c r="E202" s="91">
        <f>IF(TrRoad_act!E63=0,0,TrRoad_emi!E60/TrRoad_tech!E175)</f>
        <v>1.1522649886239766</v>
      </c>
      <c r="F202" s="91">
        <f>IF(TrRoad_act!F63=0,0,TrRoad_emi!F60/TrRoad_tech!F175)</f>
        <v>1.1551826137477794</v>
      </c>
      <c r="G202" s="91">
        <f>IF(TrRoad_act!G63=0,0,TrRoad_emi!G60/TrRoad_tech!G175)</f>
        <v>1.1565265849500734</v>
      </c>
      <c r="H202" s="91">
        <f>IF(TrRoad_act!H63=0,0,TrRoad_emi!H60/TrRoad_tech!H175)</f>
        <v>1.1476737992482173</v>
      </c>
      <c r="I202" s="91">
        <f>IF(TrRoad_act!I63=0,0,TrRoad_emi!I60/TrRoad_tech!I175)</f>
        <v>1.1273582811983687</v>
      </c>
      <c r="J202" s="91">
        <f>IF(TrRoad_act!J63=0,0,TrRoad_emi!J60/TrRoad_tech!J175)</f>
        <v>1.1127836898552594</v>
      </c>
      <c r="K202" s="91">
        <f>IF(TrRoad_act!K63=0,0,TrRoad_emi!K60/TrRoad_tech!K175)</f>
        <v>1.0465696830219295</v>
      </c>
      <c r="L202" s="91">
        <f>IF(TrRoad_act!L63=0,0,TrRoad_emi!L60/TrRoad_tech!L175)</f>
        <v>1.0432630941693761</v>
      </c>
      <c r="M202" s="91">
        <f>IF(TrRoad_act!M63=0,0,TrRoad_emi!M60/TrRoad_tech!M175)</f>
        <v>1.7224862485830741</v>
      </c>
      <c r="N202" s="91">
        <f>IF(TrRoad_act!N63=0,0,TrRoad_emi!N60/TrRoad_tech!N175)</f>
        <v>1.0503419948363901</v>
      </c>
      <c r="O202" s="91">
        <f>IF(TrRoad_act!O63=0,0,TrRoad_emi!O60/TrRoad_tech!O175)</f>
        <v>1.0652289803339485</v>
      </c>
      <c r="P202" s="91">
        <f>IF(TrRoad_act!P63=0,0,TrRoad_emi!P60/TrRoad_tech!P175)</f>
        <v>1.0712836802980945</v>
      </c>
      <c r="Q202" s="91">
        <f>IF(TrRoad_act!Q63=0,0,TrRoad_emi!Q60/TrRoad_tech!Q175)</f>
        <v>1.0974390271446295</v>
      </c>
      <c r="R202" s="91">
        <f>IF(TrRoad_act!R63=0,0,TrRoad_emi!R60/TrRoad_tech!R175)</f>
        <v>1.0484524428089914</v>
      </c>
      <c r="S202" s="91">
        <f>IF(TrRoad_act!S63=0,0,TrRoad_emi!S60/TrRoad_tech!S175)</f>
        <v>1.0345128058708881</v>
      </c>
      <c r="T202" s="91">
        <f>IF(TrRoad_act!T63=0,0,TrRoad_emi!T60/TrRoad_tech!T175)</f>
        <v>1.0332161970634381</v>
      </c>
      <c r="U202" s="91">
        <f>IF(TrRoad_act!U63=0,0,TrRoad_emi!U60/TrRoad_tech!U175)</f>
        <v>1.0491985730647417</v>
      </c>
      <c r="V202" s="91">
        <f>IF(TrRoad_act!V63=0,0,TrRoad_emi!V60/TrRoad_tech!V175)</f>
        <v>1.0460477848836189</v>
      </c>
      <c r="W202" s="91">
        <f>IF(TrRoad_act!W63=0,0,TrRoad_emi!W60/TrRoad_tech!W175)</f>
        <v>1.0506620407690959</v>
      </c>
      <c r="X202" s="91">
        <f>IF(TrRoad_act!X63=0,0,TrRoad_emi!X60/TrRoad_tech!X175)</f>
        <v>1.0511241921340924</v>
      </c>
      <c r="Y202" s="91">
        <f>IF(TrRoad_act!Y63=0,0,TrRoad_emi!Y60/TrRoad_tech!Y175)</f>
        <v>1.0519973806234528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1.0288888888925896</v>
      </c>
      <c r="D203" s="91">
        <f>IF(TrRoad_act!D64=0,0,TrRoad_emi!D61/TrRoad_tech!D176)</f>
        <v>1.0294721682365613</v>
      </c>
      <c r="E203" s="91">
        <f>IF(TrRoad_act!E64=0,0,TrRoad_emi!E61/TrRoad_tech!E176)</f>
        <v>1.0297646428184131</v>
      </c>
      <c r="F203" s="91">
        <f>IF(TrRoad_act!F64=0,0,TrRoad_emi!F61/TrRoad_tech!F176)</f>
        <v>1.0298154613901347</v>
      </c>
      <c r="G203" s="91">
        <f>IF(TrRoad_act!G64=0,0,TrRoad_emi!G61/TrRoad_tech!G176)</f>
        <v>1.0307419919139698</v>
      </c>
      <c r="H203" s="91">
        <f>IF(TrRoad_act!H64=0,0,TrRoad_emi!H61/TrRoad_tech!H176)</f>
        <v>1.0314754322452875</v>
      </c>
      <c r="I203" s="91">
        <f>IF(TrRoad_act!I64=0,0,TrRoad_emi!I61/TrRoad_tech!I176)</f>
        <v>1.0334656416865422</v>
      </c>
      <c r="J203" s="91">
        <f>IF(TrRoad_act!J64=0,0,TrRoad_emi!J61/TrRoad_tech!J176)</f>
        <v>1.0337792936954415</v>
      </c>
      <c r="K203" s="91">
        <f>IF(TrRoad_act!K64=0,0,TrRoad_emi!K61/TrRoad_tech!K176)</f>
        <v>1.0389822924714551</v>
      </c>
      <c r="L203" s="91">
        <f>IF(TrRoad_act!L64=0,0,TrRoad_emi!L61/TrRoad_tech!L176)</f>
        <v>1.0421752273672962</v>
      </c>
      <c r="M203" s="91">
        <f>IF(TrRoad_act!M64=0,0,TrRoad_emi!M61/TrRoad_tech!M176)</f>
        <v>1.0438461788575664</v>
      </c>
      <c r="N203" s="91">
        <f>IF(TrRoad_act!N64=0,0,TrRoad_emi!N61/TrRoad_tech!N176)</f>
        <v>1.044488028272696</v>
      </c>
      <c r="O203" s="91">
        <f>IF(TrRoad_act!O64=0,0,TrRoad_emi!O61/TrRoad_tech!O176)</f>
        <v>1.0453135176548076</v>
      </c>
      <c r="P203" s="91">
        <f>IF(TrRoad_act!P64=0,0,TrRoad_emi!P61/TrRoad_tech!P176)</f>
        <v>1.0454432728850667</v>
      </c>
      <c r="Q203" s="91">
        <f>IF(TrRoad_act!Q64=0,0,TrRoad_emi!Q61/TrRoad_tech!Q176)</f>
        <v>1.0494709925073611</v>
      </c>
      <c r="R203" s="91">
        <f>IF(TrRoad_act!R64=0,0,TrRoad_emi!R61/TrRoad_tech!R176)</f>
        <v>1.0519812425925947</v>
      </c>
      <c r="S203" s="91">
        <f>IF(TrRoad_act!S64=0,0,TrRoad_emi!S61/TrRoad_tech!S176)</f>
        <v>1.0533825884217918</v>
      </c>
      <c r="T203" s="91">
        <f>IF(TrRoad_act!T64=0,0,TrRoad_emi!T61/TrRoad_tech!T176)</f>
        <v>1.0557493420371822</v>
      </c>
      <c r="U203" s="91">
        <f>IF(TrRoad_act!U64=0,0,TrRoad_emi!U61/TrRoad_tech!U176)</f>
        <v>1.0620100752242729</v>
      </c>
      <c r="V203" s="91">
        <f>IF(TrRoad_act!V64=0,0,TrRoad_emi!V61/TrRoad_tech!V176)</f>
        <v>1.0776048605977779</v>
      </c>
      <c r="W203" s="91">
        <f>IF(TrRoad_act!W64=0,0,TrRoad_emi!W61/TrRoad_tech!W176)</f>
        <v>1.090908669818824</v>
      </c>
      <c r="X203" s="91">
        <f>IF(TrRoad_act!X64=0,0,TrRoad_emi!X61/TrRoad_tech!X176)</f>
        <v>1.093554948980102</v>
      </c>
      <c r="Y203" s="91">
        <f>IF(TrRoad_act!Y64=0,0,TrRoad_emi!Y61/TrRoad_tech!Y176)</f>
        <v>1.0958066921272878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0.91107159771570279</v>
      </c>
      <c r="O204" s="91">
        <f>IF(TrRoad_act!O65=0,0,TrRoad_emi!O62/TrRoad_tech!O177)</f>
        <v>0.90912982747289406</v>
      </c>
      <c r="P204" s="91">
        <f>IF(TrRoad_act!P65=0,0,TrRoad_emi!P62/TrRoad_tech!P177)</f>
        <v>0.91335749016192502</v>
      </c>
      <c r="Q204" s="91">
        <f>IF(TrRoad_act!Q65=0,0,TrRoad_emi!Q62/TrRoad_tech!Q177)</f>
        <v>0.91526976737776999</v>
      </c>
      <c r="R204" s="91">
        <f>IF(TrRoad_act!R65=0,0,TrRoad_emi!R62/TrRoad_tech!R177)</f>
        <v>0.92257136746799573</v>
      </c>
      <c r="S204" s="91">
        <f>IF(TrRoad_act!S65=0,0,TrRoad_emi!S62/TrRoad_tech!S177)</f>
        <v>0.91741667804835236</v>
      </c>
      <c r="T204" s="91">
        <f>IF(TrRoad_act!T65=0,0,TrRoad_emi!T62/TrRoad_tech!T177)</f>
        <v>0.92131204499586428</v>
      </c>
      <c r="U204" s="91">
        <f>IF(TrRoad_act!U65=0,0,TrRoad_emi!U62/TrRoad_tech!U177)</f>
        <v>0.93416674332138816</v>
      </c>
      <c r="V204" s="91">
        <f>IF(TrRoad_act!V65=0,0,TrRoad_emi!V62/TrRoad_tech!V177)</f>
        <v>0.82771171066249205</v>
      </c>
      <c r="W204" s="91">
        <f>IF(TrRoad_act!W65=0,0,TrRoad_emi!W62/TrRoad_tech!W177)</f>
        <v>0.90339292604333588</v>
      </c>
      <c r="X204" s="91">
        <f>IF(TrRoad_act!X65=0,0,TrRoad_emi!X62/TrRoad_tech!X177)</f>
        <v>0.9735435953593734</v>
      </c>
      <c r="Y204" s="91">
        <f>IF(TrRoad_act!Y65=0,0,TrRoad_emi!Y62/TrRoad_tech!Y177)</f>
        <v>1.0231422828875445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1.2491825716974172</v>
      </c>
      <c r="C206" s="151">
        <f>IF(TrRoad_act!C67=0,0,TrRoad_emi!C64/TrRoad_tech!C179)</f>
        <v>1.2577096218432797</v>
      </c>
      <c r="D206" s="151">
        <f>IF(TrRoad_act!D67=0,0,TrRoad_emi!D64/TrRoad_tech!D179)</f>
        <v>1.229311198766903</v>
      </c>
      <c r="E206" s="151">
        <f>IF(TrRoad_act!E67=0,0,TrRoad_emi!E64/TrRoad_tech!E179)</f>
        <v>1.580732221244791</v>
      </c>
      <c r="F206" s="151">
        <f>IF(TrRoad_act!F67=0,0,TrRoad_emi!F64/TrRoad_tech!F179)</f>
        <v>1.2120776137837999</v>
      </c>
      <c r="G206" s="151">
        <f>IF(TrRoad_act!G67=0,0,TrRoad_emi!G64/TrRoad_tech!G179)</f>
        <v>1.376380500453575</v>
      </c>
      <c r="H206" s="151">
        <f>IF(TrRoad_act!H67=0,0,TrRoad_emi!H64/TrRoad_tech!H179)</f>
        <v>1.2991800514291609</v>
      </c>
      <c r="I206" s="151">
        <f>IF(TrRoad_act!I67=0,0,TrRoad_emi!I64/TrRoad_tech!I179)</f>
        <v>1.345496154574424</v>
      </c>
      <c r="J206" s="151">
        <f>IF(TrRoad_act!J67=0,0,TrRoad_emi!J64/TrRoad_tech!J179)</f>
        <v>1.2841849947237471</v>
      </c>
      <c r="K206" s="151">
        <f>IF(TrRoad_act!K67=0,0,TrRoad_emi!K64/TrRoad_tech!K179)</f>
        <v>1.5832010345656109</v>
      </c>
      <c r="L206" s="151">
        <f>IF(TrRoad_act!L67=0,0,TrRoad_emi!L64/TrRoad_tech!L179)</f>
        <v>1.3717355737080514</v>
      </c>
      <c r="M206" s="151">
        <f>IF(TrRoad_act!M67=0,0,TrRoad_emi!M64/TrRoad_tech!M179)</f>
        <v>1.4760943096523</v>
      </c>
      <c r="N206" s="151">
        <f>IF(TrRoad_act!N67=0,0,TrRoad_emi!N64/TrRoad_tech!N179)</f>
        <v>1.2301314734370201</v>
      </c>
      <c r="O206" s="151">
        <f>IF(TrRoad_act!O67=0,0,TrRoad_emi!O64/TrRoad_tech!O179)</f>
        <v>1.5997301987118986</v>
      </c>
      <c r="P206" s="151">
        <f>IF(TrRoad_act!P67=0,0,TrRoad_emi!P64/TrRoad_tech!P179)</f>
        <v>1.3698199795486927</v>
      </c>
      <c r="Q206" s="151">
        <f>IF(TrRoad_act!Q67=0,0,TrRoad_emi!Q64/TrRoad_tech!Q179)</f>
        <v>1.3273124048937237</v>
      </c>
      <c r="R206" s="151">
        <f>IF(TrRoad_act!R67=0,0,TrRoad_emi!R64/TrRoad_tech!R179)</f>
        <v>1.3673534722950083</v>
      </c>
      <c r="S206" s="151">
        <f>IF(TrRoad_act!S67=0,0,TrRoad_emi!S64/TrRoad_tech!S179)</f>
        <v>1.3972303280670857</v>
      </c>
      <c r="T206" s="151">
        <f>IF(TrRoad_act!T67=0,0,TrRoad_emi!T64/TrRoad_tech!T179)</f>
        <v>1.4586396057782043</v>
      </c>
      <c r="U206" s="151">
        <f>IF(TrRoad_act!U67=0,0,TrRoad_emi!U64/TrRoad_tech!U179)</f>
        <v>1.5355132298590146</v>
      </c>
      <c r="V206" s="151">
        <f>IF(TrRoad_act!V67=0,0,TrRoad_emi!V64/TrRoad_tech!V179)</f>
        <v>1.5502791960092452</v>
      </c>
      <c r="W206" s="151">
        <f>IF(TrRoad_act!W67=0,0,TrRoad_emi!W64/TrRoad_tech!W179)</f>
        <v>1.5479616049058886</v>
      </c>
      <c r="X206" s="151">
        <f>IF(TrRoad_act!X67=0,0,TrRoad_emi!X64/TrRoad_tech!X179)</f>
        <v>1.753690339504149</v>
      </c>
      <c r="Y206" s="151">
        <f>IF(TrRoad_act!Y67=0,0,TrRoad_emi!Y64/TrRoad_tech!Y179)</f>
        <v>1.8588344764423681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X207" s="93">
        <f>IF(TrRoad_act!X68=0,0,TrRoad_emi!X65/TrRoad_tech!X180)</f>
        <v>0</v>
      </c>
      <c r="Y207" s="93">
        <f>IF(TrRoad_act!Y68=0,0,TrRoad_emi!Y65/TrRoad_tech!Y180)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1.2491825716974172</v>
      </c>
      <c r="C208" s="93">
        <f>IF(TrRoad_act!C69=0,0,TrRoad_emi!C66/TrRoad_tech!C181)</f>
        <v>1.2466726987281413</v>
      </c>
      <c r="D208" s="93">
        <f>IF(TrRoad_act!D69=0,0,TrRoad_emi!D66/TrRoad_tech!D181)</f>
        <v>1.2470094789421944</v>
      </c>
      <c r="E208" s="93">
        <f>IF(TrRoad_act!E69=0,0,TrRoad_emi!E66/TrRoad_tech!E181)</f>
        <v>1.6335843665755565</v>
      </c>
      <c r="F208" s="93">
        <f>IF(TrRoad_act!F69=0,0,TrRoad_emi!F66/TrRoad_tech!F181)</f>
        <v>1.2569246438828869</v>
      </c>
      <c r="G208" s="93">
        <f>IF(TrRoad_act!G69=0,0,TrRoad_emi!G66/TrRoad_tech!G181)</f>
        <v>1.4269526817744289</v>
      </c>
      <c r="H208" s="93">
        <f>IF(TrRoad_act!H69=0,0,TrRoad_emi!H66/TrRoad_tech!H181)</f>
        <v>1.3474551191644637</v>
      </c>
      <c r="I208" s="93">
        <f>IF(TrRoad_act!I69=0,0,TrRoad_emi!I66/TrRoad_tech!I181)</f>
        <v>1.3869341097953971</v>
      </c>
      <c r="J208" s="93">
        <f>IF(TrRoad_act!J69=0,0,TrRoad_emi!J66/TrRoad_tech!J181)</f>
        <v>1.3271685575660133</v>
      </c>
      <c r="K208" s="93">
        <f>IF(TrRoad_act!K69=0,0,TrRoad_emi!K66/TrRoad_tech!K181)</f>
        <v>1.6418756339317211</v>
      </c>
      <c r="L208" s="93">
        <f>IF(TrRoad_act!L69=0,0,TrRoad_emi!L66/TrRoad_tech!L181)</f>
        <v>1.4130783674119514</v>
      </c>
      <c r="M208" s="93">
        <f>IF(TrRoad_act!M69=0,0,TrRoad_emi!M66/TrRoad_tech!M181)</f>
        <v>1.5102698993750834</v>
      </c>
      <c r="N208" s="93">
        <f>IF(TrRoad_act!N69=0,0,TrRoad_emi!N66/TrRoad_tech!N181)</f>
        <v>1.2442488445947475</v>
      </c>
      <c r="O208" s="93">
        <f>IF(TrRoad_act!O69=0,0,TrRoad_emi!O66/TrRoad_tech!O181)</f>
        <v>1.4393908915007452</v>
      </c>
      <c r="P208" s="93">
        <f>IF(TrRoad_act!P69=0,0,TrRoad_emi!P66/TrRoad_tech!P181)</f>
        <v>1.4014626936658938</v>
      </c>
      <c r="Q208" s="93">
        <f>IF(TrRoad_act!Q69=0,0,TrRoad_emi!Q66/TrRoad_tech!Q181)</f>
        <v>1.3520823808402125</v>
      </c>
      <c r="R208" s="93">
        <f>IF(TrRoad_act!R69=0,0,TrRoad_emi!R66/TrRoad_tech!R181)</f>
        <v>1.3886791216403156</v>
      </c>
      <c r="S208" s="93">
        <f>IF(TrRoad_act!S69=0,0,TrRoad_emi!S66/TrRoad_tech!S181)</f>
        <v>1.4434537712979192</v>
      </c>
      <c r="T208" s="93">
        <f>IF(TrRoad_act!T69=0,0,TrRoad_emi!T66/TrRoad_tech!T181)</f>
        <v>1.4798941115351303</v>
      </c>
      <c r="U208" s="93">
        <f>IF(TrRoad_act!U69=0,0,TrRoad_emi!U66/TrRoad_tech!U181)</f>
        <v>1.5694549961867736</v>
      </c>
      <c r="V208" s="93">
        <f>IF(TrRoad_act!V69=0,0,TrRoad_emi!V66/TrRoad_tech!V181)</f>
        <v>1.5910841946487921</v>
      </c>
      <c r="W208" s="93">
        <f>IF(TrRoad_act!W69=0,0,TrRoad_emi!W66/TrRoad_tech!W181)</f>
        <v>1.5904194759749091</v>
      </c>
      <c r="X208" s="93">
        <f>IF(TrRoad_act!X69=0,0,TrRoad_emi!X66/TrRoad_tech!X181)</f>
        <v>1.7965078178215372</v>
      </c>
      <c r="Y208" s="93">
        <f>IF(TrRoad_act!Y69=0,0,TrRoad_emi!Y66/TrRoad_tech!Y181)</f>
        <v>1.9261606418990704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X209" s="93">
        <f>IF(TrRoad_act!X70=0,0,TrRoad_emi!X67/TrRoad_tech!X182)</f>
        <v>0</v>
      </c>
      <c r="Y209" s="93">
        <f>IF(TrRoad_act!Y70=0,0,TrRoad_emi!Y67/TrRoad_tech!Y182)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1.0741267414452165</v>
      </c>
      <c r="D210" s="93">
        <f>IF(TrRoad_act!D71=0,0,TrRoad_emi!D68/TrRoad_tech!D183)</f>
        <v>1.0905616030736061</v>
      </c>
      <c r="E210" s="93">
        <f>IF(TrRoad_act!E71=0,0,TrRoad_emi!E68/TrRoad_tech!E183)</f>
        <v>1.0904193780675302</v>
      </c>
      <c r="F210" s="93">
        <f>IF(TrRoad_act!F71=0,0,TrRoad_emi!F68/TrRoad_tech!F183)</f>
        <v>1.0899641260709223</v>
      </c>
      <c r="G210" s="93">
        <f>IF(TrRoad_act!G71=0,0,TrRoad_emi!G68/TrRoad_tech!G183)</f>
        <v>1.1383540165247594</v>
      </c>
      <c r="H210" s="93">
        <f>IF(TrRoad_act!H71=0,0,TrRoad_emi!H68/TrRoad_tech!H183)</f>
        <v>1.1311474553057914</v>
      </c>
      <c r="I210" s="93">
        <f>IF(TrRoad_act!I71=0,0,TrRoad_emi!I68/TrRoad_tech!I183)</f>
        <v>1.1216366270509641</v>
      </c>
      <c r="J210" s="93">
        <f>IF(TrRoad_act!J71=0,0,TrRoad_emi!J68/TrRoad_tech!J183)</f>
        <v>1.0962094474952959</v>
      </c>
      <c r="K210" s="93">
        <f>IF(TrRoad_act!K71=0,0,TrRoad_emi!K68/TrRoad_tech!K183)</f>
        <v>1.1691936948738777</v>
      </c>
      <c r="L210" s="93">
        <f>IF(TrRoad_act!L71=0,0,TrRoad_emi!L68/TrRoad_tech!L183)</f>
        <v>1.1202950220297059</v>
      </c>
      <c r="M210" s="93">
        <f>IF(TrRoad_act!M71=0,0,TrRoad_emi!M68/TrRoad_tech!M183)</f>
        <v>1.2066284249584946</v>
      </c>
      <c r="N210" s="93">
        <f>IF(TrRoad_act!N71=0,0,TrRoad_emi!N68/TrRoad_tech!N183)</f>
        <v>1.2047073812992755</v>
      </c>
      <c r="O210" s="93">
        <f>IF(TrRoad_act!O71=0,0,TrRoad_emi!O68/TrRoad_tech!O183)</f>
        <v>1.1496053241994506</v>
      </c>
      <c r="P210" s="93">
        <f>IF(TrRoad_act!P71=0,0,TrRoad_emi!P68/TrRoad_tech!P183)</f>
        <v>1.1734498774611413</v>
      </c>
      <c r="Q210" s="93">
        <f>IF(TrRoad_act!Q71=0,0,TrRoad_emi!Q68/TrRoad_tech!Q183)</f>
        <v>1.2463184008557913</v>
      </c>
      <c r="R210" s="93">
        <f>IF(TrRoad_act!R71=0,0,TrRoad_emi!R68/TrRoad_tech!R183)</f>
        <v>1.6359877674178398</v>
      </c>
      <c r="S210" s="93">
        <f>IF(TrRoad_act!S71=0,0,TrRoad_emi!S68/TrRoad_tech!S183)</f>
        <v>1.1328061910185416</v>
      </c>
      <c r="T210" s="93">
        <f>IF(TrRoad_act!T71=0,0,TrRoad_emi!T68/TrRoad_tech!T183)</f>
        <v>1.2202949988366825</v>
      </c>
      <c r="U210" s="93">
        <f>IF(TrRoad_act!U71=0,0,TrRoad_emi!U68/TrRoad_tech!U183)</f>
        <v>1.3702246576344705</v>
      </c>
      <c r="V210" s="93">
        <f>IF(TrRoad_act!V71=0,0,TrRoad_emi!V68/TrRoad_tech!V183)</f>
        <v>1.2231288231569812</v>
      </c>
      <c r="W210" s="93">
        <f>IF(TrRoad_act!W71=0,0,TrRoad_emi!W68/TrRoad_tech!W183)</f>
        <v>1.3141221984613551</v>
      </c>
      <c r="X210" s="93">
        <f>IF(TrRoad_act!X71=0,0,TrRoad_emi!X68/TrRoad_tech!X183)</f>
        <v>1.2701046279223802</v>
      </c>
      <c r="Y210" s="93">
        <f>IF(TrRoad_act!Y71=0,0,TrRoad_emi!Y68/TrRoad_tech!Y183)</f>
        <v>1.0923794857349471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1.0334365081890637</v>
      </c>
      <c r="C213" s="150">
        <f>IF(TrRoad_act!C74=0,0,TrRoad_emi!C71/TrRoad_tech!C186)</f>
        <v>1.0099408451459533</v>
      </c>
      <c r="D213" s="150">
        <f>IF(TrRoad_act!D74=0,0,TrRoad_emi!D71/TrRoad_tech!D186)</f>
        <v>1.0157712510803656</v>
      </c>
      <c r="E213" s="150">
        <f>IF(TrRoad_act!E74=0,0,TrRoad_emi!E71/TrRoad_tech!E186)</f>
        <v>1.0201213838551799</v>
      </c>
      <c r="F213" s="150">
        <f>IF(TrRoad_act!F74=0,0,TrRoad_emi!F71/TrRoad_tech!F186)</f>
        <v>1.0297116665468791</v>
      </c>
      <c r="G213" s="150">
        <f>IF(TrRoad_act!G74=0,0,TrRoad_emi!G71/TrRoad_tech!G186)</f>
        <v>1.0522631279323145</v>
      </c>
      <c r="H213" s="150">
        <f>IF(TrRoad_act!H74=0,0,TrRoad_emi!H71/TrRoad_tech!H186)</f>
        <v>1.0524448781530495</v>
      </c>
      <c r="I213" s="150">
        <f>IF(TrRoad_act!I74=0,0,TrRoad_emi!I71/TrRoad_tech!I186)</f>
        <v>1.0855994446043327</v>
      </c>
      <c r="J213" s="150">
        <f>IF(TrRoad_act!J74=0,0,TrRoad_emi!J71/TrRoad_tech!J186)</f>
        <v>1.154552099848382</v>
      </c>
      <c r="K213" s="150">
        <f>IF(TrRoad_act!K74=0,0,TrRoad_emi!K71/TrRoad_tech!K186)</f>
        <v>1.0579378582326004</v>
      </c>
      <c r="L213" s="150">
        <f>IF(TrRoad_act!L74=0,0,TrRoad_emi!L71/TrRoad_tech!L186)</f>
        <v>1.1642791095007721</v>
      </c>
      <c r="M213" s="150">
        <f>IF(TrRoad_act!M74=0,0,TrRoad_emi!M71/TrRoad_tech!M186)</f>
        <v>1.198953408003117</v>
      </c>
      <c r="N213" s="150">
        <f>IF(TrRoad_act!N74=0,0,TrRoad_emi!N71/TrRoad_tech!N186)</f>
        <v>1.0131872273149893</v>
      </c>
      <c r="O213" s="150">
        <f>IF(TrRoad_act!O74=0,0,TrRoad_emi!O71/TrRoad_tech!O186)</f>
        <v>1.2502860965347409</v>
      </c>
      <c r="P213" s="150">
        <f>IF(TrRoad_act!P74=0,0,TrRoad_emi!P71/TrRoad_tech!P186)</f>
        <v>1.369151728398988</v>
      </c>
      <c r="Q213" s="150">
        <f>IF(TrRoad_act!Q74=0,0,TrRoad_emi!Q71/TrRoad_tech!Q186)</f>
        <v>1.2934034687617766</v>
      </c>
      <c r="R213" s="150">
        <f>IF(TrRoad_act!R74=0,0,TrRoad_emi!R71/TrRoad_tech!R186)</f>
        <v>1.2965808745590752</v>
      </c>
      <c r="S213" s="150">
        <f>IF(TrRoad_act!S74=0,0,TrRoad_emi!S71/TrRoad_tech!S186)</f>
        <v>1.0528883076237372</v>
      </c>
      <c r="T213" s="150">
        <f>IF(TrRoad_act!T74=0,0,TrRoad_emi!T71/TrRoad_tech!T186)</f>
        <v>1.3604781074992418</v>
      </c>
      <c r="U213" s="150">
        <f>IF(TrRoad_act!U74=0,0,TrRoad_emi!U71/TrRoad_tech!U186)</f>
        <v>1.1329958761363415</v>
      </c>
      <c r="V213" s="150">
        <f>IF(TrRoad_act!V74=0,0,TrRoad_emi!V71/TrRoad_tech!V186)</f>
        <v>1.2224218043078883</v>
      </c>
      <c r="W213" s="150">
        <f>IF(TrRoad_act!W74=0,0,TrRoad_emi!W71/TrRoad_tech!W186)</f>
        <v>1.1095727439320555</v>
      </c>
      <c r="X213" s="150">
        <f>IF(TrRoad_act!X74=0,0,TrRoad_emi!X71/TrRoad_tech!X186)</f>
        <v>1.2655062904442869</v>
      </c>
      <c r="Y213" s="150">
        <f>IF(TrRoad_act!Y74=0,0,TrRoad_emi!Y71/TrRoad_tech!Y186)</f>
        <v>1.0329407834421012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1.1000000000067305</v>
      </c>
      <c r="C214" s="91">
        <f>IF(TrRoad_act!C75=0,0,TrRoad_emi!C72/TrRoad_tech!C187)</f>
        <v>1.1000016171132028</v>
      </c>
      <c r="D214" s="91">
        <f>IF(TrRoad_act!D75=0,0,TrRoad_emi!D72/TrRoad_tech!D187)</f>
        <v>1.1000056425349847</v>
      </c>
      <c r="E214" s="91">
        <f>IF(TrRoad_act!E75=0,0,TrRoad_emi!E72/TrRoad_tech!E187)</f>
        <v>1.1000110868379533</v>
      </c>
      <c r="F214" s="91">
        <f>IF(TrRoad_act!F75=0,0,TrRoad_emi!F72/TrRoad_tech!F187)</f>
        <v>1.1000177025505595</v>
      </c>
      <c r="G214" s="91">
        <f>IF(TrRoad_act!G75=0,0,TrRoad_emi!G72/TrRoad_tech!G187)</f>
        <v>1.1000284569873058</v>
      </c>
      <c r="H214" s="91">
        <f>IF(TrRoad_act!H75=0,0,TrRoad_emi!H72/TrRoad_tech!H187)</f>
        <v>1.100307926921448</v>
      </c>
      <c r="I214" s="91">
        <f>IF(TrRoad_act!I75=0,0,TrRoad_emi!I72/TrRoad_tech!I187)</f>
        <v>1.1016406452215333</v>
      </c>
      <c r="J214" s="91">
        <f>IF(TrRoad_act!J75=0,0,TrRoad_emi!J72/TrRoad_tech!J187)</f>
        <v>1.1038252072249457</v>
      </c>
      <c r="K214" s="91">
        <f>IF(TrRoad_act!K75=0,0,TrRoad_emi!K72/TrRoad_tech!K187)</f>
        <v>1.1043641100247314</v>
      </c>
      <c r="L214" s="91">
        <f>IF(TrRoad_act!L75=0,0,TrRoad_emi!L72/TrRoad_tech!L187)</f>
        <v>1.1063425928656372</v>
      </c>
      <c r="M214" s="91">
        <f>IF(TrRoad_act!M75=0,0,TrRoad_emi!M72/TrRoad_tech!M187)</f>
        <v>1.1071119827942577</v>
      </c>
      <c r="N214" s="91">
        <f>IF(TrRoad_act!N75=0,0,TrRoad_emi!N72/TrRoad_tech!N187)</f>
        <v>1.1075407597692766</v>
      </c>
      <c r="O214" s="91">
        <f>IF(TrRoad_act!O75=0,0,TrRoad_emi!O72/TrRoad_tech!O187)</f>
        <v>1.1083792577520757</v>
      </c>
      <c r="P214" s="91">
        <f>IF(TrRoad_act!P75=0,0,TrRoad_emi!P72/TrRoad_tech!P187)</f>
        <v>1.1136510681184955</v>
      </c>
      <c r="Q214" s="91">
        <f>IF(TrRoad_act!Q75=0,0,TrRoad_emi!Q72/TrRoad_tech!Q187)</f>
        <v>1.1246118712235598</v>
      </c>
      <c r="R214" s="91">
        <f>IF(TrRoad_act!R75=0,0,TrRoad_emi!R72/TrRoad_tech!R187)</f>
        <v>1.1414308173542209</v>
      </c>
      <c r="S214" s="91">
        <f>IF(TrRoad_act!S75=0,0,TrRoad_emi!S72/TrRoad_tech!S187)</f>
        <v>1.1451130758762595</v>
      </c>
      <c r="T214" s="91">
        <f>IF(TrRoad_act!T75=0,0,TrRoad_emi!T72/TrRoad_tech!T187)</f>
        <v>1.1587184358913798</v>
      </c>
      <c r="U214" s="91">
        <f>IF(TrRoad_act!U75=0,0,TrRoad_emi!U72/TrRoad_tech!U187)</f>
        <v>1.160099480477458</v>
      </c>
      <c r="V214" s="91">
        <f>IF(TrRoad_act!V75=0,0,TrRoad_emi!V72/TrRoad_tech!V187)</f>
        <v>1.1503277339165006</v>
      </c>
      <c r="W214" s="91">
        <f>IF(TrRoad_act!W75=0,0,TrRoad_emi!W72/TrRoad_tech!W187)</f>
        <v>1.1662932012251432</v>
      </c>
      <c r="X214" s="91">
        <f>IF(TrRoad_act!X75=0,0,TrRoad_emi!X72/TrRoad_tech!X187)</f>
        <v>1.2253420532202839</v>
      </c>
      <c r="Y214" s="91">
        <f>IF(TrRoad_act!Y75=0,0,TrRoad_emi!Y72/TrRoad_tech!Y187)</f>
        <v>1.2446683881190233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1.1000000000067303</v>
      </c>
      <c r="C215" s="91">
        <f>IF(TrRoad_act!C76=0,0,TrRoad_emi!C73/TrRoad_tech!C188)</f>
        <v>1.1000535774522557</v>
      </c>
      <c r="D215" s="91">
        <f>IF(TrRoad_act!D76=0,0,TrRoad_emi!D73/TrRoad_tech!D188)</f>
        <v>1.1001566595607215</v>
      </c>
      <c r="E215" s="91">
        <f>IF(TrRoad_act!E76=0,0,TrRoad_emi!E73/TrRoad_tech!E188)</f>
        <v>1.1004272533684363</v>
      </c>
      <c r="F215" s="91">
        <f>IF(TrRoad_act!F76=0,0,TrRoad_emi!F73/TrRoad_tech!F188)</f>
        <v>1.1006487805932295</v>
      </c>
      <c r="G215" s="91">
        <f>IF(TrRoad_act!G76=0,0,TrRoad_emi!G73/TrRoad_tech!G188)</f>
        <v>1.1009192243101067</v>
      </c>
      <c r="H215" s="91">
        <f>IF(TrRoad_act!H76=0,0,TrRoad_emi!H73/TrRoad_tech!H188)</f>
        <v>1.0802489453008992</v>
      </c>
      <c r="I215" s="91">
        <f>IF(TrRoad_act!I76=0,0,TrRoad_emi!I73/TrRoad_tech!I188)</f>
        <v>1.0654903088347887</v>
      </c>
      <c r="J215" s="91">
        <f>IF(TrRoad_act!J76=0,0,TrRoad_emi!J73/TrRoad_tech!J188)</f>
        <v>1.0730927748100396</v>
      </c>
      <c r="K215" s="91">
        <f>IF(TrRoad_act!K76=0,0,TrRoad_emi!K73/TrRoad_tech!K188)</f>
        <v>1.0810520541787383</v>
      </c>
      <c r="L215" s="91">
        <f>IF(TrRoad_act!L76=0,0,TrRoad_emi!L73/TrRoad_tech!L188)</f>
        <v>1.0613116363813522</v>
      </c>
      <c r="M215" s="91">
        <f>IF(TrRoad_act!M76=0,0,TrRoad_emi!M73/TrRoad_tech!M188)</f>
        <v>1.0655321696963611</v>
      </c>
      <c r="N215" s="91">
        <f>IF(TrRoad_act!N76=0,0,TrRoad_emi!N73/TrRoad_tech!N188)</f>
        <v>1.0522603619141224</v>
      </c>
      <c r="O215" s="91">
        <f>IF(TrRoad_act!O76=0,0,TrRoad_emi!O73/TrRoad_tech!O188)</f>
        <v>1.0600661671402329</v>
      </c>
      <c r="P215" s="91">
        <f>IF(TrRoad_act!P76=0,0,TrRoad_emi!P73/TrRoad_tech!P188)</f>
        <v>1.0637551420639078</v>
      </c>
      <c r="Q215" s="91">
        <f>IF(TrRoad_act!Q76=0,0,TrRoad_emi!Q73/TrRoad_tech!Q188)</f>
        <v>1.077886113047811</v>
      </c>
      <c r="R215" s="91">
        <f>IF(TrRoad_act!R76=0,0,TrRoad_emi!R73/TrRoad_tech!R188)</f>
        <v>1.089189358734338</v>
      </c>
      <c r="S215" s="91">
        <f>IF(TrRoad_act!S76=0,0,TrRoad_emi!S73/TrRoad_tech!S188)</f>
        <v>1.0904920945803793</v>
      </c>
      <c r="T215" s="91">
        <f>IF(TrRoad_act!T76=0,0,TrRoad_emi!T73/TrRoad_tech!T188)</f>
        <v>1.1035475447884486</v>
      </c>
      <c r="U215" s="91">
        <f>IF(TrRoad_act!U76=0,0,TrRoad_emi!U73/TrRoad_tech!U188)</f>
        <v>1.1154214744948037</v>
      </c>
      <c r="V215" s="91">
        <f>IF(TrRoad_act!V76=0,0,TrRoad_emi!V73/TrRoad_tech!V188)</f>
        <v>1.1307989853407725</v>
      </c>
      <c r="W215" s="91">
        <f>IF(TrRoad_act!W76=0,0,TrRoad_emi!W73/TrRoad_tech!W188)</f>
        <v>1.1406184864553834</v>
      </c>
      <c r="X215" s="91">
        <f>IF(TrRoad_act!X76=0,0,TrRoad_emi!X73/TrRoad_tech!X188)</f>
        <v>1.2199333528717016</v>
      </c>
      <c r="Y215" s="91">
        <f>IF(TrRoad_act!Y76=0,0,TrRoad_emi!Y73/TrRoad_tech!Y188)</f>
        <v>1.2410871273313608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0</v>
      </c>
      <c r="P216" s="91">
        <f>IF(TrRoad_act!P77=0,0,TrRoad_emi!P74/TrRoad_tech!P189)</f>
        <v>0</v>
      </c>
      <c r="Q216" s="91">
        <f>IF(TrRoad_act!Q77=0,0,TrRoad_emi!Q74/TrRoad_tech!Q189)</f>
        <v>0</v>
      </c>
      <c r="R216" s="91">
        <f>IF(TrRoad_act!R77=0,0,TrRoad_emi!R74/TrRoad_tech!R189)</f>
        <v>0</v>
      </c>
      <c r="S216" s="91">
        <f>IF(TrRoad_act!S77=0,0,TrRoad_emi!S74/TrRoad_tech!S189)</f>
        <v>0</v>
      </c>
      <c r="T216" s="91">
        <f>IF(TrRoad_act!T77=0,0,TrRoad_emi!T74/TrRoad_tech!T189)</f>
        <v>0</v>
      </c>
      <c r="U216" s="91">
        <f>IF(TrRoad_act!U77=0,0,TrRoad_emi!U74/TrRoad_tech!U189)</f>
        <v>0</v>
      </c>
      <c r="V216" s="91">
        <f>IF(TrRoad_act!V77=0,0,TrRoad_emi!V74/TrRoad_tech!V189)</f>
        <v>0</v>
      </c>
      <c r="W216" s="91">
        <f>IF(TrRoad_act!W77=0,0,TrRoad_emi!W74/TrRoad_tech!W189)</f>
        <v>0</v>
      </c>
      <c r="X216" s="91">
        <f>IF(TrRoad_act!X77=0,0,TrRoad_emi!X74/TrRoad_tech!X189)</f>
        <v>0</v>
      </c>
      <c r="Y216" s="91">
        <f>IF(TrRoad_act!Y77=0,0,TrRoad_emi!Y74/TrRoad_tech!Y189)</f>
        <v>0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X217" s="91">
        <f>IF(TrRoad_act!X78=0,0,TrRoad_emi!X75/TrRoad_tech!X190)</f>
        <v>0</v>
      </c>
      <c r="Y217" s="91">
        <f>IF(TrRoad_act!Y78=0,0,TrRoad_emi!Y75/TrRoad_tech!Y190)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1.3504543754378977</v>
      </c>
      <c r="C219" s="151">
        <f>IF(TrRoad_act!C80=0,0,TrRoad_emi!C77/TrRoad_tech!C192)</f>
        <v>1.3461804404062934</v>
      </c>
      <c r="D219" s="151">
        <f>IF(TrRoad_act!D80=0,0,TrRoad_emi!D77/TrRoad_tech!D192)</f>
        <v>1.3483394997547842</v>
      </c>
      <c r="E219" s="151">
        <f>IF(TrRoad_act!E80=0,0,TrRoad_emi!E77/TrRoad_tech!E192)</f>
        <v>2.0443105947387199</v>
      </c>
      <c r="F219" s="151">
        <f>IF(TrRoad_act!F80=0,0,TrRoad_emi!F77/TrRoad_tech!F192)</f>
        <v>1.3573724799743894</v>
      </c>
      <c r="G219" s="151">
        <f>IF(TrRoad_act!G80=0,0,TrRoad_emi!G77/TrRoad_tech!G192)</f>
        <v>1.6435588744885352</v>
      </c>
      <c r="H219" s="151">
        <f>IF(TrRoad_act!H80=0,0,TrRoad_emi!H77/TrRoad_tech!H192)</f>
        <v>1.5257016411961437</v>
      </c>
      <c r="I219" s="151">
        <f>IF(TrRoad_act!I80=0,0,TrRoad_emi!I77/TrRoad_tech!I192)</f>
        <v>1.5959440853741409</v>
      </c>
      <c r="J219" s="151">
        <f>IF(TrRoad_act!J80=0,0,TrRoad_emi!J77/TrRoad_tech!J192)</f>
        <v>1.4873931813368655</v>
      </c>
      <c r="K219" s="151">
        <f>IF(TrRoad_act!K80=0,0,TrRoad_emi!K77/TrRoad_tech!K192)</f>
        <v>1.9641628365779238</v>
      </c>
      <c r="L219" s="151">
        <f>IF(TrRoad_act!L80=0,0,TrRoad_emi!L77/TrRoad_tech!L192)</f>
        <v>1.6081044858433746</v>
      </c>
      <c r="M219" s="151">
        <f>IF(TrRoad_act!M80=0,0,TrRoad_emi!M77/TrRoad_tech!M192)</f>
        <v>1.80541441321338</v>
      </c>
      <c r="N219" s="151">
        <f>IF(TrRoad_act!N80=0,0,TrRoad_emi!N77/TrRoad_tech!N192)</f>
        <v>1.3045285239445155</v>
      </c>
      <c r="O219" s="151">
        <f>IF(TrRoad_act!O80=0,0,TrRoad_emi!O77/TrRoad_tech!O192)</f>
        <v>1.7874247950554667</v>
      </c>
      <c r="P219" s="151">
        <f>IF(TrRoad_act!P80=0,0,TrRoad_emi!P77/TrRoad_tech!P192)</f>
        <v>1.7295672467383723</v>
      </c>
      <c r="Q219" s="151">
        <f>IF(TrRoad_act!Q80=0,0,TrRoad_emi!Q77/TrRoad_tech!Q192)</f>
        <v>1.4314028471690696</v>
      </c>
      <c r="R219" s="151">
        <f>IF(TrRoad_act!R80=0,0,TrRoad_emi!R77/TrRoad_tech!R192)</f>
        <v>1.4871643193573776</v>
      </c>
      <c r="S219" s="151">
        <f>IF(TrRoad_act!S80=0,0,TrRoad_emi!S77/TrRoad_tech!S192)</f>
        <v>1.5424720511942995</v>
      </c>
      <c r="T219" s="151">
        <f>IF(TrRoad_act!T80=0,0,TrRoad_emi!T77/TrRoad_tech!T192)</f>
        <v>1.6267774110170328</v>
      </c>
      <c r="U219" s="151">
        <f>IF(TrRoad_act!U80=0,0,TrRoad_emi!U77/TrRoad_tech!U192)</f>
        <v>1.8006718178521788</v>
      </c>
      <c r="V219" s="151">
        <f>IF(TrRoad_act!V80=0,0,TrRoad_emi!V77/TrRoad_tech!V192)</f>
        <v>2.0106777750622018</v>
      </c>
      <c r="W219" s="151">
        <f>IF(TrRoad_act!W80=0,0,TrRoad_emi!W77/TrRoad_tech!W192)</f>
        <v>1.8365345270727702</v>
      </c>
      <c r="X219" s="151">
        <f>IF(TrRoad_act!X80=0,0,TrRoad_emi!X77/TrRoad_tech!X192)</f>
        <v>2.1002493384517988</v>
      </c>
      <c r="Y219" s="151">
        <f>IF(TrRoad_act!Y80=0,0,TrRoad_emi!Y77/TrRoad_tech!Y192)</f>
        <v>2.2973698821197455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1.3810252911799548</v>
      </c>
      <c r="C220" s="93">
        <f>IF(TrRoad_act!C81=0,0,TrRoad_emi!C78/TrRoad_tech!C193)</f>
        <v>1.3773469212225184</v>
      </c>
      <c r="D220" s="93">
        <f>IF(TrRoad_act!D81=0,0,TrRoad_emi!D78/TrRoad_tech!D193)</f>
        <v>1.3793028877250779</v>
      </c>
      <c r="E220" s="93">
        <f>IF(TrRoad_act!E81=0,0,TrRoad_emi!E78/TrRoad_tech!E193)</f>
        <v>1.9609641730266276</v>
      </c>
      <c r="F220" s="93">
        <f>IF(TrRoad_act!F81=0,0,TrRoad_emi!F78/TrRoad_tech!F193)</f>
        <v>1.3877500273171122</v>
      </c>
      <c r="G220" s="93">
        <f>IF(TrRoad_act!G81=0,0,TrRoad_emi!G78/TrRoad_tech!G193)</f>
        <v>1.626630064212818</v>
      </c>
      <c r="H220" s="93">
        <f>IF(TrRoad_act!H81=0,0,TrRoad_emi!H78/TrRoad_tech!H193)</f>
        <v>1.5231664994693375</v>
      </c>
      <c r="I220" s="93">
        <f>IF(TrRoad_act!I81=0,0,TrRoad_emi!I78/TrRoad_tech!I193)</f>
        <v>1.5816693972280287</v>
      </c>
      <c r="J220" s="93">
        <f>IF(TrRoad_act!J81=0,0,TrRoad_emi!J78/TrRoad_tech!J193)</f>
        <v>1.4949242146180499</v>
      </c>
      <c r="K220" s="93">
        <f>IF(TrRoad_act!K81=0,0,TrRoad_emi!K78/TrRoad_tech!K193)</f>
        <v>1.902379439899573</v>
      </c>
      <c r="L220" s="93">
        <f>IF(TrRoad_act!L81=0,0,TrRoad_emi!L78/TrRoad_tech!L193)</f>
        <v>1.5936318115541834</v>
      </c>
      <c r="M220" s="93">
        <f>IF(TrRoad_act!M81=0,0,TrRoad_emi!M78/TrRoad_tech!M193)</f>
        <v>1.7605563823968562</v>
      </c>
      <c r="N220" s="93">
        <f>IF(TrRoad_act!N81=0,0,TrRoad_emi!N78/TrRoad_tech!N193)</f>
        <v>1.3316321440613981</v>
      </c>
      <c r="O220" s="93">
        <f>IF(TrRoad_act!O81=0,0,TrRoad_emi!O78/TrRoad_tech!O193)</f>
        <v>1.7351915800806814</v>
      </c>
      <c r="P220" s="93">
        <f>IF(TrRoad_act!P81=0,0,TrRoad_emi!P78/TrRoad_tech!P193)</f>
        <v>1.6895238779768367</v>
      </c>
      <c r="Q220" s="93">
        <f>IF(TrRoad_act!Q81=0,0,TrRoad_emi!Q78/TrRoad_tech!Q193)</f>
        <v>1.4376946912423294</v>
      </c>
      <c r="R220" s="93">
        <f>IF(TrRoad_act!R81=0,0,TrRoad_emi!R78/TrRoad_tech!R193)</f>
        <v>1.4852628022762899</v>
      </c>
      <c r="S220" s="93">
        <f>IF(TrRoad_act!S81=0,0,TrRoad_emi!S78/TrRoad_tech!S193)</f>
        <v>1.5245967440284853</v>
      </c>
      <c r="T220" s="93">
        <f>IF(TrRoad_act!T81=0,0,TrRoad_emi!T78/TrRoad_tech!T193)</f>
        <v>1.5996547729808144</v>
      </c>
      <c r="U220" s="93">
        <f>IF(TrRoad_act!U81=0,0,TrRoad_emi!U78/TrRoad_tech!U193)</f>
        <v>1.7615525022550413</v>
      </c>
      <c r="V220" s="93">
        <f>IF(TrRoad_act!V81=0,0,TrRoad_emi!V78/TrRoad_tech!V193)</f>
        <v>1.9318234722772722</v>
      </c>
      <c r="W220" s="93">
        <f>IF(TrRoad_act!W81=0,0,TrRoad_emi!W78/TrRoad_tech!W193)</f>
        <v>1.7798547764332784</v>
      </c>
      <c r="X220" s="93">
        <f>IF(TrRoad_act!X81=0,0,TrRoad_emi!X78/TrRoad_tech!X193)</f>
        <v>2.0155968238922792</v>
      </c>
      <c r="Y220" s="93">
        <f>IF(TrRoad_act!Y81=0,0,TrRoad_emi!Y78/TrRoad_tech!Y193)</f>
        <v>2.1785283649575784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2.349703207043548</v>
      </c>
      <c r="C221" s="94">
        <f>IF(TrRoad_act!C82=0,0,TrRoad_emi!C79/TrRoad_tech!C194)</f>
        <v>2.2909872394273894</v>
      </c>
      <c r="D221" s="94">
        <f>IF(TrRoad_act!D82=0,0,TrRoad_emi!D79/TrRoad_tech!D194)</f>
        <v>2.2780587286155822</v>
      </c>
      <c r="E221" s="94">
        <f>IF(TrRoad_act!E82=0,0,TrRoad_emi!E79/TrRoad_tech!E194)</f>
        <v>4.215425058640812</v>
      </c>
      <c r="F221" s="94">
        <f>IF(TrRoad_act!F82=0,0,TrRoad_emi!F79/TrRoad_tech!F194)</f>
        <v>2.2368359867770584</v>
      </c>
      <c r="G221" s="94">
        <f>IF(TrRoad_act!G82=0,0,TrRoad_emi!G79/TrRoad_tech!G194)</f>
        <v>3.0041847755199815</v>
      </c>
      <c r="H221" s="94">
        <f>IF(TrRoad_act!H82=0,0,TrRoad_emi!H79/TrRoad_tech!H194)</f>
        <v>2.6004005373603629</v>
      </c>
      <c r="I221" s="94">
        <f>IF(TrRoad_act!I82=0,0,TrRoad_emi!I79/TrRoad_tech!I194)</f>
        <v>3.0769948717770319</v>
      </c>
      <c r="J221" s="94">
        <f>IF(TrRoad_act!J82=0,0,TrRoad_emi!J79/TrRoad_tech!J194)</f>
        <v>2.887487606990736</v>
      </c>
      <c r="K221" s="94">
        <f>IF(TrRoad_act!K82=0,0,TrRoad_emi!K79/TrRoad_tech!K194)</f>
        <v>5.3308595841336919</v>
      </c>
      <c r="L221" s="94">
        <f>IF(TrRoad_act!L82=0,0,TrRoad_emi!L79/TrRoad_tech!L194)</f>
        <v>3.3870829799853333</v>
      </c>
      <c r="M221" s="94">
        <f>IF(TrRoad_act!M82=0,0,TrRoad_emi!M79/TrRoad_tech!M194)</f>
        <v>3.9035263155436706</v>
      </c>
      <c r="N221" s="94">
        <f>IF(TrRoad_act!N82=0,0,TrRoad_emi!N79/TrRoad_tech!N194)</f>
        <v>1.9531602588015538</v>
      </c>
      <c r="O221" s="94">
        <f>IF(TrRoad_act!O82=0,0,TrRoad_emi!O79/TrRoad_tech!O194)</f>
        <v>3.1880254064307016</v>
      </c>
      <c r="P221" s="94">
        <f>IF(TrRoad_act!P82=0,0,TrRoad_emi!P79/TrRoad_tech!P194)</f>
        <v>3.2225635492720714</v>
      </c>
      <c r="Q221" s="94">
        <f>IF(TrRoad_act!Q82=0,0,TrRoad_emi!Q79/TrRoad_tech!Q194)</f>
        <v>2.2691011443442122</v>
      </c>
      <c r="R221" s="94">
        <f>IF(TrRoad_act!R82=0,0,TrRoad_emi!R79/TrRoad_tech!R194)</f>
        <v>2.404941778839222</v>
      </c>
      <c r="S221" s="94">
        <f>IF(TrRoad_act!S82=0,0,TrRoad_emi!S79/TrRoad_tech!S194)</f>
        <v>2.3658330530286169</v>
      </c>
      <c r="T221" s="94">
        <f>IF(TrRoad_act!T82=0,0,TrRoad_emi!T79/TrRoad_tech!T194)</f>
        <v>2.599353123036916</v>
      </c>
      <c r="U221" s="94">
        <f>IF(TrRoad_act!U82=0,0,TrRoad_emi!U79/TrRoad_tech!U194)</f>
        <v>4.5599617564510364</v>
      </c>
      <c r="V221" s="94">
        <f>IF(TrRoad_act!V82=0,0,TrRoad_emi!V79/TrRoad_tech!V194)</f>
        <v>4.2775719736850011</v>
      </c>
      <c r="W221" s="94">
        <f>IF(TrRoad_act!W82=0,0,TrRoad_emi!W79/TrRoad_tech!W194)</f>
        <v>3.4369590368831471</v>
      </c>
      <c r="X221" s="94">
        <f>IF(TrRoad_act!X82=0,0,TrRoad_emi!X79/TrRoad_tech!X194)</f>
        <v>3.9169772080398686</v>
      </c>
      <c r="Y221" s="94">
        <f>IF(TrRoad_act!Y82=0,0,TrRoad_emi!Y79/TrRoad_tech!Y194)</f>
        <v>4.2002155229626661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106.95244179432308</v>
      </c>
      <c r="C225" s="152">
        <v>106.37018304562291</v>
      </c>
      <c r="D225" s="152">
        <v>105.72694587769099</v>
      </c>
      <c r="E225" s="152">
        <v>104.40358867669345</v>
      </c>
      <c r="F225" s="152">
        <v>104.25900784536931</v>
      </c>
      <c r="G225" s="152">
        <v>102.85450834107756</v>
      </c>
      <c r="H225" s="152">
        <v>100.78021600595763</v>
      </c>
      <c r="I225" s="152">
        <v>99.301950771398509</v>
      </c>
      <c r="J225" s="152">
        <v>94.480622641119766</v>
      </c>
      <c r="K225" s="152">
        <v>89.280138657266519</v>
      </c>
      <c r="L225" s="152">
        <v>86.032971210894587</v>
      </c>
      <c r="M225" s="152">
        <v>80.908241500987799</v>
      </c>
      <c r="N225" s="152">
        <v>77.715524210888404</v>
      </c>
      <c r="O225" s="152">
        <v>72.9187201956384</v>
      </c>
      <c r="P225" s="152">
        <v>70.641522846648598</v>
      </c>
      <c r="Q225" s="152">
        <v>68.02623379453081</v>
      </c>
      <c r="R225" s="152">
        <v>65.829132550823601</v>
      </c>
      <c r="S225" s="152">
        <v>64.071451555857834</v>
      </c>
      <c r="T225" s="152">
        <v>62.665306759885212</v>
      </c>
      <c r="U225" s="152">
        <v>61.54039092310714</v>
      </c>
      <c r="V225" s="152">
        <v>60.640458253684663</v>
      </c>
      <c r="W225" s="152">
        <v>59.920512118146682</v>
      </c>
      <c r="X225" s="152">
        <v>59.344555209716297</v>
      </c>
      <c r="Y225" s="152">
        <v>58.883789682972001</v>
      </c>
      <c r="DA225" s="174" t="s">
        <v>933</v>
      </c>
    </row>
    <row r="226" spans="1:105" ht="11.45" customHeight="1" x14ac:dyDescent="0.25">
      <c r="A226" s="109" t="s">
        <v>20</v>
      </c>
      <c r="B226" s="116">
        <v>210.08710369477382</v>
      </c>
      <c r="C226" s="116">
        <v>210.16925319516716</v>
      </c>
      <c r="D226" s="116">
        <v>209.02943541596846</v>
      </c>
      <c r="E226" s="116">
        <v>206.74872471888659</v>
      </c>
      <c r="F226" s="116">
        <v>205.97975634183626</v>
      </c>
      <c r="G226" s="116">
        <v>203.2964419776593</v>
      </c>
      <c r="H226" s="116">
        <v>200.27019544978882</v>
      </c>
      <c r="I226" s="116">
        <v>196.87562948498424</v>
      </c>
      <c r="J226" s="116">
        <v>187.02441733774992</v>
      </c>
      <c r="K226" s="116">
        <v>178.35494148190139</v>
      </c>
      <c r="L226" s="116">
        <v>171.1651748370513</v>
      </c>
      <c r="M226" s="116">
        <v>156.22019653496616</v>
      </c>
      <c r="N226" s="116">
        <v>153.53460063713479</v>
      </c>
      <c r="O226" s="116">
        <v>141.56265096439199</v>
      </c>
      <c r="P226" s="116">
        <v>137.08160963847436</v>
      </c>
      <c r="Q226" s="116">
        <v>132.70158056203738</v>
      </c>
      <c r="R226" s="116">
        <v>130.82463260133773</v>
      </c>
      <c r="S226" s="116">
        <v>134.25839944977236</v>
      </c>
      <c r="T226" s="116">
        <v>136.35720745418411</v>
      </c>
      <c r="U226" s="116">
        <v>139.1988771193015</v>
      </c>
      <c r="V226" s="116">
        <v>133.12522389130223</v>
      </c>
      <c r="W226" s="116">
        <v>125.78537768431907</v>
      </c>
      <c r="X226" s="116">
        <v>124.76782229418032</v>
      </c>
      <c r="Y226" s="116">
        <v>121.5849655599862</v>
      </c>
      <c r="DA226" s="176" t="s">
        <v>934</v>
      </c>
    </row>
    <row r="227" spans="1:105" ht="11.45" customHeight="1" x14ac:dyDescent="0.25">
      <c r="A227" s="111" t="s">
        <v>110</v>
      </c>
      <c r="B227" s="87">
        <v>210.07473804255002</v>
      </c>
      <c r="C227" s="87">
        <v>210.15086018366375</v>
      </c>
      <c r="D227" s="87">
        <v>208.88004499586799</v>
      </c>
      <c r="E227" s="87">
        <v>206.26554677693946</v>
      </c>
      <c r="F227" s="87">
        <v>205.97990483105869</v>
      </c>
      <c r="G227" s="87">
        <v>203.20509735678888</v>
      </c>
      <c r="H227" s="87">
        <v>199.1070098475208</v>
      </c>
      <c r="I227" s="87">
        <v>196.18646668657721</v>
      </c>
      <c r="J227" s="87">
        <v>186.66118220557564</v>
      </c>
      <c r="K227" s="87">
        <v>176.38681629507059</v>
      </c>
      <c r="L227" s="87">
        <v>169.97153136768858</v>
      </c>
      <c r="M227" s="87">
        <v>159.84648933050917</v>
      </c>
      <c r="N227" s="87">
        <v>153.53811798132364</v>
      </c>
      <c r="O227" s="87">
        <v>144.06753021560149</v>
      </c>
      <c r="P227" s="87">
        <v>139.65391746889551</v>
      </c>
      <c r="Q227" s="87">
        <v>134.53254112145575</v>
      </c>
      <c r="R227" s="87">
        <v>133.63717237035033</v>
      </c>
      <c r="S227" s="87">
        <v>134.24434191792946</v>
      </c>
      <c r="T227" s="87">
        <v>135.9742800788955</v>
      </c>
      <c r="U227" s="87">
        <v>139.3592053721321</v>
      </c>
      <c r="V227" s="87">
        <v>133.960984326719</v>
      </c>
      <c r="W227" s="87">
        <v>127.268572067164</v>
      </c>
      <c r="X227" s="87">
        <v>126.5531719154156</v>
      </c>
      <c r="Y227" s="87">
        <v>124.54911567752789</v>
      </c>
      <c r="DA227" s="171" t="s">
        <v>935</v>
      </c>
    </row>
    <row r="228" spans="1:105" ht="11.45" customHeight="1" x14ac:dyDescent="0.25">
      <c r="A228" s="111" t="s">
        <v>111</v>
      </c>
      <c r="B228" s="87">
        <v>221.69175943868214</v>
      </c>
      <c r="C228" s="87">
        <v>222.91692049918797</v>
      </c>
      <c r="D228" s="87">
        <v>222.79387032830982</v>
      </c>
      <c r="E228" s="87">
        <v>223.30145228318204</v>
      </c>
      <c r="F228" s="87">
        <v>0</v>
      </c>
      <c r="G228" s="87">
        <v>222.49009021895455</v>
      </c>
      <c r="H228" s="87">
        <v>223.91670313757245</v>
      </c>
      <c r="I228" s="87">
        <v>221.85561277536442</v>
      </c>
      <c r="J228" s="87">
        <v>211.84625043799943</v>
      </c>
      <c r="K228" s="87">
        <v>203.52113731452832</v>
      </c>
      <c r="L228" s="87">
        <v>195.70360614593071</v>
      </c>
      <c r="M228" s="87">
        <v>0</v>
      </c>
      <c r="N228" s="87">
        <v>0</v>
      </c>
      <c r="O228" s="87">
        <v>0</v>
      </c>
      <c r="P228" s="87">
        <v>134.42501837674553</v>
      </c>
      <c r="Q228" s="87">
        <v>133.68158499344298</v>
      </c>
      <c r="R228" s="87">
        <v>132.11882943679294</v>
      </c>
      <c r="S228" s="87">
        <v>135.40751323083813</v>
      </c>
      <c r="T228" s="87">
        <v>138.96767766216519</v>
      </c>
      <c r="U228" s="87">
        <v>139.67341298870201</v>
      </c>
      <c r="V228" s="87">
        <v>133.32626619552411</v>
      </c>
      <c r="W228" s="87">
        <v>126.8790313764076</v>
      </c>
      <c r="X228" s="87">
        <v>125.8584474885845</v>
      </c>
      <c r="Y228" s="87">
        <v>127.9454592363261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209.10441601891574</v>
      </c>
      <c r="I229" s="87">
        <v>207.17966859939455</v>
      </c>
      <c r="J229" s="87">
        <v>197.83243439601083</v>
      </c>
      <c r="K229" s="87">
        <v>190.05803483768361</v>
      </c>
      <c r="L229" s="87">
        <v>182.75764024088139</v>
      </c>
      <c r="M229" s="87">
        <v>139.85622607424071</v>
      </c>
      <c r="N229" s="87">
        <v>0</v>
      </c>
      <c r="O229" s="87">
        <v>136.2467730619687</v>
      </c>
      <c r="P229" s="87">
        <v>112.36273425024474</v>
      </c>
      <c r="Q229" s="87">
        <v>114.47575600266981</v>
      </c>
      <c r="R229" s="87">
        <v>113.20194917578702</v>
      </c>
      <c r="S229" s="87">
        <v>115.83349583752619</v>
      </c>
      <c r="T229" s="87">
        <v>116.15159488454964</v>
      </c>
      <c r="U229" s="87">
        <v>134.22898550724639</v>
      </c>
      <c r="V229" s="87">
        <v>123.8333333333333</v>
      </c>
      <c r="W229" s="87">
        <v>118.28482228626321</v>
      </c>
      <c r="X229" s="87">
        <v>116.9237785016287</v>
      </c>
      <c r="Y229" s="87">
        <v>115.9486951364176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206.2804671563747</v>
      </c>
      <c r="D230" s="87">
        <v>205.03305684180913</v>
      </c>
      <c r="E230" s="87">
        <v>202.46671039188857</v>
      </c>
      <c r="F230" s="87">
        <v>202.1863291743945</v>
      </c>
      <c r="G230" s="87">
        <v>199.46262591873753</v>
      </c>
      <c r="H230" s="87">
        <v>195.44001375754664</v>
      </c>
      <c r="I230" s="87">
        <v>192.57325886031103</v>
      </c>
      <c r="J230" s="87">
        <v>183.22340356673223</v>
      </c>
      <c r="K230" s="87">
        <v>173.13826283543929</v>
      </c>
      <c r="L230" s="87">
        <v>166.84112957314832</v>
      </c>
      <c r="M230" s="87">
        <v>143.41480658513777</v>
      </c>
      <c r="N230" s="87">
        <v>131.41595822542507</v>
      </c>
      <c r="O230" s="87">
        <v>0</v>
      </c>
      <c r="P230" s="87">
        <v>96.347613160561707</v>
      </c>
      <c r="Q230" s="87">
        <v>100.28866727249559</v>
      </c>
      <c r="R230" s="87">
        <v>102.4797999215352</v>
      </c>
      <c r="S230" s="87">
        <v>102.28790878248452</v>
      </c>
      <c r="T230" s="87">
        <v>107.9578313253012</v>
      </c>
      <c r="U230" s="87">
        <v>111.6886735311932</v>
      </c>
      <c r="V230" s="87">
        <v>105.77414561664189</v>
      </c>
      <c r="W230" s="87">
        <v>103.2327650111193</v>
      </c>
      <c r="X230" s="87">
        <v>101.9057437407953</v>
      </c>
      <c r="Y230" s="87">
        <v>102.1381733021077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46.139219941647866</v>
      </c>
      <c r="O231" s="87">
        <v>14.107431472155657</v>
      </c>
      <c r="P231" s="87">
        <v>27.853133932204791</v>
      </c>
      <c r="Q231" s="87">
        <v>35.171190100206594</v>
      </c>
      <c r="R231" s="87">
        <v>47.145347911221037</v>
      </c>
      <c r="S231" s="87">
        <v>58.523086687716692</v>
      </c>
      <c r="T231" s="87">
        <v>61.861254817830847</v>
      </c>
      <c r="U231" s="87">
        <v>64.265957446808514</v>
      </c>
      <c r="V231" s="87">
        <v>45.039201710620098</v>
      </c>
      <c r="W231" s="87">
        <v>39.225813593092759</v>
      </c>
      <c r="X231" s="87">
        <v>37.119006685768873</v>
      </c>
      <c r="Y231" s="87">
        <v>31.187044534412951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1503.6032419230819</v>
      </c>
      <c r="C233" s="116">
        <v>1426.9790796557361</v>
      </c>
      <c r="D233" s="116">
        <v>1462.0603233320267</v>
      </c>
      <c r="E233" s="116">
        <v>1484.2101616351181</v>
      </c>
      <c r="F233" s="116">
        <v>1494.0136797042364</v>
      </c>
      <c r="G233" s="116">
        <v>1479.8733594813398</v>
      </c>
      <c r="H233" s="116">
        <v>1474.6219211970497</v>
      </c>
      <c r="I233" s="116">
        <v>1451.3693803719677</v>
      </c>
      <c r="J233" s="116">
        <v>1445.5229268025112</v>
      </c>
      <c r="K233" s="116">
        <v>1436.3097004099227</v>
      </c>
      <c r="L233" s="116">
        <v>1422.8836228403795</v>
      </c>
      <c r="M233" s="116">
        <v>1397.7941130375727</v>
      </c>
      <c r="N233" s="116">
        <v>1377.6152684075582</v>
      </c>
      <c r="O233" s="116">
        <v>1062.5606018965532</v>
      </c>
      <c r="P233" s="116">
        <v>1338.4112685009095</v>
      </c>
      <c r="Q233" s="116">
        <v>1315.5529792860441</v>
      </c>
      <c r="R233" s="116">
        <v>1296.8080989423095</v>
      </c>
      <c r="S233" s="116">
        <v>1286.354612734159</v>
      </c>
      <c r="T233" s="116">
        <v>1209.7832640010276</v>
      </c>
      <c r="U233" s="116">
        <v>1181.1583602753865</v>
      </c>
      <c r="V233" s="116">
        <v>1135.8422985653026</v>
      </c>
      <c r="W233" s="116">
        <v>1089.7150364776812</v>
      </c>
      <c r="X233" s="116">
        <v>1029.8870280103019</v>
      </c>
      <c r="Y233" s="116">
        <v>987.44499200726841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1503.6032419230819</v>
      </c>
      <c r="C235" s="101">
        <v>1501.5479469684171</v>
      </c>
      <c r="D235" s="101">
        <v>1499.2675807273579</v>
      </c>
      <c r="E235" s="101">
        <v>1494.531634325821</v>
      </c>
      <c r="F235" s="101">
        <v>1494.0136797042364</v>
      </c>
      <c r="G235" s="101">
        <v>1488.9307656056071</v>
      </c>
      <c r="H235" s="101">
        <v>1481.3085676939327</v>
      </c>
      <c r="I235" s="101">
        <v>1475.816108510438</v>
      </c>
      <c r="J235" s="101">
        <v>1457.2256222072367</v>
      </c>
      <c r="K235" s="101">
        <v>1436.3097004099227</v>
      </c>
      <c r="L235" s="101">
        <v>1422.8836228403795</v>
      </c>
      <c r="M235" s="101">
        <v>1400.7034759699725</v>
      </c>
      <c r="N235" s="101">
        <v>1386.4637636497901</v>
      </c>
      <c r="O235" s="101">
        <v>1364.03128429511</v>
      </c>
      <c r="P235" s="101">
        <v>1353.1264515418998</v>
      </c>
      <c r="Q235" s="101">
        <v>1340.2449215971562</v>
      </c>
      <c r="R235" s="101">
        <v>1318.1263751903973</v>
      </c>
      <c r="S235" s="101">
        <v>1288.1437012080589</v>
      </c>
      <c r="T235" s="101">
        <v>1251.648905809483</v>
      </c>
      <c r="U235" s="101">
        <v>1209.9309469567602</v>
      </c>
      <c r="V235" s="101">
        <v>1164.1863745134035</v>
      </c>
      <c r="W235" s="101">
        <v>1115.5008833641355</v>
      </c>
      <c r="X235" s="101">
        <v>1064.8397542584994</v>
      </c>
      <c r="Y235" s="101">
        <v>1013.0452227480773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947.33288152190971</v>
      </c>
      <c r="D237" s="101">
        <v>945.89418892043159</v>
      </c>
      <c r="E237" s="101">
        <v>942.90626052270102</v>
      </c>
      <c r="F237" s="101">
        <v>0</v>
      </c>
      <c r="G237" s="101">
        <v>939.37264901568346</v>
      </c>
      <c r="H237" s="101">
        <v>934.56377246547038</v>
      </c>
      <c r="I237" s="101">
        <v>931.0985569887041</v>
      </c>
      <c r="J237" s="101">
        <v>919.36974140605003</v>
      </c>
      <c r="K237" s="101">
        <v>0</v>
      </c>
      <c r="L237" s="101">
        <v>0</v>
      </c>
      <c r="M237" s="101">
        <v>883.70968288254005</v>
      </c>
      <c r="N237" s="101">
        <v>874.72578880739104</v>
      </c>
      <c r="O237" s="101">
        <v>0</v>
      </c>
      <c r="P237" s="101">
        <v>853.69313913068584</v>
      </c>
      <c r="Q237" s="101">
        <v>845.56612799820584</v>
      </c>
      <c r="R237" s="101">
        <v>839.88637802496055</v>
      </c>
      <c r="S237" s="101">
        <v>0</v>
      </c>
      <c r="T237" s="101">
        <v>832.30182823243263</v>
      </c>
      <c r="U237" s="101">
        <v>829.46289830689432</v>
      </c>
      <c r="V237" s="101">
        <v>826.93642631617126</v>
      </c>
      <c r="W237" s="101">
        <v>824.59881418395366</v>
      </c>
      <c r="X237" s="101">
        <v>822.37622054142571</v>
      </c>
      <c r="Y237" s="101">
        <v>820.22449538443357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0</v>
      </c>
      <c r="C240" s="152">
        <v>246.89527213122858</v>
      </c>
      <c r="D240" s="152">
        <v>246.23724759146901</v>
      </c>
      <c r="E240" s="152">
        <v>241.15609312071476</v>
      </c>
      <c r="F240" s="152">
        <v>241.48656840095362</v>
      </c>
      <c r="G240" s="152">
        <v>240.11482751259189</v>
      </c>
      <c r="H240" s="152">
        <v>236.14040963555726</v>
      </c>
      <c r="I240" s="152">
        <v>233.79436083516538</v>
      </c>
      <c r="J240" s="152">
        <v>224.05140746092778</v>
      </c>
      <c r="K240" s="152">
        <v>222.80988493117079</v>
      </c>
      <c r="L240" s="152">
        <v>208.87350043075847</v>
      </c>
      <c r="M240" s="152">
        <v>198.13959716105032</v>
      </c>
      <c r="N240" s="152">
        <v>192.07748426845191</v>
      </c>
      <c r="O240" s="152">
        <v>181.71512081057327</v>
      </c>
      <c r="P240" s="152">
        <v>164.06069711939611</v>
      </c>
      <c r="Q240" s="152">
        <v>170.22961059403005</v>
      </c>
      <c r="R240" s="152">
        <v>160.43417807076634</v>
      </c>
      <c r="S240" s="152">
        <v>172.57942560034721</v>
      </c>
      <c r="T240" s="152">
        <v>154.12039655757408</v>
      </c>
      <c r="U240" s="152">
        <v>154.53481034219087</v>
      </c>
      <c r="V240" s="152">
        <v>154.30883581660979</v>
      </c>
      <c r="W240" s="152">
        <v>165.06773243710057</v>
      </c>
      <c r="X240" s="152">
        <v>155.60144724650334</v>
      </c>
      <c r="Y240" s="152">
        <v>197.98541742108807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251.61334314123496</v>
      </c>
      <c r="D241" s="87">
        <v>250.09179782071382</v>
      </c>
      <c r="E241" s="87">
        <v>246.96146260854061</v>
      </c>
      <c r="F241" s="87">
        <v>246.6194638897079</v>
      </c>
      <c r="G241" s="87">
        <v>243.29719062104692</v>
      </c>
      <c r="H241" s="87">
        <v>238.39055594065059</v>
      </c>
      <c r="I241" s="87">
        <v>234.89379352972804</v>
      </c>
      <c r="J241" s="87">
        <v>223.48918319150945</v>
      </c>
      <c r="K241" s="87">
        <v>211.18769866206631</v>
      </c>
      <c r="L241" s="87">
        <v>203.50668661971036</v>
      </c>
      <c r="M241" s="87">
        <v>0</v>
      </c>
      <c r="N241" s="87">
        <v>183.83218210960734</v>
      </c>
      <c r="O241" s="87">
        <v>188.5852231355997</v>
      </c>
      <c r="P241" s="87">
        <v>148.8730251168592</v>
      </c>
      <c r="Q241" s="87">
        <v>158.58378792445544</v>
      </c>
      <c r="R241" s="87">
        <v>148.19976004101764</v>
      </c>
      <c r="S241" s="87">
        <v>152.99334685479724</v>
      </c>
      <c r="T241" s="87">
        <v>148.66986593494596</v>
      </c>
      <c r="U241" s="87">
        <v>148.84244372990361</v>
      </c>
      <c r="V241" s="87">
        <v>144.68847376264631</v>
      </c>
      <c r="W241" s="87">
        <v>155.80732177263971</v>
      </c>
      <c r="X241" s="87">
        <v>144.49423393739701</v>
      </c>
      <c r="Y241" s="87">
        <v>209.75754060324829</v>
      </c>
      <c r="DA241" s="171" t="s">
        <v>948</v>
      </c>
    </row>
    <row r="242" spans="1:105" ht="11.45" customHeight="1" x14ac:dyDescent="0.25">
      <c r="A242" s="111" t="s">
        <v>111</v>
      </c>
      <c r="B242" s="87">
        <v>0</v>
      </c>
      <c r="C242" s="87">
        <v>234.0279816695664</v>
      </c>
      <c r="D242" s="87">
        <v>234.10866569062918</v>
      </c>
      <c r="E242" s="87">
        <v>233.90547486769239</v>
      </c>
      <c r="F242" s="87">
        <v>233.73524896207064</v>
      </c>
      <c r="G242" s="87">
        <v>234.17361764816957</v>
      </c>
      <c r="H242" s="87">
        <v>234.0399059406769</v>
      </c>
      <c r="I242" s="87">
        <v>231.46043927002631</v>
      </c>
      <c r="J242" s="87">
        <v>227.50167214177404</v>
      </c>
      <c r="K242" s="87">
        <v>223.92377261414455</v>
      </c>
      <c r="L242" s="87">
        <v>211.45150960630568</v>
      </c>
      <c r="M242" s="87">
        <v>198.13959716105032</v>
      </c>
      <c r="N242" s="87">
        <v>192.78573943781524</v>
      </c>
      <c r="O242" s="87">
        <v>181.69971964998948</v>
      </c>
      <c r="P242" s="87">
        <v>177.50813098156368</v>
      </c>
      <c r="Q242" s="87">
        <v>176.11461211240513</v>
      </c>
      <c r="R242" s="87">
        <v>175.61454759789979</v>
      </c>
      <c r="S242" s="87">
        <v>172.76639755707313</v>
      </c>
      <c r="T242" s="87">
        <v>176.03447678327416</v>
      </c>
      <c r="U242" s="87">
        <v>179.04729729729729</v>
      </c>
      <c r="V242" s="87">
        <v>196.57836828283601</v>
      </c>
      <c r="W242" s="87">
        <v>191.85455137953511</v>
      </c>
      <c r="X242" s="87">
        <v>182.86816830551109</v>
      </c>
      <c r="Y242" s="87">
        <v>189.16029502151201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0</v>
      </c>
      <c r="P243" s="87">
        <v>0</v>
      </c>
      <c r="Q243" s="87">
        <v>0</v>
      </c>
      <c r="R243" s="87">
        <v>0</v>
      </c>
      <c r="S243" s="87">
        <v>0</v>
      </c>
      <c r="T243" s="87">
        <v>0</v>
      </c>
      <c r="U243" s="87">
        <v>0</v>
      </c>
      <c r="V243" s="87">
        <v>0</v>
      </c>
      <c r="W243" s="87">
        <v>0</v>
      </c>
      <c r="X243" s="87">
        <v>0</v>
      </c>
      <c r="Y243" s="87">
        <v>0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X244" s="87">
        <v>0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885.18880237180281</v>
      </c>
      <c r="D246" s="116">
        <v>880.51511771686319</v>
      </c>
      <c r="E246" s="116">
        <v>875.78015973847494</v>
      </c>
      <c r="F246" s="116">
        <v>867.73201822706108</v>
      </c>
      <c r="G246" s="116">
        <v>869.15728205721575</v>
      </c>
      <c r="H246" s="116">
        <v>852.83114859318005</v>
      </c>
      <c r="I246" s="116">
        <v>840.05157048890601</v>
      </c>
      <c r="J246" s="116">
        <v>829.1602534777785</v>
      </c>
      <c r="K246" s="116">
        <v>817.28516046966718</v>
      </c>
      <c r="L246" s="116">
        <v>831.89128579626936</v>
      </c>
      <c r="M246" s="116">
        <v>790.69896441067488</v>
      </c>
      <c r="N246" s="116">
        <v>794.89654728053858</v>
      </c>
      <c r="O246" s="116">
        <v>786.03197291896777</v>
      </c>
      <c r="P246" s="116">
        <v>750.04783677884905</v>
      </c>
      <c r="Q246" s="116">
        <v>743.11542261852628</v>
      </c>
      <c r="R246" s="116">
        <v>686.2450393658761</v>
      </c>
      <c r="S246" s="116">
        <v>679.27882771120335</v>
      </c>
      <c r="T246" s="116">
        <v>579.47433766462746</v>
      </c>
      <c r="U246" s="116">
        <v>525.01780179146783</v>
      </c>
      <c r="V246" s="116">
        <v>555.32363403722798</v>
      </c>
      <c r="W246" s="116">
        <v>557.37894556797607</v>
      </c>
      <c r="X246" s="116">
        <v>513.88079390731866</v>
      </c>
      <c r="Y246" s="116">
        <v>497.54944997371587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826.19604886845809</v>
      </c>
      <c r="D247" s="101">
        <v>821.97353256822851</v>
      </c>
      <c r="E247" s="101">
        <v>816.7157138131904</v>
      </c>
      <c r="F247" s="101">
        <v>810.43595281982857</v>
      </c>
      <c r="G247" s="101">
        <v>803.15009394876313</v>
      </c>
      <c r="H247" s="101">
        <v>794.87636689975227</v>
      </c>
      <c r="I247" s="101">
        <v>785.63527442484713</v>
      </c>
      <c r="J247" s="101">
        <v>775.44946782739612</v>
      </c>
      <c r="K247" s="101">
        <v>764.34361161333243</v>
      </c>
      <c r="L247" s="101">
        <v>752.34423878550001</v>
      </c>
      <c r="M247" s="101">
        <v>739.4795982950036</v>
      </c>
      <c r="N247" s="101">
        <v>725.77949622221479</v>
      </c>
      <c r="O247" s="101">
        <v>711.27513227847521</v>
      </c>
      <c r="P247" s="101">
        <v>695.99893318210081</v>
      </c>
      <c r="Q247" s="101">
        <v>679.98438446255693</v>
      </c>
      <c r="R247" s="101">
        <v>623.29163456568756</v>
      </c>
      <c r="S247" s="101">
        <v>583.60670963787902</v>
      </c>
      <c r="T247" s="101">
        <v>541.93753846367997</v>
      </c>
      <c r="U247" s="101">
        <v>491.00855147299222</v>
      </c>
      <c r="V247" s="101">
        <v>460.99326878363325</v>
      </c>
      <c r="W247" s="101">
        <v>462.50446710725436</v>
      </c>
      <c r="X247" s="101">
        <v>459.95635694583524</v>
      </c>
      <c r="Y247" s="101">
        <v>455.35679337637691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0</v>
      </c>
      <c r="J248" s="88">
        <v>0</v>
      </c>
      <c r="K248" s="88">
        <v>0</v>
      </c>
      <c r="L248" s="88">
        <v>888.27077026061306</v>
      </c>
      <c r="M248" s="88">
        <v>0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0</v>
      </c>
      <c r="U248" s="88">
        <v>0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3076</v>
      </c>
      <c r="C4" s="28">
        <f t="shared" ref="C4:V4" si="1">SUM(C5,C6,C9)</f>
        <v>3077</v>
      </c>
      <c r="D4" s="28">
        <f t="shared" si="1"/>
        <v>3186</v>
      </c>
      <c r="E4" s="28">
        <f t="shared" si="1"/>
        <v>2974</v>
      </c>
      <c r="F4" s="28">
        <f t="shared" si="1"/>
        <v>3168</v>
      </c>
      <c r="G4" s="28">
        <f t="shared" si="1"/>
        <v>3354</v>
      </c>
      <c r="H4" s="28">
        <f t="shared" si="1"/>
        <v>3361</v>
      </c>
      <c r="I4" s="28">
        <f t="shared" si="1"/>
        <v>3530</v>
      </c>
      <c r="J4" s="28">
        <f t="shared" si="1"/>
        <v>3317</v>
      </c>
      <c r="K4" s="28">
        <f t="shared" si="1"/>
        <v>3138</v>
      </c>
      <c r="L4" s="28">
        <f t="shared" si="1"/>
        <v>3075.7464982806518</v>
      </c>
      <c r="M4" s="28">
        <f t="shared" si="1"/>
        <v>2632.5821660935508</v>
      </c>
      <c r="N4" s="28">
        <f t="shared" si="1"/>
        <v>2501.3892905336879</v>
      </c>
      <c r="O4" s="28">
        <f t="shared" si="1"/>
        <v>2720.0104964628026</v>
      </c>
      <c r="P4" s="28">
        <f t="shared" si="1"/>
        <v>2734.2689779617967</v>
      </c>
      <c r="Q4" s="28">
        <f t="shared" si="1"/>
        <v>2936.9048608075291</v>
      </c>
      <c r="R4" s="28">
        <f t="shared" si="1"/>
        <v>2845.8180024778389</v>
      </c>
      <c r="S4" s="28">
        <f t="shared" si="1"/>
        <v>2800.5481805298732</v>
      </c>
      <c r="T4" s="28">
        <f t="shared" si="1"/>
        <v>2799.4635632585059</v>
      </c>
      <c r="U4" s="28">
        <f t="shared" si="1"/>
        <v>2929.8685388232807</v>
      </c>
      <c r="V4" s="28">
        <f t="shared" si="1"/>
        <v>1728.4600413566914</v>
      </c>
      <c r="W4" s="28">
        <f t="shared" ref="W4:Y4" si="2">SUM(W5,W6,W9)</f>
        <v>1778.7800102126505</v>
      </c>
      <c r="X4" s="28">
        <f t="shared" si="2"/>
        <v>2562.1867471854139</v>
      </c>
      <c r="Y4" s="28">
        <f t="shared" si="2"/>
        <v>2202.9280139865318</v>
      </c>
      <c r="DA4" s="173" t="s">
        <v>376</v>
      </c>
    </row>
    <row r="5" spans="1:105" ht="11.45" customHeight="1" x14ac:dyDescent="0.25">
      <c r="A5" s="107" t="s">
        <v>23</v>
      </c>
      <c r="B5" s="108">
        <v>1190</v>
      </c>
      <c r="C5" s="108">
        <v>1330</v>
      </c>
      <c r="D5" s="108">
        <v>1350</v>
      </c>
      <c r="E5" s="108">
        <v>1400</v>
      </c>
      <c r="F5" s="108">
        <v>1500</v>
      </c>
      <c r="G5" s="108">
        <v>1500</v>
      </c>
      <c r="H5" s="108">
        <v>1550</v>
      </c>
      <c r="I5" s="108">
        <v>1600</v>
      </c>
      <c r="J5" s="108">
        <v>1660</v>
      </c>
      <c r="K5" s="108">
        <v>1671</v>
      </c>
      <c r="L5" s="108">
        <v>1692.7464982806518</v>
      </c>
      <c r="M5" s="108">
        <v>1674.5821660935505</v>
      </c>
      <c r="N5" s="108">
        <v>1669.3892905336882</v>
      </c>
      <c r="O5" s="108">
        <v>1664.0104964628028</v>
      </c>
      <c r="P5" s="108">
        <v>1662.268977961797</v>
      </c>
      <c r="Q5" s="108">
        <v>1673.9048608075293</v>
      </c>
      <c r="R5" s="108">
        <v>1653.8180024778389</v>
      </c>
      <c r="S5" s="108">
        <v>1688.5481805298734</v>
      </c>
      <c r="T5" s="108">
        <v>1695.4635632585057</v>
      </c>
      <c r="U5" s="108">
        <v>1677.8685388232809</v>
      </c>
      <c r="V5" s="108">
        <v>1088.4600413566914</v>
      </c>
      <c r="W5" s="108">
        <v>1125.7800102126505</v>
      </c>
      <c r="X5" s="108">
        <v>1445.1867471854141</v>
      </c>
      <c r="Y5" s="108">
        <v>1529.9280139865318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1886</v>
      </c>
      <c r="C6" s="110">
        <f t="shared" ref="C6:V6" si="4">SUM(C7:C8)</f>
        <v>1747</v>
      </c>
      <c r="D6" s="110">
        <f t="shared" si="4"/>
        <v>1836</v>
      </c>
      <c r="E6" s="110">
        <f t="shared" si="4"/>
        <v>1574</v>
      </c>
      <c r="F6" s="110">
        <f t="shared" si="4"/>
        <v>1668</v>
      </c>
      <c r="G6" s="110">
        <f t="shared" si="4"/>
        <v>1854</v>
      </c>
      <c r="H6" s="110">
        <f t="shared" si="4"/>
        <v>1811</v>
      </c>
      <c r="I6" s="110">
        <f t="shared" si="4"/>
        <v>1930</v>
      </c>
      <c r="J6" s="110">
        <f t="shared" si="4"/>
        <v>1657</v>
      </c>
      <c r="K6" s="110">
        <f t="shared" si="4"/>
        <v>1467</v>
      </c>
      <c r="L6" s="110">
        <f t="shared" si="4"/>
        <v>1383</v>
      </c>
      <c r="M6" s="110">
        <f t="shared" si="4"/>
        <v>958</v>
      </c>
      <c r="N6" s="110">
        <f t="shared" si="4"/>
        <v>832</v>
      </c>
      <c r="O6" s="110">
        <f t="shared" si="4"/>
        <v>1056</v>
      </c>
      <c r="P6" s="110">
        <f t="shared" si="4"/>
        <v>1072</v>
      </c>
      <c r="Q6" s="110">
        <f t="shared" si="4"/>
        <v>1263</v>
      </c>
      <c r="R6" s="110">
        <f t="shared" si="4"/>
        <v>1192</v>
      </c>
      <c r="S6" s="110">
        <f t="shared" si="4"/>
        <v>1112</v>
      </c>
      <c r="T6" s="110">
        <f t="shared" si="4"/>
        <v>1104</v>
      </c>
      <c r="U6" s="110">
        <f t="shared" si="4"/>
        <v>1252</v>
      </c>
      <c r="V6" s="110">
        <f t="shared" si="4"/>
        <v>640</v>
      </c>
      <c r="W6" s="110">
        <f t="shared" ref="W6:Y6" si="5">SUM(W7:W8)</f>
        <v>653</v>
      </c>
      <c r="X6" s="110">
        <f t="shared" si="5"/>
        <v>1117</v>
      </c>
      <c r="Y6" s="110">
        <f t="shared" si="5"/>
        <v>673</v>
      </c>
      <c r="DA6" s="176" t="s">
        <v>378</v>
      </c>
    </row>
    <row r="7" spans="1:105" ht="11.45" customHeight="1" x14ac:dyDescent="0.25">
      <c r="A7" s="111" t="s">
        <v>90</v>
      </c>
      <c r="B7" s="84">
        <v>1414.2954050587387</v>
      </c>
      <c r="C7" s="84">
        <v>1543.9614619449196</v>
      </c>
      <c r="D7" s="84">
        <v>1560.2875705017309</v>
      </c>
      <c r="E7" s="84">
        <v>1373.8876381380937</v>
      </c>
      <c r="F7" s="84">
        <v>1449.9082927827287</v>
      </c>
      <c r="G7" s="84">
        <v>1706.6092273928598</v>
      </c>
      <c r="H7" s="84">
        <v>1797.4406044962861</v>
      </c>
      <c r="I7" s="84">
        <v>1813.4891736969394</v>
      </c>
      <c r="J7" s="84">
        <v>1421.7804300509461</v>
      </c>
      <c r="K7" s="84">
        <v>1279.551522186747</v>
      </c>
      <c r="L7" s="84">
        <v>1367.6503884572699</v>
      </c>
      <c r="M7" s="84">
        <v>947.36736958934534</v>
      </c>
      <c r="N7" s="84">
        <v>748.05801069845438</v>
      </c>
      <c r="O7" s="84">
        <v>723.55658091417149</v>
      </c>
      <c r="P7" s="84">
        <v>819.64580096842622</v>
      </c>
      <c r="Q7" s="84">
        <v>952.78329337689286</v>
      </c>
      <c r="R7" s="84">
        <v>965.74581264562369</v>
      </c>
      <c r="S7" s="84">
        <v>901.82385428244413</v>
      </c>
      <c r="T7" s="84">
        <v>860.17293959944163</v>
      </c>
      <c r="U7" s="84">
        <v>519.48978897830136</v>
      </c>
      <c r="V7" s="84">
        <v>270.69772620816019</v>
      </c>
      <c r="W7" s="84">
        <v>238.07205942751654</v>
      </c>
      <c r="X7" s="84">
        <v>307.92485130175629</v>
      </c>
      <c r="Y7" s="84">
        <v>216.59781801480563</v>
      </c>
      <c r="DA7" s="171" t="s">
        <v>1031</v>
      </c>
    </row>
    <row r="8" spans="1:105" ht="11.45" customHeight="1" x14ac:dyDescent="0.25">
      <c r="A8" s="111" t="s">
        <v>93</v>
      </c>
      <c r="B8" s="84">
        <v>471.70459494126135</v>
      </c>
      <c r="C8" s="84">
        <v>203.03853805508038</v>
      </c>
      <c r="D8" s="84">
        <v>275.7124294982691</v>
      </c>
      <c r="E8" s="84">
        <v>200.11236186190627</v>
      </c>
      <c r="F8" s="84">
        <v>218.09170721727128</v>
      </c>
      <c r="G8" s="84">
        <v>147.39077260714021</v>
      </c>
      <c r="H8" s="84">
        <v>13.559395503713858</v>
      </c>
      <c r="I8" s="84">
        <v>116.51082630306064</v>
      </c>
      <c r="J8" s="84">
        <v>235.21956994905395</v>
      </c>
      <c r="K8" s="84">
        <v>187.44847781325302</v>
      </c>
      <c r="L8" s="84">
        <v>15.349611542730145</v>
      </c>
      <c r="M8" s="84">
        <v>10.632630410654656</v>
      </c>
      <c r="N8" s="84">
        <v>83.941989301545618</v>
      </c>
      <c r="O8" s="84">
        <v>332.44341908582851</v>
      </c>
      <c r="P8" s="84">
        <v>252.35419903157378</v>
      </c>
      <c r="Q8" s="84">
        <v>310.21670662310714</v>
      </c>
      <c r="R8" s="84">
        <v>226.25418735437631</v>
      </c>
      <c r="S8" s="84">
        <v>210.17614571755587</v>
      </c>
      <c r="T8" s="84">
        <v>243.82706040055837</v>
      </c>
      <c r="U8" s="84">
        <v>732.51021102169864</v>
      </c>
      <c r="V8" s="84">
        <v>369.30227379183981</v>
      </c>
      <c r="W8" s="84">
        <v>414.92794057248346</v>
      </c>
      <c r="X8" s="84">
        <v>809.07514869824377</v>
      </c>
      <c r="Y8" s="84">
        <v>456.40218198519437</v>
      </c>
      <c r="DA8" s="171" t="s">
        <v>1032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X9" s="113">
        <v>0</v>
      </c>
      <c r="Y9" s="113">
        <v>0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427</v>
      </c>
      <c r="C10" s="28">
        <f t="shared" ref="C10:V10" si="7">SUM(C11:C12)</f>
        <v>380</v>
      </c>
      <c r="D10" s="28">
        <f t="shared" si="7"/>
        <v>327</v>
      </c>
      <c r="E10" s="28">
        <f t="shared" si="7"/>
        <v>456</v>
      </c>
      <c r="F10" s="28">
        <f t="shared" si="7"/>
        <v>592</v>
      </c>
      <c r="G10" s="28">
        <f t="shared" si="7"/>
        <v>613</v>
      </c>
      <c r="H10" s="28">
        <f t="shared" si="7"/>
        <v>662</v>
      </c>
      <c r="I10" s="28">
        <f t="shared" si="7"/>
        <v>835</v>
      </c>
      <c r="J10" s="28">
        <f t="shared" si="7"/>
        <v>786</v>
      </c>
      <c r="K10" s="28">
        <f t="shared" si="7"/>
        <v>552</v>
      </c>
      <c r="L10" s="28">
        <f t="shared" si="7"/>
        <v>614</v>
      </c>
      <c r="M10" s="28">
        <f t="shared" si="7"/>
        <v>352</v>
      </c>
      <c r="N10" s="28">
        <f t="shared" si="7"/>
        <v>283</v>
      </c>
      <c r="O10" s="28">
        <f t="shared" si="7"/>
        <v>237</v>
      </c>
      <c r="P10" s="28">
        <f t="shared" si="7"/>
        <v>311</v>
      </c>
      <c r="Q10" s="28">
        <f t="shared" si="7"/>
        <v>294</v>
      </c>
      <c r="R10" s="28">
        <f t="shared" si="7"/>
        <v>254</v>
      </c>
      <c r="S10" s="28">
        <f t="shared" si="7"/>
        <v>358</v>
      </c>
      <c r="T10" s="28">
        <f t="shared" si="7"/>
        <v>408</v>
      </c>
      <c r="U10" s="28">
        <f t="shared" si="7"/>
        <v>491</v>
      </c>
      <c r="V10" s="28">
        <f t="shared" si="7"/>
        <v>555</v>
      </c>
      <c r="W10" s="28">
        <f t="shared" ref="W10:Y10" si="8">SUM(W11:W12)</f>
        <v>578</v>
      </c>
      <c r="X10" s="28">
        <f t="shared" si="8"/>
        <v>458</v>
      </c>
      <c r="Y10" s="28">
        <f t="shared" si="8"/>
        <v>211</v>
      </c>
      <c r="DA10" s="173" t="s">
        <v>384</v>
      </c>
    </row>
    <row r="11" spans="1:105" ht="11.45" customHeight="1" x14ac:dyDescent="0.25">
      <c r="A11" s="83" t="s">
        <v>90</v>
      </c>
      <c r="B11" s="84">
        <v>323.34680764634032</v>
      </c>
      <c r="C11" s="84">
        <v>283.62774870709501</v>
      </c>
      <c r="D11" s="84">
        <v>245.63532988648595</v>
      </c>
      <c r="E11" s="84">
        <v>340.89669380591755</v>
      </c>
      <c r="F11" s="84">
        <v>440.45798131304457</v>
      </c>
      <c r="G11" s="84">
        <v>498.88868609701206</v>
      </c>
      <c r="H11" s="84">
        <v>578.72248193795156</v>
      </c>
      <c r="I11" s="84">
        <v>684.20227499353689</v>
      </c>
      <c r="J11" s="84">
        <v>643.10020489803878</v>
      </c>
      <c r="K11" s="84">
        <v>433.73673627069275</v>
      </c>
      <c r="L11" s="84">
        <v>504.56365043427513</v>
      </c>
      <c r="M11" s="84">
        <v>241.42153810706913</v>
      </c>
      <c r="N11" s="84">
        <v>165.86627885380386</v>
      </c>
      <c r="O11" s="84">
        <v>111.88780889210528</v>
      </c>
      <c r="P11" s="84">
        <v>163.72854939839254</v>
      </c>
      <c r="Q11" s="84">
        <v>151.98210986336366</v>
      </c>
      <c r="R11" s="84">
        <v>134.2191874699607</v>
      </c>
      <c r="S11" s="84">
        <v>187.79086232495862</v>
      </c>
      <c r="T11" s="84">
        <v>206.51997539603559</v>
      </c>
      <c r="U11" s="84">
        <v>144.30642416546971</v>
      </c>
      <c r="V11" s="84">
        <v>141.57402861051733</v>
      </c>
      <c r="W11" s="84">
        <v>127.1739770459122</v>
      </c>
      <c r="X11" s="84">
        <v>94.010311508059161</v>
      </c>
      <c r="Y11" s="84">
        <v>32.770862574067323</v>
      </c>
      <c r="DA11" s="171" t="s">
        <v>1033</v>
      </c>
    </row>
    <row r="12" spans="1:105" ht="11.45" customHeight="1" x14ac:dyDescent="0.25">
      <c r="A12" s="85" t="s">
        <v>93</v>
      </c>
      <c r="B12" s="86">
        <v>103.65319235365968</v>
      </c>
      <c r="C12" s="86">
        <v>96.372251292904991</v>
      </c>
      <c r="D12" s="86">
        <v>81.364670113514052</v>
      </c>
      <c r="E12" s="86">
        <v>115.10330619408245</v>
      </c>
      <c r="F12" s="86">
        <v>151.54201868695543</v>
      </c>
      <c r="G12" s="86">
        <v>114.11131390298794</v>
      </c>
      <c r="H12" s="86">
        <v>83.277518062048443</v>
      </c>
      <c r="I12" s="86">
        <v>150.79772500646311</v>
      </c>
      <c r="J12" s="86">
        <v>142.89979510196122</v>
      </c>
      <c r="K12" s="86">
        <v>118.26326372930725</v>
      </c>
      <c r="L12" s="86">
        <v>109.43634956572487</v>
      </c>
      <c r="M12" s="86">
        <v>110.57846189293087</v>
      </c>
      <c r="N12" s="86">
        <v>117.13372114619614</v>
      </c>
      <c r="O12" s="86">
        <v>125.11219110789472</v>
      </c>
      <c r="P12" s="86">
        <v>147.27145060160746</v>
      </c>
      <c r="Q12" s="86">
        <v>142.01789013663634</v>
      </c>
      <c r="R12" s="86">
        <v>119.7808125300393</v>
      </c>
      <c r="S12" s="86">
        <v>170.20913767504138</v>
      </c>
      <c r="T12" s="86">
        <v>201.48002460396441</v>
      </c>
      <c r="U12" s="86">
        <v>346.69357583453029</v>
      </c>
      <c r="V12" s="86">
        <v>413.4259713894827</v>
      </c>
      <c r="W12" s="86">
        <v>450.82602295408782</v>
      </c>
      <c r="X12" s="86">
        <v>363.98968849194085</v>
      </c>
      <c r="Y12" s="86">
        <v>178.22913742593266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27.745539060506026</v>
      </c>
      <c r="C14" s="62">
        <f t="shared" ref="C14:V14" si="10">C15+C21</f>
        <v>29.992178601342555</v>
      </c>
      <c r="D14" s="62">
        <f t="shared" si="10"/>
        <v>30.871397515793085</v>
      </c>
      <c r="E14" s="62">
        <f t="shared" si="10"/>
        <v>31.985786400179219</v>
      </c>
      <c r="F14" s="62">
        <f t="shared" si="10"/>
        <v>33.454341785206573</v>
      </c>
      <c r="G14" s="62">
        <f t="shared" si="10"/>
        <v>25.244795835810379</v>
      </c>
      <c r="H14" s="62">
        <f t="shared" si="10"/>
        <v>31.82310312298997</v>
      </c>
      <c r="I14" s="62">
        <f t="shared" si="10"/>
        <v>34.622510527008522</v>
      </c>
      <c r="J14" s="62">
        <f t="shared" si="10"/>
        <v>28.612285404883888</v>
      </c>
      <c r="K14" s="62">
        <f t="shared" si="10"/>
        <v>28.674115916341393</v>
      </c>
      <c r="L14" s="62">
        <f t="shared" si="10"/>
        <v>17.472360286853693</v>
      </c>
      <c r="M14" s="62">
        <f t="shared" si="10"/>
        <v>18.273963611141816</v>
      </c>
      <c r="N14" s="62">
        <f t="shared" si="10"/>
        <v>22.07146305637071</v>
      </c>
      <c r="O14" s="62">
        <f t="shared" si="10"/>
        <v>26.976372875016484</v>
      </c>
      <c r="P14" s="62">
        <f t="shared" si="10"/>
        <v>46.528793513898009</v>
      </c>
      <c r="Q14" s="62">
        <f t="shared" si="10"/>
        <v>46.970772403964929</v>
      </c>
      <c r="R14" s="62">
        <f t="shared" si="10"/>
        <v>45.344307919247804</v>
      </c>
      <c r="S14" s="62">
        <f t="shared" si="10"/>
        <v>45.741910249380574</v>
      </c>
      <c r="T14" s="62">
        <f t="shared" si="10"/>
        <v>45.999606507824872</v>
      </c>
      <c r="U14" s="62">
        <f t="shared" si="10"/>
        <v>31.326373761386375</v>
      </c>
      <c r="V14" s="62">
        <f t="shared" si="10"/>
        <v>27.724923956894191</v>
      </c>
      <c r="W14" s="62">
        <f t="shared" ref="W14:Y14" si="11">W15+W21</f>
        <v>28.877626229621018</v>
      </c>
      <c r="X14" s="62">
        <f t="shared" si="11"/>
        <v>32.623510828848907</v>
      </c>
      <c r="Y14" s="62">
        <f t="shared" si="11"/>
        <v>30.05343586968737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27.029376876329316</v>
      </c>
      <c r="C15" s="29">
        <f t="shared" ref="C15:V15" si="13">SUM(C16,C17,C20)</f>
        <v>29.317206862123218</v>
      </c>
      <c r="D15" s="29">
        <f t="shared" si="13"/>
        <v>30.254398625188905</v>
      </c>
      <c r="E15" s="29">
        <f t="shared" si="13"/>
        <v>31.132455122769631</v>
      </c>
      <c r="F15" s="29">
        <f t="shared" si="13"/>
        <v>32.349189912990148</v>
      </c>
      <c r="G15" s="29">
        <f t="shared" si="13"/>
        <v>24.44653496624516</v>
      </c>
      <c r="H15" s="29">
        <f t="shared" si="13"/>
        <v>30.956706199681257</v>
      </c>
      <c r="I15" s="29">
        <f t="shared" si="13"/>
        <v>33.347777587193178</v>
      </c>
      <c r="J15" s="29">
        <f t="shared" si="13"/>
        <v>27.106469121030663</v>
      </c>
      <c r="K15" s="29">
        <f t="shared" si="13"/>
        <v>27.926207486009162</v>
      </c>
      <c r="L15" s="29">
        <f t="shared" si="13"/>
        <v>16.67397785133771</v>
      </c>
      <c r="M15" s="29">
        <f t="shared" si="13"/>
        <v>17.789520708769459</v>
      </c>
      <c r="N15" s="29">
        <f t="shared" si="13"/>
        <v>21.558131158807278</v>
      </c>
      <c r="O15" s="29">
        <f t="shared" si="13"/>
        <v>26.548787803209134</v>
      </c>
      <c r="P15" s="29">
        <f t="shared" si="13"/>
        <v>45.941163970046802</v>
      </c>
      <c r="Q15" s="29">
        <f t="shared" si="13"/>
        <v>46.407599788623912</v>
      </c>
      <c r="R15" s="29">
        <f t="shared" si="13"/>
        <v>44.867690548388531</v>
      </c>
      <c r="S15" s="29">
        <f t="shared" si="13"/>
        <v>45.078409220859427</v>
      </c>
      <c r="T15" s="29">
        <f t="shared" si="13"/>
        <v>45.23529161362562</v>
      </c>
      <c r="U15" s="29">
        <f t="shared" si="13"/>
        <v>30.330730705767699</v>
      </c>
      <c r="V15" s="29">
        <f t="shared" si="13"/>
        <v>26.420067572620184</v>
      </c>
      <c r="W15" s="29">
        <f t="shared" ref="W15:Y15" si="14">SUM(W16,W17,W20)</f>
        <v>27.646530147216186</v>
      </c>
      <c r="X15" s="29">
        <f t="shared" si="14"/>
        <v>31.657694079354613</v>
      </c>
      <c r="Y15" s="29">
        <f t="shared" si="14"/>
        <v>29.422745128002258</v>
      </c>
      <c r="DA15" s="173" t="s">
        <v>1036</v>
      </c>
    </row>
    <row r="16" spans="1:105" ht="11.45" customHeight="1" x14ac:dyDescent="0.25">
      <c r="A16" s="107" t="s">
        <v>23</v>
      </c>
      <c r="B16" s="115">
        <v>13.915040984620362</v>
      </c>
      <c r="C16" s="115">
        <v>15.552574468201151</v>
      </c>
      <c r="D16" s="115">
        <v>15.939092182225028</v>
      </c>
      <c r="E16" s="115">
        <v>16.615119539908225</v>
      </c>
      <c r="F16" s="115">
        <v>17.93106507630398</v>
      </c>
      <c r="G16" s="115">
        <v>9.3100208569672986</v>
      </c>
      <c r="H16" s="115">
        <v>15.658109600180442</v>
      </c>
      <c r="I16" s="115">
        <v>19.160242238003804</v>
      </c>
      <c r="J16" s="115">
        <v>13.016089915161668</v>
      </c>
      <c r="K16" s="115">
        <v>15.246691433197604</v>
      </c>
      <c r="L16" s="115">
        <v>8.9907080053116122</v>
      </c>
      <c r="M16" s="115">
        <v>11.683741455980826</v>
      </c>
      <c r="N16" s="115">
        <v>10.52282731847639</v>
      </c>
      <c r="O16" s="115">
        <v>17.111299839984849</v>
      </c>
      <c r="P16" s="115">
        <v>22.506302809679877</v>
      </c>
      <c r="Q16" s="115">
        <v>21.447092757008274</v>
      </c>
      <c r="R16" s="115">
        <v>21.078320277050501</v>
      </c>
      <c r="S16" s="115">
        <v>22.07767551930387</v>
      </c>
      <c r="T16" s="115">
        <v>22.238323602259399</v>
      </c>
      <c r="U16" s="115">
        <v>19.494773007296619</v>
      </c>
      <c r="V16" s="115">
        <v>19.25140884500092</v>
      </c>
      <c r="W16" s="115">
        <v>19.303464333211885</v>
      </c>
      <c r="X16" s="115">
        <v>21.683311883729566</v>
      </c>
      <c r="Y16" s="115">
        <v>21.975191879945232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13.114335891708953</v>
      </c>
      <c r="C17" s="116">
        <f t="shared" ref="C17:V17" si="16">SUM(C18:C19)</f>
        <v>13.764632393922067</v>
      </c>
      <c r="D17" s="116">
        <f t="shared" si="16"/>
        <v>14.315306442963877</v>
      </c>
      <c r="E17" s="116">
        <f t="shared" si="16"/>
        <v>14.517335582861406</v>
      </c>
      <c r="F17" s="116">
        <f t="shared" si="16"/>
        <v>14.41812483668617</v>
      </c>
      <c r="G17" s="116">
        <f t="shared" si="16"/>
        <v>15.136514109277863</v>
      </c>
      <c r="H17" s="116">
        <f t="shared" si="16"/>
        <v>15.298596599500817</v>
      </c>
      <c r="I17" s="116">
        <f t="shared" si="16"/>
        <v>14.187535349189371</v>
      </c>
      <c r="J17" s="116">
        <f t="shared" si="16"/>
        <v>14.090379205868997</v>
      </c>
      <c r="K17" s="116">
        <f t="shared" si="16"/>
        <v>12.679516052811557</v>
      </c>
      <c r="L17" s="116">
        <f t="shared" si="16"/>
        <v>7.6832698460260973</v>
      </c>
      <c r="M17" s="116">
        <f t="shared" si="16"/>
        <v>6.1057792527886336</v>
      </c>
      <c r="N17" s="116">
        <f t="shared" si="16"/>
        <v>11.03530384033089</v>
      </c>
      <c r="O17" s="116">
        <f t="shared" si="16"/>
        <v>9.4374879632242852</v>
      </c>
      <c r="P17" s="116">
        <f t="shared" si="16"/>
        <v>23.434861160366921</v>
      </c>
      <c r="Q17" s="116">
        <f t="shared" si="16"/>
        <v>24.960507031615638</v>
      </c>
      <c r="R17" s="116">
        <f t="shared" si="16"/>
        <v>23.789370271338029</v>
      </c>
      <c r="S17" s="116">
        <f t="shared" si="16"/>
        <v>23.000733701555557</v>
      </c>
      <c r="T17" s="116">
        <f t="shared" si="16"/>
        <v>22.996968011366224</v>
      </c>
      <c r="U17" s="116">
        <f t="shared" si="16"/>
        <v>10.835957698471081</v>
      </c>
      <c r="V17" s="116">
        <f t="shared" si="16"/>
        <v>7.168658727619265</v>
      </c>
      <c r="W17" s="116">
        <f t="shared" ref="W17:Y17" si="17">SUM(W18:W19)</f>
        <v>8.3430658140043015</v>
      </c>
      <c r="X17" s="116">
        <f t="shared" si="17"/>
        <v>9.9743821956250471</v>
      </c>
      <c r="Y17" s="116">
        <f t="shared" si="17"/>
        <v>7.4475532480570275</v>
      </c>
      <c r="DA17" s="176" t="s">
        <v>1038</v>
      </c>
    </row>
    <row r="18" spans="1:105" ht="11.45" customHeight="1" x14ac:dyDescent="0.25">
      <c r="A18" s="111" t="s">
        <v>92</v>
      </c>
      <c r="B18" s="87">
        <v>12.136155355063817</v>
      </c>
      <c r="C18" s="87">
        <v>12.751883828195608</v>
      </c>
      <c r="D18" s="87">
        <v>13.430072704072343</v>
      </c>
      <c r="E18" s="87">
        <v>13.723263299775278</v>
      </c>
      <c r="F18" s="87">
        <v>13.773697550031256</v>
      </c>
      <c r="G18" s="87">
        <v>14.746759497059365</v>
      </c>
      <c r="H18" s="87">
        <v>15.264544017458478</v>
      </c>
      <c r="I18" s="87">
        <v>13.560396601003635</v>
      </c>
      <c r="J18" s="87">
        <v>12.772874368784816</v>
      </c>
      <c r="K18" s="87">
        <v>11.611414825586213</v>
      </c>
      <c r="L18" s="87">
        <v>7.5872493000016927</v>
      </c>
      <c r="M18" s="87">
        <v>6.0443199968345578</v>
      </c>
      <c r="N18" s="87">
        <v>10.60368081103991</v>
      </c>
      <c r="O18" s="87">
        <v>7.688373839219361</v>
      </c>
      <c r="P18" s="87">
        <v>18.875615914645753</v>
      </c>
      <c r="Q18" s="87">
        <v>19.059292119736202</v>
      </c>
      <c r="R18" s="87">
        <v>18.845744853853226</v>
      </c>
      <c r="S18" s="87">
        <v>18.269451837988502</v>
      </c>
      <c r="T18" s="87">
        <v>17.297438125532903</v>
      </c>
      <c r="U18" s="87">
        <v>4.5526683738317066</v>
      </c>
      <c r="V18" s="87">
        <v>2.9444808051191265</v>
      </c>
      <c r="W18" s="87">
        <v>2.5926924501934057</v>
      </c>
      <c r="X18" s="87">
        <v>2.8564987034959808</v>
      </c>
      <c r="Y18" s="87">
        <v>1.8023106114897409</v>
      </c>
      <c r="DA18" s="171" t="s">
        <v>1039</v>
      </c>
    </row>
    <row r="19" spans="1:105" ht="11.45" customHeight="1" x14ac:dyDescent="0.25">
      <c r="A19" s="111" t="s">
        <v>93</v>
      </c>
      <c r="B19" s="87">
        <v>0.97818053664513549</v>
      </c>
      <c r="C19" s="87">
        <v>1.0127485657264597</v>
      </c>
      <c r="D19" s="87">
        <v>0.88523373889153412</v>
      </c>
      <c r="E19" s="87">
        <v>0.79407228308612865</v>
      </c>
      <c r="F19" s="87">
        <v>0.64442728665491344</v>
      </c>
      <c r="G19" s="87">
        <v>0.38975461221849805</v>
      </c>
      <c r="H19" s="87">
        <v>3.4052582042338742E-2</v>
      </c>
      <c r="I19" s="87">
        <v>0.62713874818573601</v>
      </c>
      <c r="J19" s="87">
        <v>1.3175048370841811</v>
      </c>
      <c r="K19" s="87">
        <v>1.0681012272253447</v>
      </c>
      <c r="L19" s="87">
        <v>9.6020546024404574E-2</v>
      </c>
      <c r="M19" s="87">
        <v>6.1459255954075864E-2</v>
      </c>
      <c r="N19" s="87">
        <v>0.4316230292909804</v>
      </c>
      <c r="O19" s="87">
        <v>1.7491141240049242</v>
      </c>
      <c r="P19" s="87">
        <v>4.5592452457211685</v>
      </c>
      <c r="Q19" s="87">
        <v>5.9012149118794355</v>
      </c>
      <c r="R19" s="87">
        <v>4.9436254174848031</v>
      </c>
      <c r="S19" s="87">
        <v>4.7312818635670553</v>
      </c>
      <c r="T19" s="87">
        <v>5.6995298858333214</v>
      </c>
      <c r="U19" s="87">
        <v>6.283289324639374</v>
      </c>
      <c r="V19" s="87">
        <v>4.2241779225001386</v>
      </c>
      <c r="W19" s="87">
        <v>5.7503733638108958</v>
      </c>
      <c r="X19" s="87">
        <v>7.1178834921290663</v>
      </c>
      <c r="Y19" s="87">
        <v>5.6452426365672865</v>
      </c>
      <c r="DA19" s="171" t="s">
        <v>1040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X20" s="117">
        <v>0</v>
      </c>
      <c r="Y20" s="117">
        <v>0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0.71616218417671074</v>
      </c>
      <c r="C21" s="29">
        <f t="shared" ref="C21:V21" si="19">SUM(C22:C23)</f>
        <v>0.6749717392193384</v>
      </c>
      <c r="D21" s="29">
        <f t="shared" si="19"/>
        <v>0.6169988906041779</v>
      </c>
      <c r="E21" s="29">
        <f t="shared" si="19"/>
        <v>0.85333127740958914</v>
      </c>
      <c r="F21" s="29">
        <f t="shared" si="19"/>
        <v>1.1051518722164233</v>
      </c>
      <c r="G21" s="29">
        <f t="shared" si="19"/>
        <v>0.79826086956521747</v>
      </c>
      <c r="H21" s="29">
        <f t="shared" si="19"/>
        <v>0.86639692330871365</v>
      </c>
      <c r="I21" s="29">
        <f t="shared" si="19"/>
        <v>1.2747329398153451</v>
      </c>
      <c r="J21" s="29">
        <f t="shared" si="19"/>
        <v>1.5058162838532239</v>
      </c>
      <c r="K21" s="29">
        <f t="shared" si="19"/>
        <v>0.74790843033223231</v>
      </c>
      <c r="L21" s="29">
        <f t="shared" si="19"/>
        <v>0.79838243551598087</v>
      </c>
      <c r="M21" s="29">
        <f t="shared" si="19"/>
        <v>0.4844429023723571</v>
      </c>
      <c r="N21" s="29">
        <f t="shared" si="19"/>
        <v>0.51333189756343423</v>
      </c>
      <c r="O21" s="29">
        <f t="shared" si="19"/>
        <v>0.42758507180734867</v>
      </c>
      <c r="P21" s="29">
        <f t="shared" si="19"/>
        <v>0.58762954385120691</v>
      </c>
      <c r="Q21" s="29">
        <f t="shared" si="19"/>
        <v>0.56317261534101426</v>
      </c>
      <c r="R21" s="29">
        <f t="shared" si="19"/>
        <v>0.47661737085927242</v>
      </c>
      <c r="S21" s="29">
        <f t="shared" si="19"/>
        <v>0.66350102852114545</v>
      </c>
      <c r="T21" s="29">
        <f t="shared" si="19"/>
        <v>0.76431489419925547</v>
      </c>
      <c r="U21" s="29">
        <f t="shared" si="19"/>
        <v>0.99564305561867594</v>
      </c>
      <c r="V21" s="29">
        <f t="shared" si="19"/>
        <v>1.3048563842740069</v>
      </c>
      <c r="W21" s="29">
        <f t="shared" ref="W21:Y21" si="20">SUM(W22:W23)</f>
        <v>1.2310960824048336</v>
      </c>
      <c r="X21" s="29">
        <f t="shared" si="20"/>
        <v>0.96581674949429108</v>
      </c>
      <c r="Y21" s="29">
        <f t="shared" si="20"/>
        <v>0.6306907416851123</v>
      </c>
      <c r="DA21" s="173" t="s">
        <v>1042</v>
      </c>
    </row>
    <row r="22" spans="1:105" ht="11.45" customHeight="1" x14ac:dyDescent="0.25">
      <c r="A22" s="83" t="s">
        <v>92</v>
      </c>
      <c r="B22" s="87">
        <v>0.53374940428359552</v>
      </c>
      <c r="C22" s="87">
        <v>0.46539005085683677</v>
      </c>
      <c r="D22" s="87">
        <v>0.48659790808662295</v>
      </c>
      <c r="E22" s="87">
        <v>0.66667275648227464</v>
      </c>
      <c r="F22" s="87">
        <v>0.86408614565142861</v>
      </c>
      <c r="G22" s="87">
        <v>0.67646436140335053</v>
      </c>
      <c r="H22" s="87">
        <v>0.77991100627947152</v>
      </c>
      <c r="I22" s="87">
        <v>0.87695511624466405</v>
      </c>
      <c r="J22" s="87">
        <v>1.270553710758058</v>
      </c>
      <c r="K22" s="87">
        <v>0.55097158178253358</v>
      </c>
      <c r="L22" s="87">
        <v>0.60987731692929104</v>
      </c>
      <c r="M22" s="87">
        <v>0.28992490276670047</v>
      </c>
      <c r="N22" s="87">
        <v>0.30761226085753829</v>
      </c>
      <c r="O22" s="87">
        <v>0.20433946190489308</v>
      </c>
      <c r="P22" s="87">
        <v>0.29522742157463844</v>
      </c>
      <c r="Q22" s="87">
        <v>0.27757840011023494</v>
      </c>
      <c r="R22" s="87">
        <v>0.23953519833539849</v>
      </c>
      <c r="S22" s="87">
        <v>0.32844471514421641</v>
      </c>
      <c r="T22" s="87">
        <v>0.3624372139699889</v>
      </c>
      <c r="U22" s="87">
        <v>0.22421049468127285</v>
      </c>
      <c r="V22" s="87">
        <v>0.24281672096497264</v>
      </c>
      <c r="W22" s="87">
        <v>0.2590655809133835</v>
      </c>
      <c r="X22" s="87">
        <v>0.18255862284086879</v>
      </c>
      <c r="Y22" s="87">
        <v>6.605807403059441E-2</v>
      </c>
      <c r="DA22" s="171" t="s">
        <v>1043</v>
      </c>
    </row>
    <row r="23" spans="1:105" ht="11.45" customHeight="1" x14ac:dyDescent="0.25">
      <c r="A23" s="85" t="s">
        <v>93</v>
      </c>
      <c r="B23" s="88">
        <v>0.18241277989311522</v>
      </c>
      <c r="C23" s="88">
        <v>0.20958168836250163</v>
      </c>
      <c r="D23" s="88">
        <v>0.13040098251755494</v>
      </c>
      <c r="E23" s="88">
        <v>0.1866585209273145</v>
      </c>
      <c r="F23" s="88">
        <v>0.2410657265649947</v>
      </c>
      <c r="G23" s="88">
        <v>0.12179650816186693</v>
      </c>
      <c r="H23" s="88">
        <v>8.6485917029242132E-2</v>
      </c>
      <c r="I23" s="88">
        <v>0.39777782357068103</v>
      </c>
      <c r="J23" s="88">
        <v>0.23526257309516585</v>
      </c>
      <c r="K23" s="88">
        <v>0.19693684854969873</v>
      </c>
      <c r="L23" s="88">
        <v>0.18850511858668983</v>
      </c>
      <c r="M23" s="88">
        <v>0.19451799960565666</v>
      </c>
      <c r="N23" s="88">
        <v>0.20571963670589594</v>
      </c>
      <c r="O23" s="88">
        <v>0.22324560990245559</v>
      </c>
      <c r="P23" s="88">
        <v>0.29240212227656848</v>
      </c>
      <c r="Q23" s="88">
        <v>0.28559421523077932</v>
      </c>
      <c r="R23" s="88">
        <v>0.23708217252387392</v>
      </c>
      <c r="S23" s="88">
        <v>0.33505631337692904</v>
      </c>
      <c r="T23" s="88">
        <v>0.40187768022926657</v>
      </c>
      <c r="U23" s="88">
        <v>0.77143256093740309</v>
      </c>
      <c r="V23" s="88">
        <v>1.0620396633090343</v>
      </c>
      <c r="W23" s="88">
        <v>0.97203050149145009</v>
      </c>
      <c r="X23" s="88">
        <v>0.78325812665342232</v>
      </c>
      <c r="Y23" s="88">
        <v>0.56463266765451792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217.51009200000001</v>
      </c>
      <c r="C25" s="62">
        <f t="shared" ref="C25:V25" si="22">C26+C32</f>
        <v>236.60104100000001</v>
      </c>
      <c r="D25" s="62">
        <f t="shared" si="22"/>
        <v>243.92388899999997</v>
      </c>
      <c r="E25" s="62">
        <f t="shared" si="22"/>
        <v>252.24903899999998</v>
      </c>
      <c r="F25" s="62">
        <f t="shared" si="22"/>
        <v>265.15539200000001</v>
      </c>
      <c r="G25" s="62">
        <f t="shared" si="22"/>
        <v>257.98223400000001</v>
      </c>
      <c r="H25" s="62">
        <f t="shared" si="22"/>
        <v>252.52360899999999</v>
      </c>
      <c r="I25" s="62">
        <f t="shared" si="22"/>
        <v>278.41146900000001</v>
      </c>
      <c r="J25" s="62">
        <f t="shared" si="22"/>
        <v>264.14989000000003</v>
      </c>
      <c r="K25" s="62">
        <f t="shared" si="22"/>
        <v>242.39888299999998</v>
      </c>
      <c r="L25" s="62">
        <f t="shared" si="22"/>
        <v>220.647876</v>
      </c>
      <c r="M25" s="62">
        <f t="shared" si="22"/>
        <v>198.89686899999998</v>
      </c>
      <c r="N25" s="62">
        <f t="shared" si="22"/>
        <v>194.61806099999998</v>
      </c>
      <c r="O25" s="62">
        <f t="shared" si="22"/>
        <v>236.27852199999998</v>
      </c>
      <c r="P25" s="62">
        <f t="shared" si="22"/>
        <v>367.04869799999994</v>
      </c>
      <c r="Q25" s="62">
        <f t="shared" si="22"/>
        <v>367.28957499999996</v>
      </c>
      <c r="R25" s="62">
        <f t="shared" si="22"/>
        <v>361.50325000000004</v>
      </c>
      <c r="S25" s="62">
        <f t="shared" si="22"/>
        <v>366.16586599999999</v>
      </c>
      <c r="T25" s="62">
        <f t="shared" si="22"/>
        <v>361.17311799999999</v>
      </c>
      <c r="U25" s="62">
        <f t="shared" si="22"/>
        <v>345.90494100000001</v>
      </c>
      <c r="V25" s="62">
        <f t="shared" si="22"/>
        <v>325.69817600000005</v>
      </c>
      <c r="W25" s="62">
        <f t="shared" ref="W25:Y25" si="23">W26+W32</f>
        <v>315.21674099999996</v>
      </c>
      <c r="X25" s="62">
        <f t="shared" si="23"/>
        <v>335.27107000000001</v>
      </c>
      <c r="Y25" s="62">
        <f t="shared" si="23"/>
        <v>328.823554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213.92928000000001</v>
      </c>
      <c r="C26" s="29">
        <f t="shared" ref="C26:V26" si="25">SUM(C27,C28,C31)</f>
        <v>233.15125800000001</v>
      </c>
      <c r="D26" s="29">
        <f t="shared" si="25"/>
        <v>240.53419599999998</v>
      </c>
      <c r="E26" s="29">
        <f t="shared" si="25"/>
        <v>247.98238199999997</v>
      </c>
      <c r="F26" s="29">
        <f t="shared" si="25"/>
        <v>259.62963200000002</v>
      </c>
      <c r="G26" s="29">
        <f t="shared" si="25"/>
        <v>252.81455399999999</v>
      </c>
      <c r="H26" s="29">
        <f t="shared" si="25"/>
        <v>247.601136</v>
      </c>
      <c r="I26" s="29">
        <f t="shared" si="25"/>
        <v>272.037803</v>
      </c>
      <c r="J26" s="29">
        <f t="shared" si="25"/>
        <v>255.89943700000001</v>
      </c>
      <c r="K26" s="29">
        <f t="shared" si="25"/>
        <v>234.50650999999999</v>
      </c>
      <c r="L26" s="29">
        <f t="shared" si="25"/>
        <v>213.11358300000001</v>
      </c>
      <c r="M26" s="29">
        <f t="shared" si="25"/>
        <v>191.72065599999999</v>
      </c>
      <c r="N26" s="29">
        <f t="shared" si="25"/>
        <v>187.79992799999999</v>
      </c>
      <c r="O26" s="29">
        <f t="shared" si="25"/>
        <v>229.81846899999999</v>
      </c>
      <c r="P26" s="29">
        <f t="shared" si="25"/>
        <v>360.83516199999997</v>
      </c>
      <c r="Q26" s="29">
        <f t="shared" si="25"/>
        <v>361.37695199999996</v>
      </c>
      <c r="R26" s="29">
        <f t="shared" si="25"/>
        <v>355.94870700000001</v>
      </c>
      <c r="S26" s="29">
        <f t="shared" si="25"/>
        <v>360.53968099999997</v>
      </c>
      <c r="T26" s="29">
        <f t="shared" si="25"/>
        <v>355.47969999999998</v>
      </c>
      <c r="U26" s="29">
        <f t="shared" si="25"/>
        <v>338.63062300000001</v>
      </c>
      <c r="V26" s="29">
        <f t="shared" si="25"/>
        <v>317.23769600000003</v>
      </c>
      <c r="W26" s="29">
        <f t="shared" ref="W26:Y26" si="26">SUM(W27,W28,W31)</f>
        <v>307.11434099999997</v>
      </c>
      <c r="X26" s="29">
        <f t="shared" si="26"/>
        <v>327.52674999999999</v>
      </c>
      <c r="Y26" s="29">
        <f t="shared" si="26"/>
        <v>321.43731400000001</v>
      </c>
      <c r="DA26" s="173" t="s">
        <v>1046</v>
      </c>
    </row>
    <row r="27" spans="1:105" ht="11.45" customHeight="1" x14ac:dyDescent="0.25">
      <c r="A27" s="107" t="s">
        <v>23</v>
      </c>
      <c r="B27" s="115">
        <v>126.500373</v>
      </c>
      <c r="C27" s="115">
        <v>141.38704100000001</v>
      </c>
      <c r="D27" s="115">
        <v>144.90083899999999</v>
      </c>
      <c r="E27" s="115">
        <v>151.04654199999999</v>
      </c>
      <c r="F27" s="115">
        <v>163.009683</v>
      </c>
      <c r="G27" s="115">
        <v>150.359646</v>
      </c>
      <c r="H27" s="115">
        <v>142.346451</v>
      </c>
      <c r="I27" s="115">
        <v>174.184021</v>
      </c>
      <c r="J27" s="115">
        <v>161.533984</v>
      </c>
      <c r="K27" s="115">
        <v>148.88394700000001</v>
      </c>
      <c r="L27" s="115">
        <v>136.23391000000001</v>
      </c>
      <c r="M27" s="115">
        <v>123.583873</v>
      </c>
      <c r="N27" s="115">
        <v>110.933836</v>
      </c>
      <c r="O27" s="115">
        <v>155.55727199999998</v>
      </c>
      <c r="P27" s="115">
        <v>204.60275300000001</v>
      </c>
      <c r="Q27" s="115">
        <v>194.97357099999999</v>
      </c>
      <c r="R27" s="115">
        <v>191.621094</v>
      </c>
      <c r="S27" s="115">
        <v>200.706142</v>
      </c>
      <c r="T27" s="115">
        <v>202.16657899999998</v>
      </c>
      <c r="U27" s="115">
        <v>189.51654199999999</v>
      </c>
      <c r="V27" s="115">
        <v>176.86650499999999</v>
      </c>
      <c r="W27" s="115">
        <v>175.48604</v>
      </c>
      <c r="X27" s="115">
        <v>197.12101799999999</v>
      </c>
      <c r="Y27" s="115">
        <v>199.774472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87.428906999999995</v>
      </c>
      <c r="C28" s="116">
        <f t="shared" ref="C28:V28" si="28">SUM(C29:C30)</f>
        <v>91.764217000000002</v>
      </c>
      <c r="D28" s="116">
        <f t="shared" si="28"/>
        <v>95.63335699999999</v>
      </c>
      <c r="E28" s="116">
        <f t="shared" si="28"/>
        <v>96.935839999999999</v>
      </c>
      <c r="F28" s="116">
        <f t="shared" si="28"/>
        <v>96.619949000000005</v>
      </c>
      <c r="G28" s="116">
        <f t="shared" si="28"/>
        <v>102.454908</v>
      </c>
      <c r="H28" s="116">
        <f t="shared" si="28"/>
        <v>105.25468499999999</v>
      </c>
      <c r="I28" s="116">
        <f t="shared" si="28"/>
        <v>97.853781999999995</v>
      </c>
      <c r="J28" s="116">
        <f t="shared" si="28"/>
        <v>94.365453000000002</v>
      </c>
      <c r="K28" s="116">
        <f t="shared" si="28"/>
        <v>85.622563</v>
      </c>
      <c r="L28" s="116">
        <f t="shared" si="28"/>
        <v>76.879672999999997</v>
      </c>
      <c r="M28" s="116">
        <f t="shared" si="28"/>
        <v>68.136782999999994</v>
      </c>
      <c r="N28" s="116">
        <f t="shared" si="28"/>
        <v>76.866091999999995</v>
      </c>
      <c r="O28" s="116">
        <f t="shared" si="28"/>
        <v>74.261196999999996</v>
      </c>
      <c r="P28" s="116">
        <f t="shared" si="28"/>
        <v>156.23240899999999</v>
      </c>
      <c r="Q28" s="116">
        <f t="shared" si="28"/>
        <v>166.403381</v>
      </c>
      <c r="R28" s="116">
        <f t="shared" si="28"/>
        <v>164.32761299999999</v>
      </c>
      <c r="S28" s="116">
        <f t="shared" si="28"/>
        <v>159.833539</v>
      </c>
      <c r="T28" s="116">
        <f t="shared" si="28"/>
        <v>153.313121</v>
      </c>
      <c r="U28" s="116">
        <f t="shared" si="28"/>
        <v>149.114081</v>
      </c>
      <c r="V28" s="116">
        <f t="shared" si="28"/>
        <v>140.37119100000001</v>
      </c>
      <c r="W28" s="116">
        <f t="shared" ref="W28:Y28" si="29">SUM(W29:W30)</f>
        <v>131.62830099999999</v>
      </c>
      <c r="X28" s="116">
        <f t="shared" si="29"/>
        <v>130.405732</v>
      </c>
      <c r="Y28" s="116">
        <f t="shared" si="29"/>
        <v>121.66284199999998</v>
      </c>
      <c r="DA28" s="176" t="s">
        <v>1048</v>
      </c>
    </row>
    <row r="29" spans="1:105" ht="11.45" customHeight="1" x14ac:dyDescent="0.25">
      <c r="A29" s="111" t="s">
        <v>92</v>
      </c>
      <c r="B29" s="87">
        <v>80.907702999999998</v>
      </c>
      <c r="C29" s="87">
        <v>85.012558999999996</v>
      </c>
      <c r="D29" s="87">
        <v>89.533818999999994</v>
      </c>
      <c r="E29" s="87">
        <v>91.488422</v>
      </c>
      <c r="F29" s="87">
        <v>91.824651000000003</v>
      </c>
      <c r="G29" s="87">
        <v>98.311729999999997</v>
      </c>
      <c r="H29" s="87">
        <v>101.763627</v>
      </c>
      <c r="I29" s="87">
        <v>93.672856999999993</v>
      </c>
      <c r="J29" s="87">
        <v>85.582087000000001</v>
      </c>
      <c r="K29" s="87">
        <v>77.491316999999995</v>
      </c>
      <c r="L29" s="87">
        <v>69.400547000000003</v>
      </c>
      <c r="M29" s="87">
        <v>61.309776999999997</v>
      </c>
      <c r="N29" s="87">
        <v>70.691205999999994</v>
      </c>
      <c r="O29" s="87">
        <v>62.600435999999995</v>
      </c>
      <c r="P29" s="87">
        <v>125.83744</v>
      </c>
      <c r="Q29" s="87">
        <v>127.061948</v>
      </c>
      <c r="R29" s="87">
        <v>125.6383</v>
      </c>
      <c r="S29" s="87">
        <v>121.796346</v>
      </c>
      <c r="T29" s="87">
        <v>115.316255</v>
      </c>
      <c r="U29" s="87">
        <v>107.22548499999999</v>
      </c>
      <c r="V29" s="87">
        <v>99.134715</v>
      </c>
      <c r="W29" s="87">
        <v>91.043944999999994</v>
      </c>
      <c r="X29" s="87">
        <v>82.953175000000002</v>
      </c>
      <c r="Y29" s="87">
        <v>74.862404999999995</v>
      </c>
      <c r="DA29" s="171" t="s">
        <v>1049</v>
      </c>
    </row>
    <row r="30" spans="1:105" ht="11.45" customHeight="1" x14ac:dyDescent="0.25">
      <c r="A30" s="111" t="s">
        <v>93</v>
      </c>
      <c r="B30" s="87">
        <v>6.521204</v>
      </c>
      <c r="C30" s="87">
        <v>6.7516579999999999</v>
      </c>
      <c r="D30" s="87">
        <v>6.0995379999999999</v>
      </c>
      <c r="E30" s="87">
        <v>5.4474179999999999</v>
      </c>
      <c r="F30" s="87">
        <v>4.7952979999999998</v>
      </c>
      <c r="G30" s="87">
        <v>4.1431779999999998</v>
      </c>
      <c r="H30" s="87">
        <v>3.4910580000000002</v>
      </c>
      <c r="I30" s="87">
        <v>4.1809250000000002</v>
      </c>
      <c r="J30" s="87">
        <v>8.7833659999999991</v>
      </c>
      <c r="K30" s="87">
        <v>8.1312459999999991</v>
      </c>
      <c r="L30" s="87">
        <v>7.4791259999999999</v>
      </c>
      <c r="M30" s="87">
        <v>6.8270059999999999</v>
      </c>
      <c r="N30" s="87">
        <v>6.1748859999999999</v>
      </c>
      <c r="O30" s="87">
        <v>11.660760999999999</v>
      </c>
      <c r="P30" s="87">
        <v>30.394969</v>
      </c>
      <c r="Q30" s="87">
        <v>39.341432999999995</v>
      </c>
      <c r="R30" s="87">
        <v>38.689312999999999</v>
      </c>
      <c r="S30" s="87">
        <v>38.037192999999995</v>
      </c>
      <c r="T30" s="87">
        <v>37.996865999999997</v>
      </c>
      <c r="U30" s="87">
        <v>41.888596</v>
      </c>
      <c r="V30" s="87">
        <v>41.236475999999996</v>
      </c>
      <c r="W30" s="87">
        <v>40.584356</v>
      </c>
      <c r="X30" s="87">
        <v>47.452556999999999</v>
      </c>
      <c r="Y30" s="87">
        <v>46.800436999999995</v>
      </c>
      <c r="DA30" s="171" t="s">
        <v>1050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3.5808120000000003</v>
      </c>
      <c r="C32" s="29">
        <f t="shared" ref="C32:V32" si="31">SUM(C33:C34)</f>
        <v>3.449783</v>
      </c>
      <c r="D32" s="29">
        <f t="shared" si="31"/>
        <v>3.3896930000000003</v>
      </c>
      <c r="E32" s="29">
        <f t="shared" si="31"/>
        <v>4.2666570000000004</v>
      </c>
      <c r="F32" s="29">
        <f t="shared" si="31"/>
        <v>5.52576</v>
      </c>
      <c r="G32" s="29">
        <f t="shared" si="31"/>
        <v>5.1676800000000007</v>
      </c>
      <c r="H32" s="29">
        <f t="shared" si="31"/>
        <v>4.9224730000000001</v>
      </c>
      <c r="I32" s="29">
        <f t="shared" si="31"/>
        <v>6.3736660000000001</v>
      </c>
      <c r="J32" s="29">
        <f t="shared" si="31"/>
        <v>8.2504530000000003</v>
      </c>
      <c r="K32" s="29">
        <f t="shared" si="31"/>
        <v>7.8923730000000001</v>
      </c>
      <c r="L32" s="29">
        <f t="shared" si="31"/>
        <v>7.5342929999999999</v>
      </c>
      <c r="M32" s="29">
        <f t="shared" si="31"/>
        <v>7.1762129999999997</v>
      </c>
      <c r="N32" s="29">
        <f t="shared" si="31"/>
        <v>6.8181329999999996</v>
      </c>
      <c r="O32" s="29">
        <f t="shared" si="31"/>
        <v>6.4600530000000003</v>
      </c>
      <c r="P32" s="29">
        <f t="shared" si="31"/>
        <v>6.2135359999999995</v>
      </c>
      <c r="Q32" s="29">
        <f t="shared" si="31"/>
        <v>5.912623</v>
      </c>
      <c r="R32" s="29">
        <f t="shared" si="31"/>
        <v>5.5545429999999998</v>
      </c>
      <c r="S32" s="29">
        <f t="shared" si="31"/>
        <v>5.6261850000000004</v>
      </c>
      <c r="T32" s="29">
        <f t="shared" si="31"/>
        <v>5.6934180000000003</v>
      </c>
      <c r="U32" s="29">
        <f t="shared" si="31"/>
        <v>7.2743180000000009</v>
      </c>
      <c r="V32" s="29">
        <f t="shared" si="31"/>
        <v>8.4604800000000004</v>
      </c>
      <c r="W32" s="29">
        <f t="shared" ref="W32:Y32" si="32">SUM(W33:W34)</f>
        <v>8.1023999999999994</v>
      </c>
      <c r="X32" s="29">
        <f t="shared" si="32"/>
        <v>7.7443200000000001</v>
      </c>
      <c r="Y32" s="29">
        <f t="shared" si="32"/>
        <v>7.3862399999999999</v>
      </c>
      <c r="DA32" s="173" t="s">
        <v>1052</v>
      </c>
    </row>
    <row r="33" spans="1:105" ht="11.45" customHeight="1" x14ac:dyDescent="0.25">
      <c r="A33" s="83" t="s">
        <v>92</v>
      </c>
      <c r="B33" s="87">
        <v>2.6687480000000003</v>
      </c>
      <c r="C33" s="87">
        <v>2.4018740000000003</v>
      </c>
      <c r="D33" s="87">
        <v>2.4329900000000002</v>
      </c>
      <c r="E33" s="87">
        <v>3.333364</v>
      </c>
      <c r="F33" s="87">
        <v>4.3204310000000001</v>
      </c>
      <c r="G33" s="87">
        <v>4.0535570000000005</v>
      </c>
      <c r="H33" s="87">
        <v>3.899556</v>
      </c>
      <c r="I33" s="87">
        <v>4.3847760000000005</v>
      </c>
      <c r="J33" s="87">
        <v>6.3527690000000003</v>
      </c>
      <c r="K33" s="87">
        <v>6.0858949999999998</v>
      </c>
      <c r="L33" s="87">
        <v>5.8190210000000002</v>
      </c>
      <c r="M33" s="87">
        <v>5.5521469999999997</v>
      </c>
      <c r="N33" s="87">
        <v>5.2852730000000001</v>
      </c>
      <c r="O33" s="87">
        <v>5.0183990000000005</v>
      </c>
      <c r="P33" s="87">
        <v>4.751525</v>
      </c>
      <c r="Q33" s="87">
        <v>4.4846510000000004</v>
      </c>
      <c r="R33" s="87">
        <v>4.2177769999999999</v>
      </c>
      <c r="S33" s="87">
        <v>3.9509030000000003</v>
      </c>
      <c r="T33" s="87">
        <v>3.6840290000000002</v>
      </c>
      <c r="U33" s="87">
        <v>3.4171550000000002</v>
      </c>
      <c r="V33" s="87">
        <v>3.1502810000000001</v>
      </c>
      <c r="W33" s="87">
        <v>2.8834070000000001</v>
      </c>
      <c r="X33" s="87">
        <v>2.616533</v>
      </c>
      <c r="Y33" s="87">
        <v>2.3496589999999999</v>
      </c>
      <c r="DA33" s="171" t="s">
        <v>1053</v>
      </c>
    </row>
    <row r="34" spans="1:105" ht="11.45" customHeight="1" x14ac:dyDescent="0.25">
      <c r="A34" s="85" t="s">
        <v>93</v>
      </c>
      <c r="B34" s="88">
        <v>0.91206399999999999</v>
      </c>
      <c r="C34" s="88">
        <v>1.047909</v>
      </c>
      <c r="D34" s="88">
        <v>0.95670300000000008</v>
      </c>
      <c r="E34" s="88">
        <v>0.93329300000000004</v>
      </c>
      <c r="F34" s="88">
        <v>1.2053289999999999</v>
      </c>
      <c r="G34" s="88">
        <v>1.114123</v>
      </c>
      <c r="H34" s="88">
        <v>1.0229169999999999</v>
      </c>
      <c r="I34" s="88">
        <v>1.9888899999999998</v>
      </c>
      <c r="J34" s="88">
        <v>1.8976839999999999</v>
      </c>
      <c r="K34" s="88">
        <v>1.806478</v>
      </c>
      <c r="L34" s="88">
        <v>1.7152719999999999</v>
      </c>
      <c r="M34" s="88">
        <v>1.624066</v>
      </c>
      <c r="N34" s="88">
        <v>1.5328599999999999</v>
      </c>
      <c r="O34" s="88">
        <v>1.441654</v>
      </c>
      <c r="P34" s="88">
        <v>1.4620109999999999</v>
      </c>
      <c r="Q34" s="88">
        <v>1.427972</v>
      </c>
      <c r="R34" s="88">
        <v>1.3367659999999999</v>
      </c>
      <c r="S34" s="88">
        <v>1.6752819999999999</v>
      </c>
      <c r="T34" s="88">
        <v>2.0093890000000001</v>
      </c>
      <c r="U34" s="88">
        <v>3.8571630000000003</v>
      </c>
      <c r="V34" s="88">
        <v>5.3101989999999999</v>
      </c>
      <c r="W34" s="88">
        <v>5.2189930000000002</v>
      </c>
      <c r="X34" s="88">
        <v>5.1277870000000005</v>
      </c>
      <c r="Y34" s="88">
        <v>5.036581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27.132313</v>
      </c>
      <c r="D36" s="54">
        <f t="shared" ref="D36:V36" si="34">D37+D43</f>
        <v>15.708902999999996</v>
      </c>
      <c r="E36" s="54">
        <f t="shared" si="34"/>
        <v>16.654929999999993</v>
      </c>
      <c r="F36" s="54">
        <f t="shared" si="34"/>
        <v>21.236132999999999</v>
      </c>
      <c r="G36" s="54">
        <f t="shared" si="34"/>
        <v>9.3208309999999983</v>
      </c>
      <c r="H36" s="54">
        <f t="shared" si="34"/>
        <v>6.2856490000000065</v>
      </c>
      <c r="I36" s="54">
        <f t="shared" si="34"/>
        <v>39.015443000000019</v>
      </c>
      <c r="J36" s="54">
        <f t="shared" si="34"/>
        <v>6.8594139999999983</v>
      </c>
      <c r="K36" s="54">
        <f t="shared" si="34"/>
        <v>0</v>
      </c>
      <c r="L36" s="54">
        <f t="shared" si="34"/>
        <v>0</v>
      </c>
      <c r="M36" s="54">
        <f t="shared" si="34"/>
        <v>0</v>
      </c>
      <c r="N36" s="54">
        <f t="shared" si="34"/>
        <v>12.215181000000001</v>
      </c>
      <c r="O36" s="54">
        <f t="shared" si="34"/>
        <v>55.015117999999994</v>
      </c>
      <c r="P36" s="54">
        <f t="shared" si="34"/>
        <v>138.81153999999998</v>
      </c>
      <c r="Q36" s="54">
        <f t="shared" si="34"/>
        <v>13.198521000000003</v>
      </c>
      <c r="R36" s="54">
        <f t="shared" si="34"/>
        <v>2.7705290000000105</v>
      </c>
      <c r="S36" s="54">
        <f t="shared" si="34"/>
        <v>14.171396999999986</v>
      </c>
      <c r="T36" s="54">
        <f t="shared" si="34"/>
        <v>6.6949550000000038</v>
      </c>
      <c r="U36" s="54">
        <f t="shared" si="34"/>
        <v>5.9673400000000054</v>
      </c>
      <c r="V36" s="54">
        <f t="shared" si="34"/>
        <v>1.4879669999999998</v>
      </c>
      <c r="W36" s="54">
        <f t="shared" ref="W36:Y36" si="35">W37+W43</f>
        <v>3.3324369999999988</v>
      </c>
      <c r="X36" s="54">
        <f t="shared" si="35"/>
        <v>33.408985999999977</v>
      </c>
      <c r="Y36" s="54">
        <f t="shared" si="35"/>
        <v>7.3663559999999961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26.961537</v>
      </c>
      <c r="D37" s="28">
        <f t="shared" ref="D37:V37" si="37">SUM(D38,D39,D42)</f>
        <v>15.581711999999996</v>
      </c>
      <c r="E37" s="28">
        <f t="shared" si="37"/>
        <v>15.646959999999993</v>
      </c>
      <c r="F37" s="28">
        <f t="shared" si="37"/>
        <v>19.846024</v>
      </c>
      <c r="G37" s="28">
        <f t="shared" si="37"/>
        <v>9.3208309999999983</v>
      </c>
      <c r="H37" s="28">
        <f t="shared" si="37"/>
        <v>6.2856490000000065</v>
      </c>
      <c r="I37" s="28">
        <f t="shared" si="37"/>
        <v>37.433244000000016</v>
      </c>
      <c r="J37" s="28">
        <f t="shared" si="37"/>
        <v>4.7953459999999986</v>
      </c>
      <c r="K37" s="28">
        <f t="shared" si="37"/>
        <v>0</v>
      </c>
      <c r="L37" s="28">
        <f t="shared" si="37"/>
        <v>0</v>
      </c>
      <c r="M37" s="28">
        <f t="shared" si="37"/>
        <v>0</v>
      </c>
      <c r="N37" s="28">
        <f t="shared" si="37"/>
        <v>12.215181000000001</v>
      </c>
      <c r="O37" s="28">
        <f t="shared" si="37"/>
        <v>55.015117999999994</v>
      </c>
      <c r="P37" s="28">
        <f t="shared" si="37"/>
        <v>138.75625199999999</v>
      </c>
      <c r="Q37" s="28">
        <f t="shared" si="37"/>
        <v>13.197629000000003</v>
      </c>
      <c r="R37" s="28">
        <f t="shared" si="37"/>
        <v>2.7705290000000105</v>
      </c>
      <c r="S37" s="28">
        <f t="shared" si="37"/>
        <v>13.797949999999986</v>
      </c>
      <c r="T37" s="28">
        <f t="shared" si="37"/>
        <v>6.325917000000004</v>
      </c>
      <c r="U37" s="28">
        <f t="shared" si="37"/>
        <v>4.0846350000000058</v>
      </c>
      <c r="V37" s="28">
        <f t="shared" si="37"/>
        <v>0</v>
      </c>
      <c r="W37" s="28">
        <f t="shared" ref="W37:Y37" si="38">SUM(W38,W39,W42)</f>
        <v>3.3324369999999988</v>
      </c>
      <c r="X37" s="28">
        <f t="shared" si="38"/>
        <v>33.408985999999977</v>
      </c>
      <c r="Y37" s="28">
        <f t="shared" si="38"/>
        <v>7.3663559999999961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19.59957</v>
      </c>
      <c r="D38" s="108">
        <v>8.2266999999999939</v>
      </c>
      <c r="E38" s="108">
        <v>10.858604999999983</v>
      </c>
      <c r="F38" s="108">
        <v>16.676042999999993</v>
      </c>
      <c r="G38" s="108">
        <v>0</v>
      </c>
      <c r="H38" s="108">
        <v>0</v>
      </c>
      <c r="I38" s="108">
        <v>36.550472000000013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49.336337999999998</v>
      </c>
      <c r="P38" s="108">
        <v>53.758383000000009</v>
      </c>
      <c r="Q38" s="108">
        <v>0</v>
      </c>
      <c r="R38" s="108">
        <v>1.3604250000000206</v>
      </c>
      <c r="S38" s="108">
        <v>13.797949999999986</v>
      </c>
      <c r="T38" s="108">
        <v>6.1733389999999986</v>
      </c>
      <c r="U38" s="108">
        <v>0</v>
      </c>
      <c r="V38" s="108">
        <v>0</v>
      </c>
      <c r="W38" s="108">
        <v>3.3324369999999988</v>
      </c>
      <c r="X38" s="108">
        <v>26.347879999999975</v>
      </c>
      <c r="Y38" s="108">
        <v>7.3663559999999961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7.3619670000000017</v>
      </c>
      <c r="D39" s="110">
        <f t="shared" ref="D39:V39" si="40">SUM(D40:D41)</f>
        <v>7.3550120000000021</v>
      </c>
      <c r="E39" s="110">
        <f t="shared" si="40"/>
        <v>4.7883550000000099</v>
      </c>
      <c r="F39" s="110">
        <f t="shared" si="40"/>
        <v>3.169981000000007</v>
      </c>
      <c r="G39" s="110">
        <f t="shared" si="40"/>
        <v>9.3208309999999983</v>
      </c>
      <c r="H39" s="110">
        <f t="shared" si="40"/>
        <v>6.2856490000000065</v>
      </c>
      <c r="I39" s="110">
        <f t="shared" si="40"/>
        <v>0.88277199999999967</v>
      </c>
      <c r="J39" s="110">
        <f t="shared" si="40"/>
        <v>4.7953459999999986</v>
      </c>
      <c r="K39" s="110">
        <f t="shared" si="40"/>
        <v>0</v>
      </c>
      <c r="L39" s="110">
        <f t="shared" si="40"/>
        <v>0</v>
      </c>
      <c r="M39" s="110">
        <f t="shared" si="40"/>
        <v>0</v>
      </c>
      <c r="N39" s="110">
        <f t="shared" si="40"/>
        <v>12.215181000000001</v>
      </c>
      <c r="O39" s="110">
        <f t="shared" si="40"/>
        <v>5.6787799999999988</v>
      </c>
      <c r="P39" s="110">
        <f t="shared" si="40"/>
        <v>84.99786899999998</v>
      </c>
      <c r="Q39" s="110">
        <f t="shared" si="40"/>
        <v>13.197629000000003</v>
      </c>
      <c r="R39" s="110">
        <f t="shared" si="40"/>
        <v>1.4101039999999898</v>
      </c>
      <c r="S39" s="110">
        <f t="shared" si="40"/>
        <v>0</v>
      </c>
      <c r="T39" s="110">
        <f t="shared" si="40"/>
        <v>0.15257800000000543</v>
      </c>
      <c r="U39" s="110">
        <f t="shared" si="40"/>
        <v>4.0846350000000058</v>
      </c>
      <c r="V39" s="110">
        <f t="shared" si="40"/>
        <v>0</v>
      </c>
      <c r="W39" s="110">
        <f t="shared" ref="W39:Y39" si="41">SUM(W40:W41)</f>
        <v>0</v>
      </c>
      <c r="X39" s="110">
        <f t="shared" si="41"/>
        <v>7.0611060000000023</v>
      </c>
      <c r="Y39" s="110">
        <f t="shared" si="41"/>
        <v>0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6.9386080000000021</v>
      </c>
      <c r="D40" s="84">
        <v>7.3550120000000021</v>
      </c>
      <c r="E40" s="84">
        <v>4.7883550000000099</v>
      </c>
      <c r="F40" s="84">
        <v>3.169981000000007</v>
      </c>
      <c r="G40" s="84">
        <v>9.3208309999999983</v>
      </c>
      <c r="H40" s="84">
        <v>6.2856490000000065</v>
      </c>
      <c r="I40" s="84">
        <v>0</v>
      </c>
      <c r="J40" s="84">
        <v>0</v>
      </c>
      <c r="K40" s="84">
        <v>0</v>
      </c>
      <c r="L40" s="84">
        <v>0</v>
      </c>
      <c r="M40" s="84">
        <v>0</v>
      </c>
      <c r="N40" s="84">
        <v>12.215181000000001</v>
      </c>
      <c r="O40" s="84">
        <v>0</v>
      </c>
      <c r="P40" s="84">
        <v>66.070755999999989</v>
      </c>
      <c r="Q40" s="84">
        <v>4.0582600000000042</v>
      </c>
      <c r="R40" s="84">
        <v>1.4101039999999898</v>
      </c>
      <c r="S40" s="84">
        <v>0</v>
      </c>
      <c r="T40" s="84">
        <v>0</v>
      </c>
      <c r="U40" s="84">
        <v>0</v>
      </c>
      <c r="V40" s="84">
        <v>0</v>
      </c>
      <c r="W40" s="84">
        <v>0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0.4233589999999996</v>
      </c>
      <c r="D41" s="84">
        <v>0</v>
      </c>
      <c r="E41" s="84">
        <v>0</v>
      </c>
      <c r="F41" s="84">
        <v>0</v>
      </c>
      <c r="G41" s="84">
        <v>0</v>
      </c>
      <c r="H41" s="84">
        <v>0</v>
      </c>
      <c r="I41" s="84">
        <v>0.88277199999999967</v>
      </c>
      <c r="J41" s="84">
        <v>4.7953459999999986</v>
      </c>
      <c r="K41" s="84">
        <v>0</v>
      </c>
      <c r="L41" s="84">
        <v>0</v>
      </c>
      <c r="M41" s="84">
        <v>0</v>
      </c>
      <c r="N41" s="84">
        <v>0</v>
      </c>
      <c r="O41" s="84">
        <v>5.6787799999999988</v>
      </c>
      <c r="P41" s="84">
        <v>18.927112999999999</v>
      </c>
      <c r="Q41" s="84">
        <v>9.1393689999999985</v>
      </c>
      <c r="R41" s="84">
        <v>0</v>
      </c>
      <c r="S41" s="84">
        <v>0</v>
      </c>
      <c r="T41" s="84">
        <v>0.15257800000000543</v>
      </c>
      <c r="U41" s="84">
        <v>4.0846350000000058</v>
      </c>
      <c r="V41" s="84">
        <v>0</v>
      </c>
      <c r="W41" s="84">
        <v>0</v>
      </c>
      <c r="X41" s="84">
        <v>7.0611060000000023</v>
      </c>
      <c r="Y41" s="84">
        <v>0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0.17077600000000004</v>
      </c>
      <c r="D43" s="28">
        <f t="shared" ref="D43:V43" si="43">SUM(D44:D45)</f>
        <v>0.12719099999999983</v>
      </c>
      <c r="E43" s="28">
        <f t="shared" si="43"/>
        <v>1.0079699999999998</v>
      </c>
      <c r="F43" s="28">
        <f t="shared" si="43"/>
        <v>1.3901089999999998</v>
      </c>
      <c r="G43" s="28">
        <f t="shared" si="43"/>
        <v>0</v>
      </c>
      <c r="H43" s="28">
        <f t="shared" si="43"/>
        <v>0</v>
      </c>
      <c r="I43" s="28">
        <f t="shared" si="43"/>
        <v>1.5821990000000004</v>
      </c>
      <c r="J43" s="28">
        <f t="shared" si="43"/>
        <v>2.0640679999999998</v>
      </c>
      <c r="K43" s="28">
        <f t="shared" si="43"/>
        <v>0</v>
      </c>
      <c r="L43" s="28">
        <f t="shared" si="43"/>
        <v>0</v>
      </c>
      <c r="M43" s="28">
        <f t="shared" si="43"/>
        <v>0</v>
      </c>
      <c r="N43" s="28">
        <f t="shared" si="43"/>
        <v>0</v>
      </c>
      <c r="O43" s="28">
        <f t="shared" si="43"/>
        <v>0</v>
      </c>
      <c r="P43" s="28">
        <f t="shared" si="43"/>
        <v>5.5288000000000004E-2</v>
      </c>
      <c r="Q43" s="28">
        <f t="shared" si="43"/>
        <v>8.9200000000011492E-4</v>
      </c>
      <c r="R43" s="28">
        <f t="shared" si="43"/>
        <v>0</v>
      </c>
      <c r="S43" s="28">
        <f t="shared" si="43"/>
        <v>0.37344700000000008</v>
      </c>
      <c r="T43" s="28">
        <f t="shared" si="43"/>
        <v>0.36903799999999998</v>
      </c>
      <c r="U43" s="28">
        <f t="shared" si="43"/>
        <v>1.8827050000000001</v>
      </c>
      <c r="V43" s="28">
        <f t="shared" si="43"/>
        <v>1.4879669999999998</v>
      </c>
      <c r="W43" s="28">
        <f t="shared" ref="W43:Y43" si="44">SUM(W44:W45)</f>
        <v>0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0.12719099999999983</v>
      </c>
      <c r="E44" s="84">
        <v>0.9964489999999997</v>
      </c>
      <c r="F44" s="84">
        <v>1.083142</v>
      </c>
      <c r="G44" s="84">
        <v>0</v>
      </c>
      <c r="H44" s="84">
        <v>0</v>
      </c>
      <c r="I44" s="84">
        <v>0.58129500000000034</v>
      </c>
      <c r="J44" s="84">
        <v>2.0640679999999998</v>
      </c>
      <c r="K44" s="84">
        <v>0</v>
      </c>
      <c r="L44" s="84">
        <v>0</v>
      </c>
      <c r="M44" s="84">
        <v>0</v>
      </c>
      <c r="N44" s="84">
        <v>0</v>
      </c>
      <c r="O44" s="84">
        <v>0</v>
      </c>
      <c r="P44" s="84">
        <v>0</v>
      </c>
      <c r="Q44" s="84">
        <v>0</v>
      </c>
      <c r="R44" s="84">
        <v>0</v>
      </c>
      <c r="S44" s="84">
        <v>0</v>
      </c>
      <c r="T44" s="84">
        <v>0</v>
      </c>
      <c r="U44" s="84">
        <v>0</v>
      </c>
      <c r="V44" s="84">
        <v>0</v>
      </c>
      <c r="W44" s="84">
        <v>0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0.17077600000000004</v>
      </c>
      <c r="D45" s="86">
        <v>0</v>
      </c>
      <c r="E45" s="86">
        <v>1.1521000000000003E-2</v>
      </c>
      <c r="F45" s="86">
        <v>0.30696699999999988</v>
      </c>
      <c r="G45" s="86">
        <v>0</v>
      </c>
      <c r="H45" s="86">
        <v>0</v>
      </c>
      <c r="I45" s="86">
        <v>1.000904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5.5288000000000004E-2</v>
      </c>
      <c r="Q45" s="86">
        <v>8.9200000000011492E-4</v>
      </c>
      <c r="R45" s="86">
        <v>0</v>
      </c>
      <c r="S45" s="86">
        <v>0.37344700000000008</v>
      </c>
      <c r="T45" s="86">
        <v>0.36903799999999998</v>
      </c>
      <c r="U45" s="86">
        <v>1.8827050000000001</v>
      </c>
      <c r="V45" s="86">
        <v>1.4879669999999998</v>
      </c>
      <c r="W45" s="86">
        <v>0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113.80210554146269</v>
      </c>
      <c r="C50" s="29">
        <f t="shared" si="45"/>
        <v>104.9554282053852</v>
      </c>
      <c r="D50" s="29">
        <f t="shared" si="45"/>
        <v>105.30700145358144</v>
      </c>
      <c r="E50" s="29">
        <f t="shared" si="45"/>
        <v>95.52731990689928</v>
      </c>
      <c r="F50" s="29">
        <f t="shared" si="45"/>
        <v>97.931354958841098</v>
      </c>
      <c r="G50" s="29">
        <f t="shared" si="45"/>
        <v>137.19735760634686</v>
      </c>
      <c r="H50" s="29">
        <f t="shared" si="45"/>
        <v>108.57098227183505</v>
      </c>
      <c r="I50" s="29">
        <f t="shared" si="45"/>
        <v>105.85413048201613</v>
      </c>
      <c r="J50" s="29">
        <f t="shared" si="45"/>
        <v>122.36931284519429</v>
      </c>
      <c r="K50" s="29">
        <f t="shared" ref="K50:V50" si="46">IF(K4=0,0,K4/K15)</f>
        <v>112.36756733158688</v>
      </c>
      <c r="L50" s="29">
        <f t="shared" si="46"/>
        <v>184.46387093130824</v>
      </c>
      <c r="M50" s="29">
        <f t="shared" si="46"/>
        <v>147.9849968524336</v>
      </c>
      <c r="N50" s="29">
        <f t="shared" si="46"/>
        <v>116.02996902223502</v>
      </c>
      <c r="O50" s="29">
        <f t="shared" si="46"/>
        <v>102.45328399265055</v>
      </c>
      <c r="P50" s="29">
        <f t="shared" si="46"/>
        <v>59.516754511150694</v>
      </c>
      <c r="Q50" s="29">
        <f t="shared" si="46"/>
        <v>63.284998021540964</v>
      </c>
      <c r="R50" s="29">
        <f t="shared" si="46"/>
        <v>63.426888428962151</v>
      </c>
      <c r="S50" s="29">
        <f t="shared" si="46"/>
        <v>62.126153716044556</v>
      </c>
      <c r="T50" s="29">
        <f t="shared" si="46"/>
        <v>61.886714187010149</v>
      </c>
      <c r="U50" s="29">
        <f t="shared" si="46"/>
        <v>96.597360849804261</v>
      </c>
      <c r="V50" s="29">
        <f t="shared" si="46"/>
        <v>65.422241506601608</v>
      </c>
      <c r="W50" s="29">
        <f t="shared" ref="W50:Y50" si="47">IF(W4=0,0,W4/W15)</f>
        <v>64.340081765803845</v>
      </c>
      <c r="X50" s="29">
        <f t="shared" si="47"/>
        <v>80.934092696799723</v>
      </c>
      <c r="Y50" s="29">
        <f t="shared" si="47"/>
        <v>74.871600335142006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85.518971975379074</v>
      </c>
      <c r="C51" s="115">
        <f t="shared" si="48"/>
        <v>85.51638847441771</v>
      </c>
      <c r="D51" s="115">
        <f t="shared" si="48"/>
        <v>84.697420942548675</v>
      </c>
      <c r="E51" s="115">
        <f t="shared" si="48"/>
        <v>84.260603520625224</v>
      </c>
      <c r="F51" s="115">
        <f t="shared" si="48"/>
        <v>83.653703425696662</v>
      </c>
      <c r="G51" s="115">
        <f t="shared" si="48"/>
        <v>161.11671746443528</v>
      </c>
      <c r="H51" s="115">
        <f t="shared" si="48"/>
        <v>98.990238258527583</v>
      </c>
      <c r="I51" s="115">
        <f t="shared" si="48"/>
        <v>83.506251127996947</v>
      </c>
      <c r="J51" s="115">
        <f t="shared" si="48"/>
        <v>127.53446010436397</v>
      </c>
      <c r="K51" s="115">
        <f t="shared" ref="K51:V51" si="49">IF(K5=0,0,K5/K16)</f>
        <v>109.59754824982055</v>
      </c>
      <c r="L51" s="115">
        <f t="shared" si="49"/>
        <v>188.27733002568826</v>
      </c>
      <c r="M51" s="115">
        <f t="shared" si="49"/>
        <v>143.32584920700583</v>
      </c>
      <c r="N51" s="115">
        <f t="shared" si="49"/>
        <v>158.64455816000225</v>
      </c>
      <c r="O51" s="115">
        <f t="shared" si="49"/>
        <v>97.246294087748055</v>
      </c>
      <c r="P51" s="115">
        <f t="shared" si="49"/>
        <v>73.857931798858644</v>
      </c>
      <c r="Q51" s="115">
        <f t="shared" si="49"/>
        <v>78.048100960469185</v>
      </c>
      <c r="R51" s="115">
        <f t="shared" si="49"/>
        <v>78.460616440982292</v>
      </c>
      <c r="S51" s="115">
        <f t="shared" si="49"/>
        <v>76.482154067962085</v>
      </c>
      <c r="T51" s="115">
        <f t="shared" si="49"/>
        <v>76.240619283292006</v>
      </c>
      <c r="U51" s="115">
        <f t="shared" si="49"/>
        <v>86.067610953729925</v>
      </c>
      <c r="V51" s="115">
        <f t="shared" si="49"/>
        <v>56.53924084830475</v>
      </c>
      <c r="W51" s="115">
        <f t="shared" ref="W51:Y51" si="50">IF(W5=0,0,W5/W16)</f>
        <v>58.320102069747655</v>
      </c>
      <c r="X51" s="115">
        <f t="shared" si="50"/>
        <v>66.64972375690607</v>
      </c>
      <c r="Y51" s="115">
        <f t="shared" si="50"/>
        <v>69.620689655172413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143.81208591678308</v>
      </c>
      <c r="C52" s="116">
        <f t="shared" si="51"/>
        <v>126.91948102961385</v>
      </c>
      <c r="D52" s="116">
        <f t="shared" si="51"/>
        <v>128.25432744420314</v>
      </c>
      <c r="E52" s="116">
        <f t="shared" si="51"/>
        <v>108.42209929060277</v>
      </c>
      <c r="F52" s="116">
        <f t="shared" si="51"/>
        <v>115.68772076073725</v>
      </c>
      <c r="G52" s="116">
        <f t="shared" si="51"/>
        <v>122.48526884162837</v>
      </c>
      <c r="H52" s="116">
        <f t="shared" si="51"/>
        <v>118.37687125230113</v>
      </c>
      <c r="I52" s="116">
        <f t="shared" si="51"/>
        <v>136.03490334988126</v>
      </c>
      <c r="J52" s="116">
        <f t="shared" si="51"/>
        <v>117.59797062876902</v>
      </c>
      <c r="K52" s="116">
        <f t="shared" ref="K52:V52" si="52">IF(K6=0,0,K6/K17)</f>
        <v>115.69842207618856</v>
      </c>
      <c r="L52" s="116">
        <f t="shared" si="52"/>
        <v>180.0014873505072</v>
      </c>
      <c r="M52" s="116">
        <f t="shared" si="52"/>
        <v>156.90052986479358</v>
      </c>
      <c r="N52" s="116">
        <f t="shared" si="52"/>
        <v>75.394389863492222</v>
      </c>
      <c r="O52" s="116">
        <f t="shared" si="52"/>
        <v>111.89418244717118</v>
      </c>
      <c r="P52" s="116">
        <f t="shared" si="52"/>
        <v>45.743816985481793</v>
      </c>
      <c r="Q52" s="116">
        <f t="shared" si="52"/>
        <v>50.59993366321649</v>
      </c>
      <c r="R52" s="116">
        <f t="shared" si="52"/>
        <v>50.106412502904647</v>
      </c>
      <c r="S52" s="116">
        <f t="shared" si="52"/>
        <v>48.346283837232313</v>
      </c>
      <c r="T52" s="116">
        <f t="shared" si="52"/>
        <v>48.006328462706442</v>
      </c>
      <c r="U52" s="116">
        <f t="shared" si="52"/>
        <v>115.54124100878073</v>
      </c>
      <c r="V52" s="116">
        <f t="shared" si="52"/>
        <v>89.277509826799374</v>
      </c>
      <c r="W52" s="116">
        <f t="shared" ref="W52:Y52" si="53">IF(W6=0,0,W6/W17)</f>
        <v>78.268590294937269</v>
      </c>
      <c r="X52" s="116">
        <f t="shared" si="53"/>
        <v>111.98688581333262</v>
      </c>
      <c r="Y52" s="116">
        <f t="shared" si="53"/>
        <v>90.365248503000259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116.53570374481266</v>
      </c>
      <c r="C53" s="87">
        <f t="shared" si="54"/>
        <v>121.07712732851883</v>
      </c>
      <c r="D53" s="87">
        <f t="shared" si="54"/>
        <v>116.17863915424759</v>
      </c>
      <c r="E53" s="87">
        <f t="shared" si="54"/>
        <v>100.11377091049413</v>
      </c>
      <c r="F53" s="87">
        <f t="shared" si="54"/>
        <v>105.26645350793538</v>
      </c>
      <c r="G53" s="87">
        <f t="shared" si="54"/>
        <v>115.72774532148387</v>
      </c>
      <c r="H53" s="87">
        <f t="shared" si="54"/>
        <v>117.75265624970545</v>
      </c>
      <c r="I53" s="87">
        <f t="shared" si="54"/>
        <v>133.73422821296532</v>
      </c>
      <c r="J53" s="87">
        <f t="shared" si="54"/>
        <v>111.31248840320436</v>
      </c>
      <c r="K53" s="87">
        <f t="shared" ref="K53:V53" si="55">IF(K7=0,0,K7/K18)</f>
        <v>110.19772709930271</v>
      </c>
      <c r="L53" s="87">
        <f t="shared" si="55"/>
        <v>180.25641894447369</v>
      </c>
      <c r="M53" s="87">
        <f t="shared" si="55"/>
        <v>156.73679919089105</v>
      </c>
      <c r="N53" s="87">
        <f t="shared" si="55"/>
        <v>70.547013252192741</v>
      </c>
      <c r="O53" s="87">
        <f t="shared" si="55"/>
        <v>94.110483705048068</v>
      </c>
      <c r="P53" s="87">
        <f t="shared" si="55"/>
        <v>43.423526134183305</v>
      </c>
      <c r="Q53" s="87">
        <f t="shared" si="55"/>
        <v>49.990486917941226</v>
      </c>
      <c r="R53" s="87">
        <f t="shared" si="55"/>
        <v>51.244767459969403</v>
      </c>
      <c r="S53" s="87">
        <f t="shared" si="55"/>
        <v>49.362392603769358</v>
      </c>
      <c r="T53" s="87">
        <f t="shared" si="55"/>
        <v>49.728343200703961</v>
      </c>
      <c r="U53" s="87">
        <f t="shared" si="55"/>
        <v>114.10666148324748</v>
      </c>
      <c r="V53" s="87">
        <f t="shared" si="55"/>
        <v>91.933941541591551</v>
      </c>
      <c r="W53" s="87">
        <f t="shared" ref="W53:Y53" si="56">IF(W7=0,0,W7/W18)</f>
        <v>91.824257601304467</v>
      </c>
      <c r="X53" s="87">
        <f t="shared" si="56"/>
        <v>107.79800142212441</v>
      </c>
      <c r="Y53" s="87">
        <f t="shared" si="56"/>
        <v>120.17785204947096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482.22651879689408</v>
      </c>
      <c r="C54" s="87">
        <f t="shared" si="57"/>
        <v>200.48267153993726</v>
      </c>
      <c r="D54" s="87">
        <f t="shared" si="57"/>
        <v>311.45720885368513</v>
      </c>
      <c r="E54" s="87">
        <f t="shared" si="57"/>
        <v>252.00774050969008</v>
      </c>
      <c r="F54" s="87">
        <f t="shared" si="57"/>
        <v>338.42717670963231</v>
      </c>
      <c r="G54" s="87">
        <f t="shared" si="57"/>
        <v>378.16299791344693</v>
      </c>
      <c r="H54" s="87">
        <f t="shared" si="57"/>
        <v>398.18993716408926</v>
      </c>
      <c r="I54" s="87">
        <f t="shared" si="57"/>
        <v>185.78157806405275</v>
      </c>
      <c r="J54" s="87">
        <f t="shared" si="57"/>
        <v>178.53412247777936</v>
      </c>
      <c r="K54" s="87">
        <f t="shared" ref="K54:V54" si="58">IF(K8=0,0,K8/K19)</f>
        <v>175.49692204754459</v>
      </c>
      <c r="L54" s="87">
        <f t="shared" si="58"/>
        <v>159.85757401159631</v>
      </c>
      <c r="M54" s="87">
        <f t="shared" si="58"/>
        <v>173.00291462362748</v>
      </c>
      <c r="N54" s="87">
        <f t="shared" si="58"/>
        <v>194.47986693257693</v>
      </c>
      <c r="O54" s="87">
        <f t="shared" si="58"/>
        <v>190.06388120898427</v>
      </c>
      <c r="P54" s="87">
        <f t="shared" si="58"/>
        <v>55.349994446648175</v>
      </c>
      <c r="Q54" s="87">
        <f t="shared" si="58"/>
        <v>52.568278101281429</v>
      </c>
      <c r="R54" s="87">
        <f t="shared" si="58"/>
        <v>45.766854938918279</v>
      </c>
      <c r="S54" s="87">
        <f t="shared" si="58"/>
        <v>44.422664254269932</v>
      </c>
      <c r="T54" s="87">
        <f t="shared" si="58"/>
        <v>42.780205610749015</v>
      </c>
      <c r="U54" s="87">
        <f t="shared" si="58"/>
        <v>116.58069096853831</v>
      </c>
      <c r="V54" s="87">
        <f t="shared" si="58"/>
        <v>87.425833041914842</v>
      </c>
      <c r="W54" s="87">
        <f t="shared" ref="W54:Y54" si="59">IF(W8=0,0,W8/W19)</f>
        <v>72.156695630195017</v>
      </c>
      <c r="X54" s="87">
        <f t="shared" si="59"/>
        <v>113.66793929584779</v>
      </c>
      <c r="Y54" s="87">
        <f t="shared" si="59"/>
        <v>80.847221522212507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:Y55" si="62">IF(W9=0,0,W9/W20)</f>
        <v>0</v>
      </c>
      <c r="X55" s="117">
        <f t="shared" si="62"/>
        <v>0</v>
      </c>
      <c r="Y55" s="117">
        <f t="shared" si="62"/>
        <v>0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596.23365968544226</v>
      </c>
      <c r="C56" s="29">
        <f t="shared" si="63"/>
        <v>562.98653398363308</v>
      </c>
      <c r="D56" s="29">
        <f t="shared" si="63"/>
        <v>529.98474548275919</v>
      </c>
      <c r="E56" s="29">
        <f t="shared" si="63"/>
        <v>534.3762874651145</v>
      </c>
      <c r="F56" s="29">
        <f t="shared" si="63"/>
        <v>535.67298294733189</v>
      </c>
      <c r="G56" s="29">
        <f t="shared" si="63"/>
        <v>767.91938997821342</v>
      </c>
      <c r="H56" s="29">
        <f t="shared" si="63"/>
        <v>764.08396912568082</v>
      </c>
      <c r="I56" s="29">
        <f t="shared" si="63"/>
        <v>655.03916461196661</v>
      </c>
      <c r="J56" s="29">
        <f t="shared" si="63"/>
        <v>521.97602617811356</v>
      </c>
      <c r="K56" s="29">
        <f t="shared" ref="K56:V56" si="64">IF(K10=0,0,K10/K21)</f>
        <v>738.05826704586445</v>
      </c>
      <c r="L56" s="29">
        <f t="shared" si="64"/>
        <v>769.05499505782882</v>
      </c>
      <c r="M56" s="29">
        <f t="shared" si="64"/>
        <v>726.60781750795968</v>
      </c>
      <c r="N56" s="29">
        <f t="shared" si="64"/>
        <v>551.30024326031423</v>
      </c>
      <c r="O56" s="29">
        <f t="shared" si="64"/>
        <v>554.27566495301301</v>
      </c>
      <c r="P56" s="29">
        <f t="shared" si="64"/>
        <v>529.24500351321342</v>
      </c>
      <c r="Q56" s="29">
        <f t="shared" si="64"/>
        <v>522.04242889540376</v>
      </c>
      <c r="R56" s="29">
        <f t="shared" si="64"/>
        <v>532.92224650157971</v>
      </c>
      <c r="S56" s="29">
        <f t="shared" si="64"/>
        <v>539.56208748904862</v>
      </c>
      <c r="T56" s="29">
        <f t="shared" si="64"/>
        <v>533.81139514158826</v>
      </c>
      <c r="U56" s="29">
        <f t="shared" si="64"/>
        <v>493.14862111392</v>
      </c>
      <c r="V56" s="29">
        <f t="shared" si="64"/>
        <v>425.33416450178129</v>
      </c>
      <c r="W56" s="29">
        <f t="shared" ref="W56:Y56" si="65">IF(W10=0,0,W10/W21)</f>
        <v>469.50031623115058</v>
      </c>
      <c r="X56" s="29">
        <f t="shared" si="65"/>
        <v>474.2100406105115</v>
      </c>
      <c r="Y56" s="29">
        <f t="shared" si="65"/>
        <v>334.55382496378371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605.80265767292065</v>
      </c>
      <c r="C57" s="87">
        <f t="shared" si="66"/>
        <v>609.44093709116385</v>
      </c>
      <c r="D57" s="87">
        <f t="shared" si="66"/>
        <v>504.80145065226742</v>
      </c>
      <c r="E57" s="87">
        <f t="shared" si="66"/>
        <v>511.34036975602925</v>
      </c>
      <c r="F57" s="87">
        <f t="shared" si="66"/>
        <v>509.73850643211773</v>
      </c>
      <c r="G57" s="87">
        <f t="shared" si="66"/>
        <v>737.49441147505377</v>
      </c>
      <c r="H57" s="87">
        <f t="shared" si="66"/>
        <v>742.03656222101506</v>
      </c>
      <c r="I57" s="87">
        <f t="shared" si="66"/>
        <v>780.20215894680916</v>
      </c>
      <c r="J57" s="87">
        <f t="shared" si="66"/>
        <v>506.15743313546506</v>
      </c>
      <c r="K57" s="87">
        <f t="shared" ref="K57:V57" si="67">IF(K11=0,0,K11/K22)</f>
        <v>787.22161108099942</v>
      </c>
      <c r="L57" s="87">
        <f t="shared" si="67"/>
        <v>827.31991570818502</v>
      </c>
      <c r="M57" s="87">
        <f t="shared" si="67"/>
        <v>832.70369603724077</v>
      </c>
      <c r="N57" s="87">
        <f t="shared" si="67"/>
        <v>539.20568182625209</v>
      </c>
      <c r="O57" s="87">
        <f t="shared" si="67"/>
        <v>547.5584982414307</v>
      </c>
      <c r="P57" s="87">
        <f t="shared" si="67"/>
        <v>554.5844912546487</v>
      </c>
      <c r="Q57" s="87">
        <f t="shared" si="67"/>
        <v>547.52858941116051</v>
      </c>
      <c r="R57" s="87">
        <f t="shared" si="67"/>
        <v>560.33179425274386</v>
      </c>
      <c r="S57" s="87">
        <f t="shared" si="67"/>
        <v>571.7579052611693</v>
      </c>
      <c r="T57" s="87">
        <f t="shared" si="67"/>
        <v>569.80896948715701</v>
      </c>
      <c r="U57" s="87">
        <f t="shared" si="67"/>
        <v>643.62029248724048</v>
      </c>
      <c r="V57" s="87">
        <f t="shared" si="67"/>
        <v>583.04892697624393</v>
      </c>
      <c r="W57" s="87">
        <f t="shared" ref="W57:Y57" si="68">IF(W11=0,0,W11/W22)</f>
        <v>490.89491779470234</v>
      </c>
      <c r="X57" s="87">
        <f t="shared" si="68"/>
        <v>514.95957871026064</v>
      </c>
      <c r="Y57" s="87">
        <f t="shared" si="68"/>
        <v>496.09170498809408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568.23426743671837</v>
      </c>
      <c r="C58" s="88">
        <f t="shared" si="69"/>
        <v>459.83144828099364</v>
      </c>
      <c r="D58" s="88">
        <f t="shared" si="69"/>
        <v>623.95749282456916</v>
      </c>
      <c r="E58" s="88">
        <f t="shared" si="69"/>
        <v>616.65176399262316</v>
      </c>
      <c r="F58" s="88">
        <f t="shared" si="69"/>
        <v>628.63361310757534</v>
      </c>
      <c r="G58" s="88">
        <f t="shared" si="69"/>
        <v>936.90135805317664</v>
      </c>
      <c r="H58" s="88">
        <f t="shared" si="69"/>
        <v>962.90264267986106</v>
      </c>
      <c r="I58" s="88">
        <f t="shared" si="69"/>
        <v>379.10038235117423</v>
      </c>
      <c r="J58" s="88">
        <f t="shared" si="69"/>
        <v>607.40556061229915</v>
      </c>
      <c r="K58" s="88">
        <f t="shared" ref="K58:V58" si="70">IF(K12=0,0,K12/K23)</f>
        <v>600.51363977961944</v>
      </c>
      <c r="L58" s="88">
        <f t="shared" si="70"/>
        <v>580.54842428799736</v>
      </c>
      <c r="M58" s="88">
        <f t="shared" si="70"/>
        <v>568.47418808081966</v>
      </c>
      <c r="N58" s="88">
        <f t="shared" si="70"/>
        <v>569.38522263508878</v>
      </c>
      <c r="O58" s="88">
        <f t="shared" si="70"/>
        <v>560.42397054329956</v>
      </c>
      <c r="P58" s="88">
        <f t="shared" si="70"/>
        <v>503.66067610928894</v>
      </c>
      <c r="Q58" s="88">
        <f t="shared" si="70"/>
        <v>497.27159222001865</v>
      </c>
      <c r="R58" s="88">
        <f t="shared" si="70"/>
        <v>505.22909949282456</v>
      </c>
      <c r="S58" s="88">
        <f t="shared" si="70"/>
        <v>508.0015832549343</v>
      </c>
      <c r="T58" s="88">
        <f t="shared" si="70"/>
        <v>501.34663982588529</v>
      </c>
      <c r="U58" s="88">
        <f t="shared" si="70"/>
        <v>449.41527411449556</v>
      </c>
      <c r="V58" s="88">
        <f t="shared" si="70"/>
        <v>389.27545333039336</v>
      </c>
      <c r="W58" s="88">
        <f t="shared" ref="W58:Y58" si="71">IF(W12=0,0,W12/W23)</f>
        <v>463.79822676588429</v>
      </c>
      <c r="X58" s="88">
        <f t="shared" si="71"/>
        <v>464.71230378053872</v>
      </c>
      <c r="Y58" s="88">
        <f t="shared" si="71"/>
        <v>315.65502252339712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367.30549198314503</v>
      </c>
      <c r="C61" s="29">
        <f t="shared" ref="C61" si="73">IF(C26=0,0,(C62*C27+C64*C29+C65*C30+C66*C31)/(C27+C29+C30+C31))</f>
        <v>368.51341303935828</v>
      </c>
      <c r="D61" s="29">
        <f t="shared" ref="D61" si="74">IF(D26=0,0,(D62*D27+D64*D29+D65*D30+D66*D31)/(D27+D29+D30+D31))</f>
        <v>368.19301085987792</v>
      </c>
      <c r="E61" s="29">
        <f t="shared" ref="E61" si="75">IF(E26=0,0,(E62*E27+E64*E29+E65*E30+E66*E31)/(E27+E29+E30+E31))</f>
        <v>368.72815263142365</v>
      </c>
      <c r="F61" s="29">
        <f t="shared" ref="F61" si="76">IF(F26=0,0,(F62*F27+F64*F29+F65*F30+F66*F31)/(F27+F29+F30+F31))</f>
        <v>370.22837547295063</v>
      </c>
      <c r="G61" s="29">
        <f t="shared" ref="G61" si="77">IF(G26=0,0,(G62*G27+G64*G29+G65*G30+G66*G31)/(G27+G29+G30+G31))</f>
        <v>367.57942725085354</v>
      </c>
      <c r="H61" s="29">
        <f t="shared" ref="H61" si="78">IF(H26=0,0,(H62*H27+H64*H29+H65*H30+H66*H31)/(H27+H29+H30+H31))</f>
        <v>365.99218026204863</v>
      </c>
      <c r="I61" s="29">
        <f t="shared" ref="I61" si="79">IF(I26=0,0,(I62*I27+I64*I29+I65*I30+I66*I31)/(I27+I29+I30+I31))</f>
        <v>371.22347529030736</v>
      </c>
      <c r="J61" s="29">
        <f t="shared" ref="J61" si="80">IF(J26=0,0,(J62*J27+J64*J29+J65*J30+J66*J31)/(J27+J29+J30+J31))</f>
        <v>370.49920731165969</v>
      </c>
      <c r="K61" s="29">
        <f t="shared" ref="K61" si="81">IF(K26=0,0,(K62*K27+K64*K29+K65*K30+K66*K31)/(K27+K29+K30+K31))</f>
        <v>370.790554854959</v>
      </c>
      <c r="L61" s="29">
        <f t="shared" ref="L61" si="82">IF(L26=0,0,(L62*L27+L64*L29+L65*L30+L66*L31)/(L27+L29+L30+L31))</f>
        <v>371.14039493203029</v>
      </c>
      <c r="M61" s="29">
        <f t="shared" ref="M61" si="83">IF(M26=0,0,(M62*M27+M64*M29+M65*M30+M66*M31)/(M27+M29+M30+M31))</f>
        <v>371.56830800745854</v>
      </c>
      <c r="N61" s="29">
        <f t="shared" ref="N61" si="84">IF(N26=0,0,(N62*N27+N64*N29+N65*N30+N66*N31)/(N27+N29+N30+N31))</f>
        <v>367.25617828777871</v>
      </c>
      <c r="O61" s="29">
        <f t="shared" ref="O61" si="85">IF(O26=0,0,(O62*O27+O64*O29+O65*O30+O66*O31)/(O27+O29+O30+O31))</f>
        <v>374.14961562553958</v>
      </c>
      <c r="P61" s="29">
        <f t="shared" ref="P61" si="86">IF(P26=0,0,(P62*P27+P64*P29+P65*P30+P66*P31)/(P27+P29+P30+P31))</f>
        <v>365.36204329222215</v>
      </c>
      <c r="Q61" s="29">
        <f t="shared" ref="Q61" si="87">IF(Q26=0,0,(Q62*Q27+Q64*Q29+Q65*Q30+Q66*Q31)/(Q27+Q29+Q30+Q31))</f>
        <v>363.16236991229033</v>
      </c>
      <c r="R61" s="29">
        <f t="shared" ref="R61" si="88">IF(R26=0,0,(R62*R27+R64*R29+R65*R30+R66*R31)/(R27+R29+R30+R31))</f>
        <v>363.06712517430213</v>
      </c>
      <c r="S61" s="29">
        <f t="shared" ref="S61" si="89">IF(S26=0,0,(S62*S27+S64*S29+S65*S30+S66*S31)/(S27+S29+S30+S31))</f>
        <v>364.5346024478232</v>
      </c>
      <c r="T61" s="29">
        <f t="shared" ref="T61" si="90">IF(T26=0,0,(T62*T27+T64*T29+T65*T30+T66*T31)/(T27+T29+T30+T31))</f>
        <v>365.49718681544965</v>
      </c>
      <c r="U61" s="29">
        <f t="shared" ref="U61" si="91">IF(U26=0,0,(U62*U27+U64*U29+U65*U30+U66*U31)/(U27+U29+U30+U31))</f>
        <v>364.77245213584825</v>
      </c>
      <c r="V61" s="29">
        <f t="shared" ref="V61" si="92">IF(V26=0,0,(V62*V27+V64*V29+V65*V30+V66*V31)/(V27+V29+V30+V31))</f>
        <v>364.60163649656567</v>
      </c>
      <c r="W61" s="29">
        <f t="shared" ref="W61:Y61" si="93">IF(W26=0,0,(W62*W27+W64*W29+W65*W30+W66*W31)/(W27+W29+W30+W31))</f>
        <v>365.71223588676372</v>
      </c>
      <c r="X61" s="29">
        <f t="shared" si="93"/>
        <v>368.147766373281</v>
      </c>
      <c r="Y61" s="29">
        <f t="shared" si="93"/>
        <v>369.72029401664298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319.99999999999994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320.00000000000006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X66" s="117">
        <v>0</v>
      </c>
      <c r="Y66" s="117">
        <v>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2099.9999999999995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2100.0000000000005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2099.9999999999995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2100.0000000000005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0.3098295778999266</v>
      </c>
      <c r="C72" s="30">
        <f t="shared" ref="C72:J72" si="138">IF(C50=0,0,C50/C61)</f>
        <v>0.28480762027018991</v>
      </c>
      <c r="D72" s="30">
        <f t="shared" si="138"/>
        <v>0.28601032161813034</v>
      </c>
      <c r="E72" s="30">
        <f t="shared" si="138"/>
        <v>0.25907248802449667</v>
      </c>
      <c r="F72" s="30">
        <f t="shared" si="138"/>
        <v>0.26451607020595885</v>
      </c>
      <c r="G72" s="30">
        <f t="shared" si="138"/>
        <v>0.37324547413453829</v>
      </c>
      <c r="H72" s="30">
        <f t="shared" si="138"/>
        <v>0.2966483660773811</v>
      </c>
      <c r="I72" s="30">
        <f t="shared" si="138"/>
        <v>0.28514934406892017</v>
      </c>
      <c r="J72" s="30">
        <f t="shared" si="138"/>
        <v>0.3302822527829557</v>
      </c>
      <c r="K72" s="30">
        <f t="shared" ref="K72:V72" si="139">IF(K50=0,0,K50/K61)</f>
        <v>0.30304862370494134</v>
      </c>
      <c r="L72" s="30">
        <f t="shared" si="139"/>
        <v>0.49701911581219954</v>
      </c>
      <c r="M72" s="30">
        <f t="shared" si="139"/>
        <v>0.39827131018252254</v>
      </c>
      <c r="N72" s="30">
        <f t="shared" si="139"/>
        <v>0.31593741884259047</v>
      </c>
      <c r="O72" s="30">
        <f t="shared" si="139"/>
        <v>0.2738297186844873</v>
      </c>
      <c r="P72" s="30">
        <f t="shared" si="139"/>
        <v>0.16289802294418493</v>
      </c>
      <c r="Q72" s="30">
        <f t="shared" si="139"/>
        <v>0.17426089062263067</v>
      </c>
      <c r="R72" s="30">
        <f t="shared" si="139"/>
        <v>0.17469741552202508</v>
      </c>
      <c r="S72" s="30">
        <f t="shared" si="139"/>
        <v>0.17042594392650787</v>
      </c>
      <c r="T72" s="30">
        <f t="shared" si="139"/>
        <v>0.16932199868957837</v>
      </c>
      <c r="U72" s="30">
        <f t="shared" si="139"/>
        <v>0.26481539459517506</v>
      </c>
      <c r="V72" s="30">
        <f t="shared" si="139"/>
        <v>0.17943485425693598</v>
      </c>
      <c r="W72" s="30">
        <f t="shared" ref="W72:Y72" si="140">IF(W50=0,0,W50/W61)</f>
        <v>0.17593089717054369</v>
      </c>
      <c r="X72" s="30">
        <f t="shared" si="140"/>
        <v>0.21984132484111593</v>
      </c>
      <c r="Y72" s="30">
        <f t="shared" si="140"/>
        <v>0.20250876553660768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0.21379742993844769</v>
      </c>
      <c r="C73" s="118">
        <f t="shared" si="141"/>
        <v>0.21379097118604429</v>
      </c>
      <c r="D73" s="118">
        <f t="shared" si="141"/>
        <v>0.21174355235637168</v>
      </c>
      <c r="E73" s="118">
        <f t="shared" si="141"/>
        <v>0.21065150880156305</v>
      </c>
      <c r="F73" s="118">
        <f t="shared" si="141"/>
        <v>0.20913425856424164</v>
      </c>
      <c r="G73" s="118">
        <f t="shared" si="141"/>
        <v>0.40279179366108819</v>
      </c>
      <c r="H73" s="118">
        <f t="shared" si="141"/>
        <v>0.24747559564631896</v>
      </c>
      <c r="I73" s="118">
        <f t="shared" si="141"/>
        <v>0.20876562781999236</v>
      </c>
      <c r="J73" s="118">
        <f t="shared" si="141"/>
        <v>0.31883615026090995</v>
      </c>
      <c r="K73" s="118">
        <f t="shared" ref="K73:V73" si="142">IF(K51=0,0,K51/K62)</f>
        <v>0.27399387062455138</v>
      </c>
      <c r="L73" s="118">
        <f t="shared" si="142"/>
        <v>0.47069332506422062</v>
      </c>
      <c r="M73" s="118">
        <f t="shared" si="142"/>
        <v>0.3583146230175146</v>
      </c>
      <c r="N73" s="118">
        <f t="shared" si="142"/>
        <v>0.39661139540000562</v>
      </c>
      <c r="O73" s="118">
        <f t="shared" si="142"/>
        <v>0.24311573521937013</v>
      </c>
      <c r="P73" s="118">
        <f t="shared" si="142"/>
        <v>0.18464482949714661</v>
      </c>
      <c r="Q73" s="118">
        <f t="shared" si="142"/>
        <v>0.19512025240117295</v>
      </c>
      <c r="R73" s="118">
        <f t="shared" si="142"/>
        <v>0.19615154110245572</v>
      </c>
      <c r="S73" s="118">
        <f t="shared" si="142"/>
        <v>0.19120538516990521</v>
      </c>
      <c r="T73" s="118">
        <f t="shared" si="142"/>
        <v>0.19060154820823003</v>
      </c>
      <c r="U73" s="118">
        <f t="shared" si="142"/>
        <v>0.21516902738432481</v>
      </c>
      <c r="V73" s="118">
        <f t="shared" si="142"/>
        <v>0.14134810212076188</v>
      </c>
      <c r="W73" s="118">
        <f t="shared" ref="W73:Y73" si="143">IF(W51=0,0,W51/W62)</f>
        <v>0.14580025517436915</v>
      </c>
      <c r="X73" s="118">
        <f t="shared" si="143"/>
        <v>0.16662430939226516</v>
      </c>
      <c r="Y73" s="118">
        <f t="shared" si="143"/>
        <v>0.17405172413793102</v>
      </c>
      <c r="DA73" s="203"/>
    </row>
    <row r="74" spans="1:105" ht="11.45" customHeight="1" x14ac:dyDescent="0.25">
      <c r="A74" s="109" t="s">
        <v>24</v>
      </c>
      <c r="B74" s="119">
        <f t="shared" si="141"/>
        <v>0.4494127684899471</v>
      </c>
      <c r="C74" s="119">
        <f t="shared" si="141"/>
        <v>0.39662337821754329</v>
      </c>
      <c r="D74" s="119">
        <f t="shared" si="141"/>
        <v>0.40079477326313484</v>
      </c>
      <c r="E74" s="119">
        <f t="shared" si="141"/>
        <v>0.33881906028313369</v>
      </c>
      <c r="F74" s="119">
        <f t="shared" si="141"/>
        <v>0.36152412737730388</v>
      </c>
      <c r="G74" s="119">
        <f t="shared" si="141"/>
        <v>0.38276646513008866</v>
      </c>
      <c r="H74" s="119">
        <f t="shared" si="141"/>
        <v>0.36992772266344104</v>
      </c>
      <c r="I74" s="119">
        <f t="shared" si="141"/>
        <v>0.42510907296837896</v>
      </c>
      <c r="J74" s="119">
        <f t="shared" si="141"/>
        <v>0.36749365821490321</v>
      </c>
      <c r="K74" s="119">
        <f t="shared" ref="K74:V74" si="144">IF(K52=0,0,K52/K63)</f>
        <v>0.36155756898808933</v>
      </c>
      <c r="L74" s="119">
        <f t="shared" si="144"/>
        <v>0.56250464797033506</v>
      </c>
      <c r="M74" s="119">
        <f t="shared" si="144"/>
        <v>0.49031415582747995</v>
      </c>
      <c r="N74" s="119">
        <f t="shared" si="144"/>
        <v>0.2356074683234132</v>
      </c>
      <c r="O74" s="119">
        <f t="shared" si="144"/>
        <v>0.34966932014740992</v>
      </c>
      <c r="P74" s="119">
        <f t="shared" si="144"/>
        <v>0.1429494280796306</v>
      </c>
      <c r="Q74" s="119">
        <f t="shared" si="144"/>
        <v>0.15812479269755153</v>
      </c>
      <c r="R74" s="119">
        <f t="shared" si="144"/>
        <v>0.15658253907157701</v>
      </c>
      <c r="S74" s="119">
        <f t="shared" si="144"/>
        <v>0.15108213699135098</v>
      </c>
      <c r="T74" s="119">
        <f t="shared" si="144"/>
        <v>0.15001977644595763</v>
      </c>
      <c r="U74" s="119">
        <f t="shared" si="144"/>
        <v>0.3610663781524398</v>
      </c>
      <c r="V74" s="119">
        <f t="shared" si="144"/>
        <v>0.27899221820874803</v>
      </c>
      <c r="W74" s="119">
        <f t="shared" ref="W74:Y74" si="145">IF(W52=0,0,W52/W63)</f>
        <v>0.24458934467167892</v>
      </c>
      <c r="X74" s="119">
        <f t="shared" si="145"/>
        <v>0.34995901816666442</v>
      </c>
      <c r="Y74" s="119">
        <f t="shared" si="145"/>
        <v>0.28239140157187581</v>
      </c>
      <c r="DA74" s="176"/>
    </row>
    <row r="75" spans="1:105" ht="11.45" customHeight="1" x14ac:dyDescent="0.25">
      <c r="A75" s="111" t="s">
        <v>92</v>
      </c>
      <c r="B75" s="120">
        <f t="shared" si="141"/>
        <v>0.36417407420253955</v>
      </c>
      <c r="C75" s="120">
        <f t="shared" si="141"/>
        <v>0.37836602290162136</v>
      </c>
      <c r="D75" s="120">
        <f t="shared" si="141"/>
        <v>0.36305824735702374</v>
      </c>
      <c r="E75" s="120">
        <f t="shared" si="141"/>
        <v>0.31285553409529415</v>
      </c>
      <c r="F75" s="120">
        <f t="shared" si="141"/>
        <v>0.32895766721229808</v>
      </c>
      <c r="G75" s="120">
        <f t="shared" si="141"/>
        <v>0.36164920412963708</v>
      </c>
      <c r="H75" s="120">
        <f t="shared" si="141"/>
        <v>0.36797705078032955</v>
      </c>
      <c r="I75" s="120">
        <f t="shared" si="141"/>
        <v>0.41791946316551665</v>
      </c>
      <c r="J75" s="120">
        <f t="shared" si="141"/>
        <v>0.34785152626001359</v>
      </c>
      <c r="K75" s="120">
        <f t="shared" ref="K75:V75" si="146">IF(K53=0,0,K53/K64)</f>
        <v>0.34436789718532096</v>
      </c>
      <c r="L75" s="120">
        <f t="shared" si="146"/>
        <v>0.56330130920148025</v>
      </c>
      <c r="M75" s="120">
        <f t="shared" si="146"/>
        <v>0.48980249747153454</v>
      </c>
      <c r="N75" s="120">
        <f t="shared" si="146"/>
        <v>0.22045941641310232</v>
      </c>
      <c r="O75" s="120">
        <f t="shared" si="146"/>
        <v>0.2940952615782752</v>
      </c>
      <c r="P75" s="120">
        <f t="shared" si="146"/>
        <v>0.13569851916932282</v>
      </c>
      <c r="Q75" s="120">
        <f t="shared" si="146"/>
        <v>0.15622027161856633</v>
      </c>
      <c r="R75" s="120">
        <f t="shared" si="146"/>
        <v>0.16013989831240438</v>
      </c>
      <c r="S75" s="120">
        <f t="shared" si="146"/>
        <v>0.15425747688677924</v>
      </c>
      <c r="T75" s="120">
        <f t="shared" si="146"/>
        <v>0.15540107250219987</v>
      </c>
      <c r="U75" s="120">
        <f t="shared" si="146"/>
        <v>0.35658331713514835</v>
      </c>
      <c r="V75" s="120">
        <f t="shared" si="146"/>
        <v>0.28729356731747357</v>
      </c>
      <c r="W75" s="120">
        <f t="shared" ref="W75:Y75" si="147">IF(W53=0,0,W53/W64)</f>
        <v>0.28695080500407644</v>
      </c>
      <c r="X75" s="120">
        <f t="shared" si="147"/>
        <v>0.33686875444413877</v>
      </c>
      <c r="Y75" s="120">
        <f t="shared" si="147"/>
        <v>0.37555578765459674</v>
      </c>
      <c r="DA75" s="171"/>
    </row>
    <row r="76" spans="1:105" ht="11.45" customHeight="1" x14ac:dyDescent="0.25">
      <c r="A76" s="111" t="s">
        <v>93</v>
      </c>
      <c r="B76" s="120">
        <f t="shared" si="141"/>
        <v>1.506957871240294</v>
      </c>
      <c r="C76" s="120">
        <f t="shared" si="141"/>
        <v>0.62650834856230397</v>
      </c>
      <c r="D76" s="120">
        <f t="shared" si="141"/>
        <v>0.97330377766776599</v>
      </c>
      <c r="E76" s="120">
        <f t="shared" si="141"/>
        <v>0.78752418909278155</v>
      </c>
      <c r="F76" s="120">
        <f t="shared" si="141"/>
        <v>1.057584927217601</v>
      </c>
      <c r="G76" s="120">
        <f t="shared" si="141"/>
        <v>1.1817593684795216</v>
      </c>
      <c r="H76" s="120">
        <f t="shared" si="141"/>
        <v>1.2443435536377789</v>
      </c>
      <c r="I76" s="120">
        <f t="shared" si="141"/>
        <v>0.58056743145016487</v>
      </c>
      <c r="J76" s="120">
        <f t="shared" si="141"/>
        <v>0.55791913274306049</v>
      </c>
      <c r="K76" s="120">
        <f t="shared" ref="K76:V76" si="148">IF(K54=0,0,K54/K65)</f>
        <v>0.54842788139857679</v>
      </c>
      <c r="L76" s="120">
        <f t="shared" si="148"/>
        <v>0.49955491878623848</v>
      </c>
      <c r="M76" s="120">
        <f t="shared" si="148"/>
        <v>0.54063410819883584</v>
      </c>
      <c r="N76" s="120">
        <f t="shared" si="148"/>
        <v>0.60774958416430291</v>
      </c>
      <c r="O76" s="120">
        <f t="shared" si="148"/>
        <v>0.59394962877807589</v>
      </c>
      <c r="P76" s="120">
        <f t="shared" si="148"/>
        <v>0.17296873264577556</v>
      </c>
      <c r="Q76" s="120">
        <f t="shared" si="148"/>
        <v>0.16427586906650446</v>
      </c>
      <c r="R76" s="120">
        <f t="shared" si="148"/>
        <v>0.14302142168411963</v>
      </c>
      <c r="S76" s="120">
        <f t="shared" si="148"/>
        <v>0.13882082579459354</v>
      </c>
      <c r="T76" s="120">
        <f t="shared" si="148"/>
        <v>0.13368814253359068</v>
      </c>
      <c r="U76" s="120">
        <f t="shared" si="148"/>
        <v>0.36431465927668222</v>
      </c>
      <c r="V76" s="120">
        <f t="shared" si="148"/>
        <v>0.27320572825598388</v>
      </c>
      <c r="W76" s="120">
        <f t="shared" ref="W76:Y76" si="149">IF(W54=0,0,W54/W65)</f>
        <v>0.22548967384435942</v>
      </c>
      <c r="X76" s="120">
        <f t="shared" si="149"/>
        <v>0.35521231029952433</v>
      </c>
      <c r="Y76" s="120">
        <f t="shared" si="149"/>
        <v>0.25264756725691406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:Y77" si="151">IF(W55=0,0,W55/W66)</f>
        <v>0</v>
      </c>
      <c r="X77" s="121">
        <f t="shared" si="151"/>
        <v>0</v>
      </c>
      <c r="Y77" s="121">
        <f t="shared" si="151"/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0.28392079032640105</v>
      </c>
      <c r="C78" s="30">
        <f t="shared" si="141"/>
        <v>0.26808882570649195</v>
      </c>
      <c r="D78" s="30">
        <f t="shared" si="141"/>
        <v>0.25237368832512341</v>
      </c>
      <c r="E78" s="30">
        <f t="shared" si="141"/>
        <v>0.25446489879291168</v>
      </c>
      <c r="F78" s="30">
        <f t="shared" si="141"/>
        <v>0.25508237283206281</v>
      </c>
      <c r="G78" s="30">
        <f t="shared" si="141"/>
        <v>0.36567589998962546</v>
      </c>
      <c r="H78" s="30">
        <f t="shared" si="141"/>
        <v>0.36384950910746716</v>
      </c>
      <c r="I78" s="30">
        <f t="shared" si="141"/>
        <v>0.31192341171998411</v>
      </c>
      <c r="J78" s="30">
        <f t="shared" si="141"/>
        <v>0.24856001246576837</v>
      </c>
      <c r="K78" s="30">
        <f t="shared" ref="K78:V78" si="152">IF(K56=0,0,K56/K67)</f>
        <v>0.35145631764088786</v>
      </c>
      <c r="L78" s="30">
        <f t="shared" si="152"/>
        <v>0.36621666431325184</v>
      </c>
      <c r="M78" s="30">
        <f t="shared" si="152"/>
        <v>0.34600372262283796</v>
      </c>
      <c r="N78" s="30">
        <f t="shared" si="152"/>
        <v>0.26252392536205438</v>
      </c>
      <c r="O78" s="30">
        <f t="shared" si="152"/>
        <v>0.26394079283476812</v>
      </c>
      <c r="P78" s="30">
        <f t="shared" si="152"/>
        <v>0.25202143024438733</v>
      </c>
      <c r="Q78" s="30">
        <f t="shared" si="152"/>
        <v>0.24859163280733507</v>
      </c>
      <c r="R78" s="30">
        <f t="shared" si="152"/>
        <v>0.25377249833408555</v>
      </c>
      <c r="S78" s="30">
        <f t="shared" si="152"/>
        <v>0.25693432737573751</v>
      </c>
      <c r="T78" s="30">
        <f t="shared" si="152"/>
        <v>0.25419590244837537</v>
      </c>
      <c r="U78" s="30">
        <f t="shared" si="152"/>
        <v>0.23483267672091429</v>
      </c>
      <c r="V78" s="30">
        <f t="shared" si="152"/>
        <v>0.20254007833418156</v>
      </c>
      <c r="W78" s="30">
        <f t="shared" ref="W78:Y78" si="153">IF(W56=0,0,W56/W67)</f>
        <v>0.22357157915769071</v>
      </c>
      <c r="X78" s="30">
        <f t="shared" si="153"/>
        <v>0.22581430505262454</v>
      </c>
      <c r="Y78" s="30">
        <f t="shared" si="153"/>
        <v>0.15931134522084939</v>
      </c>
      <c r="DA78" s="173"/>
    </row>
    <row r="79" spans="1:105" ht="11.45" customHeight="1" x14ac:dyDescent="0.25">
      <c r="A79" s="83" t="s">
        <v>92</v>
      </c>
      <c r="B79" s="120">
        <f t="shared" si="141"/>
        <v>0.28847745603472413</v>
      </c>
      <c r="C79" s="120">
        <f t="shared" si="141"/>
        <v>0.29020997004341137</v>
      </c>
      <c r="D79" s="120">
        <f t="shared" si="141"/>
        <v>0.24038164316774638</v>
      </c>
      <c r="E79" s="120">
        <f t="shared" si="141"/>
        <v>0.24349541416953774</v>
      </c>
      <c r="F79" s="120">
        <f t="shared" si="141"/>
        <v>0.24273262211053226</v>
      </c>
      <c r="G79" s="120">
        <f t="shared" si="141"/>
        <v>0.35118781498812085</v>
      </c>
      <c r="H79" s="120">
        <f t="shared" si="141"/>
        <v>0.35335074391476906</v>
      </c>
      <c r="I79" s="120">
        <f t="shared" si="141"/>
        <v>0.37152483759371863</v>
      </c>
      <c r="J79" s="120">
        <f t="shared" si="141"/>
        <v>0.24102734911212623</v>
      </c>
      <c r="K79" s="120">
        <f t="shared" ref="K79:V79" si="154">IF(K57=0,0,K57/K68)</f>
        <v>0.37486743384809496</v>
      </c>
      <c r="L79" s="120">
        <f t="shared" si="154"/>
        <v>0.39396186462294525</v>
      </c>
      <c r="M79" s="120">
        <f t="shared" si="154"/>
        <v>0.39652556954154322</v>
      </c>
      <c r="N79" s="120">
        <f t="shared" si="154"/>
        <v>0.25676461039345339</v>
      </c>
      <c r="O79" s="120">
        <f t="shared" si="154"/>
        <v>0.2607421420197289</v>
      </c>
      <c r="P79" s="120">
        <f t="shared" si="154"/>
        <v>0.26408785297840415</v>
      </c>
      <c r="Q79" s="120">
        <f t="shared" si="154"/>
        <v>0.26072789971960025</v>
      </c>
      <c r="R79" s="120">
        <f t="shared" si="154"/>
        <v>0.26682466392987803</v>
      </c>
      <c r="S79" s="120">
        <f t="shared" si="154"/>
        <v>0.27226566917198536</v>
      </c>
      <c r="T79" s="120">
        <f t="shared" si="154"/>
        <v>0.27133760451769384</v>
      </c>
      <c r="U79" s="120">
        <f t="shared" si="154"/>
        <v>0.30648585356535263</v>
      </c>
      <c r="V79" s="120">
        <f t="shared" si="154"/>
        <v>0.27764234617916378</v>
      </c>
      <c r="W79" s="120">
        <f t="shared" ref="W79:Y79" si="155">IF(W57=0,0,W57/W68)</f>
        <v>0.23375948466414398</v>
      </c>
      <c r="X79" s="120">
        <f t="shared" si="155"/>
        <v>0.24521884700488603</v>
      </c>
      <c r="Y79" s="120">
        <f t="shared" si="155"/>
        <v>0.23623414523242575</v>
      </c>
      <c r="DA79" s="171"/>
    </row>
    <row r="80" spans="1:105" ht="11.45" customHeight="1" x14ac:dyDescent="0.25">
      <c r="A80" s="85" t="s">
        <v>93</v>
      </c>
      <c r="B80" s="122">
        <f t="shared" si="141"/>
        <v>0.2705877463984373</v>
      </c>
      <c r="C80" s="122">
        <f t="shared" si="141"/>
        <v>0.21896735632428269</v>
      </c>
      <c r="D80" s="122">
        <f t="shared" si="141"/>
        <v>0.29712261563074721</v>
      </c>
      <c r="E80" s="122">
        <f t="shared" si="141"/>
        <v>0.29364369713934435</v>
      </c>
      <c r="F80" s="122">
        <f t="shared" si="141"/>
        <v>0.2993493395750359</v>
      </c>
      <c r="G80" s="122">
        <f t="shared" si="141"/>
        <v>0.44614350383484602</v>
      </c>
      <c r="H80" s="122">
        <f t="shared" si="141"/>
        <v>0.45852506794279096</v>
      </c>
      <c r="I80" s="122">
        <f t="shared" si="141"/>
        <v>0.18052399159579727</v>
      </c>
      <c r="J80" s="122">
        <f t="shared" si="141"/>
        <v>0.2892407431487139</v>
      </c>
      <c r="K80" s="122">
        <f t="shared" ref="K80:V80" si="156">IF(K58=0,0,K58/K69)</f>
        <v>0.28595887608553305</v>
      </c>
      <c r="L80" s="122">
        <f t="shared" si="156"/>
        <v>0.27645163061333206</v>
      </c>
      <c r="M80" s="122">
        <f t="shared" si="156"/>
        <v>0.27070199432419983</v>
      </c>
      <c r="N80" s="122">
        <f t="shared" si="156"/>
        <v>0.27113582030242322</v>
      </c>
      <c r="O80" s="122">
        <f t="shared" si="156"/>
        <v>0.26686855740157123</v>
      </c>
      <c r="P80" s="122">
        <f t="shared" si="156"/>
        <v>0.23983841719489948</v>
      </c>
      <c r="Q80" s="122">
        <f t="shared" si="156"/>
        <v>0.23679599629524697</v>
      </c>
      <c r="R80" s="122">
        <f t="shared" si="156"/>
        <v>0.24058528547277361</v>
      </c>
      <c r="S80" s="122">
        <f t="shared" si="156"/>
        <v>0.24190551583568301</v>
      </c>
      <c r="T80" s="122">
        <f t="shared" si="156"/>
        <v>0.23873649515518347</v>
      </c>
      <c r="U80" s="122">
        <f t="shared" si="156"/>
        <v>0.21400727338785502</v>
      </c>
      <c r="V80" s="122">
        <f t="shared" si="156"/>
        <v>0.18536926349066352</v>
      </c>
      <c r="W80" s="122">
        <f t="shared" ref="W80:Y80" si="157">IF(W58=0,0,W58/W69)</f>
        <v>0.22085629845994489</v>
      </c>
      <c r="X80" s="122">
        <f t="shared" si="157"/>
        <v>0.22129157322882795</v>
      </c>
      <c r="Y80" s="122">
        <f t="shared" si="157"/>
        <v>0.15031191548733197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127559.77805621094</v>
      </c>
      <c r="C82" s="54">
        <f t="shared" si="158"/>
        <v>126762.6654328311</v>
      </c>
      <c r="D82" s="54">
        <f t="shared" si="158"/>
        <v>126561.59936755143</v>
      </c>
      <c r="E82" s="54">
        <f t="shared" si="158"/>
        <v>126802.41132724084</v>
      </c>
      <c r="F82" s="54">
        <f t="shared" si="158"/>
        <v>126168.81570036703</v>
      </c>
      <c r="G82" s="54">
        <f t="shared" si="158"/>
        <v>97854.784201187969</v>
      </c>
      <c r="H82" s="54">
        <f t="shared" si="158"/>
        <v>126020.30855257565</v>
      </c>
      <c r="I82" s="54">
        <f t="shared" si="158"/>
        <v>124357.34293334202</v>
      </c>
      <c r="J82" s="54">
        <f t="shared" si="158"/>
        <v>108318.36956238704</v>
      </c>
      <c r="K82" s="54">
        <f t="shared" ref="K82:V82" si="159">IF(K14=0,0,K14/K25*1000000)</f>
        <v>118293.10251541628</v>
      </c>
      <c r="L82" s="54">
        <f t="shared" si="159"/>
        <v>79186.623517978907</v>
      </c>
      <c r="M82" s="54">
        <f t="shared" si="159"/>
        <v>91876.5775601114</v>
      </c>
      <c r="N82" s="54">
        <f t="shared" si="159"/>
        <v>113409.12011434906</v>
      </c>
      <c r="O82" s="54">
        <f t="shared" si="159"/>
        <v>114171.92153849889</v>
      </c>
      <c r="P82" s="54">
        <f t="shared" si="159"/>
        <v>126764.63305121985</v>
      </c>
      <c r="Q82" s="54">
        <f t="shared" si="159"/>
        <v>127884.8505405168</v>
      </c>
      <c r="R82" s="54">
        <f t="shared" si="159"/>
        <v>125432.64249836703</v>
      </c>
      <c r="S82" s="54">
        <f t="shared" si="159"/>
        <v>124921.28430502195</v>
      </c>
      <c r="T82" s="54">
        <f t="shared" si="159"/>
        <v>127361.65626763196</v>
      </c>
      <c r="U82" s="54">
        <f t="shared" si="159"/>
        <v>90563.533642574868</v>
      </c>
      <c r="V82" s="54">
        <f t="shared" si="159"/>
        <v>85124.590801804763</v>
      </c>
      <c r="W82" s="54">
        <f t="shared" ref="W82:Y82" si="160">IF(W14=0,0,W14/W25*1000000)</f>
        <v>91611.968761586235</v>
      </c>
      <c r="X82" s="54">
        <f t="shared" si="160"/>
        <v>97304.878792103671</v>
      </c>
      <c r="Y82" s="54">
        <f t="shared" si="160"/>
        <v>91396.846436637468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126347.25305638066</v>
      </c>
      <c r="C83" s="28">
        <f t="shared" si="161"/>
        <v>125743.29263161522</v>
      </c>
      <c r="D83" s="28">
        <f t="shared" si="161"/>
        <v>125780.03098232612</v>
      </c>
      <c r="E83" s="28">
        <f t="shared" si="161"/>
        <v>125543.01185303413</v>
      </c>
      <c r="F83" s="28">
        <f t="shared" si="161"/>
        <v>124597.44931191114</v>
      </c>
      <c r="G83" s="28">
        <f t="shared" si="161"/>
        <v>96697.498539760345</v>
      </c>
      <c r="H83" s="28">
        <f t="shared" si="161"/>
        <v>125026.51118564034</v>
      </c>
      <c r="I83" s="28">
        <f t="shared" si="161"/>
        <v>122585.08640871938</v>
      </c>
      <c r="J83" s="28">
        <f t="shared" si="161"/>
        <v>105926.25540254965</v>
      </c>
      <c r="K83" s="28">
        <f t="shared" ref="K83:V83" si="162">IF(K15=0,0,K15/K26*1000000)</f>
        <v>119084.99890262818</v>
      </c>
      <c r="L83" s="28">
        <f t="shared" si="162"/>
        <v>78239.864473292197</v>
      </c>
      <c r="M83" s="28">
        <f t="shared" si="162"/>
        <v>92788.753595593065</v>
      </c>
      <c r="N83" s="28">
        <f t="shared" si="162"/>
        <v>114793.07467469996</v>
      </c>
      <c r="O83" s="28">
        <f t="shared" si="162"/>
        <v>115520.68864930578</v>
      </c>
      <c r="P83" s="28">
        <f t="shared" si="162"/>
        <v>127318.97777203543</v>
      </c>
      <c r="Q83" s="28">
        <f t="shared" si="162"/>
        <v>128418.81456962401</v>
      </c>
      <c r="R83" s="28">
        <f t="shared" si="162"/>
        <v>126051.00023130167</v>
      </c>
      <c r="S83" s="28">
        <f t="shared" si="162"/>
        <v>125030.36862913136</v>
      </c>
      <c r="T83" s="28">
        <f t="shared" si="162"/>
        <v>127251.40595546136</v>
      </c>
      <c r="U83" s="28">
        <f t="shared" si="162"/>
        <v>89568.776849126531</v>
      </c>
      <c r="V83" s="28">
        <f t="shared" si="162"/>
        <v>83281.614719015561</v>
      </c>
      <c r="W83" s="28">
        <f t="shared" ref="W83:Y83" si="163">IF(W15=0,0,W15/W26*1000000)</f>
        <v>90020.316398107199</v>
      </c>
      <c r="X83" s="28">
        <f t="shared" si="163"/>
        <v>96656.819876100548</v>
      </c>
      <c r="Y83" s="28">
        <f t="shared" si="163"/>
        <v>91534.939618124903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109999.99964126875</v>
      </c>
      <c r="C84" s="108">
        <f t="shared" si="161"/>
        <v>109999.99970436576</v>
      </c>
      <c r="D84" s="108">
        <f t="shared" si="161"/>
        <v>109999.99925621568</v>
      </c>
      <c r="E84" s="108">
        <f t="shared" si="161"/>
        <v>109999.99946975433</v>
      </c>
      <c r="F84" s="108">
        <f t="shared" si="161"/>
        <v>109999.99967059614</v>
      </c>
      <c r="G84" s="108">
        <f t="shared" si="161"/>
        <v>61918.347805682504</v>
      </c>
      <c r="H84" s="108">
        <f t="shared" si="161"/>
        <v>109999.99993101649</v>
      </c>
      <c r="I84" s="108">
        <f t="shared" si="161"/>
        <v>109999.9995866659</v>
      </c>
      <c r="J84" s="108">
        <f t="shared" si="161"/>
        <v>80578.028182364811</v>
      </c>
      <c r="K84" s="108">
        <f t="shared" ref="K84:V84" si="164">IF(K16=0,0,K16/K27*1000000)</f>
        <v>102406.55047382377</v>
      </c>
      <c r="L84" s="108">
        <f t="shared" si="164"/>
        <v>65994.641167618349</v>
      </c>
      <c r="M84" s="108">
        <f t="shared" si="164"/>
        <v>94540.988013709735</v>
      </c>
      <c r="N84" s="108">
        <f t="shared" si="164"/>
        <v>94856.787594331356</v>
      </c>
      <c r="O84" s="108">
        <f t="shared" si="164"/>
        <v>109999.99948562257</v>
      </c>
      <c r="P84" s="108">
        <f t="shared" si="164"/>
        <v>109999.99990068498</v>
      </c>
      <c r="Q84" s="108">
        <f t="shared" si="164"/>
        <v>109999.99972821074</v>
      </c>
      <c r="R84" s="108">
        <f t="shared" si="164"/>
        <v>109999.99967148973</v>
      </c>
      <c r="S84" s="108">
        <f t="shared" si="164"/>
        <v>109999.99949829074</v>
      </c>
      <c r="T84" s="108">
        <f t="shared" si="164"/>
        <v>109999.9995659985</v>
      </c>
      <c r="U84" s="108">
        <f t="shared" si="164"/>
        <v>102865.81214264991</v>
      </c>
      <c r="V84" s="108">
        <f t="shared" si="164"/>
        <v>108847.11520138265</v>
      </c>
      <c r="W84" s="108">
        <f t="shared" ref="W84:Y84" si="165">IF(W16=0,0,W16/W27*1000000)</f>
        <v>109999.99961941066</v>
      </c>
      <c r="X84" s="108">
        <f t="shared" si="165"/>
        <v>109999.99951161761</v>
      </c>
      <c r="Y84" s="108">
        <f t="shared" si="165"/>
        <v>109999.99979950006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149999.99818948845</v>
      </c>
      <c r="C85" s="110">
        <f t="shared" si="161"/>
        <v>149999.99829914168</v>
      </c>
      <c r="D85" s="110">
        <f t="shared" si="161"/>
        <v>149689.46915628904</v>
      </c>
      <c r="E85" s="110">
        <f t="shared" si="161"/>
        <v>149762.31270974086</v>
      </c>
      <c r="F85" s="110">
        <f t="shared" si="161"/>
        <v>149225.1340009108</v>
      </c>
      <c r="G85" s="110">
        <f t="shared" si="161"/>
        <v>147738.30170515465</v>
      </c>
      <c r="H85" s="110">
        <f t="shared" si="161"/>
        <v>145348.36714870046</v>
      </c>
      <c r="I85" s="110">
        <f t="shared" si="161"/>
        <v>144987.09257031447</v>
      </c>
      <c r="J85" s="110">
        <f t="shared" si="161"/>
        <v>149317.13628152662</v>
      </c>
      <c r="K85" s="110">
        <f t="shared" ref="K85:V85" si="166">IF(K17=0,0,K17/K28*1000000)</f>
        <v>148086.15402941813</v>
      </c>
      <c r="L85" s="110">
        <f t="shared" si="166"/>
        <v>99938.89862182553</v>
      </c>
      <c r="M85" s="110">
        <f t="shared" si="166"/>
        <v>89610.618288049111</v>
      </c>
      <c r="N85" s="110">
        <f t="shared" si="166"/>
        <v>143565.30367552562</v>
      </c>
      <c r="O85" s="110">
        <f t="shared" si="166"/>
        <v>127085.05039616161</v>
      </c>
      <c r="P85" s="110">
        <f t="shared" si="166"/>
        <v>149999.99878621165</v>
      </c>
      <c r="Q85" s="110">
        <f t="shared" si="166"/>
        <v>149999.99928856996</v>
      </c>
      <c r="R85" s="110">
        <f t="shared" si="166"/>
        <v>144767.94153480482</v>
      </c>
      <c r="S85" s="110">
        <f t="shared" si="166"/>
        <v>143904.30097124708</v>
      </c>
      <c r="T85" s="110">
        <f t="shared" si="166"/>
        <v>149999.99909574748</v>
      </c>
      <c r="U85" s="110">
        <f t="shared" si="166"/>
        <v>72668.909775670894</v>
      </c>
      <c r="V85" s="110">
        <f t="shared" si="166"/>
        <v>51069.301874194862</v>
      </c>
      <c r="W85" s="110">
        <f t="shared" ref="W85:Y85" si="167">IF(W17=0,0,W17/W28*1000000)</f>
        <v>63383.525811856387</v>
      </c>
      <c r="X85" s="110">
        <f t="shared" si="167"/>
        <v>76487.298852975626</v>
      </c>
      <c r="Y85" s="110">
        <f t="shared" si="167"/>
        <v>61214.690743925152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149999.99882661132</v>
      </c>
      <c r="C86" s="84">
        <f t="shared" si="161"/>
        <v>149999.99974351563</v>
      </c>
      <c r="D86" s="84">
        <f t="shared" si="161"/>
        <v>149999.99837013925</v>
      </c>
      <c r="E86" s="84">
        <f t="shared" si="161"/>
        <v>149999.99999754369</v>
      </c>
      <c r="F86" s="84">
        <f t="shared" si="161"/>
        <v>149999.99891130821</v>
      </c>
      <c r="G86" s="84">
        <f t="shared" si="161"/>
        <v>149999.99997008868</v>
      </c>
      <c r="H86" s="84">
        <f t="shared" si="161"/>
        <v>149999.99968022443</v>
      </c>
      <c r="I86" s="84">
        <f t="shared" si="161"/>
        <v>144763.35018802335</v>
      </c>
      <c r="J86" s="84">
        <f t="shared" si="161"/>
        <v>149247.05410356275</v>
      </c>
      <c r="K86" s="84">
        <f t="shared" ref="K86:V86" si="168">IF(K18=0,0,K18/K29*1000000)</f>
        <v>149841.495474728</v>
      </c>
      <c r="L86" s="84">
        <f t="shared" si="168"/>
        <v>109325.49710309476</v>
      </c>
      <c r="M86" s="84">
        <f t="shared" si="168"/>
        <v>98586.559804883291</v>
      </c>
      <c r="N86" s="84">
        <f t="shared" si="168"/>
        <v>149999.9987415678</v>
      </c>
      <c r="O86" s="84">
        <f t="shared" si="168"/>
        <v>122816.61806987034</v>
      </c>
      <c r="P86" s="84">
        <f t="shared" si="168"/>
        <v>149999.99932171023</v>
      </c>
      <c r="Q86" s="84">
        <f t="shared" si="168"/>
        <v>149999.99936830971</v>
      </c>
      <c r="R86" s="84">
        <f t="shared" si="168"/>
        <v>149999.99883676574</v>
      </c>
      <c r="S86" s="84">
        <f t="shared" si="168"/>
        <v>149999.99949085913</v>
      </c>
      <c r="T86" s="84">
        <f t="shared" si="168"/>
        <v>149999.99892064568</v>
      </c>
      <c r="U86" s="84">
        <f t="shared" si="168"/>
        <v>42458.827524367989</v>
      </c>
      <c r="V86" s="84">
        <f t="shared" si="168"/>
        <v>29701.813387158338</v>
      </c>
      <c r="W86" s="84">
        <f t="shared" ref="W86:Y86" si="169">IF(W18=0,0,W18/W29*1000000)</f>
        <v>28477.373758281297</v>
      </c>
      <c r="X86" s="84">
        <f t="shared" si="169"/>
        <v>34435.073805143453</v>
      </c>
      <c r="Y86" s="84">
        <f t="shared" si="169"/>
        <v>24074.9761043576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149999.99028479028</v>
      </c>
      <c r="C87" s="84">
        <f t="shared" si="161"/>
        <v>149999.98011250861</v>
      </c>
      <c r="D87" s="84">
        <f t="shared" si="161"/>
        <v>145131.27697401575</v>
      </c>
      <c r="E87" s="84">
        <f t="shared" si="161"/>
        <v>145770.39674321463</v>
      </c>
      <c r="F87" s="84">
        <f t="shared" si="161"/>
        <v>134387.32830679417</v>
      </c>
      <c r="G87" s="84">
        <f t="shared" si="161"/>
        <v>94071.41383220756</v>
      </c>
      <c r="H87" s="84">
        <f t="shared" si="161"/>
        <v>9754.2298186792486</v>
      </c>
      <c r="I87" s="84">
        <f t="shared" si="161"/>
        <v>149999.99956606157</v>
      </c>
      <c r="J87" s="84">
        <f t="shared" si="161"/>
        <v>149999.99283693533</v>
      </c>
      <c r="K87" s="84">
        <f t="shared" ref="K87:V87" si="170">IF(K19=0,0,K19/K30*1000000)</f>
        <v>131357.63291694099</v>
      </c>
      <c r="L87" s="84">
        <f t="shared" si="170"/>
        <v>12838.471503810013</v>
      </c>
      <c r="M87" s="84">
        <f t="shared" si="170"/>
        <v>9002.3732151511031</v>
      </c>
      <c r="N87" s="84">
        <f t="shared" si="170"/>
        <v>69899.756738987649</v>
      </c>
      <c r="O87" s="84">
        <f t="shared" si="170"/>
        <v>149999.9977707222</v>
      </c>
      <c r="P87" s="84">
        <f t="shared" si="170"/>
        <v>149999.99656920752</v>
      </c>
      <c r="Q87" s="84">
        <f t="shared" si="170"/>
        <v>149999.99903103267</v>
      </c>
      <c r="R87" s="84">
        <f t="shared" si="170"/>
        <v>127777.54460216967</v>
      </c>
      <c r="S87" s="84">
        <f t="shared" si="170"/>
        <v>124385.67334784815</v>
      </c>
      <c r="T87" s="84">
        <f t="shared" si="170"/>
        <v>149999.99962716192</v>
      </c>
      <c r="U87" s="84">
        <f t="shared" si="170"/>
        <v>149999.9982009274</v>
      </c>
      <c r="V87" s="84">
        <f t="shared" si="170"/>
        <v>102437.89800321779</v>
      </c>
      <c r="W87" s="84">
        <f t="shared" ref="W87:Y87" si="171">IF(W19=0,0,W19/W30*1000000)</f>
        <v>141689.40770702128</v>
      </c>
      <c r="X87" s="84">
        <f t="shared" si="171"/>
        <v>149999.99878044648</v>
      </c>
      <c r="Y87" s="84">
        <f t="shared" si="171"/>
        <v>120623.71632485584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:Y88" si="173">IF(W20=0,0,W20/W31*1000000)</f>
        <v>0</v>
      </c>
      <c r="X88" s="113">
        <f t="shared" si="173"/>
        <v>0</v>
      </c>
      <c r="Y88" s="113">
        <f t="shared" si="173"/>
        <v>0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199999.93972783568</v>
      </c>
      <c r="C89" s="28">
        <f t="shared" si="161"/>
        <v>195656.28887942759</v>
      </c>
      <c r="D89" s="28">
        <f t="shared" si="161"/>
        <v>182022.05645295247</v>
      </c>
      <c r="E89" s="28">
        <f t="shared" si="161"/>
        <v>199999.97126780733</v>
      </c>
      <c r="F89" s="28">
        <f t="shared" si="161"/>
        <v>199999.97687493183</v>
      </c>
      <c r="G89" s="28">
        <f t="shared" si="161"/>
        <v>154471.80738072353</v>
      </c>
      <c r="H89" s="28">
        <f t="shared" si="161"/>
        <v>176008.46633566372</v>
      </c>
      <c r="I89" s="28">
        <f t="shared" si="161"/>
        <v>199999.95917817863</v>
      </c>
      <c r="J89" s="28">
        <f t="shared" si="161"/>
        <v>182513.1642896728</v>
      </c>
      <c r="K89" s="28">
        <f t="shared" ref="K89:V89" si="174">IF(K21=0,0,K21/K32*1000000)</f>
        <v>94763.441911860005</v>
      </c>
      <c r="L89" s="28">
        <f t="shared" si="174"/>
        <v>105966.47031327039</v>
      </c>
      <c r="M89" s="28">
        <f t="shared" si="174"/>
        <v>67506.76190524963</v>
      </c>
      <c r="N89" s="28">
        <f t="shared" si="174"/>
        <v>75289.217380100134</v>
      </c>
      <c r="O89" s="28">
        <f t="shared" si="174"/>
        <v>66189.096561181257</v>
      </c>
      <c r="P89" s="28">
        <f t="shared" si="174"/>
        <v>94572.485594548256</v>
      </c>
      <c r="Q89" s="28">
        <f t="shared" si="174"/>
        <v>95249.200793119104</v>
      </c>
      <c r="R89" s="28">
        <f t="shared" si="174"/>
        <v>85806.765895821212</v>
      </c>
      <c r="S89" s="28">
        <f t="shared" si="174"/>
        <v>117930.89429536097</v>
      </c>
      <c r="T89" s="28">
        <f t="shared" si="174"/>
        <v>134245.35036760964</v>
      </c>
      <c r="U89" s="28">
        <f t="shared" si="174"/>
        <v>136870.98304180213</v>
      </c>
      <c r="V89" s="28">
        <f t="shared" si="174"/>
        <v>154229.59267961237</v>
      </c>
      <c r="W89" s="28">
        <f t="shared" ref="W89:Y89" si="175">IF(W21=0,0,W21/W32*1000000)</f>
        <v>151942.15077073875</v>
      </c>
      <c r="X89" s="28">
        <f t="shared" si="175"/>
        <v>124712.91856409486</v>
      </c>
      <c r="Y89" s="28">
        <f t="shared" si="175"/>
        <v>85387.252740922631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199999.92666358736</v>
      </c>
      <c r="C90" s="84">
        <f t="shared" si="161"/>
        <v>193761.22596640652</v>
      </c>
      <c r="D90" s="84">
        <f t="shared" si="161"/>
        <v>199999.96222204895</v>
      </c>
      <c r="E90" s="84">
        <f t="shared" si="161"/>
        <v>199999.98694480251</v>
      </c>
      <c r="F90" s="84">
        <f t="shared" si="161"/>
        <v>199999.98742056722</v>
      </c>
      <c r="G90" s="84">
        <f t="shared" si="161"/>
        <v>166881.6699514403</v>
      </c>
      <c r="H90" s="84">
        <f t="shared" si="161"/>
        <v>199999.95032241402</v>
      </c>
      <c r="I90" s="84">
        <f t="shared" si="161"/>
        <v>199999.98089860551</v>
      </c>
      <c r="J90" s="84">
        <f t="shared" si="161"/>
        <v>199999.98595227656</v>
      </c>
      <c r="K90" s="84">
        <f t="shared" ref="K90:V90" si="176">IF(K22=0,0,K22/K33*1000000)</f>
        <v>90532.548093999911</v>
      </c>
      <c r="L90" s="84">
        <f t="shared" si="176"/>
        <v>104807.54699618561</v>
      </c>
      <c r="M90" s="84">
        <f t="shared" si="176"/>
        <v>52218.520649165177</v>
      </c>
      <c r="N90" s="84">
        <f t="shared" si="176"/>
        <v>58201.773277849279</v>
      </c>
      <c r="O90" s="84">
        <f t="shared" si="176"/>
        <v>40718.058070889354</v>
      </c>
      <c r="P90" s="84">
        <f t="shared" si="176"/>
        <v>62133.193358898126</v>
      </c>
      <c r="Q90" s="84">
        <f t="shared" si="176"/>
        <v>61895.206585804539</v>
      </c>
      <c r="R90" s="84">
        <f t="shared" si="176"/>
        <v>56791.811974743687</v>
      </c>
      <c r="S90" s="84">
        <f t="shared" si="176"/>
        <v>83131.556290857159</v>
      </c>
      <c r="T90" s="84">
        <f t="shared" si="176"/>
        <v>98380.662576214483</v>
      </c>
      <c r="U90" s="84">
        <f t="shared" si="176"/>
        <v>65613.205921672503</v>
      </c>
      <c r="V90" s="84">
        <f t="shared" si="176"/>
        <v>77077.797493294303</v>
      </c>
      <c r="W90" s="84">
        <f t="shared" ref="W90:Y90" si="177">IF(W22=0,0,W22/W33*1000000)</f>
        <v>89847.038906884627</v>
      </c>
      <c r="X90" s="84">
        <f t="shared" si="177"/>
        <v>69771.190671345932</v>
      </c>
      <c r="Y90" s="84">
        <f t="shared" si="177"/>
        <v>28113.898242508556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199999.97795452425</v>
      </c>
      <c r="C91" s="86">
        <f t="shared" si="161"/>
        <v>199999.89346641896</v>
      </c>
      <c r="D91" s="86">
        <f t="shared" si="161"/>
        <v>136302.47058654038</v>
      </c>
      <c r="E91" s="86">
        <f t="shared" si="161"/>
        <v>199999.9152756042</v>
      </c>
      <c r="F91" s="86">
        <f t="shared" si="161"/>
        <v>199999.93907472127</v>
      </c>
      <c r="G91" s="86">
        <f t="shared" si="161"/>
        <v>109320.52220613607</v>
      </c>
      <c r="H91" s="86">
        <f t="shared" si="161"/>
        <v>84548.3231085632</v>
      </c>
      <c r="I91" s="86">
        <f t="shared" si="161"/>
        <v>199999.91129257079</v>
      </c>
      <c r="J91" s="86">
        <f t="shared" si="161"/>
        <v>123973.52409313977</v>
      </c>
      <c r="K91" s="86">
        <f t="shared" ref="K91:V91" si="178">IF(K23=0,0,K23/K34*1000000)</f>
        <v>109017.02016282441</v>
      </c>
      <c r="L91" s="86">
        <f t="shared" si="178"/>
        <v>109898.09114046626</v>
      </c>
      <c r="M91" s="86">
        <f t="shared" si="178"/>
        <v>119772.22576278099</v>
      </c>
      <c r="N91" s="86">
        <f t="shared" si="178"/>
        <v>134206.40939544118</v>
      </c>
      <c r="O91" s="86">
        <f t="shared" si="178"/>
        <v>154853.80674035213</v>
      </c>
      <c r="P91" s="86">
        <f t="shared" si="178"/>
        <v>199999.94683799814</v>
      </c>
      <c r="Q91" s="86">
        <f t="shared" si="178"/>
        <v>199999.87060725232</v>
      </c>
      <c r="R91" s="86">
        <f t="shared" si="178"/>
        <v>177355.02887107688</v>
      </c>
      <c r="S91" s="86">
        <f t="shared" si="178"/>
        <v>199999.94829343897</v>
      </c>
      <c r="T91" s="86">
        <f t="shared" si="178"/>
        <v>199999.94039445152</v>
      </c>
      <c r="U91" s="86">
        <f t="shared" si="178"/>
        <v>199999.98987271293</v>
      </c>
      <c r="V91" s="86">
        <f t="shared" si="178"/>
        <v>199999.97425878659</v>
      </c>
      <c r="W91" s="86">
        <f t="shared" ref="W91:Y91" si="179">IF(W23=0,0,W23/W34*1000000)</f>
        <v>186248.6693297826</v>
      </c>
      <c r="X91" s="86">
        <f t="shared" si="179"/>
        <v>152747.78898839251</v>
      </c>
      <c r="Y91" s="86">
        <f t="shared" si="179"/>
        <v>112106.34111801596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14378583.427196126</v>
      </c>
      <c r="C94" s="28">
        <f t="shared" si="180"/>
        <v>13197441.122106232</v>
      </c>
      <c r="D94" s="28">
        <f t="shared" si="180"/>
        <v>13245517.905487336</v>
      </c>
      <c r="E94" s="28">
        <f t="shared" si="180"/>
        <v>11992787.455360439</v>
      </c>
      <c r="F94" s="28">
        <f t="shared" si="180"/>
        <v>12201997.035530981</v>
      </c>
      <c r="G94" s="28">
        <f t="shared" si="180"/>
        <v>13266641.286798704</v>
      </c>
      <c r="H94" s="28">
        <f t="shared" si="180"/>
        <v>13574251.129445544</v>
      </c>
      <c r="I94" s="28">
        <f t="shared" si="180"/>
        <v>12976137.731857805</v>
      </c>
      <c r="J94" s="28">
        <f t="shared" si="180"/>
        <v>12962123.08587455</v>
      </c>
      <c r="K94" s="28">
        <f t="shared" ref="K94:V94" si="181">IF(K4=0,0,K4/K26*1000000)</f>
        <v>13381291.63237302</v>
      </c>
      <c r="L94" s="28">
        <f t="shared" si="181"/>
        <v>14432428.261884423</v>
      </c>
      <c r="M94" s="28">
        <f t="shared" si="181"/>
        <v>13731343.408785075</v>
      </c>
      <c r="N94" s="28">
        <f t="shared" si="181"/>
        <v>13319436.898472549</v>
      </c>
      <c r="O94" s="28">
        <f t="shared" si="181"/>
        <v>11835473.921213889</v>
      </c>
      <c r="P94" s="28">
        <f t="shared" si="181"/>
        <v>7577612.3446688848</v>
      </c>
      <c r="Q94" s="28">
        <f t="shared" si="181"/>
        <v>8126984.4259672919</v>
      </c>
      <c r="R94" s="28">
        <f t="shared" si="181"/>
        <v>7995022.7280298527</v>
      </c>
      <c r="S94" s="28">
        <f t="shared" si="181"/>
        <v>7767655.9006271306</v>
      </c>
      <c r="T94" s="28">
        <f t="shared" si="181"/>
        <v>7875171.3902608398</v>
      </c>
      <c r="U94" s="28">
        <f t="shared" si="181"/>
        <v>8652107.458170671</v>
      </c>
      <c r="V94" s="28">
        <f t="shared" si="181"/>
        <v>5448469.9112071833</v>
      </c>
      <c r="W94" s="28">
        <f t="shared" ref="W94:Y94" si="182">IF(W4=0,0,W4/W26*1000000)</f>
        <v>5791914.5176377511</v>
      </c>
      <c r="X94" s="28">
        <f t="shared" si="182"/>
        <v>7822832.0196301956</v>
      </c>
      <c r="Y94" s="28">
        <f t="shared" si="182"/>
        <v>6853367.4157896051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9407086.8866133709</v>
      </c>
      <c r="C95" s="108">
        <f t="shared" si="180"/>
        <v>9406802.7069043759</v>
      </c>
      <c r="D95" s="108">
        <f t="shared" si="180"/>
        <v>9316716.24068374</v>
      </c>
      <c r="E95" s="108">
        <f t="shared" si="180"/>
        <v>9268666.3425899558</v>
      </c>
      <c r="F95" s="108">
        <f t="shared" si="180"/>
        <v>9201907.3492707796</v>
      </c>
      <c r="G95" s="108">
        <f t="shared" si="180"/>
        <v>9976080.9492727853</v>
      </c>
      <c r="H95" s="108">
        <f t="shared" si="180"/>
        <v>10888926.20160934</v>
      </c>
      <c r="I95" s="108">
        <f t="shared" si="180"/>
        <v>9185687.5895636827</v>
      </c>
      <c r="J95" s="108">
        <f t="shared" si="180"/>
        <v>10276475.320512122</v>
      </c>
      <c r="K95" s="108">
        <f t="shared" ref="K95:V95" si="183">IF(K5=0,0,K5/K27*1000000)</f>
        <v>11223506.856652584</v>
      </c>
      <c r="L95" s="108">
        <f t="shared" si="183"/>
        <v>12425294.835042551</v>
      </c>
      <c r="M95" s="108">
        <f t="shared" si="183"/>
        <v>13550167.391934307</v>
      </c>
      <c r="N95" s="108">
        <f t="shared" si="183"/>
        <v>15048513.15637988</v>
      </c>
      <c r="O95" s="108">
        <f t="shared" si="183"/>
        <v>10697092.299630988</v>
      </c>
      <c r="P95" s="108">
        <f t="shared" si="183"/>
        <v>8124372.490539249</v>
      </c>
      <c r="Q95" s="108">
        <f t="shared" si="183"/>
        <v>8585291.084438974</v>
      </c>
      <c r="R95" s="108">
        <f t="shared" si="183"/>
        <v>8630667.7827329338</v>
      </c>
      <c r="S95" s="108">
        <f t="shared" si="183"/>
        <v>8413036.9091040231</v>
      </c>
      <c r="T95" s="108">
        <f t="shared" si="183"/>
        <v>8386468.0880735777</v>
      </c>
      <c r="U95" s="108">
        <f t="shared" si="183"/>
        <v>8853414.6999330595</v>
      </c>
      <c r="V95" s="108">
        <f t="shared" si="183"/>
        <v>6154133.2620141469</v>
      </c>
      <c r="W95" s="108">
        <f t="shared" ref="W95:Y95" si="184">IF(W5=0,0,W5/W27*1000000)</f>
        <v>6415211.2054762337</v>
      </c>
      <c r="X95" s="108">
        <f t="shared" si="184"/>
        <v>7331469.5807091165</v>
      </c>
      <c r="Y95" s="108">
        <f t="shared" si="184"/>
        <v>7658275.848110022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21571812.62714402</v>
      </c>
      <c r="C96" s="110">
        <f t="shared" si="180"/>
        <v>19037921.938570019</v>
      </c>
      <c r="D96" s="110">
        <f t="shared" si="180"/>
        <v>19198322.192119639</v>
      </c>
      <c r="E96" s="110">
        <f t="shared" si="180"/>
        <v>16237544.338605827</v>
      </c>
      <c r="F96" s="110">
        <f t="shared" si="180"/>
        <v>17263515.632780969</v>
      </c>
      <c r="G96" s="110">
        <f t="shared" si="180"/>
        <v>18095765.60256147</v>
      </c>
      <c r="H96" s="110">
        <f t="shared" si="180"/>
        <v>17205884.944693908</v>
      </c>
      <c r="I96" s="110">
        <f t="shared" si="180"/>
        <v>19723305.124783017</v>
      </c>
      <c r="J96" s="110">
        <f t="shared" si="180"/>
        <v>17559392.206806868</v>
      </c>
      <c r="K96" s="110">
        <f t="shared" ref="K96:V96" si="185">IF(K6=0,0,K6/K28*1000000)</f>
        <v>17133334.352535091</v>
      </c>
      <c r="L96" s="110">
        <f t="shared" si="185"/>
        <v>17989150.396100152</v>
      </c>
      <c r="M96" s="110">
        <f t="shared" si="185"/>
        <v>14059953.490906669</v>
      </c>
      <c r="N96" s="110">
        <f t="shared" si="185"/>
        <v>10824018.47618323</v>
      </c>
      <c r="O96" s="110">
        <f t="shared" si="185"/>
        <v>14220077.81533605</v>
      </c>
      <c r="P96" s="110">
        <f t="shared" si="185"/>
        <v>6861572.4922989579</v>
      </c>
      <c r="Q96" s="110">
        <f t="shared" si="185"/>
        <v>7589990.0134841613</v>
      </c>
      <c r="R96" s="110">
        <f t="shared" si="185"/>
        <v>7253802.195739313</v>
      </c>
      <c r="S96" s="110">
        <f t="shared" si="185"/>
        <v>6957238.1801544167</v>
      </c>
      <c r="T96" s="110">
        <f t="shared" si="185"/>
        <v>7200949.2259961236</v>
      </c>
      <c r="U96" s="110">
        <f t="shared" si="185"/>
        <v>8396256.0182361323</v>
      </c>
      <c r="V96" s="110">
        <f t="shared" si="185"/>
        <v>4559340.0999212153</v>
      </c>
      <c r="W96" s="110">
        <f t="shared" ref="W96:Y96" si="186">IF(W6=0,0,W6/W28*1000000)</f>
        <v>4960939.2132167686</v>
      </c>
      <c r="X96" s="110">
        <f t="shared" si="186"/>
        <v>8565574.4028184284</v>
      </c>
      <c r="Y96" s="110">
        <f t="shared" si="186"/>
        <v>5531680.7411091067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17480355.424980223</v>
      </c>
      <c r="C97" s="84">
        <f t="shared" si="180"/>
        <v>18161569.068223432</v>
      </c>
      <c r="D97" s="84">
        <f t="shared" si="180"/>
        <v>17426795.683782134</v>
      </c>
      <c r="E97" s="84">
        <f t="shared" si="180"/>
        <v>15017065.636328209</v>
      </c>
      <c r="F97" s="84">
        <f t="shared" si="180"/>
        <v>15789967.911587583</v>
      </c>
      <c r="G97" s="84">
        <f t="shared" si="180"/>
        <v>17359161.79476101</v>
      </c>
      <c r="H97" s="84">
        <f t="shared" si="180"/>
        <v>17662898.399801396</v>
      </c>
      <c r="I97" s="84">
        <f t="shared" si="180"/>
        <v>19359814.910918534</v>
      </c>
      <c r="J97" s="84">
        <f t="shared" si="180"/>
        <v>16613060.979115242</v>
      </c>
      <c r="K97" s="84">
        <f t="shared" ref="K97:V97" si="187">IF(K7=0,0,K7/K29*1000000)</f>
        <v>16512192.226475477</v>
      </c>
      <c r="L97" s="84">
        <f t="shared" si="187"/>
        <v>19706622.607128296</v>
      </c>
      <c r="M97" s="84">
        <f t="shared" si="187"/>
        <v>15452141.827058764</v>
      </c>
      <c r="N97" s="84">
        <f t="shared" si="187"/>
        <v>10582051.899050279</v>
      </c>
      <c r="O97" s="84">
        <f t="shared" si="187"/>
        <v>11558331.333573645</v>
      </c>
      <c r="P97" s="84">
        <f t="shared" si="187"/>
        <v>6513528.8906737631</v>
      </c>
      <c r="Q97" s="84">
        <f t="shared" si="187"/>
        <v>7498573.0061126789</v>
      </c>
      <c r="R97" s="84">
        <f t="shared" si="187"/>
        <v>7686715.0593857421</v>
      </c>
      <c r="S97" s="84">
        <f t="shared" si="187"/>
        <v>7404358.8654329926</v>
      </c>
      <c r="T97" s="84">
        <f t="shared" si="187"/>
        <v>7459251.4264310934</v>
      </c>
      <c r="U97" s="84">
        <f t="shared" si="187"/>
        <v>4844835.0592986494</v>
      </c>
      <c r="V97" s="84">
        <f t="shared" si="187"/>
        <v>2730604.7756142761</v>
      </c>
      <c r="W97" s="84">
        <f t="shared" ref="W97:Y97" si="188">IF(W7=0,0,W7/W29*1000000)</f>
        <v>2614913.7037890498</v>
      </c>
      <c r="X97" s="84">
        <f t="shared" si="188"/>
        <v>3712032.1350178132</v>
      </c>
      <c r="Y97" s="84">
        <f t="shared" si="188"/>
        <v>2893278.9163640365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72333973.134602353</v>
      </c>
      <c r="C98" s="84">
        <f t="shared" si="180"/>
        <v>30072396.743893187</v>
      </c>
      <c r="D98" s="84">
        <f t="shared" si="180"/>
        <v>45202182.443698049</v>
      </c>
      <c r="E98" s="84">
        <f t="shared" si="180"/>
        <v>36735268.316458598</v>
      </c>
      <c r="F98" s="84">
        <f t="shared" si="180"/>
        <v>45480324.104418807</v>
      </c>
      <c r="G98" s="84">
        <f t="shared" si="180"/>
        <v>35574327.872744113</v>
      </c>
      <c r="H98" s="84">
        <f t="shared" si="180"/>
        <v>3884036.1585839759</v>
      </c>
      <c r="I98" s="84">
        <f t="shared" si="180"/>
        <v>27867236.628990147</v>
      </c>
      <c r="J98" s="84">
        <f t="shared" si="180"/>
        <v>26780117.092815436</v>
      </c>
      <c r="K98" s="84">
        <f t="shared" ref="K98:V98" si="189">IF(K8=0,0,K8/K30*1000000)</f>
        <v>23052860.264374372</v>
      </c>
      <c r="L98" s="84">
        <f t="shared" si="189"/>
        <v>2052326.9086160795</v>
      </c>
      <c r="M98" s="84">
        <f t="shared" si="189"/>
        <v>1557436.8047508169</v>
      </c>
      <c r="N98" s="84">
        <f t="shared" si="189"/>
        <v>13594095.389217813</v>
      </c>
      <c r="O98" s="84">
        <f t="shared" si="189"/>
        <v>28509581.757642452</v>
      </c>
      <c r="P98" s="84">
        <f t="shared" si="189"/>
        <v>8302498.9771028822</v>
      </c>
      <c r="Q98" s="84">
        <f t="shared" si="189"/>
        <v>7885241.6642552689</v>
      </c>
      <c r="R98" s="84">
        <f t="shared" si="189"/>
        <v>5847976.3482586602</v>
      </c>
      <c r="S98" s="84">
        <f t="shared" si="189"/>
        <v>5525543.00517275</v>
      </c>
      <c r="T98" s="84">
        <f t="shared" si="189"/>
        <v>6417030.8256622637</v>
      </c>
      <c r="U98" s="84">
        <f t="shared" si="189"/>
        <v>17487103.435543615</v>
      </c>
      <c r="V98" s="84">
        <f t="shared" si="189"/>
        <v>8955718.5679940227</v>
      </c>
      <c r="W98" s="84">
        <f t="shared" ref="W98:Y98" si="190">IF(W8=0,0,W8/W30*1000000)</f>
        <v>10223839.465938143</v>
      </c>
      <c r="X98" s="84">
        <f t="shared" si="190"/>
        <v>17050190.755753033</v>
      </c>
      <c r="Y98" s="84">
        <f t="shared" si="190"/>
        <v>9752092.3145481404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:Y99" si="192">IF(W9=0,0,W9/W31*1000000)</f>
        <v>0</v>
      </c>
      <c r="X99" s="113">
        <f t="shared" si="192"/>
        <v>0</v>
      </c>
      <c r="Y99" s="113">
        <f t="shared" si="192"/>
        <v>0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119246696.00079533</v>
      </c>
      <c r="C100" s="28">
        <f t="shared" si="180"/>
        <v>110151855.92832939</v>
      </c>
      <c r="D100" s="28">
        <f t="shared" si="180"/>
        <v>96468913.261466444</v>
      </c>
      <c r="E100" s="28">
        <f t="shared" si="180"/>
        <v>106875242.13922046</v>
      </c>
      <c r="F100" s="28">
        <f t="shared" si="180"/>
        <v>107134584.20199212</v>
      </c>
      <c r="G100" s="28">
        <f t="shared" si="180"/>
        <v>118621896.0926373</v>
      </c>
      <c r="H100" s="28">
        <f t="shared" si="180"/>
        <v>134485247.55747771</v>
      </c>
      <c r="I100" s="28">
        <f t="shared" si="180"/>
        <v>131007806.18250155</v>
      </c>
      <c r="J100" s="28">
        <f t="shared" si="180"/>
        <v>95267496.221116588</v>
      </c>
      <c r="K100" s="28">
        <f t="shared" ref="K100:V100" si="193">IF(K10=0,0,K10/K32*1000000)</f>
        <v>69940941.716768831</v>
      </c>
      <c r="L100" s="28">
        <f t="shared" si="193"/>
        <v>81494043.303067729</v>
      </c>
      <c r="M100" s="28">
        <f t="shared" si="193"/>
        <v>49050940.935002908</v>
      </c>
      <c r="N100" s="28">
        <f t="shared" si="193"/>
        <v>41506963.85652788</v>
      </c>
      <c r="O100" s="28">
        <f t="shared" si="193"/>
        <v>36687005.509087928</v>
      </c>
      <c r="P100" s="28">
        <f t="shared" si="193"/>
        <v>50052015.47074002</v>
      </c>
      <c r="Q100" s="28">
        <f t="shared" si="193"/>
        <v>49724124.132385917</v>
      </c>
      <c r="R100" s="28">
        <f t="shared" si="193"/>
        <v>45728334.446236178</v>
      </c>
      <c r="S100" s="28">
        <f t="shared" si="193"/>
        <v>63631039.505455293</v>
      </c>
      <c r="T100" s="28">
        <f t="shared" si="193"/>
        <v>71661697.771005034</v>
      </c>
      <c r="U100" s="28">
        <f t="shared" si="193"/>
        <v>67497736.557571441</v>
      </c>
      <c r="V100" s="28">
        <f t="shared" si="193"/>
        <v>65599114.943832971</v>
      </c>
      <c r="W100" s="28">
        <f t="shared" ref="W100:Y100" si="194">IF(W10=0,0,W10/W32*1000000)</f>
        <v>71336887.835703015</v>
      </c>
      <c r="X100" s="28">
        <f t="shared" si="194"/>
        <v>59140118.176934831</v>
      </c>
      <c r="Y100" s="28">
        <f t="shared" si="194"/>
        <v>28566632.007624988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121160487.10719045</v>
      </c>
      <c r="C101" s="84">
        <f t="shared" si="180"/>
        <v>118086023.12489954</v>
      </c>
      <c r="D101" s="84">
        <f t="shared" si="180"/>
        <v>100960271.06008899</v>
      </c>
      <c r="E101" s="84">
        <f t="shared" si="180"/>
        <v>102268067.27555634</v>
      </c>
      <c r="F101" s="84">
        <f t="shared" si="180"/>
        <v>101947694.87420225</v>
      </c>
      <c r="G101" s="84">
        <f t="shared" si="180"/>
        <v>123074298.96681161</v>
      </c>
      <c r="H101" s="84">
        <f t="shared" si="180"/>
        <v>148407275.58161789</v>
      </c>
      <c r="I101" s="84">
        <f t="shared" si="180"/>
        <v>156040416.88641262</v>
      </c>
      <c r="J101" s="84">
        <f t="shared" si="180"/>
        <v>101231479.51673338</v>
      </c>
      <c r="K101" s="84">
        <f t="shared" ref="K101:V101" si="195">IF(K11=0,0,K11/K33*1000000)</f>
        <v>71269178.365826681</v>
      </c>
      <c r="L101" s="84">
        <f t="shared" si="195"/>
        <v>86709370.946465924</v>
      </c>
      <c r="M101" s="84">
        <f t="shared" si="195"/>
        <v>43482555.146156818</v>
      </c>
      <c r="N101" s="84">
        <f t="shared" si="195"/>
        <v>31382726.843779661</v>
      </c>
      <c r="O101" s="84">
        <f t="shared" si="195"/>
        <v>22295518.728603538</v>
      </c>
      <c r="P101" s="84">
        <f t="shared" si="195"/>
        <v>34458105.428971238</v>
      </c>
      <c r="Q101" s="84">
        <f t="shared" si="195"/>
        <v>33889395.153237931</v>
      </c>
      <c r="R101" s="84">
        <f t="shared" si="195"/>
        <v>31822257.902672593</v>
      </c>
      <c r="S101" s="84">
        <f t="shared" si="195"/>
        <v>47531124.48596146</v>
      </c>
      <c r="T101" s="84">
        <f t="shared" si="195"/>
        <v>56058183.960016489</v>
      </c>
      <c r="U101" s="84">
        <f t="shared" si="195"/>
        <v>42229990.786332399</v>
      </c>
      <c r="V101" s="84">
        <f t="shared" si="195"/>
        <v>44940127.122157462</v>
      </c>
      <c r="W101" s="84">
        <f t="shared" ref="W101:Y101" si="196">IF(W11=0,0,W11/W33*1000000)</f>
        <v>44105454.778292552</v>
      </c>
      <c r="X101" s="84">
        <f t="shared" si="196"/>
        <v>35929342.954229571</v>
      </c>
      <c r="Y101" s="84">
        <f t="shared" si="196"/>
        <v>13947071.712987851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113646840.96034892</v>
      </c>
      <c r="C102" s="86">
        <f t="shared" si="180"/>
        <v>91966240.668707862</v>
      </c>
      <c r="D102" s="86">
        <f t="shared" si="180"/>
        <v>85046947.812972307</v>
      </c>
      <c r="E102" s="86">
        <f t="shared" si="180"/>
        <v>123330300.55307652</v>
      </c>
      <c r="F102" s="86">
        <f t="shared" si="180"/>
        <v>125726684.32183698</v>
      </c>
      <c r="G102" s="86">
        <f t="shared" si="180"/>
        <v>102422545.71801133</v>
      </c>
      <c r="H102" s="86">
        <f t="shared" si="180"/>
        <v>81411803.755386278</v>
      </c>
      <c r="I102" s="86">
        <f t="shared" si="180"/>
        <v>75820042.841214508</v>
      </c>
      <c r="J102" s="86">
        <f t="shared" si="180"/>
        <v>75302207.90287593</v>
      </c>
      <c r="K102" s="86">
        <f t="shared" ref="K102:V102" si="197">IF(K12=0,0,K12/K34*1000000)</f>
        <v>65466207.575905852</v>
      </c>
      <c r="L102" s="86">
        <f t="shared" si="197"/>
        <v>63801163.643856414</v>
      </c>
      <c r="M102" s="86">
        <f t="shared" si="197"/>
        <v>68087418.795129552</v>
      </c>
      <c r="N102" s="86">
        <f t="shared" si="197"/>
        <v>76415146.292679146</v>
      </c>
      <c r="O102" s="86">
        <f t="shared" si="197"/>
        <v>86783785.227172896</v>
      </c>
      <c r="P102" s="86">
        <f t="shared" si="197"/>
        <v>100732108.44624798</v>
      </c>
      <c r="Q102" s="86">
        <f t="shared" si="197"/>
        <v>99454254.100666076</v>
      </c>
      <c r="R102" s="86">
        <f t="shared" si="197"/>
        <v>89604921.527058065</v>
      </c>
      <c r="S102" s="86">
        <f t="shared" si="197"/>
        <v>101600290.38397199</v>
      </c>
      <c r="T102" s="86">
        <f t="shared" si="197"/>
        <v>100269298.08213562</v>
      </c>
      <c r="U102" s="86">
        <f t="shared" si="197"/>
        <v>89883050.27154161</v>
      </c>
      <c r="V102" s="86">
        <f t="shared" si="197"/>
        <v>77855080.645656154</v>
      </c>
      <c r="W102" s="86">
        <f t="shared" ref="W102:Y102" si="198">IF(W12=0,0,W12/W34*1000000)</f>
        <v>86381802.572658718</v>
      </c>
      <c r="X102" s="86">
        <f t="shared" si="198"/>
        <v>70983776.918179482</v>
      </c>
      <c r="Y102" s="86">
        <f t="shared" si="198"/>
        <v>35386929.630622968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0.38686605981794536</v>
      </c>
      <c r="C106" s="123">
        <f t="shared" si="199"/>
        <v>0.43223919402014949</v>
      </c>
      <c r="D106" s="123">
        <f t="shared" si="199"/>
        <v>0.42372881355932202</v>
      </c>
      <c r="E106" s="123">
        <f t="shared" si="199"/>
        <v>0.47074646940147946</v>
      </c>
      <c r="F106" s="123">
        <f t="shared" si="199"/>
        <v>0.47348484848484851</v>
      </c>
      <c r="G106" s="123">
        <f t="shared" si="199"/>
        <v>0.44722719141323791</v>
      </c>
      <c r="H106" s="123">
        <f t="shared" si="199"/>
        <v>0.46117227015769119</v>
      </c>
      <c r="I106" s="123">
        <f t="shared" si="199"/>
        <v>0.45325779036827196</v>
      </c>
      <c r="J106" s="123">
        <f t="shared" si="199"/>
        <v>0.50045221585770272</v>
      </c>
      <c r="K106" s="123">
        <f t="shared" ref="K106:V106" si="202">IF(K5=0,0,K5/K$4)</f>
        <v>0.5325047801147228</v>
      </c>
      <c r="L106" s="123">
        <f t="shared" si="202"/>
        <v>0.55035306037961851</v>
      </c>
      <c r="M106" s="123">
        <f t="shared" si="202"/>
        <v>0.6360987275768254</v>
      </c>
      <c r="N106" s="123">
        <f t="shared" si="202"/>
        <v>0.6673848396374612</v>
      </c>
      <c r="O106" s="123">
        <f t="shared" si="202"/>
        <v>0.61176620407411686</v>
      </c>
      <c r="P106" s="123">
        <f t="shared" si="202"/>
        <v>0.60793908403294705</v>
      </c>
      <c r="Q106" s="123">
        <f t="shared" si="202"/>
        <v>0.56995542591300474</v>
      </c>
      <c r="R106" s="123">
        <f t="shared" si="202"/>
        <v>0.58113976404600298</v>
      </c>
      <c r="S106" s="123">
        <f t="shared" si="202"/>
        <v>0.60293487977428561</v>
      </c>
      <c r="T106" s="123">
        <f t="shared" si="202"/>
        <v>0.60563873218804398</v>
      </c>
      <c r="U106" s="123">
        <f t="shared" si="202"/>
        <v>0.57267707290961289</v>
      </c>
      <c r="V106" s="123">
        <f t="shared" si="202"/>
        <v>0.62972820621432735</v>
      </c>
      <c r="W106" s="123">
        <f t="shared" ref="W106:Y106" si="203">IF(W5=0,0,W5/W$4)</f>
        <v>0.6328944578582627</v>
      </c>
      <c r="X106" s="123">
        <f t="shared" si="203"/>
        <v>0.56404426756674364</v>
      </c>
      <c r="Y106" s="123">
        <f t="shared" si="203"/>
        <v>0.69449750707827052</v>
      </c>
      <c r="DA106" s="203"/>
    </row>
    <row r="107" spans="1:105" ht="11.45" customHeight="1" x14ac:dyDescent="0.25">
      <c r="A107" s="109" t="s">
        <v>24</v>
      </c>
      <c r="B107" s="124">
        <f t="shared" si="199"/>
        <v>0.61313394018205458</v>
      </c>
      <c r="C107" s="124">
        <f t="shared" si="199"/>
        <v>0.56776080597985046</v>
      </c>
      <c r="D107" s="124">
        <f t="shared" si="199"/>
        <v>0.57627118644067798</v>
      </c>
      <c r="E107" s="124">
        <f t="shared" si="199"/>
        <v>0.52925353059852054</v>
      </c>
      <c r="F107" s="124">
        <f t="shared" si="199"/>
        <v>0.52651515151515149</v>
      </c>
      <c r="G107" s="124">
        <f t="shared" si="199"/>
        <v>0.55277280858676203</v>
      </c>
      <c r="H107" s="124">
        <f t="shared" si="199"/>
        <v>0.53882772984230887</v>
      </c>
      <c r="I107" s="124">
        <f t="shared" si="199"/>
        <v>0.54674220963172804</v>
      </c>
      <c r="J107" s="124">
        <f t="shared" si="199"/>
        <v>0.49954778414229728</v>
      </c>
      <c r="K107" s="124">
        <f t="shared" ref="K107:V107" si="204">IF(K6=0,0,K6/K$4)</f>
        <v>0.46749521988527726</v>
      </c>
      <c r="L107" s="124">
        <f t="shared" si="204"/>
        <v>0.44964693962038149</v>
      </c>
      <c r="M107" s="124">
        <f t="shared" si="204"/>
        <v>0.36390127242317449</v>
      </c>
      <c r="N107" s="124">
        <f t="shared" si="204"/>
        <v>0.33261516036253891</v>
      </c>
      <c r="O107" s="124">
        <f t="shared" si="204"/>
        <v>0.3882337959258832</v>
      </c>
      <c r="P107" s="124">
        <f t="shared" si="204"/>
        <v>0.39206091596705306</v>
      </c>
      <c r="Q107" s="124">
        <f t="shared" si="204"/>
        <v>0.43004457408699526</v>
      </c>
      <c r="R107" s="124">
        <f t="shared" si="204"/>
        <v>0.41886023595399696</v>
      </c>
      <c r="S107" s="124">
        <f t="shared" si="204"/>
        <v>0.39706512022571444</v>
      </c>
      <c r="T107" s="124">
        <f t="shared" si="204"/>
        <v>0.39436126781195591</v>
      </c>
      <c r="U107" s="124">
        <f t="shared" si="204"/>
        <v>0.42732292709038716</v>
      </c>
      <c r="V107" s="124">
        <f t="shared" si="204"/>
        <v>0.3702717937856726</v>
      </c>
      <c r="W107" s="124">
        <f t="shared" ref="W107:Y107" si="205">IF(W6=0,0,W6/W$4)</f>
        <v>0.36710554214173724</v>
      </c>
      <c r="X107" s="124">
        <f t="shared" si="205"/>
        <v>0.43595573243325647</v>
      </c>
      <c r="Y107" s="124">
        <f t="shared" si="205"/>
        <v>0.30550249292172948</v>
      </c>
      <c r="DA107" s="176"/>
    </row>
    <row r="108" spans="1:105" ht="11.45" customHeight="1" x14ac:dyDescent="0.25">
      <c r="A108" s="111" t="s">
        <v>92</v>
      </c>
      <c r="B108" s="125">
        <f t="shared" si="199"/>
        <v>0.45978394182663807</v>
      </c>
      <c r="C108" s="125">
        <f t="shared" si="199"/>
        <v>0.50177493075882995</v>
      </c>
      <c r="D108" s="125">
        <f t="shared" si="199"/>
        <v>0.48973244522967069</v>
      </c>
      <c r="E108" s="125">
        <f t="shared" si="199"/>
        <v>0.46196625357703219</v>
      </c>
      <c r="F108" s="125">
        <f t="shared" si="199"/>
        <v>0.45767307221677045</v>
      </c>
      <c r="G108" s="125">
        <f t="shared" si="199"/>
        <v>0.50882803440454971</v>
      </c>
      <c r="H108" s="125">
        <f t="shared" si="199"/>
        <v>0.53479339616075161</v>
      </c>
      <c r="I108" s="125">
        <f t="shared" si="199"/>
        <v>0.5137363098291613</v>
      </c>
      <c r="J108" s="125">
        <f t="shared" si="199"/>
        <v>0.42863443776030935</v>
      </c>
      <c r="K108" s="125">
        <f t="shared" ref="K108:V108" si="206">IF(K7=0,0,K7/K$4)</f>
        <v>0.40776020464842161</v>
      </c>
      <c r="L108" s="125">
        <f t="shared" si="206"/>
        <v>0.44465640754912311</v>
      </c>
      <c r="M108" s="125">
        <f t="shared" si="206"/>
        <v>0.35986241257386076</v>
      </c>
      <c r="N108" s="125">
        <f t="shared" si="206"/>
        <v>0.29905701344825508</v>
      </c>
      <c r="O108" s="125">
        <f t="shared" si="206"/>
        <v>0.26601242232524835</v>
      </c>
      <c r="P108" s="125">
        <f t="shared" si="206"/>
        <v>0.2997678017688713</v>
      </c>
      <c r="Q108" s="125">
        <f t="shared" si="206"/>
        <v>0.32441748661715802</v>
      </c>
      <c r="R108" s="125">
        <f t="shared" si="206"/>
        <v>0.33935614006403564</v>
      </c>
      <c r="S108" s="125">
        <f t="shared" si="206"/>
        <v>0.32201690388765819</v>
      </c>
      <c r="T108" s="125">
        <f t="shared" si="206"/>
        <v>0.30726348822280142</v>
      </c>
      <c r="U108" s="125">
        <f t="shared" si="206"/>
        <v>0.17730822461643395</v>
      </c>
      <c r="V108" s="125">
        <f t="shared" si="206"/>
        <v>0.15661208227624743</v>
      </c>
      <c r="W108" s="125">
        <f t="shared" ref="W108:Y108" si="207">IF(W7=0,0,W7/W$4)</f>
        <v>0.13384008031384126</v>
      </c>
      <c r="X108" s="125">
        <f t="shared" si="207"/>
        <v>0.12018048709369628</v>
      </c>
      <c r="Y108" s="125">
        <f t="shared" si="207"/>
        <v>9.832269445011918E-2</v>
      </c>
      <c r="DA108" s="171"/>
    </row>
    <row r="109" spans="1:105" ht="11.45" customHeight="1" x14ac:dyDescent="0.25">
      <c r="A109" s="111" t="s">
        <v>93</v>
      </c>
      <c r="B109" s="125">
        <f t="shared" si="199"/>
        <v>0.15334999835541657</v>
      </c>
      <c r="C109" s="125">
        <f t="shared" si="199"/>
        <v>6.5985875221020604E-2</v>
      </c>
      <c r="D109" s="125">
        <f t="shared" si="199"/>
        <v>8.6538741211007256E-2</v>
      </c>
      <c r="E109" s="125">
        <f t="shared" si="199"/>
        <v>6.7287277021488318E-2</v>
      </c>
      <c r="F109" s="125">
        <f t="shared" si="199"/>
        <v>6.8842079298381084E-2</v>
      </c>
      <c r="G109" s="125">
        <f t="shared" si="199"/>
        <v>4.3944774182212348E-2</v>
      </c>
      <c r="H109" s="125">
        <f t="shared" si="199"/>
        <v>4.0343336815572327E-3</v>
      </c>
      <c r="I109" s="125">
        <f t="shared" si="199"/>
        <v>3.3005899802566754E-2</v>
      </c>
      <c r="J109" s="125">
        <f t="shared" si="199"/>
        <v>7.091334638198793E-2</v>
      </c>
      <c r="K109" s="125">
        <f t="shared" ref="K109:V109" si="208">IF(K8=0,0,K8/K$4)</f>
        <v>5.9735015236855649E-2</v>
      </c>
      <c r="L109" s="125">
        <f t="shared" si="208"/>
        <v>4.9905320712583454E-3</v>
      </c>
      <c r="M109" s="125">
        <f t="shared" si="208"/>
        <v>4.0388598493137466E-3</v>
      </c>
      <c r="N109" s="125">
        <f t="shared" si="208"/>
        <v>3.3558146914283798E-2</v>
      </c>
      <c r="O109" s="125">
        <f t="shared" si="208"/>
        <v>0.12222137360063486</v>
      </c>
      <c r="P109" s="125">
        <f t="shared" si="208"/>
        <v>9.2293114198181744E-2</v>
      </c>
      <c r="Q109" s="125">
        <f t="shared" si="208"/>
        <v>0.10562708746983727</v>
      </c>
      <c r="R109" s="125">
        <f t="shared" si="208"/>
        <v>7.9504095889961324E-2</v>
      </c>
      <c r="S109" s="125">
        <f t="shared" si="208"/>
        <v>7.5048216338056292E-2</v>
      </c>
      <c r="T109" s="125">
        <f t="shared" si="208"/>
        <v>8.7097779589154475E-2</v>
      </c>
      <c r="U109" s="125">
        <f t="shared" si="208"/>
        <v>0.25001470247395324</v>
      </c>
      <c r="V109" s="125">
        <f t="shared" si="208"/>
        <v>0.2136597115094252</v>
      </c>
      <c r="W109" s="125">
        <f t="shared" ref="W109:Y109" si="209">IF(W8=0,0,W8/W$4)</f>
        <v>0.23326546182789598</v>
      </c>
      <c r="X109" s="125">
        <f t="shared" si="209"/>
        <v>0.3157752453395602</v>
      </c>
      <c r="Y109" s="125">
        <f t="shared" si="209"/>
        <v>0.2071797984716103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:Y110" si="211">IF(W9=0,0,W9/W$4)</f>
        <v>0</v>
      </c>
      <c r="X110" s="126">
        <f t="shared" si="211"/>
        <v>0</v>
      </c>
      <c r="Y110" s="126">
        <f t="shared" si="211"/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0.75725247692351361</v>
      </c>
      <c r="C112" s="125">
        <f t="shared" si="212"/>
        <v>0.74638881238709209</v>
      </c>
      <c r="D112" s="125">
        <f t="shared" si="212"/>
        <v>0.75117837885775518</v>
      </c>
      <c r="E112" s="125">
        <f t="shared" si="212"/>
        <v>0.74758046887262619</v>
      </c>
      <c r="F112" s="125">
        <f t="shared" si="212"/>
        <v>0.74401686032608882</v>
      </c>
      <c r="G112" s="125">
        <f t="shared" si="212"/>
        <v>0.81384777503590877</v>
      </c>
      <c r="H112" s="125">
        <f t="shared" si="212"/>
        <v>0.87420314492137696</v>
      </c>
      <c r="I112" s="125">
        <f t="shared" si="212"/>
        <v>0.81940392214794833</v>
      </c>
      <c r="J112" s="125">
        <f t="shared" si="212"/>
        <v>0.81819364490844626</v>
      </c>
      <c r="K112" s="125">
        <f t="shared" ref="K112:V112" si="215">IF(K11=0,0,K11/K$10)</f>
        <v>0.7857549570121245</v>
      </c>
      <c r="L112" s="125">
        <f t="shared" si="215"/>
        <v>0.82176490298741878</v>
      </c>
      <c r="M112" s="125">
        <f t="shared" si="215"/>
        <v>0.68585664234962818</v>
      </c>
      <c r="N112" s="125">
        <f t="shared" si="215"/>
        <v>0.58609992527845889</v>
      </c>
      <c r="O112" s="125">
        <f t="shared" si="215"/>
        <v>0.47210045946035983</v>
      </c>
      <c r="P112" s="125">
        <f t="shared" si="215"/>
        <v>0.52645835819418829</v>
      </c>
      <c r="Q112" s="125">
        <f t="shared" si="215"/>
        <v>0.51694595191620296</v>
      </c>
      <c r="R112" s="125">
        <f t="shared" si="215"/>
        <v>0.52842199791323108</v>
      </c>
      <c r="S112" s="125">
        <f t="shared" si="215"/>
        <v>0.52455548135463304</v>
      </c>
      <c r="T112" s="125">
        <f t="shared" si="215"/>
        <v>0.50617641028440097</v>
      </c>
      <c r="U112" s="125">
        <f t="shared" si="215"/>
        <v>0.29390310420665927</v>
      </c>
      <c r="V112" s="125">
        <f t="shared" si="215"/>
        <v>0.25508833983876994</v>
      </c>
      <c r="W112" s="125">
        <f t="shared" ref="W112:Y112" si="216">IF(W11=0,0,W11/W$10)</f>
        <v>0.22002418174033253</v>
      </c>
      <c r="X112" s="125">
        <f t="shared" si="216"/>
        <v>0.20526268888222524</v>
      </c>
      <c r="Y112" s="125">
        <f t="shared" si="216"/>
        <v>0.15531214490079301</v>
      </c>
      <c r="DA112" s="171"/>
    </row>
    <row r="113" spans="1:105" ht="11.45" customHeight="1" x14ac:dyDescent="0.25">
      <c r="A113" s="85" t="s">
        <v>93</v>
      </c>
      <c r="B113" s="127">
        <f t="shared" si="212"/>
        <v>0.24274752307648637</v>
      </c>
      <c r="C113" s="127">
        <f t="shared" si="212"/>
        <v>0.25361118761290785</v>
      </c>
      <c r="D113" s="127">
        <f t="shared" si="212"/>
        <v>0.24882162114224482</v>
      </c>
      <c r="E113" s="127">
        <f t="shared" si="212"/>
        <v>0.25241953112737381</v>
      </c>
      <c r="F113" s="127">
        <f t="shared" si="212"/>
        <v>0.25598313967391118</v>
      </c>
      <c r="G113" s="127">
        <f t="shared" si="212"/>
        <v>0.18615222496409126</v>
      </c>
      <c r="H113" s="127">
        <f t="shared" si="212"/>
        <v>0.12579685507862304</v>
      </c>
      <c r="I113" s="127">
        <f t="shared" si="212"/>
        <v>0.18059607785205162</v>
      </c>
      <c r="J113" s="127">
        <f t="shared" si="212"/>
        <v>0.18180635509155371</v>
      </c>
      <c r="K113" s="127">
        <f t="shared" ref="K113:V113" si="217">IF(K12=0,0,K12/K$10)</f>
        <v>0.21424504298787547</v>
      </c>
      <c r="L113" s="127">
        <f t="shared" si="217"/>
        <v>0.17823509701258122</v>
      </c>
      <c r="M113" s="127">
        <f t="shared" si="217"/>
        <v>0.31414335765037182</v>
      </c>
      <c r="N113" s="127">
        <f t="shared" si="217"/>
        <v>0.41390007472154111</v>
      </c>
      <c r="O113" s="127">
        <f t="shared" si="217"/>
        <v>0.52789954053964017</v>
      </c>
      <c r="P113" s="127">
        <f t="shared" si="217"/>
        <v>0.47354164180581176</v>
      </c>
      <c r="Q113" s="127">
        <f t="shared" si="217"/>
        <v>0.48305404808379709</v>
      </c>
      <c r="R113" s="127">
        <f t="shared" si="217"/>
        <v>0.47157800208676887</v>
      </c>
      <c r="S113" s="127">
        <f t="shared" si="217"/>
        <v>0.47544451864536696</v>
      </c>
      <c r="T113" s="127">
        <f t="shared" si="217"/>
        <v>0.49382358971559903</v>
      </c>
      <c r="U113" s="127">
        <f t="shared" si="217"/>
        <v>0.70609689579334067</v>
      </c>
      <c r="V113" s="127">
        <f t="shared" si="217"/>
        <v>0.74491166016123012</v>
      </c>
      <c r="W113" s="127">
        <f t="shared" ref="W113:Y113" si="218">IF(W12=0,0,W12/W$10)</f>
        <v>0.77997581825966755</v>
      </c>
      <c r="X113" s="127">
        <f t="shared" si="218"/>
        <v>0.79473731111777479</v>
      </c>
      <c r="Y113" s="127">
        <f t="shared" si="218"/>
        <v>0.84468785509920696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0.51481175641922805</v>
      </c>
      <c r="C117" s="123">
        <f t="shared" si="219"/>
        <v>0.53049304940077768</v>
      </c>
      <c r="D117" s="123">
        <f t="shared" si="219"/>
        <v>0.52683553157637775</v>
      </c>
      <c r="E117" s="123">
        <f t="shared" si="219"/>
        <v>0.53369127087430612</v>
      </c>
      <c r="F117" s="123">
        <f t="shared" si="219"/>
        <v>0.55429719027070834</v>
      </c>
      <c r="G117" s="123">
        <f t="shared" si="219"/>
        <v>0.38083192034463043</v>
      </c>
      <c r="H117" s="123">
        <f t="shared" si="219"/>
        <v>0.50580670628135704</v>
      </c>
      <c r="I117" s="123">
        <f t="shared" si="219"/>
        <v>0.57455829516393531</v>
      </c>
      <c r="J117" s="123">
        <f t="shared" si="219"/>
        <v>0.48018389473910056</v>
      </c>
      <c r="K117" s="123">
        <f t="shared" ref="K117:V117" si="222">IF(K16=0,0,K16/K$15)</f>
        <v>0.54596355200884661</v>
      </c>
      <c r="L117" s="123">
        <f t="shared" si="222"/>
        <v>0.53920594626376517</v>
      </c>
      <c r="M117" s="123">
        <f t="shared" si="222"/>
        <v>0.6567766297504154</v>
      </c>
      <c r="N117" s="123">
        <f t="shared" si="222"/>
        <v>0.48811407820837166</v>
      </c>
      <c r="O117" s="123">
        <f t="shared" si="222"/>
        <v>0.64452282969832952</v>
      </c>
      <c r="P117" s="123">
        <f t="shared" si="222"/>
        <v>0.48989404849110418</v>
      </c>
      <c r="Q117" s="123">
        <f t="shared" si="222"/>
        <v>0.46214613241570163</v>
      </c>
      <c r="R117" s="123">
        <f t="shared" si="222"/>
        <v>0.46978839381799986</v>
      </c>
      <c r="S117" s="123">
        <f t="shared" si="222"/>
        <v>0.48976163757543872</v>
      </c>
      <c r="T117" s="123">
        <f t="shared" si="222"/>
        <v>0.49161446315426971</v>
      </c>
      <c r="U117" s="123">
        <f t="shared" si="222"/>
        <v>0.64273997209007194</v>
      </c>
      <c r="V117" s="123">
        <f t="shared" si="222"/>
        <v>0.72866614712793787</v>
      </c>
      <c r="W117" s="123">
        <f t="shared" ref="W117:Y117" si="223">IF(W16=0,0,W16/W$15)</f>
        <v>0.69822376372087369</v>
      </c>
      <c r="X117" s="123">
        <f t="shared" si="223"/>
        <v>0.68493023621294691</v>
      </c>
      <c r="Y117" s="123">
        <f t="shared" si="223"/>
        <v>0.74687768882010164</v>
      </c>
      <c r="DA117" s="203"/>
    </row>
    <row r="118" spans="1:105" ht="11.45" customHeight="1" x14ac:dyDescent="0.25">
      <c r="A118" s="109" t="s">
        <v>24</v>
      </c>
      <c r="B118" s="124">
        <f t="shared" si="219"/>
        <v>0.48518824358077195</v>
      </c>
      <c r="C118" s="124">
        <f t="shared" si="219"/>
        <v>0.46950695059922232</v>
      </c>
      <c r="D118" s="124">
        <f t="shared" si="219"/>
        <v>0.47316446842362225</v>
      </c>
      <c r="E118" s="124">
        <f t="shared" si="219"/>
        <v>0.46630872912569393</v>
      </c>
      <c r="F118" s="124">
        <f t="shared" si="219"/>
        <v>0.44570280972929166</v>
      </c>
      <c r="G118" s="124">
        <f t="shared" si="219"/>
        <v>0.61916807965536969</v>
      </c>
      <c r="H118" s="124">
        <f t="shared" si="219"/>
        <v>0.49419329371864301</v>
      </c>
      <c r="I118" s="124">
        <f t="shared" si="219"/>
        <v>0.42544170483606464</v>
      </c>
      <c r="J118" s="124">
        <f t="shared" si="219"/>
        <v>0.5198161052608995</v>
      </c>
      <c r="K118" s="124">
        <f t="shared" ref="K118:V118" si="224">IF(K17=0,0,K17/K$15)</f>
        <v>0.45403644799115339</v>
      </c>
      <c r="L118" s="124">
        <f t="shared" si="224"/>
        <v>0.46079405373623478</v>
      </c>
      <c r="M118" s="124">
        <f t="shared" si="224"/>
        <v>0.34322337024958466</v>
      </c>
      <c r="N118" s="124">
        <f t="shared" si="224"/>
        <v>0.5118859217916284</v>
      </c>
      <c r="O118" s="124">
        <f t="shared" si="224"/>
        <v>0.35547717030167048</v>
      </c>
      <c r="P118" s="124">
        <f t="shared" si="224"/>
        <v>0.51010595150889571</v>
      </c>
      <c r="Q118" s="124">
        <f t="shared" si="224"/>
        <v>0.53785386758429832</v>
      </c>
      <c r="R118" s="124">
        <f t="shared" si="224"/>
        <v>0.53021160618200014</v>
      </c>
      <c r="S118" s="124">
        <f t="shared" si="224"/>
        <v>0.51023836242456122</v>
      </c>
      <c r="T118" s="124">
        <f t="shared" si="224"/>
        <v>0.50838553684573029</v>
      </c>
      <c r="U118" s="124">
        <f t="shared" si="224"/>
        <v>0.35726002790992806</v>
      </c>
      <c r="V118" s="124">
        <f t="shared" si="224"/>
        <v>0.27133385287206213</v>
      </c>
      <c r="W118" s="124">
        <f t="shared" ref="W118:Y118" si="225">IF(W17=0,0,W17/W$15)</f>
        <v>0.30177623627912636</v>
      </c>
      <c r="X118" s="124">
        <f t="shared" si="225"/>
        <v>0.31506976378705309</v>
      </c>
      <c r="Y118" s="124">
        <f t="shared" si="225"/>
        <v>0.25312231117989842</v>
      </c>
      <c r="DA118" s="176"/>
    </row>
    <row r="119" spans="1:105" ht="11.45" customHeight="1" x14ac:dyDescent="0.25">
      <c r="A119" s="111" t="s">
        <v>92</v>
      </c>
      <c r="B119" s="125">
        <f t="shared" si="219"/>
        <v>0.44899871020304294</v>
      </c>
      <c r="C119" s="125">
        <f t="shared" si="219"/>
        <v>0.4349624399134211</v>
      </c>
      <c r="D119" s="125">
        <f t="shared" si="219"/>
        <v>0.44390479779329894</v>
      </c>
      <c r="E119" s="125">
        <f t="shared" si="219"/>
        <v>0.44080247592610733</v>
      </c>
      <c r="F119" s="125">
        <f t="shared" si="219"/>
        <v>0.42578183834211836</v>
      </c>
      <c r="G119" s="125">
        <f t="shared" si="219"/>
        <v>0.60322493627097362</v>
      </c>
      <c r="H119" s="125">
        <f t="shared" si="219"/>
        <v>0.49309328708929789</v>
      </c>
      <c r="I119" s="125">
        <f t="shared" si="219"/>
        <v>0.40663569155539009</v>
      </c>
      <c r="J119" s="125">
        <f t="shared" si="219"/>
        <v>0.47121129320657001</v>
      </c>
      <c r="K119" s="125">
        <f t="shared" ref="K119:V119" si="226">IF(K18=0,0,K18/K$15)</f>
        <v>0.41578917693723544</v>
      </c>
      <c r="L119" s="125">
        <f t="shared" si="226"/>
        <v>0.45503534715280836</v>
      </c>
      <c r="M119" s="125">
        <f t="shared" si="226"/>
        <v>0.33976856913604037</v>
      </c>
      <c r="N119" s="125">
        <f t="shared" si="226"/>
        <v>0.49186456529688205</v>
      </c>
      <c r="O119" s="125">
        <f t="shared" si="226"/>
        <v>0.28959415760180263</v>
      </c>
      <c r="P119" s="125">
        <f t="shared" si="226"/>
        <v>0.41086499085988493</v>
      </c>
      <c r="Q119" s="125">
        <f t="shared" si="226"/>
        <v>0.41069333916313178</v>
      </c>
      <c r="R119" s="125">
        <f t="shared" si="226"/>
        <v>0.4200293044619407</v>
      </c>
      <c r="S119" s="125">
        <f t="shared" si="226"/>
        <v>0.40528164488853696</v>
      </c>
      <c r="T119" s="125">
        <f t="shared" si="226"/>
        <v>0.38238812017125645</v>
      </c>
      <c r="U119" s="125">
        <f t="shared" si="226"/>
        <v>0.15010084715716954</v>
      </c>
      <c r="V119" s="125">
        <f t="shared" si="226"/>
        <v>0.11144864777600229</v>
      </c>
      <c r="W119" s="125">
        <f t="shared" ref="W119:Y119" si="227">IF(W18=0,0,W18/W$15)</f>
        <v>9.3780030853328325E-2</v>
      </c>
      <c r="X119" s="125">
        <f t="shared" si="227"/>
        <v>9.0230788646063459E-2</v>
      </c>
      <c r="Y119" s="125">
        <f t="shared" si="227"/>
        <v>6.1255691936591028E-2</v>
      </c>
      <c r="DA119" s="171"/>
    </row>
    <row r="120" spans="1:105" ht="11.45" customHeight="1" x14ac:dyDescent="0.25">
      <c r="A120" s="111" t="s">
        <v>93</v>
      </c>
      <c r="B120" s="125">
        <f t="shared" si="219"/>
        <v>3.6189533377728976E-2</v>
      </c>
      <c r="C120" s="125">
        <f t="shared" si="219"/>
        <v>3.4544510685801194E-2</v>
      </c>
      <c r="D120" s="125">
        <f t="shared" si="219"/>
        <v>2.9259670630323323E-2</v>
      </c>
      <c r="E120" s="125">
        <f t="shared" si="219"/>
        <v>2.5506253199586583E-2</v>
      </c>
      <c r="F120" s="125">
        <f t="shared" si="219"/>
        <v>1.9920971387173348E-2</v>
      </c>
      <c r="G120" s="125">
        <f t="shared" si="219"/>
        <v>1.5943143384396043E-2</v>
      </c>
      <c r="H120" s="125">
        <f t="shared" si="219"/>
        <v>1.1000066293451259E-3</v>
      </c>
      <c r="I120" s="125">
        <f t="shared" si="219"/>
        <v>1.8806013280674549E-2</v>
      </c>
      <c r="J120" s="125">
        <f t="shared" si="219"/>
        <v>4.8604812054329483E-2</v>
      </c>
      <c r="K120" s="125">
        <f t="shared" ref="K120:V120" si="228">IF(K19=0,0,K19/K$15)</f>
        <v>3.8247271053917939E-2</v>
      </c>
      <c r="L120" s="125">
        <f t="shared" si="228"/>
        <v>5.7587065834264076E-3</v>
      </c>
      <c r="M120" s="125">
        <f t="shared" si="228"/>
        <v>3.4548011135442864E-3</v>
      </c>
      <c r="N120" s="125">
        <f t="shared" si="228"/>
        <v>2.002135649474638E-2</v>
      </c>
      <c r="O120" s="125">
        <f t="shared" si="228"/>
        <v>6.5883012699867849E-2</v>
      </c>
      <c r="P120" s="125">
        <f t="shared" si="228"/>
        <v>9.924096064901082E-2</v>
      </c>
      <c r="Q120" s="125">
        <f t="shared" si="228"/>
        <v>0.1271605284211666</v>
      </c>
      <c r="R120" s="125">
        <f t="shared" si="228"/>
        <v>0.11018230172005941</v>
      </c>
      <c r="S120" s="125">
        <f t="shared" si="228"/>
        <v>0.10495671753602429</v>
      </c>
      <c r="T120" s="125">
        <f t="shared" si="228"/>
        <v>0.12599741667447389</v>
      </c>
      <c r="U120" s="125">
        <f t="shared" si="228"/>
        <v>0.20715918075275852</v>
      </c>
      <c r="V120" s="125">
        <f t="shared" si="228"/>
        <v>0.15988520509605986</v>
      </c>
      <c r="W120" s="125">
        <f t="shared" ref="W120:Y120" si="229">IF(W19=0,0,W19/W$15)</f>
        <v>0.20799620542579803</v>
      </c>
      <c r="X120" s="125">
        <f t="shared" si="229"/>
        <v>0.22483897514098963</v>
      </c>
      <c r="Y120" s="125">
        <f t="shared" si="229"/>
        <v>0.19186661924330739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:Y121" si="231">IF(W20=0,0,W20/W$15)</f>
        <v>0</v>
      </c>
      <c r="X121" s="126">
        <f t="shared" si="231"/>
        <v>0</v>
      </c>
      <c r="Y121" s="126">
        <f t="shared" si="231"/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0.74529124278906989</v>
      </c>
      <c r="C123" s="125">
        <f t="shared" si="232"/>
        <v>0.6894956096904139</v>
      </c>
      <c r="D123" s="125">
        <f t="shared" si="232"/>
        <v>0.78865280877593857</v>
      </c>
      <c r="E123" s="125">
        <f t="shared" si="232"/>
        <v>0.78125901877879889</v>
      </c>
      <c r="F123" s="125">
        <f t="shared" si="232"/>
        <v>0.78187095129149231</v>
      </c>
      <c r="G123" s="125">
        <f t="shared" si="232"/>
        <v>0.84742267496062418</v>
      </c>
      <c r="H123" s="125">
        <f t="shared" si="232"/>
        <v>0.900177488282209</v>
      </c>
      <c r="I123" s="125">
        <f t="shared" si="232"/>
        <v>0.68795203203244892</v>
      </c>
      <c r="J123" s="125">
        <f t="shared" si="232"/>
        <v>0.8437640928592206</v>
      </c>
      <c r="K123" s="125">
        <f t="shared" ref="K123:V123" si="235">IF(K22=0,0,K22/K$21)</f>
        <v>0.73668320804698462</v>
      </c>
      <c r="L123" s="125">
        <f t="shared" si="235"/>
        <v>0.76389120025559909</v>
      </c>
      <c r="M123" s="125">
        <f t="shared" si="235"/>
        <v>0.59847074102420361</v>
      </c>
      <c r="N123" s="125">
        <f t="shared" si="235"/>
        <v>0.59924634007284838</v>
      </c>
      <c r="O123" s="125">
        <f t="shared" si="235"/>
        <v>0.47789194566867294</v>
      </c>
      <c r="P123" s="125">
        <f t="shared" si="235"/>
        <v>0.50240397996291464</v>
      </c>
      <c r="Q123" s="125">
        <f t="shared" si="235"/>
        <v>0.49288334082465052</v>
      </c>
      <c r="R123" s="125">
        <f t="shared" si="235"/>
        <v>0.50257337013032288</v>
      </c>
      <c r="S123" s="125">
        <f t="shared" si="235"/>
        <v>0.49501764281552885</v>
      </c>
      <c r="T123" s="125">
        <f t="shared" si="235"/>
        <v>0.4741988108837013</v>
      </c>
      <c r="U123" s="125">
        <f t="shared" si="235"/>
        <v>0.2251916421412212</v>
      </c>
      <c r="V123" s="125">
        <f t="shared" si="235"/>
        <v>0.18608693178143929</v>
      </c>
      <c r="W123" s="125">
        <f t="shared" ref="W123:Y123" si="236">IF(W22=0,0,W22/W$21)</f>
        <v>0.21043489993674788</v>
      </c>
      <c r="X123" s="125">
        <f t="shared" si="236"/>
        <v>0.18901993875800752</v>
      </c>
      <c r="Y123" s="125">
        <f t="shared" si="236"/>
        <v>0.1047392480411192</v>
      </c>
      <c r="DA123" s="171"/>
    </row>
    <row r="124" spans="1:105" ht="11.45" customHeight="1" x14ac:dyDescent="0.25">
      <c r="A124" s="85" t="s">
        <v>93</v>
      </c>
      <c r="B124" s="127">
        <f t="shared" si="232"/>
        <v>0.25470875721093011</v>
      </c>
      <c r="C124" s="127">
        <f t="shared" si="232"/>
        <v>0.3105043903095861</v>
      </c>
      <c r="D124" s="127">
        <f t="shared" si="232"/>
        <v>0.21134719122406143</v>
      </c>
      <c r="E124" s="127">
        <f t="shared" si="232"/>
        <v>0.21874098122120111</v>
      </c>
      <c r="F124" s="127">
        <f t="shared" si="232"/>
        <v>0.21812904870850772</v>
      </c>
      <c r="G124" s="127">
        <f t="shared" si="232"/>
        <v>0.15257732503937577</v>
      </c>
      <c r="H124" s="127">
        <f t="shared" si="232"/>
        <v>9.9822511717790996E-2</v>
      </c>
      <c r="I124" s="127">
        <f t="shared" si="232"/>
        <v>0.31204796796755108</v>
      </c>
      <c r="J124" s="127">
        <f t="shared" si="232"/>
        <v>0.15623590714077942</v>
      </c>
      <c r="K124" s="127">
        <f t="shared" ref="K124:V124" si="237">IF(K23=0,0,K23/K$21)</f>
        <v>0.26331679195301538</v>
      </c>
      <c r="L124" s="127">
        <f t="shared" si="237"/>
        <v>0.23610879974440097</v>
      </c>
      <c r="M124" s="127">
        <f t="shared" si="237"/>
        <v>0.4015292589757965</v>
      </c>
      <c r="N124" s="127">
        <f t="shared" si="237"/>
        <v>0.40075365992715162</v>
      </c>
      <c r="O124" s="127">
        <f t="shared" si="237"/>
        <v>0.52210805433132712</v>
      </c>
      <c r="P124" s="127">
        <f t="shared" si="237"/>
        <v>0.49759602003708536</v>
      </c>
      <c r="Q124" s="127">
        <f t="shared" si="237"/>
        <v>0.50711665917534954</v>
      </c>
      <c r="R124" s="127">
        <f t="shared" si="237"/>
        <v>0.49742662986967712</v>
      </c>
      <c r="S124" s="127">
        <f t="shared" si="237"/>
        <v>0.50498235718447115</v>
      </c>
      <c r="T124" s="127">
        <f t="shared" si="237"/>
        <v>0.5258011891162987</v>
      </c>
      <c r="U124" s="127">
        <f t="shared" si="237"/>
        <v>0.77480835785877877</v>
      </c>
      <c r="V124" s="127">
        <f t="shared" si="237"/>
        <v>0.8139130682185608</v>
      </c>
      <c r="W124" s="127">
        <f t="shared" ref="W124:Y124" si="238">IF(W23=0,0,W23/W$21)</f>
        <v>0.78956510006325209</v>
      </c>
      <c r="X124" s="127">
        <f t="shared" si="238"/>
        <v>0.81098006124199251</v>
      </c>
      <c r="Y124" s="127">
        <f t="shared" si="238"/>
        <v>0.89526075195888088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49.507996560619084</v>
      </c>
      <c r="C4" s="146">
        <f t="shared" ref="C4:V4" si="0">SUM(C5,C8)</f>
        <v>50.281857265692175</v>
      </c>
      <c r="D4" s="146">
        <f t="shared" si="0"/>
        <v>49.937919174548583</v>
      </c>
      <c r="E4" s="146">
        <f t="shared" si="0"/>
        <v>50.195872742906275</v>
      </c>
      <c r="F4" s="146">
        <f t="shared" si="0"/>
        <v>50.453826311263967</v>
      </c>
      <c r="G4" s="146">
        <f t="shared" si="0"/>
        <v>45.810662080825452</v>
      </c>
      <c r="H4" s="146">
        <f t="shared" si="0"/>
        <v>48.815305245055889</v>
      </c>
      <c r="I4" s="146">
        <f t="shared" si="0"/>
        <v>47.372656921754086</v>
      </c>
      <c r="J4" s="146">
        <f t="shared" si="0"/>
        <v>44.368013757523642</v>
      </c>
      <c r="K4" s="146">
        <f t="shared" si="0"/>
        <v>38.263112639724845</v>
      </c>
      <c r="L4" s="146">
        <f t="shared" si="0"/>
        <v>24.304987102321583</v>
      </c>
      <c r="M4" s="146">
        <f t="shared" si="0"/>
        <v>20.163370593293205</v>
      </c>
      <c r="N4" s="146">
        <f t="shared" si="0"/>
        <v>30.338177128116939</v>
      </c>
      <c r="O4" s="146">
        <f t="shared" si="0"/>
        <v>27.204557179707649</v>
      </c>
      <c r="P4" s="146">
        <f t="shared" si="0"/>
        <v>57.867583834909709</v>
      </c>
      <c r="Q4" s="146">
        <f t="shared" si="0"/>
        <v>58.985382631126384</v>
      </c>
      <c r="R4" s="146">
        <f t="shared" si="0"/>
        <v>56.47265692175408</v>
      </c>
      <c r="S4" s="146">
        <f t="shared" si="0"/>
        <v>55.471453138435074</v>
      </c>
      <c r="T4" s="146">
        <f t="shared" si="0"/>
        <v>54.645227858985379</v>
      </c>
      <c r="U4" s="146">
        <f t="shared" si="0"/>
        <v>26.521926053310409</v>
      </c>
      <c r="V4" s="146">
        <f t="shared" si="0"/>
        <v>20.74187446259673</v>
      </c>
      <c r="W4" s="146">
        <f t="shared" ref="W4:Y4" si="1">SUM(W5,W8)</f>
        <v>21.831040412725706</v>
      </c>
      <c r="X4" s="146">
        <f t="shared" si="1"/>
        <v>24.293293207222696</v>
      </c>
      <c r="Y4" s="146">
        <f t="shared" si="1"/>
        <v>19.385812553740323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41.08151332760103</v>
      </c>
      <c r="C5" s="101">
        <f t="shared" ref="C5:V5" si="2">SUM(C6:C7)</f>
        <v>41.08151332760103</v>
      </c>
      <c r="D5" s="101">
        <f t="shared" si="2"/>
        <v>41.08151332760103</v>
      </c>
      <c r="E5" s="101">
        <f t="shared" si="2"/>
        <v>41.08151332760103</v>
      </c>
      <c r="F5" s="101">
        <f t="shared" si="2"/>
        <v>41.08151332760103</v>
      </c>
      <c r="G5" s="101">
        <f t="shared" si="2"/>
        <v>41.08151332760103</v>
      </c>
      <c r="H5" s="101">
        <f t="shared" si="2"/>
        <v>42.108512467755801</v>
      </c>
      <c r="I5" s="101">
        <f t="shared" si="2"/>
        <v>38.000343938091142</v>
      </c>
      <c r="J5" s="101">
        <f t="shared" si="2"/>
        <v>36.97334479793637</v>
      </c>
      <c r="K5" s="101">
        <f t="shared" si="2"/>
        <v>30.524505588993978</v>
      </c>
      <c r="L5" s="101">
        <f t="shared" si="2"/>
        <v>20.349699054170252</v>
      </c>
      <c r="M5" s="101">
        <f t="shared" si="2"/>
        <v>15.262252794496989</v>
      </c>
      <c r="N5" s="101">
        <f t="shared" si="2"/>
        <v>25.437059329320721</v>
      </c>
      <c r="O5" s="101">
        <f t="shared" si="2"/>
        <v>18.176182287188304</v>
      </c>
      <c r="P5" s="101">
        <f t="shared" si="2"/>
        <v>43.336199484092859</v>
      </c>
      <c r="Q5" s="101">
        <f t="shared" si="2"/>
        <v>43.336199484092859</v>
      </c>
      <c r="R5" s="101">
        <f t="shared" si="2"/>
        <v>42.457179707652621</v>
      </c>
      <c r="S5" s="101">
        <f t="shared" si="2"/>
        <v>41.384178847807384</v>
      </c>
      <c r="T5" s="101">
        <f t="shared" si="2"/>
        <v>39.27119518486672</v>
      </c>
      <c r="U5" s="101">
        <f t="shared" si="2"/>
        <v>10.849785038693039</v>
      </c>
      <c r="V5" s="101">
        <f t="shared" si="2"/>
        <v>7.4134135855545997</v>
      </c>
      <c r="W5" s="101">
        <f t="shared" ref="W5:Y5" si="3">SUM(W6:W7)</f>
        <v>6.7082545141874457</v>
      </c>
      <c r="X5" s="101">
        <f t="shared" si="3"/>
        <v>6.954514187446259</v>
      </c>
      <c r="Y5" s="101">
        <f t="shared" si="3"/>
        <v>4.1797936371453126</v>
      </c>
      <c r="DA5" s="175"/>
    </row>
    <row r="6" spans="1:105" ht="11.45" customHeight="1" x14ac:dyDescent="0.25">
      <c r="A6" s="164" t="s">
        <v>175</v>
      </c>
      <c r="B6" s="165">
        <v>41.08151332760103</v>
      </c>
      <c r="C6" s="165">
        <v>41.08151332760103</v>
      </c>
      <c r="D6" s="165">
        <v>41.08151332760103</v>
      </c>
      <c r="E6" s="165">
        <v>41.08151332760103</v>
      </c>
      <c r="F6" s="165">
        <v>41.08151332760103</v>
      </c>
      <c r="G6" s="165">
        <v>41.08151332760103</v>
      </c>
      <c r="H6" s="165">
        <v>42.108512467755801</v>
      </c>
      <c r="I6" s="165">
        <v>38.000343938091142</v>
      </c>
      <c r="J6" s="165">
        <v>36.97334479793637</v>
      </c>
      <c r="K6" s="165">
        <v>30.524505588993978</v>
      </c>
      <c r="L6" s="165">
        <v>20.349699054170252</v>
      </c>
      <c r="M6" s="165">
        <v>15.262252794496989</v>
      </c>
      <c r="N6" s="165">
        <v>25.437059329320721</v>
      </c>
      <c r="O6" s="165">
        <v>17.29724849527085</v>
      </c>
      <c r="P6" s="165">
        <v>40.699312123817712</v>
      </c>
      <c r="Q6" s="165">
        <v>40.699312123817712</v>
      </c>
      <c r="R6" s="165">
        <v>40.699312123817712</v>
      </c>
      <c r="S6" s="165">
        <v>39.706276870163357</v>
      </c>
      <c r="T6" s="165">
        <v>37.620550300945823</v>
      </c>
      <c r="U6" s="165">
        <v>10.849785038693039</v>
      </c>
      <c r="V6" s="165">
        <v>7.4134135855545997</v>
      </c>
      <c r="W6" s="165">
        <v>6.7082545141874457</v>
      </c>
      <c r="X6" s="165">
        <v>6.954514187446259</v>
      </c>
      <c r="Y6" s="165">
        <v>4.1797936371453126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0.8789337919174548</v>
      </c>
      <c r="P7" s="167">
        <v>2.6368873602751499</v>
      </c>
      <c r="Q7" s="167">
        <v>2.6368873602751499</v>
      </c>
      <c r="R7" s="167">
        <v>1.75786758383491</v>
      </c>
      <c r="S7" s="167">
        <v>1.677901977644024</v>
      </c>
      <c r="T7" s="167">
        <v>1.650644883920894</v>
      </c>
      <c r="U7" s="167">
        <v>0</v>
      </c>
      <c r="V7" s="167">
        <v>0</v>
      </c>
      <c r="W7" s="167">
        <v>0</v>
      </c>
      <c r="X7" s="167">
        <v>0</v>
      </c>
      <c r="Y7" s="167">
        <v>0</v>
      </c>
      <c r="DA7" s="177" t="s">
        <v>1105</v>
      </c>
    </row>
    <row r="8" spans="1:105" ht="11.45" customHeight="1" x14ac:dyDescent="0.25">
      <c r="A8" s="85" t="s">
        <v>91</v>
      </c>
      <c r="B8" s="88">
        <v>8.4264832330180557</v>
      </c>
      <c r="C8" s="88">
        <v>9.2003439380911427</v>
      </c>
      <c r="D8" s="88">
        <v>8.8564058469475491</v>
      </c>
      <c r="E8" s="88">
        <v>9.1143594153052447</v>
      </c>
      <c r="F8" s="88">
        <v>9.3723129836629404</v>
      </c>
      <c r="G8" s="88">
        <v>4.7291487532244192</v>
      </c>
      <c r="H8" s="88">
        <v>6.7067927773000857</v>
      </c>
      <c r="I8" s="88">
        <v>9.3723129836629404</v>
      </c>
      <c r="J8" s="88">
        <v>7.3946689595872739</v>
      </c>
      <c r="K8" s="88">
        <v>7.7386070507308684</v>
      </c>
      <c r="L8" s="88">
        <v>3.9552880481513331</v>
      </c>
      <c r="M8" s="88">
        <v>4.901117798796216</v>
      </c>
      <c r="N8" s="88">
        <v>4.901117798796216</v>
      </c>
      <c r="O8" s="88">
        <v>9.0283748925193468</v>
      </c>
      <c r="P8" s="88">
        <v>14.53138435081685</v>
      </c>
      <c r="Q8" s="88">
        <v>15.649183147033529</v>
      </c>
      <c r="R8" s="88">
        <v>14.015477214101461</v>
      </c>
      <c r="S8" s="88">
        <v>14.08727429062769</v>
      </c>
      <c r="T8" s="88">
        <v>15.374032674118659</v>
      </c>
      <c r="U8" s="88">
        <v>15.67214101461737</v>
      </c>
      <c r="V8" s="88">
        <v>13.328460877042129</v>
      </c>
      <c r="W8" s="88">
        <v>15.122785898538259</v>
      </c>
      <c r="X8" s="88">
        <v>17.338779019776439</v>
      </c>
      <c r="Y8" s="88">
        <v>15.20601891659501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49.507996560619091</v>
      </c>
      <c r="C10" s="62">
        <f t="shared" ref="C10:V10" si="5">SUM(C11,C17)</f>
        <v>50.281857265692182</v>
      </c>
      <c r="D10" s="62">
        <f t="shared" si="5"/>
        <v>49.937919174548583</v>
      </c>
      <c r="E10" s="62">
        <f t="shared" si="5"/>
        <v>50.195872742906282</v>
      </c>
      <c r="F10" s="62">
        <f t="shared" si="5"/>
        <v>50.453826311263967</v>
      </c>
      <c r="G10" s="62">
        <f t="shared" si="5"/>
        <v>45.810662080825452</v>
      </c>
      <c r="H10" s="62">
        <f t="shared" si="5"/>
        <v>48.815305245055882</v>
      </c>
      <c r="I10" s="62">
        <f t="shared" si="5"/>
        <v>47.372656921754086</v>
      </c>
      <c r="J10" s="62">
        <f t="shared" si="5"/>
        <v>44.368013757523642</v>
      </c>
      <c r="K10" s="62">
        <f t="shared" si="5"/>
        <v>38.263112639724838</v>
      </c>
      <c r="L10" s="62">
        <f t="shared" si="5"/>
        <v>24.304987102321583</v>
      </c>
      <c r="M10" s="62">
        <f t="shared" si="5"/>
        <v>20.163370593293209</v>
      </c>
      <c r="N10" s="62">
        <f t="shared" si="5"/>
        <v>30.338177128116939</v>
      </c>
      <c r="O10" s="62">
        <f t="shared" si="5"/>
        <v>27.204557179707649</v>
      </c>
      <c r="P10" s="62">
        <f t="shared" si="5"/>
        <v>57.867583834909709</v>
      </c>
      <c r="Q10" s="62">
        <f t="shared" si="5"/>
        <v>58.985382631126384</v>
      </c>
      <c r="R10" s="62">
        <f t="shared" si="5"/>
        <v>56.47265692175408</v>
      </c>
      <c r="S10" s="62">
        <f t="shared" si="5"/>
        <v>55.471453138435081</v>
      </c>
      <c r="T10" s="62">
        <f t="shared" si="5"/>
        <v>54.645227858985379</v>
      </c>
      <c r="U10" s="62">
        <f t="shared" si="5"/>
        <v>26.521926053310406</v>
      </c>
      <c r="V10" s="62">
        <f t="shared" si="5"/>
        <v>20.74187446259673</v>
      </c>
      <c r="W10" s="62">
        <f t="shared" ref="W10:Y10" si="6">SUM(W11,W17)</f>
        <v>21.831040412725706</v>
      </c>
      <c r="X10" s="62">
        <f t="shared" si="6"/>
        <v>24.2932932072227</v>
      </c>
      <c r="Y10" s="62">
        <f t="shared" si="6"/>
        <v>19.385812553740323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46.185353891968248</v>
      </c>
      <c r="C11" s="29">
        <f t="shared" ref="C11:V11" si="8">SUM(C12,C13,C16)</f>
        <v>47.37889236418583</v>
      </c>
      <c r="D11" s="29">
        <f t="shared" si="8"/>
        <v>47.15853741434438</v>
      </c>
      <c r="E11" s="29">
        <f t="shared" si="8"/>
        <v>46.517173864461824</v>
      </c>
      <c r="F11" s="29">
        <f t="shared" si="8"/>
        <v>45.753406903228715</v>
      </c>
      <c r="G11" s="29">
        <f t="shared" si="8"/>
        <v>42.320721303173457</v>
      </c>
      <c r="H11" s="29">
        <f t="shared" si="8"/>
        <v>44.980934065137198</v>
      </c>
      <c r="I11" s="29">
        <f t="shared" si="8"/>
        <v>42.567322188335559</v>
      </c>
      <c r="J11" s="29">
        <f t="shared" si="8"/>
        <v>38.209476137661454</v>
      </c>
      <c r="K11" s="29">
        <f t="shared" si="8"/>
        <v>35.484875409236324</v>
      </c>
      <c r="L11" s="29">
        <f t="shared" si="8"/>
        <v>21.332741390057578</v>
      </c>
      <c r="M11" s="29">
        <f t="shared" si="8"/>
        <v>18.593533846903739</v>
      </c>
      <c r="N11" s="29">
        <f t="shared" si="8"/>
        <v>28.691420061947159</v>
      </c>
      <c r="O11" s="29">
        <f t="shared" si="8"/>
        <v>25.978980133041674</v>
      </c>
      <c r="P11" s="29">
        <f t="shared" si="8"/>
        <v>56.174996804607844</v>
      </c>
      <c r="Q11" s="29">
        <f t="shared" si="8"/>
        <v>57.385958593648894</v>
      </c>
      <c r="R11" s="29">
        <f t="shared" si="8"/>
        <v>55.111727809493715</v>
      </c>
      <c r="S11" s="29">
        <f t="shared" si="8"/>
        <v>53.59584277323502</v>
      </c>
      <c r="T11" s="29">
        <f t="shared" si="8"/>
        <v>52.532292522796752</v>
      </c>
      <c r="U11" s="29">
        <f t="shared" si="8"/>
        <v>24.444212556512287</v>
      </c>
      <c r="V11" s="29">
        <f t="shared" si="8"/>
        <v>18.161081263047052</v>
      </c>
      <c r="W11" s="29">
        <f t="shared" ref="W11:Y11" si="9">SUM(W12,W13,W16)</f>
        <v>19.318125616512507</v>
      </c>
      <c r="X11" s="29">
        <f t="shared" si="9"/>
        <v>22.37952739858326</v>
      </c>
      <c r="Y11" s="29">
        <f t="shared" si="9"/>
        <v>18.280591518336944</v>
      </c>
      <c r="DA11" s="173" t="s">
        <v>395</v>
      </c>
    </row>
    <row r="12" spans="1:105" ht="11.45" customHeight="1" x14ac:dyDescent="0.25">
      <c r="A12" s="107" t="s">
        <v>23</v>
      </c>
      <c r="B12" s="115">
        <v>6.3868449216908427</v>
      </c>
      <c r="C12" s="115">
        <v>7.0782011059166887</v>
      </c>
      <c r="D12" s="115">
        <v>7.1672254278843441</v>
      </c>
      <c r="E12" s="115">
        <v>7.51099639605519</v>
      </c>
      <c r="F12" s="115">
        <v>7.929635339295305</v>
      </c>
      <c r="G12" s="115">
        <v>3.9245082507562237</v>
      </c>
      <c r="H12" s="115">
        <v>6.5000833995550584</v>
      </c>
      <c r="I12" s="115">
        <v>7.7806673962993766</v>
      </c>
      <c r="J12" s="115">
        <v>5.1846150159068722</v>
      </c>
      <c r="K12" s="115">
        <v>5.9639066283912561</v>
      </c>
      <c r="L12" s="115">
        <v>3.509690514767752</v>
      </c>
      <c r="M12" s="115">
        <v>4.4985378652250976</v>
      </c>
      <c r="N12" s="115">
        <v>4.0070328534278019</v>
      </c>
      <c r="O12" s="115">
        <v>6.3950253609356817</v>
      </c>
      <c r="P12" s="115">
        <v>8.1955716151250098</v>
      </c>
      <c r="Q12" s="115">
        <v>7.5813342045070176</v>
      </c>
      <c r="R12" s="115">
        <v>7.2868495174609516</v>
      </c>
      <c r="S12" s="115">
        <v>7.5058881826350277</v>
      </c>
      <c r="T12" s="115">
        <v>7.4663698076742548</v>
      </c>
      <c r="U12" s="115">
        <v>6.4840247496996826</v>
      </c>
      <c r="V12" s="115">
        <v>6.3581134236903809</v>
      </c>
      <c r="W12" s="115">
        <v>6.341696688621286</v>
      </c>
      <c r="X12" s="115">
        <v>7.0953555935762438</v>
      </c>
      <c r="Y12" s="115">
        <v>7.1695183778520528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39.798508970277403</v>
      </c>
      <c r="C13" s="116">
        <f t="shared" ref="C13:V13" si="11">SUM(C14:C15)</f>
        <v>40.30069125826914</v>
      </c>
      <c r="D13" s="116">
        <f t="shared" si="11"/>
        <v>39.991311986460033</v>
      </c>
      <c r="E13" s="116">
        <f t="shared" si="11"/>
        <v>39.006177468406634</v>
      </c>
      <c r="F13" s="116">
        <f t="shared" si="11"/>
        <v>37.823771563933413</v>
      </c>
      <c r="G13" s="116">
        <f t="shared" si="11"/>
        <v>38.396213052417231</v>
      </c>
      <c r="H13" s="116">
        <f t="shared" si="11"/>
        <v>38.480850665582139</v>
      </c>
      <c r="I13" s="116">
        <f t="shared" si="11"/>
        <v>34.786654792036181</v>
      </c>
      <c r="J13" s="116">
        <f t="shared" si="11"/>
        <v>33.024861121754583</v>
      </c>
      <c r="K13" s="116">
        <f t="shared" si="11"/>
        <v>29.52096878084507</v>
      </c>
      <c r="L13" s="116">
        <f t="shared" si="11"/>
        <v>17.823050875289827</v>
      </c>
      <c r="M13" s="116">
        <f t="shared" si="11"/>
        <v>14.09499598167864</v>
      </c>
      <c r="N13" s="116">
        <f t="shared" si="11"/>
        <v>24.684387208519357</v>
      </c>
      <c r="O13" s="116">
        <f t="shared" si="11"/>
        <v>19.583954772105994</v>
      </c>
      <c r="P13" s="116">
        <f t="shared" si="11"/>
        <v>47.979425189482832</v>
      </c>
      <c r="Q13" s="116">
        <f t="shared" si="11"/>
        <v>49.804624389141878</v>
      </c>
      <c r="R13" s="116">
        <f t="shared" si="11"/>
        <v>47.824878292032764</v>
      </c>
      <c r="S13" s="116">
        <f t="shared" si="11"/>
        <v>46.089954590599994</v>
      </c>
      <c r="T13" s="116">
        <f t="shared" si="11"/>
        <v>45.065922715122497</v>
      </c>
      <c r="U13" s="116">
        <f t="shared" si="11"/>
        <v>17.960187806812606</v>
      </c>
      <c r="V13" s="116">
        <f t="shared" si="11"/>
        <v>11.802967839356672</v>
      </c>
      <c r="W13" s="116">
        <f t="shared" ref="W13:Y13" si="12">SUM(W14:W15)</f>
        <v>12.97642892789122</v>
      </c>
      <c r="X13" s="116">
        <f t="shared" si="12"/>
        <v>15.284171805007016</v>
      </c>
      <c r="Y13" s="116">
        <f t="shared" si="12"/>
        <v>11.111073140484891</v>
      </c>
      <c r="DA13" s="176" t="s">
        <v>397</v>
      </c>
    </row>
    <row r="14" spans="1:105" ht="11.45" customHeight="1" x14ac:dyDescent="0.25">
      <c r="A14" s="111" t="s">
        <v>95</v>
      </c>
      <c r="B14" s="87">
        <v>38.147314630842935</v>
      </c>
      <c r="C14" s="87">
        <v>38.613313828914031</v>
      </c>
      <c r="D14" s="87">
        <v>38.566310461461278</v>
      </c>
      <c r="E14" s="87">
        <v>37.774224247875338</v>
      </c>
      <c r="F14" s="87">
        <v>36.84424652746354</v>
      </c>
      <c r="G14" s="87">
        <v>37.820213382114687</v>
      </c>
      <c r="H14" s="87">
        <v>38.431639322712421</v>
      </c>
      <c r="I14" s="87">
        <v>33.901803168630408</v>
      </c>
      <c r="J14" s="87">
        <v>31.224105936182387</v>
      </c>
      <c r="K14" s="87">
        <v>28.079533408313566</v>
      </c>
      <c r="L14" s="87">
        <v>17.695035430376905</v>
      </c>
      <c r="M14" s="87">
        <v>14.013699295009419</v>
      </c>
      <c r="N14" s="87">
        <v>24.121211566284369</v>
      </c>
      <c r="O14" s="87">
        <v>17.302171417548333</v>
      </c>
      <c r="P14" s="87">
        <v>42.087886641791997</v>
      </c>
      <c r="Q14" s="87">
        <v>42.16679787653807</v>
      </c>
      <c r="R14" s="87">
        <v>41.450814038879649</v>
      </c>
      <c r="S14" s="87">
        <v>40.00711177883624</v>
      </c>
      <c r="T14" s="87">
        <v>37.753951446572188</v>
      </c>
      <c r="U14" s="87">
        <v>9.9122752212065883</v>
      </c>
      <c r="V14" s="87">
        <v>6.3989850315350472</v>
      </c>
      <c r="W14" s="87">
        <v>5.6266466581774548</v>
      </c>
      <c r="X14" s="87">
        <v>6.192697647552956</v>
      </c>
      <c r="Y14" s="87">
        <v>3.9042344456409293</v>
      </c>
      <c r="DA14" s="171" t="s">
        <v>1108</v>
      </c>
    </row>
    <row r="15" spans="1:105" ht="11.45" customHeight="1" x14ac:dyDescent="0.25">
      <c r="A15" s="111" t="s">
        <v>93</v>
      </c>
      <c r="B15" s="87">
        <v>1.651194339434465</v>
      </c>
      <c r="C15" s="87">
        <v>1.6873774293551074</v>
      </c>
      <c r="D15" s="87">
        <v>1.4250015249987578</v>
      </c>
      <c r="E15" s="87">
        <v>1.2319532205312944</v>
      </c>
      <c r="F15" s="87">
        <v>0.97952503646987499</v>
      </c>
      <c r="G15" s="87">
        <v>0.57599967030254451</v>
      </c>
      <c r="H15" s="87">
        <v>4.9211342869720377E-2</v>
      </c>
      <c r="I15" s="87">
        <v>0.88485162340576951</v>
      </c>
      <c r="J15" s="87">
        <v>1.8007551855721982</v>
      </c>
      <c r="K15" s="87">
        <v>1.4414353725315054</v>
      </c>
      <c r="L15" s="87">
        <v>0.12801544491292044</v>
      </c>
      <c r="M15" s="87">
        <v>8.1296686669220186E-2</v>
      </c>
      <c r="N15" s="87">
        <v>0.56317564223498751</v>
      </c>
      <c r="O15" s="87">
        <v>2.2817833545576609</v>
      </c>
      <c r="P15" s="87">
        <v>5.8915385476908355</v>
      </c>
      <c r="Q15" s="87">
        <v>7.6378265126038052</v>
      </c>
      <c r="R15" s="87">
        <v>6.3740642531531124</v>
      </c>
      <c r="S15" s="87">
        <v>6.0828428117637534</v>
      </c>
      <c r="T15" s="87">
        <v>7.3119712685503098</v>
      </c>
      <c r="U15" s="87">
        <v>8.047912585606019</v>
      </c>
      <c r="V15" s="87">
        <v>5.4039828078216239</v>
      </c>
      <c r="W15" s="87">
        <v>7.3497822697137645</v>
      </c>
      <c r="X15" s="87">
        <v>9.0914741574540603</v>
      </c>
      <c r="Y15" s="87">
        <v>7.2068386948439604</v>
      </c>
      <c r="DA15" s="171" t="s">
        <v>1109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X16" s="117">
        <v>0</v>
      </c>
      <c r="Y16" s="117">
        <v>0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3.3226426686508406</v>
      </c>
      <c r="C17" s="29">
        <f t="shared" si="13"/>
        <v>2.9029649015063477</v>
      </c>
      <c r="D17" s="29">
        <f t="shared" si="13"/>
        <v>2.779381760204203</v>
      </c>
      <c r="E17" s="29">
        <f t="shared" si="13"/>
        <v>3.6786988784444548</v>
      </c>
      <c r="F17" s="29">
        <f t="shared" si="13"/>
        <v>4.7004194080352484</v>
      </c>
      <c r="G17" s="29">
        <f t="shared" si="13"/>
        <v>3.4899407776519946</v>
      </c>
      <c r="H17" s="29">
        <f t="shared" si="13"/>
        <v>3.8343711799186866</v>
      </c>
      <c r="I17" s="29">
        <f t="shared" si="13"/>
        <v>4.8053347334185244</v>
      </c>
      <c r="J17" s="29">
        <f t="shared" si="13"/>
        <v>6.1585376198621873</v>
      </c>
      <c r="K17" s="29">
        <f t="shared" si="13"/>
        <v>2.7782372304885179</v>
      </c>
      <c r="L17" s="29">
        <f t="shared" si="13"/>
        <v>2.9722457122640065</v>
      </c>
      <c r="M17" s="29">
        <f t="shared" si="13"/>
        <v>1.5698367463894705</v>
      </c>
      <c r="N17" s="29">
        <f t="shared" si="13"/>
        <v>1.6467570661697799</v>
      </c>
      <c r="O17" s="29">
        <f t="shared" si="13"/>
        <v>1.225577046665977</v>
      </c>
      <c r="P17" s="29">
        <f t="shared" si="13"/>
        <v>1.6925870303018691</v>
      </c>
      <c r="Q17" s="29">
        <f t="shared" si="13"/>
        <v>1.599424037477492</v>
      </c>
      <c r="R17" s="29">
        <f t="shared" si="13"/>
        <v>1.3609291122603675</v>
      </c>
      <c r="S17" s="29">
        <f t="shared" si="13"/>
        <v>1.8756103652000609</v>
      </c>
      <c r="T17" s="29">
        <f t="shared" si="13"/>
        <v>2.1129353361886265</v>
      </c>
      <c r="U17" s="29">
        <f t="shared" si="13"/>
        <v>2.0777134967981188</v>
      </c>
      <c r="V17" s="29">
        <f t="shared" si="13"/>
        <v>2.5807931995496771</v>
      </c>
      <c r="W17" s="29">
        <f t="shared" si="13"/>
        <v>2.5129147962131988</v>
      </c>
      <c r="X17" s="29">
        <f t="shared" ref="X17:Y17" si="14">SUM(X18:X19)</f>
        <v>1.9137658086394391</v>
      </c>
      <c r="Y17" s="29">
        <f t="shared" si="14"/>
        <v>1.1052210354033791</v>
      </c>
      <c r="DA17" s="173" t="s">
        <v>402</v>
      </c>
    </row>
    <row r="18" spans="1:105" ht="11.45" customHeight="1" x14ac:dyDescent="0.25">
      <c r="A18" s="83" t="s">
        <v>95</v>
      </c>
      <c r="B18" s="87">
        <v>2.9341986967580915</v>
      </c>
      <c r="C18" s="87">
        <v>2.4681994986870017</v>
      </c>
      <c r="D18" s="87">
        <v>2.5152028661397536</v>
      </c>
      <c r="E18" s="87">
        <v>3.3072890797256949</v>
      </c>
      <c r="F18" s="87">
        <v>4.2372668001374887</v>
      </c>
      <c r="G18" s="87">
        <v>3.2612999454863436</v>
      </c>
      <c r="H18" s="87">
        <v>3.67687314504338</v>
      </c>
      <c r="I18" s="87">
        <v>4.0985407694607288</v>
      </c>
      <c r="J18" s="87">
        <v>5.7492388617539829</v>
      </c>
      <c r="K18" s="87">
        <v>2.4449721806804106</v>
      </c>
      <c r="L18" s="87">
        <v>2.6546636237933456</v>
      </c>
      <c r="M18" s="87">
        <v>1.248553499487572</v>
      </c>
      <c r="N18" s="87">
        <v>1.3158477630363534</v>
      </c>
      <c r="O18" s="87">
        <v>0.87401086963997165</v>
      </c>
      <c r="P18" s="87">
        <v>1.248312842300864</v>
      </c>
      <c r="Q18" s="87">
        <v>1.1694016075547862</v>
      </c>
      <c r="R18" s="87">
        <v>1.0063656687729698</v>
      </c>
      <c r="S18" s="87">
        <v>1.3770670689711511</v>
      </c>
      <c r="T18" s="87">
        <v>1.517243738294531</v>
      </c>
      <c r="U18" s="87">
        <v>0.93750981748644946</v>
      </c>
      <c r="V18" s="87">
        <v>1.0144285540195517</v>
      </c>
      <c r="W18" s="87">
        <v>1.0816078560099904</v>
      </c>
      <c r="X18" s="87">
        <v>0.76181653989330311</v>
      </c>
      <c r="Y18" s="87">
        <v>0.27555919150438324</v>
      </c>
      <c r="DA18" s="171" t="s">
        <v>1110</v>
      </c>
    </row>
    <row r="19" spans="1:105" ht="11.45" customHeight="1" x14ac:dyDescent="0.25">
      <c r="A19" s="85" t="s">
        <v>93</v>
      </c>
      <c r="B19" s="88">
        <v>0.38844397189274893</v>
      </c>
      <c r="C19" s="88">
        <v>0.43476540281934611</v>
      </c>
      <c r="D19" s="88">
        <v>0.26417889406444944</v>
      </c>
      <c r="E19" s="88">
        <v>0.37140979871875979</v>
      </c>
      <c r="F19" s="88">
        <v>0.46315260789775947</v>
      </c>
      <c r="G19" s="88">
        <v>0.22864083216565101</v>
      </c>
      <c r="H19" s="88">
        <v>0.15749803487530642</v>
      </c>
      <c r="I19" s="88">
        <v>0.70679396395779515</v>
      </c>
      <c r="J19" s="88">
        <v>0.40929875810820399</v>
      </c>
      <c r="K19" s="88">
        <v>0.33326504980810734</v>
      </c>
      <c r="L19" s="88">
        <v>0.31758208847066077</v>
      </c>
      <c r="M19" s="88">
        <v>0.32128324690189841</v>
      </c>
      <c r="N19" s="88">
        <v>0.33090930313342648</v>
      </c>
      <c r="O19" s="88">
        <v>0.35156617702600529</v>
      </c>
      <c r="P19" s="88">
        <v>0.4442741880010051</v>
      </c>
      <c r="Q19" s="88">
        <v>0.43002242992270578</v>
      </c>
      <c r="R19" s="88">
        <v>0.3545634434873976</v>
      </c>
      <c r="S19" s="88">
        <v>0.49854329622890986</v>
      </c>
      <c r="T19" s="88">
        <v>0.59569159789409543</v>
      </c>
      <c r="U19" s="88">
        <v>1.1402036793116694</v>
      </c>
      <c r="V19" s="88">
        <v>1.5663646455301254</v>
      </c>
      <c r="W19" s="88">
        <v>1.4313069402032084</v>
      </c>
      <c r="X19" s="88">
        <v>1.1519492687461361</v>
      </c>
      <c r="Y19" s="88">
        <v>0.82966184389899589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178.43587919720946</v>
      </c>
      <c r="C23" s="62">
        <f>IF(C10=0,0,C10/TrRail_act!C14*100)</f>
        <v>167.64989944225454</v>
      </c>
      <c r="D23" s="62">
        <f>IF(D10=0,0,D10/TrRail_act!D14*100)</f>
        <v>161.76112256985294</v>
      </c>
      <c r="E23" s="62">
        <f>IF(E10=0,0,E10/TrRail_act!E14*100)</f>
        <v>156.93180750630233</v>
      </c>
      <c r="F23" s="62">
        <f>IF(F10=0,0,F10/TrRail_act!F14*100)</f>
        <v>150.81398592506318</v>
      </c>
      <c r="G23" s="62">
        <f>IF(G10=0,0,G10/TrRail_act!G14*100)</f>
        <v>181.46576577118469</v>
      </c>
      <c r="H23" s="62">
        <f>IF(H10=0,0,H10/TrRail_act!H14*100)</f>
        <v>153.39580510547455</v>
      </c>
      <c r="I23" s="62">
        <f>IF(I10=0,0,I10/TrRail_act!I14*100)</f>
        <v>136.82617522723939</v>
      </c>
      <c r="J23" s="62">
        <f>IF(J10=0,0,J10/TrRail_act!J14*100)</f>
        <v>155.06630501438511</v>
      </c>
      <c r="K23" s="62">
        <f>IF(K10=0,0,K10/TrRail_act!K14*100)</f>
        <v>133.4412985961275</v>
      </c>
      <c r="L23" s="62">
        <f>IF(L10=0,0,L10/TrRail_act!L14*100)</f>
        <v>139.10534526127415</v>
      </c>
      <c r="M23" s="62">
        <f>IF(M10=0,0,M10/TrRail_act!M14*100)</f>
        <v>110.33933864790779</v>
      </c>
      <c r="N23" s="62">
        <f>IF(N10=0,0,N10/TrRail_act!N14*100)</f>
        <v>137.45430944307122</v>
      </c>
      <c r="O23" s="62">
        <f>IF(O10=0,0,O10/TrRail_act!O14*100)</f>
        <v>100.84586725483207</v>
      </c>
      <c r="P23" s="62">
        <f>IF(P10=0,0,P10/TrRail_act!P14*100)</f>
        <v>124.36940540404264</v>
      </c>
      <c r="Q23" s="62">
        <f>IF(Q10=0,0,Q10/TrRail_act!Q14*100)</f>
        <v>125.57890707828187</v>
      </c>
      <c r="R23" s="62">
        <f>IF(R10=0,0,R10/TrRail_act!R14*100)</f>
        <v>124.54188742349844</v>
      </c>
      <c r="S23" s="62">
        <f>IF(S10=0,0,S10/TrRail_act!S14*100)</f>
        <v>121.27052157640543</v>
      </c>
      <c r="T23" s="62">
        <f>IF(T10=0,0,T10/TrRail_act!T14*100)</f>
        <v>118.79498979994496</v>
      </c>
      <c r="U23" s="62">
        <f>IF(U10=0,0,U10/TrRail_act!U14*100)</f>
        <v>84.663249743900963</v>
      </c>
      <c r="V23" s="62">
        <f>IF(V10=0,0,V10/TrRail_act!V14*100)</f>
        <v>74.813097755815377</v>
      </c>
      <c r="W23" s="62">
        <f>IF(W10=0,0,W10/TrRail_act!W14*100)</f>
        <v>75.598458956202819</v>
      </c>
      <c r="X23" s="62">
        <f>IF(X10=0,0,X10/TrRail_act!X14*100)</f>
        <v>74.465600390685694</v>
      </c>
      <c r="Y23" s="62">
        <f>IF(Y10=0,0,Y10/TrRail_act!Y14*100)</f>
        <v>64.50448007940858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170.87095312365329</v>
      </c>
      <c r="C24" s="29">
        <f>IF(C11=0,0,C11/TrRail_act!C15*100)</f>
        <v>161.60779772440623</v>
      </c>
      <c r="D24" s="29">
        <f>IF(D11=0,0,D11/TrRail_act!D15*100)</f>
        <v>155.8733260527664</v>
      </c>
      <c r="E24" s="29">
        <f>IF(E11=0,0,E11/TrRail_act!E15*100)</f>
        <v>149.4169787799361</v>
      </c>
      <c r="F24" s="29">
        <f>IF(F11=0,0,F11/TrRail_act!F15*100)</f>
        <v>141.43602058132518</v>
      </c>
      <c r="G24" s="29">
        <f>IF(G11=0,0,G11/TrRail_act!G15*100)</f>
        <v>173.11541844931517</v>
      </c>
      <c r="H24" s="29">
        <f>IF(H11=0,0,H11/TrRail_act!H15*100)</f>
        <v>145.30271332807473</v>
      </c>
      <c r="I24" s="29">
        <f>IF(I11=0,0,I11/TrRail_act!I15*100)</f>
        <v>127.64665374487517</v>
      </c>
      <c r="J24" s="29">
        <f>IF(J11=0,0,J11/TrRail_act!J15*100)</f>
        <v>140.9607277401411</v>
      </c>
      <c r="K24" s="29">
        <f>IF(K11=0,0,K11/TrRail_act!K15*100)</f>
        <v>127.06657510517316</v>
      </c>
      <c r="L24" s="29">
        <f>IF(L11=0,0,L11/TrRail_act!L15*100)</f>
        <v>127.9403246199353</v>
      </c>
      <c r="M24" s="29">
        <f>IF(M11=0,0,M11/TrRail_act!M15*100)</f>
        <v>104.51958853359066</v>
      </c>
      <c r="N24" s="29">
        <f>IF(N11=0,0,N11/TrRail_act!N15*100)</f>
        <v>133.08862373362857</v>
      </c>
      <c r="O24" s="29">
        <f>IF(O11=0,0,O11/TrRail_act!O15*100)</f>
        <v>97.853733758425747</v>
      </c>
      <c r="P24" s="29">
        <f>IF(P11=0,0,P11/TrRail_act!P15*100)</f>
        <v>122.27595461280303</v>
      </c>
      <c r="Q24" s="29">
        <f>IF(Q11=0,0,Q11/TrRail_act!Q15*100)</f>
        <v>123.65638140095353</v>
      </c>
      <c r="R24" s="29">
        <f>IF(R11=0,0,R11/TrRail_act!R15*100)</f>
        <v>122.83165711428201</v>
      </c>
      <c r="S24" s="29">
        <f>IF(S11=0,0,S11/TrRail_act!S15*100)</f>
        <v>118.89470746548498</v>
      </c>
      <c r="T24" s="29">
        <f>IF(T11=0,0,T11/TrRail_act!T15*100)</f>
        <v>116.13121226563101</v>
      </c>
      <c r="U24" s="29">
        <f>IF(U11=0,0,U11/TrRail_act!U15*100)</f>
        <v>80.592231007029341</v>
      </c>
      <c r="V24" s="29">
        <f>IF(V11=0,0,V11/TrRail_act!V15*100)</f>
        <v>68.73972298945921</v>
      </c>
      <c r="W24" s="29">
        <f>IF(W11=0,0,W11/TrRail_act!W15*100)</f>
        <v>69.875407559808039</v>
      </c>
      <c r="X24" s="29">
        <f>IF(X11=0,0,X11/TrRail_act!X15*100)</f>
        <v>70.69222206293901</v>
      </c>
      <c r="Y24" s="29">
        <f>IF(Y11=0,0,Y11/TrRail_act!Y15*100)</f>
        <v>62.130815594561618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45.898858140266505</v>
      </c>
      <c r="C25" s="115">
        <f>IF(C12=0,0,C12/TrRail_act!C16*100)</f>
        <v>45.511443268693583</v>
      </c>
      <c r="D25" s="115">
        <f>IF(D12=0,0,D12/TrRail_act!D16*100)</f>
        <v>44.966334004122878</v>
      </c>
      <c r="E25" s="115">
        <f>IF(E12=0,0,E12/TrRail_act!E16*100)</f>
        <v>45.205792098060812</v>
      </c>
      <c r="F25" s="115">
        <f>IF(F12=0,0,F12/TrRail_act!F16*100)</f>
        <v>44.222890863155527</v>
      </c>
      <c r="G25" s="115">
        <f>IF(G12=0,0,G12/TrRail_act!G16*100)</f>
        <v>42.153592468262381</v>
      </c>
      <c r="H25" s="115">
        <f>IF(H12=0,0,H12/TrRail_act!H16*100)</f>
        <v>41.512568027242267</v>
      </c>
      <c r="I25" s="115">
        <f>IF(I12=0,0,I12/TrRail_act!I16*100)</f>
        <v>40.608397846174618</v>
      </c>
      <c r="J25" s="115">
        <f>IF(J12=0,0,J12/TrRail_act!J16*100)</f>
        <v>39.832354030280804</v>
      </c>
      <c r="K25" s="115">
        <f>IF(K12=0,0,K12/TrRail_act!K16*100)</f>
        <v>39.116070883455137</v>
      </c>
      <c r="L25" s="115">
        <f>IF(L12=0,0,L12/TrRail_act!L16*100)</f>
        <v>39.036864646190992</v>
      </c>
      <c r="M25" s="115">
        <f>IF(M12=0,0,M12/TrRail_act!M16*100)</f>
        <v>38.502545457494072</v>
      </c>
      <c r="N25" s="115">
        <f>IF(N12=0,0,N12/TrRail_act!N16*100)</f>
        <v>38.079431811943714</v>
      </c>
      <c r="O25" s="115">
        <f>IF(O12=0,0,O12/TrRail_act!O16*100)</f>
        <v>37.373112625798882</v>
      </c>
      <c r="P25" s="115">
        <f>IF(P12=0,0,P12/TrRail_act!P16*100)</f>
        <v>36.41456210924224</v>
      </c>
      <c r="Q25" s="115">
        <f>IF(Q12=0,0,Q12/TrRail_act!Q16*100)</f>
        <v>35.349006461631788</v>
      </c>
      <c r="R25" s="115">
        <f>IF(R12=0,0,R12/TrRail_act!R16*100)</f>
        <v>34.570352009475222</v>
      </c>
      <c r="S25" s="115">
        <f>IF(S12=0,0,S12/TrRail_act!S16*100)</f>
        <v>33.997637912887015</v>
      </c>
      <c r="T25" s="115">
        <f>IF(T12=0,0,T12/TrRail_act!T16*100)</f>
        <v>33.574337442034867</v>
      </c>
      <c r="U25" s="115">
        <f>IF(U12=0,0,U12/TrRail_act!U16*100)</f>
        <v>33.260324432979054</v>
      </c>
      <c r="V25" s="115">
        <f>IF(V12=0,0,V12/TrRail_act!V16*100)</f>
        <v>33.026743522417135</v>
      </c>
      <c r="W25" s="115">
        <f>IF(W12=0,0,W12/TrRail_act!W16*100)</f>
        <v>32.852635045981394</v>
      </c>
      <c r="X25" s="115">
        <f>IF(X12=0,0,X12/TrRail_act!X16*100)</f>
        <v>32.722656168130669</v>
      </c>
      <c r="Y25" s="115">
        <f>IF(Y12=0,0,Y12/TrRail_act!Y16*100)</f>
        <v>32.625509788585845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303.47330813326596</v>
      </c>
      <c r="C26" s="116">
        <f>IF(C13=0,0,C13/TrRail_act!C17*100)</f>
        <v>292.78436288690409</v>
      </c>
      <c r="D26" s="116">
        <f>IF(D13=0,0,D13/TrRail_act!D17*100)</f>
        <v>279.36050231125989</v>
      </c>
      <c r="E26" s="116">
        <f>IF(E13=0,0,E13/TrRail_act!E17*100)</f>
        <v>268.68688986190955</v>
      </c>
      <c r="F26" s="116">
        <f>IF(F13=0,0,F13/TrRail_act!F17*100)</f>
        <v>262.33488745840788</v>
      </c>
      <c r="G26" s="116">
        <f>IF(G13=0,0,G13/TrRail_act!G17*100)</f>
        <v>253.66615308661079</v>
      </c>
      <c r="H26" s="116">
        <f>IF(H13=0,0,H13/TrRail_act!H17*100)</f>
        <v>251.53189977463515</v>
      </c>
      <c r="I26" s="116">
        <f>IF(I13=0,0,I13/TrRail_act!I17*100)</f>
        <v>245.19166955960236</v>
      </c>
      <c r="J26" s="116">
        <f>IF(J13=0,0,J13/TrRail_act!J17*100)</f>
        <v>234.37879590918956</v>
      </c>
      <c r="K26" s="116">
        <f>IF(K13=0,0,K13/TrRail_act!K17*100)</f>
        <v>232.82409721228348</v>
      </c>
      <c r="L26" s="116">
        <f>IF(L13=0,0,L13/TrRail_act!L17*100)</f>
        <v>231.97221017179524</v>
      </c>
      <c r="M26" s="116">
        <f>IF(M13=0,0,M13/TrRail_act!M17*100)</f>
        <v>230.84679937030427</v>
      </c>
      <c r="N26" s="116">
        <f>IF(N13=0,0,N13/TrRail_act!N17*100)</f>
        <v>223.68561451208038</v>
      </c>
      <c r="O26" s="116">
        <f>IF(O13=0,0,O13/TrRail_act!O17*100)</f>
        <v>207.51236821090689</v>
      </c>
      <c r="P26" s="116">
        <f>IF(P13=0,0,P13/TrRail_act!P17*100)</f>
        <v>204.73526538585057</v>
      </c>
      <c r="Q26" s="116">
        <f>IF(Q13=0,0,Q13/TrRail_act!Q17*100)</f>
        <v>199.53370468820216</v>
      </c>
      <c r="R26" s="116">
        <f>IF(R13=0,0,R13/TrRail_act!R17*100)</f>
        <v>201.03465432901038</v>
      </c>
      <c r="S26" s="116">
        <f>IF(S13=0,0,S13/TrRail_act!S17*100)</f>
        <v>200.38471462970287</v>
      </c>
      <c r="T26" s="116">
        <f>IF(T13=0,0,T13/TrRail_act!T17*100)</f>
        <v>195.96462756676758</v>
      </c>
      <c r="U26" s="116">
        <f>IF(U13=0,0,U13/TrRail_act!U17*100)</f>
        <v>165.74619712059905</v>
      </c>
      <c r="V26" s="116">
        <f>IF(V13=0,0,V13/TrRail_act!V17*100)</f>
        <v>164.64680894743159</v>
      </c>
      <c r="W26" s="116">
        <f>IF(W13=0,0,W13/TrRail_act!W17*100)</f>
        <v>155.5354975878239</v>
      </c>
      <c r="X26" s="116">
        <f>IF(X13=0,0,X13/TrRail_act!X17*100)</f>
        <v>153.2342706068647</v>
      </c>
      <c r="Y26" s="116">
        <f>IF(Y13=0,0,Y13/TrRail_act!Y17*100)</f>
        <v>149.19091908988537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314.32783706848272</v>
      </c>
      <c r="C27" s="87">
        <f>IF(C14=0,0,C14/TrRail_act!C18*100)</f>
        <v>302.80478044770439</v>
      </c>
      <c r="D27" s="87">
        <f>IF(D14=0,0,D14/TrRail_act!D18*100)</f>
        <v>287.16382488210195</v>
      </c>
      <c r="E27" s="87">
        <f>IF(E14=0,0,E14/TrRail_act!E18*100)</f>
        <v>275.25686436763112</v>
      </c>
      <c r="F27" s="87">
        <f>IF(F14=0,0,F14/TrRail_act!F18*100)</f>
        <v>267.4971364343624</v>
      </c>
      <c r="G27" s="87">
        <f>IF(G14=0,0,G14/TrRail_act!G18*100)</f>
        <v>256.46457033259662</v>
      </c>
      <c r="H27" s="87">
        <f>IF(H14=0,0,H14/TrRail_act!H18*100)</f>
        <v>251.77063447658247</v>
      </c>
      <c r="I27" s="87">
        <f>IF(I14=0,0,I14/TrRail_act!I18*100)</f>
        <v>250.00598556329288</v>
      </c>
      <c r="J27" s="87">
        <f>IF(J14=0,0,J14/TrRail_act!J18*100)</f>
        <v>244.45637712126799</v>
      </c>
      <c r="K27" s="87">
        <f>IF(K14=0,0,K14/TrRail_act!K18*100)</f>
        <v>241.82697655792299</v>
      </c>
      <c r="L27" s="87">
        <f>IF(L14=0,0,L14/TrRail_act!L18*100)</f>
        <v>233.22069343856882</v>
      </c>
      <c r="M27" s="87">
        <f>IF(M14=0,0,M14/TrRail_act!M18*100)</f>
        <v>231.84906329162698</v>
      </c>
      <c r="N27" s="87">
        <f>IF(N14=0,0,N14/TrRail_act!N18*100)</f>
        <v>227.47960822406901</v>
      </c>
      <c r="O27" s="87">
        <f>IF(O14=0,0,O14/TrRail_act!O18*100)</f>
        <v>225.04331578269233</v>
      </c>
      <c r="P27" s="87">
        <f>IF(P14=0,0,P14/TrRail_act!P18*100)</f>
        <v>222.97490493613853</v>
      </c>
      <c r="Q27" s="87">
        <f>IF(Q14=0,0,Q14/TrRail_act!Q18*100)</f>
        <v>221.24010488759797</v>
      </c>
      <c r="R27" s="87">
        <f>IF(R14=0,0,R14/TrRail_act!R18*100)</f>
        <v>219.94786812793214</v>
      </c>
      <c r="S27" s="87">
        <f>IF(S14=0,0,S14/TrRail_act!S18*100)</f>
        <v>218.98364621782264</v>
      </c>
      <c r="T27" s="87">
        <f>IF(T14=0,0,T14/TrRail_act!T18*100)</f>
        <v>218.26325478131494</v>
      </c>
      <c r="U27" s="87">
        <f>IF(U14=0,0,U14/TrRail_act!U18*100)</f>
        <v>217.72451686095516</v>
      </c>
      <c r="V27" s="87">
        <f>IF(V14=0,0,V14/TrRail_act!V18*100)</f>
        <v>217.3213362576551</v>
      </c>
      <c r="W27" s="87">
        <f>IF(W14=0,0,W14/TrRail_act!W18*100)</f>
        <v>217.01944084257764</v>
      </c>
      <c r="X27" s="87">
        <f>IF(X14=0,0,X14/TrRail_act!X18*100)</f>
        <v>216.79329453130518</v>
      </c>
      <c r="Y27" s="87">
        <f>IF(Y14=0,0,Y14/TrRail_act!Y18*100)</f>
        <v>216.62383946204451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168.80261644722191</v>
      </c>
      <c r="C28" s="87">
        <f>IF(C15=0,0,C15/TrRail_act!C19*100)</f>
        <v>166.61365776852287</v>
      </c>
      <c r="D28" s="87">
        <f>IF(D15=0,0,D15/TrRail_act!D19*100)</f>
        <v>160.97460618515359</v>
      </c>
      <c r="E28" s="87">
        <f>IF(E15=0,0,E15/TrRail_act!E19*100)</f>
        <v>155.14371257782224</v>
      </c>
      <c r="F28" s="87">
        <f>IF(F15=0,0,F15/TrRail_act!F19*100)</f>
        <v>151.99931113320534</v>
      </c>
      <c r="G28" s="87">
        <f>IF(G15=0,0,G15/TrRail_act!G19*100)</f>
        <v>147.78520952553518</v>
      </c>
      <c r="H28" s="87">
        <f>IF(H15=0,0,H15/TrRail_act!H19*100)</f>
        <v>144.51574570331914</v>
      </c>
      <c r="I28" s="87">
        <f>IF(I15=0,0,I15/TrRail_act!I19*100)</f>
        <v>141.09343840825926</v>
      </c>
      <c r="J28" s="87">
        <f>IF(J15=0,0,J15/TrRail_act!J19*100)</f>
        <v>136.67920867429348</v>
      </c>
      <c r="K28" s="87">
        <f>IF(K15=0,0,K15/TrRail_act!K19*100)</f>
        <v>134.95306772336437</v>
      </c>
      <c r="L28" s="87">
        <f>IF(L15=0,0,L15/TrRail_act!L19*100)</f>
        <v>133.32088830278474</v>
      </c>
      <c r="M28" s="87">
        <f>IF(M15=0,0,M15/TrRail_act!M19*100)</f>
        <v>132.27736881482494</v>
      </c>
      <c r="N28" s="87">
        <f>IF(N15=0,0,N15/TrRail_act!N19*100)</f>
        <v>130.4785898843503</v>
      </c>
      <c r="O28" s="87">
        <f>IF(O15=0,0,O15/TrRail_act!O19*100)</f>
        <v>130.45365783983783</v>
      </c>
      <c r="P28" s="87">
        <f>IF(P15=0,0,P15/TrRail_act!P19*100)</f>
        <v>129.22179505961034</v>
      </c>
      <c r="Q28" s="87">
        <f>IF(Q15=0,0,Q15/TrRail_act!Q19*100)</f>
        <v>129.42803518693219</v>
      </c>
      <c r="R28" s="87">
        <f>IF(R15=0,0,R15/TrRail_act!R19*100)</f>
        <v>128.9350166096541</v>
      </c>
      <c r="S28" s="87">
        <f>IF(S15=0,0,S15/TrRail_act!S19*100)</f>
        <v>128.56648551430237</v>
      </c>
      <c r="T28" s="87">
        <f>IF(T15=0,0,T15/TrRail_act!T19*100)</f>
        <v>128.29077862588022</v>
      </c>
      <c r="U28" s="87">
        <f>IF(U15=0,0,U15/TrRail_act!U19*100)</f>
        <v>128.08438653376709</v>
      </c>
      <c r="V28" s="87">
        <f>IF(V15=0,0,V15/TrRail_act!V19*100)</f>
        <v>127.92981041440605</v>
      </c>
      <c r="W28" s="87">
        <f>IF(W15=0,0,W15/TrRail_act!W19*100)</f>
        <v>127.81400101719494</v>
      </c>
      <c r="X28" s="87">
        <f>IF(X15=0,0,X15/TrRail_act!X19*100)</f>
        <v>127.72721227465136</v>
      </c>
      <c r="Y28" s="87">
        <f>IF(Y15=0,0,Y15/TrRail_act!Y19*100)</f>
        <v>127.66216013748235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X29" s="117">
        <f>IF(X16=0,0,X16/TrRail_act!X20*100)</f>
        <v>0</v>
      </c>
      <c r="Y29" s="117">
        <f>IF(Y16=0,0,Y16/TrRail_act!Y20*100)</f>
        <v>0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463.95114710929624</v>
      </c>
      <c r="C30" s="29">
        <f>IF(C17=0,0,C17/TrRail_act!C21*100)</f>
        <v>430.08688109873623</v>
      </c>
      <c r="D30" s="29">
        <f>IF(D17=0,0,D17/TrRail_act!D21*100)</f>
        <v>450.46786996368428</v>
      </c>
      <c r="E30" s="29">
        <f>IF(E17=0,0,E17/TrRail_act!E21*100)</f>
        <v>431.09856345728696</v>
      </c>
      <c r="F30" s="29">
        <f>IF(F17=0,0,F17/TrRail_act!F21*100)</f>
        <v>425.31886577800219</v>
      </c>
      <c r="G30" s="29">
        <f>IF(G17=0,0,G17/TrRail_act!G21*100)</f>
        <v>437.1930168082564</v>
      </c>
      <c r="H30" s="29">
        <f>IF(H17=0,0,H17/TrRail_act!H21*100)</f>
        <v>442.56518886002868</v>
      </c>
      <c r="I30" s="29">
        <f>IF(I17=0,0,I17/TrRail_act!I21*100)</f>
        <v>376.96795801908235</v>
      </c>
      <c r="J30" s="29">
        <f>IF(J17=0,0,J17/TrRail_act!J21*100)</f>
        <v>408.98333255522675</v>
      </c>
      <c r="K30" s="29">
        <f>IF(K17=0,0,K17/TrRail_act!K21*100)</f>
        <v>371.467564452293</v>
      </c>
      <c r="L30" s="29">
        <f>IF(L17=0,0,L17/TrRail_act!L21*100)</f>
        <v>372.28345465078962</v>
      </c>
      <c r="M30" s="29">
        <f>IF(M17=0,0,M17/TrRail_act!M21*100)</f>
        <v>324.04990117552546</v>
      </c>
      <c r="N30" s="29">
        <f>IF(N17=0,0,N17/TrRail_act!N21*100)</f>
        <v>320.79772832863642</v>
      </c>
      <c r="O30" s="29">
        <f>IF(O17=0,0,O17/TrRail_act!O21*100)</f>
        <v>286.62765084047857</v>
      </c>
      <c r="P30" s="29">
        <f>IF(P17=0,0,P17/TrRail_act!P21*100)</f>
        <v>288.03640797380456</v>
      </c>
      <c r="Q30" s="29">
        <f>IF(Q17=0,0,Q17/TrRail_act!Q21*100)</f>
        <v>284.00245216273578</v>
      </c>
      <c r="R30" s="29">
        <f>IF(R17=0,0,R17/TrRail_act!R21*100)</f>
        <v>285.53913379338411</v>
      </c>
      <c r="S30" s="29">
        <f>IF(S17=0,0,S17/TrRail_act!S21*100)</f>
        <v>282.68386702889427</v>
      </c>
      <c r="T30" s="29">
        <f>IF(T17=0,0,T17/TrRail_act!T21*100)</f>
        <v>276.44827442519892</v>
      </c>
      <c r="U30" s="29">
        <f>IF(U17=0,0,U17/TrRail_act!U21*100)</f>
        <v>208.68055927001495</v>
      </c>
      <c r="V30" s="29">
        <f>IF(V17=0,0,V17/TrRail_act!V21*100)</f>
        <v>197.78369716798935</v>
      </c>
      <c r="W30" s="29">
        <f>IF(W17=0,0,W17/TrRail_act!W21*100)</f>
        <v>204.12011963391598</v>
      </c>
      <c r="X30" s="29">
        <f>IF(X17=0,0,X17/TrRail_act!X21*100)</f>
        <v>198.14999166679408</v>
      </c>
      <c r="Y30" s="29">
        <f>IF(Y17=0,0,Y17/TrRail_act!Y21*100)</f>
        <v>175.23977479840471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549.73339046558863</v>
      </c>
      <c r="C31" s="87">
        <f>IF(C18=0,0,C18/TrRail_act!C22*100)</f>
        <v>530.350722827607</v>
      </c>
      <c r="D31" s="87">
        <f>IF(D18=0,0,D18/TrRail_act!D22*100)</f>
        <v>516.89553619946992</v>
      </c>
      <c r="E31" s="87">
        <f>IF(E18=0,0,E18/TrRail_act!E22*100)</f>
        <v>496.08883032460147</v>
      </c>
      <c r="F31" s="87">
        <f>IF(F18=0,0,F18/TrRail_act!F22*100)</f>
        <v>490.37550497271798</v>
      </c>
      <c r="G31" s="87">
        <f>IF(G18=0,0,G18/TrRail_act!G22*100)</f>
        <v>482.10964709517816</v>
      </c>
      <c r="H31" s="87">
        <f>IF(H18=0,0,H18/TrRail_act!H22*100)</f>
        <v>471.44778255967037</v>
      </c>
      <c r="I31" s="87">
        <f>IF(I18=0,0,I18/TrRail_act!I22*100)</f>
        <v>467.36038065570347</v>
      </c>
      <c r="J31" s="87">
        <f>IF(J18=0,0,J18/TrRail_act!J22*100)</f>
        <v>452.49868723170943</v>
      </c>
      <c r="K31" s="87">
        <f>IF(K18=0,0,K18/TrRail_act!K22*100)</f>
        <v>443.75649516628465</v>
      </c>
      <c r="L31" s="87">
        <f>IF(L18=0,0,L18/TrRail_act!L22*100)</f>
        <v>435.27830107856369</v>
      </c>
      <c r="M31" s="87">
        <f>IF(M18=0,0,M18/TrRail_act!M22*100)</f>
        <v>430.64720814695585</v>
      </c>
      <c r="N31" s="87">
        <f>IF(N18=0,0,N18/TrRail_act!N22*100)</f>
        <v>427.76180616732643</v>
      </c>
      <c r="O31" s="87">
        <f>IF(O18=0,0,O18/TrRail_act!O22*100)</f>
        <v>427.72495409955013</v>
      </c>
      <c r="P31" s="87">
        <f>IF(P18=0,0,P18/TrRail_act!P22*100)</f>
        <v>422.83092662693929</v>
      </c>
      <c r="Q31" s="87">
        <f>IF(Q18=0,0,Q18/TrRail_act!Q22*100)</f>
        <v>421.28696148201038</v>
      </c>
      <c r="R31" s="87">
        <f>IF(R18=0,0,R18/TrRail_act!R22*100)</f>
        <v>420.13268854285508</v>
      </c>
      <c r="S31" s="87">
        <f>IF(S18=0,0,S18/TrRail_act!S22*100)</f>
        <v>419.26905974617262</v>
      </c>
      <c r="T31" s="87">
        <f>IF(T18=0,0,T18/TrRail_act!T22*100)</f>
        <v>418.62250337796831</v>
      </c>
      <c r="U31" s="87">
        <f>IF(U18=0,0,U18/TrRail_act!U22*100)</f>
        <v>418.13824050438387</v>
      </c>
      <c r="V31" s="87">
        <f>IF(V18=0,0,V18/TrRail_act!V22*100)</f>
        <v>417.77541101293735</v>
      </c>
      <c r="W31" s="87">
        <f>IF(W18=0,0,W18/TrRail_act!W22*100)</f>
        <v>417.50349552286428</v>
      </c>
      <c r="X31" s="87">
        <f>IF(X18=0,0,X18/TrRail_act!X22*100)</f>
        <v>417.29967505142554</v>
      </c>
      <c r="Y31" s="87">
        <f>IF(Y18=0,0,Y18/TrRail_act!Y22*100)</f>
        <v>417.14687500086603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212.94778365877528</v>
      </c>
      <c r="C32" s="88">
        <f>IF(C19=0,0,C19/TrRail_act!C23*100)</f>
        <v>207.44436511426366</v>
      </c>
      <c r="D32" s="88">
        <f>IF(D19=0,0,D19/TrRail_act!D23*100)</f>
        <v>202.58964998893697</v>
      </c>
      <c r="E32" s="88">
        <f>IF(E19=0,0,E19/TrRail_act!E23*100)</f>
        <v>198.97821801737521</v>
      </c>
      <c r="F32" s="88">
        <f>IF(F19=0,0,F19/TrRail_act!F23*100)</f>
        <v>192.1271076139009</v>
      </c>
      <c r="G32" s="88">
        <f>IF(G19=0,0,G19/TrRail_act!G23*100)</f>
        <v>187.72363478745098</v>
      </c>
      <c r="H32" s="88">
        <f>IF(H19=0,0,H19/TrRail_act!H23*100)</f>
        <v>182.10830188925911</v>
      </c>
      <c r="I32" s="88">
        <f>IF(I19=0,0,I19/TrRail_act!I23*100)</f>
        <v>177.68561294171926</v>
      </c>
      <c r="J32" s="88">
        <f>IF(J19=0,0,J19/TrRail_act!J23*100)</f>
        <v>173.9752960801967</v>
      </c>
      <c r="K32" s="88">
        <f>IF(K19=0,0,K19/TrRail_act!K23*100)</f>
        <v>169.22432356482287</v>
      </c>
      <c r="L32" s="88">
        <f>IF(L19=0,0,L19/TrRail_act!L23*100)</f>
        <v>168.4739867287004</v>
      </c>
      <c r="M32" s="88">
        <f>IF(M19=0,0,M19/TrRail_act!M23*100)</f>
        <v>165.16890341933959</v>
      </c>
      <c r="N32" s="88">
        <f>IF(N19=0,0,N19/TrRail_act!N23*100)</f>
        <v>160.85450491364912</v>
      </c>
      <c r="O32" s="88">
        <f>IF(O19=0,0,O19/TrRail_act!O23*100)</f>
        <v>157.47954783057895</v>
      </c>
      <c r="P32" s="88">
        <f>IF(P19=0,0,P19/TrRail_act!P23*100)</f>
        <v>151.93945397591489</v>
      </c>
      <c r="Q32" s="88">
        <f>IF(Q19=0,0,Q19/TrRail_act!Q23*100)</f>
        <v>150.57112749122695</v>
      </c>
      <c r="R32" s="88">
        <f>IF(R19=0,0,R19/TrRail_act!R23*100)</f>
        <v>149.55297554129399</v>
      </c>
      <c r="S32" s="88">
        <f>IF(S19=0,0,S19/TrRail_act!S23*100)</f>
        <v>148.79388219975502</v>
      </c>
      <c r="T32" s="88">
        <f>IF(T19=0,0,T19/TrRail_act!T23*100)</f>
        <v>148.22709177435786</v>
      </c>
      <c r="U32" s="88">
        <f>IF(U19=0,0,U19/TrRail_act!U23*100)</f>
        <v>147.80341627350492</v>
      </c>
      <c r="V32" s="88">
        <f>IF(V19=0,0,V19/TrRail_act!V23*100)</f>
        <v>147.48645456891393</v>
      </c>
      <c r="W32" s="88">
        <f>IF(W19=0,0,W19/TrRail_act!W23*100)</f>
        <v>147.24917973325532</v>
      </c>
      <c r="X32" s="88">
        <f>IF(X19=0,0,X19/TrRail_act!X23*100)</f>
        <v>147.07147357257526</v>
      </c>
      <c r="Y32" s="88">
        <f>IF(Y19=0,0,Y19/TrRail_act!Y23*100)</f>
        <v>146.93833556343952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15.014744438221147</v>
      </c>
      <c r="C35" s="29">
        <f>IF(C11=0,0,C11/TrRail_act!C4*1000)</f>
        <v>15.397755074483532</v>
      </c>
      <c r="D35" s="29">
        <f>IF(D11=0,0,D11/TrRail_act!D4*1000)</f>
        <v>14.801800820572623</v>
      </c>
      <c r="E35" s="29">
        <f>IF(E11=0,0,E11/TrRail_act!E4*1000)</f>
        <v>15.641282402307271</v>
      </c>
      <c r="F35" s="29">
        <f>IF(F11=0,0,F11/TrRail_act!F4*1000)</f>
        <v>14.442363290160579</v>
      </c>
      <c r="G35" s="29">
        <f>IF(G11=0,0,G11/TrRail_act!G4*1000)</f>
        <v>12.6179848846671</v>
      </c>
      <c r="H35" s="29">
        <f>IF(H11=0,0,H11/TrRail_act!H4*1000)</f>
        <v>13.383199662343706</v>
      </c>
      <c r="I35" s="29">
        <f>IF(I11=0,0,I11/TrRail_act!I4*1000)</f>
        <v>12.058731498112056</v>
      </c>
      <c r="J35" s="29">
        <f>IF(J11=0,0,J11/TrRail_act!J4*1000)</f>
        <v>11.519287349310057</v>
      </c>
      <c r="K35" s="29">
        <f>IF(K11=0,0,K11/TrRail_act!K4*1000)</f>
        <v>11.308118358583915</v>
      </c>
      <c r="L35" s="29">
        <f>IF(L11=0,0,L11/TrRail_act!L4*1000)</f>
        <v>6.9357931162345858</v>
      </c>
      <c r="M35" s="29">
        <f>IF(M11=0,0,M11/TrRail_act!M4*1000)</f>
        <v>7.062850340012143</v>
      </c>
      <c r="N35" s="29">
        <f>IF(N11=0,0,N11/TrRail_act!N4*1000)</f>
        <v>11.470193852083558</v>
      </c>
      <c r="O35" s="29">
        <f>IF(O11=0,0,O11/TrRail_act!O4*1000)</f>
        <v>9.5510587796722302</v>
      </c>
      <c r="P35" s="29">
        <f>IF(P11=0,0,P11/TrRail_act!P4*1000)</f>
        <v>20.544795430653757</v>
      </c>
      <c r="Q35" s="29">
        <f>IF(Q11=0,0,Q11/TrRail_act!Q4*1000)</f>
        <v>19.539604213760636</v>
      </c>
      <c r="R35" s="29">
        <f>IF(R11=0,0,R11/TrRail_act!R4*1000)</f>
        <v>19.365865196406876</v>
      </c>
      <c r="S35" s="29">
        <f>IF(S11=0,0,S11/TrRail_act!S4*1000)</f>
        <v>19.137625678375048</v>
      </c>
      <c r="T35" s="29">
        <f>IF(T11=0,0,T11/TrRail_act!T4*1000)</f>
        <v>18.765128152498782</v>
      </c>
      <c r="U35" s="29">
        <f>IF(U11=0,0,U11/TrRail_act!U4*1000)</f>
        <v>8.3431089936648775</v>
      </c>
      <c r="V35" s="29">
        <f>IF(V11=0,0,V11/TrRail_act!V4*1000)</f>
        <v>10.507087713055938</v>
      </c>
      <c r="W35" s="29">
        <f>IF(W11=0,0,W11/TrRail_act!W4*1000)</f>
        <v>10.860323089758049</v>
      </c>
      <c r="X35" s="29">
        <f>IF(X11=0,0,X11/TrRail_act!X4*1000)</f>
        <v>8.7345418608410874</v>
      </c>
      <c r="Y35" s="29">
        <f>IF(Y11=0,0,Y11/TrRail_act!Y4*1000)</f>
        <v>8.2983154248674005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5.367096572849448</v>
      </c>
      <c r="C36" s="115">
        <f>IF(C12=0,0,C12/TrRail_act!C5*1000)</f>
        <v>5.321955718734352</v>
      </c>
      <c r="D36" s="115">
        <f>IF(D12=0,0,D12/TrRail_act!D5*1000)</f>
        <v>5.3090558725069217</v>
      </c>
      <c r="E36" s="115">
        <f>IF(E12=0,0,E12/TrRail_act!E5*1000)</f>
        <v>5.3649974257537076</v>
      </c>
      <c r="F36" s="115">
        <f>IF(F12=0,0,F12/TrRail_act!F5*1000)</f>
        <v>5.2864235595302036</v>
      </c>
      <c r="G36" s="115">
        <f>IF(G12=0,0,G12/TrRail_act!G5*1000)</f>
        <v>2.6163388338374824</v>
      </c>
      <c r="H36" s="115">
        <f>IF(H12=0,0,H12/TrRail_act!H5*1000)</f>
        <v>4.1936021932613281</v>
      </c>
      <c r="I36" s="115">
        <f>IF(I12=0,0,I12/TrRail_act!I5*1000)</f>
        <v>4.8629171226871097</v>
      </c>
      <c r="J36" s="115">
        <f>IF(J12=0,0,J12/TrRail_act!J5*1000)</f>
        <v>3.1232620577752241</v>
      </c>
      <c r="K36" s="115">
        <f>IF(K12=0,0,K12/TrRail_act!K5*1000)</f>
        <v>3.5690644095698718</v>
      </c>
      <c r="L36" s="115">
        <f>IF(L12=0,0,L12/TrRail_act!L5*1000)</f>
        <v>2.0733704180351857</v>
      </c>
      <c r="M36" s="115">
        <f>IF(M12=0,0,M12/TrRail_act!M5*1000)</f>
        <v>2.6863643697575283</v>
      </c>
      <c r="N36" s="115">
        <f>IF(N12=0,0,N12/TrRail_act!N5*1000)</f>
        <v>2.4002986458280149</v>
      </c>
      <c r="O36" s="115">
        <f>IF(O12=0,0,O12/TrRail_act!O5*1000)</f>
        <v>3.8431400369947339</v>
      </c>
      <c r="P36" s="115">
        <f>IF(P12=0,0,P12/TrRail_act!P5*1000)</f>
        <v>4.9303522617465125</v>
      </c>
      <c r="Q36" s="115">
        <f>IF(Q12=0,0,Q12/TrRail_act!Q5*1000)</f>
        <v>4.529130885520944</v>
      </c>
      <c r="R36" s="115">
        <f>IF(R12=0,0,R12/TrRail_act!R5*1000)</f>
        <v>4.4060770329887582</v>
      </c>
      <c r="S36" s="115">
        <f>IF(S12=0,0,S12/TrRail_act!S5*1000)</f>
        <v>4.44517264546141</v>
      </c>
      <c r="T36" s="115">
        <f>IF(T12=0,0,T12/TrRail_act!T5*1000)</f>
        <v>4.4037335684906509</v>
      </c>
      <c r="U36" s="115">
        <f>IF(U12=0,0,U12/TrRail_act!U5*1000)</f>
        <v>3.8644414622894381</v>
      </c>
      <c r="V36" s="115">
        <f>IF(V12=0,0,V12/TrRail_act!V5*1000)</f>
        <v>5.8413843247432631</v>
      </c>
      <c r="W36" s="115">
        <f>IF(W12=0,0,W12/TrRail_act!W5*1000)</f>
        <v>5.6331580158572825</v>
      </c>
      <c r="X36" s="115">
        <f>IF(X12=0,0,X12/TrRail_act!X5*1000)</f>
        <v>4.9096461806025173</v>
      </c>
      <c r="Y36" s="115">
        <f>IF(Y12=0,0,Y12/TrRail_act!Y5*1000)</f>
        <v>4.6861802073748855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21.102072624749418</v>
      </c>
      <c r="C37" s="116">
        <f>IF(C13=0,0,C13/TrRail_act!C6*1000)</f>
        <v>23.068512454647475</v>
      </c>
      <c r="D37" s="116">
        <f>IF(D13=0,0,D13/TrRail_act!D6*1000)</f>
        <v>21.781760341209168</v>
      </c>
      <c r="E37" s="116">
        <f>IF(E13=0,0,E13/TrRail_act!E6*1000)</f>
        <v>24.781561288695446</v>
      </c>
      <c r="F37" s="116">
        <f>IF(F13=0,0,F13/TrRail_act!F6*1000)</f>
        <v>22.676122040727467</v>
      </c>
      <c r="G37" s="116">
        <f>IF(G13=0,0,G13/TrRail_act!G6*1000)</f>
        <v>20.709931527733136</v>
      </c>
      <c r="H37" s="116">
        <f>IF(H13=0,0,H13/TrRail_act!H6*1000)</f>
        <v>21.248399042287211</v>
      </c>
      <c r="I37" s="116">
        <f>IF(I13=0,0,I13/TrRail_act!I6*1000)</f>
        <v>18.024173467376261</v>
      </c>
      <c r="J37" s="116">
        <f>IF(J13=0,0,J13/TrRail_act!J6*1000)</f>
        <v>19.930513652235717</v>
      </c>
      <c r="K37" s="116">
        <f>IF(K13=0,0,K13/TrRail_act!K6*1000)</f>
        <v>20.123359768810548</v>
      </c>
      <c r="L37" s="116">
        <f>IF(L13=0,0,L13/TrRail_act!L6*1000)</f>
        <v>12.887238521540004</v>
      </c>
      <c r="M37" s="116">
        <f>IF(M13=0,0,M13/TrRail_act!M6*1000)</f>
        <v>14.712939438077912</v>
      </c>
      <c r="N37" s="116">
        <f>IF(N13=0,0,N13/TrRail_act!N6*1000)</f>
        <v>29.668734625624229</v>
      </c>
      <c r="O37" s="116">
        <f>IF(O13=0,0,O13/TrRail_act!O6*1000)</f>
        <v>18.545411716009465</v>
      </c>
      <c r="P37" s="116">
        <f>IF(P13=0,0,P13/TrRail_act!P6*1000)</f>
        <v>44.75692648272652</v>
      </c>
      <c r="Q37" s="116">
        <f>IF(Q13=0,0,Q13/TrRail_act!Q6*1000)</f>
        <v>39.43359017350901</v>
      </c>
      <c r="R37" s="116">
        <f>IF(R13=0,0,R13/TrRail_act!R6*1000)</f>
        <v>40.121542191302659</v>
      </c>
      <c r="S37" s="116">
        <f>IF(S13=0,0,S13/TrRail_act!S6*1000)</f>
        <v>41.447800890827338</v>
      </c>
      <c r="T37" s="116">
        <f>IF(T13=0,0,T13/TrRail_act!T6*1000)</f>
        <v>40.820582169495019</v>
      </c>
      <c r="U37" s="116">
        <f>IF(U13=0,0,U13/TrRail_act!U6*1000)</f>
        <v>14.345197928764062</v>
      </c>
      <c r="V37" s="116">
        <f>IF(V13=0,0,V13/TrRail_act!V6*1000)</f>
        <v>18.442137248994801</v>
      </c>
      <c r="W37" s="116">
        <f>IF(W13=0,0,W13/TrRail_act!W6*1000)</f>
        <v>19.872019797689465</v>
      </c>
      <c r="X37" s="116">
        <f>IF(X13=0,0,X13/TrRail_act!X6*1000)</f>
        <v>13.683233487025081</v>
      </c>
      <c r="Y37" s="116">
        <f>IF(Y13=0,0,Y13/TrRail_act!Y6*1000)</f>
        <v>16.509766924940401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26.972663910520588</v>
      </c>
      <c r="C38" s="87">
        <f>IF(C14=0,0,C14/TrRail_act!C7*1000)</f>
        <v>25.009247174002034</v>
      </c>
      <c r="D38" s="87">
        <f>IF(D14=0,0,D14/TrRail_act!D7*1000)</f>
        <v>24.717437471516728</v>
      </c>
      <c r="E38" s="87">
        <f>IF(E14=0,0,E14/TrRail_act!E7*1000)</f>
        <v>27.494405800948428</v>
      </c>
      <c r="F38" s="87">
        <f>IF(F14=0,0,F14/TrRail_act!F7*1000)</f>
        <v>25.4114323718712</v>
      </c>
      <c r="G38" s="87">
        <f>IF(G14=0,0,G14/TrRail_act!G7*1000)</f>
        <v>22.161027126222443</v>
      </c>
      <c r="H38" s="87">
        <f>IF(H14=0,0,H14/TrRail_act!H7*1000)</f>
        <v>21.381312532150393</v>
      </c>
      <c r="I38" s="87">
        <f>IF(I14=0,0,I14/TrRail_act!I7*1000)</f>
        <v>18.694240726851948</v>
      </c>
      <c r="J38" s="87">
        <f>IF(J14=0,0,J14/TrRail_act!J7*1000)</f>
        <v>21.96127142857322</v>
      </c>
      <c r="K38" s="87">
        <f>IF(K14=0,0,K14/TrRail_act!K7*1000)</f>
        <v>21.944824355588111</v>
      </c>
      <c r="L38" s="87">
        <f>IF(L14=0,0,L14/TrRail_act!L7*1000)</f>
        <v>12.9382739768291</v>
      </c>
      <c r="M38" s="87">
        <f>IF(M14=0,0,M14/TrRail_act!M7*1000)</f>
        <v>14.792254562328791</v>
      </c>
      <c r="N38" s="87">
        <f>IF(N14=0,0,N14/TrRail_act!N7*1000)</f>
        <v>32.2451082954952</v>
      </c>
      <c r="O38" s="87">
        <f>IF(O14=0,0,O14/TrRail_act!O7*1000)</f>
        <v>23.912672310558008</v>
      </c>
      <c r="P38" s="87">
        <f>IF(P14=0,0,P14/TrRail_act!P7*1000)</f>
        <v>51.348871173456146</v>
      </c>
      <c r="Q38" s="87">
        <f>IF(Q14=0,0,Q14/TrRail_act!Q7*1000)</f>
        <v>44.256441280670245</v>
      </c>
      <c r="R38" s="87">
        <f>IF(R14=0,0,R14/TrRail_act!R7*1000)</f>
        <v>42.921039362652508</v>
      </c>
      <c r="S38" s="87">
        <f>IF(S14=0,0,S14/TrRail_act!S7*1000)</f>
        <v>44.362445713601993</v>
      </c>
      <c r="T38" s="87">
        <f>IF(T14=0,0,T14/TrRail_act!T7*1000)</f>
        <v>43.891117365483673</v>
      </c>
      <c r="U38" s="87">
        <f>IF(U14=0,0,U14/TrRail_act!U7*1000)</f>
        <v>19.080789327354065</v>
      </c>
      <c r="V38" s="87">
        <f>IF(V14=0,0,V14/TrRail_act!V7*1000)</f>
        <v>23.638857707339504</v>
      </c>
      <c r="W38" s="87">
        <f>IF(W14=0,0,W14/TrRail_act!W7*1000)</f>
        <v>23.634216764905773</v>
      </c>
      <c r="X38" s="87">
        <f>IF(X14=0,0,X14/TrRail_act!X7*1000)</f>
        <v>20.111068078374469</v>
      </c>
      <c r="Y38" s="87">
        <f>IF(Y14=0,0,Y14/TrRail_act!Y7*1000)</f>
        <v>18.025271359723732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3.5004838984875244</v>
      </c>
      <c r="C39" s="87">
        <f>IF(C15=0,0,C15/TrRail_act!C8*1000)</f>
        <v>8.3106263742765663</v>
      </c>
      <c r="D39" s="87">
        <f>IF(D15=0,0,D15/TrRail_act!D8*1000)</f>
        <v>5.1684341093795476</v>
      </c>
      <c r="E39" s="87">
        <f>IF(E15=0,0,E15/TrRail_act!E8*1000)</f>
        <v>6.1563074318289335</v>
      </c>
      <c r="F39" s="87">
        <f>IF(F15=0,0,F15/TrRail_act!F8*1000)</f>
        <v>4.4913447144234366</v>
      </c>
      <c r="G39" s="87">
        <f>IF(G15=0,0,G15/TrRail_act!G8*1000)</f>
        <v>3.9079764636137111</v>
      </c>
      <c r="H39" s="87">
        <f>IF(H15=0,0,H15/TrRail_act!H8*1000)</f>
        <v>3.6293168715553441</v>
      </c>
      <c r="I39" s="87">
        <f>IF(I15=0,0,I15/TrRail_act!I8*1000)</f>
        <v>7.5945871425214087</v>
      </c>
      <c r="J39" s="87">
        <f>IF(J15=0,0,J15/TrRail_act!J8*1000)</f>
        <v>7.6556350560551687</v>
      </c>
      <c r="K39" s="87">
        <f>IF(K15=0,0,K15/TrRail_act!K8*1000)</f>
        <v>7.6897683531340624</v>
      </c>
      <c r="L39" s="87">
        <f>IF(L15=0,0,L15/TrRail_act!L8*1000)</f>
        <v>8.339979455281453</v>
      </c>
      <c r="M39" s="87">
        <f>IF(M15=0,0,M15/TrRail_act!M8*1000)</f>
        <v>7.6459618673244858</v>
      </c>
      <c r="N39" s="87">
        <f>IF(N15=0,0,N15/TrRail_act!N8*1000)</f>
        <v>6.7091052633013764</v>
      </c>
      <c r="O39" s="87">
        <f>IF(O15=0,0,O15/TrRail_act!O8*1000)</f>
        <v>6.8636743083446685</v>
      </c>
      <c r="P39" s="87">
        <f>IF(P15=0,0,P15/TrRail_act!P8*1000)</f>
        <v>23.346306779518674</v>
      </c>
      <c r="Q39" s="87">
        <f>IF(Q15=0,0,Q15/TrRail_act!Q8*1000)</f>
        <v>24.620938684270349</v>
      </c>
      <c r="R39" s="87">
        <f>IF(R15=0,0,R15/TrRail_act!R8*1000)</f>
        <v>28.172138282548442</v>
      </c>
      <c r="S39" s="87">
        <f>IF(S15=0,0,S15/TrRail_act!S8*1000)</f>
        <v>28.941642216325302</v>
      </c>
      <c r="T39" s="87">
        <f>IF(T15=0,0,T15/TrRail_act!T8*1000)</f>
        <v>29.988350171380592</v>
      </c>
      <c r="U39" s="87">
        <f>IF(U15=0,0,U15/TrRail_act!U8*1000)</f>
        <v>10.986758224681759</v>
      </c>
      <c r="V39" s="87">
        <f>IF(V15=0,0,V15/TrRail_act!V8*1000)</f>
        <v>14.632952980050218</v>
      </c>
      <c r="W39" s="87">
        <f>IF(W15=0,0,W15/TrRail_act!W8*1000)</f>
        <v>17.713394425964996</v>
      </c>
      <c r="X39" s="87">
        <f>IF(X15=0,0,X15/TrRail_act!X8*1000)</f>
        <v>11.236872337608848</v>
      </c>
      <c r="Y39" s="87">
        <f>IF(Y15=0,0,Y15/TrRail_act!Y8*1000)</f>
        <v>15.790543909094959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X40" s="117">
        <f>IF(X16=0,0,X16/TrRail_act!X9*1000)</f>
        <v>0</v>
      </c>
      <c r="Y40" s="117">
        <f>IF(Y16=0,0,Y16/TrRail_act!Y9*1000)</f>
        <v>0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7.7813645635851065</v>
      </c>
      <c r="C41" s="29">
        <f>IF(C17=0,0,C17/TrRail_act!C10*1000)</f>
        <v>7.6393813197535465</v>
      </c>
      <c r="D41" s="29">
        <f>IF(D17=0,0,D17/TrRail_act!D10*1000)</f>
        <v>8.499638410410407</v>
      </c>
      <c r="E41" s="29">
        <f>IF(E17=0,0,E17/TrRail_act!E10*1000)</f>
        <v>8.0673221018518735</v>
      </c>
      <c r="F41" s="29">
        <f>IF(F17=0,0,F17/TrRail_act!F10*1000)</f>
        <v>7.9398976487081896</v>
      </c>
      <c r="G41" s="29">
        <f>IF(G17=0,0,G17/TrRail_act!G10*1000)</f>
        <v>5.6932149716998284</v>
      </c>
      <c r="H41" s="29">
        <f>IF(H17=0,0,H17/TrRail_act!H10*1000)</f>
        <v>5.7921014802397082</v>
      </c>
      <c r="I41" s="29">
        <f>IF(I17=0,0,I17/TrRail_act!I10*1000)</f>
        <v>5.7548918963096094</v>
      </c>
      <c r="J41" s="29">
        <f>IF(J17=0,0,J17/TrRail_act!J10*1000)</f>
        <v>7.8352895926999837</v>
      </c>
      <c r="K41" s="29">
        <f>IF(K17=0,0,K17/TrRail_act!K10*1000)</f>
        <v>5.0330384610299239</v>
      </c>
      <c r="L41" s="29">
        <f>IF(L17=0,0,L17/TrRail_act!L10*1000)</f>
        <v>4.8407910623192283</v>
      </c>
      <c r="M41" s="29">
        <f>IF(M17=0,0,M17/TrRail_act!M10*1000)</f>
        <v>4.4597634840609954</v>
      </c>
      <c r="N41" s="29">
        <f>IF(N17=0,0,N17/TrRail_act!N10*1000)</f>
        <v>5.8189295624373845</v>
      </c>
      <c r="O41" s="29">
        <f>IF(O17=0,0,O17/TrRail_act!O10*1000)</f>
        <v>5.1712111673669909</v>
      </c>
      <c r="P41" s="29">
        <f>IF(P17=0,0,P17/TrRail_act!P10*1000)</f>
        <v>5.4424020266941131</v>
      </c>
      <c r="Q41" s="29">
        <f>IF(Q17=0,0,Q17/TrRail_act!Q10*1000)</f>
        <v>5.4402178145492925</v>
      </c>
      <c r="R41" s="29">
        <f>IF(R17=0,0,R17/TrRail_act!R10*1000)</f>
        <v>5.3579886309463287</v>
      </c>
      <c r="S41" s="29">
        <f>IF(S17=0,0,S17/TrRail_act!S10*1000)</f>
        <v>5.2391350983241924</v>
      </c>
      <c r="T41" s="29">
        <f>IF(T17=0,0,T17/TrRail_act!T10*1000)</f>
        <v>5.1787630788936925</v>
      </c>
      <c r="U41" s="29">
        <f>IF(U17=0,0,U17/TrRail_act!U10*1000)</f>
        <v>4.2315957164931133</v>
      </c>
      <c r="V41" s="29">
        <f>IF(V17=0,0,V17/TrRail_act!V10*1000)</f>
        <v>4.6500778370264451</v>
      </c>
      <c r="W41" s="29">
        <f>IF(W17=0,0,W17/TrRail_act!W10*1000)</f>
        <v>4.3476034536560535</v>
      </c>
      <c r="X41" s="29">
        <f>IF(X17=0,0,X17/TrRail_act!X10*1000)</f>
        <v>4.1785279664616573</v>
      </c>
      <c r="Y41" s="29">
        <f>IF(Y17=0,0,Y17/TrRail_act!Y10*1000)</f>
        <v>5.2380143857980057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9.0744631688690234</v>
      </c>
      <c r="C42" s="87">
        <f>IF(C18=0,0,C18/TrRail_act!C11*1000)</f>
        <v>8.7022497267569321</v>
      </c>
      <c r="D42" s="87">
        <f>IF(D18=0,0,D18/TrRail_act!D11*1000)</f>
        <v>10.239581037882825</v>
      </c>
      <c r="E42" s="87">
        <f>IF(E18=0,0,E18/TrRail_act!E11*1000)</f>
        <v>9.7017341024980173</v>
      </c>
      <c r="F42" s="87">
        <f>IF(F18=0,0,F18/TrRail_act!F11*1000)</f>
        <v>9.6201385374055839</v>
      </c>
      <c r="G42" s="87">
        <f>IF(G18=0,0,G18/TrRail_act!G11*1000)</f>
        <v>6.5371294967634581</v>
      </c>
      <c r="H42" s="87">
        <f>IF(H18=0,0,H18/TrRail_act!H11*1000)</f>
        <v>6.3534306335063038</v>
      </c>
      <c r="I42" s="87">
        <f>IF(I18=0,0,I18/TrRail_act!I11*1000)</f>
        <v>5.9902472108843021</v>
      </c>
      <c r="J42" s="87">
        <f>IF(J18=0,0,J18/TrRail_act!J11*1000)</f>
        <v>8.9398803140880716</v>
      </c>
      <c r="K42" s="87">
        <f>IF(K18=0,0,K18/TrRail_act!K11*1000)</f>
        <v>5.6369958461496719</v>
      </c>
      <c r="L42" s="87">
        <f>IF(L18=0,0,L18/TrRail_act!L11*1000)</f>
        <v>5.2613057272526298</v>
      </c>
      <c r="M42" s="87">
        <f>IF(M18=0,0,M18/TrRail_act!M11*1000)</f>
        <v>5.1716740323883004</v>
      </c>
      <c r="N42" s="87">
        <f>IF(N18=0,0,N18/TrRail_act!N11*1000)</f>
        <v>7.9331843225117167</v>
      </c>
      <c r="O42" s="87">
        <f>IF(O18=0,0,O18/TrRail_act!O11*1000)</f>
        <v>7.8114933011405245</v>
      </c>
      <c r="P42" s="87">
        <f>IF(P18=0,0,P18/TrRail_act!P11*1000)</f>
        <v>7.6242832840557719</v>
      </c>
      <c r="Q42" s="87">
        <f>IF(Q18=0,0,Q18/TrRail_act!Q11*1000)</f>
        <v>7.694337238811281</v>
      </c>
      <c r="R42" s="87">
        <f>IF(R18=0,0,R18/TrRail_act!R11*1000)</f>
        <v>7.4979269934725412</v>
      </c>
      <c r="S42" s="87">
        <f>IF(S18=0,0,S18/TrRail_act!S11*1000)</f>
        <v>7.3329822970205827</v>
      </c>
      <c r="T42" s="87">
        <f>IF(T18=0,0,T18/TrRail_act!T11*1000)</f>
        <v>7.3467166330277234</v>
      </c>
      <c r="U42" s="87">
        <f>IF(U18=0,0,U18/TrRail_act!U11*1000)</f>
        <v>6.4966603039893016</v>
      </c>
      <c r="V42" s="87">
        <f>IF(V18=0,0,V18/TrRail_act!V11*1000)</f>
        <v>7.1653576858389352</v>
      </c>
      <c r="W42" s="87">
        <f>IF(W18=0,0,W18/TrRail_act!W11*1000)</f>
        <v>8.5049463823837925</v>
      </c>
      <c r="X42" s="87">
        <f>IF(X18=0,0,X18/TrRail_act!X11*1000)</f>
        <v>8.1035423420333572</v>
      </c>
      <c r="Y42" s="87">
        <f>IF(Y18=0,0,Y18/TrRail_act!Y11*1000)</f>
        <v>8.408664583715975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3.7475350548528876</v>
      </c>
      <c r="C43" s="88">
        <f>IF(C19=0,0,C19/TrRail_act!C12*1000)</f>
        <v>4.5113131320130728</v>
      </c>
      <c r="D43" s="88">
        <f>IF(D19=0,0,D19/TrRail_act!D12*1000)</f>
        <v>3.2468501832046552</v>
      </c>
      <c r="E43" s="88">
        <f>IF(E19=0,0,E19/TrRail_act!E12*1000)</f>
        <v>3.2267517849791725</v>
      </c>
      <c r="F43" s="88">
        <f>IF(F19=0,0,F19/TrRail_act!F12*1000)</f>
        <v>3.0562652649791255</v>
      </c>
      <c r="G43" s="88">
        <f>IF(G19=0,0,G19/TrRail_act!G12*1000)</f>
        <v>2.0036648807674817</v>
      </c>
      <c r="H43" s="88">
        <f>IF(H19=0,0,H19/TrRail_act!H12*1000)</f>
        <v>1.8912431414917736</v>
      </c>
      <c r="I43" s="88">
        <f>IF(I19=0,0,I19/TrRail_act!I12*1000)</f>
        <v>4.6870333350685653</v>
      </c>
      <c r="J43" s="88">
        <f>IF(J19=0,0,J19/TrRail_act!J12*1000)</f>
        <v>2.8642361440487929</v>
      </c>
      <c r="K43" s="88">
        <f>IF(K19=0,0,K19/TrRail_act!K12*1000)</f>
        <v>2.8179930039045562</v>
      </c>
      <c r="L43" s="88">
        <f>IF(L19=0,0,L19/TrRail_act!L12*1000)</f>
        <v>2.9019799155483392</v>
      </c>
      <c r="M43" s="88">
        <f>IF(M19=0,0,M19/TrRail_act!M12*1000)</f>
        <v>2.9054776255884747</v>
      </c>
      <c r="N43" s="88">
        <f>IF(N19=0,0,N19/TrRail_act!N12*1000)</f>
        <v>2.8250558412672149</v>
      </c>
      <c r="O43" s="88">
        <f>IF(O19=0,0,O19/TrRail_act!O12*1000)</f>
        <v>2.8100073535025882</v>
      </c>
      <c r="P43" s="88">
        <f>IF(P19=0,0,P19/TrRail_act!P12*1000)</f>
        <v>3.0167027362474821</v>
      </c>
      <c r="Q43" s="88">
        <f>IF(Q19=0,0,Q19/TrRail_act!Q12*1000)</f>
        <v>3.0279454898884812</v>
      </c>
      <c r="R43" s="88">
        <f>IF(R19=0,0,R19/TrRail_act!R12*1000)</f>
        <v>2.9601021732798665</v>
      </c>
      <c r="S43" s="88">
        <f>IF(S19=0,0,S19/TrRail_act!S12*1000)</f>
        <v>2.9290043004666124</v>
      </c>
      <c r="T43" s="88">
        <f>IF(T19=0,0,T19/TrRail_act!T12*1000)</f>
        <v>2.9565789415849335</v>
      </c>
      <c r="U43" s="88">
        <f>IF(U19=0,0,U19/TrRail_act!U12*1000)</f>
        <v>3.2887937902139415</v>
      </c>
      <c r="V43" s="88">
        <f>IF(V19=0,0,V19/TrRail_act!V12*1000)</f>
        <v>3.7887427349223679</v>
      </c>
      <c r="W43" s="88">
        <f>IF(W19=0,0,W19/TrRail_act!W12*1000)</f>
        <v>3.1748543059347152</v>
      </c>
      <c r="X43" s="88">
        <f>IF(X19=0,0,X19/TrRail_act!X12*1000)</f>
        <v>3.1647854463098111</v>
      </c>
      <c r="Y43" s="88">
        <f>IF(Y19=0,0,Y19/TrRail_act!Y12*1000)</f>
        <v>4.6550292274392087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227612.41147660904</v>
      </c>
      <c r="C45" s="54">
        <f>IF(C10=0,0,1000000*C10/TrRail_act!C25)</f>
        <v>212517.48112846291</v>
      </c>
      <c r="D45" s="54">
        <f>IF(D10=0,0,1000000*D10/TrRail_act!D25)</f>
        <v>204727.46387931108</v>
      </c>
      <c r="E45" s="54">
        <f>IF(E10=0,0,1000000*E10/TrRail_act!E25)</f>
        <v>198993.31605741533</v>
      </c>
      <c r="F45" s="54">
        <f>IF(F10=0,0,1000000*F10/TrRail_act!F25)</f>
        <v>190280.21995217039</v>
      </c>
      <c r="G45" s="54">
        <f>IF(G10=0,0,1000000*G10/TrRail_act!G25)</f>
        <v>177572.93349442602</v>
      </c>
      <c r="H45" s="54">
        <f>IF(H10=0,0,1000000*H10/TrRail_act!H25)</f>
        <v>193309.86690062666</v>
      </c>
      <c r="I45" s="54">
        <f>IF(I10=0,0,1000000*I10/TrRail_act!I25)</f>
        <v>170153.39594991357</v>
      </c>
      <c r="J45" s="54">
        <f>IF(J10=0,0,1000000*J10/TrRail_act!J25)</f>
        <v>167965.29333221997</v>
      </c>
      <c r="K45" s="54">
        <f>IF(K10=0,0,1000000*K10/TrRail_act!K25)</f>
        <v>157851.85214621981</v>
      </c>
      <c r="L45" s="54">
        <f>IF(L10=0,0,1000000*L10/TrRail_act!L25)</f>
        <v>110152.82604542989</v>
      </c>
      <c r="M45" s="54">
        <f>IF(M10=0,0,1000000*M10/TrRail_act!M25)</f>
        <v>101376.00805215898</v>
      </c>
      <c r="N45" s="54">
        <f>IF(N10=0,0,1000000*N10/TrRail_act!N25)</f>
        <v>155885.72289864166</v>
      </c>
      <c r="O45" s="54">
        <f>IF(O10=0,0,1000000*O10/TrRail_act!O25)</f>
        <v>115137.66443700563</v>
      </c>
      <c r="P45" s="54">
        <f>IF(P10=0,0,1000000*P10/TrRail_act!P25)</f>
        <v>157656.42038841863</v>
      </c>
      <c r="Q45" s="54">
        <f>IF(Q10=0,0,1000000*Q10/TrRail_act!Q25)</f>
        <v>160596.39762747523</v>
      </c>
      <c r="R45" s="54">
        <f>IF(R10=0,0,1000000*R10/TrRail_act!R25)</f>
        <v>156216.1804126355</v>
      </c>
      <c r="S45" s="54">
        <f>IF(S10=0,0,1000000*S10/TrRail_act!S25)</f>
        <v>151492.69303664443</v>
      </c>
      <c r="T45" s="54">
        <f>IF(T10=0,0,1000000*T10/TrRail_act!T25)</f>
        <v>151299.26657217435</v>
      </c>
      <c r="U45" s="54">
        <f>IF(U10=0,0,1000000*U10/TrRail_act!U25)</f>
        <v>76674.030664714912</v>
      </c>
      <c r="V45" s="54">
        <f>IF(V10=0,0,1000000*V10/TrRail_act!V25)</f>
        <v>63684.34333079202</v>
      </c>
      <c r="W45" s="54">
        <f>IF(W10=0,0,1000000*W10/TrRail_act!W25)</f>
        <v>69257.236603197132</v>
      </c>
      <c r="X45" s="54">
        <f>IF(X10=0,0,1000000*X10/TrRail_act!X25)</f>
        <v>72458.662201968997</v>
      </c>
      <c r="Y45" s="54">
        <f>IF(Y10=0,0,1000000*Y10/TrRail_act!Y25)</f>
        <v>58955.060602928468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215890.75554299183</v>
      </c>
      <c r="C46" s="28">
        <f>IF(C11=0,0,1000000*C11/TrRail_act!C26)</f>
        <v>203210.9660081089</v>
      </c>
      <c r="D46" s="28">
        <f>IF(D11=0,0,1000000*D11/TrRail_act!D26)</f>
        <v>196057.51780235182</v>
      </c>
      <c r="E46" s="28">
        <f>IF(E11=0,0,1000000*E11/TrRail_act!E26)</f>
        <v>187582.57538014062</v>
      </c>
      <c r="F46" s="28">
        <f>IF(F11=0,0,1000000*F11/TrRail_act!F26)</f>
        <v>176225.67405260087</v>
      </c>
      <c r="G46" s="28">
        <f>IF(G11=0,0,1000000*G11/TrRail_act!G26)</f>
        <v>167398.27922712654</v>
      </c>
      <c r="H46" s="28">
        <f>IF(H11=0,0,1000000*H11/TrRail_act!H26)</f>
        <v>181666.91313216431</v>
      </c>
      <c r="I46" s="28">
        <f>IF(I11=0,0,1000000*I11/TrRail_act!I26)</f>
        <v>156475.76079099404</v>
      </c>
      <c r="J46" s="28">
        <f>IF(J11=0,0,1000000*J11/TrRail_act!J26)</f>
        <v>149314.42048331452</v>
      </c>
      <c r="K46" s="28">
        <f>IF(K11=0,0,1000000*K11/TrRail_act!K26)</f>
        <v>151317.2295696027</v>
      </c>
      <c r="L46" s="28">
        <f>IF(L11=0,0,1000000*L11/TrRail_act!L26)</f>
        <v>100100.33658932747</v>
      </c>
      <c r="M46" s="28">
        <f>IF(M11=0,0,1000000*M11/TrRail_act!M26)</f>
        <v>96982.423463561165</v>
      </c>
      <c r="N46" s="28">
        <f>IF(N11=0,0,1000000*N11/TrRail_act!N26)</f>
        <v>152776.52322607473</v>
      </c>
      <c r="O46" s="28">
        <f>IF(O11=0,0,1000000*O11/TrRail_act!O26)</f>
        <v>113041.30710679163</v>
      </c>
      <c r="P46" s="28">
        <f>IF(P11=0,0,1000000*P11/TrRail_act!P26)</f>
        <v>155680.49547401883</v>
      </c>
      <c r="Q46" s="28">
        <f>IF(Q11=0,0,1000000*Q11/TrRail_act!Q26)</f>
        <v>158798.05913479757</v>
      </c>
      <c r="R46" s="28">
        <f>IF(R11=0,0,1000000*R11/TrRail_act!R26)</f>
        <v>154830.53239323528</v>
      </c>
      <c r="S46" s="28">
        <f>IF(S11=0,0,1000000*S11/TrRail_act!S26)</f>
        <v>148654.49102462325</v>
      </c>
      <c r="T46" s="28">
        <f>IF(T11=0,0,1000000*T11/TrRail_act!T26)</f>
        <v>147778.60036113666</v>
      </c>
      <c r="U46" s="28">
        <f>IF(U11=0,0,1000000*U11/TrRail_act!U26)</f>
        <v>72185.47554841869</v>
      </c>
      <c r="V46" s="28">
        <f>IF(V11=0,0,1000000*V11/TrRail_act!V26)</f>
        <v>57247.551258999971</v>
      </c>
      <c r="W46" s="28">
        <f>IF(W11=0,0,1000000*W11/TrRail_act!W26)</f>
        <v>62902.062969806117</v>
      </c>
      <c r="X46" s="28">
        <f>IF(X11=0,0,1000000*X11/TrRail_act!X26)</f>
        <v>68328.853745787972</v>
      </c>
      <c r="Y46" s="28">
        <f>IF(Y11=0,0,1000000*Y11/TrRail_act!Y26)</f>
        <v>56871.404538730509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50488.7437896396</v>
      </c>
      <c r="C47" s="108">
        <f>IF(C12=0,0,1000000*C12/TrRail_act!C27)</f>
        <v>50062.58746101553</v>
      </c>
      <c r="D47" s="108">
        <f>IF(D12=0,0,1000000*D12/TrRail_act!D27)</f>
        <v>49462.967070082625</v>
      </c>
      <c r="E47" s="108">
        <f>IF(E12=0,0,1000000*E12/TrRail_act!E27)</f>
        <v>49726.371068165136</v>
      </c>
      <c r="F47" s="108">
        <f>IF(F12=0,0,1000000*F12/TrRail_act!F27)</f>
        <v>48645.179803799176</v>
      </c>
      <c r="G47" s="108">
        <f>IF(G12=0,0,1000000*G12/TrRail_act!G27)</f>
        <v>26100.807997088687</v>
      </c>
      <c r="H47" s="108">
        <f>IF(H12=0,0,1000000*H12/TrRail_act!H27)</f>
        <v>45663.824801329669</v>
      </c>
      <c r="I47" s="108">
        <f>IF(I12=0,0,1000000*I12/TrRail_act!I27)</f>
        <v>44669.237462943725</v>
      </c>
      <c r="J47" s="108">
        <f>IF(J12=0,0,1000000*J12/TrRail_act!J27)</f>
        <v>32096.125456218997</v>
      </c>
      <c r="K47" s="108">
        <f>IF(K12=0,0,1000000*K12/TrRail_act!K27)</f>
        <v>40057.418872642163</v>
      </c>
      <c r="L47" s="108">
        <f>IF(L12=0,0,1000000*L12/TrRail_act!L27)</f>
        <v>25762.238746342609</v>
      </c>
      <c r="M47" s="108">
        <f>IF(M12=0,0,1000000*M12/TrRail_act!M27)</f>
        <v>36400.68688594261</v>
      </c>
      <c r="N47" s="108">
        <f>IF(N12=0,0,1000000*N12/TrRail_act!N27)</f>
        <v>36120.92575098369</v>
      </c>
      <c r="O47" s="108">
        <f>IF(O12=0,0,1000000*O12/TrRail_act!O27)</f>
        <v>41110.423696139915</v>
      </c>
      <c r="P47" s="108">
        <f>IF(P12=0,0,1000000*P12/TrRail_act!P27)</f>
        <v>40056.018284001337</v>
      </c>
      <c r="Q47" s="108">
        <f>IF(Q12=0,0,1000000*Q12/TrRail_act!Q27)</f>
        <v>38883.907011720155</v>
      </c>
      <c r="R47" s="108">
        <f>IF(R12=0,0,1000000*R12/TrRail_act!R27)</f>
        <v>38027.387096855586</v>
      </c>
      <c r="S47" s="108">
        <f>IF(S12=0,0,1000000*S12/TrRail_act!S27)</f>
        <v>37397.401533606419</v>
      </c>
      <c r="T47" s="108">
        <f>IF(T12=0,0,1000000*T12/TrRail_act!T27)</f>
        <v>36931.771040525229</v>
      </c>
      <c r="U47" s="108">
        <f>IF(U12=0,0,1000000*U12/TrRail_act!U27)</f>
        <v>34213.502849264121</v>
      </c>
      <c r="V47" s="108">
        <f>IF(V12=0,0,1000000*V12/TrRail_act!V27)</f>
        <v>35948.657569110561</v>
      </c>
      <c r="W47" s="108">
        <f>IF(W12=0,0,1000000*W12/TrRail_act!W27)</f>
        <v>36137.898425545907</v>
      </c>
      <c r="X47" s="108">
        <f>IF(X12=0,0,1000000*X12/TrRail_act!X27)</f>
        <v>35994.921625132054</v>
      </c>
      <c r="Y47" s="108">
        <f>IF(Y12=0,0,1000000*Y12/TrRail_act!Y27)</f>
        <v>35888.0607020303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455209.95670547965</v>
      </c>
      <c r="C48" s="110">
        <f>IF(C13=0,0,1000000*C13/TrRail_act!C28)</f>
        <v>439176.53935050889</v>
      </c>
      <c r="D48" s="110">
        <f>IF(D13=0,0,1000000*D13/TrRail_act!D28)</f>
        <v>418173.25294206745</v>
      </c>
      <c r="E48" s="110">
        <f>IF(E13=0,0,1000000*E13/TrRail_act!E28)</f>
        <v>402391.70020507002</v>
      </c>
      <c r="F48" s="110">
        <f>IF(F13=0,0,1000000*F13/TrRail_act!F28)</f>
        <v>391469.58734094765</v>
      </c>
      <c r="G48" s="110">
        <f>IF(G13=0,0,1000000*G13/TrRail_act!G28)</f>
        <v>374762.06657095661</v>
      </c>
      <c r="H48" s="110">
        <f>IF(H13=0,0,1000000*H13/TrRail_act!H28)</f>
        <v>365597.50918053801</v>
      </c>
      <c r="I48" s="110">
        <f>IF(I13=0,0,1000000*I13/TrRail_act!I28)</f>
        <v>355496.27291908028</v>
      </c>
      <c r="J48" s="110">
        <f>IF(J13=0,0,1000000*J13/TrRail_act!J28)</f>
        <v>349967.70610272576</v>
      </c>
      <c r="K48" s="110">
        <f>IF(K13=0,0,1000000*K13/TrRail_act!K28)</f>
        <v>344780.25121538428</v>
      </c>
      <c r="L48" s="110">
        <f>IF(L13=0,0,1000000*L13/TrRail_act!L28)</f>
        <v>231830.4719543985</v>
      </c>
      <c r="M48" s="110">
        <f>IF(M13=0,0,1000000*M13/TrRail_act!M28)</f>
        <v>206863.24421390193</v>
      </c>
      <c r="N48" s="110">
        <f>IF(N13=0,0,1000000*N13/TrRail_act!N28)</f>
        <v>321134.93175273383</v>
      </c>
      <c r="O48" s="110">
        <f>IF(O13=0,0,1000000*O13/TrRail_act!O28)</f>
        <v>263717.19771909941</v>
      </c>
      <c r="P48" s="110">
        <f>IF(P13=0,0,1000000*P13/TrRail_act!P28)</f>
        <v>307102.89559372305</v>
      </c>
      <c r="Q48" s="110">
        <f>IF(Q13=0,0,1000000*Q13/TrRail_act!Q28)</f>
        <v>299300.55561276054</v>
      </c>
      <c r="R48" s="110">
        <f>IF(R13=0,0,1000000*R13/TrRail_act!R28)</f>
        <v>291033.73084371869</v>
      </c>
      <c r="S48" s="110">
        <f>IF(S13=0,0,1000000*S13/TrRail_act!S28)</f>
        <v>288362.22284110216</v>
      </c>
      <c r="T48" s="110">
        <f>IF(T13=0,0,1000000*T13/TrRail_act!T28)</f>
        <v>293946.93957813631</v>
      </c>
      <c r="U48" s="110">
        <f>IF(U13=0,0,1000000*U13/TrRail_act!U28)</f>
        <v>120445.95444217375</v>
      </c>
      <c r="V48" s="110">
        <f>IF(V13=0,0,1000000*V13/TrRail_act!V28)</f>
        <v>84083.975887592707</v>
      </c>
      <c r="W48" s="110">
        <f>IF(W13=0,0,1000000*W13/TrRail_act!W28)</f>
        <v>98583.882260177634</v>
      </c>
      <c r="X48" s="110">
        <f>IF(X13=0,0,1000000*X13/TrRail_act!X28)</f>
        <v>117204.75450424998</v>
      </c>
      <c r="Y48" s="110">
        <f>IF(Y13=0,0,1000000*Y13/TrRail_act!Y28)</f>
        <v>91326.759738892928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471491.75191443675</v>
      </c>
      <c r="C49" s="84">
        <f>IF(C14=0,0,1000000*C14/TrRail_act!C29)</f>
        <v>454207.16989490966</v>
      </c>
      <c r="D49" s="84">
        <f>IF(D14=0,0,1000000*D14/TrRail_act!D29)</f>
        <v>430745.7326427825</v>
      </c>
      <c r="E49" s="84">
        <f>IF(E14=0,0,1000000*E14/TrRail_act!E29)</f>
        <v>412885.29654468561</v>
      </c>
      <c r="F49" s="84">
        <f>IF(F14=0,0,1000000*F14/TrRail_act!F29)</f>
        <v>401245.7017393242</v>
      </c>
      <c r="G49" s="84">
        <f>IF(G14=0,0,1000000*G14/TrRail_act!G29)</f>
        <v>384696.85542218294</v>
      </c>
      <c r="H49" s="84">
        <f>IF(H14=0,0,1000000*H14/TrRail_act!H29)</f>
        <v>377655.95090977271</v>
      </c>
      <c r="I49" s="84">
        <f>IF(I14=0,0,1000000*I14/TrRail_act!I29)</f>
        <v>361917.04037200881</v>
      </c>
      <c r="J49" s="84">
        <f>IF(J14=0,0,1000000*J14/TrRail_act!J29)</f>
        <v>364843.94142178824</v>
      </c>
      <c r="K49" s="84">
        <f>IF(K14=0,0,1000000*K14/TrRail_act!K29)</f>
        <v>362357.15813571174</v>
      </c>
      <c r="L49" s="84">
        <f>IF(L14=0,0,1000000*L14/TrRail_act!L29)</f>
        <v>254969.68244900007</v>
      </c>
      <c r="M49" s="84">
        <f>IF(M14=0,0,1000000*M14/TrRail_act!M29)</f>
        <v>228572.01543906154</v>
      </c>
      <c r="N49" s="84">
        <f>IF(N14=0,0,1000000*N14/TrRail_act!N29)</f>
        <v>341219.40947342687</v>
      </c>
      <c r="O49" s="84">
        <f>IF(O14=0,0,1000000*O14/TrRail_act!O29)</f>
        <v>276390.58963660145</v>
      </c>
      <c r="P49" s="84">
        <f>IF(P14=0,0,1000000*P14/TrRail_act!P29)</f>
        <v>334462.35589179181</v>
      </c>
      <c r="Q49" s="84">
        <f>IF(Q14=0,0,1000000*Q14/TrRail_act!Q29)</f>
        <v>331860.15593384468</v>
      </c>
      <c r="R49" s="84">
        <f>IF(R14=0,0,1000000*R14/TrRail_act!R29)</f>
        <v>329921.79963338922</v>
      </c>
      <c r="S49" s="84">
        <f>IF(S14=0,0,1000000*S14/TrRail_act!S29)</f>
        <v>328475.46821179875</v>
      </c>
      <c r="T49" s="84">
        <f>IF(T14=0,0,1000000*T14/TrRail_act!T29)</f>
        <v>327394.87981613853</v>
      </c>
      <c r="U49" s="84">
        <f>IF(U14=0,0,1000000*U14/TrRail_act!U29)</f>
        <v>92443.277092256467</v>
      </c>
      <c r="V49" s="84">
        <f>IF(V14=0,0,1000000*V14/TrRail_act!V29)</f>
        <v>64548.377745727594</v>
      </c>
      <c r="W49" s="84">
        <f>IF(W14=0,0,1000000*W14/TrRail_act!W29)</f>
        <v>61801.437296873017</v>
      </c>
      <c r="X49" s="84">
        <f>IF(X14=0,0,1000000*X14/TrRail_act!X29)</f>
        <v>74652.930976456963</v>
      </c>
      <c r="Y49" s="84">
        <f>IF(Y14=0,0,1000000*Y14/TrRail_act!Y29)</f>
        <v>52152.137586829187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253203.90827130465</v>
      </c>
      <c r="C50" s="84">
        <f>IF(C15=0,0,1000000*C15/TrRail_act!C30)</f>
        <v>249920.45351750747</v>
      </c>
      <c r="D50" s="84">
        <f>IF(D15=0,0,1000000*D15/TrRail_act!D30)</f>
        <v>233624.50156040635</v>
      </c>
      <c r="E50" s="84">
        <f>IF(E15=0,0,1000000*E15/TrRail_act!E30)</f>
        <v>226153.60534684404</v>
      </c>
      <c r="F50" s="84">
        <f>IF(F15=0,0,1000000*F15/TrRail_act!F30)</f>
        <v>204267.81327664622</v>
      </c>
      <c r="G50" s="84">
        <f>IF(G15=0,0,1000000*G15/TrRail_act!G30)</f>
        <v>139023.63603556124</v>
      </c>
      <c r="H50" s="84">
        <f>IF(H15=0,0,1000000*H15/TrRail_act!H30)</f>
        <v>14096.39796007983</v>
      </c>
      <c r="I50" s="84">
        <f>IF(I15=0,0,1000000*I15/TrRail_act!I30)</f>
        <v>211640.15700013022</v>
      </c>
      <c r="J50" s="84">
        <f>IF(J15=0,0,1000000*J15/TrRail_act!J30)</f>
        <v>205018.80322102009</v>
      </c>
      <c r="K50" s="84">
        <f>IF(K15=0,0,1000000*K15/TrRail_act!K30)</f>
        <v>177271.15531020777</v>
      </c>
      <c r="L50" s="84">
        <f>IF(L15=0,0,1000000*L15/TrRail_act!L30)</f>
        <v>17116.364253379397</v>
      </c>
      <c r="M50" s="84">
        <f>IF(M15=0,0,1000000*M15/TrRail_act!M30)</f>
        <v>11908.102419892437</v>
      </c>
      <c r="N50" s="84">
        <f>IF(N15=0,0,1000000*N15/TrRail_act!N30)</f>
        <v>91204.216925622182</v>
      </c>
      <c r="O50" s="84">
        <f>IF(O15=0,0,1000000*O15/TrRail_act!O30)</f>
        <v>195680.48385158234</v>
      </c>
      <c r="P50" s="84">
        <f>IF(P15=0,0,1000000*P15/TrRail_act!P30)</f>
        <v>193832.68815608387</v>
      </c>
      <c r="Q50" s="84">
        <f>IF(Q15=0,0,1000000*Q15/TrRail_act!Q30)</f>
        <v>194142.05152628288</v>
      </c>
      <c r="R50" s="84">
        <f>IF(R15=0,0,1000000*R15/TrRail_act!R30)</f>
        <v>164749.99835621566</v>
      </c>
      <c r="S50" s="84">
        <f>IF(S15=0,0,1000000*S15/TrRail_act!S30)</f>
        <v>159918.28870662863</v>
      </c>
      <c r="T50" s="84">
        <f>IF(T15=0,0,1000000*T15/TrRail_act!T30)</f>
        <v>192436.16746050346</v>
      </c>
      <c r="U50" s="84">
        <f>IF(U15=0,0,1000000*U15/TrRail_act!U30)</f>
        <v>192126.57749631951</v>
      </c>
      <c r="V50" s="84">
        <f>IF(V15=0,0,1000000*V15/TrRail_act!V30)</f>
        <v>131048.60870801919</v>
      </c>
      <c r="W50" s="84">
        <f>IF(W15=0,0,1000000*W15/TrRail_act!W30)</f>
        <v>181098.90100790965</v>
      </c>
      <c r="X50" s="84">
        <f>IF(X15=0,0,1000000*X15/TrRail_act!X30)</f>
        <v>191590.81685427533</v>
      </c>
      <c r="Y50" s="84">
        <f>IF(Y15=0,0,1000000*Y15/TrRail_act!Y30)</f>
        <v>153990.84189841989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X51" s="113">
        <f>IF(X16=0,0,1000000*X16/TrRail_act!X31)</f>
        <v>0</v>
      </c>
      <c r="Y51" s="113">
        <f>IF(Y16=0,0,1000000*Y16/TrRail_act!Y31)</f>
        <v>0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927902.01458519464</v>
      </c>
      <c r="C52" s="28">
        <f>IF(C17=0,0,1000000*C17/TrRail_act!C32)</f>
        <v>841492.03051506355</v>
      </c>
      <c r="D52" s="28">
        <f>IF(D17=0,0,1000000*D17/TrRail_act!D32)</f>
        <v>819950.88056771003</v>
      </c>
      <c r="E52" s="28">
        <f>IF(E17=0,0,1000000*E17/TrRail_act!E32)</f>
        <v>862197.00305050402</v>
      </c>
      <c r="F52" s="28">
        <f>IF(F17=0,0,1000000*F17/TrRail_act!F32)</f>
        <v>850637.63320072682</v>
      </c>
      <c r="G52" s="28">
        <f>IF(G17=0,0,1000000*G17/TrRail_act!G32)</f>
        <v>675339.95480602398</v>
      </c>
      <c r="H52" s="28">
        <f>IF(H17=0,0,1000000*H17/TrRail_act!H32)</f>
        <v>778952.20144807012</v>
      </c>
      <c r="I52" s="28">
        <f>IF(I17=0,0,1000000*I17/TrRail_act!I32)</f>
        <v>753935.76215297822</v>
      </c>
      <c r="J52" s="28">
        <f>IF(J17=0,0,1000000*J17/TrRail_act!J32)</f>
        <v>746448.42166389979</v>
      </c>
      <c r="K52" s="28">
        <f>IF(K17=0,0,1000000*K17/TrRail_act!K32)</f>
        <v>352015.44966114982</v>
      </c>
      <c r="L52" s="28">
        <f>IF(L17=0,0,1000000*L17/TrRail_act!L32)</f>
        <v>394495.63645374641</v>
      </c>
      <c r="M52" s="28">
        <f>IF(M17=0,0,1000000*M17/TrRail_act!M32)</f>
        <v>218755.59524075867</v>
      </c>
      <c r="N52" s="28">
        <f>IF(N17=0,0,1000000*N17/TrRail_act!N32)</f>
        <v>241526.09903177014</v>
      </c>
      <c r="O52" s="28">
        <f>IF(O17=0,0,1000000*O17/TrRail_act!O32)</f>
        <v>189716.25258584984</v>
      </c>
      <c r="P52" s="28">
        <f>IF(P17=0,0,1000000*P17/TrRail_act!P32)</f>
        <v>272403.19043808058</v>
      </c>
      <c r="Q52" s="28">
        <f>IF(Q17=0,0,1000000*Q17/TrRail_act!Q32)</f>
        <v>270510.06591786619</v>
      </c>
      <c r="R52" s="28">
        <f>IF(R17=0,0,1000000*R17/TrRail_act!R32)</f>
        <v>245011.89607504479</v>
      </c>
      <c r="S52" s="28">
        <f>IF(S17=0,0,1000000*S17/TrRail_act!S32)</f>
        <v>333371.6124158841</v>
      </c>
      <c r="T52" s="28">
        <f>IF(T17=0,0,1000000*T17/TrRail_act!T32)</f>
        <v>371118.95458731934</v>
      </c>
      <c r="U52" s="28">
        <f>IF(U17=0,0,1000000*U17/TrRail_act!U32)</f>
        <v>285623.13288999995</v>
      </c>
      <c r="V52" s="28">
        <f>IF(V17=0,0,1000000*V17/TrRail_act!V32)</f>
        <v>305040.99052886799</v>
      </c>
      <c r="W52" s="28">
        <f>IF(W17=0,0,1000000*W17/TrRail_act!W32)</f>
        <v>310144.49992757692</v>
      </c>
      <c r="X52" s="28">
        <f>IF(X17=0,0,1000000*X17/TrRail_act!X32)</f>
        <v>247118.63774216961</v>
      </c>
      <c r="Y52" s="28">
        <f>IF(Y17=0,0,1000000*Y17/TrRail_act!Y32)</f>
        <v>149632.42940973747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1099466.3777764298</v>
      </c>
      <c r="C53" s="84">
        <f>IF(C18=0,0,1000000*C18/TrRail_act!C33)</f>
        <v>1027614.0624724701</v>
      </c>
      <c r="D53" s="84">
        <f>IF(D18=0,0,1000000*D18/TrRail_act!D33)</f>
        <v>1033790.8771263973</v>
      </c>
      <c r="E53" s="84">
        <f>IF(E18=0,0,1000000*E18/TrRail_act!E33)</f>
        <v>992177.59588382638</v>
      </c>
      <c r="F53" s="84">
        <f>IF(F18=0,0,1000000*F18/TrRail_act!F33)</f>
        <v>980750.94825897901</v>
      </c>
      <c r="G53" s="84">
        <f>IF(G18=0,0,1000000*G18/TrRail_act!G33)</f>
        <v>804552.63006942871</v>
      </c>
      <c r="H53" s="84">
        <f>IF(H18=0,0,1000000*H18/TrRail_act!H33)</f>
        <v>942895.33091546316</v>
      </c>
      <c r="I53" s="84">
        <f>IF(I18=0,0,1000000*I18/TrRail_act!I33)</f>
        <v>934720.67203905701</v>
      </c>
      <c r="J53" s="84">
        <f>IF(J18=0,0,1000000*J18/TrRail_act!J33)</f>
        <v>904997.31089765462</v>
      </c>
      <c r="K53" s="84">
        <f>IF(K18=0,0,1000000*K18/TrRail_act!K33)</f>
        <v>401744.06240666501</v>
      </c>
      <c r="L53" s="84">
        <f>IF(L18=0,0,1000000*L18/TrRail_act!L33)</f>
        <v>456204.50996711396</v>
      </c>
      <c r="M53" s="84">
        <f>IF(M18=0,0,1000000*M18/TrRail_act!M33)</f>
        <v>224877.60131127146</v>
      </c>
      <c r="N53" s="84">
        <f>IF(N18=0,0,1000000*N18/TrRail_act!N33)</f>
        <v>248964.95659474042</v>
      </c>
      <c r="O53" s="84">
        <f>IF(O18=0,0,1000000*O18/TrRail_act!O33)</f>
        <v>174161.29519393964</v>
      </c>
      <c r="P53" s="84">
        <f>IF(P18=0,0,1000000*P18/TrRail_act!P33)</f>
        <v>262718.35722233681</v>
      </c>
      <c r="Q53" s="84">
        <f>IF(Q18=0,0,1000000*Q18/TrRail_act!Q33)</f>
        <v>260756.43512834911</v>
      </c>
      <c r="R53" s="84">
        <f>IF(R18=0,0,1000000*R18/TrRail_act!R33)</f>
        <v>238600.96652169374</v>
      </c>
      <c r="S53" s="84">
        <f>IF(S18=0,0,1000000*S18/TrRail_act!S33)</f>
        <v>348544.89441303693</v>
      </c>
      <c r="T53" s="84">
        <f>IF(T18=0,0,1000000*T18/TrRail_act!T33)</f>
        <v>411843.59251638106</v>
      </c>
      <c r="U53" s="84">
        <f>IF(U18=0,0,1000000*U18/TrRail_act!U33)</f>
        <v>274353.90477939969</v>
      </c>
      <c r="V53" s="84">
        <f>IF(V18=0,0,1000000*V18/TrRail_act!V33)</f>
        <v>322012.08527732978</v>
      </c>
      <c r="W53" s="84">
        <f>IF(W18=0,0,1000000*W18/TrRail_act!W33)</f>
        <v>375114.52806003124</v>
      </c>
      <c r="X53" s="84">
        <f>IF(X18=0,0,1000000*X18/TrRail_act!X33)</f>
        <v>291154.95195103716</v>
      </c>
      <c r="Y53" s="84">
        <f>IF(Y18=0,0,1000000*Y18/TrRail_act!Y33)</f>
        <v>117276.24795954785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425895.52037219855</v>
      </c>
      <c r="C54" s="86">
        <f>IF(C19=0,0,1000000*C19/TrRail_act!C34)</f>
        <v>414888.5092306165</v>
      </c>
      <c r="D54" s="86">
        <f>IF(D19=0,0,1000000*D19/TrRail_act!D34)</f>
        <v>276134.69808754587</v>
      </c>
      <c r="E54" s="86">
        <f>IF(E19=0,0,1000000*E19/TrRail_act!E34)</f>
        <v>397956.26745165751</v>
      </c>
      <c r="F54" s="86">
        <f>IF(F19=0,0,1000000*F19/TrRail_act!F34)</f>
        <v>384254.098173826</v>
      </c>
      <c r="G54" s="86">
        <f>IF(G19=0,0,1000000*G19/TrRail_act!G34)</f>
        <v>205220.45785398115</v>
      </c>
      <c r="H54" s="86">
        <f>IF(H19=0,0,1000000*H19/TrRail_act!H34)</f>
        <v>153969.5154888485</v>
      </c>
      <c r="I54" s="86">
        <f>IF(I19=0,0,1000000*I19/TrRail_act!I34)</f>
        <v>355371.06826309912</v>
      </c>
      <c r="J54" s="86">
        <f>IF(J19=0,0,1000000*J19/TrRail_act!J34)</f>
        <v>215683.30560209393</v>
      </c>
      <c r="K54" s="86">
        <f>IF(K19=0,0,1000000*K19/TrRail_act!K34)</f>
        <v>184483.31494106617</v>
      </c>
      <c r="L54" s="86">
        <f>IF(L19=0,0,1000000*L19/TrRail_act!L34)</f>
        <v>185149.69548308422</v>
      </c>
      <c r="M54" s="86">
        <f>IF(M19=0,0,1000000*M19/TrRail_act!M34)</f>
        <v>197826.47189332108</v>
      </c>
      <c r="N54" s="86">
        <f>IF(N19=0,0,1000000*N19/TrRail_act!N34)</f>
        <v>215877.05539542195</v>
      </c>
      <c r="O54" s="86">
        <f>IF(O19=0,0,1000000*O19/TrRail_act!O34)</f>
        <v>243863.07465314513</v>
      </c>
      <c r="P54" s="86">
        <f>IF(P19=0,0,1000000*P19/TrRail_act!P34)</f>
        <v>303878.82717777439</v>
      </c>
      <c r="Q54" s="86">
        <f>IF(Q19=0,0,1000000*Q19/TrRail_act!Q34)</f>
        <v>301142.06015433482</v>
      </c>
      <c r="R54" s="86">
        <f>IF(R19=0,0,1000000*R19/TrRail_act!R34)</f>
        <v>265239.72294881649</v>
      </c>
      <c r="S54" s="86">
        <f>IF(S19=0,0,1000000*S19/TrRail_act!S34)</f>
        <v>297587.68746331061</v>
      </c>
      <c r="T54" s="86">
        <f>IF(T19=0,0,1000000*T19/TrRail_act!T34)</f>
        <v>296454.09519714472</v>
      </c>
      <c r="U54" s="86">
        <f>IF(U19=0,0,1000000*U19/TrRail_act!U34)</f>
        <v>295606.81757853361</v>
      </c>
      <c r="V54" s="86">
        <f>IF(V19=0,0,1000000*V19/TrRail_act!V34)</f>
        <v>294972.87117302488</v>
      </c>
      <c r="W54" s="86">
        <f>IF(W19=0,0,1000000*W19/TrRail_act!W34)</f>
        <v>274249.63785220799</v>
      </c>
      <c r="X54" s="86">
        <f>IF(X19=0,0,1000000*X19/TrRail_act!X34)</f>
        <v>224648.42411475672</v>
      </c>
      <c r="Y54" s="86">
        <f>IF(Y19=0,0,1000000*Y19/TrRail_act!Y34)</f>
        <v>164727.19169988448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0.93288674760687396</v>
      </c>
      <c r="C57" s="31">
        <f t="shared" ref="C57:V57" si="18">IF(C11=0,0,C11/C$10)</f>
        <v>0.94226615603781461</v>
      </c>
      <c r="D57" s="31">
        <f t="shared" si="18"/>
        <v>0.94434326046927586</v>
      </c>
      <c r="E57" s="31">
        <f t="shared" si="18"/>
        <v>0.92671312047334942</v>
      </c>
      <c r="F57" s="31">
        <f t="shared" si="18"/>
        <v>0.90683720637881793</v>
      </c>
      <c r="G57" s="31">
        <f t="shared" si="18"/>
        <v>0.92381815457077299</v>
      </c>
      <c r="H57" s="31">
        <f t="shared" si="18"/>
        <v>0.92145145542632789</v>
      </c>
      <c r="I57" s="31">
        <f t="shared" si="18"/>
        <v>0.89856311539891998</v>
      </c>
      <c r="J57" s="31">
        <f t="shared" si="18"/>
        <v>0.86119420054457896</v>
      </c>
      <c r="K57" s="31">
        <f t="shared" si="18"/>
        <v>0.92739123822341252</v>
      </c>
      <c r="L57" s="31">
        <f t="shared" si="18"/>
        <v>0.87771045918472834</v>
      </c>
      <c r="M57" s="31">
        <f t="shared" si="18"/>
        <v>0.92214413065880796</v>
      </c>
      <c r="N57" s="31">
        <f t="shared" si="18"/>
        <v>0.94571997324639545</v>
      </c>
      <c r="O57" s="31">
        <f t="shared" si="18"/>
        <v>0.95494956824439126</v>
      </c>
      <c r="P57" s="31">
        <f t="shared" si="18"/>
        <v>0.97075068772301532</v>
      </c>
      <c r="Q57" s="31">
        <f t="shared" si="18"/>
        <v>0.97288440006433929</v>
      </c>
      <c r="R57" s="31">
        <f t="shared" si="18"/>
        <v>0.97590109645193412</v>
      </c>
      <c r="S57" s="31">
        <f t="shared" si="18"/>
        <v>0.96618782708793893</v>
      </c>
      <c r="T57" s="31">
        <f t="shared" si="18"/>
        <v>0.96133357991220825</v>
      </c>
      <c r="U57" s="31">
        <f t="shared" si="18"/>
        <v>0.92166053503724388</v>
      </c>
      <c r="V57" s="31">
        <f t="shared" si="18"/>
        <v>0.87557570053740541</v>
      </c>
      <c r="W57" s="31">
        <f t="shared" ref="W57:Y57" si="19">IF(W11=0,0,W11/W$10)</f>
        <v>0.8848925773254317</v>
      </c>
      <c r="X57" s="31">
        <f t="shared" si="19"/>
        <v>0.92122246282894027</v>
      </c>
      <c r="Y57" s="31">
        <f t="shared" si="19"/>
        <v>0.94298815010515846</v>
      </c>
      <c r="DA57" s="173"/>
    </row>
    <row r="58" spans="1:105" ht="11.45" customHeight="1" x14ac:dyDescent="0.25">
      <c r="A58" s="107" t="s">
        <v>23</v>
      </c>
      <c r="B58" s="123">
        <f t="shared" si="15"/>
        <v>0.12900632959103073</v>
      </c>
      <c r="C58" s="123">
        <f t="shared" ref="C58:V58" si="20">IF(C12=0,0,C12/C$10)</f>
        <v>0.14077047847526938</v>
      </c>
      <c r="D58" s="123">
        <f t="shared" si="20"/>
        <v>0.14352270872225689</v>
      </c>
      <c r="E58" s="123">
        <f t="shared" si="20"/>
        <v>0.14963374448184388</v>
      </c>
      <c r="F58" s="123">
        <f t="shared" si="20"/>
        <v>0.15716618379694605</v>
      </c>
      <c r="G58" s="123">
        <f t="shared" si="20"/>
        <v>8.5668009858317878E-2</v>
      </c>
      <c r="H58" s="123">
        <f t="shared" si="20"/>
        <v>0.13315666811718649</v>
      </c>
      <c r="I58" s="123">
        <f t="shared" si="20"/>
        <v>0.16424384659595484</v>
      </c>
      <c r="J58" s="123">
        <f t="shared" si="20"/>
        <v>0.11685479192828863</v>
      </c>
      <c r="K58" s="123">
        <f t="shared" si="20"/>
        <v>0.155865694580203</v>
      </c>
      <c r="L58" s="123">
        <f t="shared" si="20"/>
        <v>0.14440207271011102</v>
      </c>
      <c r="M58" s="123">
        <f t="shared" si="20"/>
        <v>0.2231044578787543</v>
      </c>
      <c r="N58" s="123">
        <f t="shared" si="20"/>
        <v>0.13207889308926699</v>
      </c>
      <c r="O58" s="123">
        <f t="shared" si="20"/>
        <v>0.23507184177604781</v>
      </c>
      <c r="P58" s="123">
        <f t="shared" si="20"/>
        <v>0.14162629700431481</v>
      </c>
      <c r="Q58" s="123">
        <f t="shared" si="20"/>
        <v>0.12852903323384349</v>
      </c>
      <c r="R58" s="123">
        <f t="shared" si="20"/>
        <v>0.12903323333196942</v>
      </c>
      <c r="S58" s="123">
        <f t="shared" si="20"/>
        <v>0.13531082670402131</v>
      </c>
      <c r="T58" s="123">
        <f t="shared" si="20"/>
        <v>0.13663351952601568</v>
      </c>
      <c r="U58" s="123">
        <f t="shared" si="20"/>
        <v>0.24447789865134481</v>
      </c>
      <c r="V58" s="123">
        <f t="shared" si="20"/>
        <v>0.30653514151557504</v>
      </c>
      <c r="W58" s="123">
        <f t="shared" ref="W58:Y58" si="21">IF(W12=0,0,W12/W$10)</f>
        <v>0.29048989735388869</v>
      </c>
      <c r="X58" s="123">
        <f t="shared" si="21"/>
        <v>0.29207055350843525</v>
      </c>
      <c r="Y58" s="123">
        <f t="shared" si="21"/>
        <v>0.36983326636307318</v>
      </c>
      <c r="DA58" s="203"/>
    </row>
    <row r="59" spans="1:105" ht="11.45" customHeight="1" x14ac:dyDescent="0.25">
      <c r="A59" s="109" t="s">
        <v>24</v>
      </c>
      <c r="B59" s="124">
        <f t="shared" si="15"/>
        <v>0.8038804180158432</v>
      </c>
      <c r="C59" s="124">
        <f t="shared" ref="C59:V59" si="22">IF(C13=0,0,C13/C$10)</f>
        <v>0.80149567756254514</v>
      </c>
      <c r="D59" s="124">
        <f t="shared" si="22"/>
        <v>0.80082055174701894</v>
      </c>
      <c r="E59" s="124">
        <f t="shared" si="22"/>
        <v>0.77707937599150556</v>
      </c>
      <c r="F59" s="124">
        <f t="shared" si="22"/>
        <v>0.7496710225818719</v>
      </c>
      <c r="G59" s="124">
        <f t="shared" si="22"/>
        <v>0.83815014471245508</v>
      </c>
      <c r="H59" s="124">
        <f t="shared" si="22"/>
        <v>0.78829478730914138</v>
      </c>
      <c r="I59" s="124">
        <f t="shared" si="22"/>
        <v>0.73431926880296505</v>
      </c>
      <c r="J59" s="124">
        <f t="shared" si="22"/>
        <v>0.74433940861629033</v>
      </c>
      <c r="K59" s="124">
        <f t="shared" si="22"/>
        <v>0.77152554364320958</v>
      </c>
      <c r="L59" s="124">
        <f t="shared" si="22"/>
        <v>0.73330838647461738</v>
      </c>
      <c r="M59" s="124">
        <f t="shared" si="22"/>
        <v>0.69903967278005363</v>
      </c>
      <c r="N59" s="124">
        <f t="shared" si="22"/>
        <v>0.81364108015712855</v>
      </c>
      <c r="O59" s="124">
        <f t="shared" si="22"/>
        <v>0.71987772646834347</v>
      </c>
      <c r="P59" s="124">
        <f t="shared" si="22"/>
        <v>0.82912439071870048</v>
      </c>
      <c r="Q59" s="124">
        <f t="shared" si="22"/>
        <v>0.84435536683049583</v>
      </c>
      <c r="R59" s="124">
        <f t="shared" si="22"/>
        <v>0.84686786311996476</v>
      </c>
      <c r="S59" s="124">
        <f t="shared" si="22"/>
        <v>0.83087700038391765</v>
      </c>
      <c r="T59" s="124">
        <f t="shared" si="22"/>
        <v>0.82470006038619259</v>
      </c>
      <c r="U59" s="124">
        <f t="shared" si="22"/>
        <v>0.67718263638589915</v>
      </c>
      <c r="V59" s="124">
        <f t="shared" si="22"/>
        <v>0.56904055902183048</v>
      </c>
      <c r="W59" s="124">
        <f t="shared" ref="W59:Y59" si="23">IF(W13=0,0,W13/W$10)</f>
        <v>0.59440267997154306</v>
      </c>
      <c r="X59" s="124">
        <f t="shared" si="23"/>
        <v>0.62915190932050502</v>
      </c>
      <c r="Y59" s="124">
        <f t="shared" si="23"/>
        <v>0.57315488374208523</v>
      </c>
      <c r="DA59" s="176"/>
    </row>
    <row r="60" spans="1:105" ht="11.45" customHeight="1" x14ac:dyDescent="0.25">
      <c r="A60" s="111" t="s">
        <v>92</v>
      </c>
      <c r="B60" s="125">
        <f t="shared" si="15"/>
        <v>0.77052834452984187</v>
      </c>
      <c r="C60" s="125">
        <f t="shared" ref="C60:V60" si="24">IF(C14=0,0,C14/C$10)</f>
        <v>0.76793730241265934</v>
      </c>
      <c r="D60" s="125">
        <f t="shared" si="24"/>
        <v>0.77228509114807142</v>
      </c>
      <c r="E60" s="125">
        <f t="shared" si="24"/>
        <v>0.75253645735671804</v>
      </c>
      <c r="F60" s="125">
        <f t="shared" si="24"/>
        <v>0.73025673613257658</v>
      </c>
      <c r="G60" s="125">
        <f t="shared" si="24"/>
        <v>0.82557665976071426</v>
      </c>
      <c r="H60" s="125">
        <f t="shared" si="24"/>
        <v>0.78728667432853672</v>
      </c>
      <c r="I60" s="125">
        <f t="shared" si="24"/>
        <v>0.71564073817152318</v>
      </c>
      <c r="J60" s="125">
        <f t="shared" si="24"/>
        <v>0.70375262022829688</v>
      </c>
      <c r="K60" s="125">
        <f t="shared" si="24"/>
        <v>0.73385387312064465</v>
      </c>
      <c r="L60" s="125">
        <f t="shared" si="24"/>
        <v>0.72804134212795757</v>
      </c>
      <c r="M60" s="125">
        <f t="shared" si="24"/>
        <v>0.6950077731384201</v>
      </c>
      <c r="N60" s="125">
        <f t="shared" si="24"/>
        <v>0.7950778144784848</v>
      </c>
      <c r="O60" s="125">
        <f t="shared" si="24"/>
        <v>0.63600268525798032</v>
      </c>
      <c r="P60" s="125">
        <f t="shared" si="24"/>
        <v>0.72731370229426595</v>
      </c>
      <c r="Q60" s="125">
        <f t="shared" si="24"/>
        <v>0.71486859956871407</v>
      </c>
      <c r="R60" s="125">
        <f t="shared" si="24"/>
        <v>0.7339979433996171</v>
      </c>
      <c r="S60" s="125">
        <f t="shared" si="24"/>
        <v>0.72121982597056034</v>
      </c>
      <c r="T60" s="125">
        <f t="shared" si="24"/>
        <v>0.6908920124552882</v>
      </c>
      <c r="U60" s="125">
        <f t="shared" si="24"/>
        <v>0.37373889065531729</v>
      </c>
      <c r="V60" s="125">
        <f t="shared" si="24"/>
        <v>0.30850562918381202</v>
      </c>
      <c r="W60" s="125">
        <f t="shared" ref="W60:Y60" si="25">IF(W14=0,0,W14/W$10)</f>
        <v>0.25773607449774044</v>
      </c>
      <c r="X60" s="125">
        <f t="shared" si="25"/>
        <v>0.25491388074597437</v>
      </c>
      <c r="Y60" s="125">
        <f t="shared" si="25"/>
        <v>0.20139648182493344</v>
      </c>
      <c r="DA60" s="171"/>
    </row>
    <row r="61" spans="1:105" ht="11.45" customHeight="1" x14ac:dyDescent="0.25">
      <c r="A61" s="111" t="s">
        <v>93</v>
      </c>
      <c r="B61" s="125">
        <f t="shared" si="15"/>
        <v>3.3352073486001249E-2</v>
      </c>
      <c r="C61" s="125">
        <f t="shared" ref="C61:V61" si="26">IF(C15=0,0,C15/C$10)</f>
        <v>3.3558375149885765E-2</v>
      </c>
      <c r="D61" s="125">
        <f t="shared" si="26"/>
        <v>2.8535460598947536E-2</v>
      </c>
      <c r="E61" s="125">
        <f t="shared" si="26"/>
        <v>2.4542918634787459E-2</v>
      </c>
      <c r="F61" s="125">
        <f t="shared" si="26"/>
        <v>1.9414286449295385E-2</v>
      </c>
      <c r="G61" s="125">
        <f t="shared" si="26"/>
        <v>1.2573484951740861E-2</v>
      </c>
      <c r="H61" s="125">
        <f t="shared" si="26"/>
        <v>1.0081129806046765E-3</v>
      </c>
      <c r="I61" s="125">
        <f t="shared" si="26"/>
        <v>1.8678530631441852E-2</v>
      </c>
      <c r="J61" s="125">
        <f t="shared" si="26"/>
        <v>4.0586788387993539E-2</v>
      </c>
      <c r="K61" s="125">
        <f t="shared" si="26"/>
        <v>3.7671670522564975E-2</v>
      </c>
      <c r="L61" s="125">
        <f t="shared" si="26"/>
        <v>5.2670443466597255E-3</v>
      </c>
      <c r="M61" s="125">
        <f t="shared" si="26"/>
        <v>4.0318996416333934E-3</v>
      </c>
      <c r="N61" s="125">
        <f t="shared" si="26"/>
        <v>1.8563265678643734E-2</v>
      </c>
      <c r="O61" s="125">
        <f t="shared" si="26"/>
        <v>8.3875041210363196E-2</v>
      </c>
      <c r="P61" s="125">
        <f t="shared" si="26"/>
        <v>0.10181068842443451</v>
      </c>
      <c r="Q61" s="125">
        <f t="shared" si="26"/>
        <v>0.12948676726178174</v>
      </c>
      <c r="R61" s="125">
        <f t="shared" si="26"/>
        <v>0.11286991972034754</v>
      </c>
      <c r="S61" s="125">
        <f t="shared" si="26"/>
        <v>0.10965717441335733</v>
      </c>
      <c r="T61" s="125">
        <f t="shared" si="26"/>
        <v>0.13380804793090442</v>
      </c>
      <c r="U61" s="125">
        <f t="shared" si="26"/>
        <v>0.30344374573058192</v>
      </c>
      <c r="V61" s="125">
        <f t="shared" si="26"/>
        <v>0.26053492983801835</v>
      </c>
      <c r="W61" s="125">
        <f t="shared" ref="W61:Y61" si="27">IF(W15=0,0,W15/W$10)</f>
        <v>0.33666660547380256</v>
      </c>
      <c r="X61" s="125">
        <f t="shared" si="27"/>
        <v>0.37423802857453065</v>
      </c>
      <c r="Y61" s="125">
        <f t="shared" si="27"/>
        <v>0.37175840191715176</v>
      </c>
      <c r="DA61" s="171"/>
    </row>
    <row r="62" spans="1:105" ht="11.45" customHeight="1" x14ac:dyDescent="0.25">
      <c r="A62" s="112" t="s">
        <v>25</v>
      </c>
      <c r="B62" s="126">
        <f t="shared" si="15"/>
        <v>0</v>
      </c>
      <c r="C62" s="126">
        <f t="shared" ref="C62:V62" si="28">IF(C16=0,0,C16/C$10)</f>
        <v>0</v>
      </c>
      <c r="D62" s="126">
        <f t="shared" si="28"/>
        <v>0</v>
      </c>
      <c r="E62" s="126">
        <f t="shared" si="28"/>
        <v>0</v>
      </c>
      <c r="F62" s="126">
        <f t="shared" si="28"/>
        <v>0</v>
      </c>
      <c r="G62" s="126">
        <f t="shared" si="28"/>
        <v>0</v>
      </c>
      <c r="H62" s="126">
        <f t="shared" si="28"/>
        <v>0</v>
      </c>
      <c r="I62" s="126">
        <f t="shared" si="28"/>
        <v>0</v>
      </c>
      <c r="J62" s="126">
        <f t="shared" si="28"/>
        <v>0</v>
      </c>
      <c r="K62" s="126">
        <f t="shared" si="28"/>
        <v>0</v>
      </c>
      <c r="L62" s="126">
        <f t="shared" si="28"/>
        <v>0</v>
      </c>
      <c r="M62" s="126">
        <f t="shared" si="28"/>
        <v>0</v>
      </c>
      <c r="N62" s="126">
        <f t="shared" si="28"/>
        <v>0</v>
      </c>
      <c r="O62" s="126">
        <f t="shared" si="28"/>
        <v>0</v>
      </c>
      <c r="P62" s="126">
        <f t="shared" si="28"/>
        <v>0</v>
      </c>
      <c r="Q62" s="126">
        <f t="shared" si="28"/>
        <v>0</v>
      </c>
      <c r="R62" s="126">
        <f t="shared" si="28"/>
        <v>0</v>
      </c>
      <c r="S62" s="126">
        <f t="shared" si="28"/>
        <v>0</v>
      </c>
      <c r="T62" s="126">
        <f t="shared" si="28"/>
        <v>0</v>
      </c>
      <c r="U62" s="126">
        <f t="shared" si="28"/>
        <v>0</v>
      </c>
      <c r="V62" s="126">
        <f t="shared" si="28"/>
        <v>0</v>
      </c>
      <c r="W62" s="126">
        <f t="shared" ref="W62:Y62" si="29">IF(W16=0,0,W16/W$10)</f>
        <v>0</v>
      </c>
      <c r="X62" s="126">
        <f t="shared" si="29"/>
        <v>0</v>
      </c>
      <c r="Y62" s="126">
        <f t="shared" si="29"/>
        <v>0</v>
      </c>
      <c r="DA62" s="204"/>
    </row>
    <row r="63" spans="1:105" ht="11.45" customHeight="1" x14ac:dyDescent="0.25">
      <c r="A63" s="27" t="s">
        <v>34</v>
      </c>
      <c r="B63" s="31">
        <f t="shared" si="15"/>
        <v>6.7113252393125947E-2</v>
      </c>
      <c r="C63" s="31">
        <f t="shared" ref="C63:V63" si="30">IF(C17=0,0,C17/C$10)</f>
        <v>5.7733843962185338E-2</v>
      </c>
      <c r="D63" s="31">
        <f t="shared" si="30"/>
        <v>5.56567395307241E-2</v>
      </c>
      <c r="E63" s="31">
        <f t="shared" si="30"/>
        <v>7.3286879526650556E-2</v>
      </c>
      <c r="F63" s="31">
        <f t="shared" si="30"/>
        <v>9.3162793621182016E-2</v>
      </c>
      <c r="G63" s="31">
        <f t="shared" si="30"/>
        <v>7.6181845429226985E-2</v>
      </c>
      <c r="H63" s="31">
        <f t="shared" si="30"/>
        <v>7.8548544573672205E-2</v>
      </c>
      <c r="I63" s="31">
        <f t="shared" si="30"/>
        <v>0.10143688460108004</v>
      </c>
      <c r="J63" s="31">
        <f t="shared" si="30"/>
        <v>0.13880579945542101</v>
      </c>
      <c r="K63" s="31">
        <f t="shared" si="30"/>
        <v>7.260876177658758E-2</v>
      </c>
      <c r="L63" s="31">
        <f t="shared" si="30"/>
        <v>0.12228954081527166</v>
      </c>
      <c r="M63" s="31">
        <f t="shared" si="30"/>
        <v>7.7855869341192069E-2</v>
      </c>
      <c r="N63" s="31">
        <f t="shared" si="30"/>
        <v>5.4280026753604507E-2</v>
      </c>
      <c r="O63" s="31">
        <f t="shared" si="30"/>
        <v>4.5050431755608807E-2</v>
      </c>
      <c r="P63" s="31">
        <f t="shared" si="30"/>
        <v>2.9249312276984754E-2</v>
      </c>
      <c r="Q63" s="31">
        <f t="shared" si="30"/>
        <v>2.7115599935660692E-2</v>
      </c>
      <c r="R63" s="31">
        <f t="shared" si="30"/>
        <v>2.4098903548065896E-2</v>
      </c>
      <c r="S63" s="31">
        <f t="shared" si="30"/>
        <v>3.3812172912061095E-2</v>
      </c>
      <c r="T63" s="31">
        <f t="shared" si="30"/>
        <v>3.8666420087791691E-2</v>
      </c>
      <c r="U63" s="31">
        <f t="shared" si="30"/>
        <v>7.8339464962756108E-2</v>
      </c>
      <c r="V63" s="31">
        <f t="shared" si="30"/>
        <v>0.12442429946259451</v>
      </c>
      <c r="W63" s="31">
        <f t="shared" ref="W63:Y63" si="31">IF(W17=0,0,W17/W$10)</f>
        <v>0.11510742267456825</v>
      </c>
      <c r="X63" s="31">
        <f t="shared" si="31"/>
        <v>7.8777537171059731E-2</v>
      </c>
      <c r="Y63" s="31">
        <f t="shared" si="31"/>
        <v>5.70118498948416E-2</v>
      </c>
      <c r="DA63" s="173"/>
    </row>
    <row r="64" spans="1:105" ht="11.45" customHeight="1" x14ac:dyDescent="0.25">
      <c r="A64" s="83" t="s">
        <v>92</v>
      </c>
      <c r="B64" s="125">
        <f t="shared" si="15"/>
        <v>5.9267166934645996E-2</v>
      </c>
      <c r="C64" s="125">
        <f t="shared" ref="C64:V64" si="32">IF(C18=0,0,C18/C$10)</f>
        <v>4.9087277855408083E-2</v>
      </c>
      <c r="D64" s="125">
        <f t="shared" si="32"/>
        <v>5.0366593316560432E-2</v>
      </c>
      <c r="E64" s="125">
        <f t="shared" si="32"/>
        <v>6.5887669623058476E-2</v>
      </c>
      <c r="F64" s="125">
        <f t="shared" si="32"/>
        <v>8.3983061542182907E-2</v>
      </c>
      <c r="G64" s="125">
        <f t="shared" si="32"/>
        <v>7.1190849408207871E-2</v>
      </c>
      <c r="H64" s="125">
        <f t="shared" si="32"/>
        <v>7.5322137730886807E-2</v>
      </c>
      <c r="I64" s="125">
        <f t="shared" si="32"/>
        <v>8.6517012888475547E-2</v>
      </c>
      <c r="J64" s="125">
        <f t="shared" si="32"/>
        <v>0.12958071310503649</v>
      </c>
      <c r="K64" s="125">
        <f t="shared" si="32"/>
        <v>6.3898935868119511E-2</v>
      </c>
      <c r="L64" s="125">
        <f t="shared" si="32"/>
        <v>0.1092230007206947</v>
      </c>
      <c r="M64" s="125">
        <f t="shared" si="32"/>
        <v>6.1921864388232245E-2</v>
      </c>
      <c r="N64" s="125">
        <f t="shared" si="32"/>
        <v>4.337267059519033E-2</v>
      </c>
      <c r="O64" s="125">
        <f t="shared" si="32"/>
        <v>3.2127369832430558E-2</v>
      </c>
      <c r="P64" s="125">
        <f t="shared" si="32"/>
        <v>2.1571884629954012E-2</v>
      </c>
      <c r="Q64" s="125">
        <f t="shared" si="32"/>
        <v>1.9825277982306364E-2</v>
      </c>
      <c r="R64" s="125">
        <f t="shared" si="32"/>
        <v>1.7820405903114209E-2</v>
      </c>
      <c r="S64" s="125">
        <f t="shared" si="32"/>
        <v>2.4824788085766016E-2</v>
      </c>
      <c r="T64" s="125">
        <f t="shared" si="32"/>
        <v>2.7765347455588455E-2</v>
      </c>
      <c r="U64" s="125">
        <f t="shared" si="32"/>
        <v>3.5348481690281749E-2</v>
      </c>
      <c r="V64" s="125">
        <f t="shared" si="32"/>
        <v>4.8907274790850927E-2</v>
      </c>
      <c r="W64" s="125">
        <f t="shared" ref="W64:Y64" si="33">IF(W18=0,0,W18/W$10)</f>
        <v>4.9544494241305227E-2</v>
      </c>
      <c r="X64" s="125">
        <f t="shared" si="33"/>
        <v>3.1359130003288542E-2</v>
      </c>
      <c r="Y64" s="125">
        <f t="shared" si="33"/>
        <v>1.4214477249302429E-2</v>
      </c>
      <c r="DA64" s="171"/>
    </row>
    <row r="65" spans="1:105" ht="11.45" customHeight="1" x14ac:dyDescent="0.25">
      <c r="A65" s="85" t="s">
        <v>93</v>
      </c>
      <c r="B65" s="127">
        <f t="shared" si="15"/>
        <v>7.8460854584799528E-3</v>
      </c>
      <c r="C65" s="127">
        <f t="shared" ref="C65:V65" si="34">IF(C19=0,0,C19/C$10)</f>
        <v>8.6465661067772637E-3</v>
      </c>
      <c r="D65" s="127">
        <f t="shared" si="34"/>
        <v>5.2901462141636685E-3</v>
      </c>
      <c r="E65" s="127">
        <f t="shared" si="34"/>
        <v>7.3992099035920774E-3</v>
      </c>
      <c r="F65" s="127">
        <f t="shared" si="34"/>
        <v>9.1797320789991158E-3</v>
      </c>
      <c r="G65" s="127">
        <f t="shared" si="34"/>
        <v>4.9909960210191137E-3</v>
      </c>
      <c r="H65" s="127">
        <f t="shared" si="34"/>
        <v>3.226406842785402E-3</v>
      </c>
      <c r="I65" s="127">
        <f t="shared" si="34"/>
        <v>1.491987171260447E-2</v>
      </c>
      <c r="J65" s="127">
        <f t="shared" si="34"/>
        <v>9.2250863503845204E-3</v>
      </c>
      <c r="K65" s="127">
        <f t="shared" si="34"/>
        <v>8.7098259084680656E-3</v>
      </c>
      <c r="L65" s="127">
        <f t="shared" si="34"/>
        <v>1.3066540094576957E-2</v>
      </c>
      <c r="M65" s="127">
        <f t="shared" si="34"/>
        <v>1.593400495295982E-2</v>
      </c>
      <c r="N65" s="127">
        <f t="shared" si="34"/>
        <v>1.0907356158414179E-2</v>
      </c>
      <c r="O65" s="127">
        <f t="shared" si="34"/>
        <v>1.2923061923178245E-2</v>
      </c>
      <c r="P65" s="127">
        <f t="shared" si="34"/>
        <v>7.6774276470307429E-3</v>
      </c>
      <c r="Q65" s="127">
        <f t="shared" si="34"/>
        <v>7.2903219533543284E-3</v>
      </c>
      <c r="R65" s="127">
        <f t="shared" si="34"/>
        <v>6.2784976449516876E-3</v>
      </c>
      <c r="S65" s="127">
        <f t="shared" si="34"/>
        <v>8.9873848262950768E-3</v>
      </c>
      <c r="T65" s="127">
        <f t="shared" si="34"/>
        <v>1.0901072632203237E-2</v>
      </c>
      <c r="U65" s="127">
        <f t="shared" si="34"/>
        <v>4.2990983272474352E-2</v>
      </c>
      <c r="V65" s="127">
        <f t="shared" si="34"/>
        <v>7.5517024671743579E-2</v>
      </c>
      <c r="W65" s="127">
        <f t="shared" ref="W65:Y65" si="35">IF(W19=0,0,W19/W$10)</f>
        <v>6.5562928433263029E-2</v>
      </c>
      <c r="X65" s="127">
        <f t="shared" si="35"/>
        <v>4.7418407167771195E-2</v>
      </c>
      <c r="Y65" s="127">
        <f t="shared" si="35"/>
        <v>4.2797372645539171E-2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127.45205928</v>
      </c>
      <c r="C4" s="26">
        <f t="shared" ref="C4:W4" si="0">SUM(C5:C6)</f>
        <v>127.45205928</v>
      </c>
      <c r="D4" s="26">
        <f t="shared" si="0"/>
        <v>127.45205928</v>
      </c>
      <c r="E4" s="26">
        <f t="shared" si="0"/>
        <v>127.45205928</v>
      </c>
      <c r="F4" s="26">
        <f t="shared" si="0"/>
        <v>127.45205928</v>
      </c>
      <c r="G4" s="26">
        <f t="shared" si="0"/>
        <v>127.45205928</v>
      </c>
      <c r="H4" s="26">
        <f t="shared" si="0"/>
        <v>130.63824072</v>
      </c>
      <c r="I4" s="26">
        <f t="shared" si="0"/>
        <v>117.89298144</v>
      </c>
      <c r="J4" s="26">
        <f t="shared" si="0"/>
        <v>114.7068</v>
      </c>
      <c r="K4" s="26">
        <f t="shared" si="0"/>
        <v>94.699799999999996</v>
      </c>
      <c r="L4" s="26">
        <f t="shared" si="0"/>
        <v>63.133288920000012</v>
      </c>
      <c r="M4" s="26">
        <f t="shared" si="0"/>
        <v>47.349899999999998</v>
      </c>
      <c r="N4" s="26">
        <f t="shared" si="0"/>
        <v>78.916411080000003</v>
      </c>
      <c r="O4" s="26">
        <f t="shared" si="0"/>
        <v>53.663308919999999</v>
      </c>
      <c r="P4" s="26">
        <f t="shared" si="0"/>
        <v>126.26631108000001</v>
      </c>
      <c r="Q4" s="26">
        <f t="shared" si="0"/>
        <v>126.26631108000001</v>
      </c>
      <c r="R4" s="26">
        <f t="shared" si="0"/>
        <v>126.26631108000001</v>
      </c>
      <c r="S4" s="26">
        <f t="shared" si="0"/>
        <v>123.18549983999996</v>
      </c>
      <c r="T4" s="26">
        <f t="shared" si="0"/>
        <v>116.71418771999998</v>
      </c>
      <c r="U4" s="26">
        <f t="shared" si="0"/>
        <v>33.897207240000014</v>
      </c>
      <c r="V4" s="26">
        <f t="shared" si="0"/>
        <v>22.99951368</v>
      </c>
      <c r="W4" s="26">
        <f t="shared" si="0"/>
        <v>20.81181492</v>
      </c>
      <c r="X4" s="26">
        <f t="shared" ref="X4:Y4" si="1">SUM(X5:X6)</f>
        <v>21.575815559999999</v>
      </c>
      <c r="Y4" s="26">
        <f t="shared" si="1"/>
        <v>12.967470359999997</v>
      </c>
      <c r="DA4" s="202" t="s">
        <v>1137</v>
      </c>
    </row>
    <row r="5" spans="1:105" ht="11.45" customHeight="1" x14ac:dyDescent="0.25">
      <c r="A5" s="107" t="s">
        <v>92</v>
      </c>
      <c r="B5" s="129">
        <v>127.45205928</v>
      </c>
      <c r="C5" s="129">
        <v>127.45205928</v>
      </c>
      <c r="D5" s="129">
        <v>127.45205928</v>
      </c>
      <c r="E5" s="129">
        <v>127.45205928</v>
      </c>
      <c r="F5" s="129">
        <v>127.45205928</v>
      </c>
      <c r="G5" s="129">
        <v>127.45205928</v>
      </c>
      <c r="H5" s="129">
        <v>130.63824072</v>
      </c>
      <c r="I5" s="129">
        <v>117.89298144</v>
      </c>
      <c r="J5" s="129">
        <v>114.7068</v>
      </c>
      <c r="K5" s="129">
        <v>94.699799999999996</v>
      </c>
      <c r="L5" s="129">
        <v>63.133288920000012</v>
      </c>
      <c r="M5" s="129">
        <v>47.349899999999998</v>
      </c>
      <c r="N5" s="129">
        <v>78.916411080000003</v>
      </c>
      <c r="O5" s="129">
        <v>53.663308919999999</v>
      </c>
      <c r="P5" s="129">
        <v>126.26631108000001</v>
      </c>
      <c r="Q5" s="129">
        <v>126.26631108000001</v>
      </c>
      <c r="R5" s="129">
        <v>126.26631108000001</v>
      </c>
      <c r="S5" s="129">
        <v>123.18549983999996</v>
      </c>
      <c r="T5" s="129">
        <v>116.71418771999998</v>
      </c>
      <c r="U5" s="129">
        <v>33.897207240000014</v>
      </c>
      <c r="V5" s="129">
        <v>22.99951368</v>
      </c>
      <c r="W5" s="129">
        <v>20.81181492</v>
      </c>
      <c r="X5" s="129">
        <v>21.575815559999999</v>
      </c>
      <c r="Y5" s="129">
        <v>12.967470359999997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127.45205927999999</v>
      </c>
      <c r="C8" s="79">
        <f t="shared" si="2"/>
        <v>127.45205928</v>
      </c>
      <c r="D8" s="79">
        <f t="shared" si="2"/>
        <v>127.45205928</v>
      </c>
      <c r="E8" s="79">
        <f t="shared" si="2"/>
        <v>127.45205928000001</v>
      </c>
      <c r="F8" s="79">
        <f t="shared" si="2"/>
        <v>127.45205928</v>
      </c>
      <c r="G8" s="79">
        <f t="shared" si="2"/>
        <v>127.45205928</v>
      </c>
      <c r="H8" s="79">
        <f t="shared" si="2"/>
        <v>130.63824072</v>
      </c>
      <c r="I8" s="79">
        <f t="shared" si="2"/>
        <v>117.89298143999999</v>
      </c>
      <c r="J8" s="79">
        <f t="shared" si="2"/>
        <v>114.70679999999999</v>
      </c>
      <c r="K8" s="79">
        <f t="shared" si="2"/>
        <v>94.699799999999996</v>
      </c>
      <c r="L8" s="79">
        <f t="shared" si="2"/>
        <v>63.133288920000012</v>
      </c>
      <c r="M8" s="79">
        <f t="shared" si="2"/>
        <v>47.349899999999998</v>
      </c>
      <c r="N8" s="79">
        <f t="shared" si="2"/>
        <v>78.916411080000003</v>
      </c>
      <c r="O8" s="79">
        <f t="shared" si="2"/>
        <v>53.663308919999992</v>
      </c>
      <c r="P8" s="79">
        <f t="shared" si="2"/>
        <v>126.26631108000001</v>
      </c>
      <c r="Q8" s="79">
        <f t="shared" si="2"/>
        <v>126.26631108000001</v>
      </c>
      <c r="R8" s="79">
        <f t="shared" si="2"/>
        <v>126.26631107999999</v>
      </c>
      <c r="S8" s="79">
        <f t="shared" si="2"/>
        <v>123.18549983999999</v>
      </c>
      <c r="T8" s="79">
        <f t="shared" si="2"/>
        <v>116.71418771999998</v>
      </c>
      <c r="U8" s="79">
        <f t="shared" si="2"/>
        <v>33.897207240000014</v>
      </c>
      <c r="V8" s="79">
        <f t="shared" si="2"/>
        <v>22.99951368</v>
      </c>
      <c r="W8" s="79">
        <f t="shared" si="2"/>
        <v>20.811814919999996</v>
      </c>
      <c r="X8" s="79">
        <f t="shared" ref="X8:Y8" si="3">SUM(X9,X15)</f>
        <v>21.575815560000002</v>
      </c>
      <c r="Y8" s="79">
        <f t="shared" si="3"/>
        <v>12.967470359999997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118.34894608024219</v>
      </c>
      <c r="C9" s="32">
        <f t="shared" si="4"/>
        <v>119.79467075312287</v>
      </c>
      <c r="D9" s="32">
        <f t="shared" si="4"/>
        <v>119.64884662227415</v>
      </c>
      <c r="E9" s="32">
        <f t="shared" si="4"/>
        <v>117.19146346202432</v>
      </c>
      <c r="F9" s="32">
        <f t="shared" si="4"/>
        <v>114.30628309863761</v>
      </c>
      <c r="G9" s="32">
        <f t="shared" si="4"/>
        <v>117.3341410166842</v>
      </c>
      <c r="H9" s="32">
        <f t="shared" si="4"/>
        <v>119.23104034960228</v>
      </c>
      <c r="I9" s="32">
        <f t="shared" si="4"/>
        <v>105.17759150425856</v>
      </c>
      <c r="J9" s="32">
        <f t="shared" si="4"/>
        <v>96.870253269603836</v>
      </c>
      <c r="K9" s="32">
        <f t="shared" si="4"/>
        <v>87.11447234118009</v>
      </c>
      <c r="L9" s="32">
        <f t="shared" si="4"/>
        <v>54.897410585867405</v>
      </c>
      <c r="M9" s="32">
        <f t="shared" si="4"/>
        <v>43.476364150383965</v>
      </c>
      <c r="N9" s="32">
        <f t="shared" si="4"/>
        <v>74.834100242018081</v>
      </c>
      <c r="O9" s="32">
        <f t="shared" si="4"/>
        <v>51.082881712797779</v>
      </c>
      <c r="P9" s="32">
        <f t="shared" si="4"/>
        <v>122.62917031667635</v>
      </c>
      <c r="Q9" s="32">
        <f t="shared" si="4"/>
        <v>122.85908965969148</v>
      </c>
      <c r="R9" s="32">
        <f t="shared" si="4"/>
        <v>123.27341137567468</v>
      </c>
      <c r="S9" s="32">
        <f t="shared" si="4"/>
        <v>119.08647697843118</v>
      </c>
      <c r="T9" s="32">
        <f t="shared" si="4"/>
        <v>112.2049317715958</v>
      </c>
      <c r="U9" s="32">
        <f t="shared" si="4"/>
        <v>30.968212383462205</v>
      </c>
      <c r="V9" s="32">
        <f t="shared" si="4"/>
        <v>19.852331462752925</v>
      </c>
      <c r="W9" s="32">
        <f t="shared" si="4"/>
        <v>17.456214373286908</v>
      </c>
      <c r="X9" s="32">
        <f t="shared" ref="X9:Y9" si="5">SUM(X10,X11,X14)</f>
        <v>19.212341604484067</v>
      </c>
      <c r="Y9" s="32">
        <f t="shared" si="5"/>
        <v>12.112570343763998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118.34894608024219</v>
      </c>
      <c r="C11" s="130">
        <f t="shared" si="6"/>
        <v>119.79467075312287</v>
      </c>
      <c r="D11" s="130">
        <f t="shared" si="6"/>
        <v>119.64884662227415</v>
      </c>
      <c r="E11" s="130">
        <f t="shared" si="6"/>
        <v>117.19146346202432</v>
      </c>
      <c r="F11" s="130">
        <f t="shared" si="6"/>
        <v>114.30628309863761</v>
      </c>
      <c r="G11" s="130">
        <f t="shared" si="6"/>
        <v>117.3341410166842</v>
      </c>
      <c r="H11" s="130">
        <f t="shared" si="6"/>
        <v>119.23104034960228</v>
      </c>
      <c r="I11" s="130">
        <f t="shared" si="6"/>
        <v>105.17759150425856</v>
      </c>
      <c r="J11" s="130">
        <f t="shared" si="6"/>
        <v>96.870253269603836</v>
      </c>
      <c r="K11" s="130">
        <f t="shared" si="6"/>
        <v>87.11447234118009</v>
      </c>
      <c r="L11" s="130">
        <f t="shared" si="6"/>
        <v>54.897410585867405</v>
      </c>
      <c r="M11" s="130">
        <f t="shared" si="6"/>
        <v>43.476364150383965</v>
      </c>
      <c r="N11" s="130">
        <f t="shared" si="6"/>
        <v>74.834100242018081</v>
      </c>
      <c r="O11" s="130">
        <f t="shared" si="6"/>
        <v>51.082881712797779</v>
      </c>
      <c r="P11" s="130">
        <f t="shared" si="6"/>
        <v>122.62917031667635</v>
      </c>
      <c r="Q11" s="130">
        <f t="shared" si="6"/>
        <v>122.85908965969148</v>
      </c>
      <c r="R11" s="130">
        <f t="shared" si="6"/>
        <v>123.27341137567468</v>
      </c>
      <c r="S11" s="130">
        <f t="shared" si="6"/>
        <v>119.08647697843118</v>
      </c>
      <c r="T11" s="130">
        <f t="shared" si="6"/>
        <v>112.2049317715958</v>
      </c>
      <c r="U11" s="130">
        <f t="shared" si="6"/>
        <v>30.968212383462205</v>
      </c>
      <c r="V11" s="130">
        <f t="shared" si="6"/>
        <v>19.852331462752925</v>
      </c>
      <c r="W11" s="130">
        <f t="shared" si="6"/>
        <v>17.456214373286908</v>
      </c>
      <c r="X11" s="130">
        <f t="shared" ref="X11:Y11" si="7">SUM(X12:X13)</f>
        <v>19.212341604484067</v>
      </c>
      <c r="Y11" s="130">
        <f t="shared" si="7"/>
        <v>12.112570343763998</v>
      </c>
      <c r="DA11" s="176" t="s">
        <v>409</v>
      </c>
    </row>
    <row r="12" spans="1:105" ht="11.45" customHeight="1" x14ac:dyDescent="0.25">
      <c r="A12" s="111" t="s">
        <v>92</v>
      </c>
      <c r="B12" s="96">
        <v>118.34894608024219</v>
      </c>
      <c r="C12" s="96">
        <v>119.79467075312287</v>
      </c>
      <c r="D12" s="96">
        <v>119.64884662227415</v>
      </c>
      <c r="E12" s="96">
        <v>117.19146346202432</v>
      </c>
      <c r="F12" s="96">
        <v>114.30628309863761</v>
      </c>
      <c r="G12" s="96">
        <v>117.3341410166842</v>
      </c>
      <c r="H12" s="96">
        <v>119.23104034960228</v>
      </c>
      <c r="I12" s="96">
        <v>105.17759150425856</v>
      </c>
      <c r="J12" s="96">
        <v>96.870253269603836</v>
      </c>
      <c r="K12" s="96">
        <v>87.11447234118009</v>
      </c>
      <c r="L12" s="96">
        <v>54.897410585867405</v>
      </c>
      <c r="M12" s="96">
        <v>43.476364150383965</v>
      </c>
      <c r="N12" s="96">
        <v>74.834100242018081</v>
      </c>
      <c r="O12" s="96">
        <v>51.082881712797779</v>
      </c>
      <c r="P12" s="96">
        <v>122.62917031667635</v>
      </c>
      <c r="Q12" s="96">
        <v>122.85908965969148</v>
      </c>
      <c r="R12" s="96">
        <v>123.27341137567468</v>
      </c>
      <c r="S12" s="96">
        <v>119.08647697843118</v>
      </c>
      <c r="T12" s="96">
        <v>112.2049317715958</v>
      </c>
      <c r="U12" s="96">
        <v>30.968212383462205</v>
      </c>
      <c r="V12" s="96">
        <v>19.852331462752925</v>
      </c>
      <c r="W12" s="96">
        <v>17.456214373286908</v>
      </c>
      <c r="X12" s="96">
        <v>19.212341604484067</v>
      </c>
      <c r="Y12" s="96">
        <v>12.112570343763998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9.1031131997578019</v>
      </c>
      <c r="C15" s="32">
        <f t="shared" si="8"/>
        <v>7.6573885268771296</v>
      </c>
      <c r="D15" s="32">
        <f t="shared" si="8"/>
        <v>7.8032126577258554</v>
      </c>
      <c r="E15" s="32">
        <f t="shared" si="8"/>
        <v>10.260595817975695</v>
      </c>
      <c r="F15" s="32">
        <f t="shared" si="8"/>
        <v>13.145776181362388</v>
      </c>
      <c r="G15" s="32">
        <f t="shared" si="8"/>
        <v>10.117918263315806</v>
      </c>
      <c r="H15" s="32">
        <f t="shared" si="8"/>
        <v>11.40720037039771</v>
      </c>
      <c r="I15" s="32">
        <f t="shared" si="8"/>
        <v>12.715389935741431</v>
      </c>
      <c r="J15" s="32">
        <f t="shared" si="8"/>
        <v>17.836546730396158</v>
      </c>
      <c r="K15" s="32">
        <f t="shared" si="8"/>
        <v>7.585327658819903</v>
      </c>
      <c r="L15" s="32">
        <f t="shared" si="8"/>
        <v>8.2358783341326038</v>
      </c>
      <c r="M15" s="32">
        <f t="shared" si="8"/>
        <v>3.873535849616033</v>
      </c>
      <c r="N15" s="32">
        <f t="shared" si="8"/>
        <v>4.082310837981928</v>
      </c>
      <c r="O15" s="32">
        <f t="shared" si="8"/>
        <v>2.5804272072022125</v>
      </c>
      <c r="P15" s="32">
        <f t="shared" si="8"/>
        <v>3.6371407633236603</v>
      </c>
      <c r="Q15" s="32">
        <f t="shared" si="8"/>
        <v>3.4072214203085314</v>
      </c>
      <c r="R15" s="32">
        <f t="shared" si="8"/>
        <v>2.9928997043253096</v>
      </c>
      <c r="S15" s="32">
        <f t="shared" si="8"/>
        <v>4.0990228615688125</v>
      </c>
      <c r="T15" s="32">
        <f t="shared" si="8"/>
        <v>4.5092559484041939</v>
      </c>
      <c r="U15" s="32">
        <f t="shared" si="8"/>
        <v>2.9289948565378077</v>
      </c>
      <c r="V15" s="32">
        <f t="shared" si="8"/>
        <v>3.1471822172470727</v>
      </c>
      <c r="W15" s="32">
        <f t="shared" si="8"/>
        <v>3.3556005467130876</v>
      </c>
      <c r="X15" s="32">
        <f t="shared" ref="X15:Y15" si="9">SUM(X16:X17)</f>
        <v>2.3634739555159339</v>
      </c>
      <c r="Y15" s="32">
        <f t="shared" si="9"/>
        <v>0.85490001623599887</v>
      </c>
      <c r="DA15" s="173" t="s">
        <v>414</v>
      </c>
    </row>
    <row r="16" spans="1:105" ht="11.45" customHeight="1" x14ac:dyDescent="0.25">
      <c r="A16" s="83" t="s">
        <v>92</v>
      </c>
      <c r="B16" s="96">
        <v>9.1031131997578019</v>
      </c>
      <c r="C16" s="96">
        <v>7.6573885268771296</v>
      </c>
      <c r="D16" s="96">
        <v>7.8032126577258554</v>
      </c>
      <c r="E16" s="96">
        <v>10.260595817975695</v>
      </c>
      <c r="F16" s="96">
        <v>13.145776181362388</v>
      </c>
      <c r="G16" s="96">
        <v>10.117918263315806</v>
      </c>
      <c r="H16" s="96">
        <v>11.40720037039771</v>
      </c>
      <c r="I16" s="96">
        <v>12.715389935741431</v>
      </c>
      <c r="J16" s="96">
        <v>17.836546730396158</v>
      </c>
      <c r="K16" s="96">
        <v>7.585327658819903</v>
      </c>
      <c r="L16" s="96">
        <v>8.2358783341326038</v>
      </c>
      <c r="M16" s="96">
        <v>3.873535849616033</v>
      </c>
      <c r="N16" s="96">
        <v>4.082310837981928</v>
      </c>
      <c r="O16" s="96">
        <v>2.5804272072022125</v>
      </c>
      <c r="P16" s="96">
        <v>3.6371407633236603</v>
      </c>
      <c r="Q16" s="96">
        <v>3.4072214203085314</v>
      </c>
      <c r="R16" s="96">
        <v>2.9928997043253096</v>
      </c>
      <c r="S16" s="96">
        <v>4.0990228615688125</v>
      </c>
      <c r="T16" s="96">
        <v>4.5092559484041939</v>
      </c>
      <c r="U16" s="96">
        <v>2.9289948565378077</v>
      </c>
      <c r="V16" s="96">
        <v>3.1471822172470727</v>
      </c>
      <c r="W16" s="96">
        <v>3.3556005467130876</v>
      </c>
      <c r="X16" s="96">
        <v>2.3634739555159339</v>
      </c>
      <c r="Y16" s="96">
        <v>0.85490001623599887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2.5743731949230435</v>
      </c>
      <c r="C22" s="134">
        <f>IF(C4=0,0,C4/TrRail_ene!C4)</f>
        <v>2.5347524178857617</v>
      </c>
      <c r="D22" s="134">
        <f>IF(D4=0,0,D4/TrRail_ene!D4)</f>
        <v>2.5522100517347419</v>
      </c>
      <c r="E22" s="134">
        <f>IF(E4=0,0,E4/TrRail_ene!E4)</f>
        <v>2.5390943979156462</v>
      </c>
      <c r="F22" s="134">
        <f>IF(F4=0,0,F4/TrRail_ene!F4)</f>
        <v>2.5261128560143704</v>
      </c>
      <c r="G22" s="134">
        <f>IF(G4=0,0,G4/TrRail_ene!G4)</f>
        <v>2.7821483796748363</v>
      </c>
      <c r="H22" s="134">
        <f>IF(H4=0,0,H4/TrRail_ene!H4)</f>
        <v>2.6761737955788218</v>
      </c>
      <c r="I22" s="134">
        <f>IF(I4=0,0,I4/TrRail_ene!I4)</f>
        <v>2.4886292874542604</v>
      </c>
      <c r="J22" s="134">
        <f>IF(J4=0,0,J4/TrRail_ene!J4)</f>
        <v>2.5853490000000003</v>
      </c>
      <c r="K22" s="134">
        <f>IF(K4=0,0,K4/TrRail_ene!K4)</f>
        <v>2.4749633123595509</v>
      </c>
      <c r="L22" s="134">
        <f>IF(L4=0,0,L4/TrRail_ene!L4)</f>
        <v>2.5975446378233049</v>
      </c>
      <c r="M22" s="134">
        <f>IF(M4=0,0,M4/TrRail_ene!M4)</f>
        <v>2.3483127377398723</v>
      </c>
      <c r="N22" s="134">
        <f>IF(N4=0,0,N4/TrRail_ene!N4)</f>
        <v>2.6012245477616891</v>
      </c>
      <c r="O22" s="134">
        <f>IF(O4=0,0,O4/TrRail_ene!O4)</f>
        <v>1.9725852755298068</v>
      </c>
      <c r="P22" s="134">
        <f>IF(P4=0,0,P4/TrRail_ene!P4)</f>
        <v>2.1819869210407137</v>
      </c>
      <c r="Q22" s="134">
        <f>IF(Q4=0,0,Q4/TrRail_ene!Q4)</f>
        <v>2.1406373146653066</v>
      </c>
      <c r="R22" s="134">
        <f>IF(R4=0,0,R4/TrRail_ene!R4)</f>
        <v>2.2358840182594704</v>
      </c>
      <c r="S22" s="134">
        <f>IF(S4=0,0,S4/TrRail_ene!S4)</f>
        <v>2.2207007905954272</v>
      </c>
      <c r="T22" s="134">
        <f>IF(T4=0,0,T4/TrRail_ene!T4)</f>
        <v>2.1358532536672099</v>
      </c>
      <c r="U22" s="134">
        <f>IF(U4=0,0,U4/TrRail_ene!U4)</f>
        <v>1.2780824127125956</v>
      </c>
      <c r="V22" s="134">
        <f>IF(V4=0,0,V4/TrRail_ene!V4)</f>
        <v>1.1088445126535893</v>
      </c>
      <c r="W22" s="134">
        <f>IF(W4=0,0,W4/TrRail_ene!W4)</f>
        <v>0.95331301333070773</v>
      </c>
      <c r="X22" s="134">
        <f>IF(X4=0,0,X4/TrRail_ene!X4)</f>
        <v>0.88813877048111545</v>
      </c>
      <c r="Y22" s="134">
        <f>IF(Y4=0,0,Y4/TrRail_ene!Y4)</f>
        <v>0.66891549291793995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1.4761985787803529</v>
      </c>
      <c r="P23" s="129">
        <f>IF(P5=0,0,P5/SUM(TrRail_ene!P5:P7))</f>
        <v>1.4568226169250003</v>
      </c>
      <c r="Q23" s="129">
        <f>IF(Q5=0,0,Q5/SUM(TrRail_ene!Q5:Q7))</f>
        <v>1.4568226169250003</v>
      </c>
      <c r="R23" s="129">
        <f>IF(R5=0,0,R5/SUM(TrRail_ene!R5:R7))</f>
        <v>1.4869842032541007</v>
      </c>
      <c r="S23" s="129">
        <f>IF(S5=0,0,S5/SUM(TrRail_ene!S5:S7))</f>
        <v>1.4883163478127894</v>
      </c>
      <c r="T23" s="129">
        <f>IF(T5=0,0,T5/SUM(TrRail_ene!T5:T7))</f>
        <v>1.4860024907642251</v>
      </c>
      <c r="U23" s="129">
        <f>IF(U5=0,0,U5/SUM(TrRail_ene!U5:U7))</f>
        <v>1.5621142317158414</v>
      </c>
      <c r="V23" s="129">
        <f>IF(V5=0,0,V5/SUM(TrRail_ene!V5:V7))</f>
        <v>1.5512094000000001</v>
      </c>
      <c r="W23" s="129">
        <f>IF(W5=0,0,W5/SUM(TrRail_ene!W5:W7))</f>
        <v>1.5512094000000001</v>
      </c>
      <c r="X23" s="129">
        <f>IF(X5=0,0,X5/SUM(TrRail_ene!X5:X7))</f>
        <v>1.5512094000000001</v>
      </c>
      <c r="Y23" s="129">
        <f>IF(Y5=0,0,Y5/SUM(TrRail_ene!Y5:Y7))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4593.6054441782217</v>
      </c>
      <c r="C26" s="54">
        <f>IF(C8=0,0,C8/TrRail_act!C14*1000)</f>
        <v>4249.5098796955954</v>
      </c>
      <c r="D26" s="54">
        <f>IF(D8=0,0,D8/TrRail_act!D14*1000)</f>
        <v>4128.4836300267425</v>
      </c>
      <c r="E26" s="54">
        <f>IF(E8=0,0,E8/TrRail_act!E14*1000)</f>
        <v>3984.6467329402876</v>
      </c>
      <c r="F26" s="54">
        <f>IF(F8=0,0,F8/TrRail_act!F14*1000)</f>
        <v>3809.7314871207236</v>
      </c>
      <c r="G26" s="54">
        <f>IF(G8=0,0,G8/TrRail_act!G14*1000)</f>
        <v>5048.6468620675496</v>
      </c>
      <c r="H26" s="54">
        <f>IF(H8=0,0,H8/TrRail_act!H14*1000)</f>
        <v>4105.1383397498721</v>
      </c>
      <c r="I26" s="54">
        <f>IF(I8=0,0,I8/TrRail_act!I14*1000)</f>
        <v>3405.0962696085649</v>
      </c>
      <c r="J26" s="54">
        <f>IF(J8=0,0,J8/TrRail_act!J14*1000)</f>
        <v>4009.0051660263548</v>
      </c>
      <c r="K26" s="54">
        <f>IF(K8=0,0,K8/TrRail_act!K14*1000)</f>
        <v>3302.6231837903165</v>
      </c>
      <c r="L26" s="54">
        <f>IF(L8=0,0,L8/TrRail_act!L14*1000)</f>
        <v>3613.323436759822</v>
      </c>
      <c r="M26" s="54">
        <f>IF(M8=0,0,M8/TrRail_act!M14*1000)</f>
        <v>2591.1127442067523</v>
      </c>
      <c r="N26" s="54">
        <f>IF(N8=0,0,N8/TrRail_act!N14*1000)</f>
        <v>3575.4952391894817</v>
      </c>
      <c r="O26" s="54">
        <f>IF(O8=0,0,O8/TrRail_act!O14*1000)</f>
        <v>1989.2707284491521</v>
      </c>
      <c r="P26" s="54">
        <f>IF(P8=0,0,P8/TrRail_act!P14*1000)</f>
        <v>2713.7241596923127</v>
      </c>
      <c r="Q26" s="54">
        <f>IF(Q8=0,0,Q8/TrRail_act!Q14*1000)</f>
        <v>2688.1889442665743</v>
      </c>
      <c r="R26" s="54">
        <f>IF(R8=0,0,R8/TrRail_act!R14*1000)</f>
        <v>2784.6121569407023</v>
      </c>
      <c r="S26" s="54">
        <f>IF(S8=0,0,S8/TrRail_act!S14*1000)</f>
        <v>2693.0554314064343</v>
      </c>
      <c r="T26" s="54">
        <f>IF(T8=0,0,T8/TrRail_act!T14*1000)</f>
        <v>2537.2866548357547</v>
      </c>
      <c r="U26" s="54">
        <f>IF(U8=0,0,U8/TrRail_act!U14*1000)</f>
        <v>1082.0661050077399</v>
      </c>
      <c r="V26" s="54">
        <f>IF(V8=0,0,V8/TrRail_act!V14*1000)</f>
        <v>829.56092921152447</v>
      </c>
      <c r="W26" s="54">
        <f>IF(W8=0,0,W8/TrRail_act!W14*1000)</f>
        <v>720.68994710695529</v>
      </c>
      <c r="X26" s="54">
        <f>IF(X8=0,0,X8/TrRail_act!X14*1000)</f>
        <v>661.35786774121652</v>
      </c>
      <c r="Y26" s="54">
        <f>IF(Y8=0,0,Y8/TrRail_act!Y14*1000)</f>
        <v>431.4804608773303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4378.5303161718466</v>
      </c>
      <c r="C27" s="28">
        <f>IF(C9=0,0,C9/TrRail_act!C15*1000)</f>
        <v>4086.1556599340743</v>
      </c>
      <c r="D27" s="28">
        <f>IF(D9=0,0,D9/TrRail_act!D15*1000)</f>
        <v>3954.7587147429895</v>
      </c>
      <c r="E27" s="28">
        <f>IF(E9=0,0,E9/TrRail_act!E15*1000)</f>
        <v>3764.2859517466363</v>
      </c>
      <c r="F27" s="28">
        <f>IF(F9=0,0,F9/TrRail_act!F15*1000)</f>
        <v>3533.5130000500185</v>
      </c>
      <c r="G27" s="28">
        <f>IF(G9=0,0,G9/TrRail_act!G15*1000)</f>
        <v>4799.6225714071415</v>
      </c>
      <c r="H27" s="28">
        <f>IF(H9=0,0,H9/TrRail_act!H15*1000)</f>
        <v>3851.5415555040522</v>
      </c>
      <c r="I27" s="28">
        <f>IF(I9=0,0,I9/TrRail_act!I15*1000)</f>
        <v>3153.9610467070756</v>
      </c>
      <c r="J27" s="28">
        <f>IF(J9=0,0,J9/TrRail_act!J15*1000)</f>
        <v>3573.6950038412288</v>
      </c>
      <c r="K27" s="28">
        <f>IF(K9=0,0,K9/TrRail_act!K15*1000)</f>
        <v>3119.4523060399033</v>
      </c>
      <c r="L27" s="28">
        <f>IF(L9=0,0,L9/TrRail_act!L15*1000)</f>
        <v>3292.4003543319523</v>
      </c>
      <c r="M27" s="28">
        <f>IF(M9=0,0,M9/TrRail_act!M15*1000)</f>
        <v>2443.9311694863154</v>
      </c>
      <c r="N27" s="28">
        <f>IF(N9=0,0,N9/TrRail_act!N15*1000)</f>
        <v>3471.2702919726717</v>
      </c>
      <c r="O27" s="28">
        <f>IF(O9=0,0,O9/TrRail_act!O15*1000)</f>
        <v>1924.1135260655117</v>
      </c>
      <c r="P27" s="28">
        <f>IF(P9=0,0,P9/TrRail_act!P15*1000)</f>
        <v>2669.2656371664721</v>
      </c>
      <c r="Q27" s="28">
        <f>IF(Q9=0,0,Q9/TrRail_act!Q15*1000)</f>
        <v>2647.3915957577374</v>
      </c>
      <c r="R27" s="28">
        <f>IF(R9=0,0,R9/TrRail_act!R15*1000)</f>
        <v>2747.4873315070186</v>
      </c>
      <c r="S27" s="28">
        <f>IF(S9=0,0,S9/TrRail_act!S15*1000)</f>
        <v>2641.7630754220472</v>
      </c>
      <c r="T27" s="28">
        <f>IF(T9=0,0,T9/TrRail_act!T15*1000)</f>
        <v>2480.4732714002844</v>
      </c>
      <c r="U27" s="28">
        <f>IF(U9=0,0,U9/TrRail_act!U15*1000)</f>
        <v>1021.0176828207202</v>
      </c>
      <c r="V27" s="28">
        <f>IF(V9=0,0,V9/TrRail_act!V15*1000)</f>
        <v>751.41107827167036</v>
      </c>
      <c r="W27" s="28">
        <f>IF(W9=0,0,W9/TrRail_act!W15*1000)</f>
        <v>631.4070619471438</v>
      </c>
      <c r="X27" s="28">
        <f>IF(X9=0,0,X9/TrRail_act!X15*1000)</f>
        <v>606.87747996823578</v>
      </c>
      <c r="Y27" s="28">
        <f>IF(Y9=0,0,Y9/TrRail_act!Y15*1000)</f>
        <v>411.67369975401124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9024.3949108443885</v>
      </c>
      <c r="C29" s="110">
        <f>IF(C11=0,0,C11/TrRail_act!C17*1000)</f>
        <v>8703.0781008012673</v>
      </c>
      <c r="D29" s="110">
        <f>IF(D11=0,0,D11/TrRail_act!D17*1000)</f>
        <v>8358.1058567616492</v>
      </c>
      <c r="E29" s="110">
        <f>IF(E11=0,0,E11/TrRail_act!E17*1000)</f>
        <v>8072.5187341109577</v>
      </c>
      <c r="F29" s="110">
        <f>IF(F11=0,0,F11/TrRail_act!F17*1000)</f>
        <v>7927.9576500677258</v>
      </c>
      <c r="G29" s="110">
        <f>IF(G11=0,0,G11/TrRail_act!G17*1000)</f>
        <v>7751.7280510949822</v>
      </c>
      <c r="H29" s="110">
        <f>IF(H11=0,0,H11/TrRail_act!H17*1000)</f>
        <v>7793.5933256448316</v>
      </c>
      <c r="I29" s="110">
        <f>IF(I11=0,0,I11/TrRail_act!I17*1000)</f>
        <v>7413.3800491477232</v>
      </c>
      <c r="J29" s="110">
        <f>IF(J11=0,0,J11/TrRail_act!J17*1000)</f>
        <v>6874.9216649368054</v>
      </c>
      <c r="K29" s="110">
        <f>IF(K11=0,0,K11/TrRail_act!K17*1000)</f>
        <v>6870.4887456539254</v>
      </c>
      <c r="L29" s="110">
        <f>IF(L11=0,0,L11/TrRail_act!L17*1000)</f>
        <v>7145.0582481183028</v>
      </c>
      <c r="M29" s="110">
        <f>IF(M11=0,0,M11/TrRail_act!M17*1000)</f>
        <v>7120.5266928913979</v>
      </c>
      <c r="N29" s="110">
        <f>IF(N11=0,0,N11/TrRail_act!N17*1000)</f>
        <v>6781.3357316470774</v>
      </c>
      <c r="O29" s="110">
        <f>IF(O11=0,0,O11/TrRail_act!O17*1000)</f>
        <v>5412.7625817225935</v>
      </c>
      <c r="P29" s="110">
        <f>IF(P11=0,0,P11/TrRail_act!P17*1000)</f>
        <v>5232.7670933279096</v>
      </c>
      <c r="Q29" s="110">
        <f>IF(Q11=0,0,Q11/TrRail_act!Q17*1000)</f>
        <v>4922.1391818713828</v>
      </c>
      <c r="R29" s="110">
        <f>IF(R11=0,0,R11/TrRail_act!R17*1000)</f>
        <v>5181.8694639511868</v>
      </c>
      <c r="S29" s="110">
        <f>IF(S11=0,0,S11/TrRail_act!S17*1000)</f>
        <v>5177.5077492583323</v>
      </c>
      <c r="T29" s="110">
        <f>IF(T11=0,0,T11/TrRail_act!T17*1000)</f>
        <v>4879.1184871039804</v>
      </c>
      <c r="U29" s="110">
        <f>IF(U11=0,0,U11/TrRail_act!U17*1000)</f>
        <v>2857.9118934574399</v>
      </c>
      <c r="V29" s="110">
        <f>IF(V11=0,0,V11/TrRail_act!V17*1000)</f>
        <v>2769.3229957043791</v>
      </c>
      <c r="W29" s="110">
        <f>IF(W11=0,0,W11/TrRail_act!W17*1000)</f>
        <v>2092.3021299898751</v>
      </c>
      <c r="X29" s="110">
        <f>IF(X11=0,0,X11/TrRail_act!X17*1000)</f>
        <v>1926.1685814396567</v>
      </c>
      <c r="Y29" s="110">
        <f>IF(Y11=0,0,Y11/TrRail_act!Y17*1000)</f>
        <v>1626.3825098429495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9751.7659108459775</v>
      </c>
      <c r="C30" s="84">
        <f>IF(C12=0,0,C12/TrRail_act!C18*1000)</f>
        <v>9394.2724359083059</v>
      </c>
      <c r="D30" s="84">
        <f>IF(D12=0,0,D12/TrRail_act!D18*1000)</f>
        <v>8909.0244899414083</v>
      </c>
      <c r="E30" s="84">
        <f>IF(E12=0,0,E12/TrRail_act!E18*1000)</f>
        <v>8539.6207084318903</v>
      </c>
      <c r="F30" s="84">
        <f>IF(F12=0,0,F12/TrRail_act!F18*1000)</f>
        <v>8298.8814502013083</v>
      </c>
      <c r="G30" s="84">
        <f>IF(G12=0,0,G12/TrRail_act!G18*1000)</f>
        <v>7956.6050453377002</v>
      </c>
      <c r="H30" s="84">
        <f>IF(H12=0,0,H12/TrRail_act!H18*1000)</f>
        <v>7810.9794968807764</v>
      </c>
      <c r="I30" s="84">
        <f>IF(I12=0,0,I12/TrRail_act!I18*1000)</f>
        <v>7756.2326972408855</v>
      </c>
      <c r="J30" s="84">
        <f>IF(J12=0,0,J12/TrRail_act!J18*1000)</f>
        <v>7584.060601609116</v>
      </c>
      <c r="K30" s="84">
        <f>IF(K12=0,0,K12/TrRail_act!K18*1000)</f>
        <v>7502.4855842045972</v>
      </c>
      <c r="L30" s="84">
        <f>IF(L12=0,0,L12/TrRail_act!L18*1000)</f>
        <v>7235.4826387285257</v>
      </c>
      <c r="M30" s="84">
        <f>IF(M12=0,0,M12/TrRail_act!M18*1000)</f>
        <v>7192.9289271833341</v>
      </c>
      <c r="N30" s="84">
        <f>IF(N12=0,0,N12/TrRail_act!N18*1000)</f>
        <v>7057.3701317098639</v>
      </c>
      <c r="O30" s="84">
        <f>IF(O12=0,0,O12/TrRail_act!O18*1000)</f>
        <v>6644.172458448571</v>
      </c>
      <c r="P30" s="84">
        <f>IF(P12=0,0,P12/TrRail_act!P18*1000)</f>
        <v>6496.6976903533687</v>
      </c>
      <c r="Q30" s="84">
        <f>IF(Q12=0,0,Q12/TrRail_act!Q18*1000)</f>
        <v>6446.1517714222409</v>
      </c>
      <c r="R30" s="84">
        <f>IF(R12=0,0,R12/TrRail_act!R18*1000)</f>
        <v>6541.1801089130222</v>
      </c>
      <c r="S30" s="84">
        <f>IF(S12=0,0,S12/TrRail_act!S18*1000)</f>
        <v>6518.3388113927567</v>
      </c>
      <c r="T30" s="84">
        <f>IF(T12=0,0,T12/TrRail_act!T18*1000)</f>
        <v>6486.794804946815</v>
      </c>
      <c r="U30" s="84">
        <f>IF(U12=0,0,U12/TrRail_act!U18*1000)</f>
        <v>6802.2113276390755</v>
      </c>
      <c r="V30" s="84">
        <f>IF(V12=0,0,V12/TrRail_act!V18*1000)</f>
        <v>6742.2179924687089</v>
      </c>
      <c r="W30" s="84">
        <f>IF(W12=0,0,W12/TrRail_act!W18*1000)</f>
        <v>6732.8519323550063</v>
      </c>
      <c r="X30" s="84">
        <f>IF(X12=0,0,X12/TrRail_act!X18*1000)</f>
        <v>6725.8359266785856</v>
      </c>
      <c r="Y30" s="84">
        <f>IF(Y12=0,0,Y12/TrRail_act!Y18*1000)</f>
        <v>6720.578720752289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12710.966036586535</v>
      </c>
      <c r="C33" s="28">
        <f>IF(C15=0,0,C15/TrRail_act!C21*1000)</f>
        <v>11344.754279243667</v>
      </c>
      <c r="D33" s="28">
        <f>IF(D15=0,0,D15/TrRail_act!D21*1000)</f>
        <v>12647.044875696276</v>
      </c>
      <c r="E33" s="28">
        <f>IF(E15=0,0,E15/TrRail_act!E21*1000)</f>
        <v>12024.164693837569</v>
      </c>
      <c r="F33" s="28">
        <f>IF(F15=0,0,F15/TrRail_act!F21*1000)</f>
        <v>11894.99516930469</v>
      </c>
      <c r="G33" s="28">
        <f>IF(G15=0,0,G15/TrRail_act!G21*1000)</f>
        <v>12674.952072781238</v>
      </c>
      <c r="H33" s="28">
        <f>IF(H15=0,0,H15/TrRail_act!H21*1000)</f>
        <v>13166.252168618457</v>
      </c>
      <c r="I33" s="28">
        <f>IF(I15=0,0,I15/TrRail_act!I21*1000)</f>
        <v>9974.9441930820067</v>
      </c>
      <c r="J33" s="28">
        <f>IF(J15=0,0,J15/TrRail_act!J21*1000)</f>
        <v>11845.101505181183</v>
      </c>
      <c r="K33" s="28">
        <f>IF(K15=0,0,K15/TrRail_act!K21*1000)</f>
        <v>10142.053961673335</v>
      </c>
      <c r="L33" s="28">
        <f>IF(L15=0,0,L15/TrRail_act!L21*1000)</f>
        <v>10315.705816861935</v>
      </c>
      <c r="M33" s="28">
        <f>IF(M15=0,0,M15/TrRail_act!M21*1000)</f>
        <v>7995.8563344555287</v>
      </c>
      <c r="N33" s="28">
        <f>IF(N15=0,0,N15/TrRail_act!N21*1000)</f>
        <v>7952.5758234758096</v>
      </c>
      <c r="O33" s="28">
        <f>IF(O15=0,0,O15/TrRail_act!O21*1000)</f>
        <v>6034.8861018348207</v>
      </c>
      <c r="P33" s="28">
        <f>IF(P15=0,0,P15/TrRail_act!P21*1000)</f>
        <v>6189.5131063128047</v>
      </c>
      <c r="Q33" s="28">
        <f>IF(Q15=0,0,Q15/TrRail_act!Q21*1000)</f>
        <v>6050.0481157901804</v>
      </c>
      <c r="R33" s="28">
        <f>IF(R15=0,0,R15/TrRail_act!R21*1000)</f>
        <v>6279.4599763108572</v>
      </c>
      <c r="S33" s="28">
        <f>IF(S15=0,0,S15/TrRail_act!S21*1000)</f>
        <v>6177.8696420486085</v>
      </c>
      <c r="T33" s="28">
        <f>IF(T15=0,0,T15/TrRail_act!T21*1000)</f>
        <v>5899.7358060493834</v>
      </c>
      <c r="U33" s="28">
        <f>IF(U15=0,0,U15/TrRail_act!U21*1000)</f>
        <v>2941.8121685364231</v>
      </c>
      <c r="V33" s="28">
        <f>IF(V15=0,0,V15/TrRail_act!V21*1000)</f>
        <v>2411.8993133471122</v>
      </c>
      <c r="W33" s="28">
        <f>IF(W15=0,0,W15/TrRail_act!W21*1000)</f>
        <v>2725.7015879363603</v>
      </c>
      <c r="X33" s="28">
        <f>IF(X15=0,0,X15/TrRail_act!X21*1000)</f>
        <v>2447.1246297534876</v>
      </c>
      <c r="Y33" s="28">
        <f>IF(Y15=0,0,Y15/TrRail_act!Y21*1000)</f>
        <v>1355.4979639495461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17055.032055681826</v>
      </c>
      <c r="C34" s="84">
        <f>IF(C16=0,0,C16/TrRail_act!C22*1000)</f>
        <v>16453.700530939572</v>
      </c>
      <c r="D34" s="84">
        <f>IF(D16=0,0,D16/TrRail_act!D22*1000)</f>
        <v>16036.264291413161</v>
      </c>
      <c r="E34" s="84">
        <f>IF(E16=0,0,E16/TrRail_act!E22*1000)</f>
        <v>15390.753136690537</v>
      </c>
      <c r="F34" s="84">
        <f>IF(F16=0,0,F16/TrRail_act!F22*1000)</f>
        <v>15213.501856868539</v>
      </c>
      <c r="G34" s="84">
        <f>IF(G16=0,0,G16/TrRail_act!G22*1000)</f>
        <v>14957.060328094458</v>
      </c>
      <c r="H34" s="84">
        <f>IF(H16=0,0,H16/TrRail_act!H22*1000)</f>
        <v>14626.284638314337</v>
      </c>
      <c r="I34" s="84">
        <f>IF(I16=0,0,I16/TrRail_act!I22*1000)</f>
        <v>14499.476313214109</v>
      </c>
      <c r="J34" s="84">
        <f>IF(J16=0,0,J16/TrRail_act!J22*1000)</f>
        <v>14038.404342429754</v>
      </c>
      <c r="K34" s="84">
        <f>IF(K16=0,0,K16/TrRail_act!K22*1000)</f>
        <v>13767.184932259906</v>
      </c>
      <c r="L34" s="84">
        <f>IF(L16=0,0,L16/TrRail_act!L22*1000)</f>
        <v>13504.155844981964</v>
      </c>
      <c r="M34" s="84">
        <f>IF(M16=0,0,M16/TrRail_act!M22*1000)</f>
        <v>13360.479947226288</v>
      </c>
      <c r="N34" s="84">
        <f>IF(N16=0,0,N16/TrRail_act!N22*1000)</f>
        <v>13270.962693754693</v>
      </c>
      <c r="O34" s="84">
        <f>IF(O16=0,0,O16/TrRail_act!O22*1000)</f>
        <v>12628.13938701295</v>
      </c>
      <c r="P34" s="84">
        <f>IF(P16=0,0,P16/TrRail_act!P22*1000)</f>
        <v>12319.793140909609</v>
      </c>
      <c r="Q34" s="84">
        <f>IF(Q16=0,0,Q16/TrRail_act!Q22*1000)</f>
        <v>12274.807474052084</v>
      </c>
      <c r="R34" s="84">
        <f>IF(R16=0,0,R16/TrRail_act!R22*1000)</f>
        <v>12494.61342267801</v>
      </c>
      <c r="S34" s="84">
        <f>IF(S16=0,0,S16/TrRail_act!S22*1000)</f>
        <v>12480.099915046516</v>
      </c>
      <c r="T34" s="84">
        <f>IF(T16=0,0,T16/TrRail_act!T22*1000)</f>
        <v>12441.481654192321</v>
      </c>
      <c r="U34" s="84">
        <f>IF(U16=0,0,U16/TrRail_act!U22*1000)</f>
        <v>13063.593926330388</v>
      </c>
      <c r="V34" s="84">
        <f>IF(V16=0,0,V16/TrRail_act!V22*1000)</f>
        <v>12961.142893042639</v>
      </c>
      <c r="W34" s="84">
        <f>IF(W16=0,0,W16/TrRail_act!W22*1000)</f>
        <v>12952.706935758501</v>
      </c>
      <c r="X34" s="84">
        <f>IF(X16=0,0,X16/TrRail_act!X22*1000)</f>
        <v>12946.383571134338</v>
      </c>
      <c r="Y34" s="84">
        <f>IF(Y16=0,0,Y16/TrRail_act!Y22*1000)</f>
        <v>12941.643073639369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38.474949961067033</v>
      </c>
      <c r="C38" s="29">
        <f>IF(C9=0,0,C9/TrRail_act!C4*1000)</f>
        <v>38.93229468739775</v>
      </c>
      <c r="D38" s="29">
        <f>IF(D9=0,0,D9/TrRail_act!D4*1000)</f>
        <v>37.55456579481298</v>
      </c>
      <c r="E38" s="29">
        <f>IF(E9=0,0,E9/TrRail_act!E4*1000)</f>
        <v>39.405334049100304</v>
      </c>
      <c r="F38" s="29">
        <f>IF(F9=0,0,F9/TrRail_act!F4*1000)</f>
        <v>36.081528755883078</v>
      </c>
      <c r="G38" s="29">
        <f>IF(G9=0,0,G9/TrRail_act!G4*1000)</f>
        <v>34.983345562517648</v>
      </c>
      <c r="H38" s="29">
        <f>IF(H9=0,0,H9/TrRail_act!H4*1000)</f>
        <v>35.4748706782512</v>
      </c>
      <c r="I38" s="29">
        <f>IF(I9=0,0,I9/TrRail_act!I4*1000)</f>
        <v>29.795351700923106</v>
      </c>
      <c r="J38" s="29">
        <f>IF(J9=0,0,J9/TrRail_act!J4*1000)</f>
        <v>29.204176445463926</v>
      </c>
      <c r="K38" s="29">
        <f>IF(K9=0,0,K9/TrRail_act!K4*1000)</f>
        <v>27.761144786864275</v>
      </c>
      <c r="L38" s="29">
        <f>IF(L9=0,0,L9/TrRail_act!L4*1000)</f>
        <v>17.84848348735995</v>
      </c>
      <c r="M38" s="29">
        <f>IF(M9=0,0,M9/TrRail_act!M4*1000)</f>
        <v>16.514722583150327</v>
      </c>
      <c r="N38" s="29">
        <f>IF(N9=0,0,N9/TrRail_act!N4*1000)</f>
        <v>29.917014726664849</v>
      </c>
      <c r="O38" s="29">
        <f>IF(O9=0,0,O9/TrRail_act!O4*1000)</f>
        <v>18.780398744500342</v>
      </c>
      <c r="P38" s="29">
        <f>IF(P9=0,0,P9/TrRail_act!P4*1000)</f>
        <v>44.84897839424989</v>
      </c>
      <c r="Q38" s="29">
        <f>IF(Q9=0,0,Q9/TrRail_act!Q4*1000)</f>
        <v>41.832846306744251</v>
      </c>
      <c r="R38" s="29">
        <f>IF(R9=0,0,R9/TrRail_act!R4*1000)</f>
        <v>43.317391086970837</v>
      </c>
      <c r="S38" s="29">
        <f>IF(S9=0,0,S9/TrRail_act!S4*1000)</f>
        <v>42.522559621130888</v>
      </c>
      <c r="T38" s="29">
        <f>IF(T9=0,0,T9/TrRail_act!T4*1000)</f>
        <v>40.080868793659903</v>
      </c>
      <c r="U38" s="29">
        <f>IF(U9=0,0,U9/TrRail_act!U4*1000)</f>
        <v>10.569830001963135</v>
      </c>
      <c r="V38" s="29">
        <f>IF(V9=0,0,V9/TrRail_act!V4*1000)</f>
        <v>11.485559971158237</v>
      </c>
      <c r="W38" s="29">
        <f>IF(W9=0,0,W9/TrRail_act!W4*1000)</f>
        <v>9.8135881182969023</v>
      </c>
      <c r="X38" s="29">
        <f>IF(X9=0,0,X9/TrRail_act!X4*1000)</f>
        <v>7.4984158065718676</v>
      </c>
      <c r="Y38" s="29">
        <f>IF(Y9=0,0,Y9/TrRail_act!Y4*1000)</f>
        <v>5.4983958925850089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62.751296967254611</v>
      </c>
      <c r="C40" s="116">
        <f>IF(C11=0,0,C11/TrRail_act!C6*1000)</f>
        <v>68.571648971449832</v>
      </c>
      <c r="D40" s="116">
        <f>IF(D11=0,0,D11/TrRail_act!D6*1000)</f>
        <v>65.168217114528403</v>
      </c>
      <c r="E40" s="116">
        <f>IF(E11=0,0,E11/TrRail_act!E6*1000)</f>
        <v>74.454551119456369</v>
      </c>
      <c r="F40" s="116">
        <f>IF(F11=0,0,F11/TrRail_act!F6*1000)</f>
        <v>68.528946701821113</v>
      </c>
      <c r="G40" s="116">
        <f>IF(G11=0,0,G11/TrRail_act!G6*1000)</f>
        <v>63.287023202095035</v>
      </c>
      <c r="H40" s="116">
        <f>IF(H11=0,0,H11/TrRail_act!H6*1000)</f>
        <v>65.837128851243662</v>
      </c>
      <c r="I40" s="116">
        <f>IF(I11=0,0,I11/TrRail_act!I6*1000)</f>
        <v>54.496161401170234</v>
      </c>
      <c r="J40" s="116">
        <f>IF(J11=0,0,J11/TrRail_act!J6*1000)</f>
        <v>58.461227078819455</v>
      </c>
      <c r="K40" s="116">
        <f>IF(K11=0,0,K11/TrRail_act!K6*1000)</f>
        <v>59.382735065562436</v>
      </c>
      <c r="L40" s="116">
        <f>IF(L11=0,0,L11/TrRail_act!L6*1000)</f>
        <v>39.694440047626472</v>
      </c>
      <c r="M40" s="116">
        <f>IF(M11=0,0,M11/TrRail_act!M6*1000)</f>
        <v>45.382426044242138</v>
      </c>
      <c r="N40" s="116">
        <f>IF(N11=0,0,N11/TrRail_act!N6*1000)</f>
        <v>89.944832021656339</v>
      </c>
      <c r="O40" s="116">
        <f>IF(O11=0,0,O11/TrRail_act!O6*1000)</f>
        <v>48.373941015906986</v>
      </c>
      <c r="P40" s="116">
        <f>IF(P11=0,0,P11/TrRail_act!P6*1000)</f>
        <v>114.39288275809362</v>
      </c>
      <c r="Q40" s="116">
        <f>IF(Q11=0,0,Q11/TrRail_act!Q6*1000)</f>
        <v>97.275605431267991</v>
      </c>
      <c r="R40" s="116">
        <f>IF(R11=0,0,R11/TrRail_act!R6*1000)</f>
        <v>103.41729142254589</v>
      </c>
      <c r="S40" s="116">
        <f>IF(S11=0,0,S11/TrRail_act!S6*1000)</f>
        <v>107.09215555614314</v>
      </c>
      <c r="T40" s="116">
        <f>IF(T11=0,0,T11/TrRail_act!T6*1000)</f>
        <v>101.63490196702519</v>
      </c>
      <c r="U40" s="116">
        <f>IF(U11=0,0,U11/TrRail_act!U6*1000)</f>
        <v>24.73499391650336</v>
      </c>
      <c r="V40" s="116">
        <f>IF(V11=0,0,V11/TrRail_act!V6*1000)</f>
        <v>31.019267910551445</v>
      </c>
      <c r="W40" s="116">
        <f>IF(W11=0,0,W11/TrRail_act!W6*1000)</f>
        <v>26.732334415447028</v>
      </c>
      <c r="X40" s="116">
        <f>IF(X11=0,0,X11/TrRail_act!X6*1000)</f>
        <v>17.199947721113755</v>
      </c>
      <c r="Y40" s="116">
        <f>IF(Y11=0,0,Y11/TrRail_act!Y6*1000)</f>
        <v>17.997875696528972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83.680499602080587</v>
      </c>
      <c r="C41" s="87">
        <f>IF(C12=0,0,C12/TrRail_act!C7*1000)</f>
        <v>77.589158606470775</v>
      </c>
      <c r="D41" s="87">
        <f>IF(D12=0,0,D12/TrRail_act!D7*1000)</f>
        <v>76.683842699457955</v>
      </c>
      <c r="E41" s="87">
        <f>IF(E12=0,0,E12/TrRail_act!E7*1000)</f>
        <v>85.299161451691461</v>
      </c>
      <c r="F41" s="87">
        <f>IF(F12=0,0,F12/TrRail_act!F7*1000)</f>
        <v>78.836905525421798</v>
      </c>
      <c r="G41" s="87">
        <f>IF(G12=0,0,G12/TrRail_act!G7*1000)</f>
        <v>68.75278718370248</v>
      </c>
      <c r="H41" s="87">
        <f>IF(H12=0,0,H12/TrRail_act!H7*1000)</f>
        <v>66.333785968418994</v>
      </c>
      <c r="I41" s="87">
        <f>IF(I12=0,0,I12/TrRail_act!I7*1000)</f>
        <v>57.997363882711149</v>
      </c>
      <c r="J41" s="87">
        <f>IF(J12=0,0,J12/TrRail_act!J7*1000)</f>
        <v>68.13306135190841</v>
      </c>
      <c r="K41" s="87">
        <f>IF(K12=0,0,K12/TrRail_act!K7*1000)</f>
        <v>68.082035643474441</v>
      </c>
      <c r="L41" s="87">
        <f>IF(L12=0,0,L12/TrRail_act!L7*1000)</f>
        <v>40.139944425265369</v>
      </c>
      <c r="M41" s="87">
        <f>IF(M12=0,0,M12/TrRail_act!M7*1000)</f>
        <v>45.891768648554603</v>
      </c>
      <c r="N41" s="87">
        <f>IF(N12=0,0,N12/TrRail_act!N7*1000)</f>
        <v>100.03783018398029</v>
      </c>
      <c r="O41" s="87">
        <f>IF(O12=0,0,O12/TrRail_act!O7*1000)</f>
        <v>70.599705759372057</v>
      </c>
      <c r="P41" s="87">
        <f>IF(P12=0,0,P12/TrRail_act!P7*1000)</f>
        <v>149.6123937581182</v>
      </c>
      <c r="Q41" s="87">
        <f>IF(Q12=0,0,Q12/TrRail_act!Q7*1000)</f>
        <v>128.94756920458727</v>
      </c>
      <c r="R41" s="87">
        <f>IF(R12=0,0,R12/TrRail_act!R7*1000)</f>
        <v>127.64581503902345</v>
      </c>
      <c r="S41" s="87">
        <f>IF(S12=0,0,S12/TrRail_act!S7*1000)</f>
        <v>132.05070636902252</v>
      </c>
      <c r="T41" s="87">
        <f>IF(T12=0,0,T12/TrRail_act!T7*1000)</f>
        <v>130.44461945506737</v>
      </c>
      <c r="U41" s="87">
        <f>IF(U12=0,0,U12/TrRail_act!U7*1000)</f>
        <v>59.612745121263053</v>
      </c>
      <c r="V41" s="87">
        <f>IF(V12=0,0,V12/TrRail_act!V7*1000)</f>
        <v>73.337636561774985</v>
      </c>
      <c r="W41" s="87">
        <f>IF(W12=0,0,W12/TrRail_act!W7*1000)</f>
        <v>73.323238414718844</v>
      </c>
      <c r="X41" s="87">
        <f>IF(X12=0,0,X12/TrRail_act!X7*1000)</f>
        <v>62.392955694428835</v>
      </c>
      <c r="Y41" s="87">
        <f>IF(Y12=0,0,Y12/TrRail_act!Y7*1000)</f>
        <v>55.921940741508486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21.318766275779396</v>
      </c>
      <c r="C44" s="29">
        <f>IF(C15=0,0,C15/TrRail_act!C10*1000)</f>
        <v>20.151022439150342</v>
      </c>
      <c r="D44" s="29">
        <f>IF(D15=0,0,D15/TrRail_act!D10*1000)</f>
        <v>23.863035650537785</v>
      </c>
      <c r="E44" s="29">
        <f>IF(E15=0,0,E15/TrRail_act!E10*1000)</f>
        <v>22.501306618367753</v>
      </c>
      <c r="F44" s="29">
        <f>IF(F15=0,0,F15/TrRail_act!F10*1000)</f>
        <v>22.205703009058087</v>
      </c>
      <c r="G44" s="29">
        <f>IF(G15=0,0,G15/TrRail_act!G10*1000)</f>
        <v>16.505576285996423</v>
      </c>
      <c r="H44" s="29">
        <f>IF(H15=0,0,H15/TrRail_act!H10*1000)</f>
        <v>17.231420499090198</v>
      </c>
      <c r="I44" s="29">
        <f>IF(I15=0,0,I15/TrRail_act!I10*1000)</f>
        <v>15.228011899091534</v>
      </c>
      <c r="J44" s="29">
        <f>IF(J15=0,0,J15/TrRail_act!J10*1000)</f>
        <v>22.692807545033283</v>
      </c>
      <c r="K44" s="29">
        <f>IF(K15=0,0,K15/TrRail_act!K10*1000)</f>
        <v>13.741535613804171</v>
      </c>
      <c r="L44" s="29">
        <f>IF(L15=0,0,L15/TrRail_act!L10*1000)</f>
        <v>13.413482628880462</v>
      </c>
      <c r="M44" s="29">
        <f>IF(M15=0,0,M15/TrRail_act!M10*1000)</f>
        <v>11.004363209136457</v>
      </c>
      <c r="N44" s="29">
        <f>IF(N15=0,0,N15/TrRail_act!N10*1000)</f>
        <v>14.425126635978543</v>
      </c>
      <c r="O44" s="29">
        <f>IF(O15=0,0,O15/TrRail_act!O10*1000)</f>
        <v>10.887878511401741</v>
      </c>
      <c r="P44" s="29">
        <f>IF(P15=0,0,P15/TrRail_act!P10*1000)</f>
        <v>11.694986377246495</v>
      </c>
      <c r="Q44" s="29">
        <f>IF(Q15=0,0,Q15/TrRail_act!Q10*1000)</f>
        <v>11.589188504450787</v>
      </c>
      <c r="R44" s="29">
        <f>IF(R15=0,0,R15/TrRail_act!R10*1000)</f>
        <v>11.783069702068149</v>
      </c>
      <c r="S44" s="29">
        <f>IF(S15=0,0,S15/TrRail_act!S10*1000)</f>
        <v>11.449784529521823</v>
      </c>
      <c r="T44" s="29">
        <f>IF(T15=0,0,T15/TrRail_act!T10*1000)</f>
        <v>11.052097912755377</v>
      </c>
      <c r="U44" s="29">
        <f>IF(U15=0,0,U15/TrRail_act!U10*1000)</f>
        <v>5.965366306594313</v>
      </c>
      <c r="V44" s="29">
        <f>IF(V15=0,0,V15/TrRail_act!V10*1000)</f>
        <v>5.6705985896343654</v>
      </c>
      <c r="W44" s="29">
        <f>IF(W15=0,0,W15/TrRail_act!W10*1000)</f>
        <v>5.8055372780503243</v>
      </c>
      <c r="X44" s="29">
        <f>IF(X15=0,0,X15/TrRail_act!X10*1000)</f>
        <v>5.1604234836592449</v>
      </c>
      <c r="Y44" s="29">
        <f>IF(Y15=0,0,Y15/TrRail_act!Y10*1000)</f>
        <v>4.0516588447203743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28.152785135006827</v>
      </c>
      <c r="C45" s="87">
        <f>IF(C16=0,0,C16/TrRail_act!C11*1000)</f>
        <v>26.998023154585574</v>
      </c>
      <c r="D45" s="87">
        <f>IF(D16=0,0,D16/TrRail_act!D11*1000)</f>
        <v>31.767468716051184</v>
      </c>
      <c r="E45" s="87">
        <f>IF(E16=0,0,E16/TrRail_act!E11*1000)</f>
        <v>30.098842272190975</v>
      </c>
      <c r="F45" s="87">
        <f>IF(F16=0,0,F16/TrRail_act!F11*1000)</f>
        <v>29.845698657051589</v>
      </c>
      <c r="G45" s="87">
        <f>IF(G16=0,0,G16/TrRail_act!G11*1000)</f>
        <v>20.280913448793491</v>
      </c>
      <c r="H45" s="87">
        <f>IF(H16=0,0,H16/TrRail_act!H11*1000)</f>
        <v>19.711002641885869</v>
      </c>
      <c r="I45" s="87">
        <f>IF(I16=0,0,I16/TrRail_act!I11*1000)</f>
        <v>18.584255563695027</v>
      </c>
      <c r="J45" s="87">
        <f>IF(J16=0,0,J16/TrRail_act!J11*1000)</f>
        <v>27.735252756176742</v>
      </c>
      <c r="K45" s="87">
        <f>IF(K16=0,0,K16/TrRail_act!K11*1000)</f>
        <v>17.48832188861665</v>
      </c>
      <c r="L45" s="87">
        <f>IF(L16=0,0,L16/TrRail_act!L11*1000)</f>
        <v>16.322773800776233</v>
      </c>
      <c r="M45" s="87">
        <f>IF(M16=0,0,M16/TrRail_act!M11*1000)</f>
        <v>16.044698745553273</v>
      </c>
      <c r="N45" s="87">
        <f>IF(N16=0,0,N16/TrRail_act!N11*1000)</f>
        <v>24.612060186025612</v>
      </c>
      <c r="O45" s="87">
        <f>IF(O16=0,0,O16/TrRail_act!O11*1000)</f>
        <v>23.062630618591776</v>
      </c>
      <c r="P45" s="87">
        <f>IF(P16=0,0,P16/TrRail_act!P11*1000)</f>
        <v>22.214456652111334</v>
      </c>
      <c r="Q45" s="87">
        <f>IF(Q16=0,0,Q16/TrRail_act!Q11*1000)</f>
        <v>22.418569023497056</v>
      </c>
      <c r="R45" s="87">
        <f>IF(R16=0,0,R16/TrRail_act!R11*1000)</f>
        <v>22.298597992892365</v>
      </c>
      <c r="S45" s="87">
        <f>IF(S16=0,0,S16/TrRail_act!S11*1000)</f>
        <v>21.827594861755028</v>
      </c>
      <c r="T45" s="87">
        <f>IF(T16=0,0,T16/TrRail_act!T11*1000)</f>
        <v>21.834478431236313</v>
      </c>
      <c r="U45" s="87">
        <f>IF(U16=0,0,U16/TrRail_act!U11*1000)</f>
        <v>20.297051038970103</v>
      </c>
      <c r="V45" s="87">
        <f>IF(V16=0,0,V16/TrRail_act!V11*1000)</f>
        <v>22.229940393271207</v>
      </c>
      <c r="W45" s="87">
        <f>IF(W16=0,0,W16/TrRail_act!W11*1000)</f>
        <v>26.385905549699473</v>
      </c>
      <c r="X45" s="87">
        <f>IF(X16=0,0,X16/TrRail_act!X11*1000)</f>
        <v>25.14058210852032</v>
      </c>
      <c r="Y45" s="87">
        <f>IF(Y16=0,0,Y16/TrRail_act!Y11*1000)</f>
        <v>26.087199087414614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585.95929093717632</v>
      </c>
      <c r="C48" s="62">
        <f>IF(C8=0,0,1000000*C8/TrRail_act!C25/1000)</f>
        <v>538.67919913336311</v>
      </c>
      <c r="D48" s="62">
        <f>IF(D8=0,0,1000000*D8/TrRail_act!D25/1000)</f>
        <v>522.50749117893906</v>
      </c>
      <c r="E48" s="62">
        <f>IF(E8=0,0,1000000*E8/TrRail_act!E25/1000)</f>
        <v>505.26281402404084</v>
      </c>
      <c r="F48" s="62">
        <f>IF(F8=0,0,1000000*F8/TrRail_act!F25/1000)</f>
        <v>480.66930986641978</v>
      </c>
      <c r="G48" s="62">
        <f>IF(G8=0,0,1000000*G8/TrRail_act!G25/1000)</f>
        <v>494.03424919562485</v>
      </c>
      <c r="H48" s="62">
        <f>IF(H8=0,0,1000000*H8/TrRail_act!H25/1000)</f>
        <v>517.33080022628701</v>
      </c>
      <c r="I48" s="62">
        <f>IF(I8=0,0,1000000*I8/TrRail_act!I25/1000)</f>
        <v>423.44872452075595</v>
      </c>
      <c r="J48" s="62">
        <f>IF(J8=0,0,1000000*J8/TrRail_act!J25/1000)</f>
        <v>434.24890315116158</v>
      </c>
      <c r="K48" s="62">
        <f>IF(K8=0,0,1000000*K8/TrRail_act!K25/1000)</f>
        <v>390.67754284989837</v>
      </c>
      <c r="L48" s="62">
        <f>IF(L8=0,0,1000000*L8/TrRail_act!L25/1000)</f>
        <v>286.12688263538962</v>
      </c>
      <c r="M48" s="62">
        <f>IF(M8=0,0,1000000*M8/TrRail_act!M25/1000)</f>
        <v>238.06257101010476</v>
      </c>
      <c r="N48" s="62">
        <f>IF(N8=0,0,1000000*N8/TrRail_act!N25/1000)</f>
        <v>405.49376904952311</v>
      </c>
      <c r="O48" s="62">
        <f>IF(O8=0,0,1000000*O8/TrRail_act!O25/1000)</f>
        <v>227.11886152732916</v>
      </c>
      <c r="P48" s="62">
        <f>IF(P8=0,0,1000000*P8/TrRail_act!P25/1000)</f>
        <v>344.004247305626</v>
      </c>
      <c r="Q48" s="62">
        <f>IF(Q8=0,0,1000000*Q8/TrRail_act!Q25/1000)</f>
        <v>343.77864136220046</v>
      </c>
      <c r="R48" s="62">
        <f>IF(R8=0,0,1000000*R8/TrRail_act!R25/1000)</f>
        <v>349.2812611781498</v>
      </c>
      <c r="S48" s="62">
        <f>IF(S8=0,0,1000000*S8/TrRail_act!S25/1000)</f>
        <v>336.41994319590668</v>
      </c>
      <c r="T48" s="62">
        <f>IF(T8=0,0,1000000*T8/TrRail_act!T25/1000)</f>
        <v>323.15303078564114</v>
      </c>
      <c r="U48" s="62">
        <f>IF(U8=0,0,1000000*U8/TrRail_act!U25/1000)</f>
        <v>97.995730104358401</v>
      </c>
      <c r="V48" s="62">
        <f>IF(V8=0,0,1000000*V8/TrRail_act!V25/1000)</f>
        <v>70.616034644295937</v>
      </c>
      <c r="W48" s="62">
        <f>IF(W8=0,0,1000000*W8/TrRail_act!W25/1000)</f>
        <v>66.023824921151643</v>
      </c>
      <c r="X48" s="62">
        <f>IF(X8=0,0,1000000*X8/TrRail_act!X25/1000)</f>
        <v>64.353347158763214</v>
      </c>
      <c r="Y48" s="62">
        <f>IF(Y8=0,0,1000000*Y8/TrRail_act!Y25/1000)</f>
        <v>39.435953423214919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553.2152778723987</v>
      </c>
      <c r="C49" s="29">
        <f>IF(C9=0,0,1000000*C9/TrRail_act!C26/1000)</f>
        <v>513.80666688542101</v>
      </c>
      <c r="D49" s="29">
        <f>IF(D9=0,0,1000000*D9/TrRail_act!D26/1000)</f>
        <v>497.42967366799752</v>
      </c>
      <c r="E49" s="29">
        <f>IF(E9=0,0,1000000*E9/TrRail_act!E26/1000)</f>
        <v>472.57979585833772</v>
      </c>
      <c r="F49" s="29">
        <f>IF(F9=0,0,1000000*F9/TrRail_act!F26/1000)</f>
        <v>440.26670691671131</v>
      </c>
      <c r="G49" s="29">
        <f>IF(G9=0,0,1000000*G9/TrRail_act!G26/1000)</f>
        <v>464.11149659004292</v>
      </c>
      <c r="H49" s="29">
        <f>IF(H9=0,0,1000000*H9/TrRail_act!H26/1000)</f>
        <v>481.54480337118599</v>
      </c>
      <c r="I49" s="29">
        <f>IF(I9=0,0,1000000*I9/TrRail_act!I26/1000)</f>
        <v>386.62858744032184</v>
      </c>
      <c r="J49" s="29">
        <f>IF(J9=0,0,1000000*J9/TrRail_act!J26/1000)</f>
        <v>378.54812970770166</v>
      </c>
      <c r="K49" s="29">
        <f>IF(K9=0,0,1000000*K9/TrRail_act!K26/1000)</f>
        <v>371.47997444156277</v>
      </c>
      <c r="L49" s="29">
        <f>IF(L9=0,0,1000000*L9/TrRail_act!L26/1000)</f>
        <v>257.59695751475118</v>
      </c>
      <c r="M49" s="29">
        <f>IF(M9=0,0,1000000*M9/TrRail_act!M26/1000)</f>
        <v>226.76932709005527</v>
      </c>
      <c r="N49" s="29">
        <f>IF(N9=0,0,1000000*N9/TrRail_act!N26/1000)</f>
        <v>398.47778984248652</v>
      </c>
      <c r="O49" s="29">
        <f>IF(O9=0,0,1000000*O9/TrRail_act!O26/1000)</f>
        <v>222.27491957053189</v>
      </c>
      <c r="P49" s="29">
        <f>IF(P9=0,0,1000000*P9/TrRail_act!P26/1000)</f>
        <v>339.84817232605604</v>
      </c>
      <c r="Q49" s="29">
        <f>IF(Q9=0,0,1000000*Q9/TrRail_act!Q26/1000)</f>
        <v>339.97489042879386</v>
      </c>
      <c r="R49" s="29">
        <f>IF(R9=0,0,1000000*R9/TrRail_act!R26/1000)</f>
        <v>346.32352625928957</v>
      </c>
      <c r="S49" s="29">
        <f>IF(S9=0,0,1000000*S9/TrRail_act!S26/1000)</f>
        <v>330.30061115084635</v>
      </c>
      <c r="T49" s="29">
        <f>IF(T9=0,0,1000000*T9/TrRail_act!T26/1000)</f>
        <v>315.64371122062892</v>
      </c>
      <c r="U49" s="29">
        <f>IF(U9=0,0,1000000*U9/TrRail_act!U26/1000)</f>
        <v>91.451304991581367</v>
      </c>
      <c r="V49" s="29">
        <f>IF(V9=0,0,1000000*V9/TrRail_act!V26/1000)</f>
        <v>62.578727916221297</v>
      </c>
      <c r="W49" s="29">
        <f>IF(W9=0,0,1000000*W9/TrRail_act!W26/1000)</f>
        <v>56.839463492481151</v>
      </c>
      <c r="X49" s="29">
        <f>IF(X9=0,0,1000000*X9/TrRail_act!X26/1000)</f>
        <v>58.658847268151582</v>
      </c>
      <c r="Y49" s="29">
        <f>IF(Y9=0,0,1000000*Y9/TrRail_act!Y26/1000)</f>
        <v>37.682527249353498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1353.6592202878871</v>
      </c>
      <c r="C51" s="116">
        <f>IF(C11=0,0,1000000*C11/TrRail_act!C28/1000)</f>
        <v>1305.4617003174872</v>
      </c>
      <c r="D51" s="116">
        <f>IF(D11=0,0,1000000*D11/TrRail_act!D28/1000)</f>
        <v>1251.1204288507215</v>
      </c>
      <c r="E51" s="116">
        <f>IF(E11=0,0,1000000*E11/TrRail_act!E28/1000)</f>
        <v>1208.9590750131665</v>
      </c>
      <c r="F51" s="116">
        <f>IF(F11=0,0,1000000*F11/TrRail_act!F28/1000)</f>
        <v>1183.0505426849024</v>
      </c>
      <c r="G51" s="116">
        <f>IF(G11=0,0,1000000*G11/TrRail_act!G28/1000)</f>
        <v>1145.2271375489811</v>
      </c>
      <c r="H51" s="116">
        <f>IF(H11=0,0,1000000*H11/TrRail_act!H28/1000)</f>
        <v>1132.7860641034865</v>
      </c>
      <c r="I51" s="116">
        <f>IF(I11=0,0,1000000*I11/TrRail_act!I28/1000)</f>
        <v>1074.8444194447034</v>
      </c>
      <c r="J51" s="116">
        <f>IF(J11=0,0,1000000*J11/TrRail_act!J28/1000)</f>
        <v>1026.543615168189</v>
      </c>
      <c r="K51" s="116">
        <f>IF(K11=0,0,1000000*K11/TrRail_act!K28/1000)</f>
        <v>1017.4242546462909</v>
      </c>
      <c r="L51" s="116">
        <f>IF(L11=0,0,1000000*L11/TrRail_act!L28/1000)</f>
        <v>714.06925190573338</v>
      </c>
      <c r="M51" s="116">
        <f>IF(M11=0,0,1000000*M11/TrRail_act!M28/1000)</f>
        <v>638.07479948655589</v>
      </c>
      <c r="N51" s="116">
        <f>IF(N11=0,0,1000000*N11/TrRail_act!N28/1000)</f>
        <v>973.56452363960545</v>
      </c>
      <c r="O51" s="116">
        <f>IF(O11=0,0,1000000*O11/TrRail_act!O28/1000)</f>
        <v>687.88120548067354</v>
      </c>
      <c r="P51" s="116">
        <f>IF(P11=0,0,1000000*P11/TrRail_act!P28/1000)</f>
        <v>784.91505764771489</v>
      </c>
      <c r="Q51" s="116">
        <f>IF(Q11=0,0,1000000*Q11/TrRail_act!Q28/1000)</f>
        <v>738.3208737789497</v>
      </c>
      <c r="R51" s="116">
        <f>IF(R11=0,0,1000000*R11/TrRail_act!R28/1000)</f>
        <v>750.16857559827565</v>
      </c>
      <c r="S51" s="116">
        <f>IF(S11=0,0,1000000*S11/TrRail_act!S28/1000)</f>
        <v>745.06563343023504</v>
      </c>
      <c r="T51" s="116">
        <f>IF(T11=0,0,1000000*T11/TrRail_act!T28/1000)</f>
        <v>731.86776865364186</v>
      </c>
      <c r="U51" s="116">
        <f>IF(U11=0,0,1000000*U11/TrRail_act!U28/1000)</f>
        <v>207.68134153247544</v>
      </c>
      <c r="V51" s="116">
        <f>IF(V11=0,0,1000000*V11/TrRail_act!V28/1000)</f>
        <v>141.42739205477656</v>
      </c>
      <c r="W51" s="116">
        <f>IF(W11=0,0,1000000*W11/TrRail_act!W28/1000)</f>
        <v>132.61748606241531</v>
      </c>
      <c r="X51" s="116">
        <f>IF(X11=0,0,1000000*X11/TrRail_act!X28/1000)</f>
        <v>147.32743192978717</v>
      </c>
      <c r="Y51" s="116">
        <f>IF(Y11=0,0,1000000*Y11/TrRail_act!Y28/1000)</f>
        <v>99.558502371364952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1462.7648751842848</v>
      </c>
      <c r="C52" s="87">
        <f>IF(C12=0,0,1000000*C12/TrRail_act!C29/1000)</f>
        <v>1409.1408629767618</v>
      </c>
      <c r="D52" s="87">
        <f>IF(D12=0,0,1000000*D12/TrRail_act!D29/1000)</f>
        <v>1336.3536589707423</v>
      </c>
      <c r="E52" s="87">
        <f>IF(E12=0,0,1000000*E12/TrRail_act!E29/1000)</f>
        <v>1280.9431062438077</v>
      </c>
      <c r="F52" s="87">
        <f>IF(F12=0,0,1000000*F12/TrRail_act!F29/1000)</f>
        <v>1244.8322084952724</v>
      </c>
      <c r="G52" s="87">
        <f>IF(G12=0,0,1000000*G12/TrRail_act!G29/1000)</f>
        <v>1193.4907565626625</v>
      </c>
      <c r="H52" s="87">
        <f>IF(H12=0,0,1000000*H12/TrRail_act!H29/1000)</f>
        <v>1171.6469220343561</v>
      </c>
      <c r="I52" s="87">
        <f>IF(I12=0,0,1000000*I12/TrRail_act!I29/1000)</f>
        <v>1122.8182300904793</v>
      </c>
      <c r="J52" s="87">
        <f>IF(J12=0,0,1000000*J12/TrRail_act!J29/1000)</f>
        <v>1131.8987029330547</v>
      </c>
      <c r="K52" s="87">
        <f>IF(K12=0,0,1000000*K12/TrRail_act!K29/1000)</f>
        <v>1124.1836597148051</v>
      </c>
      <c r="L52" s="87">
        <f>IF(L12=0,0,1000000*L12/TrRail_act!L29/1000)</f>
        <v>791.02273625980797</v>
      </c>
      <c r="M52" s="87">
        <f>IF(M12=0,0,1000000*M12/TrRail_act!M29/1000)</f>
        <v>709.12611785203478</v>
      </c>
      <c r="N52" s="87">
        <f>IF(N12=0,0,1000000*N12/TrRail_act!N29/1000)</f>
        <v>1058.605510875258</v>
      </c>
      <c r="O52" s="87">
        <f>IF(O12=0,0,1000000*O12/TrRail_act!O29/1000)</f>
        <v>816.01479121962961</v>
      </c>
      <c r="P52" s="87">
        <f>IF(P12=0,0,1000000*P12/TrRail_act!P29/1000)</f>
        <v>974.50464914636177</v>
      </c>
      <c r="Q52" s="87">
        <f>IF(Q12=0,0,1000000*Q12/TrRail_act!Q29/1000)</f>
        <v>966.92276164136479</v>
      </c>
      <c r="R52" s="87">
        <f>IF(R12=0,0,1000000*R12/TrRail_act!R29/1000)</f>
        <v>981.17700872802857</v>
      </c>
      <c r="S52" s="87">
        <f>IF(S12=0,0,1000000*S12/TrRail_act!S29/1000)</f>
        <v>977.7508183901607</v>
      </c>
      <c r="T52" s="87">
        <f>IF(T12=0,0,1000000*T12/TrRail_act!T29/1000)</f>
        <v>973.0192137404722</v>
      </c>
      <c r="U52" s="87">
        <f>IF(U12=0,0,1000000*U12/TrRail_act!U29/1000)</f>
        <v>288.81391754452972</v>
      </c>
      <c r="V52" s="87">
        <f>IF(V12=0,0,1000000*V12/TrRail_act!V29/1000)</f>
        <v>200.25610062784693</v>
      </c>
      <c r="W52" s="87">
        <f>IF(W12=0,0,1000000*W12/TrRail_act!W29/1000)</f>
        <v>191.73394093683999</v>
      </c>
      <c r="X52" s="87">
        <f>IF(X12=0,0,1000000*X12/TrRail_act!X29/1000)</f>
        <v>231.60465653646247</v>
      </c>
      <c r="Y52" s="87">
        <f>IF(Y12=0,0,1000000*Y12/TrRail_act!Y29/1000)</f>
        <v>161.79777210956553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2542.192441199873</v>
      </c>
      <c r="C55" s="29">
        <f>IF(C15=0,0,1000000*C15/TrRail_act!C32/1000)</f>
        <v>2219.6725205258217</v>
      </c>
      <c r="D55" s="29">
        <f>IF(D15=0,0,1000000*D15/TrRail_act!D32/1000)</f>
        <v>2302.041116327011</v>
      </c>
      <c r="E55" s="29">
        <f>IF(E15=0,0,1000000*E15/TrRail_act!E32/1000)</f>
        <v>2404.8325932868975</v>
      </c>
      <c r="F55" s="29">
        <f>IF(F15=0,0,1000000*F15/TrRail_act!F32/1000)</f>
        <v>2378.9987587883634</v>
      </c>
      <c r="G55" s="29">
        <f>IF(G15=0,0,1000000*G15/TrRail_act!G32/1000)</f>
        <v>1957.9227551465656</v>
      </c>
      <c r="H55" s="29">
        <f>IF(H15=0,0,1000000*H15/TrRail_act!H32/1000)</f>
        <v>2317.3718515871415</v>
      </c>
      <c r="I55" s="29">
        <f>IF(I15=0,0,1000000*I15/TrRail_act!I32/1000)</f>
        <v>1994.988431421011</v>
      </c>
      <c r="J55" s="29">
        <f>IF(J15=0,0,1000000*J15/TrRail_act!J32/1000)</f>
        <v>2161.8869570429842</v>
      </c>
      <c r="K55" s="29">
        <f>IF(K15=0,0,1000000*K15/TrRail_act!K32/1000)</f>
        <v>961.09594146398081</v>
      </c>
      <c r="L55" s="29">
        <f>IF(L15=0,0,1000000*L15/TrRail_act!L32/1000)</f>
        <v>1093.1189342029311</v>
      </c>
      <c r="M55" s="29">
        <f>IF(M15=0,0,1000000*M15/TrRail_act!M32/1000)</f>
        <v>539.7743697986715</v>
      </c>
      <c r="N55" s="29">
        <f>IF(N15=0,0,1000000*N15/TrRail_act!N32/1000)</f>
        <v>598.74320990539911</v>
      </c>
      <c r="O55" s="29">
        <f>IF(O15=0,0,1000000*O15/TrRail_act!O32/1000)</f>
        <v>399.44365893007569</v>
      </c>
      <c r="P55" s="29">
        <f>IF(P15=0,0,1000000*P15/TrRail_act!P32/1000)</f>
        <v>585.35763908403544</v>
      </c>
      <c r="Q55" s="29">
        <f>IF(Q15=0,0,1000000*Q15/TrRail_act!Q32/1000)</f>
        <v>576.26224778893072</v>
      </c>
      <c r="R55" s="29">
        <f>IF(R15=0,0,1000000*R15/TrRail_act!R32/1000)</f>
        <v>538.82015213948466</v>
      </c>
      <c r="S55" s="29">
        <f>IF(S15=0,0,1000000*S15/TrRail_act!S32/1000)</f>
        <v>728.56169172695388</v>
      </c>
      <c r="T55" s="29">
        <f>IF(T15=0,0,1000000*T15/TrRail_act!T32/1000)</f>
        <v>792.01210035943143</v>
      </c>
      <c r="U55" s="29">
        <f>IF(U15=0,0,1000000*U15/TrRail_act!U32/1000)</f>
        <v>402.64872343191587</v>
      </c>
      <c r="V55" s="29">
        <f>IF(V15=0,0,1000000*V15/TrRail_act!V32/1000)</f>
        <v>371.98624868176182</v>
      </c>
      <c r="W55" s="29">
        <f>IF(W15=0,0,1000000*W15/TrRail_act!W32/1000)</f>
        <v>414.14896163026856</v>
      </c>
      <c r="X55" s="29">
        <f>IF(X15=0,0,1000000*X15/TrRail_act!X32/1000)</f>
        <v>305.18805466663747</v>
      </c>
      <c r="Y55" s="29">
        <f>IF(Y15=0,0,1000000*Y15/TrRail_act!Y32/1000)</f>
        <v>115.74224723756592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3411.0051603814973</v>
      </c>
      <c r="C56" s="87">
        <f>IF(C16=0,0,1000000*C16/TrRail_act!C33/1000)</f>
        <v>3188.0891865589656</v>
      </c>
      <c r="D56" s="87">
        <f>IF(D16=0,0,1000000*D16/TrRail_act!D33/1000)</f>
        <v>3207.252252465425</v>
      </c>
      <c r="E56" s="87">
        <f>IF(E16=0,0,1000000*E16/TrRail_act!E33/1000)</f>
        <v>3078.1504264087853</v>
      </c>
      <c r="F56" s="87">
        <f>IF(F16=0,0,1000000*F16/TrRail_act!F33/1000)</f>
        <v>3042.7001799964842</v>
      </c>
      <c r="G56" s="87">
        <f>IF(G16=0,0,1000000*G16/TrRail_act!G33/1000)</f>
        <v>2496.0592051168405</v>
      </c>
      <c r="H56" s="87">
        <f>IF(H16=0,0,1000000*H16/TrRail_act!H33/1000)</f>
        <v>2925.2562010643546</v>
      </c>
      <c r="I56" s="87">
        <f>IF(I16=0,0,1000000*I16/TrRail_act!I33/1000)</f>
        <v>2899.8949856826048</v>
      </c>
      <c r="J56" s="87">
        <f>IF(J16=0,0,1000000*J16/TrRail_act!J33/1000)</f>
        <v>2807.6806712783291</v>
      </c>
      <c r="K56" s="87">
        <f>IF(K16=0,0,1000000*K16/TrRail_act!K33/1000)</f>
        <v>1246.3783319988108</v>
      </c>
      <c r="L56" s="87">
        <f>IF(L16=0,0,1000000*L16/TrRail_act!L33/1000)</f>
        <v>1415.3374483667621</v>
      </c>
      <c r="M56" s="87">
        <f>IF(M16=0,0,1000000*M16/TrRail_act!M33/1000)</f>
        <v>697.6644980069932</v>
      </c>
      <c r="N56" s="87">
        <f>IF(N16=0,0,1000000*N16/TrRail_act!N33/1000)</f>
        <v>772.39356188070667</v>
      </c>
      <c r="O56" s="87">
        <f>IF(O16=0,0,1000000*O16/TrRail_act!O33/1000)</f>
        <v>514.1933128876783</v>
      </c>
      <c r="P56" s="87">
        <f>IF(P16=0,0,1000000*P16/TrRail_act!P33/1000)</f>
        <v>765.46808936576372</v>
      </c>
      <c r="Q56" s="87">
        <f>IF(Q16=0,0,1000000*Q16/TrRail_act!Q33/1000)</f>
        <v>759.75174440743126</v>
      </c>
      <c r="R56" s="87">
        <f>IF(R16=0,0,1000000*R16/TrRail_act!R33/1000)</f>
        <v>709.59173619783826</v>
      </c>
      <c r="S56" s="87">
        <f>IF(S16=0,0,1000000*S16/TrRail_act!S33/1000)</f>
        <v>1037.4901286032109</v>
      </c>
      <c r="T56" s="87">
        <f>IF(T16=0,0,1000000*T16/TrRail_act!T33/1000)</f>
        <v>1224.0012085692574</v>
      </c>
      <c r="U56" s="87">
        <f>IF(U16=0,0,1000000*U16/TrRail_act!U33/1000)</f>
        <v>857.14427836542609</v>
      </c>
      <c r="V56" s="87">
        <f>IF(V16=0,0,1000000*V16/TrRail_act!V33/1000)</f>
        <v>999.01634719159108</v>
      </c>
      <c r="W56" s="87">
        <f>IF(W16=0,0,1000000*W16/TrRail_act!W33/1000)</f>
        <v>1163.7623640065685</v>
      </c>
      <c r="X56" s="87">
        <f>IF(X16=0,0,1000000*X16/TrRail_act!X33/1000)</f>
        <v>903.2845966459945</v>
      </c>
      <c r="Y56" s="87">
        <f>IF(Y16=0,0,1000000*Y16/TrRail_act!Y33/1000)</f>
        <v>363.84003646316285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0.92857617796697089</v>
      </c>
      <c r="C60" s="31">
        <f t="shared" ref="C60:V60" si="13">IF(C9=0,0,C9/C$8)</f>
        <v>0.93991946014732819</v>
      </c>
      <c r="D60" s="31">
        <f t="shared" si="13"/>
        <v>0.93877531126756497</v>
      </c>
      <c r="E60" s="31">
        <f t="shared" si="13"/>
        <v>0.91949446814794766</v>
      </c>
      <c r="F60" s="31">
        <f t="shared" si="13"/>
        <v>0.8968570907710296</v>
      </c>
      <c r="G60" s="31">
        <f t="shared" si="13"/>
        <v>0.92061392871583425</v>
      </c>
      <c r="H60" s="31">
        <f t="shared" si="13"/>
        <v>0.91268100130920293</v>
      </c>
      <c r="I60" s="31">
        <f t="shared" si="13"/>
        <v>0.8921446401606804</v>
      </c>
      <c r="J60" s="31">
        <f t="shared" si="13"/>
        <v>0.84450314427395623</v>
      </c>
      <c r="K60" s="31">
        <f t="shared" si="13"/>
        <v>0.91990133391179385</v>
      </c>
      <c r="L60" s="31">
        <f t="shared" si="13"/>
        <v>0.86954776988462013</v>
      </c>
      <c r="M60" s="31">
        <f t="shared" si="13"/>
        <v>0.91819336789272976</v>
      </c>
      <c r="N60" s="31">
        <f t="shared" si="13"/>
        <v>0.94827044486547218</v>
      </c>
      <c r="O60" s="31">
        <f t="shared" si="13"/>
        <v>0.95191449690422458</v>
      </c>
      <c r="P60" s="31">
        <f t="shared" si="13"/>
        <v>0.97119468580166857</v>
      </c>
      <c r="Q60" s="31">
        <f t="shared" si="13"/>
        <v>0.97301559385741632</v>
      </c>
      <c r="R60" s="31">
        <f t="shared" si="13"/>
        <v>0.97629692608641216</v>
      </c>
      <c r="S60" s="31">
        <f t="shared" si="13"/>
        <v>0.96672479417713253</v>
      </c>
      <c r="T60" s="31">
        <f t="shared" si="13"/>
        <v>0.96136497167574864</v>
      </c>
      <c r="U60" s="31">
        <f t="shared" si="13"/>
        <v>0.91359185328160364</v>
      </c>
      <c r="V60" s="31">
        <f t="shared" si="13"/>
        <v>0.86316309722740736</v>
      </c>
      <c r="W60" s="31">
        <f t="shared" ref="W60:Y60" si="14">IF(W9=0,0,W9/W$8)</f>
        <v>0.83876463635622756</v>
      </c>
      <c r="X60" s="31">
        <f t="shared" si="14"/>
        <v>0.89045725993794433</v>
      </c>
      <c r="Y60" s="31">
        <f t="shared" si="14"/>
        <v>0.93407349371138271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0.92857617796697089</v>
      </c>
      <c r="C62" s="124">
        <f t="shared" ref="C62:V62" si="17">IF(C11=0,0,C11/C$8)</f>
        <v>0.93991946014732819</v>
      </c>
      <c r="D62" s="124">
        <f t="shared" si="17"/>
        <v>0.93877531126756497</v>
      </c>
      <c r="E62" s="124">
        <f t="shared" si="17"/>
        <v>0.91949446814794766</v>
      </c>
      <c r="F62" s="124">
        <f t="shared" si="17"/>
        <v>0.8968570907710296</v>
      </c>
      <c r="G62" s="124">
        <f t="shared" si="17"/>
        <v>0.92061392871583425</v>
      </c>
      <c r="H62" s="124">
        <f t="shared" si="17"/>
        <v>0.91268100130920293</v>
      </c>
      <c r="I62" s="124">
        <f t="shared" si="17"/>
        <v>0.8921446401606804</v>
      </c>
      <c r="J62" s="124">
        <f t="shared" si="17"/>
        <v>0.84450314427395623</v>
      </c>
      <c r="K62" s="124">
        <f t="shared" si="17"/>
        <v>0.91990133391179385</v>
      </c>
      <c r="L62" s="124">
        <f t="shared" si="17"/>
        <v>0.86954776988462013</v>
      </c>
      <c r="M62" s="124">
        <f t="shared" si="17"/>
        <v>0.91819336789272976</v>
      </c>
      <c r="N62" s="124">
        <f t="shared" si="17"/>
        <v>0.94827044486547218</v>
      </c>
      <c r="O62" s="124">
        <f t="shared" si="17"/>
        <v>0.95191449690422458</v>
      </c>
      <c r="P62" s="124">
        <f t="shared" si="17"/>
        <v>0.97119468580166857</v>
      </c>
      <c r="Q62" s="124">
        <f t="shared" si="17"/>
        <v>0.97301559385741632</v>
      </c>
      <c r="R62" s="124">
        <f t="shared" si="17"/>
        <v>0.97629692608641216</v>
      </c>
      <c r="S62" s="124">
        <f t="shared" si="17"/>
        <v>0.96672479417713253</v>
      </c>
      <c r="T62" s="124">
        <f t="shared" si="17"/>
        <v>0.96136497167574864</v>
      </c>
      <c r="U62" s="124">
        <f t="shared" si="17"/>
        <v>0.91359185328160364</v>
      </c>
      <c r="V62" s="124">
        <f t="shared" si="17"/>
        <v>0.86316309722740736</v>
      </c>
      <c r="W62" s="124">
        <f t="shared" ref="W62:Y62" si="18">IF(W11=0,0,W11/W$8)</f>
        <v>0.83876463635622756</v>
      </c>
      <c r="X62" s="124">
        <f t="shared" si="18"/>
        <v>0.89045725993794433</v>
      </c>
      <c r="Y62" s="124">
        <f t="shared" si="18"/>
        <v>0.93407349371138271</v>
      </c>
      <c r="DA62" s="176"/>
    </row>
    <row r="63" spans="1:105" ht="11.45" customHeight="1" x14ac:dyDescent="0.25">
      <c r="A63" s="111" t="s">
        <v>92</v>
      </c>
      <c r="B63" s="125">
        <f t="shared" si="10"/>
        <v>0.92857617796697089</v>
      </c>
      <c r="C63" s="125">
        <f t="shared" ref="C63:V63" si="19">IF(C12=0,0,C12/C$8)</f>
        <v>0.93991946014732819</v>
      </c>
      <c r="D63" s="125">
        <f t="shared" si="19"/>
        <v>0.93877531126756497</v>
      </c>
      <c r="E63" s="125">
        <f t="shared" si="19"/>
        <v>0.91949446814794766</v>
      </c>
      <c r="F63" s="125">
        <f t="shared" si="19"/>
        <v>0.8968570907710296</v>
      </c>
      <c r="G63" s="125">
        <f t="shared" si="19"/>
        <v>0.92061392871583425</v>
      </c>
      <c r="H63" s="125">
        <f t="shared" si="19"/>
        <v>0.91268100130920293</v>
      </c>
      <c r="I63" s="125">
        <f t="shared" si="19"/>
        <v>0.8921446401606804</v>
      </c>
      <c r="J63" s="125">
        <f t="shared" si="19"/>
        <v>0.84450314427395623</v>
      </c>
      <c r="K63" s="125">
        <f t="shared" si="19"/>
        <v>0.91990133391179385</v>
      </c>
      <c r="L63" s="125">
        <f t="shared" si="19"/>
        <v>0.86954776988462013</v>
      </c>
      <c r="M63" s="125">
        <f t="shared" si="19"/>
        <v>0.91819336789272976</v>
      </c>
      <c r="N63" s="125">
        <f t="shared" si="19"/>
        <v>0.94827044486547218</v>
      </c>
      <c r="O63" s="125">
        <f t="shared" si="19"/>
        <v>0.95191449690422458</v>
      </c>
      <c r="P63" s="125">
        <f t="shared" si="19"/>
        <v>0.97119468580166857</v>
      </c>
      <c r="Q63" s="125">
        <f t="shared" si="19"/>
        <v>0.97301559385741632</v>
      </c>
      <c r="R63" s="125">
        <f t="shared" si="19"/>
        <v>0.97629692608641216</v>
      </c>
      <c r="S63" s="125">
        <f t="shared" si="19"/>
        <v>0.96672479417713253</v>
      </c>
      <c r="T63" s="125">
        <f t="shared" si="19"/>
        <v>0.96136497167574864</v>
      </c>
      <c r="U63" s="125">
        <f t="shared" si="19"/>
        <v>0.91359185328160364</v>
      </c>
      <c r="V63" s="125">
        <f t="shared" si="19"/>
        <v>0.86316309722740736</v>
      </c>
      <c r="W63" s="125">
        <f t="shared" ref="W63:Y63" si="20">IF(W12=0,0,W12/W$8)</f>
        <v>0.83876463635622756</v>
      </c>
      <c r="X63" s="125">
        <f t="shared" si="20"/>
        <v>0.89045725993794433</v>
      </c>
      <c r="Y63" s="125">
        <f t="shared" si="20"/>
        <v>0.93407349371138271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7.1423822033029161E-2</v>
      </c>
      <c r="C66" s="31">
        <f t="shared" ref="C66:V66" si="25">IF(C15=0,0,C15/C$8)</f>
        <v>6.0080539852671803E-2</v>
      </c>
      <c r="D66" s="31">
        <f t="shared" si="25"/>
        <v>6.1224688732435015E-2</v>
      </c>
      <c r="E66" s="31">
        <f t="shared" si="25"/>
        <v>8.0505531852052267E-2</v>
      </c>
      <c r="F66" s="31">
        <f t="shared" si="25"/>
        <v>0.10314290922897035</v>
      </c>
      <c r="G66" s="31">
        <f t="shared" si="25"/>
        <v>7.9386071284165804E-2</v>
      </c>
      <c r="H66" s="31">
        <f t="shared" si="25"/>
        <v>8.7318998690797053E-2</v>
      </c>
      <c r="I66" s="31">
        <f t="shared" si="25"/>
        <v>0.10785535983931965</v>
      </c>
      <c r="J66" s="31">
        <f t="shared" si="25"/>
        <v>0.1554968557260438</v>
      </c>
      <c r="K66" s="31">
        <f t="shared" si="25"/>
        <v>8.0098666088206136E-2</v>
      </c>
      <c r="L66" s="31">
        <f t="shared" si="25"/>
        <v>0.13045223011537987</v>
      </c>
      <c r="M66" s="31">
        <f t="shared" si="25"/>
        <v>8.1806632107270197E-2</v>
      </c>
      <c r="N66" s="31">
        <f t="shared" si="25"/>
        <v>5.1729555134527892E-2</v>
      </c>
      <c r="O66" s="31">
        <f t="shared" si="25"/>
        <v>4.8085503095775424E-2</v>
      </c>
      <c r="P66" s="31">
        <f t="shared" si="25"/>
        <v>2.8805314198331454E-2</v>
      </c>
      <c r="Q66" s="31">
        <f t="shared" si="25"/>
        <v>2.6984406142583659E-2</v>
      </c>
      <c r="R66" s="31">
        <f t="shared" si="25"/>
        <v>2.3703073913587797E-2</v>
      </c>
      <c r="S66" s="31">
        <f t="shared" si="25"/>
        <v>3.3275205822867512E-2</v>
      </c>
      <c r="T66" s="31">
        <f t="shared" si="25"/>
        <v>3.8635028324251398E-2</v>
      </c>
      <c r="U66" s="31">
        <f t="shared" si="25"/>
        <v>8.6408146718396334E-2</v>
      </c>
      <c r="V66" s="31">
        <f t="shared" si="25"/>
        <v>0.13683690277259258</v>
      </c>
      <c r="W66" s="31">
        <f t="shared" ref="W66:Y66" si="26">IF(W15=0,0,W15/W$8)</f>
        <v>0.16123536364377242</v>
      </c>
      <c r="X66" s="31">
        <f t="shared" si="26"/>
        <v>0.10954274006205555</v>
      </c>
      <c r="Y66" s="31">
        <f t="shared" si="26"/>
        <v>6.5926506288617348E-2</v>
      </c>
      <c r="DA66" s="173"/>
    </row>
    <row r="67" spans="1:105" ht="11.45" customHeight="1" x14ac:dyDescent="0.25">
      <c r="A67" s="83" t="s">
        <v>92</v>
      </c>
      <c r="B67" s="125">
        <f t="shared" si="10"/>
        <v>7.1423822033029161E-2</v>
      </c>
      <c r="C67" s="125">
        <f t="shared" ref="C67:V67" si="27">IF(C16=0,0,C16/C$8)</f>
        <v>6.0080539852671803E-2</v>
      </c>
      <c r="D67" s="125">
        <f t="shared" si="27"/>
        <v>6.1224688732435015E-2</v>
      </c>
      <c r="E67" s="125">
        <f t="shared" si="27"/>
        <v>8.0505531852052267E-2</v>
      </c>
      <c r="F67" s="125">
        <f t="shared" si="27"/>
        <v>0.10314290922897035</v>
      </c>
      <c r="G67" s="125">
        <f t="shared" si="27"/>
        <v>7.9386071284165804E-2</v>
      </c>
      <c r="H67" s="125">
        <f t="shared" si="27"/>
        <v>8.7318998690797053E-2</v>
      </c>
      <c r="I67" s="125">
        <f t="shared" si="27"/>
        <v>0.10785535983931965</v>
      </c>
      <c r="J67" s="125">
        <f t="shared" si="27"/>
        <v>0.1554968557260438</v>
      </c>
      <c r="K67" s="125">
        <f t="shared" si="27"/>
        <v>8.0098666088206136E-2</v>
      </c>
      <c r="L67" s="125">
        <f t="shared" si="27"/>
        <v>0.13045223011537987</v>
      </c>
      <c r="M67" s="125">
        <f t="shared" si="27"/>
        <v>8.1806632107270197E-2</v>
      </c>
      <c r="N67" s="125">
        <f t="shared" si="27"/>
        <v>5.1729555134527892E-2</v>
      </c>
      <c r="O67" s="125">
        <f t="shared" si="27"/>
        <v>4.8085503095775424E-2</v>
      </c>
      <c r="P67" s="125">
        <f t="shared" si="27"/>
        <v>2.8805314198331454E-2</v>
      </c>
      <c r="Q67" s="125">
        <f t="shared" si="27"/>
        <v>2.6984406142583659E-2</v>
      </c>
      <c r="R67" s="125">
        <f t="shared" si="27"/>
        <v>2.3703073913587797E-2</v>
      </c>
      <c r="S67" s="125">
        <f t="shared" si="27"/>
        <v>3.3275205822867512E-2</v>
      </c>
      <c r="T67" s="125">
        <f t="shared" si="27"/>
        <v>3.8635028324251398E-2</v>
      </c>
      <c r="U67" s="125">
        <f t="shared" si="27"/>
        <v>8.6408146718396334E-2</v>
      </c>
      <c r="V67" s="125">
        <f t="shared" si="27"/>
        <v>0.13683690277259258</v>
      </c>
      <c r="W67" s="125">
        <f t="shared" ref="W67:Y67" si="28">IF(W16=0,0,W16/W$8)</f>
        <v>0.16123536364377242</v>
      </c>
      <c r="X67" s="125">
        <f t="shared" si="28"/>
        <v>0.10954274006205555</v>
      </c>
      <c r="Y67" s="125">
        <f t="shared" si="28"/>
        <v>6.5926506288617348E-2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33509.771146746083</v>
      </c>
      <c r="C4" s="11">
        <f t="shared" si="0"/>
        <v>31258.317317073543</v>
      </c>
      <c r="D4" s="11">
        <f t="shared" ref="D4:V4" si="1">SUM(D5:D7)</f>
        <v>30868.835394458998</v>
      </c>
      <c r="E4" s="11">
        <f t="shared" si="1"/>
        <v>31305.968527557918</v>
      </c>
      <c r="F4" s="11">
        <f t="shared" si="1"/>
        <v>33515.508407301604</v>
      </c>
      <c r="G4" s="11">
        <f t="shared" si="1"/>
        <v>34403.905324184372</v>
      </c>
      <c r="H4" s="11">
        <f t="shared" si="1"/>
        <v>35915.408717707272</v>
      </c>
      <c r="I4" s="11">
        <f t="shared" si="1"/>
        <v>36655.822871716839</v>
      </c>
      <c r="J4" s="11">
        <f t="shared" si="1"/>
        <v>35319.158829878681</v>
      </c>
      <c r="K4" s="11">
        <f t="shared" si="1"/>
        <v>32804.360899424566</v>
      </c>
      <c r="L4" s="11">
        <f t="shared" si="1"/>
        <v>32398.862112574672</v>
      </c>
      <c r="M4" s="11">
        <f t="shared" si="1"/>
        <v>33892.796059920853</v>
      </c>
      <c r="N4" s="11">
        <f t="shared" si="1"/>
        <v>31571.869586902234</v>
      </c>
      <c r="O4" s="11">
        <f t="shared" si="1"/>
        <v>33526.720618593208</v>
      </c>
      <c r="P4" s="11">
        <f t="shared" si="1"/>
        <v>37564.469527450317</v>
      </c>
      <c r="Q4" s="11">
        <f t="shared" si="1"/>
        <v>38749.85138838744</v>
      </c>
      <c r="R4" s="11">
        <f t="shared" si="1"/>
        <v>42179.775850498365</v>
      </c>
      <c r="S4" s="11">
        <f t="shared" si="1"/>
        <v>47291.560922782068</v>
      </c>
      <c r="T4" s="11">
        <f t="shared" si="1"/>
        <v>51707.286660459606</v>
      </c>
      <c r="U4" s="11">
        <f t="shared" si="1"/>
        <v>53791.878875796698</v>
      </c>
      <c r="V4" s="11">
        <f t="shared" si="1"/>
        <v>15836.592888918885</v>
      </c>
      <c r="W4" s="11">
        <f t="shared" ref="W4:Y4" si="2">SUM(W5:W7)</f>
        <v>30189.396820026639</v>
      </c>
      <c r="X4" s="11">
        <f t="shared" si="2"/>
        <v>55942.453922213143</v>
      </c>
      <c r="Y4" s="11">
        <f t="shared" si="2"/>
        <v>59788.995379941349</v>
      </c>
      <c r="DA4" s="189" t="s">
        <v>190</v>
      </c>
    </row>
    <row r="5" spans="1:105" ht="11.45" customHeight="1" x14ac:dyDescent="0.25">
      <c r="A5" s="83" t="s">
        <v>27</v>
      </c>
      <c r="B5" s="84">
        <v>2488.4994358538765</v>
      </c>
      <c r="C5" s="84">
        <v>2371.6997311843511</v>
      </c>
      <c r="D5" s="84">
        <v>2186.3134820959676</v>
      </c>
      <c r="E5" s="84">
        <v>2103.3315914289128</v>
      </c>
      <c r="F5" s="84">
        <v>2447.2823035056063</v>
      </c>
      <c r="G5" s="84">
        <v>2500.19867597142</v>
      </c>
      <c r="H5" s="84">
        <v>2628.2753061787575</v>
      </c>
      <c r="I5" s="84">
        <v>2814.9848275215627</v>
      </c>
      <c r="J5" s="84">
        <v>2773.7820833300066</v>
      </c>
      <c r="K5" s="84">
        <v>2822.8819278819528</v>
      </c>
      <c r="L5" s="84">
        <v>2518.3467328982974</v>
      </c>
      <c r="M5" s="84">
        <v>2112.7297660140375</v>
      </c>
      <c r="N5" s="84">
        <v>1927.8941127530386</v>
      </c>
      <c r="O5" s="84">
        <v>1863.265565023773</v>
      </c>
      <c r="P5" s="84">
        <v>2263.1055060039307</v>
      </c>
      <c r="Q5" s="84">
        <v>2709.3657201810311</v>
      </c>
      <c r="R5" s="84">
        <v>2909.6572246752266</v>
      </c>
      <c r="S5" s="84">
        <v>2897.4105677939197</v>
      </c>
      <c r="T5" s="84">
        <v>2905.7054341795629</v>
      </c>
      <c r="U5" s="84">
        <v>2874.8653443847465</v>
      </c>
      <c r="V5" s="84">
        <v>1278.9326746311604</v>
      </c>
      <c r="W5" s="84">
        <v>2002.4896026004908</v>
      </c>
      <c r="X5" s="84">
        <v>3065.4430636253173</v>
      </c>
      <c r="Y5" s="84">
        <v>3156.5721719700414</v>
      </c>
      <c r="DA5" s="171" t="s">
        <v>191</v>
      </c>
    </row>
    <row r="6" spans="1:105" ht="11.45" customHeight="1" x14ac:dyDescent="0.25">
      <c r="A6" s="83" t="s">
        <v>181</v>
      </c>
      <c r="B6" s="84">
        <v>28112.860263007406</v>
      </c>
      <c r="C6" s="84">
        <v>26167.236659985385</v>
      </c>
      <c r="D6" s="84">
        <v>25943.418289721372</v>
      </c>
      <c r="E6" s="84">
        <v>26350.181990477478</v>
      </c>
      <c r="F6" s="84">
        <v>27671.298629019722</v>
      </c>
      <c r="G6" s="84">
        <v>28192.381531957471</v>
      </c>
      <c r="H6" s="84">
        <v>28783.502864691483</v>
      </c>
      <c r="I6" s="84">
        <v>28555.7070544528</v>
      </c>
      <c r="J6" s="84">
        <v>26761.756401092731</v>
      </c>
      <c r="K6" s="84">
        <v>25063.890330256829</v>
      </c>
      <c r="L6" s="84">
        <v>24354.747066003511</v>
      </c>
      <c r="M6" s="84">
        <v>25652.858568210489</v>
      </c>
      <c r="N6" s="84">
        <v>23913.846072556677</v>
      </c>
      <c r="O6" s="84">
        <v>24622.112595218361</v>
      </c>
      <c r="P6" s="84">
        <v>28130.34271617675</v>
      </c>
      <c r="Q6" s="84">
        <v>29749.980324809861</v>
      </c>
      <c r="R6" s="84">
        <v>32204.701911153737</v>
      </c>
      <c r="S6" s="84">
        <v>35795.405477569788</v>
      </c>
      <c r="T6" s="84">
        <v>38888.696572049463</v>
      </c>
      <c r="U6" s="84">
        <v>40099.615630931956</v>
      </c>
      <c r="V6" s="84">
        <v>13090.847785271751</v>
      </c>
      <c r="W6" s="84">
        <v>23203.903783292288</v>
      </c>
      <c r="X6" s="84">
        <v>43964.785538262971</v>
      </c>
      <c r="Y6" s="84">
        <v>46529.085257340812</v>
      </c>
      <c r="DA6" s="171" t="s">
        <v>192</v>
      </c>
    </row>
    <row r="7" spans="1:105" ht="11.45" customHeight="1" x14ac:dyDescent="0.25">
      <c r="A7" s="83" t="s">
        <v>182</v>
      </c>
      <c r="B7" s="84">
        <v>2908.4114478848001</v>
      </c>
      <c r="C7" s="84">
        <v>2719.3809259038048</v>
      </c>
      <c r="D7" s="84">
        <v>2739.1036226416595</v>
      </c>
      <c r="E7" s="84">
        <v>2852.4549456515269</v>
      </c>
      <c r="F7" s="84">
        <v>3396.9274747762761</v>
      </c>
      <c r="G7" s="84">
        <v>3711.3251162554793</v>
      </c>
      <c r="H7" s="84">
        <v>4503.6305468370319</v>
      </c>
      <c r="I7" s="84">
        <v>5285.1309897424781</v>
      </c>
      <c r="J7" s="84">
        <v>5783.6203454559436</v>
      </c>
      <c r="K7" s="84">
        <v>4917.5886412857844</v>
      </c>
      <c r="L7" s="84">
        <v>5525.7683136728629</v>
      </c>
      <c r="M7" s="84">
        <v>6127.2077256963257</v>
      </c>
      <c r="N7" s="84">
        <v>5730.1294015925178</v>
      </c>
      <c r="O7" s="84">
        <v>7041.3424583510769</v>
      </c>
      <c r="P7" s="84">
        <v>7171.0213052696354</v>
      </c>
      <c r="Q7" s="84">
        <v>6290.5053433965495</v>
      </c>
      <c r="R7" s="84">
        <v>7065.4167146694053</v>
      </c>
      <c r="S7" s="84">
        <v>8598.744877418354</v>
      </c>
      <c r="T7" s="84">
        <v>9912.8846542305801</v>
      </c>
      <c r="U7" s="84">
        <v>10817.397900479998</v>
      </c>
      <c r="V7" s="84">
        <v>1466.8124290159733</v>
      </c>
      <c r="W7" s="84">
        <v>4983.0034341338633</v>
      </c>
      <c r="X7" s="84">
        <v>8912.2253203248529</v>
      </c>
      <c r="Y7" s="84">
        <v>10103.337950630495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150.25398743443088</v>
      </c>
      <c r="C8" s="13">
        <f t="shared" si="3"/>
        <v>174.60882955902792</v>
      </c>
      <c r="D8" s="13">
        <f t="shared" ref="D8:V8" si="4">SUM(D9:D11)</f>
        <v>163.1265351594696</v>
      </c>
      <c r="E8" s="13">
        <f t="shared" si="4"/>
        <v>144.57304729950323</v>
      </c>
      <c r="F8" s="13">
        <f t="shared" si="4"/>
        <v>101.53058065689154</v>
      </c>
      <c r="G8" s="13">
        <f t="shared" si="4"/>
        <v>96.278429123962155</v>
      </c>
      <c r="H8" s="13">
        <f t="shared" si="4"/>
        <v>99.082949934912079</v>
      </c>
      <c r="I8" s="13">
        <f t="shared" si="4"/>
        <v>92.832614001117051</v>
      </c>
      <c r="J8" s="13">
        <f t="shared" si="4"/>
        <v>94.587807767239894</v>
      </c>
      <c r="K8" s="13">
        <f t="shared" si="4"/>
        <v>85.063459707285702</v>
      </c>
      <c r="L8" s="13">
        <f t="shared" si="4"/>
        <v>73.626858377762034</v>
      </c>
      <c r="M8" s="13">
        <f t="shared" si="4"/>
        <v>73.784834545841221</v>
      </c>
      <c r="N8" s="13">
        <f t="shared" si="4"/>
        <v>68.969801488903798</v>
      </c>
      <c r="O8" s="13">
        <f t="shared" si="4"/>
        <v>63.20058498208369</v>
      </c>
      <c r="P8" s="13">
        <f t="shared" si="4"/>
        <v>59.647464714465805</v>
      </c>
      <c r="Q8" s="13">
        <f t="shared" si="4"/>
        <v>59.684554728561352</v>
      </c>
      <c r="R8" s="13">
        <f t="shared" si="4"/>
        <v>64.98208562848356</v>
      </c>
      <c r="S8" s="13">
        <f t="shared" si="4"/>
        <v>65.957287619038553</v>
      </c>
      <c r="T8" s="13">
        <f t="shared" si="4"/>
        <v>100.34974381574926</v>
      </c>
      <c r="U8" s="13">
        <f t="shared" si="4"/>
        <v>110.24718026324118</v>
      </c>
      <c r="V8" s="13">
        <f t="shared" si="4"/>
        <v>64.702912589040864</v>
      </c>
      <c r="W8" s="13">
        <f t="shared" ref="W8:Y8" si="5">SUM(W9:W11)</f>
        <v>92.703366805359934</v>
      </c>
      <c r="X8" s="13">
        <f t="shared" si="5"/>
        <v>97.062187465075738</v>
      </c>
      <c r="Y8" s="13">
        <f t="shared" si="5"/>
        <v>81.178188208376028</v>
      </c>
      <c r="DA8" s="193" t="s">
        <v>194</v>
      </c>
    </row>
    <row r="9" spans="1:105" ht="11.45" customHeight="1" x14ac:dyDescent="0.25">
      <c r="A9" s="92" t="s">
        <v>27</v>
      </c>
      <c r="B9" s="102">
        <v>14.195775275511203</v>
      </c>
      <c r="C9" s="102">
        <v>16.572055328863129</v>
      </c>
      <c r="D9" s="102">
        <v>16.242009184220763</v>
      </c>
      <c r="E9" s="102">
        <v>14.258437312992569</v>
      </c>
      <c r="F9" s="102">
        <v>8.0384934583499579</v>
      </c>
      <c r="G9" s="102">
        <v>7.4111975957468257</v>
      </c>
      <c r="H9" s="102">
        <v>7.3494450883921321</v>
      </c>
      <c r="I9" s="102">
        <v>6.0370818989282125</v>
      </c>
      <c r="J9" s="102">
        <v>6.2566855635557532</v>
      </c>
      <c r="K9" s="102">
        <v>5.1702934060386161</v>
      </c>
      <c r="L9" s="102">
        <v>4.7864565527578931</v>
      </c>
      <c r="M9" s="102">
        <v>3.9233609453970617</v>
      </c>
      <c r="N9" s="102">
        <v>3.4107114865963197</v>
      </c>
      <c r="O9" s="102">
        <v>3.2139492125054292</v>
      </c>
      <c r="P9" s="102">
        <v>2.3334392241221384</v>
      </c>
      <c r="Q9" s="102">
        <v>2.2877794122643333</v>
      </c>
      <c r="R9" s="102">
        <v>2.1511864177377258</v>
      </c>
      <c r="S9" s="102">
        <v>1.3229397759968982</v>
      </c>
      <c r="T9" s="102">
        <v>2.4715417910423949</v>
      </c>
      <c r="U9" s="102">
        <v>2.4438029445853551</v>
      </c>
      <c r="V9" s="102">
        <v>1.46397585537246</v>
      </c>
      <c r="W9" s="102">
        <v>1.6535863966631026</v>
      </c>
      <c r="X9" s="102">
        <v>1.7367323581152621</v>
      </c>
      <c r="Y9" s="102">
        <v>1.7154652278438389</v>
      </c>
      <c r="DA9" s="175" t="s">
        <v>195</v>
      </c>
    </row>
    <row r="10" spans="1:105" ht="11.45" customHeight="1" x14ac:dyDescent="0.25">
      <c r="A10" s="92" t="s">
        <v>181</v>
      </c>
      <c r="B10" s="102">
        <v>101.14203140074987</v>
      </c>
      <c r="C10" s="102">
        <v>122.64052218940023</v>
      </c>
      <c r="D10" s="102">
        <v>112.96345626094684</v>
      </c>
      <c r="E10" s="102">
        <v>96.422221263024596</v>
      </c>
      <c r="F10" s="102">
        <v>68.434337178973252</v>
      </c>
      <c r="G10" s="102">
        <v>65.969018037803892</v>
      </c>
      <c r="H10" s="102">
        <v>65.923920810957284</v>
      </c>
      <c r="I10" s="102">
        <v>61.250295673694431</v>
      </c>
      <c r="J10" s="102">
        <v>59.963863421363172</v>
      </c>
      <c r="K10" s="102">
        <v>54.387111489622349</v>
      </c>
      <c r="L10" s="102">
        <v>53.021179927619137</v>
      </c>
      <c r="M10" s="102">
        <v>53.593654437364705</v>
      </c>
      <c r="N10" s="102">
        <v>51.943417503091169</v>
      </c>
      <c r="O10" s="102">
        <v>48.760252536655713</v>
      </c>
      <c r="P10" s="102">
        <v>46.897382926955579</v>
      </c>
      <c r="Q10" s="102">
        <v>44.143269411597672</v>
      </c>
      <c r="R10" s="102">
        <v>47.517404390397139</v>
      </c>
      <c r="S10" s="102">
        <v>43.08876326811302</v>
      </c>
      <c r="T10" s="102">
        <v>57.49969903385297</v>
      </c>
      <c r="U10" s="102">
        <v>58.413802828392406</v>
      </c>
      <c r="V10" s="102">
        <v>44.351584714062923</v>
      </c>
      <c r="W10" s="102">
        <v>45.793866203334062</v>
      </c>
      <c r="X10" s="102">
        <v>42.508960149311612</v>
      </c>
      <c r="Y10" s="102">
        <v>36.477236119489397</v>
      </c>
      <c r="DA10" s="175" t="s">
        <v>196</v>
      </c>
    </row>
    <row r="11" spans="1:105" ht="11.45" customHeight="1" x14ac:dyDescent="0.25">
      <c r="A11" s="85" t="s">
        <v>182</v>
      </c>
      <c r="B11" s="86">
        <v>34.916180758169808</v>
      </c>
      <c r="C11" s="86">
        <v>35.396252040764594</v>
      </c>
      <c r="D11" s="86">
        <v>33.921069714302</v>
      </c>
      <c r="E11" s="86">
        <v>33.892388723486079</v>
      </c>
      <c r="F11" s="86">
        <v>25.057750019568338</v>
      </c>
      <c r="G11" s="86">
        <v>22.898213490411433</v>
      </c>
      <c r="H11" s="86">
        <v>25.809584035562668</v>
      </c>
      <c r="I11" s="86">
        <v>25.545236428494402</v>
      </c>
      <c r="J11" s="86">
        <v>28.36725878232097</v>
      </c>
      <c r="K11" s="86">
        <v>25.506054811624736</v>
      </c>
      <c r="L11" s="86">
        <v>15.819221897385008</v>
      </c>
      <c r="M11" s="86">
        <v>16.267819163079452</v>
      </c>
      <c r="N11" s="86">
        <v>13.615672499216306</v>
      </c>
      <c r="O11" s="86">
        <v>11.226383232922549</v>
      </c>
      <c r="P11" s="86">
        <v>10.416642563388088</v>
      </c>
      <c r="Q11" s="86">
        <v>13.253505904699344</v>
      </c>
      <c r="R11" s="86">
        <v>15.313494820348691</v>
      </c>
      <c r="S11" s="86">
        <v>21.545584574928636</v>
      </c>
      <c r="T11" s="86">
        <v>40.378502990853903</v>
      </c>
      <c r="U11" s="86">
        <v>49.389574490263406</v>
      </c>
      <c r="V11" s="86">
        <v>18.887352019605473</v>
      </c>
      <c r="W11" s="86">
        <v>45.255914205362778</v>
      </c>
      <c r="X11" s="86">
        <v>52.816494957648871</v>
      </c>
      <c r="Y11" s="86">
        <v>42.985486861042794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250.89856896785622</v>
      </c>
      <c r="C13" s="54">
        <f t="shared" si="6"/>
        <v>235.38488136610673</v>
      </c>
      <c r="D13" s="54">
        <f t="shared" ref="D13:V13" si="7">SUM(D14,D18)</f>
        <v>232.00802477425145</v>
      </c>
      <c r="E13" s="54">
        <f t="shared" si="7"/>
        <v>235.7468556026011</v>
      </c>
      <c r="F13" s="54">
        <f t="shared" si="7"/>
        <v>253.75347152580756</v>
      </c>
      <c r="G13" s="54">
        <f t="shared" si="7"/>
        <v>245.7103182050019</v>
      </c>
      <c r="H13" s="54">
        <f t="shared" si="7"/>
        <v>263.22502740690192</v>
      </c>
      <c r="I13" s="54">
        <f t="shared" si="7"/>
        <v>278.17710998972728</v>
      </c>
      <c r="J13" s="54">
        <f t="shared" si="7"/>
        <v>270.32814464294108</v>
      </c>
      <c r="K13" s="54">
        <f t="shared" si="7"/>
        <v>261.81857974906586</v>
      </c>
      <c r="L13" s="54">
        <f t="shared" si="7"/>
        <v>250.28699867916757</v>
      </c>
      <c r="M13" s="54">
        <f t="shared" si="7"/>
        <v>250.58692588841302</v>
      </c>
      <c r="N13" s="54">
        <f t="shared" si="7"/>
        <v>229.12733845440437</v>
      </c>
      <c r="O13" s="54">
        <f t="shared" si="7"/>
        <v>232.62363238285855</v>
      </c>
      <c r="P13" s="54">
        <f t="shared" si="7"/>
        <v>264.94734374997284</v>
      </c>
      <c r="Q13" s="54">
        <f t="shared" si="7"/>
        <v>276.42587029901711</v>
      </c>
      <c r="R13" s="54">
        <f t="shared" si="7"/>
        <v>296.50193156860371</v>
      </c>
      <c r="S13" s="54">
        <f t="shared" si="7"/>
        <v>320.35753434305246</v>
      </c>
      <c r="T13" s="54">
        <f t="shared" si="7"/>
        <v>350.23803514711051</v>
      </c>
      <c r="U13" s="54">
        <f t="shared" si="7"/>
        <v>358.9634336062328</v>
      </c>
      <c r="V13" s="54">
        <f t="shared" si="7"/>
        <v>142.48133260023232</v>
      </c>
      <c r="W13" s="54">
        <f t="shared" ref="W13:Y13" si="8">SUM(W14,W18)</f>
        <v>257.2276618053375</v>
      </c>
      <c r="X13" s="54">
        <f t="shared" si="8"/>
        <v>382.10749174796734</v>
      </c>
      <c r="Y13" s="54">
        <f t="shared" si="8"/>
        <v>383.60439467487578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244.90909547952126</v>
      </c>
      <c r="C14" s="11">
        <f t="shared" si="9"/>
        <v>228.54014186718382</v>
      </c>
      <c r="D14" s="11">
        <f t="shared" ref="D14:V14" si="10">SUM(D15:D17)</f>
        <v>225.33072095751265</v>
      </c>
      <c r="E14" s="11">
        <f t="shared" si="10"/>
        <v>230.0714011847183</v>
      </c>
      <c r="F14" s="11">
        <f t="shared" si="10"/>
        <v>249.59292125422408</v>
      </c>
      <c r="G14" s="11">
        <f t="shared" si="10"/>
        <v>241.65294120649475</v>
      </c>
      <c r="H14" s="11">
        <f t="shared" si="10"/>
        <v>258.49878105151333</v>
      </c>
      <c r="I14" s="11">
        <f t="shared" si="10"/>
        <v>273.79266223101638</v>
      </c>
      <c r="J14" s="11">
        <f t="shared" si="10"/>
        <v>265.82046367774666</v>
      </c>
      <c r="K14" s="11">
        <f t="shared" si="10"/>
        <v>257.91168801965637</v>
      </c>
      <c r="L14" s="11">
        <f t="shared" si="10"/>
        <v>246.71189092986216</v>
      </c>
      <c r="M14" s="11">
        <f t="shared" si="10"/>
        <v>247.21760528152316</v>
      </c>
      <c r="N14" s="11">
        <f t="shared" si="10"/>
        <v>226.16272326015945</v>
      </c>
      <c r="O14" s="11">
        <f t="shared" si="10"/>
        <v>229.82942370913639</v>
      </c>
      <c r="P14" s="11">
        <f t="shared" si="10"/>
        <v>262.6321458797986</v>
      </c>
      <c r="Q14" s="11">
        <f t="shared" si="10"/>
        <v>274.19724029430694</v>
      </c>
      <c r="R14" s="11">
        <f t="shared" si="10"/>
        <v>294.32544967435808</v>
      </c>
      <c r="S14" s="11">
        <f t="shared" si="10"/>
        <v>318.1955856227201</v>
      </c>
      <c r="T14" s="11">
        <f t="shared" si="10"/>
        <v>347.2392967133249</v>
      </c>
      <c r="U14" s="11">
        <f t="shared" si="10"/>
        <v>356.01571198343345</v>
      </c>
      <c r="V14" s="11">
        <f t="shared" si="10"/>
        <v>140.0725473497813</v>
      </c>
      <c r="W14" s="11">
        <f t="shared" ref="W14:Y14" si="11">SUM(W15:W17)</f>
        <v>254.29495827199781</v>
      </c>
      <c r="X14" s="11">
        <f t="shared" si="11"/>
        <v>379.29139626701146</v>
      </c>
      <c r="Y14" s="11">
        <f t="shared" si="11"/>
        <v>381.23046158224923</v>
      </c>
      <c r="DA14" s="189" t="s">
        <v>199</v>
      </c>
    </row>
    <row r="15" spans="1:105" ht="11.45" customHeight="1" x14ac:dyDescent="0.25">
      <c r="A15" s="83" t="s">
        <v>27</v>
      </c>
      <c r="B15" s="84">
        <v>42.619717904496021</v>
      </c>
      <c r="C15" s="84">
        <v>40.346618553802678</v>
      </c>
      <c r="D15" s="84">
        <v>36.949896164490134</v>
      </c>
      <c r="E15" s="84">
        <v>35.363300659692982</v>
      </c>
      <c r="F15" s="84">
        <v>40.248376114673846</v>
      </c>
      <c r="G15" s="84">
        <v>38.570087640427097</v>
      </c>
      <c r="H15" s="84">
        <v>39.955996196208638</v>
      </c>
      <c r="I15" s="84">
        <v>40.686061876421924</v>
      </c>
      <c r="J15" s="84">
        <v>38.466178822785544</v>
      </c>
      <c r="K15" s="84">
        <v>42.726361149671497</v>
      </c>
      <c r="L15" s="84">
        <v>37.441329925481206</v>
      </c>
      <c r="M15" s="84">
        <v>30.977574281793189</v>
      </c>
      <c r="N15" s="84">
        <v>28.476609687503792</v>
      </c>
      <c r="O15" s="84">
        <v>25.410469440044047</v>
      </c>
      <c r="P15" s="84">
        <v>27.018264372695647</v>
      </c>
      <c r="Q15" s="84">
        <v>29.878953808414263</v>
      </c>
      <c r="R15" s="84">
        <v>31.902930643922154</v>
      </c>
      <c r="S15" s="84">
        <v>31.261155811786633</v>
      </c>
      <c r="T15" s="84">
        <v>32.813339330682609</v>
      </c>
      <c r="U15" s="84">
        <v>33.014766939507865</v>
      </c>
      <c r="V15" s="84">
        <v>20.06184708762391</v>
      </c>
      <c r="W15" s="84">
        <v>27.502452998964571</v>
      </c>
      <c r="X15" s="84">
        <v>33.156999508692209</v>
      </c>
      <c r="Y15" s="84">
        <v>32.868738745691111</v>
      </c>
      <c r="DA15" s="171" t="s">
        <v>200</v>
      </c>
    </row>
    <row r="16" spans="1:105" ht="11.45" customHeight="1" x14ac:dyDescent="0.25">
      <c r="A16" s="83" t="s">
        <v>181</v>
      </c>
      <c r="B16" s="84">
        <v>180.28460268993359</v>
      </c>
      <c r="C16" s="84">
        <v>167.72153997765332</v>
      </c>
      <c r="D16" s="84">
        <v>167.88943903261921</v>
      </c>
      <c r="E16" s="84">
        <v>173.53035399172649</v>
      </c>
      <c r="F16" s="84">
        <v>182.77534984954923</v>
      </c>
      <c r="G16" s="84">
        <v>176.90438843656915</v>
      </c>
      <c r="H16" s="84">
        <v>187.65353372211155</v>
      </c>
      <c r="I16" s="84">
        <v>196.83629979751214</v>
      </c>
      <c r="J16" s="84">
        <v>187.72885824019295</v>
      </c>
      <c r="K16" s="84">
        <v>179.24677323541601</v>
      </c>
      <c r="L16" s="84">
        <v>172.10190559196178</v>
      </c>
      <c r="M16" s="84">
        <v>176.8014343070017</v>
      </c>
      <c r="N16" s="84">
        <v>160.93663244950139</v>
      </c>
      <c r="O16" s="84">
        <v>160.96329857124709</v>
      </c>
      <c r="P16" s="84">
        <v>189.86392948849104</v>
      </c>
      <c r="Q16" s="84">
        <v>203.12025429390062</v>
      </c>
      <c r="R16" s="84">
        <v>216.51051885488269</v>
      </c>
      <c r="S16" s="84">
        <v>233.90364122229587</v>
      </c>
      <c r="T16" s="84">
        <v>257.7134642977295</v>
      </c>
      <c r="U16" s="84">
        <v>260.00565915619046</v>
      </c>
      <c r="V16" s="84">
        <v>105.53345064925416</v>
      </c>
      <c r="W16" s="84">
        <v>187.93237897585055</v>
      </c>
      <c r="X16" s="84">
        <v>298.19382082309659</v>
      </c>
      <c r="Y16" s="84">
        <v>297.64099224055616</v>
      </c>
      <c r="DA16" s="171" t="s">
        <v>201</v>
      </c>
    </row>
    <row r="17" spans="1:105" ht="11.45" customHeight="1" x14ac:dyDescent="0.25">
      <c r="A17" s="83" t="s">
        <v>182</v>
      </c>
      <c r="B17" s="84">
        <v>22.004774885091656</v>
      </c>
      <c r="C17" s="84">
        <v>20.471983335727835</v>
      </c>
      <c r="D17" s="84">
        <v>20.491385760403329</v>
      </c>
      <c r="E17" s="84">
        <v>21.177746533298833</v>
      </c>
      <c r="F17" s="84">
        <v>26.569195290000998</v>
      </c>
      <c r="G17" s="84">
        <v>26.178465129498502</v>
      </c>
      <c r="H17" s="84">
        <v>30.889251133193149</v>
      </c>
      <c r="I17" s="84">
        <v>36.270300557082351</v>
      </c>
      <c r="J17" s="84">
        <v>39.625426614768195</v>
      </c>
      <c r="K17" s="84">
        <v>35.938553634568827</v>
      </c>
      <c r="L17" s="84">
        <v>37.168655412419191</v>
      </c>
      <c r="M17" s="84">
        <v>39.438596692728282</v>
      </c>
      <c r="N17" s="84">
        <v>36.74948112315429</v>
      </c>
      <c r="O17" s="84">
        <v>43.455655697845252</v>
      </c>
      <c r="P17" s="84">
        <v>45.749952018611921</v>
      </c>
      <c r="Q17" s="84">
        <v>41.19803219199207</v>
      </c>
      <c r="R17" s="84">
        <v>45.912000175553239</v>
      </c>
      <c r="S17" s="84">
        <v>53.030788588637641</v>
      </c>
      <c r="T17" s="84">
        <v>56.712493084912815</v>
      </c>
      <c r="U17" s="84">
        <v>62.995285887735122</v>
      </c>
      <c r="V17" s="84">
        <v>14.477249612903226</v>
      </c>
      <c r="W17" s="84">
        <v>38.860126297182681</v>
      </c>
      <c r="X17" s="84">
        <v>47.940575935222668</v>
      </c>
      <c r="Y17" s="84">
        <v>50.72073059600195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5.989473488334955</v>
      </c>
      <c r="C18" s="13">
        <f t="shared" si="12"/>
        <v>6.8447394989229107</v>
      </c>
      <c r="D18" s="13">
        <f t="shared" ref="D18:V18" si="13">SUM(D19:D21)</f>
        <v>6.677303816738803</v>
      </c>
      <c r="E18" s="13">
        <f t="shared" si="13"/>
        <v>5.6754544178828024</v>
      </c>
      <c r="F18" s="13">
        <f t="shared" si="13"/>
        <v>4.1605502715834701</v>
      </c>
      <c r="G18" s="13">
        <f t="shared" si="13"/>
        <v>4.0573769985071637</v>
      </c>
      <c r="H18" s="13">
        <f t="shared" si="13"/>
        <v>4.7262463553886018</v>
      </c>
      <c r="I18" s="13">
        <f t="shared" si="13"/>
        <v>4.3844477587109036</v>
      </c>
      <c r="J18" s="13">
        <f t="shared" si="13"/>
        <v>4.5076809651944343</v>
      </c>
      <c r="K18" s="13">
        <f t="shared" si="13"/>
        <v>3.9068917294094945</v>
      </c>
      <c r="L18" s="13">
        <f t="shared" si="13"/>
        <v>3.5751077493054111</v>
      </c>
      <c r="M18" s="13">
        <f t="shared" si="13"/>
        <v>3.3693206068898562</v>
      </c>
      <c r="N18" s="13">
        <f t="shared" si="13"/>
        <v>2.9646151942449235</v>
      </c>
      <c r="O18" s="13">
        <f t="shared" si="13"/>
        <v>2.7942086737221596</v>
      </c>
      <c r="P18" s="13">
        <f t="shared" si="13"/>
        <v>2.3151978701742308</v>
      </c>
      <c r="Q18" s="13">
        <f t="shared" si="13"/>
        <v>2.2286300047101766</v>
      </c>
      <c r="R18" s="13">
        <f t="shared" si="13"/>
        <v>2.1764818942456206</v>
      </c>
      <c r="S18" s="13">
        <f t="shared" si="13"/>
        <v>2.1619487203323748</v>
      </c>
      <c r="T18" s="13">
        <f t="shared" si="13"/>
        <v>2.9987384337855825</v>
      </c>
      <c r="U18" s="13">
        <f t="shared" si="13"/>
        <v>2.9477216227993388</v>
      </c>
      <c r="V18" s="13">
        <f t="shared" si="13"/>
        <v>2.4087852504510132</v>
      </c>
      <c r="W18" s="13">
        <f t="shared" ref="W18:Y18" si="14">SUM(W19:W21)</f>
        <v>2.9327035333396867</v>
      </c>
      <c r="X18" s="13">
        <f t="shared" si="14"/>
        <v>2.8160954809559042</v>
      </c>
      <c r="Y18" s="13">
        <f t="shared" si="14"/>
        <v>2.3739330926265643</v>
      </c>
      <c r="DA18" s="193" t="s">
        <v>203</v>
      </c>
    </row>
    <row r="19" spans="1:105" ht="11.45" customHeight="1" x14ac:dyDescent="0.25">
      <c r="A19" s="92" t="s">
        <v>27</v>
      </c>
      <c r="B19" s="102">
        <v>1.3269571935606939</v>
      </c>
      <c r="C19" s="102">
        <v>1.5609856368161494</v>
      </c>
      <c r="D19" s="102">
        <v>1.4877522464096802</v>
      </c>
      <c r="E19" s="102">
        <v>1.2278533119780268</v>
      </c>
      <c r="F19" s="102">
        <v>0.73511995696058841</v>
      </c>
      <c r="G19" s="102">
        <v>0.69255107160292917</v>
      </c>
      <c r="H19" s="102">
        <v>0.71398961817039297</v>
      </c>
      <c r="I19" s="102">
        <v>0.58868089108690813</v>
      </c>
      <c r="J19" s="102">
        <v>0.63413293235413737</v>
      </c>
      <c r="K19" s="102">
        <v>0.51953658105844791</v>
      </c>
      <c r="L19" s="102">
        <v>0.44968615637860088</v>
      </c>
      <c r="M19" s="102">
        <v>0.3337003946324068</v>
      </c>
      <c r="N19" s="102">
        <v>0.2783211278920309</v>
      </c>
      <c r="O19" s="102">
        <v>0.25119385929313043</v>
      </c>
      <c r="P19" s="102">
        <v>0.16271995206712536</v>
      </c>
      <c r="Q19" s="102">
        <v>0.15594014975741979</v>
      </c>
      <c r="R19" s="102">
        <v>0.13180308629145188</v>
      </c>
      <c r="S19" s="102">
        <v>8.7720026062052162E-2</v>
      </c>
      <c r="T19" s="102">
        <v>0.164598369199731</v>
      </c>
      <c r="U19" s="102">
        <v>0.14723418482142858</v>
      </c>
      <c r="V19" s="102">
        <v>9.370210169491526E-2</v>
      </c>
      <c r="W19" s="102">
        <v>0.10164031282586027</v>
      </c>
      <c r="X19" s="102">
        <v>0.10817929991915926</v>
      </c>
      <c r="Y19" s="102">
        <v>0.11042503265940902</v>
      </c>
      <c r="DA19" s="175" t="s">
        <v>204</v>
      </c>
    </row>
    <row r="20" spans="1:105" ht="11.45" customHeight="1" x14ac:dyDescent="0.25">
      <c r="A20" s="92" t="s">
        <v>181</v>
      </c>
      <c r="B20" s="102">
        <v>4.266383241868021</v>
      </c>
      <c r="C20" s="102">
        <v>4.9005381913605071</v>
      </c>
      <c r="D20" s="102">
        <v>4.8005948408450978</v>
      </c>
      <c r="E20" s="102">
        <v>4.0198922299407913</v>
      </c>
      <c r="F20" s="102">
        <v>3.0996252312543437</v>
      </c>
      <c r="G20" s="102">
        <v>3.0482384632257182</v>
      </c>
      <c r="H20" s="102">
        <v>3.643128303570629</v>
      </c>
      <c r="I20" s="102">
        <v>3.4242209938590387</v>
      </c>
      <c r="J20" s="102">
        <v>3.4524730493341256</v>
      </c>
      <c r="K20" s="102">
        <v>3.0516540730375268</v>
      </c>
      <c r="L20" s="102">
        <v>2.9206118983813556</v>
      </c>
      <c r="M20" s="102">
        <v>2.8350240006630942</v>
      </c>
      <c r="N20" s="102">
        <v>2.5280752145442578</v>
      </c>
      <c r="O20" s="102">
        <v>2.4041774946269392</v>
      </c>
      <c r="P20" s="102">
        <v>2.03928326903891</v>
      </c>
      <c r="Q20" s="102">
        <v>1.9324789358029559</v>
      </c>
      <c r="R20" s="102">
        <v>1.8942382389001866</v>
      </c>
      <c r="S20" s="102">
        <v>1.8592233056105911</v>
      </c>
      <c r="T20" s="102">
        <v>2.4518147758992455</v>
      </c>
      <c r="U20" s="102">
        <v>2.3374685288870012</v>
      </c>
      <c r="V20" s="102">
        <v>2.0403928383534136</v>
      </c>
      <c r="W20" s="102">
        <v>2.1942366060559952</v>
      </c>
      <c r="X20" s="102">
        <v>2.0481871342140026</v>
      </c>
      <c r="Y20" s="102">
        <v>1.750676858887533</v>
      </c>
      <c r="DA20" s="175" t="s">
        <v>205</v>
      </c>
    </row>
    <row r="21" spans="1:105" ht="11.45" customHeight="1" x14ac:dyDescent="0.25">
      <c r="A21" s="85" t="s">
        <v>182</v>
      </c>
      <c r="B21" s="86">
        <v>0.39613305290624007</v>
      </c>
      <c r="C21" s="86">
        <v>0.3832156707462539</v>
      </c>
      <c r="D21" s="86">
        <v>0.38895672948402554</v>
      </c>
      <c r="E21" s="86">
        <v>0.42770887596398383</v>
      </c>
      <c r="F21" s="86">
        <v>0.32580508336853803</v>
      </c>
      <c r="G21" s="86">
        <v>0.31658746367851626</v>
      </c>
      <c r="H21" s="86">
        <v>0.36912843364757969</v>
      </c>
      <c r="I21" s="86">
        <v>0.37154587376495624</v>
      </c>
      <c r="J21" s="86">
        <v>0.4210749835061714</v>
      </c>
      <c r="K21" s="86">
        <v>0.33570107531351967</v>
      </c>
      <c r="L21" s="86">
        <v>0.20480969454545453</v>
      </c>
      <c r="M21" s="86">
        <v>0.20059621159435556</v>
      </c>
      <c r="N21" s="86">
        <v>0.15821885180863476</v>
      </c>
      <c r="O21" s="86">
        <v>0.13883731980208963</v>
      </c>
      <c r="P21" s="86">
        <v>0.11319464906819585</v>
      </c>
      <c r="Q21" s="86">
        <v>0.14021091914980074</v>
      </c>
      <c r="R21" s="86">
        <v>0.1504405690539824</v>
      </c>
      <c r="S21" s="86">
        <v>0.21500538865973171</v>
      </c>
      <c r="T21" s="86">
        <v>0.38232528868660598</v>
      </c>
      <c r="U21" s="86">
        <v>0.46301890909090904</v>
      </c>
      <c r="V21" s="86">
        <v>0.27469031040268449</v>
      </c>
      <c r="W21" s="86">
        <v>0.63682661445783129</v>
      </c>
      <c r="X21" s="86">
        <v>0.65972904682274247</v>
      </c>
      <c r="Y21" s="86">
        <v>0.5128312010796221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211010</v>
      </c>
      <c r="C23" s="54">
        <f t="shared" si="15"/>
        <v>199355</v>
      </c>
      <c r="D23" s="54">
        <f t="shared" ref="D23:V23" si="16">SUM(D24,D28)</f>
        <v>190676</v>
      </c>
      <c r="E23" s="54">
        <f t="shared" si="16"/>
        <v>188740</v>
      </c>
      <c r="F23" s="54">
        <f t="shared" si="16"/>
        <v>206565</v>
      </c>
      <c r="G23" s="54">
        <f t="shared" si="16"/>
        <v>201213</v>
      </c>
      <c r="H23" s="54">
        <f t="shared" si="16"/>
        <v>212593</v>
      </c>
      <c r="I23" s="54">
        <f t="shared" si="16"/>
        <v>223070</v>
      </c>
      <c r="J23" s="54">
        <f t="shared" si="16"/>
        <v>213902</v>
      </c>
      <c r="K23" s="54">
        <f t="shared" si="16"/>
        <v>222272</v>
      </c>
      <c r="L23" s="54">
        <f t="shared" si="16"/>
        <v>206866</v>
      </c>
      <c r="M23" s="54">
        <f t="shared" si="16"/>
        <v>200376</v>
      </c>
      <c r="N23" s="54">
        <f t="shared" si="16"/>
        <v>187471</v>
      </c>
      <c r="O23" s="54">
        <f t="shared" si="16"/>
        <v>182147</v>
      </c>
      <c r="P23" s="54">
        <f t="shared" si="16"/>
        <v>201802</v>
      </c>
      <c r="Q23" s="54">
        <f t="shared" si="16"/>
        <v>215777</v>
      </c>
      <c r="R23" s="54">
        <f t="shared" si="16"/>
        <v>228383</v>
      </c>
      <c r="S23" s="54">
        <f t="shared" si="16"/>
        <v>239288</v>
      </c>
      <c r="T23" s="54">
        <f t="shared" si="16"/>
        <v>257802</v>
      </c>
      <c r="U23" s="54">
        <f t="shared" si="16"/>
        <v>263038</v>
      </c>
      <c r="V23" s="54">
        <f t="shared" si="16"/>
        <v>127301</v>
      </c>
      <c r="W23" s="54">
        <f t="shared" ref="W23:Y23" si="17">SUM(W24,W28)</f>
        <v>201731</v>
      </c>
      <c r="X23" s="54">
        <f t="shared" si="17"/>
        <v>273899</v>
      </c>
      <c r="Y23" s="54">
        <f t="shared" si="17"/>
        <v>276214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205270</v>
      </c>
      <c r="C24" s="11">
        <f t="shared" si="18"/>
        <v>192718</v>
      </c>
      <c r="D24" s="11">
        <f t="shared" ref="D24:V24" si="19">SUM(D25:D27)</f>
        <v>184269</v>
      </c>
      <c r="E24" s="11">
        <f t="shared" si="19"/>
        <v>183349</v>
      </c>
      <c r="F24" s="11">
        <f t="shared" si="19"/>
        <v>202920</v>
      </c>
      <c r="G24" s="11">
        <f t="shared" si="19"/>
        <v>197667</v>
      </c>
      <c r="H24" s="11">
        <f t="shared" si="19"/>
        <v>208698</v>
      </c>
      <c r="I24" s="11">
        <f t="shared" si="19"/>
        <v>219520</v>
      </c>
      <c r="J24" s="11">
        <f t="shared" si="19"/>
        <v>210177</v>
      </c>
      <c r="K24" s="11">
        <f t="shared" si="19"/>
        <v>219010</v>
      </c>
      <c r="L24" s="11">
        <f t="shared" si="19"/>
        <v>203915</v>
      </c>
      <c r="M24" s="11">
        <f t="shared" si="19"/>
        <v>197780</v>
      </c>
      <c r="N24" s="11">
        <f t="shared" si="19"/>
        <v>185239</v>
      </c>
      <c r="O24" s="11">
        <f t="shared" si="19"/>
        <v>180059</v>
      </c>
      <c r="P24" s="11">
        <f t="shared" si="19"/>
        <v>200177</v>
      </c>
      <c r="Q24" s="11">
        <f t="shared" si="19"/>
        <v>214151</v>
      </c>
      <c r="R24" s="11">
        <f t="shared" si="19"/>
        <v>226846</v>
      </c>
      <c r="S24" s="11">
        <f t="shared" si="19"/>
        <v>237821</v>
      </c>
      <c r="T24" s="11">
        <f t="shared" si="19"/>
        <v>255638</v>
      </c>
      <c r="U24" s="11">
        <f t="shared" si="19"/>
        <v>260846</v>
      </c>
      <c r="V24" s="11">
        <f t="shared" si="19"/>
        <v>125359</v>
      </c>
      <c r="W24" s="11">
        <f t="shared" ref="W24:Y24" si="20">SUM(W25:W27)</f>
        <v>199270</v>
      </c>
      <c r="X24" s="11">
        <f t="shared" si="20"/>
        <v>271464</v>
      </c>
      <c r="Y24" s="11">
        <f t="shared" si="20"/>
        <v>274224</v>
      </c>
      <c r="DA24" s="189" t="s">
        <v>208</v>
      </c>
    </row>
    <row r="25" spans="1:105" ht="11.45" customHeight="1" x14ac:dyDescent="0.25">
      <c r="A25" s="83" t="s">
        <v>27</v>
      </c>
      <c r="B25" s="84">
        <v>107154</v>
      </c>
      <c r="C25" s="84">
        <v>101439</v>
      </c>
      <c r="D25" s="84">
        <v>92899</v>
      </c>
      <c r="E25" s="84">
        <v>88910</v>
      </c>
      <c r="F25" s="84">
        <v>101192</v>
      </c>
      <c r="G25" s="84">
        <v>97918</v>
      </c>
      <c r="H25" s="84">
        <v>102453</v>
      </c>
      <c r="I25" s="84">
        <v>105724</v>
      </c>
      <c r="J25" s="84">
        <v>99441</v>
      </c>
      <c r="K25" s="84">
        <v>112987</v>
      </c>
      <c r="L25" s="84">
        <v>100952</v>
      </c>
      <c r="M25" s="84">
        <v>90611</v>
      </c>
      <c r="N25" s="84">
        <v>85710</v>
      </c>
      <c r="O25" s="84">
        <v>78441</v>
      </c>
      <c r="P25" s="84">
        <v>82928</v>
      </c>
      <c r="Q25" s="84">
        <v>90971</v>
      </c>
      <c r="R25" s="84">
        <v>95505</v>
      </c>
      <c r="S25" s="84">
        <v>96297</v>
      </c>
      <c r="T25" s="84">
        <v>101107</v>
      </c>
      <c r="U25" s="84">
        <v>103039</v>
      </c>
      <c r="V25" s="84">
        <v>63813</v>
      </c>
      <c r="W25" s="84">
        <v>87251</v>
      </c>
      <c r="X25" s="84">
        <v>105060</v>
      </c>
      <c r="Y25" s="84">
        <v>105307</v>
      </c>
      <c r="DA25" s="171" t="s">
        <v>209</v>
      </c>
    </row>
    <row r="26" spans="1:105" ht="11.45" customHeight="1" x14ac:dyDescent="0.25">
      <c r="A26" s="83" t="s">
        <v>181</v>
      </c>
      <c r="B26" s="84">
        <v>89043</v>
      </c>
      <c r="C26" s="84">
        <v>82838</v>
      </c>
      <c r="D26" s="84">
        <v>82921</v>
      </c>
      <c r="E26" s="84">
        <v>85707</v>
      </c>
      <c r="F26" s="84">
        <v>90773</v>
      </c>
      <c r="G26" s="84">
        <v>88659</v>
      </c>
      <c r="H26" s="84">
        <v>93950</v>
      </c>
      <c r="I26" s="84">
        <v>99766</v>
      </c>
      <c r="J26" s="84">
        <v>95510</v>
      </c>
      <c r="K26" s="84">
        <v>91154</v>
      </c>
      <c r="L26" s="84">
        <v>86808</v>
      </c>
      <c r="M26" s="84">
        <v>89250</v>
      </c>
      <c r="N26" s="84">
        <v>80946</v>
      </c>
      <c r="O26" s="84">
        <v>79904</v>
      </c>
      <c r="P26" s="84">
        <v>94347</v>
      </c>
      <c r="Q26" s="84">
        <v>101551</v>
      </c>
      <c r="R26" s="84">
        <v>108248</v>
      </c>
      <c r="S26" s="84">
        <v>116427</v>
      </c>
      <c r="T26" s="84">
        <v>128569</v>
      </c>
      <c r="U26" s="84">
        <v>129628</v>
      </c>
      <c r="V26" s="84">
        <v>54559</v>
      </c>
      <c r="W26" s="84">
        <v>96448</v>
      </c>
      <c r="X26" s="84">
        <v>146548</v>
      </c>
      <c r="Y26" s="84">
        <v>146975</v>
      </c>
      <c r="DA26" s="171" t="s">
        <v>210</v>
      </c>
    </row>
    <row r="27" spans="1:105" ht="11.45" customHeight="1" x14ac:dyDescent="0.25">
      <c r="A27" s="83" t="s">
        <v>182</v>
      </c>
      <c r="B27" s="84">
        <v>9073</v>
      </c>
      <c r="C27" s="84">
        <v>8441</v>
      </c>
      <c r="D27" s="84">
        <v>8449</v>
      </c>
      <c r="E27" s="84">
        <v>8732</v>
      </c>
      <c r="F27" s="84">
        <v>10955</v>
      </c>
      <c r="G27" s="84">
        <v>11090</v>
      </c>
      <c r="H27" s="84">
        <v>12295</v>
      </c>
      <c r="I27" s="84">
        <v>14030</v>
      </c>
      <c r="J27" s="84">
        <v>15226</v>
      </c>
      <c r="K27" s="84">
        <v>14869</v>
      </c>
      <c r="L27" s="84">
        <v>16155</v>
      </c>
      <c r="M27" s="84">
        <v>17919</v>
      </c>
      <c r="N27" s="84">
        <v>18583</v>
      </c>
      <c r="O27" s="84">
        <v>21714</v>
      </c>
      <c r="P27" s="84">
        <v>22902</v>
      </c>
      <c r="Q27" s="84">
        <v>21629</v>
      </c>
      <c r="R27" s="84">
        <v>23093</v>
      </c>
      <c r="S27" s="84">
        <v>25097</v>
      </c>
      <c r="T27" s="84">
        <v>25962</v>
      </c>
      <c r="U27" s="84">
        <v>28179</v>
      </c>
      <c r="V27" s="84">
        <v>6987</v>
      </c>
      <c r="W27" s="84">
        <v>15571</v>
      </c>
      <c r="X27" s="84">
        <v>19856</v>
      </c>
      <c r="Y27" s="84">
        <v>21942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5740</v>
      </c>
      <c r="C28" s="13">
        <f t="shared" si="21"/>
        <v>6637</v>
      </c>
      <c r="D28" s="13">
        <f t="shared" ref="D28:V28" si="22">SUM(D29:D31)</f>
        <v>6407</v>
      </c>
      <c r="E28" s="13">
        <f t="shared" si="22"/>
        <v>5391</v>
      </c>
      <c r="F28" s="13">
        <f t="shared" si="22"/>
        <v>3645</v>
      </c>
      <c r="G28" s="13">
        <f t="shared" si="22"/>
        <v>3546</v>
      </c>
      <c r="H28" s="13">
        <f t="shared" si="22"/>
        <v>3895</v>
      </c>
      <c r="I28" s="13">
        <f t="shared" si="22"/>
        <v>3550</v>
      </c>
      <c r="J28" s="13">
        <f t="shared" si="22"/>
        <v>3725</v>
      </c>
      <c r="K28" s="13">
        <f t="shared" si="22"/>
        <v>3262</v>
      </c>
      <c r="L28" s="13">
        <f t="shared" si="22"/>
        <v>2951</v>
      </c>
      <c r="M28" s="13">
        <f t="shared" si="22"/>
        <v>2596</v>
      </c>
      <c r="N28" s="13">
        <f t="shared" si="22"/>
        <v>2232</v>
      </c>
      <c r="O28" s="13">
        <f t="shared" si="22"/>
        <v>2088</v>
      </c>
      <c r="P28" s="13">
        <f t="shared" si="22"/>
        <v>1625</v>
      </c>
      <c r="Q28" s="13">
        <f t="shared" si="22"/>
        <v>1626</v>
      </c>
      <c r="R28" s="13">
        <f t="shared" si="22"/>
        <v>1537</v>
      </c>
      <c r="S28" s="13">
        <f t="shared" si="22"/>
        <v>1467</v>
      </c>
      <c r="T28" s="13">
        <f t="shared" si="22"/>
        <v>2164</v>
      </c>
      <c r="U28" s="13">
        <f t="shared" si="22"/>
        <v>2192</v>
      </c>
      <c r="V28" s="13">
        <f t="shared" si="22"/>
        <v>1942</v>
      </c>
      <c r="W28" s="13">
        <f t="shared" ref="W28:Y28" si="23">SUM(W29:W31)</f>
        <v>2461</v>
      </c>
      <c r="X28" s="13">
        <f t="shared" si="23"/>
        <v>2435</v>
      </c>
      <c r="Y28" s="13">
        <f t="shared" si="23"/>
        <v>1990</v>
      </c>
      <c r="DA28" s="193" t="s">
        <v>212</v>
      </c>
    </row>
    <row r="29" spans="1:105" ht="11.45" customHeight="1" x14ac:dyDescent="0.25">
      <c r="A29" s="92" t="s">
        <v>27</v>
      </c>
      <c r="B29" s="102">
        <v>3334</v>
      </c>
      <c r="C29" s="102">
        <v>3922</v>
      </c>
      <c r="D29" s="102">
        <v>3738</v>
      </c>
      <c r="E29" s="102">
        <v>3085</v>
      </c>
      <c r="F29" s="102">
        <v>1847</v>
      </c>
      <c r="G29" s="102">
        <v>1757</v>
      </c>
      <c r="H29" s="102">
        <v>1825</v>
      </c>
      <c r="I29" s="102">
        <v>1521</v>
      </c>
      <c r="J29" s="102">
        <v>1626</v>
      </c>
      <c r="K29" s="102">
        <v>1359</v>
      </c>
      <c r="L29" s="102">
        <v>1196</v>
      </c>
      <c r="M29" s="102">
        <v>927</v>
      </c>
      <c r="N29" s="102">
        <v>766</v>
      </c>
      <c r="O29" s="102">
        <v>706</v>
      </c>
      <c r="P29" s="102">
        <v>454</v>
      </c>
      <c r="Q29" s="102">
        <v>431</v>
      </c>
      <c r="R29" s="102">
        <v>358</v>
      </c>
      <c r="S29" s="102">
        <v>244</v>
      </c>
      <c r="T29" s="102">
        <v>457</v>
      </c>
      <c r="U29" s="102">
        <v>397</v>
      </c>
      <c r="V29" s="102">
        <v>258</v>
      </c>
      <c r="W29" s="102">
        <v>290</v>
      </c>
      <c r="X29" s="102">
        <v>298</v>
      </c>
      <c r="Y29" s="102">
        <v>312</v>
      </c>
      <c r="DA29" s="175" t="s">
        <v>213</v>
      </c>
    </row>
    <row r="30" spans="1:105" ht="11.45" customHeight="1" x14ac:dyDescent="0.25">
      <c r="A30" s="92" t="s">
        <v>181</v>
      </c>
      <c r="B30" s="102">
        <v>2130</v>
      </c>
      <c r="C30" s="102">
        <v>2448</v>
      </c>
      <c r="D30" s="102">
        <v>2398</v>
      </c>
      <c r="E30" s="102">
        <v>2008</v>
      </c>
      <c r="F30" s="102">
        <v>1571</v>
      </c>
      <c r="G30" s="102">
        <v>1558</v>
      </c>
      <c r="H30" s="102">
        <v>1817</v>
      </c>
      <c r="I30" s="102">
        <v>1776</v>
      </c>
      <c r="J30" s="102">
        <v>1803</v>
      </c>
      <c r="K30" s="102">
        <v>1617</v>
      </c>
      <c r="L30" s="102">
        <v>1549</v>
      </c>
      <c r="M30" s="102">
        <v>1478</v>
      </c>
      <c r="N30" s="102">
        <v>1305</v>
      </c>
      <c r="O30" s="102">
        <v>1241</v>
      </c>
      <c r="P30" s="102">
        <v>1053</v>
      </c>
      <c r="Q30" s="102">
        <v>1029</v>
      </c>
      <c r="R30" s="102">
        <v>1013</v>
      </c>
      <c r="S30" s="102">
        <v>1010</v>
      </c>
      <c r="T30" s="102">
        <v>1346</v>
      </c>
      <c r="U30" s="102">
        <v>1417</v>
      </c>
      <c r="V30" s="102">
        <v>1427</v>
      </c>
      <c r="W30" s="102">
        <v>1539</v>
      </c>
      <c r="X30" s="102">
        <v>1367</v>
      </c>
      <c r="Y30" s="102">
        <v>1142</v>
      </c>
      <c r="DA30" s="175" t="s">
        <v>214</v>
      </c>
    </row>
    <row r="31" spans="1:105" ht="11.45" customHeight="1" x14ac:dyDescent="0.25">
      <c r="A31" s="85" t="s">
        <v>182</v>
      </c>
      <c r="B31" s="86">
        <v>276</v>
      </c>
      <c r="C31" s="86">
        <v>267</v>
      </c>
      <c r="D31" s="86">
        <v>271</v>
      </c>
      <c r="E31" s="86">
        <v>298</v>
      </c>
      <c r="F31" s="86">
        <v>227</v>
      </c>
      <c r="G31" s="86">
        <v>231</v>
      </c>
      <c r="H31" s="86">
        <v>253</v>
      </c>
      <c r="I31" s="86">
        <v>253</v>
      </c>
      <c r="J31" s="86">
        <v>296</v>
      </c>
      <c r="K31" s="86">
        <v>286</v>
      </c>
      <c r="L31" s="86">
        <v>206</v>
      </c>
      <c r="M31" s="86">
        <v>191</v>
      </c>
      <c r="N31" s="86">
        <v>161</v>
      </c>
      <c r="O31" s="86">
        <v>141</v>
      </c>
      <c r="P31" s="86">
        <v>118</v>
      </c>
      <c r="Q31" s="86">
        <v>166</v>
      </c>
      <c r="R31" s="86">
        <v>166</v>
      </c>
      <c r="S31" s="86">
        <v>213</v>
      </c>
      <c r="T31" s="86">
        <v>361</v>
      </c>
      <c r="U31" s="86">
        <v>378</v>
      </c>
      <c r="V31" s="86">
        <v>257</v>
      </c>
      <c r="W31" s="86">
        <v>632</v>
      </c>
      <c r="X31" s="86">
        <v>770</v>
      </c>
      <c r="Y31" s="86">
        <v>536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17787459</v>
      </c>
      <c r="C34" s="11">
        <f t="shared" si="24"/>
        <v>16725229</v>
      </c>
      <c r="D34" s="11">
        <f t="shared" ref="D34:V34" si="25">SUM(D35:D37)</f>
        <v>16355089</v>
      </c>
      <c r="E34" s="11">
        <f t="shared" si="25"/>
        <v>16603552</v>
      </c>
      <c r="F34" s="11">
        <f t="shared" si="25"/>
        <v>18335329</v>
      </c>
      <c r="G34" s="11">
        <f t="shared" si="25"/>
        <v>19066797</v>
      </c>
      <c r="H34" s="11">
        <f t="shared" si="25"/>
        <v>20276853</v>
      </c>
      <c r="I34" s="11">
        <f t="shared" si="25"/>
        <v>21567460</v>
      </c>
      <c r="J34" s="11">
        <f t="shared" si="25"/>
        <v>21148278</v>
      </c>
      <c r="K34" s="11">
        <f t="shared" si="25"/>
        <v>20459783</v>
      </c>
      <c r="L34" s="11">
        <f t="shared" si="25"/>
        <v>19716093</v>
      </c>
      <c r="M34" s="11">
        <f t="shared" si="25"/>
        <v>19988741</v>
      </c>
      <c r="N34" s="11">
        <f t="shared" si="25"/>
        <v>18906170</v>
      </c>
      <c r="O34" s="11">
        <f t="shared" si="25"/>
        <v>19744352</v>
      </c>
      <c r="P34" s="11">
        <f t="shared" si="25"/>
        <v>22798238</v>
      </c>
      <c r="Q34" s="11">
        <f t="shared" si="25"/>
        <v>24900953</v>
      </c>
      <c r="R34" s="11">
        <f t="shared" si="25"/>
        <v>26880204</v>
      </c>
      <c r="S34" s="11">
        <f t="shared" si="25"/>
        <v>29324685</v>
      </c>
      <c r="T34" s="11">
        <f t="shared" si="25"/>
        <v>31474358</v>
      </c>
      <c r="U34" s="11">
        <f t="shared" si="25"/>
        <v>32449631</v>
      </c>
      <c r="V34" s="11">
        <f t="shared" si="25"/>
        <v>10880352</v>
      </c>
      <c r="W34" s="11">
        <f t="shared" ref="W34:Y34" si="26">SUM(W35:W37)</f>
        <v>19448013</v>
      </c>
      <c r="X34" s="11">
        <f t="shared" si="26"/>
        <v>34132191</v>
      </c>
      <c r="Y34" s="11">
        <f t="shared" si="26"/>
        <v>36623802</v>
      </c>
      <c r="DA34" s="189" t="s">
        <v>216</v>
      </c>
    </row>
    <row r="35" spans="1:105" ht="11.45" customHeight="1" x14ac:dyDescent="0.25">
      <c r="A35" s="83" t="s">
        <v>27</v>
      </c>
      <c r="B35" s="84">
        <v>5861965</v>
      </c>
      <c r="C35" s="84">
        <v>5586829</v>
      </c>
      <c r="D35" s="84">
        <v>5150129</v>
      </c>
      <c r="E35" s="84">
        <v>4954655</v>
      </c>
      <c r="F35" s="84">
        <v>5764873</v>
      </c>
      <c r="G35" s="84">
        <v>5946950</v>
      </c>
      <c r="H35" s="84">
        <v>6314245</v>
      </c>
      <c r="I35" s="84">
        <v>6853491</v>
      </c>
      <c r="J35" s="84">
        <v>6718412</v>
      </c>
      <c r="K35" s="84">
        <v>6994121</v>
      </c>
      <c r="L35" s="84">
        <v>6361903</v>
      </c>
      <c r="M35" s="84">
        <v>5726913</v>
      </c>
      <c r="N35" s="84">
        <v>5299188</v>
      </c>
      <c r="O35" s="84">
        <v>5157477</v>
      </c>
      <c r="P35" s="84">
        <v>6232660</v>
      </c>
      <c r="Q35" s="84">
        <v>7444693</v>
      </c>
      <c r="R35" s="84">
        <v>8144685</v>
      </c>
      <c r="S35" s="84">
        <v>8307366</v>
      </c>
      <c r="T35" s="84">
        <v>8519310</v>
      </c>
      <c r="U35" s="84">
        <v>8542877</v>
      </c>
      <c r="V35" s="84">
        <v>3792523</v>
      </c>
      <c r="W35" s="84">
        <v>5753415</v>
      </c>
      <c r="X35" s="84">
        <v>9016631</v>
      </c>
      <c r="Y35" s="84">
        <v>9629044</v>
      </c>
      <c r="DA35" s="171" t="s">
        <v>217</v>
      </c>
    </row>
    <row r="36" spans="1:105" ht="11.45" customHeight="1" x14ac:dyDescent="0.25">
      <c r="A36" s="83" t="s">
        <v>181</v>
      </c>
      <c r="B36" s="84">
        <v>11039818</v>
      </c>
      <c r="C36" s="84">
        <v>10310288</v>
      </c>
      <c r="D36" s="84">
        <v>10370842</v>
      </c>
      <c r="E36" s="84">
        <v>10780261</v>
      </c>
      <c r="F36" s="84">
        <v>11536016</v>
      </c>
      <c r="G36" s="84">
        <v>11958662</v>
      </c>
      <c r="H36" s="84">
        <v>12638666</v>
      </c>
      <c r="I36" s="84">
        <v>13204072</v>
      </c>
      <c r="J36" s="84">
        <v>12788533</v>
      </c>
      <c r="K36" s="84">
        <v>11963010</v>
      </c>
      <c r="L36" s="84">
        <v>11580377</v>
      </c>
      <c r="M36" s="84">
        <v>12219710</v>
      </c>
      <c r="N36" s="84">
        <v>11422917</v>
      </c>
      <c r="O36" s="84">
        <v>11738413</v>
      </c>
      <c r="P36" s="84">
        <v>13632031</v>
      </c>
      <c r="Q36" s="84">
        <v>14834479</v>
      </c>
      <c r="R36" s="84">
        <v>15884090</v>
      </c>
      <c r="S36" s="84">
        <v>17717753</v>
      </c>
      <c r="T36" s="84">
        <v>19400608</v>
      </c>
      <c r="U36" s="84">
        <v>19993562</v>
      </c>
      <c r="V36" s="84">
        <v>6506148</v>
      </c>
      <c r="W36" s="84">
        <v>12049254</v>
      </c>
      <c r="X36" s="84">
        <v>22102363</v>
      </c>
      <c r="Y36" s="84">
        <v>23460108</v>
      </c>
      <c r="DA36" s="171" t="s">
        <v>218</v>
      </c>
    </row>
    <row r="37" spans="1:105" ht="11.45" customHeight="1" x14ac:dyDescent="0.25">
      <c r="A37" s="83" t="s">
        <v>182</v>
      </c>
      <c r="B37" s="84">
        <v>885676</v>
      </c>
      <c r="C37" s="84">
        <v>828112</v>
      </c>
      <c r="D37" s="84">
        <v>834118</v>
      </c>
      <c r="E37" s="84">
        <v>868636</v>
      </c>
      <c r="F37" s="84">
        <v>1034440</v>
      </c>
      <c r="G37" s="84">
        <v>1161185</v>
      </c>
      <c r="H37" s="84">
        <v>1323942</v>
      </c>
      <c r="I37" s="84">
        <v>1509897</v>
      </c>
      <c r="J37" s="84">
        <v>1641333</v>
      </c>
      <c r="K37" s="84">
        <v>1502652</v>
      </c>
      <c r="L37" s="84">
        <v>1773813</v>
      </c>
      <c r="M37" s="84">
        <v>2042118</v>
      </c>
      <c r="N37" s="84">
        <v>2184065</v>
      </c>
      <c r="O37" s="84">
        <v>2848462</v>
      </c>
      <c r="P37" s="84">
        <v>2933547</v>
      </c>
      <c r="Q37" s="84">
        <v>2621781</v>
      </c>
      <c r="R37" s="84">
        <v>2851429</v>
      </c>
      <c r="S37" s="84">
        <v>3299566</v>
      </c>
      <c r="T37" s="84">
        <v>3554440</v>
      </c>
      <c r="U37" s="84">
        <v>3913192</v>
      </c>
      <c r="V37" s="84">
        <v>581681</v>
      </c>
      <c r="W37" s="84">
        <v>1645344</v>
      </c>
      <c r="X37" s="84">
        <v>3013197</v>
      </c>
      <c r="Y37" s="84">
        <v>3534650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82245.238348818792</v>
      </c>
      <c r="C38" s="13">
        <f t="shared" si="27"/>
        <v>93412.872622756739</v>
      </c>
      <c r="D38" s="13">
        <f t="shared" ref="D38:V38" si="28">SUM(D39:D41)</f>
        <v>91814.9563878505</v>
      </c>
      <c r="E38" s="13">
        <f t="shared" si="28"/>
        <v>82666.835811637109</v>
      </c>
      <c r="F38" s="13">
        <f t="shared" si="28"/>
        <v>55072.194026059384</v>
      </c>
      <c r="G38" s="13">
        <f t="shared" si="28"/>
        <v>51515.608669515583</v>
      </c>
      <c r="H38" s="13">
        <f t="shared" si="28"/>
        <v>54497.794449071516</v>
      </c>
      <c r="I38" s="13">
        <f t="shared" si="28"/>
        <v>50531.95556588225</v>
      </c>
      <c r="J38" s="13">
        <f t="shared" si="28"/>
        <v>53037.448056230598</v>
      </c>
      <c r="K38" s="13">
        <f t="shared" si="28"/>
        <v>49093.944652213664</v>
      </c>
      <c r="L38" s="13">
        <f t="shared" si="28"/>
        <v>45215.989412263465</v>
      </c>
      <c r="M38" s="13">
        <f t="shared" si="28"/>
        <v>43665.673952009594</v>
      </c>
      <c r="N38" s="13">
        <f t="shared" si="28"/>
        <v>39836.866205574217</v>
      </c>
      <c r="O38" s="13">
        <f t="shared" si="28"/>
        <v>37307.826844457217</v>
      </c>
      <c r="P38" s="13">
        <f t="shared" si="28"/>
        <v>33111.386948392057</v>
      </c>
      <c r="Q38" s="13">
        <f t="shared" si="28"/>
        <v>35719.921097701583</v>
      </c>
      <c r="R38" s="13">
        <f t="shared" si="28"/>
        <v>38773.885567909907</v>
      </c>
      <c r="S38" s="13">
        <f t="shared" si="28"/>
        <v>38614.851099866923</v>
      </c>
      <c r="T38" s="13">
        <f t="shared" si="28"/>
        <v>58973.961409254945</v>
      </c>
      <c r="U38" s="13">
        <f t="shared" si="28"/>
        <v>62694.31127002374</v>
      </c>
      <c r="V38" s="13">
        <f t="shared" si="28"/>
        <v>41916.670477375046</v>
      </c>
      <c r="W38" s="13">
        <f t="shared" ref="W38:Y38" si="29">SUM(W39:W41)</f>
        <v>65485.380031982539</v>
      </c>
      <c r="X38" s="13">
        <f t="shared" si="29"/>
        <v>75483.70101416792</v>
      </c>
      <c r="Y38" s="13">
        <f t="shared" si="29"/>
        <v>58940.830053293605</v>
      </c>
      <c r="DA38" s="193" t="s">
        <v>220</v>
      </c>
    </row>
    <row r="39" spans="1:105" ht="11.45" customHeight="1" x14ac:dyDescent="0.25">
      <c r="A39" s="92" t="s">
        <v>27</v>
      </c>
      <c r="B39" s="102">
        <v>33417.630727769712</v>
      </c>
      <c r="C39" s="102">
        <v>39011.523825363845</v>
      </c>
      <c r="D39" s="102">
        <v>38234.57716547911</v>
      </c>
      <c r="E39" s="102">
        <v>33565.140588172639</v>
      </c>
      <c r="F39" s="102">
        <v>18923.052865040358</v>
      </c>
      <c r="G39" s="102">
        <v>17616.361186161805</v>
      </c>
      <c r="H39" s="102">
        <v>17600.839347091605</v>
      </c>
      <c r="I39" s="102">
        <v>14614.508042668987</v>
      </c>
      <c r="J39" s="102">
        <v>15031.157329500373</v>
      </c>
      <c r="K39" s="102">
        <v>12671.451674264719</v>
      </c>
      <c r="L39" s="102">
        <v>11927.341126474881</v>
      </c>
      <c r="M39" s="102">
        <v>10100.070302199103</v>
      </c>
      <c r="N39" s="102">
        <v>8572.5596452347327</v>
      </c>
      <c r="O39" s="102">
        <v>8099.6602296496822</v>
      </c>
      <c r="P39" s="102">
        <v>5841.6620605942344</v>
      </c>
      <c r="Q39" s="102">
        <v>5706.5687055090812</v>
      </c>
      <c r="R39" s="102">
        <v>5463.5186230956933</v>
      </c>
      <c r="S39" s="102">
        <v>3425.1273770050229</v>
      </c>
      <c r="T39" s="102">
        <v>6529.5112074899607</v>
      </c>
      <c r="U39" s="102">
        <v>6273.9532871879028</v>
      </c>
      <c r="V39" s="102">
        <v>3757.9117926568833</v>
      </c>
      <c r="W39" s="102">
        <v>4272.8273532767626</v>
      </c>
      <c r="X39" s="102">
        <v>4441.1338509129819</v>
      </c>
      <c r="Y39" s="102">
        <v>4614.8992430489798</v>
      </c>
      <c r="DA39" s="175" t="s">
        <v>221</v>
      </c>
    </row>
    <row r="40" spans="1:105" ht="11.45" customHeight="1" x14ac:dyDescent="0.25">
      <c r="A40" s="92" t="s">
        <v>181</v>
      </c>
      <c r="B40" s="102">
        <v>34437.430540369256</v>
      </c>
      <c r="C40" s="102">
        <v>40018.757798040366</v>
      </c>
      <c r="D40" s="102">
        <v>39243.615156313084</v>
      </c>
      <c r="E40" s="102">
        <v>34581.166928035876</v>
      </c>
      <c r="F40" s="102">
        <v>25239.60309254704</v>
      </c>
      <c r="G40" s="102">
        <v>23685.457442919513</v>
      </c>
      <c r="H40" s="102">
        <v>25470.429529397617</v>
      </c>
      <c r="I40" s="102">
        <v>24485.434521856565</v>
      </c>
      <c r="J40" s="102">
        <v>24712.00727671924</v>
      </c>
      <c r="K40" s="102">
        <v>22151.112009208617</v>
      </c>
      <c r="L40" s="102">
        <v>22467.89560535441</v>
      </c>
      <c r="M40" s="102">
        <v>23047.918663958</v>
      </c>
      <c r="N40" s="102">
        <v>21752.095540332804</v>
      </c>
      <c r="O40" s="102">
        <v>20795.445172048188</v>
      </c>
      <c r="P40" s="102">
        <v>19427.231550633725</v>
      </c>
      <c r="Q40" s="102">
        <v>19013.457148689904</v>
      </c>
      <c r="R40" s="102">
        <v>21118.942355262356</v>
      </c>
      <c r="S40" s="102">
        <v>19571.300436927748</v>
      </c>
      <c r="T40" s="102">
        <v>25877.470770231073</v>
      </c>
      <c r="U40" s="102">
        <v>27918.582241184482</v>
      </c>
      <c r="V40" s="102">
        <v>25173.002225375425</v>
      </c>
      <c r="W40" s="102">
        <v>27345.561067668015</v>
      </c>
      <c r="X40" s="102">
        <v>24456.278135902783</v>
      </c>
      <c r="Y40" s="102">
        <v>20521.782531897363</v>
      </c>
      <c r="DA40" s="175" t="s">
        <v>222</v>
      </c>
    </row>
    <row r="41" spans="1:105" ht="11.45" customHeight="1" x14ac:dyDescent="0.25">
      <c r="A41" s="85" t="s">
        <v>182</v>
      </c>
      <c r="B41" s="86">
        <v>14390.177080679836</v>
      </c>
      <c r="C41" s="86">
        <v>14382.590999352524</v>
      </c>
      <c r="D41" s="86">
        <v>14336.764066058318</v>
      </c>
      <c r="E41" s="86">
        <v>14520.528295428592</v>
      </c>
      <c r="F41" s="86">
        <v>10909.538068471988</v>
      </c>
      <c r="G41" s="86">
        <v>10213.790040434269</v>
      </c>
      <c r="H41" s="86">
        <v>11426.525572582297</v>
      </c>
      <c r="I41" s="86">
        <v>11432.013001356694</v>
      </c>
      <c r="J41" s="86">
        <v>13294.283450010991</v>
      </c>
      <c r="K41" s="86">
        <v>14271.380968740326</v>
      </c>
      <c r="L41" s="86">
        <v>10820.752680434178</v>
      </c>
      <c r="M41" s="86">
        <v>10517.684985852489</v>
      </c>
      <c r="N41" s="86">
        <v>9512.2110200066836</v>
      </c>
      <c r="O41" s="86">
        <v>8412.7214427593462</v>
      </c>
      <c r="P41" s="86">
        <v>7842.4933371640982</v>
      </c>
      <c r="Q41" s="86">
        <v>10999.895243502599</v>
      </c>
      <c r="R41" s="86">
        <v>12191.424589551854</v>
      </c>
      <c r="S41" s="86">
        <v>15618.423285934148</v>
      </c>
      <c r="T41" s="86">
        <v>26566.979431533913</v>
      </c>
      <c r="U41" s="86">
        <v>28501.775741651356</v>
      </c>
      <c r="V41" s="86">
        <v>12985.756459342736</v>
      </c>
      <c r="W41" s="86">
        <v>33866.99161103776</v>
      </c>
      <c r="X41" s="86">
        <v>46586.289027352163</v>
      </c>
      <c r="Y41" s="86">
        <v>33804.14827834726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158.99723012572414</v>
      </c>
      <c r="C43" s="54">
        <f t="shared" si="30"/>
        <v>149.89849828627015</v>
      </c>
      <c r="D43" s="54">
        <f t="shared" ref="D43:V43" si="31">SUM(D44,D48)</f>
        <v>146.03213305475541</v>
      </c>
      <c r="E43" s="54">
        <f t="shared" si="31"/>
        <v>147.1136135464165</v>
      </c>
      <c r="F43" s="54">
        <f t="shared" si="31"/>
        <v>160.3692816247773</v>
      </c>
      <c r="G43" s="54">
        <f t="shared" si="31"/>
        <v>155.42635437404016</v>
      </c>
      <c r="H43" s="54">
        <f t="shared" si="31"/>
        <v>165.35915668441893</v>
      </c>
      <c r="I43" s="54">
        <f t="shared" si="31"/>
        <v>174.79921254003722</v>
      </c>
      <c r="J43" s="54">
        <f t="shared" si="31"/>
        <v>169.40472909933075</v>
      </c>
      <c r="K43" s="54">
        <f t="shared" si="31"/>
        <v>168.81719479383031</v>
      </c>
      <c r="L43" s="54">
        <f t="shared" si="31"/>
        <v>160.37504058881916</v>
      </c>
      <c r="M43" s="54">
        <f t="shared" si="31"/>
        <v>159.50789025942183</v>
      </c>
      <c r="N43" s="54">
        <f t="shared" si="31"/>
        <v>148.53540219960826</v>
      </c>
      <c r="O43" s="54">
        <f t="shared" si="31"/>
        <v>146.84962024503179</v>
      </c>
      <c r="P43" s="54">
        <f t="shared" si="31"/>
        <v>164.71579273248256</v>
      </c>
      <c r="Q43" s="54">
        <f t="shared" si="31"/>
        <v>173.91860089137435</v>
      </c>
      <c r="R43" s="54">
        <f t="shared" si="31"/>
        <v>184.11208746680211</v>
      </c>
      <c r="S43" s="54">
        <f t="shared" si="31"/>
        <v>197.132267328837</v>
      </c>
      <c r="T43" s="54">
        <f t="shared" si="31"/>
        <v>214.02186980248948</v>
      </c>
      <c r="U43" s="54">
        <f t="shared" si="31"/>
        <v>219.7853396717818</v>
      </c>
      <c r="V43" s="54">
        <f t="shared" si="31"/>
        <v>211.95352754772108</v>
      </c>
      <c r="W43" s="54">
        <f t="shared" ref="W43:Y43" si="32">SUM(W44,W48)</f>
        <v>205.01952911589174</v>
      </c>
      <c r="X43" s="54">
        <f t="shared" si="32"/>
        <v>237.19251548574812</v>
      </c>
      <c r="Y43" s="54">
        <f t="shared" si="32"/>
        <v>236.78482761124843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153.4934427502171</v>
      </c>
      <c r="C44" s="11">
        <f t="shared" si="33"/>
        <v>143.57151476779154</v>
      </c>
      <c r="D44" s="11">
        <f t="shared" ref="D44:V44" si="34">SUM(D45:D47)</f>
        <v>139.89762912017122</v>
      </c>
      <c r="E44" s="11">
        <f t="shared" si="34"/>
        <v>141.45605906651448</v>
      </c>
      <c r="F44" s="11">
        <f t="shared" si="34"/>
        <v>155.26035915753516</v>
      </c>
      <c r="G44" s="11">
        <f t="shared" si="34"/>
        <v>150.86251301162062</v>
      </c>
      <c r="H44" s="11">
        <f t="shared" si="34"/>
        <v>160.94449962317816</v>
      </c>
      <c r="I44" s="11">
        <f t="shared" si="34"/>
        <v>170.61195489468412</v>
      </c>
      <c r="J44" s="11">
        <f t="shared" si="34"/>
        <v>165.46598295467874</v>
      </c>
      <c r="K44" s="11">
        <f t="shared" si="34"/>
        <v>165.37266343054338</v>
      </c>
      <c r="L44" s="11">
        <f t="shared" si="34"/>
        <v>157.23211780806619</v>
      </c>
      <c r="M44" s="11">
        <f t="shared" si="34"/>
        <v>156.72092154226451</v>
      </c>
      <c r="N44" s="11">
        <f t="shared" si="34"/>
        <v>146.08979737089243</v>
      </c>
      <c r="O44" s="11">
        <f t="shared" si="34"/>
        <v>144.58217418363756</v>
      </c>
      <c r="P44" s="11">
        <f t="shared" si="34"/>
        <v>162.8874053106326</v>
      </c>
      <c r="Q44" s="11">
        <f t="shared" si="34"/>
        <v>172.16118365559782</v>
      </c>
      <c r="R44" s="11">
        <f t="shared" si="34"/>
        <v>182.4288330827853</v>
      </c>
      <c r="S44" s="11">
        <f t="shared" si="34"/>
        <v>195.48818489867804</v>
      </c>
      <c r="T44" s="11">
        <f t="shared" si="34"/>
        <v>211.65659689134884</v>
      </c>
      <c r="U44" s="11">
        <f t="shared" si="34"/>
        <v>217.38888014671812</v>
      </c>
      <c r="V44" s="11">
        <f t="shared" si="34"/>
        <v>209.71420800920725</v>
      </c>
      <c r="W44" s="11">
        <f t="shared" ref="W44:Y44" si="35">SUM(W45:W47)</f>
        <v>202.40561344307821</v>
      </c>
      <c r="X44" s="11">
        <f t="shared" si="35"/>
        <v>234.59797459599031</v>
      </c>
      <c r="Y44" s="11">
        <f t="shared" si="35"/>
        <v>234.32480971779904</v>
      </c>
      <c r="DA44" s="189" t="s">
        <v>225</v>
      </c>
    </row>
    <row r="45" spans="1:105" ht="11.45" customHeight="1" x14ac:dyDescent="0.25">
      <c r="A45" s="83" t="s">
        <v>27</v>
      </c>
      <c r="B45" s="84">
        <v>47.329505300353354</v>
      </c>
      <c r="C45" s="84">
        <v>44.805212014134277</v>
      </c>
      <c r="D45" s="84">
        <v>41.033127208480565</v>
      </c>
      <c r="E45" s="84">
        <v>39.271201413427562</v>
      </c>
      <c r="F45" s="84">
        <v>44.696113074204945</v>
      </c>
      <c r="G45" s="84">
        <v>43.135682819383263</v>
      </c>
      <c r="H45" s="84">
        <v>44.994729907773383</v>
      </c>
      <c r="I45" s="84">
        <v>46.248468941382328</v>
      </c>
      <c r="J45" s="84">
        <v>43.557161629434951</v>
      </c>
      <c r="K45" s="84">
        <v>49.167536988685811</v>
      </c>
      <c r="L45" s="84">
        <v>44.434586458650472</v>
      </c>
      <c r="M45" s="84">
        <v>39.701635928615133</v>
      </c>
      <c r="N45" s="84">
        <v>35.952181208053695</v>
      </c>
      <c r="O45" s="84">
        <v>32.683750000000003</v>
      </c>
      <c r="P45" s="84">
        <v>34.611018363939898</v>
      </c>
      <c r="Q45" s="84">
        <v>38.047260560434964</v>
      </c>
      <c r="R45" s="84">
        <v>40.128151260504204</v>
      </c>
      <c r="S45" s="84">
        <v>40.140475197999166</v>
      </c>
      <c r="T45" s="84">
        <v>42.145477282200915</v>
      </c>
      <c r="U45" s="84">
        <v>42.808059825508934</v>
      </c>
      <c r="V45" s="84">
        <v>40.441584560491265</v>
      </c>
      <c r="W45" s="84">
        <v>38.075109295473595</v>
      </c>
      <c r="X45" s="84">
        <v>43.4671079851055</v>
      </c>
      <c r="Y45" s="84">
        <v>43.443481848184817</v>
      </c>
      <c r="DA45" s="171" t="s">
        <v>226</v>
      </c>
    </row>
    <row r="46" spans="1:105" ht="11.45" customHeight="1" x14ac:dyDescent="0.25">
      <c r="A46" s="83" t="s">
        <v>181</v>
      </c>
      <c r="B46" s="84">
        <v>92.031538695969672</v>
      </c>
      <c r="C46" s="84">
        <v>85.618327675775632</v>
      </c>
      <c r="D46" s="84">
        <v>85.704065774619011</v>
      </c>
      <c r="E46" s="84">
        <v>88.583611547167919</v>
      </c>
      <c r="F46" s="84">
        <v>93.500383154981307</v>
      </c>
      <c r="G46" s="84">
        <v>90.795532482313703</v>
      </c>
      <c r="H46" s="84">
        <v>96.309194635532577</v>
      </c>
      <c r="I46" s="84">
        <v>101.47604712785318</v>
      </c>
      <c r="J46" s="84">
        <v>96.948165587538867</v>
      </c>
      <c r="K46" s="84">
        <v>92.657710579542055</v>
      </c>
      <c r="L46" s="84">
        <v>88.577141544318266</v>
      </c>
      <c r="M46" s="84">
        <v>90.974227474114485</v>
      </c>
      <c r="N46" s="84">
        <v>85.059343558250333</v>
      </c>
      <c r="O46" s="84">
        <v>82.3555670407804</v>
      </c>
      <c r="P46" s="84">
        <v>97.159539120605729</v>
      </c>
      <c r="Q46" s="84">
        <v>104.41031514446532</v>
      </c>
      <c r="R46" s="84">
        <v>111.00935390900197</v>
      </c>
      <c r="S46" s="84">
        <v>119.89996958768452</v>
      </c>
      <c r="T46" s="84">
        <v>131.99377856868549</v>
      </c>
      <c r="U46" s="84">
        <v>133.20196569565852</v>
      </c>
      <c r="V46" s="84">
        <v>128.60038876086003</v>
      </c>
      <c r="W46" s="84">
        <v>124.36488939744338</v>
      </c>
      <c r="X46" s="84">
        <v>151.87187179841825</v>
      </c>
      <c r="Y46" s="84">
        <v>152.32895299484241</v>
      </c>
      <c r="DA46" s="171" t="s">
        <v>227</v>
      </c>
    </row>
    <row r="47" spans="1:105" ht="11.45" customHeight="1" x14ac:dyDescent="0.25">
      <c r="A47" s="83" t="s">
        <v>182</v>
      </c>
      <c r="B47" s="84">
        <v>14.132398753894082</v>
      </c>
      <c r="C47" s="84">
        <v>13.14797507788162</v>
      </c>
      <c r="D47" s="84">
        <v>13.160436137071651</v>
      </c>
      <c r="E47" s="84">
        <v>13.601246105919003</v>
      </c>
      <c r="F47" s="84">
        <v>17.063862928348911</v>
      </c>
      <c r="G47" s="84">
        <v>16.931297709923665</v>
      </c>
      <c r="H47" s="84">
        <v>19.640575079872203</v>
      </c>
      <c r="I47" s="84">
        <v>22.887438825448612</v>
      </c>
      <c r="J47" s="84">
        <v>24.960655737704919</v>
      </c>
      <c r="K47" s="84">
        <v>23.547415862315511</v>
      </c>
      <c r="L47" s="84">
        <v>24.220389805097451</v>
      </c>
      <c r="M47" s="84">
        <v>26.045058139534884</v>
      </c>
      <c r="N47" s="84">
        <v>25.078272604588395</v>
      </c>
      <c r="O47" s="84">
        <v>29.542857142857144</v>
      </c>
      <c r="P47" s="84">
        <v>31.116847826086957</v>
      </c>
      <c r="Q47" s="84">
        <v>29.703607950697549</v>
      </c>
      <c r="R47" s="84">
        <v>31.291327913279133</v>
      </c>
      <c r="S47" s="84">
        <v>35.447740112994353</v>
      </c>
      <c r="T47" s="84">
        <v>37.517341040462426</v>
      </c>
      <c r="U47" s="84">
        <v>41.378854625550659</v>
      </c>
      <c r="V47" s="84">
        <v>40.672234687855955</v>
      </c>
      <c r="W47" s="84">
        <v>39.965614750161251</v>
      </c>
      <c r="X47" s="84">
        <v>39.258994812466547</v>
      </c>
      <c r="Y47" s="84">
        <v>38.552374874771843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5.5037873755070352</v>
      </c>
      <c r="C48" s="13">
        <f t="shared" si="36"/>
        <v>6.3269835184786229</v>
      </c>
      <c r="D48" s="13">
        <f t="shared" ref="D48:V48" si="37">SUM(D49:D51)</f>
        <v>6.1345039345841847</v>
      </c>
      <c r="E48" s="13">
        <f t="shared" si="37"/>
        <v>5.6575544799020063</v>
      </c>
      <c r="F48" s="13">
        <f t="shared" si="37"/>
        <v>5.1089224672421327</v>
      </c>
      <c r="G48" s="13">
        <f t="shared" si="37"/>
        <v>4.563841362419538</v>
      </c>
      <c r="H48" s="13">
        <f t="shared" si="37"/>
        <v>4.4146570612407681</v>
      </c>
      <c r="I48" s="13">
        <f t="shared" si="37"/>
        <v>4.1872576453530925</v>
      </c>
      <c r="J48" s="13">
        <f t="shared" si="37"/>
        <v>3.9387461446520216</v>
      </c>
      <c r="K48" s="13">
        <f t="shared" si="37"/>
        <v>3.4445313632869188</v>
      </c>
      <c r="L48" s="13">
        <f t="shared" si="37"/>
        <v>3.1429227807529765</v>
      </c>
      <c r="M48" s="13">
        <f t="shared" si="37"/>
        <v>2.7869687171573156</v>
      </c>
      <c r="N48" s="13">
        <f t="shared" si="37"/>
        <v>2.4456048287158394</v>
      </c>
      <c r="O48" s="13">
        <f t="shared" si="37"/>
        <v>2.2674460613942333</v>
      </c>
      <c r="P48" s="13">
        <f t="shared" si="37"/>
        <v>1.8283874218499623</v>
      </c>
      <c r="Q48" s="13">
        <f t="shared" si="37"/>
        <v>1.7574172357765174</v>
      </c>
      <c r="R48" s="13">
        <f t="shared" si="37"/>
        <v>1.6832543840167933</v>
      </c>
      <c r="S48" s="13">
        <f t="shared" si="37"/>
        <v>1.6440824301589698</v>
      </c>
      <c r="T48" s="13">
        <f t="shared" si="37"/>
        <v>2.3652729111406465</v>
      </c>
      <c r="U48" s="13">
        <f t="shared" si="37"/>
        <v>2.396459525063686</v>
      </c>
      <c r="V48" s="13">
        <f t="shared" si="37"/>
        <v>2.2393195385138132</v>
      </c>
      <c r="W48" s="13">
        <f t="shared" ref="W48:Y48" si="38">SUM(W49:W51)</f>
        <v>2.6139156728135324</v>
      </c>
      <c r="X48" s="13">
        <f t="shared" si="38"/>
        <v>2.5945408897578068</v>
      </c>
      <c r="Y48" s="13">
        <f t="shared" si="38"/>
        <v>2.4600178934493999</v>
      </c>
      <c r="DA48" s="193" t="s">
        <v>229</v>
      </c>
    </row>
    <row r="49" spans="1:105" ht="11.45" customHeight="1" x14ac:dyDescent="0.25">
      <c r="A49" s="92" t="s">
        <v>27</v>
      </c>
      <c r="B49" s="102">
        <v>2.410701373825018</v>
      </c>
      <c r="C49" s="102">
        <v>2.8358640636297903</v>
      </c>
      <c r="D49" s="102">
        <v>2.702819956616052</v>
      </c>
      <c r="E49" s="102">
        <v>2.4617498192335501</v>
      </c>
      <c r="F49" s="102">
        <v>2.2206796818510481</v>
      </c>
      <c r="G49" s="102">
        <v>1.9796095444685462</v>
      </c>
      <c r="H49" s="102">
        <v>1.7385394070860443</v>
      </c>
      <c r="I49" s="102">
        <v>1.4974692697035423</v>
      </c>
      <c r="J49" s="102">
        <v>1.2563991323210404</v>
      </c>
      <c r="K49" s="102">
        <v>1.0153289949385385</v>
      </c>
      <c r="L49" s="102">
        <v>0.85550786838340487</v>
      </c>
      <c r="M49" s="102">
        <v>0.65791341376863022</v>
      </c>
      <c r="N49" s="102">
        <v>0.54480796586059743</v>
      </c>
      <c r="O49" s="102">
        <v>0.5</v>
      </c>
      <c r="P49" s="102">
        <v>0.3219858156028369</v>
      </c>
      <c r="Q49" s="102">
        <v>0.30632551528073915</v>
      </c>
      <c r="R49" s="102">
        <v>0.25516749821810408</v>
      </c>
      <c r="S49" s="102">
        <v>0.17317246273953157</v>
      </c>
      <c r="T49" s="102">
        <v>0.32434350603264728</v>
      </c>
      <c r="U49" s="102">
        <v>0.28336902212705212</v>
      </c>
      <c r="V49" s="102">
        <v>0.18349928876244664</v>
      </c>
      <c r="W49" s="102">
        <v>0.20494699646643111</v>
      </c>
      <c r="X49" s="102">
        <v>0.21179815209665956</v>
      </c>
      <c r="Y49" s="102">
        <v>0.2208067940552017</v>
      </c>
      <c r="DA49" s="175" t="s">
        <v>230</v>
      </c>
    </row>
    <row r="50" spans="1:105" ht="11.45" customHeight="1" x14ac:dyDescent="0.25">
      <c r="A50" s="92" t="s">
        <v>181</v>
      </c>
      <c r="B50" s="102">
        <v>2.748086001682017</v>
      </c>
      <c r="C50" s="102">
        <v>3.1573694548488325</v>
      </c>
      <c r="D50" s="102">
        <v>3.0929339779681326</v>
      </c>
      <c r="E50" s="102">
        <v>2.8233046606684571</v>
      </c>
      <c r="F50" s="102">
        <v>2.5502427853910845</v>
      </c>
      <c r="G50" s="102">
        <v>2.2807318179509917</v>
      </c>
      <c r="H50" s="102">
        <v>2.3570760400311421</v>
      </c>
      <c r="I50" s="102">
        <v>2.3699400823499293</v>
      </c>
      <c r="J50" s="102">
        <v>2.3141878083508818</v>
      </c>
      <c r="K50" s="102">
        <v>2.0955431643682809</v>
      </c>
      <c r="L50" s="102">
        <v>1.9882557083894723</v>
      </c>
      <c r="M50" s="102">
        <v>1.864396099408586</v>
      </c>
      <c r="N50" s="102">
        <v>1.6706376588751426</v>
      </c>
      <c r="O50" s="102">
        <v>1.5717868574141336</v>
      </c>
      <c r="P50" s="102">
        <v>1.345242402267026</v>
      </c>
      <c r="Q50" s="102">
        <v>1.286735284852214</v>
      </c>
      <c r="R50" s="102">
        <v>1.2592160821364309</v>
      </c>
      <c r="S50" s="102">
        <v>1.2445550258678975</v>
      </c>
      <c r="T50" s="102">
        <v>1.6493892749561552</v>
      </c>
      <c r="U50" s="102">
        <v>1.675590502936634</v>
      </c>
      <c r="V50" s="102">
        <v>1.6355702497513667</v>
      </c>
      <c r="W50" s="102">
        <v>1.7380557251793731</v>
      </c>
      <c r="X50" s="102">
        <v>1.6165735834322916</v>
      </c>
      <c r="Y50" s="102">
        <v>1.4902919451653425</v>
      </c>
      <c r="DA50" s="175" t="s">
        <v>231</v>
      </c>
    </row>
    <row r="51" spans="1:105" ht="11.45" customHeight="1" x14ac:dyDescent="0.25">
      <c r="A51" s="85" t="s">
        <v>182</v>
      </c>
      <c r="B51" s="86">
        <v>0.34499999999999997</v>
      </c>
      <c r="C51" s="86">
        <v>0.33374999999999999</v>
      </c>
      <c r="D51" s="86">
        <v>0.33875</v>
      </c>
      <c r="E51" s="86">
        <v>0.3725</v>
      </c>
      <c r="F51" s="86">
        <v>0.33800000000000002</v>
      </c>
      <c r="G51" s="86">
        <v>0.30350000000000005</v>
      </c>
      <c r="H51" s="86">
        <v>0.31904161412358134</v>
      </c>
      <c r="I51" s="86">
        <v>0.31984829329962072</v>
      </c>
      <c r="J51" s="86">
        <v>0.36815920398009949</v>
      </c>
      <c r="K51" s="86">
        <v>0.33365920398009952</v>
      </c>
      <c r="L51" s="86">
        <v>0.29915920398009954</v>
      </c>
      <c r="M51" s="86">
        <v>0.26465920398009957</v>
      </c>
      <c r="N51" s="86">
        <v>0.23015920398009956</v>
      </c>
      <c r="O51" s="86">
        <v>0.19565920398009956</v>
      </c>
      <c r="P51" s="86">
        <v>0.16115920398009956</v>
      </c>
      <c r="Q51" s="86">
        <v>0.16435643564356436</v>
      </c>
      <c r="R51" s="86">
        <v>0.1688708036622584</v>
      </c>
      <c r="S51" s="86">
        <v>0.2263549415515409</v>
      </c>
      <c r="T51" s="86">
        <v>0.3915401301518438</v>
      </c>
      <c r="U51" s="86">
        <v>0.4375</v>
      </c>
      <c r="V51" s="86">
        <v>0.42025000000000001</v>
      </c>
      <c r="W51" s="86">
        <v>0.6709129511677282</v>
      </c>
      <c r="X51" s="86">
        <v>0.76616915422885568</v>
      </c>
      <c r="Y51" s="86">
        <v>0.74891915422885569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12.947360777431328</v>
      </c>
      <c r="C53" s="54">
        <f t="shared" si="39"/>
        <v>1.0342205935875877</v>
      </c>
      <c r="D53" s="54">
        <f t="shared" ref="D53:V53" si="40">SUM(D54,D58)</f>
        <v>3.4473444214347166</v>
      </c>
      <c r="E53" s="54">
        <f t="shared" si="40"/>
        <v>6.6574408331832773</v>
      </c>
      <c r="F53" s="54">
        <f t="shared" si="40"/>
        <v>18.735298011617534</v>
      </c>
      <c r="G53" s="54">
        <f t="shared" si="40"/>
        <v>1.2722321873998426</v>
      </c>
      <c r="H53" s="54">
        <f t="shared" si="40"/>
        <v>15.081810314429866</v>
      </c>
      <c r="I53" s="54">
        <f t="shared" si="40"/>
        <v>14.67095871063786</v>
      </c>
      <c r="J53" s="54">
        <f t="shared" si="40"/>
        <v>2.9430005544885445</v>
      </c>
      <c r="K53" s="54">
        <f t="shared" si="40"/>
        <v>7.7731482746546083</v>
      </c>
      <c r="L53" s="54">
        <f t="shared" si="40"/>
        <v>1.2111682518360838</v>
      </c>
      <c r="M53" s="54">
        <f t="shared" si="40"/>
        <v>7.5203376398024142</v>
      </c>
      <c r="N53" s="54">
        <f t="shared" si="40"/>
        <v>1.463595975500912</v>
      </c>
      <c r="O53" s="54">
        <f t="shared" si="40"/>
        <v>6.1125354322281229</v>
      </c>
      <c r="P53" s="54">
        <f t="shared" si="40"/>
        <v>23.102084400351487</v>
      </c>
      <c r="Q53" s="54">
        <f t="shared" si="40"/>
        <v>15.358095749100686</v>
      </c>
      <c r="R53" s="54">
        <f t="shared" si="40"/>
        <v>15.190103184968759</v>
      </c>
      <c r="S53" s="54">
        <f t="shared" si="40"/>
        <v>18.182329818509022</v>
      </c>
      <c r="T53" s="54">
        <f t="shared" si="40"/>
        <v>21.886219083193438</v>
      </c>
      <c r="U53" s="54">
        <f t="shared" si="40"/>
        <v>10.79583355562859</v>
      </c>
      <c r="V53" s="54">
        <f t="shared" si="40"/>
        <v>7.3314517246471311E-2</v>
      </c>
      <c r="W53" s="54">
        <f t="shared" ref="W53:Y53" si="41">SUM(W54,W58)</f>
        <v>0.90207460206223367</v>
      </c>
      <c r="X53" s="54">
        <f t="shared" si="41"/>
        <v>37.487401968234551</v>
      </c>
      <c r="Y53" s="54">
        <f t="shared" si="41"/>
        <v>4.9465607579747912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12.21479681978817</v>
      </c>
      <c r="C54" s="11">
        <f t="shared" si="42"/>
        <v>0</v>
      </c>
      <c r="D54" s="11">
        <f t="shared" ref="D54:V54" si="43">SUM(D55:D57)</f>
        <v>3.3904092498204168</v>
      </c>
      <c r="E54" s="11">
        <f t="shared" si="43"/>
        <v>6.6125658331832771</v>
      </c>
      <c r="F54" s="11">
        <f t="shared" si="43"/>
        <v>18.73413352835712</v>
      </c>
      <c r="G54" s="11">
        <f t="shared" si="43"/>
        <v>1.267516796302149</v>
      </c>
      <c r="H54" s="11">
        <f t="shared" si="43"/>
        <v>14.867703770482514</v>
      </c>
      <c r="I54" s="11">
        <f t="shared" si="43"/>
        <v>14.505170263852762</v>
      </c>
      <c r="J54" s="11">
        <f t="shared" si="43"/>
        <v>2.7983241925168412</v>
      </c>
      <c r="K54" s="11">
        <f t="shared" si="43"/>
        <v>7.7663903436934056</v>
      </c>
      <c r="L54" s="11">
        <f t="shared" si="43"/>
        <v>1.1774629825246201</v>
      </c>
      <c r="M54" s="11">
        <f t="shared" si="43"/>
        <v>7.513964356020649</v>
      </c>
      <c r="N54" s="11">
        <f t="shared" si="43"/>
        <v>1.4229784686492164</v>
      </c>
      <c r="O54" s="11">
        <f t="shared" si="43"/>
        <v>6.0425239015205419</v>
      </c>
      <c r="P54" s="11">
        <f t="shared" si="43"/>
        <v>23.090948285920028</v>
      </c>
      <c r="Q54" s="11">
        <f t="shared" si="43"/>
        <v>15.178411015687288</v>
      </c>
      <c r="R54" s="11">
        <f t="shared" si="43"/>
        <v>15.053366586112483</v>
      </c>
      <c r="S54" s="11">
        <f t="shared" si="43"/>
        <v>17.996670111694893</v>
      </c>
      <c r="T54" s="11">
        <f t="shared" si="43"/>
        <v>20.954129151595762</v>
      </c>
      <c r="U54" s="11">
        <f t="shared" si="43"/>
        <v>10.518000414294278</v>
      </c>
      <c r="V54" s="11">
        <f t="shared" si="43"/>
        <v>0</v>
      </c>
      <c r="W54" s="11">
        <f t="shared" ref="W54:Y54" si="44">SUM(W55:W57)</f>
        <v>0.30848989520977543</v>
      </c>
      <c r="X54" s="11">
        <f t="shared" si="44"/>
        <v>37.270312055678602</v>
      </c>
      <c r="Y54" s="11">
        <f t="shared" si="44"/>
        <v>4.8384940586715262</v>
      </c>
      <c r="DA54" s="189" t="s">
        <v>234</v>
      </c>
    </row>
    <row r="55" spans="1:105" ht="11.45" customHeight="1" x14ac:dyDescent="0.25">
      <c r="A55" s="83" t="s">
        <v>27</v>
      </c>
      <c r="B55" s="84">
        <v>12.21479681978817</v>
      </c>
      <c r="C55" s="84">
        <v>0</v>
      </c>
      <c r="D55" s="84">
        <v>0</v>
      </c>
      <c r="E55" s="84">
        <v>0</v>
      </c>
      <c r="F55" s="84">
        <v>6.9184187279153804</v>
      </c>
      <c r="G55" s="84">
        <v>0</v>
      </c>
      <c r="H55" s="84">
        <v>3.352554155528118</v>
      </c>
      <c r="I55" s="84">
        <v>2.747246100746942</v>
      </c>
      <c r="J55" s="84">
        <v>0</v>
      </c>
      <c r="K55" s="84">
        <v>7.1038824263888571</v>
      </c>
      <c r="L55" s="84">
        <v>0</v>
      </c>
      <c r="M55" s="84">
        <v>0</v>
      </c>
      <c r="N55" s="84">
        <v>0</v>
      </c>
      <c r="O55" s="84">
        <v>0</v>
      </c>
      <c r="P55" s="84">
        <v>3.4207754310778924</v>
      </c>
      <c r="Q55" s="84">
        <v>4.9297492636330631</v>
      </c>
      <c r="R55" s="84">
        <v>3.5743977672072376</v>
      </c>
      <c r="S55" s="84">
        <v>1.5058310046329595</v>
      </c>
      <c r="T55" s="84">
        <v>3.4985091513397464</v>
      </c>
      <c r="U55" s="84">
        <v>2.156089610446017</v>
      </c>
      <c r="V55" s="84">
        <v>0</v>
      </c>
      <c r="W55" s="84">
        <v>0</v>
      </c>
      <c r="X55" s="84">
        <v>6.8855057567699021</v>
      </c>
      <c r="Y55" s="84">
        <v>1.4698809302173146</v>
      </c>
      <c r="DA55" s="171" t="s">
        <v>235</v>
      </c>
    </row>
    <row r="56" spans="1:105" ht="11.45" customHeight="1" x14ac:dyDescent="0.25">
      <c r="A56" s="83" t="s">
        <v>181</v>
      </c>
      <c r="B56" s="84">
        <v>0</v>
      </c>
      <c r="C56" s="84">
        <v>0</v>
      </c>
      <c r="D56" s="84">
        <v>2.9396823547013859</v>
      </c>
      <c r="E56" s="84">
        <v>5.7334900284069246</v>
      </c>
      <c r="F56" s="84">
        <v>7.9148321420828331</v>
      </c>
      <c r="G56" s="84">
        <v>0.96181617879839609</v>
      </c>
      <c r="H56" s="84">
        <v>8.3676064090768598</v>
      </c>
      <c r="I56" s="84">
        <v>8.0727945816004123</v>
      </c>
      <c r="J56" s="84">
        <v>0.28684144433153635</v>
      </c>
      <c r="K56" s="84">
        <v>0.6625079173045485</v>
      </c>
      <c r="L56" s="84">
        <v>6.6223203813681408E-2</v>
      </c>
      <c r="M56" s="84">
        <v>5.2510301856542174</v>
      </c>
      <c r="N56" s="84">
        <v>1.4229784686492164</v>
      </c>
      <c r="O56" s="84">
        <v>1.1396735273227945</v>
      </c>
      <c r="P56" s="84">
        <v>17.657916335683325</v>
      </c>
      <c r="Q56" s="84">
        <v>10.248661752054225</v>
      </c>
      <c r="R56" s="84">
        <v>9.4529830203946634</v>
      </c>
      <c r="S56" s="84">
        <v>11.896161071417712</v>
      </c>
      <c r="T56" s="84">
        <v>14.94775323685894</v>
      </c>
      <c r="U56" s="84">
        <v>4.0621313828310255</v>
      </c>
      <c r="V56" s="84">
        <v>0</v>
      </c>
      <c r="W56" s="84">
        <v>0.30848989520977543</v>
      </c>
      <c r="X56" s="84">
        <v>30.384806298908703</v>
      </c>
      <c r="Y56" s="84">
        <v>3.3686131284542116</v>
      </c>
      <c r="DA56" s="171" t="s">
        <v>236</v>
      </c>
    </row>
    <row r="57" spans="1:105" ht="11.45" customHeight="1" x14ac:dyDescent="0.25">
      <c r="A57" s="83" t="s">
        <v>182</v>
      </c>
      <c r="B57" s="84">
        <v>0</v>
      </c>
      <c r="C57" s="84">
        <v>0</v>
      </c>
      <c r="D57" s="84">
        <v>0.45072689511903086</v>
      </c>
      <c r="E57" s="84">
        <v>0.8790758047763525</v>
      </c>
      <c r="F57" s="84">
        <v>3.9008826583589062</v>
      </c>
      <c r="G57" s="84">
        <v>0.30570061750375288</v>
      </c>
      <c r="H57" s="84">
        <v>3.1475432058775361</v>
      </c>
      <c r="I57" s="84">
        <v>3.6851295815054073</v>
      </c>
      <c r="J57" s="84">
        <v>2.5114827481853048</v>
      </c>
      <c r="K57" s="84">
        <v>0</v>
      </c>
      <c r="L57" s="84">
        <v>1.1112397787109387</v>
      </c>
      <c r="M57" s="84">
        <v>2.2629341703664316</v>
      </c>
      <c r="N57" s="84">
        <v>0</v>
      </c>
      <c r="O57" s="84">
        <v>4.9028503741977474</v>
      </c>
      <c r="P57" s="84">
        <v>2.0122565191588109</v>
      </c>
      <c r="Q57" s="84">
        <v>0</v>
      </c>
      <c r="R57" s="84">
        <v>2.0259857985105825</v>
      </c>
      <c r="S57" s="84">
        <v>4.5946780356442218</v>
      </c>
      <c r="T57" s="84">
        <v>2.5078667633970753</v>
      </c>
      <c r="U57" s="84">
        <v>4.2997794210172344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0.73256395764315818</v>
      </c>
      <c r="C58" s="13">
        <f t="shared" si="45"/>
        <v>1.0342205935875877</v>
      </c>
      <c r="D58" s="13">
        <f t="shared" ref="D58:V58" si="46">SUM(D59:D61)</f>
        <v>5.6935171614299757E-2</v>
      </c>
      <c r="E58" s="13">
        <f t="shared" si="46"/>
        <v>4.4874999999999998E-2</v>
      </c>
      <c r="F58" s="13">
        <f t="shared" si="46"/>
        <v>1.1644832604148468E-3</v>
      </c>
      <c r="G58" s="13">
        <f t="shared" si="46"/>
        <v>4.7153910976936338E-3</v>
      </c>
      <c r="H58" s="13">
        <f t="shared" si="46"/>
        <v>0.21410654394735251</v>
      </c>
      <c r="I58" s="13">
        <f t="shared" si="46"/>
        <v>0.16578844678509838</v>
      </c>
      <c r="J58" s="13">
        <f t="shared" si="46"/>
        <v>0.14467636197170319</v>
      </c>
      <c r="K58" s="13">
        <f t="shared" si="46"/>
        <v>6.757930961202939E-3</v>
      </c>
      <c r="L58" s="13">
        <f t="shared" si="46"/>
        <v>3.3705269311463643E-2</v>
      </c>
      <c r="M58" s="13">
        <f t="shared" si="46"/>
        <v>6.3732837817650767E-3</v>
      </c>
      <c r="N58" s="13">
        <f t="shared" si="46"/>
        <v>4.0617506851695573E-2</v>
      </c>
      <c r="O58" s="13">
        <f t="shared" si="46"/>
        <v>7.001153070758126E-2</v>
      </c>
      <c r="P58" s="13">
        <f t="shared" si="46"/>
        <v>1.1136114431458677E-2</v>
      </c>
      <c r="Q58" s="13">
        <f t="shared" si="46"/>
        <v>0.1796847334133983</v>
      </c>
      <c r="R58" s="13">
        <f t="shared" si="46"/>
        <v>0.13673659885627582</v>
      </c>
      <c r="S58" s="13">
        <f t="shared" si="46"/>
        <v>0.18565970681413008</v>
      </c>
      <c r="T58" s="13">
        <f t="shared" si="46"/>
        <v>0.93208993159767617</v>
      </c>
      <c r="U58" s="13">
        <f t="shared" si="46"/>
        <v>0.27783314133431219</v>
      </c>
      <c r="V58" s="13">
        <f t="shared" si="46"/>
        <v>7.3314517246471311E-2</v>
      </c>
      <c r="W58" s="13">
        <f t="shared" ref="W58:Y58" si="47">SUM(W59:W61)</f>
        <v>0.59358470685245823</v>
      </c>
      <c r="X58" s="13">
        <f t="shared" si="47"/>
        <v>0.21708991255594645</v>
      </c>
      <c r="Y58" s="13">
        <f t="shared" si="47"/>
        <v>0.10806669930326532</v>
      </c>
      <c r="DA58" s="193" t="s">
        <v>238</v>
      </c>
    </row>
    <row r="59" spans="1:105" ht="11.45" customHeight="1" x14ac:dyDescent="0.25">
      <c r="A59" s="92" t="s">
        <v>27</v>
      </c>
      <c r="B59" s="102">
        <v>0.73227283682815814</v>
      </c>
      <c r="C59" s="102">
        <v>0.51969149192577202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4.9720836260402579E-2</v>
      </c>
      <c r="P59" s="102">
        <v>0</v>
      </c>
      <c r="Q59" s="102">
        <v>7.8868501798902257E-2</v>
      </c>
      <c r="R59" s="102">
        <v>4.3370785058364947E-2</v>
      </c>
      <c r="S59" s="102">
        <v>1.2533766642427502E-2</v>
      </c>
      <c r="T59" s="102">
        <v>0.24569984541411571</v>
      </c>
      <c r="U59" s="102">
        <v>5.355431821540485E-2</v>
      </c>
      <c r="V59" s="102">
        <v>0</v>
      </c>
      <c r="W59" s="102">
        <v>0.11597650982498448</v>
      </c>
      <c r="X59" s="102">
        <v>0.10137995775122843</v>
      </c>
      <c r="Y59" s="102">
        <v>0.10353744407954216</v>
      </c>
      <c r="DA59" s="175" t="s">
        <v>239</v>
      </c>
    </row>
    <row r="60" spans="1:105" ht="11.45" customHeight="1" x14ac:dyDescent="0.25">
      <c r="A60" s="92" t="s">
        <v>181</v>
      </c>
      <c r="B60" s="102">
        <v>2.9112081500000039E-4</v>
      </c>
      <c r="C60" s="102">
        <v>0.51452910166181565</v>
      </c>
      <c r="D60" s="102">
        <v>4.0810171614299756E-2</v>
      </c>
      <c r="E60" s="102">
        <v>0</v>
      </c>
      <c r="F60" s="102">
        <v>1.1644832604148468E-3</v>
      </c>
      <c r="G60" s="102">
        <v>4.7153910976936338E-3</v>
      </c>
      <c r="H60" s="102">
        <v>0.18743992982377122</v>
      </c>
      <c r="I60" s="102">
        <v>0.153856767609059</v>
      </c>
      <c r="J60" s="102">
        <v>8.5240451291224414E-2</v>
      </c>
      <c r="K60" s="102">
        <v>6.757930961202939E-3</v>
      </c>
      <c r="L60" s="102">
        <v>3.3705269311463643E-2</v>
      </c>
      <c r="M60" s="102">
        <v>6.3732837817650767E-3</v>
      </c>
      <c r="N60" s="102">
        <v>4.0617506851695573E-2</v>
      </c>
      <c r="O60" s="102">
        <v>2.0290694447178681E-2</v>
      </c>
      <c r="P60" s="102">
        <v>1.1136114431458677E-2</v>
      </c>
      <c r="Q60" s="102">
        <v>8.6493999951031242E-2</v>
      </c>
      <c r="R60" s="102">
        <v>7.7726445779216821E-2</v>
      </c>
      <c r="S60" s="102">
        <v>0.10451680228242007</v>
      </c>
      <c r="T60" s="102">
        <v>0.51007989758325756</v>
      </c>
      <c r="U60" s="102">
        <v>0.16719395327075115</v>
      </c>
      <c r="V60" s="102">
        <v>7.3314517246471311E-2</v>
      </c>
      <c r="W60" s="102">
        <v>0.21582024585974557</v>
      </c>
      <c r="X60" s="102">
        <v>9.328751743590491E-3</v>
      </c>
      <c r="Y60" s="102">
        <v>4.5292552237231609E-3</v>
      </c>
      <c r="DA60" s="175" t="s">
        <v>240</v>
      </c>
    </row>
    <row r="61" spans="1:105" ht="11.45" customHeight="1" x14ac:dyDescent="0.25">
      <c r="A61" s="85" t="s">
        <v>182</v>
      </c>
      <c r="B61" s="86">
        <v>0</v>
      </c>
      <c r="C61" s="86">
        <v>0</v>
      </c>
      <c r="D61" s="86">
        <v>1.6125E-2</v>
      </c>
      <c r="E61" s="86">
        <v>4.4874999999999998E-2</v>
      </c>
      <c r="F61" s="86">
        <v>0</v>
      </c>
      <c r="G61" s="86">
        <v>0</v>
      </c>
      <c r="H61" s="86">
        <v>2.6666614123581289E-2</v>
      </c>
      <c r="I61" s="86">
        <v>1.1931679176039378E-2</v>
      </c>
      <c r="J61" s="86">
        <v>5.9435910680478765E-2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1.4322231663464802E-2</v>
      </c>
      <c r="R61" s="86">
        <v>1.5639368018694033E-2</v>
      </c>
      <c r="S61" s="86">
        <v>6.8609137889282495E-2</v>
      </c>
      <c r="T61" s="86">
        <v>0.1763101886003029</v>
      </c>
      <c r="U61" s="86">
        <v>5.7084869848156194E-2</v>
      </c>
      <c r="V61" s="86">
        <v>0</v>
      </c>
      <c r="W61" s="86">
        <v>0.26178795116772824</v>
      </c>
      <c r="X61" s="86">
        <v>0.10638120306112753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86.653963073025764</v>
      </c>
      <c r="C66" s="14">
        <f t="shared" si="48"/>
        <v>86.786024138897247</v>
      </c>
      <c r="D66" s="14">
        <f t="shared" ref="D66:V66" si="49">IF(D34=0,0,D34/D24)</f>
        <v>88.756594977994126</v>
      </c>
      <c r="E66" s="14">
        <f t="shared" si="49"/>
        <v>90.55709057589624</v>
      </c>
      <c r="F66" s="14">
        <f t="shared" si="49"/>
        <v>90.357426572048098</v>
      </c>
      <c r="G66" s="14">
        <f t="shared" si="49"/>
        <v>96.459181350453036</v>
      </c>
      <c r="H66" s="14">
        <f t="shared" si="49"/>
        <v>97.158827588189638</v>
      </c>
      <c r="I66" s="14">
        <f t="shared" si="49"/>
        <v>98.248268950437321</v>
      </c>
      <c r="J66" s="14">
        <f t="shared" si="49"/>
        <v>100.62127635278837</v>
      </c>
      <c r="K66" s="14">
        <f t="shared" si="49"/>
        <v>93.419400940596319</v>
      </c>
      <c r="L66" s="14">
        <f t="shared" si="49"/>
        <v>96.687801289753082</v>
      </c>
      <c r="M66" s="14">
        <f t="shared" si="49"/>
        <v>101.0655324097482</v>
      </c>
      <c r="N66" s="14">
        <f t="shared" si="49"/>
        <v>102.06365830089776</v>
      </c>
      <c r="O66" s="14">
        <f t="shared" si="49"/>
        <v>109.65490200434301</v>
      </c>
      <c r="P66" s="14">
        <f t="shared" si="49"/>
        <v>113.89039699865619</v>
      </c>
      <c r="Q66" s="14">
        <f t="shared" si="49"/>
        <v>116.27754715130912</v>
      </c>
      <c r="R66" s="14">
        <f t="shared" si="49"/>
        <v>118.49538453400105</v>
      </c>
      <c r="S66" s="14">
        <f t="shared" si="49"/>
        <v>123.30570050584262</v>
      </c>
      <c r="T66" s="14">
        <f t="shared" si="49"/>
        <v>123.12081145995509</v>
      </c>
      <c r="U66" s="14">
        <f t="shared" si="49"/>
        <v>124.40148976790904</v>
      </c>
      <c r="V66" s="14">
        <f t="shared" si="49"/>
        <v>86.793544938935383</v>
      </c>
      <c r="W66" s="14">
        <f t="shared" ref="W66:Y66" si="50">IF(W34=0,0,W34/W24)</f>
        <v>97.596291463843031</v>
      </c>
      <c r="X66" s="14">
        <f t="shared" si="50"/>
        <v>125.73376580320043</v>
      </c>
      <c r="Y66" s="14">
        <f t="shared" si="50"/>
        <v>133.55432784876598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54.705983911006591</v>
      </c>
      <c r="C67" s="87">
        <f t="shared" si="48"/>
        <v>55.075749958102897</v>
      </c>
      <c r="D67" s="87">
        <f t="shared" ref="D67:V67" si="51">IF(D35=0,0,D35/D25)</f>
        <v>55.437937975650975</v>
      </c>
      <c r="E67" s="87">
        <f t="shared" si="51"/>
        <v>55.726633674502303</v>
      </c>
      <c r="F67" s="87">
        <f t="shared" si="51"/>
        <v>56.96965175112657</v>
      </c>
      <c r="G67" s="87">
        <f t="shared" si="51"/>
        <v>60.733981494720069</v>
      </c>
      <c r="H67" s="87">
        <f t="shared" si="51"/>
        <v>61.630650151776912</v>
      </c>
      <c r="I67" s="87">
        <f t="shared" si="51"/>
        <v>64.824363436873369</v>
      </c>
      <c r="J67" s="87">
        <f t="shared" si="51"/>
        <v>67.561790408382862</v>
      </c>
      <c r="K67" s="87">
        <f t="shared" si="51"/>
        <v>61.90199757494225</v>
      </c>
      <c r="L67" s="87">
        <f t="shared" si="51"/>
        <v>63.019088279578412</v>
      </c>
      <c r="M67" s="87">
        <f t="shared" si="51"/>
        <v>63.203286576684953</v>
      </c>
      <c r="N67" s="87">
        <f t="shared" si="51"/>
        <v>61.82695134756738</v>
      </c>
      <c r="O67" s="87">
        <f t="shared" si="51"/>
        <v>65.749760966841322</v>
      </c>
      <c r="P67" s="87">
        <f t="shared" si="51"/>
        <v>75.157486011962177</v>
      </c>
      <c r="Q67" s="87">
        <f t="shared" si="51"/>
        <v>81.835892757032454</v>
      </c>
      <c r="R67" s="87">
        <f t="shared" si="51"/>
        <v>85.280194754201347</v>
      </c>
      <c r="S67" s="87">
        <f t="shared" si="51"/>
        <v>86.268170347985915</v>
      </c>
      <c r="T67" s="87">
        <f t="shared" si="51"/>
        <v>84.260338057701247</v>
      </c>
      <c r="U67" s="87">
        <f t="shared" si="51"/>
        <v>82.909160609089767</v>
      </c>
      <c r="V67" s="87">
        <f t="shared" si="51"/>
        <v>59.431824236440853</v>
      </c>
      <c r="W67" s="87">
        <f t="shared" ref="W67:Y67" si="52">IF(W35=0,0,W35/W25)</f>
        <v>65.940963427353267</v>
      </c>
      <c r="X67" s="87">
        <f t="shared" si="52"/>
        <v>85.823634113839717</v>
      </c>
      <c r="Y67" s="87">
        <f t="shared" si="52"/>
        <v>91.437834142079822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123.98299697898769</v>
      </c>
      <c r="C68" s="87">
        <f t="shared" si="48"/>
        <v>124.46326565102972</v>
      </c>
      <c r="D68" s="87">
        <f t="shared" ref="D68:V68" si="53">IF(D36=0,0,D36/D26)</f>
        <v>125.06894514055547</v>
      </c>
      <c r="E68" s="87">
        <f t="shared" si="53"/>
        <v>125.78040300092175</v>
      </c>
      <c r="F68" s="87">
        <f t="shared" si="53"/>
        <v>127.0864243772928</v>
      </c>
      <c r="G68" s="87">
        <f t="shared" si="53"/>
        <v>134.88379070370746</v>
      </c>
      <c r="H68" s="87">
        <f t="shared" si="53"/>
        <v>134.5254497072911</v>
      </c>
      <c r="I68" s="87">
        <f t="shared" si="53"/>
        <v>132.35041998275966</v>
      </c>
      <c r="J68" s="87">
        <f t="shared" si="53"/>
        <v>133.89731965239241</v>
      </c>
      <c r="K68" s="87">
        <f t="shared" si="53"/>
        <v>131.23955065054741</v>
      </c>
      <c r="L68" s="87">
        <f t="shared" si="53"/>
        <v>133.40218643443001</v>
      </c>
      <c r="M68" s="87">
        <f t="shared" si="53"/>
        <v>136.9155182072829</v>
      </c>
      <c r="N68" s="87">
        <f t="shared" si="53"/>
        <v>141.11774516344229</v>
      </c>
      <c r="O68" s="87">
        <f t="shared" si="53"/>
        <v>146.90645024028834</v>
      </c>
      <c r="P68" s="87">
        <f t="shared" si="53"/>
        <v>144.48822962044369</v>
      </c>
      <c r="Q68" s="87">
        <f t="shared" si="53"/>
        <v>146.07910311075224</v>
      </c>
      <c r="R68" s="87">
        <f t="shared" si="53"/>
        <v>146.73795358805705</v>
      </c>
      <c r="S68" s="87">
        <f t="shared" si="53"/>
        <v>152.17907358258825</v>
      </c>
      <c r="T68" s="87">
        <f t="shared" si="53"/>
        <v>150.89646804439639</v>
      </c>
      <c r="U68" s="87">
        <f t="shared" si="53"/>
        <v>154.23798870614374</v>
      </c>
      <c r="V68" s="87">
        <f t="shared" si="53"/>
        <v>119.2497663080335</v>
      </c>
      <c r="W68" s="87">
        <f t="shared" ref="W68:Y68" si="54">IF(W36=0,0,W36/W26)</f>
        <v>124.93005557398806</v>
      </c>
      <c r="X68" s="87">
        <f t="shared" si="54"/>
        <v>150.81995660125011</v>
      </c>
      <c r="Y68" s="87">
        <f t="shared" si="54"/>
        <v>159.61971763905427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97.616664829714537</v>
      </c>
      <c r="C69" s="87">
        <f t="shared" si="48"/>
        <v>98.105911621845749</v>
      </c>
      <c r="D69" s="87">
        <f t="shared" ref="D69:V69" si="55">IF(D37=0,0,D37/D27)</f>
        <v>98.723872647650609</v>
      </c>
      <c r="E69" s="87">
        <f t="shared" si="55"/>
        <v>99.477324782409525</v>
      </c>
      <c r="F69" s="87">
        <f t="shared" si="55"/>
        <v>94.426289365586484</v>
      </c>
      <c r="G69" s="87">
        <f t="shared" si="55"/>
        <v>104.70559062218214</v>
      </c>
      <c r="H69" s="87">
        <f t="shared" si="55"/>
        <v>107.68133387555918</v>
      </c>
      <c r="I69" s="87">
        <f t="shared" si="55"/>
        <v>107.6191732002851</v>
      </c>
      <c r="J69" s="87">
        <f t="shared" si="55"/>
        <v>107.79804282148956</v>
      </c>
      <c r="K69" s="87">
        <f t="shared" si="55"/>
        <v>101.05938529827158</v>
      </c>
      <c r="L69" s="87">
        <f t="shared" si="55"/>
        <v>109.79962859795729</v>
      </c>
      <c r="M69" s="87">
        <f t="shared" si="55"/>
        <v>113.96383726770468</v>
      </c>
      <c r="N69" s="87">
        <f t="shared" si="55"/>
        <v>117.53026960124845</v>
      </c>
      <c r="O69" s="87">
        <f t="shared" si="55"/>
        <v>131.18089711706733</v>
      </c>
      <c r="P69" s="87">
        <f t="shared" si="55"/>
        <v>128.09130206968823</v>
      </c>
      <c r="Q69" s="87">
        <f t="shared" si="55"/>
        <v>121.21600628785427</v>
      </c>
      <c r="R69" s="87">
        <f t="shared" si="55"/>
        <v>123.47590178842073</v>
      </c>
      <c r="S69" s="87">
        <f t="shared" si="55"/>
        <v>131.47252659680439</v>
      </c>
      <c r="T69" s="87">
        <f t="shared" si="55"/>
        <v>136.90932901933596</v>
      </c>
      <c r="U69" s="87">
        <f t="shared" si="55"/>
        <v>138.86908690869086</v>
      </c>
      <c r="V69" s="87">
        <f t="shared" si="55"/>
        <v>83.251896378989557</v>
      </c>
      <c r="W69" s="87">
        <f t="shared" ref="W69:Y69" si="56">IF(W37=0,0,W37/W27)</f>
        <v>105.66720184959219</v>
      </c>
      <c r="X69" s="87">
        <f t="shared" si="56"/>
        <v>151.75246776792909</v>
      </c>
      <c r="Y69" s="87">
        <f t="shared" si="56"/>
        <v>161.09060249749339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14.328438736728012</v>
      </c>
      <c r="C70" s="15">
        <f t="shared" si="48"/>
        <v>14.074562697417017</v>
      </c>
      <c r="D70" s="15">
        <f t="shared" ref="D70:V70" si="57">IF(D38=0,0,D38/D28)</f>
        <v>14.330413046332215</v>
      </c>
      <c r="E70" s="15">
        <f t="shared" si="57"/>
        <v>15.334230349033039</v>
      </c>
      <c r="F70" s="15">
        <f t="shared" si="57"/>
        <v>15.108969554474454</v>
      </c>
      <c r="G70" s="15">
        <f t="shared" si="57"/>
        <v>14.52780842343925</v>
      </c>
      <c r="H70" s="15">
        <f t="shared" si="57"/>
        <v>13.991731565872019</v>
      </c>
      <c r="I70" s="15">
        <f t="shared" si="57"/>
        <v>14.23435368053021</v>
      </c>
      <c r="J70" s="15">
        <f t="shared" si="57"/>
        <v>14.238241088920965</v>
      </c>
      <c r="K70" s="15">
        <f t="shared" si="57"/>
        <v>15.05025893691406</v>
      </c>
      <c r="L70" s="15">
        <f t="shared" si="57"/>
        <v>15.322260051597244</v>
      </c>
      <c r="M70" s="15">
        <f t="shared" si="57"/>
        <v>16.820367469957471</v>
      </c>
      <c r="N70" s="15">
        <f t="shared" si="57"/>
        <v>17.848058335830743</v>
      </c>
      <c r="O70" s="15">
        <f t="shared" si="57"/>
        <v>17.867733163054222</v>
      </c>
      <c r="P70" s="15">
        <f t="shared" si="57"/>
        <v>20.376238122087418</v>
      </c>
      <c r="Q70" s="15">
        <f t="shared" si="57"/>
        <v>21.967971154798022</v>
      </c>
      <c r="R70" s="15">
        <f t="shared" si="57"/>
        <v>25.226991260839238</v>
      </c>
      <c r="S70" s="15">
        <f t="shared" si="57"/>
        <v>26.322325221449844</v>
      </c>
      <c r="T70" s="15">
        <f t="shared" si="57"/>
        <v>27.252292702982878</v>
      </c>
      <c r="U70" s="15">
        <f t="shared" si="57"/>
        <v>28.601419375010831</v>
      </c>
      <c r="V70" s="15">
        <f t="shared" si="57"/>
        <v>21.58427933953401</v>
      </c>
      <c r="W70" s="15">
        <f t="shared" ref="W70:Y70" si="58">IF(W38=0,0,W38/W28)</f>
        <v>26.609256412833215</v>
      </c>
      <c r="X70" s="15">
        <f t="shared" si="58"/>
        <v>30.999466535592575</v>
      </c>
      <c r="Y70" s="15">
        <f t="shared" si="58"/>
        <v>29.618507564469148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10.023284561418629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13.240298620670721</v>
      </c>
      <c r="R71" s="41">
        <f t="shared" si="59"/>
        <v>15.261225204177915</v>
      </c>
      <c r="S71" s="41">
        <f t="shared" si="59"/>
        <v>14.037407282807472</v>
      </c>
      <c r="T71" s="41">
        <f t="shared" si="59"/>
        <v>14.28777069472639</v>
      </c>
      <c r="U71" s="41">
        <f t="shared" si="59"/>
        <v>15.803408783848621</v>
      </c>
      <c r="V71" s="41">
        <f t="shared" si="59"/>
        <v>14.565549583941408</v>
      </c>
      <c r="W71" s="41">
        <f t="shared" ref="W71:Y71" si="60">IF(W39=0,0,W39/W29)</f>
        <v>14.733887425092284</v>
      </c>
      <c r="X71" s="41">
        <f t="shared" si="60"/>
        <v>14.903133727895913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17.221696677308703</v>
      </c>
      <c r="F72" s="41">
        <f t="shared" si="61"/>
        <v>16.065947226318929</v>
      </c>
      <c r="G72" s="41">
        <f t="shared" si="61"/>
        <v>15.202475894043333</v>
      </c>
      <c r="H72" s="41">
        <f t="shared" si="61"/>
        <v>14.017847842266162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13.698894254303411</v>
      </c>
      <c r="L72" s="41">
        <f t="shared" si="61"/>
        <v>14.504774438576121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20.847919403023056</v>
      </c>
      <c r="S72" s="41">
        <f t="shared" si="61"/>
        <v>19.377525185076976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17.640506114488733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17.970037243342698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48.059639068158539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59.664691083399617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53.587012042781268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1189.0363914878737</v>
      </c>
      <c r="C75" s="62">
        <f t="shared" si="65"/>
        <v>1180.7322683961111</v>
      </c>
      <c r="D75" s="62">
        <f t="shared" ref="D75:V75" si="66">IF(D13=0,0,D13*1000000/D23)</f>
        <v>1216.7657428006223</v>
      </c>
      <c r="E75" s="62">
        <f t="shared" si="66"/>
        <v>1249.0561386171512</v>
      </c>
      <c r="F75" s="62">
        <f t="shared" si="66"/>
        <v>1228.4436933933994</v>
      </c>
      <c r="G75" s="62">
        <f t="shared" si="66"/>
        <v>1221.1453445105531</v>
      </c>
      <c r="H75" s="62">
        <f t="shared" si="66"/>
        <v>1238.164132435696</v>
      </c>
      <c r="I75" s="62">
        <f t="shared" si="66"/>
        <v>1247.0395391120601</v>
      </c>
      <c r="J75" s="62">
        <f t="shared" si="66"/>
        <v>1263.794376129915</v>
      </c>
      <c r="K75" s="62">
        <f t="shared" si="66"/>
        <v>1177.9197548457109</v>
      </c>
      <c r="L75" s="62">
        <f t="shared" si="66"/>
        <v>1209.899155391256</v>
      </c>
      <c r="M75" s="62">
        <f t="shared" si="66"/>
        <v>1250.5835324011509</v>
      </c>
      <c r="N75" s="62">
        <f t="shared" si="66"/>
        <v>1222.2015055896877</v>
      </c>
      <c r="O75" s="62">
        <f t="shared" si="66"/>
        <v>1277.1203060322628</v>
      </c>
      <c r="P75" s="62">
        <f t="shared" si="66"/>
        <v>1312.9074228698073</v>
      </c>
      <c r="Q75" s="62">
        <f t="shared" si="66"/>
        <v>1281.0719877420538</v>
      </c>
      <c r="R75" s="62">
        <f t="shared" si="66"/>
        <v>1298.2662088185359</v>
      </c>
      <c r="S75" s="62">
        <f t="shared" si="66"/>
        <v>1338.7948177219603</v>
      </c>
      <c r="T75" s="62">
        <f t="shared" si="66"/>
        <v>1358.5543756336667</v>
      </c>
      <c r="U75" s="62">
        <f t="shared" si="66"/>
        <v>1364.6827971860828</v>
      </c>
      <c r="V75" s="62">
        <f t="shared" si="66"/>
        <v>1119.2475518670892</v>
      </c>
      <c r="W75" s="62">
        <f t="shared" ref="W75:Y75" si="67">IF(W13=0,0,W13*1000000/W23)</f>
        <v>1275.1022986320274</v>
      </c>
      <c r="X75" s="62">
        <f t="shared" si="67"/>
        <v>1395.0671296644653</v>
      </c>
      <c r="Y75" s="62">
        <f t="shared" si="67"/>
        <v>1388.7941765257222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1193.1071051762131</v>
      </c>
      <c r="C76" s="14">
        <f t="shared" si="65"/>
        <v>1185.8785472409627</v>
      </c>
      <c r="D76" s="14">
        <f t="shared" ref="D76:V76" si="68">IF(D14=0,0,D14*1000000/D24)</f>
        <v>1222.8357507638975</v>
      </c>
      <c r="E76" s="14">
        <f t="shared" si="68"/>
        <v>1254.8276848235787</v>
      </c>
      <c r="F76" s="14">
        <f t="shared" si="68"/>
        <v>1230.006511207491</v>
      </c>
      <c r="G76" s="14">
        <f t="shared" si="68"/>
        <v>1222.5254655885644</v>
      </c>
      <c r="H76" s="14">
        <f t="shared" si="68"/>
        <v>1238.6260579953489</v>
      </c>
      <c r="I76" s="14">
        <f t="shared" si="68"/>
        <v>1247.233337422633</v>
      </c>
      <c r="J76" s="14">
        <f t="shared" si="68"/>
        <v>1264.7457318248269</v>
      </c>
      <c r="K76" s="14">
        <f t="shared" si="68"/>
        <v>1177.6251678903079</v>
      </c>
      <c r="L76" s="14">
        <f t="shared" si="68"/>
        <v>1209.8761294159929</v>
      </c>
      <c r="M76" s="14">
        <f t="shared" si="68"/>
        <v>1249.9626113940903</v>
      </c>
      <c r="N76" s="14">
        <f t="shared" si="68"/>
        <v>1220.9239051180339</v>
      </c>
      <c r="O76" s="14">
        <f t="shared" si="68"/>
        <v>1276.4117523097229</v>
      </c>
      <c r="P76" s="14">
        <f t="shared" si="68"/>
        <v>1311.9996097443691</v>
      </c>
      <c r="Q76" s="14">
        <f t="shared" si="68"/>
        <v>1280.3920611825624</v>
      </c>
      <c r="R76" s="14">
        <f t="shared" si="68"/>
        <v>1297.4681046805238</v>
      </c>
      <c r="S76" s="14">
        <f t="shared" si="68"/>
        <v>1337.9625248515486</v>
      </c>
      <c r="T76" s="14">
        <f t="shared" si="68"/>
        <v>1358.3242581827619</v>
      </c>
      <c r="U76" s="14">
        <f t="shared" si="68"/>
        <v>1364.8501874034237</v>
      </c>
      <c r="V76" s="14">
        <f t="shared" si="68"/>
        <v>1117.3712884577997</v>
      </c>
      <c r="W76" s="14">
        <f t="shared" ref="W76:Y76" si="69">IF(W14=0,0,W14*1000000/W24)</f>
        <v>1276.1326756260241</v>
      </c>
      <c r="X76" s="14">
        <f t="shared" si="69"/>
        <v>1397.2069823881304</v>
      </c>
      <c r="Y76" s="14">
        <f t="shared" si="69"/>
        <v>1390.2155230112944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397.74266853776828</v>
      </c>
      <c r="C77" s="39">
        <f t="shared" si="65"/>
        <v>397.74266853776828</v>
      </c>
      <c r="D77" s="39">
        <f t="shared" ref="D77:V77" si="70">IF(D15=0,0,D15*1000000/D25)</f>
        <v>397.74266853776828</v>
      </c>
      <c r="E77" s="39">
        <f t="shared" si="70"/>
        <v>397.74266853776828</v>
      </c>
      <c r="F77" s="39">
        <f t="shared" si="70"/>
        <v>397.74266853776828</v>
      </c>
      <c r="G77" s="39">
        <f t="shared" si="70"/>
        <v>393.90191425914639</v>
      </c>
      <c r="H77" s="39">
        <f t="shared" si="70"/>
        <v>389.99342328881187</v>
      </c>
      <c r="I77" s="39">
        <f t="shared" si="70"/>
        <v>384.83278987194888</v>
      </c>
      <c r="J77" s="39">
        <f t="shared" si="70"/>
        <v>386.82413514330648</v>
      </c>
      <c r="K77" s="39">
        <f t="shared" si="70"/>
        <v>378.15289502041378</v>
      </c>
      <c r="L77" s="39">
        <f t="shared" si="70"/>
        <v>370.88249787504168</v>
      </c>
      <c r="M77" s="39">
        <f t="shared" si="70"/>
        <v>341.87432300485801</v>
      </c>
      <c r="N77" s="39">
        <f t="shared" si="70"/>
        <v>332.24372520713791</v>
      </c>
      <c r="O77" s="39">
        <f t="shared" si="70"/>
        <v>323.94372126877585</v>
      </c>
      <c r="P77" s="39">
        <f t="shared" si="70"/>
        <v>325.80388255710551</v>
      </c>
      <c r="Q77" s="39">
        <f t="shared" si="70"/>
        <v>328.44482096947667</v>
      </c>
      <c r="R77" s="39">
        <f t="shared" si="70"/>
        <v>334.04461173679027</v>
      </c>
      <c r="S77" s="39">
        <f t="shared" si="70"/>
        <v>324.63270726800039</v>
      </c>
      <c r="T77" s="39">
        <f t="shared" si="70"/>
        <v>324.5407274539113</v>
      </c>
      <c r="U77" s="39">
        <f t="shared" si="70"/>
        <v>320.41039741755901</v>
      </c>
      <c r="V77" s="39">
        <f t="shared" si="70"/>
        <v>314.38495428241754</v>
      </c>
      <c r="W77" s="39">
        <f t="shared" ref="W77:Y77" si="71">IF(W15=0,0,W15*1000000/W25)</f>
        <v>315.2107482890118</v>
      </c>
      <c r="X77" s="39">
        <f t="shared" si="71"/>
        <v>315.60060449925953</v>
      </c>
      <c r="Y77" s="39">
        <f t="shared" si="71"/>
        <v>312.12301884671587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2024.691471423173</v>
      </c>
      <c r="C78" s="39">
        <f t="shared" si="65"/>
        <v>2024.6932564481679</v>
      </c>
      <c r="D78" s="39">
        <f t="shared" ref="D78:V78" si="72">IF(D16=0,0,D16*1000000/D26)</f>
        <v>2024.6914416446884</v>
      </c>
      <c r="E78" s="39">
        <f t="shared" si="72"/>
        <v>2024.6928954662569</v>
      </c>
      <c r="F78" s="39">
        <f t="shared" si="72"/>
        <v>2013.5431223992732</v>
      </c>
      <c r="G78" s="39">
        <f t="shared" si="72"/>
        <v>1995.3348045496696</v>
      </c>
      <c r="H78" s="39">
        <f t="shared" si="72"/>
        <v>1997.3766229069884</v>
      </c>
      <c r="I78" s="39">
        <f t="shared" si="72"/>
        <v>1972.9797706384154</v>
      </c>
      <c r="J78" s="39">
        <f t="shared" si="72"/>
        <v>1965.5413908511459</v>
      </c>
      <c r="K78" s="39">
        <f t="shared" si="72"/>
        <v>1966.4169782501704</v>
      </c>
      <c r="L78" s="39">
        <f t="shared" si="72"/>
        <v>1982.5581235826396</v>
      </c>
      <c r="M78" s="39">
        <f t="shared" si="72"/>
        <v>1980.9684516190669</v>
      </c>
      <c r="N78" s="39">
        <f t="shared" si="72"/>
        <v>1988.1974705297532</v>
      </c>
      <c r="O78" s="39">
        <f t="shared" si="72"/>
        <v>2014.4585824395162</v>
      </c>
      <c r="P78" s="39">
        <f t="shared" si="72"/>
        <v>2012.4002828758839</v>
      </c>
      <c r="Q78" s="39">
        <f t="shared" si="72"/>
        <v>2000.1797549398884</v>
      </c>
      <c r="R78" s="39">
        <f t="shared" si="72"/>
        <v>2000.1341258488164</v>
      </c>
      <c r="S78" s="39">
        <f t="shared" si="72"/>
        <v>2009.0154450625359</v>
      </c>
      <c r="T78" s="39">
        <f t="shared" si="72"/>
        <v>2004.4759179719022</v>
      </c>
      <c r="U78" s="39">
        <f t="shared" si="72"/>
        <v>2005.7831576217366</v>
      </c>
      <c r="V78" s="39">
        <f t="shared" si="72"/>
        <v>1934.2995775079119</v>
      </c>
      <c r="W78" s="39">
        <f t="shared" ref="W78:Y78" si="73">IF(W16=0,0,W16*1000000/W26)</f>
        <v>1948.5357806885634</v>
      </c>
      <c r="X78" s="39">
        <f t="shared" si="73"/>
        <v>2034.7860142963164</v>
      </c>
      <c r="Y78" s="39">
        <f t="shared" si="73"/>
        <v>2025.1130616809401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2425.3030844364216</v>
      </c>
      <c r="C79" s="39">
        <f t="shared" si="65"/>
        <v>2425.3030844364216</v>
      </c>
      <c r="D79" s="39">
        <f t="shared" ref="D79:V79" si="74">IF(D17=0,0,D17*1000000/D27)</f>
        <v>2425.3030844364216</v>
      </c>
      <c r="E79" s="39">
        <f t="shared" si="74"/>
        <v>2425.3030844364216</v>
      </c>
      <c r="F79" s="39">
        <f t="shared" si="74"/>
        <v>2425.3030844364216</v>
      </c>
      <c r="G79" s="39">
        <f t="shared" si="74"/>
        <v>2360.546900766321</v>
      </c>
      <c r="H79" s="39">
        <f t="shared" si="74"/>
        <v>2512.3425077830948</v>
      </c>
      <c r="I79" s="39">
        <f t="shared" si="74"/>
        <v>2585.1960482596114</v>
      </c>
      <c r="J79" s="39">
        <f t="shared" si="74"/>
        <v>2602.4843435418488</v>
      </c>
      <c r="K79" s="39">
        <f t="shared" si="74"/>
        <v>2417.0121484006204</v>
      </c>
      <c r="L79" s="39">
        <f t="shared" si="74"/>
        <v>2300.7524241670808</v>
      </c>
      <c r="M79" s="39">
        <f t="shared" si="74"/>
        <v>2200.9373677508947</v>
      </c>
      <c r="N79" s="39">
        <f t="shared" si="74"/>
        <v>1977.5860261074256</v>
      </c>
      <c r="O79" s="39">
        <f t="shared" si="74"/>
        <v>2001.2736344222737</v>
      </c>
      <c r="P79" s="39">
        <f t="shared" si="74"/>
        <v>1997.6400322509792</v>
      </c>
      <c r="Q79" s="39">
        <f t="shared" si="74"/>
        <v>1904.7589898743386</v>
      </c>
      <c r="R79" s="39">
        <f t="shared" si="74"/>
        <v>1988.1349402655887</v>
      </c>
      <c r="S79" s="39">
        <f t="shared" si="74"/>
        <v>2113.032975600177</v>
      </c>
      <c r="T79" s="39">
        <f t="shared" si="74"/>
        <v>2184.4423805913571</v>
      </c>
      <c r="U79" s="39">
        <f t="shared" si="74"/>
        <v>2235.5401500314106</v>
      </c>
      <c r="V79" s="39">
        <f t="shared" si="74"/>
        <v>2072.0265654648956</v>
      </c>
      <c r="W79" s="39">
        <f t="shared" ref="W79:Y79" si="75">IF(W17=0,0,W17*1000000/W27)</f>
        <v>2495.6731293547414</v>
      </c>
      <c r="X79" s="39">
        <f t="shared" si="75"/>
        <v>2414.4125672452997</v>
      </c>
      <c r="Y79" s="39">
        <f t="shared" si="75"/>
        <v>2311.5819248929884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1043.4622801977273</v>
      </c>
      <c r="C80" s="15">
        <f t="shared" si="65"/>
        <v>1031.3002107763916</v>
      </c>
      <c r="D80" s="15">
        <f t="shared" ref="D80:V80" si="76">IF(D18=0,0,D18*1000000/D28)</f>
        <v>1042.1888273355396</v>
      </c>
      <c r="E80" s="15">
        <f t="shared" si="76"/>
        <v>1052.7646851943614</v>
      </c>
      <c r="F80" s="15">
        <f t="shared" si="76"/>
        <v>1141.4404037266036</v>
      </c>
      <c r="G80" s="15">
        <f t="shared" si="76"/>
        <v>1144.2123515248627</v>
      </c>
      <c r="H80" s="15">
        <f t="shared" si="76"/>
        <v>1213.4136984309634</v>
      </c>
      <c r="I80" s="15">
        <f t="shared" si="76"/>
        <v>1235.055706679128</v>
      </c>
      <c r="J80" s="15">
        <f t="shared" si="76"/>
        <v>1210.1156953542104</v>
      </c>
      <c r="K80" s="15">
        <f t="shared" si="76"/>
        <v>1197.6982616215496</v>
      </c>
      <c r="L80" s="15">
        <f t="shared" si="76"/>
        <v>1211.490257304443</v>
      </c>
      <c r="M80" s="15">
        <f t="shared" si="76"/>
        <v>1297.889293871285</v>
      </c>
      <c r="N80" s="15">
        <f t="shared" si="76"/>
        <v>1328.232613909016</v>
      </c>
      <c r="O80" s="15">
        <f t="shared" si="76"/>
        <v>1338.2225448860918</v>
      </c>
      <c r="P80" s="15">
        <f t="shared" si="76"/>
        <v>1424.73715087645</v>
      </c>
      <c r="Q80" s="15">
        <f t="shared" si="76"/>
        <v>1370.6211591083497</v>
      </c>
      <c r="R80" s="15">
        <f t="shared" si="76"/>
        <v>1416.0584868221342</v>
      </c>
      <c r="S80" s="15">
        <f t="shared" si="76"/>
        <v>1473.7210090881902</v>
      </c>
      <c r="T80" s="15">
        <f t="shared" si="76"/>
        <v>1385.7386477752229</v>
      </c>
      <c r="U80" s="15">
        <f t="shared" si="76"/>
        <v>1344.7635140507932</v>
      </c>
      <c r="V80" s="15">
        <f t="shared" si="76"/>
        <v>1240.3631567718917</v>
      </c>
      <c r="W80" s="15">
        <f t="shared" ref="W80:Y80" si="77">IF(W18=0,0,W18*1000000/W28)</f>
        <v>1191.6714885573697</v>
      </c>
      <c r="X80" s="15">
        <f t="shared" si="77"/>
        <v>1156.5073843761413</v>
      </c>
      <c r="Y80" s="15">
        <f t="shared" si="77"/>
        <v>1192.9312023249067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398.00755655689676</v>
      </c>
      <c r="C81" s="41">
        <f t="shared" si="65"/>
        <v>398.00755655689682</v>
      </c>
      <c r="D81" s="41">
        <f t="shared" ref="D81:V81" si="78">IF(D19=0,0,D19*1000000/D29)</f>
        <v>398.00755655689682</v>
      </c>
      <c r="E81" s="41">
        <f t="shared" si="78"/>
        <v>398.00755655689682</v>
      </c>
      <c r="F81" s="41">
        <f t="shared" si="78"/>
        <v>398.00755655689682</v>
      </c>
      <c r="G81" s="41">
        <f t="shared" si="78"/>
        <v>394.16680227827499</v>
      </c>
      <c r="H81" s="41">
        <f t="shared" si="78"/>
        <v>391.22718803857146</v>
      </c>
      <c r="I81" s="41">
        <f t="shared" si="78"/>
        <v>387.03543135233934</v>
      </c>
      <c r="J81" s="41">
        <f t="shared" si="78"/>
        <v>389.99565335432806</v>
      </c>
      <c r="K81" s="41">
        <f t="shared" si="78"/>
        <v>382.29328996206613</v>
      </c>
      <c r="L81" s="41">
        <f t="shared" si="78"/>
        <v>375.99176954732513</v>
      </c>
      <c r="M81" s="41">
        <f t="shared" si="78"/>
        <v>359.97885073614543</v>
      </c>
      <c r="N81" s="41">
        <f t="shared" si="78"/>
        <v>363.34350899742935</v>
      </c>
      <c r="O81" s="41">
        <f t="shared" si="78"/>
        <v>355.79866755400911</v>
      </c>
      <c r="P81" s="41">
        <f t="shared" si="78"/>
        <v>358.41399133728049</v>
      </c>
      <c r="Q81" s="41">
        <f t="shared" si="78"/>
        <v>361.81009224459348</v>
      </c>
      <c r="R81" s="41">
        <f t="shared" si="78"/>
        <v>368.16504550684886</v>
      </c>
      <c r="S81" s="41">
        <f t="shared" si="78"/>
        <v>359.50830353300063</v>
      </c>
      <c r="T81" s="41">
        <f t="shared" si="78"/>
        <v>360.17148621385343</v>
      </c>
      <c r="U81" s="41">
        <f t="shared" si="78"/>
        <v>370.86696428571435</v>
      </c>
      <c r="V81" s="41">
        <f t="shared" si="78"/>
        <v>363.18644067796612</v>
      </c>
      <c r="W81" s="41">
        <f t="shared" ref="W81:Y81" si="79">IF(W19=0,0,W19*1000000/W29)</f>
        <v>350.48383733055266</v>
      </c>
      <c r="X81" s="41">
        <f t="shared" si="79"/>
        <v>363.01778496362164</v>
      </c>
      <c r="Y81" s="41">
        <f t="shared" si="79"/>
        <v>353.92638672887506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2002.996827168085</v>
      </c>
      <c r="C82" s="41">
        <f t="shared" si="65"/>
        <v>2001.8538363400764</v>
      </c>
      <c r="D82" s="41">
        <f t="shared" ref="D82:V82" si="80">IF(D20=0,0,D20*1000000/D30)</f>
        <v>2001.9161137802744</v>
      </c>
      <c r="E82" s="41">
        <f t="shared" si="80"/>
        <v>2001.9383615242984</v>
      </c>
      <c r="F82" s="41">
        <f t="shared" si="80"/>
        <v>1973.0268817659733</v>
      </c>
      <c r="G82" s="41">
        <f t="shared" si="80"/>
        <v>1956.5073576545046</v>
      </c>
      <c r="H82" s="41">
        <f t="shared" si="80"/>
        <v>2005.0238324549416</v>
      </c>
      <c r="I82" s="41">
        <f t="shared" si="80"/>
        <v>1928.0523614071165</v>
      </c>
      <c r="J82" s="41">
        <f t="shared" si="80"/>
        <v>1914.8491676839299</v>
      </c>
      <c r="K82" s="41">
        <f t="shared" si="80"/>
        <v>1887.2319561147351</v>
      </c>
      <c r="L82" s="41">
        <f t="shared" si="80"/>
        <v>1885.4821810079766</v>
      </c>
      <c r="M82" s="41">
        <f t="shared" si="80"/>
        <v>1918.1488502456659</v>
      </c>
      <c r="N82" s="41">
        <f t="shared" si="80"/>
        <v>1937.2223866239522</v>
      </c>
      <c r="O82" s="41">
        <f t="shared" si="80"/>
        <v>1937.2904872094596</v>
      </c>
      <c r="P82" s="41">
        <f t="shared" si="80"/>
        <v>1936.641281138566</v>
      </c>
      <c r="Q82" s="41">
        <f t="shared" si="80"/>
        <v>1878.0164585062739</v>
      </c>
      <c r="R82" s="41">
        <f t="shared" si="80"/>
        <v>1869.9291598224943</v>
      </c>
      <c r="S82" s="41">
        <f t="shared" si="80"/>
        <v>1840.8151540698921</v>
      </c>
      <c r="T82" s="41">
        <f t="shared" si="80"/>
        <v>1821.5562971019654</v>
      </c>
      <c r="U82" s="41">
        <f t="shared" si="80"/>
        <v>1649.5896463563877</v>
      </c>
      <c r="V82" s="41">
        <f t="shared" si="80"/>
        <v>1429.8478194487832</v>
      </c>
      <c r="W82" s="41">
        <f t="shared" ref="W82:Y82" si="81">IF(W20=0,0,W20*1000000/W30)</f>
        <v>1425.7547797634797</v>
      </c>
      <c r="X82" s="41">
        <f t="shared" si="81"/>
        <v>1498.3080718463809</v>
      </c>
      <c r="Y82" s="41">
        <f t="shared" si="81"/>
        <v>1532.9919955232338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1435.2646844428987</v>
      </c>
      <c r="C83" s="40">
        <f t="shared" si="65"/>
        <v>1435.2646844428987</v>
      </c>
      <c r="D83" s="40">
        <f t="shared" ref="D83:V83" si="82">IF(D21=0,0,D21*1000000/D31)</f>
        <v>1435.2646844428987</v>
      </c>
      <c r="E83" s="40">
        <f t="shared" si="82"/>
        <v>1435.2646844428987</v>
      </c>
      <c r="F83" s="40">
        <f t="shared" si="82"/>
        <v>1435.2646844428987</v>
      </c>
      <c r="G83" s="40">
        <f t="shared" si="82"/>
        <v>1370.5085007727978</v>
      </c>
      <c r="H83" s="40">
        <f t="shared" si="82"/>
        <v>1459.0056665912241</v>
      </c>
      <c r="I83" s="40">
        <f t="shared" si="82"/>
        <v>1468.5607658693923</v>
      </c>
      <c r="J83" s="40">
        <f t="shared" si="82"/>
        <v>1422.5506199532817</v>
      </c>
      <c r="K83" s="40">
        <f t="shared" si="82"/>
        <v>1173.7799836137051</v>
      </c>
      <c r="L83" s="40">
        <f t="shared" si="82"/>
        <v>994.22181818181809</v>
      </c>
      <c r="M83" s="40">
        <f t="shared" si="82"/>
        <v>1050.2419455201862</v>
      </c>
      <c r="N83" s="40">
        <f t="shared" si="82"/>
        <v>982.72578763127183</v>
      </c>
      <c r="O83" s="40">
        <f t="shared" si="82"/>
        <v>984.66184256801148</v>
      </c>
      <c r="P83" s="40">
        <f t="shared" si="82"/>
        <v>959.27668701860887</v>
      </c>
      <c r="Q83" s="40">
        <f t="shared" si="82"/>
        <v>844.64409126385999</v>
      </c>
      <c r="R83" s="40">
        <f t="shared" si="82"/>
        <v>906.26848827700235</v>
      </c>
      <c r="S83" s="40">
        <f t="shared" si="82"/>
        <v>1009.4149702334822</v>
      </c>
      <c r="T83" s="40">
        <f t="shared" si="82"/>
        <v>1059.072821846554</v>
      </c>
      <c r="U83" s="40">
        <f t="shared" si="82"/>
        <v>1224.9177489177489</v>
      </c>
      <c r="V83" s="40">
        <f t="shared" si="82"/>
        <v>1068.8338926174495</v>
      </c>
      <c r="W83" s="40">
        <f t="shared" ref="W83:Y83" si="83">IF(W21=0,0,W21*1000000/W31)</f>
        <v>1007.637048192771</v>
      </c>
      <c r="X83" s="40">
        <f t="shared" si="83"/>
        <v>856.79096989966547</v>
      </c>
      <c r="Y83" s="40">
        <f t="shared" si="83"/>
        <v>956.77462887989191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163247.2896514156</v>
      </c>
      <c r="C86" s="11">
        <f t="shared" si="84"/>
        <v>162197.18613245024</v>
      </c>
      <c r="D86" s="11">
        <f t="shared" ref="D86:V86" si="85">IF(D4=0,0,D4*1000000/D24)</f>
        <v>167520.50206198005</v>
      </c>
      <c r="E86" s="11">
        <f t="shared" si="85"/>
        <v>170745.23737548565</v>
      </c>
      <c r="F86" s="11">
        <f t="shared" si="85"/>
        <v>165166.11673221766</v>
      </c>
      <c r="G86" s="11">
        <f t="shared" si="85"/>
        <v>174049.8177449163</v>
      </c>
      <c r="H86" s="11">
        <f t="shared" si="85"/>
        <v>172092.73072912666</v>
      </c>
      <c r="I86" s="11">
        <f t="shared" si="85"/>
        <v>166981.70039958472</v>
      </c>
      <c r="J86" s="11">
        <f t="shared" si="85"/>
        <v>168044.83283079823</v>
      </c>
      <c r="K86" s="11">
        <f t="shared" si="85"/>
        <v>149784.76279359192</v>
      </c>
      <c r="L86" s="11">
        <f t="shared" si="85"/>
        <v>158884.15326275493</v>
      </c>
      <c r="M86" s="11">
        <f t="shared" si="85"/>
        <v>171366.14450359417</v>
      </c>
      <c r="N86" s="11">
        <f t="shared" si="85"/>
        <v>170438.56632189892</v>
      </c>
      <c r="O86" s="11">
        <f t="shared" si="85"/>
        <v>186198.52725269611</v>
      </c>
      <c r="P86" s="11">
        <f t="shared" si="85"/>
        <v>187656.27183667614</v>
      </c>
      <c r="Q86" s="11">
        <f t="shared" si="85"/>
        <v>180946.39477932602</v>
      </c>
      <c r="R86" s="11">
        <f t="shared" si="85"/>
        <v>185940.13493955531</v>
      </c>
      <c r="S86" s="11">
        <f t="shared" si="85"/>
        <v>198853.59544692043</v>
      </c>
      <c r="T86" s="11">
        <f t="shared" si="85"/>
        <v>202267.6075562303</v>
      </c>
      <c r="U86" s="11">
        <f t="shared" si="85"/>
        <v>206220.83097228518</v>
      </c>
      <c r="V86" s="11">
        <f t="shared" si="85"/>
        <v>126329.92357085559</v>
      </c>
      <c r="W86" s="11">
        <f t="shared" ref="W86:Y86" si="86">IF(W4=0,0,W4*1000000/W24)</f>
        <v>151499.95895030178</v>
      </c>
      <c r="X86" s="11">
        <f t="shared" si="86"/>
        <v>206076.87915234853</v>
      </c>
      <c r="Y86" s="11">
        <f t="shared" si="86"/>
        <v>218029.76902073249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23223.579482370016</v>
      </c>
      <c r="C87" s="36">
        <f t="shared" si="84"/>
        <v>23380.551180358158</v>
      </c>
      <c r="D87" s="36">
        <f t="shared" ref="D87:V87" si="87">IF(D5=0,0,D5*1000000/D25)</f>
        <v>23534.305881613018</v>
      </c>
      <c r="E87" s="36">
        <f t="shared" si="87"/>
        <v>23656.861898874286</v>
      </c>
      <c r="F87" s="36">
        <f t="shared" si="87"/>
        <v>24184.543279168374</v>
      </c>
      <c r="G87" s="36">
        <f t="shared" si="87"/>
        <v>25533.596233291322</v>
      </c>
      <c r="H87" s="36">
        <f t="shared" si="87"/>
        <v>25653.473360260388</v>
      </c>
      <c r="I87" s="36">
        <f t="shared" si="87"/>
        <v>26625.788160886485</v>
      </c>
      <c r="J87" s="36">
        <f t="shared" si="87"/>
        <v>27893.746878350044</v>
      </c>
      <c r="K87" s="36">
        <f t="shared" si="87"/>
        <v>24984.130279429959</v>
      </c>
      <c r="L87" s="36">
        <f t="shared" si="87"/>
        <v>24945.981584300433</v>
      </c>
      <c r="M87" s="36">
        <f t="shared" si="87"/>
        <v>23316.482171193758</v>
      </c>
      <c r="N87" s="36">
        <f t="shared" si="87"/>
        <v>22493.222643250945</v>
      </c>
      <c r="O87" s="36">
        <f t="shared" si="87"/>
        <v>23753.720184900409</v>
      </c>
      <c r="P87" s="36">
        <f t="shared" si="87"/>
        <v>27290.004654687567</v>
      </c>
      <c r="Q87" s="36">
        <f t="shared" si="87"/>
        <v>29782.740875455158</v>
      </c>
      <c r="R87" s="36">
        <f t="shared" si="87"/>
        <v>30466.019838492506</v>
      </c>
      <c r="S87" s="36">
        <f t="shared" si="87"/>
        <v>30088.27448200795</v>
      </c>
      <c r="T87" s="36">
        <f t="shared" si="87"/>
        <v>28738.914557642529</v>
      </c>
      <c r="U87" s="36">
        <f t="shared" si="87"/>
        <v>27900.749661630514</v>
      </c>
      <c r="V87" s="36">
        <f t="shared" si="87"/>
        <v>20041.882917762214</v>
      </c>
      <c r="W87" s="36">
        <f t="shared" ref="W87:Y87" si="88">IF(W5=0,0,W5*1000000/W25)</f>
        <v>22950.907182731324</v>
      </c>
      <c r="X87" s="36">
        <f t="shared" si="88"/>
        <v>29178.022688228797</v>
      </c>
      <c r="Y87" s="36">
        <f t="shared" si="88"/>
        <v>29974.951066596153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315722.29443086381</v>
      </c>
      <c r="C88" s="36">
        <f t="shared" si="84"/>
        <v>315884.4571330233</v>
      </c>
      <c r="D88" s="36">
        <f t="shared" ref="D88:V88" si="89">IF(D6=0,0,D6*1000000/D26)</f>
        <v>312869.09576248925</v>
      </c>
      <c r="E88" s="36">
        <f t="shared" si="89"/>
        <v>307444.92270733404</v>
      </c>
      <c r="F88" s="36">
        <f t="shared" si="89"/>
        <v>304840.6313443394</v>
      </c>
      <c r="G88" s="36">
        <f t="shared" si="89"/>
        <v>317986.68529937707</v>
      </c>
      <c r="H88" s="36">
        <f t="shared" si="89"/>
        <v>306370.44028410304</v>
      </c>
      <c r="I88" s="36">
        <f t="shared" si="89"/>
        <v>286226.84135329473</v>
      </c>
      <c r="J88" s="36">
        <f t="shared" si="89"/>
        <v>280198.47556373919</v>
      </c>
      <c r="K88" s="36">
        <f t="shared" si="89"/>
        <v>274962.04588122113</v>
      </c>
      <c r="L88" s="36">
        <f t="shared" si="89"/>
        <v>280558.78566495609</v>
      </c>
      <c r="M88" s="36">
        <f t="shared" si="89"/>
        <v>287426.98675866099</v>
      </c>
      <c r="N88" s="36">
        <f t="shared" si="89"/>
        <v>295429.62064285664</v>
      </c>
      <c r="O88" s="36">
        <f t="shared" si="89"/>
        <v>308146.18285966112</v>
      </c>
      <c r="P88" s="36">
        <f t="shared" si="89"/>
        <v>298158.31681109895</v>
      </c>
      <c r="Q88" s="36">
        <f t="shared" si="89"/>
        <v>292956.05483756791</v>
      </c>
      <c r="R88" s="36">
        <f t="shared" si="89"/>
        <v>297508.51665761712</v>
      </c>
      <c r="S88" s="36">
        <f t="shared" si="89"/>
        <v>307449.35004397423</v>
      </c>
      <c r="T88" s="36">
        <f t="shared" si="89"/>
        <v>302473.3533903932</v>
      </c>
      <c r="U88" s="36">
        <f t="shared" si="89"/>
        <v>309343.78090329212</v>
      </c>
      <c r="V88" s="36">
        <f t="shared" si="89"/>
        <v>239939.29113934917</v>
      </c>
      <c r="W88" s="36">
        <f t="shared" ref="W88:Y88" si="90">IF(W6=0,0,W6*1000000/W26)</f>
        <v>240584.6029289595</v>
      </c>
      <c r="X88" s="36">
        <f t="shared" si="90"/>
        <v>300002.63079852995</v>
      </c>
      <c r="Y88" s="36">
        <f t="shared" si="90"/>
        <v>316578.2293406417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320556.7560767993</v>
      </c>
      <c r="C89" s="36">
        <f t="shared" si="84"/>
        <v>322163.36049091397</v>
      </c>
      <c r="D89" s="36">
        <f t="shared" ref="D89:V89" si="91">IF(D7=0,0,D7*1000000/D27)</f>
        <v>324192.64086183684</v>
      </c>
      <c r="E89" s="36">
        <f t="shared" si="91"/>
        <v>326666.85131144378</v>
      </c>
      <c r="F89" s="36">
        <f t="shared" si="91"/>
        <v>310080.09810828627</v>
      </c>
      <c r="G89" s="36">
        <f t="shared" si="91"/>
        <v>334655.10516280244</v>
      </c>
      <c r="H89" s="36">
        <f t="shared" si="91"/>
        <v>366297.72646092169</v>
      </c>
      <c r="I89" s="36">
        <f t="shared" si="91"/>
        <v>376702.13754401129</v>
      </c>
      <c r="J89" s="36">
        <f t="shared" si="91"/>
        <v>379851.5923719916</v>
      </c>
      <c r="K89" s="36">
        <f t="shared" si="91"/>
        <v>330727.59710039577</v>
      </c>
      <c r="L89" s="36">
        <f t="shared" si="91"/>
        <v>342046.93987451954</v>
      </c>
      <c r="M89" s="36">
        <f t="shared" si="91"/>
        <v>341939.15540467243</v>
      </c>
      <c r="N89" s="36">
        <f t="shared" si="91"/>
        <v>308353.30149020709</v>
      </c>
      <c r="O89" s="36">
        <f t="shared" si="91"/>
        <v>324276.61685323186</v>
      </c>
      <c r="P89" s="36">
        <f t="shared" si="91"/>
        <v>313117.68864158745</v>
      </c>
      <c r="Q89" s="36">
        <f t="shared" si="91"/>
        <v>290836.62413410464</v>
      </c>
      <c r="R89" s="36">
        <f t="shared" si="91"/>
        <v>305954.90904903674</v>
      </c>
      <c r="S89" s="36">
        <f t="shared" si="91"/>
        <v>342620.42783672764</v>
      </c>
      <c r="T89" s="36">
        <f t="shared" si="91"/>
        <v>381822.84316426236</v>
      </c>
      <c r="U89" s="36">
        <f t="shared" si="91"/>
        <v>383881.53946130088</v>
      </c>
      <c r="V89" s="36">
        <f t="shared" si="91"/>
        <v>209934.51109431419</v>
      </c>
      <c r="W89" s="36">
        <f t="shared" ref="W89:Y89" si="92">IF(W7=0,0,W7*1000000/W27)</f>
        <v>320018.20269307453</v>
      </c>
      <c r="X89" s="36">
        <f t="shared" si="92"/>
        <v>448842.93514931767</v>
      </c>
      <c r="Y89" s="36">
        <f t="shared" si="92"/>
        <v>460456.56506382715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26176.652863141273</v>
      </c>
      <c r="C90" s="13">
        <f t="shared" si="84"/>
        <v>26308.396799612463</v>
      </c>
      <c r="D90" s="13">
        <f t="shared" ref="D90:V90" si="93">IF(D8=0,0,D8*1000000/D28)</f>
        <v>25460.673507018822</v>
      </c>
      <c r="E90" s="13">
        <f t="shared" si="93"/>
        <v>26817.482340846454</v>
      </c>
      <c r="F90" s="13">
        <f t="shared" si="93"/>
        <v>27854.754638379025</v>
      </c>
      <c r="G90" s="13">
        <f t="shared" si="93"/>
        <v>27151.277248720289</v>
      </c>
      <c r="H90" s="13">
        <f t="shared" si="93"/>
        <v>25438.498057743796</v>
      </c>
      <c r="I90" s="13">
        <f t="shared" si="93"/>
        <v>26150.032112990717</v>
      </c>
      <c r="J90" s="13">
        <f t="shared" si="93"/>
        <v>25392.700071742256</v>
      </c>
      <c r="K90" s="13">
        <f t="shared" si="93"/>
        <v>26077.087586537615</v>
      </c>
      <c r="L90" s="13">
        <f t="shared" si="93"/>
        <v>24949.799518048807</v>
      </c>
      <c r="M90" s="13">
        <f t="shared" si="93"/>
        <v>28422.509455254705</v>
      </c>
      <c r="N90" s="13">
        <f t="shared" si="93"/>
        <v>30900.448695745425</v>
      </c>
      <c r="O90" s="13">
        <f t="shared" si="93"/>
        <v>30268.479397549661</v>
      </c>
      <c r="P90" s="13">
        <f t="shared" si="93"/>
        <v>36706.132131978957</v>
      </c>
      <c r="Q90" s="13">
        <f t="shared" si="93"/>
        <v>36706.368221747449</v>
      </c>
      <c r="R90" s="13">
        <f t="shared" si="93"/>
        <v>42278.520252754432</v>
      </c>
      <c r="S90" s="13">
        <f t="shared" si="93"/>
        <v>44960.659590346659</v>
      </c>
      <c r="T90" s="13">
        <f t="shared" si="93"/>
        <v>46372.340025762132</v>
      </c>
      <c r="U90" s="13">
        <f t="shared" si="93"/>
        <v>50295.246470456739</v>
      </c>
      <c r="V90" s="13">
        <f t="shared" si="93"/>
        <v>33317.668686426805</v>
      </c>
      <c r="W90" s="13">
        <f t="shared" ref="W90:Y90" si="94">IF(W8=0,0,W8*1000000/W28)</f>
        <v>37668.982854676935</v>
      </c>
      <c r="X90" s="13">
        <f t="shared" si="94"/>
        <v>39861.267952803173</v>
      </c>
      <c r="Y90" s="13">
        <f t="shared" si="94"/>
        <v>40793.05940119399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4257.8810064520703</v>
      </c>
      <c r="C91" s="34">
        <f t="shared" si="84"/>
        <v>4225.4093138355756</v>
      </c>
      <c r="D91" s="34">
        <f t="shared" ref="D91:V91" si="95">IF(D9=0,0,D9*1000000/D29)</f>
        <v>4345.1067908562773</v>
      </c>
      <c r="E91" s="34">
        <f t="shared" si="95"/>
        <v>4621.8597448922428</v>
      </c>
      <c r="F91" s="34">
        <f t="shared" si="95"/>
        <v>4352.1892032214173</v>
      </c>
      <c r="G91" s="34">
        <f t="shared" si="95"/>
        <v>4218.0976640562467</v>
      </c>
      <c r="H91" s="34">
        <f t="shared" si="95"/>
        <v>4027.0931991189764</v>
      </c>
      <c r="I91" s="34">
        <f t="shared" si="95"/>
        <v>3969.1531222407707</v>
      </c>
      <c r="J91" s="34">
        <f t="shared" si="95"/>
        <v>3847.900100587794</v>
      </c>
      <c r="K91" s="34">
        <f t="shared" si="95"/>
        <v>3804.4837424861043</v>
      </c>
      <c r="L91" s="34">
        <f t="shared" si="95"/>
        <v>4002.0539738778366</v>
      </c>
      <c r="M91" s="34">
        <f t="shared" si="95"/>
        <v>4232.3203294466684</v>
      </c>
      <c r="N91" s="34">
        <f t="shared" si="95"/>
        <v>4452.6259616139941</v>
      </c>
      <c r="O91" s="34">
        <f t="shared" si="95"/>
        <v>4552.3359950501826</v>
      </c>
      <c r="P91" s="34">
        <f t="shared" si="95"/>
        <v>5139.7339738373084</v>
      </c>
      <c r="Q91" s="34">
        <f t="shared" si="95"/>
        <v>5308.0728822838364</v>
      </c>
      <c r="R91" s="34">
        <f t="shared" si="95"/>
        <v>6008.9006082059377</v>
      </c>
      <c r="S91" s="34">
        <f t="shared" si="95"/>
        <v>5421.8843278561399</v>
      </c>
      <c r="T91" s="34">
        <f t="shared" si="95"/>
        <v>5408.1877265697922</v>
      </c>
      <c r="U91" s="34">
        <f t="shared" si="95"/>
        <v>6155.6749233888031</v>
      </c>
      <c r="V91" s="34">
        <f t="shared" si="95"/>
        <v>5674.3250208234886</v>
      </c>
      <c r="W91" s="34">
        <f t="shared" ref="W91:Y91" si="96">IF(W9=0,0,W9*1000000/W29)</f>
        <v>5702.0220574589739</v>
      </c>
      <c r="X91" s="34">
        <f t="shared" si="96"/>
        <v>5827.9609332726914</v>
      </c>
      <c r="Y91" s="34">
        <f t="shared" si="96"/>
        <v>5498.2859866789713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47484.521784389617</v>
      </c>
      <c r="C92" s="34">
        <f t="shared" si="84"/>
        <v>50098.252528349767</v>
      </c>
      <c r="D92" s="34">
        <f t="shared" ref="D92:V92" si="97">IF(D10=0,0,D10*1000000/D30)</f>
        <v>47107.36291115381</v>
      </c>
      <c r="E92" s="34">
        <f t="shared" si="97"/>
        <v>48019.034493538144</v>
      </c>
      <c r="F92" s="34">
        <f t="shared" si="97"/>
        <v>43561.003933146567</v>
      </c>
      <c r="G92" s="34">
        <f t="shared" si="97"/>
        <v>42342.116840695693</v>
      </c>
      <c r="H92" s="34">
        <f t="shared" si="97"/>
        <v>36281.739576751395</v>
      </c>
      <c r="I92" s="34">
        <f t="shared" si="97"/>
        <v>34487.779095548663</v>
      </c>
      <c r="J92" s="34">
        <f t="shared" si="97"/>
        <v>33257.827743407193</v>
      </c>
      <c r="K92" s="34">
        <f t="shared" si="97"/>
        <v>33634.577297230891</v>
      </c>
      <c r="L92" s="34">
        <f t="shared" si="97"/>
        <v>34229.296273479107</v>
      </c>
      <c r="M92" s="34">
        <f t="shared" si="97"/>
        <v>36260.929930557984</v>
      </c>
      <c r="N92" s="34">
        <f t="shared" si="97"/>
        <v>39803.38505983998</v>
      </c>
      <c r="O92" s="34">
        <f t="shared" si="97"/>
        <v>39291.097934452635</v>
      </c>
      <c r="P92" s="34">
        <f t="shared" si="97"/>
        <v>44536.925856558009</v>
      </c>
      <c r="Q92" s="34">
        <f t="shared" si="97"/>
        <v>42899.192819822805</v>
      </c>
      <c r="R92" s="34">
        <f t="shared" si="97"/>
        <v>46907.605518654629</v>
      </c>
      <c r="S92" s="34">
        <f t="shared" si="97"/>
        <v>42662.141849616848</v>
      </c>
      <c r="T92" s="34">
        <f t="shared" si="97"/>
        <v>42718.94430449701</v>
      </c>
      <c r="U92" s="34">
        <f t="shared" si="97"/>
        <v>41223.572920530984</v>
      </c>
      <c r="V92" s="34">
        <f t="shared" si="97"/>
        <v>31080.297627234002</v>
      </c>
      <c r="W92" s="34">
        <f t="shared" ref="W92:Y92" si="98">IF(W10=0,0,W10*1000000/W30)</f>
        <v>29755.59857266671</v>
      </c>
      <c r="X92" s="34">
        <f t="shared" si="98"/>
        <v>31096.532662261601</v>
      </c>
      <c r="Y92" s="34">
        <f t="shared" si="98"/>
        <v>31941.537757871625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126507.9012977167</v>
      </c>
      <c r="C93" s="35">
        <f t="shared" si="84"/>
        <v>132570.23236241422</v>
      </c>
      <c r="D93" s="35">
        <f t="shared" ref="D93:V93" si="99">IF(D11=0,0,D11*1000000/D31)</f>
        <v>125169.99894576384</v>
      </c>
      <c r="E93" s="35">
        <f t="shared" si="99"/>
        <v>113732.84806538954</v>
      </c>
      <c r="F93" s="35">
        <f t="shared" si="99"/>
        <v>110386.56396285612</v>
      </c>
      <c r="G93" s="35">
        <f t="shared" si="99"/>
        <v>99126.465326456426</v>
      </c>
      <c r="H93" s="35">
        <f t="shared" si="99"/>
        <v>102014.16614846904</v>
      </c>
      <c r="I93" s="35">
        <f t="shared" si="99"/>
        <v>100969.31394661819</v>
      </c>
      <c r="J93" s="35">
        <f t="shared" si="99"/>
        <v>95835.333724057331</v>
      </c>
      <c r="K93" s="35">
        <f t="shared" si="99"/>
        <v>89182.009830855721</v>
      </c>
      <c r="L93" s="35">
        <f t="shared" si="99"/>
        <v>76792.339307694216</v>
      </c>
      <c r="M93" s="35">
        <f t="shared" si="99"/>
        <v>85171.828078950013</v>
      </c>
      <c r="N93" s="35">
        <f t="shared" si="99"/>
        <v>84569.394405070212</v>
      </c>
      <c r="O93" s="35">
        <f t="shared" si="99"/>
        <v>79619.739240585448</v>
      </c>
      <c r="P93" s="35">
        <f t="shared" si="99"/>
        <v>88276.631893119382</v>
      </c>
      <c r="Q93" s="35">
        <f t="shared" si="99"/>
        <v>79840.397016261108</v>
      </c>
      <c r="R93" s="35">
        <f t="shared" si="99"/>
        <v>92249.968797281268</v>
      </c>
      <c r="S93" s="35">
        <f t="shared" si="99"/>
        <v>101152.97922501707</v>
      </c>
      <c r="T93" s="35">
        <f t="shared" si="99"/>
        <v>111851.80883893049</v>
      </c>
      <c r="U93" s="35">
        <f t="shared" si="99"/>
        <v>130660.24997424183</v>
      </c>
      <c r="V93" s="35">
        <f t="shared" si="99"/>
        <v>73491.642099632183</v>
      </c>
      <c r="W93" s="35">
        <f t="shared" ref="W93:Y93" si="100">IF(W11=0,0,W11*1000000/W31)</f>
        <v>71607.459185700587</v>
      </c>
      <c r="X93" s="35">
        <f t="shared" si="100"/>
        <v>68592.850594349191</v>
      </c>
      <c r="Y93" s="35">
        <f t="shared" si="100"/>
        <v>80196.803845229093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1327.1300376311444</v>
      </c>
      <c r="C95" s="62">
        <f t="shared" si="101"/>
        <v>1329.9332700403695</v>
      </c>
      <c r="D95" s="62">
        <f t="shared" ref="D95:V95" si="102">IF(D23=0,0,D23/D43)</f>
        <v>1305.7126264704027</v>
      </c>
      <c r="E95" s="62">
        <f t="shared" si="102"/>
        <v>1282.9540071113117</v>
      </c>
      <c r="F95" s="62">
        <f t="shared" si="102"/>
        <v>1288.0583981370494</v>
      </c>
      <c r="G95" s="62">
        <f t="shared" si="102"/>
        <v>1294.5873999963501</v>
      </c>
      <c r="H95" s="62">
        <f t="shared" si="102"/>
        <v>1285.643953819412</v>
      </c>
      <c r="I95" s="62">
        <f t="shared" si="102"/>
        <v>1276.1499137126061</v>
      </c>
      <c r="J95" s="62">
        <f t="shared" si="102"/>
        <v>1262.6684103640234</v>
      </c>
      <c r="K95" s="62">
        <f t="shared" si="102"/>
        <v>1316.6431314739705</v>
      </c>
      <c r="L95" s="62">
        <f t="shared" si="102"/>
        <v>1289.8889954477245</v>
      </c>
      <c r="M95" s="62">
        <f t="shared" si="102"/>
        <v>1256.2137187954197</v>
      </c>
      <c r="N95" s="62">
        <f t="shared" si="102"/>
        <v>1262.1300863215654</v>
      </c>
      <c r="O95" s="62">
        <f t="shared" si="102"/>
        <v>1240.3641200846919</v>
      </c>
      <c r="P95" s="62">
        <f t="shared" si="102"/>
        <v>1225.1527109349479</v>
      </c>
      <c r="Q95" s="62">
        <f t="shared" si="102"/>
        <v>1240.6781039756033</v>
      </c>
      <c r="R95" s="62">
        <f t="shared" si="102"/>
        <v>1240.4563064941651</v>
      </c>
      <c r="S95" s="62">
        <f t="shared" si="102"/>
        <v>1213.844913582021</v>
      </c>
      <c r="T95" s="62">
        <f t="shared" si="102"/>
        <v>1204.5591426610426</v>
      </c>
      <c r="U95" s="62">
        <f t="shared" si="102"/>
        <v>1196.795020053703</v>
      </c>
      <c r="V95" s="62">
        <f t="shared" si="102"/>
        <v>600.60807419842695</v>
      </c>
      <c r="W95" s="62">
        <f t="shared" ref="W95:Y95" si="103">IF(W23=0,0,W23/W43)</f>
        <v>983.95992259823777</v>
      </c>
      <c r="X95" s="62">
        <f t="shared" si="103"/>
        <v>1154.7539745892927</v>
      </c>
      <c r="Y95" s="62">
        <f t="shared" si="103"/>
        <v>1166.5189986475236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1337.3209716459348</v>
      </c>
      <c r="C96" s="11">
        <f t="shared" si="104"/>
        <v>1342.3136219722735</v>
      </c>
      <c r="D96" s="11">
        <f t="shared" ref="D96:V96" si="105">IF(D24=0,0,D24/D44)</f>
        <v>1317.1702848638988</v>
      </c>
      <c r="E96" s="11">
        <f t="shared" si="105"/>
        <v>1296.155153833226</v>
      </c>
      <c r="F96" s="11">
        <f t="shared" si="105"/>
        <v>1306.9659319421444</v>
      </c>
      <c r="G96" s="11">
        <f t="shared" si="105"/>
        <v>1310.2459720048155</v>
      </c>
      <c r="H96" s="11">
        <f t="shared" si="105"/>
        <v>1296.7078743829572</v>
      </c>
      <c r="I96" s="11">
        <f t="shared" si="105"/>
        <v>1286.6624741244304</v>
      </c>
      <c r="J96" s="11">
        <f t="shared" si="105"/>
        <v>1270.2127425041051</v>
      </c>
      <c r="K96" s="11">
        <f t="shared" si="105"/>
        <v>1324.342218700398</v>
      </c>
      <c r="L96" s="11">
        <f t="shared" si="105"/>
        <v>1296.904238413425</v>
      </c>
      <c r="M96" s="11">
        <f t="shared" si="105"/>
        <v>1261.9884955606433</v>
      </c>
      <c r="N96" s="11">
        <f t="shared" si="105"/>
        <v>1267.9804020106596</v>
      </c>
      <c r="O96" s="11">
        <f t="shared" si="105"/>
        <v>1245.3748258848452</v>
      </c>
      <c r="P96" s="11">
        <f t="shared" si="105"/>
        <v>1228.9286554614503</v>
      </c>
      <c r="Q96" s="11">
        <f t="shared" si="105"/>
        <v>1243.8982786526449</v>
      </c>
      <c r="R96" s="11">
        <f t="shared" si="105"/>
        <v>1243.476681655133</v>
      </c>
      <c r="S96" s="11">
        <f t="shared" si="105"/>
        <v>1216.5492258433069</v>
      </c>
      <c r="T96" s="11">
        <f t="shared" si="105"/>
        <v>1207.7960420540469</v>
      </c>
      <c r="U96" s="11">
        <f t="shared" si="105"/>
        <v>1199.9049805305231</v>
      </c>
      <c r="V96" s="11">
        <f t="shared" si="105"/>
        <v>597.76112066997507</v>
      </c>
      <c r="W96" s="11">
        <f t="shared" ref="W96:Y96" si="106">IF(W24=0,0,W24/W44)</f>
        <v>984.50826837389059</v>
      </c>
      <c r="X96" s="11">
        <f t="shared" si="106"/>
        <v>1157.1455400137108</v>
      </c>
      <c r="Y96" s="11">
        <f t="shared" si="106"/>
        <v>1170.2730083521765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2264</v>
      </c>
      <c r="C97" s="36">
        <f t="shared" si="104"/>
        <v>2264</v>
      </c>
      <c r="D97" s="36">
        <f t="shared" ref="D97:V97" si="107">IF(D25=0,0,D25/D45)</f>
        <v>2264</v>
      </c>
      <c r="E97" s="36">
        <f t="shared" si="107"/>
        <v>2264</v>
      </c>
      <c r="F97" s="36">
        <f t="shared" si="107"/>
        <v>2264</v>
      </c>
      <c r="G97" s="36">
        <f t="shared" si="107"/>
        <v>2270</v>
      </c>
      <c r="H97" s="36">
        <f t="shared" si="107"/>
        <v>2277</v>
      </c>
      <c r="I97" s="36">
        <f t="shared" si="107"/>
        <v>2286</v>
      </c>
      <c r="J97" s="36">
        <f t="shared" si="107"/>
        <v>2283</v>
      </c>
      <c r="K97" s="36">
        <f t="shared" si="107"/>
        <v>2298</v>
      </c>
      <c r="L97" s="36">
        <f t="shared" si="107"/>
        <v>2271.9239233596331</v>
      </c>
      <c r="M97" s="36">
        <f t="shared" si="107"/>
        <v>2282.2988997965122</v>
      </c>
      <c r="N97" s="36">
        <f t="shared" si="107"/>
        <v>2384</v>
      </c>
      <c r="O97" s="36">
        <f t="shared" si="107"/>
        <v>2399.9999999999995</v>
      </c>
      <c r="P97" s="36">
        <f t="shared" si="107"/>
        <v>2396</v>
      </c>
      <c r="Q97" s="36">
        <f t="shared" si="107"/>
        <v>2391</v>
      </c>
      <c r="R97" s="36">
        <f t="shared" si="107"/>
        <v>2380</v>
      </c>
      <c r="S97" s="36">
        <f t="shared" si="107"/>
        <v>2399</v>
      </c>
      <c r="T97" s="36">
        <f t="shared" si="107"/>
        <v>2399</v>
      </c>
      <c r="U97" s="36">
        <f t="shared" si="107"/>
        <v>2407</v>
      </c>
      <c r="V97" s="36">
        <f t="shared" si="107"/>
        <v>1577.9055319791069</v>
      </c>
      <c r="W97" s="36">
        <f t="shared" ref="W97:Y97" si="108">IF(W25=0,0,W25/W45)</f>
        <v>2291.5495612345485</v>
      </c>
      <c r="X97" s="36">
        <f t="shared" si="108"/>
        <v>2417</v>
      </c>
      <c r="Y97" s="36">
        <f t="shared" si="108"/>
        <v>2424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967.5270158652628</v>
      </c>
      <c r="C98" s="36">
        <f t="shared" si="104"/>
        <v>967.52648934811793</v>
      </c>
      <c r="D98" s="36">
        <f t="shared" ref="D98:V98" si="109">IF(D26=0,0,D26/D46)</f>
        <v>967.52702745820955</v>
      </c>
      <c r="E98" s="36">
        <f t="shared" si="109"/>
        <v>967.52659440131072</v>
      </c>
      <c r="F98" s="36">
        <f t="shared" si="109"/>
        <v>970.83024621984123</v>
      </c>
      <c r="G98" s="36">
        <f t="shared" si="109"/>
        <v>976.46874880402424</v>
      </c>
      <c r="H98" s="36">
        <f t="shared" si="109"/>
        <v>975.50395219832762</v>
      </c>
      <c r="I98" s="36">
        <f t="shared" si="109"/>
        <v>983.14826822433645</v>
      </c>
      <c r="J98" s="36">
        <f t="shared" si="109"/>
        <v>985.16562351826781</v>
      </c>
      <c r="K98" s="36">
        <f t="shared" si="109"/>
        <v>983.77133894052781</v>
      </c>
      <c r="L98" s="36">
        <f t="shared" si="109"/>
        <v>980.02710955136092</v>
      </c>
      <c r="M98" s="36">
        <f t="shared" si="109"/>
        <v>981.04707759562905</v>
      </c>
      <c r="N98" s="36">
        <f t="shared" si="109"/>
        <v>951.64148480133247</v>
      </c>
      <c r="O98" s="36">
        <f t="shared" si="109"/>
        <v>970.23192081761215</v>
      </c>
      <c r="P98" s="36">
        <f t="shared" si="109"/>
        <v>971.05236247452262</v>
      </c>
      <c r="Q98" s="36">
        <f t="shared" si="109"/>
        <v>972.61462968951798</v>
      </c>
      <c r="R98" s="36">
        <f t="shared" si="109"/>
        <v>975.12503395645786</v>
      </c>
      <c r="S98" s="36">
        <f t="shared" si="109"/>
        <v>971.03444146293384</v>
      </c>
      <c r="T98" s="36">
        <f t="shared" si="109"/>
        <v>974.05348490040126</v>
      </c>
      <c r="U98" s="36">
        <f t="shared" si="109"/>
        <v>973.16882166871051</v>
      </c>
      <c r="V98" s="36">
        <f t="shared" si="109"/>
        <v>424.25221669784889</v>
      </c>
      <c r="W98" s="36">
        <f t="shared" ref="W98:Y98" si="110">IF(W26=0,0,W26/W46)</f>
        <v>775.52434989728476</v>
      </c>
      <c r="X98" s="36">
        <f t="shared" si="110"/>
        <v>964.94497805699859</v>
      </c>
      <c r="Y98" s="36">
        <f t="shared" si="110"/>
        <v>964.85268959326675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642</v>
      </c>
      <c r="C99" s="36">
        <f t="shared" si="104"/>
        <v>642</v>
      </c>
      <c r="D99" s="36">
        <f t="shared" ref="D99:V99" si="111">IF(D27=0,0,D27/D47)</f>
        <v>642</v>
      </c>
      <c r="E99" s="36">
        <f t="shared" si="111"/>
        <v>642</v>
      </c>
      <c r="F99" s="36">
        <f t="shared" si="111"/>
        <v>642</v>
      </c>
      <c r="G99" s="36">
        <f t="shared" si="111"/>
        <v>655</v>
      </c>
      <c r="H99" s="36">
        <f t="shared" si="111"/>
        <v>626</v>
      </c>
      <c r="I99" s="36">
        <f t="shared" si="111"/>
        <v>613</v>
      </c>
      <c r="J99" s="36">
        <f t="shared" si="111"/>
        <v>610</v>
      </c>
      <c r="K99" s="36">
        <f t="shared" si="111"/>
        <v>631.44933129566232</v>
      </c>
      <c r="L99" s="36">
        <f t="shared" si="111"/>
        <v>667</v>
      </c>
      <c r="M99" s="36">
        <f t="shared" si="111"/>
        <v>688</v>
      </c>
      <c r="N99" s="36">
        <f t="shared" si="111"/>
        <v>741</v>
      </c>
      <c r="O99" s="36">
        <f t="shared" si="111"/>
        <v>735</v>
      </c>
      <c r="P99" s="36">
        <f t="shared" si="111"/>
        <v>736</v>
      </c>
      <c r="Q99" s="36">
        <f t="shared" si="111"/>
        <v>728.16070141715136</v>
      </c>
      <c r="R99" s="36">
        <f t="shared" si="111"/>
        <v>738</v>
      </c>
      <c r="S99" s="36">
        <f t="shared" si="111"/>
        <v>708</v>
      </c>
      <c r="T99" s="36">
        <f t="shared" si="111"/>
        <v>692</v>
      </c>
      <c r="U99" s="36">
        <f t="shared" si="111"/>
        <v>681</v>
      </c>
      <c r="V99" s="36">
        <f t="shared" si="111"/>
        <v>171.78795445154628</v>
      </c>
      <c r="W99" s="36">
        <f t="shared" ref="W99:Y99" si="112">IF(W27=0,0,W27/W47)</f>
        <v>389.60992086171211</v>
      </c>
      <c r="X99" s="36">
        <f t="shared" si="112"/>
        <v>505.7694445527373</v>
      </c>
      <c r="Y99" s="36">
        <f t="shared" si="112"/>
        <v>569.14781699631556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1042.9181958489455</v>
      </c>
      <c r="C100" s="13">
        <f t="shared" si="104"/>
        <v>1048.9990973764893</v>
      </c>
      <c r="D100" s="13">
        <f t="shared" ref="D100:V100" si="113">IF(D28=0,0,D28/D48)</f>
        <v>1044.4202283218988</v>
      </c>
      <c r="E100" s="13">
        <f t="shared" si="113"/>
        <v>952.88521200300954</v>
      </c>
      <c r="F100" s="13">
        <f t="shared" si="113"/>
        <v>713.45768571970939</v>
      </c>
      <c r="G100" s="13">
        <f t="shared" si="113"/>
        <v>776.97705034166097</v>
      </c>
      <c r="H100" s="13">
        <f t="shared" si="113"/>
        <v>882.28823801441217</v>
      </c>
      <c r="I100" s="13">
        <f t="shared" si="113"/>
        <v>847.81026167322091</v>
      </c>
      <c r="J100" s="13">
        <f t="shared" si="113"/>
        <v>945.73243951193876</v>
      </c>
      <c r="K100" s="13">
        <f t="shared" si="113"/>
        <v>947.00836077952283</v>
      </c>
      <c r="L100" s="13">
        <f t="shared" si="113"/>
        <v>938.93493600024249</v>
      </c>
      <c r="M100" s="13">
        <f t="shared" si="113"/>
        <v>931.4779832361728</v>
      </c>
      <c r="N100" s="13">
        <f t="shared" si="113"/>
        <v>912.65766807141893</v>
      </c>
      <c r="O100" s="13">
        <f t="shared" si="113"/>
        <v>920.85983236845186</v>
      </c>
      <c r="P100" s="13">
        <f t="shared" si="113"/>
        <v>888.76130987371653</v>
      </c>
      <c r="Q100" s="13">
        <f t="shared" si="113"/>
        <v>925.22137993118599</v>
      </c>
      <c r="R100" s="13">
        <f t="shared" si="113"/>
        <v>913.11213242303711</v>
      </c>
      <c r="S100" s="13">
        <f t="shared" si="113"/>
        <v>892.29102695182542</v>
      </c>
      <c r="T100" s="13">
        <f t="shared" si="113"/>
        <v>914.90499460225783</v>
      </c>
      <c r="U100" s="13">
        <f t="shared" si="113"/>
        <v>914.68267128014509</v>
      </c>
      <c r="V100" s="13">
        <f t="shared" si="113"/>
        <v>867.22772994195475</v>
      </c>
      <c r="W100" s="13">
        <f t="shared" ref="W100:Y100" si="114">IF(W28=0,0,W28/W48)</f>
        <v>941.49938561371448</v>
      </c>
      <c r="X100" s="13">
        <f t="shared" si="114"/>
        <v>938.50900928653334</v>
      </c>
      <c r="Y100" s="13">
        <f t="shared" si="114"/>
        <v>808.93720541587288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1383</v>
      </c>
      <c r="C101" s="34">
        <f t="shared" si="104"/>
        <v>1383</v>
      </c>
      <c r="D101" s="34">
        <f t="shared" ref="D101:V101" si="115">IF(D29=0,0,D29/D49)</f>
        <v>1383</v>
      </c>
      <c r="E101" s="34">
        <f t="shared" si="115"/>
        <v>1253.1736474181989</v>
      </c>
      <c r="F101" s="34">
        <f t="shared" si="115"/>
        <v>831.72733784839818</v>
      </c>
      <c r="G101" s="34">
        <f t="shared" si="115"/>
        <v>887.54876177953122</v>
      </c>
      <c r="H101" s="34">
        <f t="shared" si="115"/>
        <v>1049.731741806688</v>
      </c>
      <c r="I101" s="34">
        <f t="shared" si="115"/>
        <v>1015.7136648961858</v>
      </c>
      <c r="J101" s="34">
        <f t="shared" si="115"/>
        <v>1294.1747237569068</v>
      </c>
      <c r="K101" s="34">
        <f t="shared" si="115"/>
        <v>1338.482409913119</v>
      </c>
      <c r="L101" s="34">
        <f t="shared" si="115"/>
        <v>1398</v>
      </c>
      <c r="M101" s="34">
        <f t="shared" si="115"/>
        <v>1409</v>
      </c>
      <c r="N101" s="34">
        <f t="shared" si="115"/>
        <v>1406</v>
      </c>
      <c r="O101" s="34">
        <f t="shared" si="115"/>
        <v>1412</v>
      </c>
      <c r="P101" s="34">
        <f t="shared" si="115"/>
        <v>1410</v>
      </c>
      <c r="Q101" s="34">
        <f t="shared" si="115"/>
        <v>1407</v>
      </c>
      <c r="R101" s="34">
        <f t="shared" si="115"/>
        <v>1403</v>
      </c>
      <c r="S101" s="34">
        <f t="shared" si="115"/>
        <v>1409</v>
      </c>
      <c r="T101" s="34">
        <f t="shared" si="115"/>
        <v>1409</v>
      </c>
      <c r="U101" s="34">
        <f t="shared" si="115"/>
        <v>1401</v>
      </c>
      <c r="V101" s="34">
        <f t="shared" si="115"/>
        <v>1406</v>
      </c>
      <c r="W101" s="34">
        <f t="shared" ref="W101:Y101" si="116">IF(W29=0,0,W29/W49)</f>
        <v>1415</v>
      </c>
      <c r="X101" s="34">
        <f t="shared" si="116"/>
        <v>1407</v>
      </c>
      <c r="Y101" s="34">
        <f t="shared" si="116"/>
        <v>1413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775.08491317094661</v>
      </c>
      <c r="C102" s="34">
        <f t="shared" si="104"/>
        <v>775.32896767610134</v>
      </c>
      <c r="D102" s="34">
        <f t="shared" ref="D102:V102" si="117">IF(D30=0,0,D30/D50)</f>
        <v>775.31561199872056</v>
      </c>
      <c r="E102" s="34">
        <f t="shared" si="117"/>
        <v>711.22327957499908</v>
      </c>
      <c r="F102" s="34">
        <f t="shared" si="117"/>
        <v>616.01978015559177</v>
      </c>
      <c r="G102" s="34">
        <f t="shared" si="117"/>
        <v>683.11407230671534</v>
      </c>
      <c r="H102" s="34">
        <f t="shared" si="117"/>
        <v>770.87033644277062</v>
      </c>
      <c r="I102" s="34">
        <f t="shared" si="117"/>
        <v>749.38603436716255</v>
      </c>
      <c r="J102" s="34">
        <f t="shared" si="117"/>
        <v>779.10703422331119</v>
      </c>
      <c r="K102" s="34">
        <f t="shared" si="117"/>
        <v>771.63764865108772</v>
      </c>
      <c r="L102" s="34">
        <f t="shared" si="117"/>
        <v>779.07484105991659</v>
      </c>
      <c r="M102" s="34">
        <f t="shared" si="117"/>
        <v>792.74999581303746</v>
      </c>
      <c r="N102" s="34">
        <f t="shared" si="117"/>
        <v>781.13886219868277</v>
      </c>
      <c r="O102" s="34">
        <f t="shared" si="117"/>
        <v>789.54725581664661</v>
      </c>
      <c r="P102" s="34">
        <f t="shared" si="117"/>
        <v>782.7585558004015</v>
      </c>
      <c r="Q102" s="34">
        <f t="shared" si="117"/>
        <v>799.6982845762127</v>
      </c>
      <c r="R102" s="34">
        <f t="shared" si="117"/>
        <v>804.46875986630357</v>
      </c>
      <c r="S102" s="34">
        <f t="shared" si="117"/>
        <v>811.53502979562575</v>
      </c>
      <c r="T102" s="34">
        <f t="shared" si="117"/>
        <v>816.05962912289453</v>
      </c>
      <c r="U102" s="34">
        <f t="shared" si="117"/>
        <v>845.67201683022836</v>
      </c>
      <c r="V102" s="34">
        <f t="shared" si="117"/>
        <v>872.4785745014176</v>
      </c>
      <c r="W102" s="34">
        <f t="shared" ref="W102:Y102" si="118">IF(W30=0,0,W30/W50)</f>
        <v>885.47218463963236</v>
      </c>
      <c r="X102" s="34">
        <f t="shared" si="118"/>
        <v>845.61569854284039</v>
      </c>
      <c r="Y102" s="34">
        <f t="shared" si="118"/>
        <v>766.29280840224851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800.00000000000011</v>
      </c>
      <c r="C103" s="35">
        <f t="shared" si="104"/>
        <v>800</v>
      </c>
      <c r="D103" s="35">
        <f t="shared" ref="D103:V103" si="119">IF(D31=0,0,D31/D51)</f>
        <v>800</v>
      </c>
      <c r="E103" s="35">
        <f t="shared" si="119"/>
        <v>800</v>
      </c>
      <c r="F103" s="35">
        <f t="shared" si="119"/>
        <v>671.5976331360946</v>
      </c>
      <c r="G103" s="35">
        <f t="shared" si="119"/>
        <v>761.12026359143317</v>
      </c>
      <c r="H103" s="35">
        <f t="shared" si="119"/>
        <v>793</v>
      </c>
      <c r="I103" s="35">
        <f t="shared" si="119"/>
        <v>791</v>
      </c>
      <c r="J103" s="35">
        <f t="shared" si="119"/>
        <v>804</v>
      </c>
      <c r="K103" s="35">
        <f t="shared" si="119"/>
        <v>857.16202816649388</v>
      </c>
      <c r="L103" s="35">
        <f t="shared" si="119"/>
        <v>688.59656416823259</v>
      </c>
      <c r="M103" s="35">
        <f t="shared" si="119"/>
        <v>721.68281747859339</v>
      </c>
      <c r="N103" s="35">
        <f t="shared" si="119"/>
        <v>699.51580130560706</v>
      </c>
      <c r="O103" s="35">
        <f t="shared" si="119"/>
        <v>720.64077299599501</v>
      </c>
      <c r="P103" s="35">
        <f t="shared" si="119"/>
        <v>732.1952273639364</v>
      </c>
      <c r="Q103" s="35">
        <f t="shared" si="119"/>
        <v>1010</v>
      </c>
      <c r="R103" s="35">
        <f t="shared" si="119"/>
        <v>983</v>
      </c>
      <c r="S103" s="35">
        <f t="shared" si="119"/>
        <v>941.00000000000011</v>
      </c>
      <c r="T103" s="35">
        <f t="shared" si="119"/>
        <v>922</v>
      </c>
      <c r="U103" s="35">
        <f t="shared" si="119"/>
        <v>864</v>
      </c>
      <c r="V103" s="35">
        <f t="shared" si="119"/>
        <v>611.54074955383703</v>
      </c>
      <c r="W103" s="35">
        <f t="shared" ref="W103:Y103" si="120">IF(W31=0,0,W31/W51)</f>
        <v>942</v>
      </c>
      <c r="X103" s="35">
        <f t="shared" si="120"/>
        <v>1005.0000000000001</v>
      </c>
      <c r="Y103" s="35">
        <f t="shared" si="120"/>
        <v>715.69807898945578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7.4261904832361669E-2</v>
      </c>
      <c r="C107" s="43">
        <f t="shared" si="124"/>
        <v>7.5874197165722343E-2</v>
      </c>
      <c r="D107" s="43">
        <f t="shared" ref="D107:V107" si="125">IF(D5=0,0,D5/D$4)</f>
        <v>7.0825914037832935E-2</v>
      </c>
      <c r="E107" s="43">
        <f t="shared" si="125"/>
        <v>6.7186280775098806E-2</v>
      </c>
      <c r="F107" s="43">
        <f t="shared" si="125"/>
        <v>7.3019399669093113E-2</v>
      </c>
      <c r="G107" s="43">
        <f t="shared" si="125"/>
        <v>7.2671943850917839E-2</v>
      </c>
      <c r="H107" s="43">
        <f t="shared" si="125"/>
        <v>7.3179601736870853E-2</v>
      </c>
      <c r="I107" s="43">
        <f t="shared" si="125"/>
        <v>7.6795024827926286E-2</v>
      </c>
      <c r="J107" s="43">
        <f t="shared" si="125"/>
        <v>7.8534771926207114E-2</v>
      </c>
      <c r="K107" s="43">
        <f t="shared" si="125"/>
        <v>8.6052032427538325E-2</v>
      </c>
      <c r="L107" s="43">
        <f t="shared" si="125"/>
        <v>7.7729480873369144E-2</v>
      </c>
      <c r="M107" s="43">
        <f t="shared" si="125"/>
        <v>6.2335658653798635E-2</v>
      </c>
      <c r="N107" s="43">
        <f t="shared" si="125"/>
        <v>6.1063666421352386E-2</v>
      </c>
      <c r="O107" s="43">
        <f t="shared" si="125"/>
        <v>5.5575538873027901E-2</v>
      </c>
      <c r="P107" s="43">
        <f t="shared" si="125"/>
        <v>6.024590615741722E-2</v>
      </c>
      <c r="Q107" s="43">
        <f t="shared" si="125"/>
        <v>6.991938351002229E-2</v>
      </c>
      <c r="R107" s="43">
        <f t="shared" si="125"/>
        <v>6.8982282764806307E-2</v>
      </c>
      <c r="S107" s="43">
        <f t="shared" si="125"/>
        <v>6.1266968382050833E-2</v>
      </c>
      <c r="T107" s="43">
        <f t="shared" si="125"/>
        <v>5.6195279656813757E-2</v>
      </c>
      <c r="U107" s="43">
        <f t="shared" si="125"/>
        <v>5.3444226237620289E-2</v>
      </c>
      <c r="V107" s="43">
        <f t="shared" si="125"/>
        <v>8.0758069845064326E-2</v>
      </c>
      <c r="W107" s="43">
        <f t="shared" ref="W107:Y107" si="126">IF(W5=0,0,W5/W$4)</f>
        <v>6.6330891423180272E-2</v>
      </c>
      <c r="X107" s="43">
        <f t="shared" si="126"/>
        <v>5.4796363918675331E-2</v>
      </c>
      <c r="Y107" s="43">
        <f t="shared" si="126"/>
        <v>5.2795203396728121E-2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0.83894515841052719</v>
      </c>
      <c r="C108" s="43">
        <f t="shared" si="127"/>
        <v>0.83712876782694345</v>
      </c>
      <c r="D108" s="43">
        <f t="shared" ref="D108:V108" si="128">IF(D6=0,0,D6/D$4)</f>
        <v>0.84044046230452396</v>
      </c>
      <c r="E108" s="43">
        <f t="shared" si="128"/>
        <v>0.84169834794544129</v>
      </c>
      <c r="F108" s="43">
        <f t="shared" si="128"/>
        <v>0.82562670071241773</v>
      </c>
      <c r="G108" s="43">
        <f t="shared" si="128"/>
        <v>0.81945294484168685</v>
      </c>
      <c r="H108" s="43">
        <f t="shared" si="128"/>
        <v>0.80142490068616246</v>
      </c>
      <c r="I108" s="43">
        <f t="shared" si="128"/>
        <v>0.77902239855283717</v>
      </c>
      <c r="J108" s="43">
        <f t="shared" si="128"/>
        <v>0.75771216777827932</v>
      </c>
      <c r="K108" s="43">
        <f t="shared" si="128"/>
        <v>0.76404141531976877</v>
      </c>
      <c r="L108" s="43">
        <f t="shared" si="128"/>
        <v>0.75171612451632763</v>
      </c>
      <c r="M108" s="43">
        <f t="shared" si="128"/>
        <v>0.75688233342735889</v>
      </c>
      <c r="N108" s="43">
        <f t="shared" si="128"/>
        <v>0.75744155748310416</v>
      </c>
      <c r="O108" s="43">
        <f t="shared" si="128"/>
        <v>0.73440265379141967</v>
      </c>
      <c r="P108" s="43">
        <f t="shared" si="128"/>
        <v>0.74885505026552923</v>
      </c>
      <c r="Q108" s="43">
        <f t="shared" si="128"/>
        <v>0.767744372142943</v>
      </c>
      <c r="R108" s="43">
        <f t="shared" si="128"/>
        <v>0.76351050383244823</v>
      </c>
      <c r="S108" s="43">
        <f t="shared" si="128"/>
        <v>0.75690894483302695</v>
      </c>
      <c r="T108" s="43">
        <f t="shared" si="128"/>
        <v>0.75209315908249974</v>
      </c>
      <c r="U108" s="43">
        <f t="shared" si="128"/>
        <v>0.74545854260864119</v>
      </c>
      <c r="V108" s="43">
        <f t="shared" si="128"/>
        <v>0.82662021288882315</v>
      </c>
      <c r="W108" s="43">
        <f t="shared" ref="W108:Y108" si="129">IF(W6=0,0,W6/W$4)</f>
        <v>0.76861104319578821</v>
      </c>
      <c r="X108" s="43">
        <f t="shared" si="129"/>
        <v>0.78589304644009939</v>
      </c>
      <c r="Y108" s="43">
        <f t="shared" si="129"/>
        <v>0.77822156003228127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8.6792936757111125E-2</v>
      </c>
      <c r="C109" s="43">
        <f t="shared" si="130"/>
        <v>8.6997035007334106E-2</v>
      </c>
      <c r="D109" s="43">
        <f t="shared" ref="D109:V109" si="131">IF(D7=0,0,D7/D$4)</f>
        <v>8.873362365764316E-2</v>
      </c>
      <c r="E109" s="43">
        <f t="shared" si="131"/>
        <v>9.1115371279459928E-2</v>
      </c>
      <c r="F109" s="43">
        <f t="shared" si="131"/>
        <v>0.10135389961848916</v>
      </c>
      <c r="G109" s="43">
        <f t="shared" si="131"/>
        <v>0.10787511130739531</v>
      </c>
      <c r="H109" s="43">
        <f t="shared" si="131"/>
        <v>0.12539549757696672</v>
      </c>
      <c r="I109" s="43">
        <f t="shared" si="131"/>
        <v>0.14418257661923659</v>
      </c>
      <c r="J109" s="43">
        <f t="shared" si="131"/>
        <v>0.16375306029551356</v>
      </c>
      <c r="K109" s="43">
        <f t="shared" si="131"/>
        <v>0.14990655225269289</v>
      </c>
      <c r="L109" s="43">
        <f t="shared" si="131"/>
        <v>0.17055439461030322</v>
      </c>
      <c r="M109" s="43">
        <f t="shared" si="131"/>
        <v>0.1807820079188425</v>
      </c>
      <c r="N109" s="43">
        <f t="shared" si="131"/>
        <v>0.1814947760955434</v>
      </c>
      <c r="O109" s="43">
        <f t="shared" si="131"/>
        <v>0.21002180733555245</v>
      </c>
      <c r="P109" s="43">
        <f t="shared" si="131"/>
        <v>0.19089904357705348</v>
      </c>
      <c r="Q109" s="43">
        <f t="shared" si="131"/>
        <v>0.16233624434703481</v>
      </c>
      <c r="R109" s="43">
        <f t="shared" si="131"/>
        <v>0.1675072134027456</v>
      </c>
      <c r="S109" s="43">
        <f t="shared" si="131"/>
        <v>0.18182408678492204</v>
      </c>
      <c r="T109" s="43">
        <f t="shared" si="131"/>
        <v>0.1917115612606865</v>
      </c>
      <c r="U109" s="43">
        <f t="shared" si="131"/>
        <v>0.20109723115373862</v>
      </c>
      <c r="V109" s="43">
        <f t="shared" si="131"/>
        <v>9.2621717266112527E-2</v>
      </c>
      <c r="W109" s="43">
        <f t="shared" ref="W109:Y109" si="132">IF(W7=0,0,W7/W$4)</f>
        <v>0.16505806538103157</v>
      </c>
      <c r="X109" s="43">
        <f t="shared" si="132"/>
        <v>0.1593105896412253</v>
      </c>
      <c r="Y109" s="43">
        <f t="shared" si="132"/>
        <v>0.16898323657099065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9.4478526113698488E-2</v>
      </c>
      <c r="C111" s="44">
        <f t="shared" si="136"/>
        <v>9.4909606637394089E-2</v>
      </c>
      <c r="D111" s="44">
        <f t="shared" ref="D111:V111" si="137">IF(D9=0,0,D9/D$8)</f>
        <v>9.9566935375307655E-2</v>
      </c>
      <c r="E111" s="44">
        <f t="shared" si="137"/>
        <v>9.8624450264607255E-2</v>
      </c>
      <c r="F111" s="44">
        <f t="shared" si="137"/>
        <v>7.9173126031012536E-2</v>
      </c>
      <c r="G111" s="44">
        <f t="shared" si="137"/>
        <v>7.6976719117473613E-2</v>
      </c>
      <c r="H111" s="44">
        <f t="shared" si="137"/>
        <v>7.4174669741060462E-2</v>
      </c>
      <c r="I111" s="44">
        <f t="shared" si="137"/>
        <v>6.5031906769915673E-2</v>
      </c>
      <c r="J111" s="44">
        <f t="shared" si="137"/>
        <v>6.6146850331409532E-2</v>
      </c>
      <c r="K111" s="44">
        <f t="shared" si="137"/>
        <v>6.0781602627382664E-2</v>
      </c>
      <c r="L111" s="44">
        <f t="shared" si="137"/>
        <v>6.5009653518009886E-2</v>
      </c>
      <c r="M111" s="44">
        <f t="shared" si="137"/>
        <v>5.3172999160952875E-2</v>
      </c>
      <c r="N111" s="44">
        <f t="shared" si="137"/>
        <v>4.9452244503633259E-2</v>
      </c>
      <c r="O111" s="44">
        <f t="shared" si="137"/>
        <v>5.0853156081016183E-2</v>
      </c>
      <c r="P111" s="44">
        <f t="shared" si="137"/>
        <v>3.9120509736539209E-2</v>
      </c>
      <c r="Q111" s="44">
        <f t="shared" si="137"/>
        <v>3.8331180029220237E-2</v>
      </c>
      <c r="R111" s="44">
        <f t="shared" si="137"/>
        <v>3.3104299391627984E-2</v>
      </c>
      <c r="S111" s="44">
        <f t="shared" si="137"/>
        <v>2.0057522432366245E-2</v>
      </c>
      <c r="T111" s="44">
        <f t="shared" si="137"/>
        <v>2.4629278531894984E-2</v>
      </c>
      <c r="U111" s="44">
        <f t="shared" si="137"/>
        <v>2.216658003179944E-2</v>
      </c>
      <c r="V111" s="44">
        <f t="shared" si="137"/>
        <v>2.2626119857553719E-2</v>
      </c>
      <c r="W111" s="44">
        <f t="shared" ref="W111:Y111" si="138">IF(W9=0,0,W9/W$8)</f>
        <v>1.7837393113617695E-2</v>
      </c>
      <c r="X111" s="44">
        <f t="shared" si="138"/>
        <v>1.7892985965725958E-2</v>
      </c>
      <c r="Y111" s="44">
        <f t="shared" si="138"/>
        <v>2.1132095525960948E-2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0.67314041462551599</v>
      </c>
      <c r="C112" s="44">
        <f t="shared" si="139"/>
        <v>0.70237296990723264</v>
      </c>
      <c r="D112" s="44">
        <f t="shared" ref="D112:V112" si="140">IF(D10=0,0,D10/D$8)</f>
        <v>0.69248976661286765</v>
      </c>
      <c r="E112" s="44">
        <f t="shared" si="140"/>
        <v>0.66694465575780881</v>
      </c>
      <c r="F112" s="44">
        <f t="shared" si="140"/>
        <v>0.67402684724356654</v>
      </c>
      <c r="G112" s="44">
        <f t="shared" si="140"/>
        <v>0.68519001232213983</v>
      </c>
      <c r="H112" s="44">
        <f t="shared" si="140"/>
        <v>0.66534071557480801</v>
      </c>
      <c r="I112" s="44">
        <f t="shared" si="140"/>
        <v>0.6597928576368367</v>
      </c>
      <c r="J112" s="44">
        <f t="shared" si="140"/>
        <v>0.63394918263589795</v>
      </c>
      <c r="K112" s="44">
        <f t="shared" si="140"/>
        <v>0.63937102578210891</v>
      </c>
      <c r="L112" s="44">
        <f t="shared" si="140"/>
        <v>0.72013367262772476</v>
      </c>
      <c r="M112" s="44">
        <f t="shared" si="140"/>
        <v>0.72635054028708179</v>
      </c>
      <c r="N112" s="44">
        <f t="shared" si="140"/>
        <v>0.75313276799046724</v>
      </c>
      <c r="O112" s="44">
        <f t="shared" si="140"/>
        <v>0.77151584198909595</v>
      </c>
      <c r="P112" s="44">
        <f t="shared" si="140"/>
        <v>0.78624268695165422</v>
      </c>
      <c r="Q112" s="44">
        <f t="shared" si="140"/>
        <v>0.73960959602289567</v>
      </c>
      <c r="R112" s="44">
        <f t="shared" si="140"/>
        <v>0.73123852413824131</v>
      </c>
      <c r="S112" s="44">
        <f t="shared" si="140"/>
        <v>0.65328282625854162</v>
      </c>
      <c r="T112" s="44">
        <f t="shared" si="140"/>
        <v>0.57299298281645195</v>
      </c>
      <c r="U112" s="44">
        <f t="shared" si="140"/>
        <v>0.52984396234820386</v>
      </c>
      <c r="V112" s="44">
        <f t="shared" si="140"/>
        <v>0.68546504228891592</v>
      </c>
      <c r="W112" s="44">
        <f t="shared" ref="W112:Y112" si="141">IF(W10=0,0,W10/W$8)</f>
        <v>0.49398277302574028</v>
      </c>
      <c r="X112" s="44">
        <f t="shared" si="141"/>
        <v>0.43795592557201435</v>
      </c>
      <c r="Y112" s="44">
        <f t="shared" si="141"/>
        <v>0.44934774875556593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0.23238105926078553</v>
      </c>
      <c r="C113" s="45">
        <f t="shared" si="142"/>
        <v>0.20271742345537347</v>
      </c>
      <c r="D113" s="45">
        <f t="shared" ref="D113:V113" si="143">IF(D11=0,0,D11/D$8)</f>
        <v>0.20794329801182479</v>
      </c>
      <c r="E113" s="45">
        <f t="shared" si="143"/>
        <v>0.23443089397758399</v>
      </c>
      <c r="F113" s="45">
        <f t="shared" si="143"/>
        <v>0.24680002672542092</v>
      </c>
      <c r="G113" s="45">
        <f t="shared" si="143"/>
        <v>0.23783326856038653</v>
      </c>
      <c r="H113" s="45">
        <f t="shared" si="143"/>
        <v>0.26048461468413153</v>
      </c>
      <c r="I113" s="45">
        <f t="shared" si="143"/>
        <v>0.27517523559324764</v>
      </c>
      <c r="J113" s="45">
        <f t="shared" si="143"/>
        <v>0.29990396703269251</v>
      </c>
      <c r="K113" s="45">
        <f t="shared" si="143"/>
        <v>0.29984737159050839</v>
      </c>
      <c r="L113" s="45">
        <f t="shared" si="143"/>
        <v>0.21485667385426543</v>
      </c>
      <c r="M113" s="45">
        <f t="shared" si="143"/>
        <v>0.22047646055196535</v>
      </c>
      <c r="N113" s="45">
        <f t="shared" si="143"/>
        <v>0.19741498750589942</v>
      </c>
      <c r="O113" s="45">
        <f t="shared" si="143"/>
        <v>0.17763100192988784</v>
      </c>
      <c r="P113" s="45">
        <f t="shared" si="143"/>
        <v>0.17463680331180659</v>
      </c>
      <c r="Q113" s="45">
        <f t="shared" si="143"/>
        <v>0.22205922394788399</v>
      </c>
      <c r="R113" s="45">
        <f t="shared" si="143"/>
        <v>0.23565717647013065</v>
      </c>
      <c r="S113" s="45">
        <f t="shared" si="143"/>
        <v>0.32665965130909219</v>
      </c>
      <c r="T113" s="45">
        <f t="shared" si="143"/>
        <v>0.40237773865165316</v>
      </c>
      <c r="U113" s="45">
        <f t="shared" si="143"/>
        <v>0.44798945761999659</v>
      </c>
      <c r="V113" s="45">
        <f t="shared" si="143"/>
        <v>0.29190883785353028</v>
      </c>
      <c r="W113" s="45">
        <f t="shared" ref="W113:Y113" si="144">IF(W11=0,0,W11/W$8)</f>
        <v>0.48817983386064212</v>
      </c>
      <c r="X113" s="45">
        <f t="shared" si="144"/>
        <v>0.54415108846225979</v>
      </c>
      <c r="Y113" s="45">
        <f t="shared" si="144"/>
        <v>0.52952015571847311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0.17402260141073359</v>
      </c>
      <c r="C117" s="43">
        <f t="shared" si="148"/>
        <v>0.17654062093498712</v>
      </c>
      <c r="D117" s="43">
        <f t="shared" ref="D117:V117" si="149">IF(D15=0,0,D15/D$14)</f>
        <v>0.16398073022389717</v>
      </c>
      <c r="E117" s="43">
        <f t="shared" si="149"/>
        <v>0.15370576472171227</v>
      </c>
      <c r="F117" s="43">
        <f t="shared" si="149"/>
        <v>0.16125608015012038</v>
      </c>
      <c r="G117" s="43">
        <f t="shared" si="149"/>
        <v>0.1596094276687019</v>
      </c>
      <c r="H117" s="43">
        <f t="shared" si="149"/>
        <v>0.15456937952928396</v>
      </c>
      <c r="I117" s="43">
        <f t="shared" si="149"/>
        <v>0.14860172491435322</v>
      </c>
      <c r="J117" s="43">
        <f t="shared" si="149"/>
        <v>0.14470736485291055</v>
      </c>
      <c r="K117" s="43">
        <f t="shared" si="149"/>
        <v>0.16566275641767414</v>
      </c>
      <c r="L117" s="43">
        <f t="shared" si="149"/>
        <v>0.15176135120347894</v>
      </c>
      <c r="M117" s="43">
        <f t="shared" si="149"/>
        <v>0.12530488775877011</v>
      </c>
      <c r="N117" s="43">
        <f t="shared" si="149"/>
        <v>0.12591203924771716</v>
      </c>
      <c r="O117" s="43">
        <f t="shared" si="149"/>
        <v>0.11056229889956386</v>
      </c>
      <c r="P117" s="43">
        <f t="shared" si="149"/>
        <v>0.10287493285403591</v>
      </c>
      <c r="Q117" s="43">
        <f t="shared" si="149"/>
        <v>0.10896883490272907</v>
      </c>
      <c r="R117" s="43">
        <f t="shared" si="149"/>
        <v>0.10839338113377414</v>
      </c>
      <c r="S117" s="43">
        <f t="shared" si="149"/>
        <v>9.8245095860168635E-2</v>
      </c>
      <c r="T117" s="43">
        <f t="shared" si="149"/>
        <v>9.4497770388507513E-2</v>
      </c>
      <c r="U117" s="43">
        <f t="shared" si="149"/>
        <v>9.2734016584762838E-2</v>
      </c>
      <c r="V117" s="43">
        <f t="shared" si="149"/>
        <v>0.14322468939989069</v>
      </c>
      <c r="W117" s="43">
        <f t="shared" ref="W117:Y117" si="150">IF(W15=0,0,W15/W$14)</f>
        <v>0.10815178242561743</v>
      </c>
      <c r="X117" s="43">
        <f t="shared" si="150"/>
        <v>8.7418274801441917E-2</v>
      </c>
      <c r="Y117" s="43">
        <f t="shared" si="150"/>
        <v>8.6217503735859749E-2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0.73612865351915269</v>
      </c>
      <c r="C118" s="43">
        <f t="shared" si="151"/>
        <v>0.73388219070558181</v>
      </c>
      <c r="D118" s="43">
        <f t="shared" ref="D118:V118" si="152">IF(D16=0,0,D16/D$14)</f>
        <v>0.74508011299655708</v>
      </c>
      <c r="E118" s="43">
        <f t="shared" si="152"/>
        <v>0.75424565199393689</v>
      </c>
      <c r="F118" s="43">
        <f t="shared" si="152"/>
        <v>0.73229380437188962</v>
      </c>
      <c r="G118" s="43">
        <f t="shared" si="152"/>
        <v>0.73205973638616983</v>
      </c>
      <c r="H118" s="43">
        <f t="shared" si="152"/>
        <v>0.72593585532117533</v>
      </c>
      <c r="I118" s="43">
        <f t="shared" si="152"/>
        <v>0.71892467166058949</v>
      </c>
      <c r="J118" s="43">
        <f t="shared" si="152"/>
        <v>0.70622425242541176</v>
      </c>
      <c r="K118" s="43">
        <f t="shared" si="152"/>
        <v>0.69499282724152844</v>
      </c>
      <c r="L118" s="43">
        <f t="shared" si="152"/>
        <v>0.69758253217267385</v>
      </c>
      <c r="M118" s="43">
        <f t="shared" si="152"/>
        <v>0.7151652250076046</v>
      </c>
      <c r="N118" s="43">
        <f t="shared" si="152"/>
        <v>0.71159663329828582</v>
      </c>
      <c r="O118" s="43">
        <f t="shared" si="152"/>
        <v>0.70035984067451817</v>
      </c>
      <c r="P118" s="43">
        <f t="shared" si="152"/>
        <v>0.7229272290810429</v>
      </c>
      <c r="Q118" s="43">
        <f t="shared" si="152"/>
        <v>0.74078154133091734</v>
      </c>
      <c r="R118" s="43">
        <f t="shared" si="152"/>
        <v>0.73561603012729648</v>
      </c>
      <c r="S118" s="43">
        <f t="shared" si="152"/>
        <v>0.73509392270335272</v>
      </c>
      <c r="T118" s="43">
        <f t="shared" si="152"/>
        <v>0.74217828090607363</v>
      </c>
      <c r="U118" s="43">
        <f t="shared" si="152"/>
        <v>0.73032074260893676</v>
      </c>
      <c r="V118" s="43">
        <f t="shared" si="152"/>
        <v>0.75341994306508864</v>
      </c>
      <c r="W118" s="43">
        <f t="shared" ref="W118:Y118" si="153">IF(W16=0,0,W16/W$14)</f>
        <v>0.73903305143326981</v>
      </c>
      <c r="X118" s="43">
        <f t="shared" si="153"/>
        <v>0.78618661999170614</v>
      </c>
      <c r="Y118" s="43">
        <f t="shared" si="153"/>
        <v>0.78073769605197485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8.984874507011377E-2</v>
      </c>
      <c r="C119" s="43">
        <f t="shared" si="154"/>
        <v>8.9577188359431112E-2</v>
      </c>
      <c r="D119" s="43">
        <f t="shared" ref="D119:V119" si="155">IF(D17=0,0,D17/D$14)</f>
        <v>9.0939156779545796E-2</v>
      </c>
      <c r="E119" s="43">
        <f t="shared" si="155"/>
        <v>9.2048583284350824E-2</v>
      </c>
      <c r="F119" s="43">
        <f t="shared" si="155"/>
        <v>0.10645011547798992</v>
      </c>
      <c r="G119" s="43">
        <f t="shared" si="155"/>
        <v>0.10833083594512824</v>
      </c>
      <c r="H119" s="43">
        <f t="shared" si="155"/>
        <v>0.11949476514954079</v>
      </c>
      <c r="I119" s="43">
        <f t="shared" si="155"/>
        <v>0.13247360342505737</v>
      </c>
      <c r="J119" s="43">
        <f t="shared" si="155"/>
        <v>0.1490683827216778</v>
      </c>
      <c r="K119" s="43">
        <f t="shared" si="155"/>
        <v>0.13934441634079733</v>
      </c>
      <c r="L119" s="43">
        <f t="shared" si="155"/>
        <v>0.15065611662384723</v>
      </c>
      <c r="M119" s="43">
        <f t="shared" si="155"/>
        <v>0.15952988723362529</v>
      </c>
      <c r="N119" s="43">
        <f t="shared" si="155"/>
        <v>0.16249132745399708</v>
      </c>
      <c r="O119" s="43">
        <f t="shared" si="155"/>
        <v>0.18907786042591795</v>
      </c>
      <c r="P119" s="43">
        <f t="shared" si="155"/>
        <v>0.1741978380649212</v>
      </c>
      <c r="Q119" s="43">
        <f t="shared" si="155"/>
        <v>0.15024962376635362</v>
      </c>
      <c r="R119" s="43">
        <f t="shared" si="155"/>
        <v>0.15599058873892935</v>
      </c>
      <c r="S119" s="43">
        <f t="shared" si="155"/>
        <v>0.16666098143647876</v>
      </c>
      <c r="T119" s="43">
        <f t="shared" si="155"/>
        <v>0.16332394870541891</v>
      </c>
      <c r="U119" s="43">
        <f t="shared" si="155"/>
        <v>0.17694524080630042</v>
      </c>
      <c r="V119" s="43">
        <f t="shared" si="155"/>
        <v>0.10335536753502063</v>
      </c>
      <c r="W119" s="43">
        <f t="shared" ref="W119:Y119" si="156">IF(W17=0,0,W17/W$14)</f>
        <v>0.15281516614111276</v>
      </c>
      <c r="X119" s="43">
        <f t="shared" si="156"/>
        <v>0.1263951052068519</v>
      </c>
      <c r="Y119" s="43">
        <f t="shared" si="156"/>
        <v>0.13304480021216541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0.2215482205815025</v>
      </c>
      <c r="C121" s="44">
        <f t="shared" si="160"/>
        <v>0.22805625211328881</v>
      </c>
      <c r="D121" s="44">
        <f t="shared" ref="D121:V121" si="161">IF(D19=0,0,D19/D$18)</f>
        <v>0.22280733170776987</v>
      </c>
      <c r="E121" s="44">
        <f t="shared" si="161"/>
        <v>0.21634449359846517</v>
      </c>
      <c r="F121" s="44">
        <f t="shared" si="161"/>
        <v>0.17668815636754895</v>
      </c>
      <c r="G121" s="44">
        <f t="shared" si="161"/>
        <v>0.17068935715309186</v>
      </c>
      <c r="H121" s="44">
        <f t="shared" si="161"/>
        <v>0.15106906506393641</v>
      </c>
      <c r="I121" s="44">
        <f t="shared" si="161"/>
        <v>0.13426568714779019</v>
      </c>
      <c r="J121" s="44">
        <f t="shared" si="161"/>
        <v>0.14067830825884206</v>
      </c>
      <c r="K121" s="44">
        <f t="shared" si="161"/>
        <v>0.13297951851278281</v>
      </c>
      <c r="L121" s="44">
        <f t="shared" si="161"/>
        <v>0.12578254640464137</v>
      </c>
      <c r="M121" s="44">
        <f t="shared" si="161"/>
        <v>9.9040855284008758E-2</v>
      </c>
      <c r="N121" s="44">
        <f t="shared" si="161"/>
        <v>9.3881029967168558E-2</v>
      </c>
      <c r="O121" s="44">
        <f t="shared" si="161"/>
        <v>8.9898031473259865E-2</v>
      </c>
      <c r="P121" s="44">
        <f t="shared" si="161"/>
        <v>7.0283388803774174E-2</v>
      </c>
      <c r="Q121" s="44">
        <f t="shared" si="161"/>
        <v>6.9971304984606061E-2</v>
      </c>
      <c r="R121" s="44">
        <f t="shared" si="161"/>
        <v>6.055786020546497E-2</v>
      </c>
      <c r="S121" s="44">
        <f t="shared" si="161"/>
        <v>4.0574517442100208E-2</v>
      </c>
      <c r="T121" s="44">
        <f t="shared" si="161"/>
        <v>5.4889205188844492E-2</v>
      </c>
      <c r="U121" s="44">
        <f t="shared" si="161"/>
        <v>4.9948469924241318E-2</v>
      </c>
      <c r="V121" s="44">
        <f t="shared" si="161"/>
        <v>3.8900147564989773E-2</v>
      </c>
      <c r="W121" s="44">
        <f t="shared" ref="W121:Y121" si="162">IF(W19=0,0,W19/W$18)</f>
        <v>3.4657547778146849E-2</v>
      </c>
      <c r="X121" s="44">
        <f t="shared" si="162"/>
        <v>3.8414642064067563E-2</v>
      </c>
      <c r="Y121" s="44">
        <f t="shared" si="162"/>
        <v>4.6515646545553097E-2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0.71231356982833149</v>
      </c>
      <c r="C122" s="44">
        <f t="shared" si="163"/>
        <v>0.71595685885951632</v>
      </c>
      <c r="D122" s="44">
        <f t="shared" ref="D122:V122" si="164">IF(D20=0,0,D20/D$18)</f>
        <v>0.71894210187214602</v>
      </c>
      <c r="E122" s="44">
        <f t="shared" si="164"/>
        <v>0.70829433803124264</v>
      </c>
      <c r="F122" s="44">
        <f t="shared" si="164"/>
        <v>0.74500367233266307</v>
      </c>
      <c r="G122" s="44">
        <f t="shared" si="164"/>
        <v>0.75128302456174534</v>
      </c>
      <c r="H122" s="44">
        <f t="shared" si="164"/>
        <v>0.77082911672958765</v>
      </c>
      <c r="I122" s="44">
        <f t="shared" si="164"/>
        <v>0.78099254052141187</v>
      </c>
      <c r="J122" s="44">
        <f t="shared" si="164"/>
        <v>0.7659089176878352</v>
      </c>
      <c r="K122" s="44">
        <f t="shared" si="164"/>
        <v>0.78109512225944577</v>
      </c>
      <c r="L122" s="44">
        <f t="shared" si="164"/>
        <v>0.81692975517976651</v>
      </c>
      <c r="M122" s="44">
        <f t="shared" si="164"/>
        <v>0.84142304382248767</v>
      </c>
      <c r="N122" s="44">
        <f t="shared" si="164"/>
        <v>0.85274986765631455</v>
      </c>
      <c r="O122" s="44">
        <f t="shared" si="164"/>
        <v>0.86041444121077015</v>
      </c>
      <c r="P122" s="44">
        <f t="shared" si="164"/>
        <v>0.88082461344241092</v>
      </c>
      <c r="Q122" s="44">
        <f t="shared" si="164"/>
        <v>0.86711519261550385</v>
      </c>
      <c r="R122" s="44">
        <f t="shared" si="164"/>
        <v>0.87032115631577034</v>
      </c>
      <c r="S122" s="44">
        <f t="shared" si="164"/>
        <v>0.8599756729312048</v>
      </c>
      <c r="T122" s="44">
        <f t="shared" si="164"/>
        <v>0.81761541729536402</v>
      </c>
      <c r="U122" s="44">
        <f t="shared" si="164"/>
        <v>0.79297465228999353</v>
      </c>
      <c r="V122" s="44">
        <f t="shared" si="164"/>
        <v>0.84706299076323921</v>
      </c>
      <c r="W122" s="44">
        <f t="shared" ref="W122:Y122" si="165">IF(W20=0,0,W20/W$18)</f>
        <v>0.74819584765776015</v>
      </c>
      <c r="X122" s="44">
        <f t="shared" si="165"/>
        <v>0.72731452042910116</v>
      </c>
      <c r="Y122" s="44">
        <f t="shared" si="165"/>
        <v>0.73745838259938112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6.6138209590166031E-2</v>
      </c>
      <c r="C123" s="45">
        <f t="shared" si="166"/>
        <v>5.5986889027194793E-2</v>
      </c>
      <c r="D123" s="45">
        <f t="shared" ref="D123:V123" si="167">IF(D21=0,0,D21/D$18)</f>
        <v>5.8250566420084221E-2</v>
      </c>
      <c r="E123" s="45">
        <f t="shared" si="167"/>
        <v>7.5361168370292067E-2</v>
      </c>
      <c r="F123" s="45">
        <f t="shared" si="167"/>
        <v>7.8308171299788037E-2</v>
      </c>
      <c r="G123" s="45">
        <f t="shared" si="167"/>
        <v>7.8027618285162734E-2</v>
      </c>
      <c r="H123" s="45">
        <f t="shared" si="167"/>
        <v>7.8101818206475868E-2</v>
      </c>
      <c r="I123" s="45">
        <f t="shared" si="167"/>
        <v>8.474177233079784E-2</v>
      </c>
      <c r="J123" s="45">
        <f t="shared" si="167"/>
        <v>9.3412774053322725E-2</v>
      </c>
      <c r="K123" s="45">
        <f t="shared" si="167"/>
        <v>8.592535922777135E-2</v>
      </c>
      <c r="L123" s="45">
        <f t="shared" si="167"/>
        <v>5.7287698415592073E-2</v>
      </c>
      <c r="M123" s="45">
        <f t="shared" si="167"/>
        <v>5.9536100893503689E-2</v>
      </c>
      <c r="N123" s="45">
        <f t="shared" si="167"/>
        <v>5.3369102376516868E-2</v>
      </c>
      <c r="O123" s="45">
        <f t="shared" si="167"/>
        <v>4.9687527315969829E-2</v>
      </c>
      <c r="P123" s="45">
        <f t="shared" si="167"/>
        <v>4.8891997753815038E-2</v>
      </c>
      <c r="Q123" s="45">
        <f t="shared" si="167"/>
        <v>6.2913502399890089E-2</v>
      </c>
      <c r="R123" s="45">
        <f t="shared" si="167"/>
        <v>6.9120983478764872E-2</v>
      </c>
      <c r="S123" s="45">
        <f t="shared" si="167"/>
        <v>9.9449809626695071E-2</v>
      </c>
      <c r="T123" s="45">
        <f t="shared" si="167"/>
        <v>0.12749537751579143</v>
      </c>
      <c r="U123" s="45">
        <f t="shared" si="167"/>
        <v>0.15707687778576515</v>
      </c>
      <c r="V123" s="45">
        <f t="shared" si="167"/>
        <v>0.11403686167177102</v>
      </c>
      <c r="W123" s="45">
        <f t="shared" ref="W123:Y123" si="168">IF(W21=0,0,W21/W$18)</f>
        <v>0.21714660456409302</v>
      </c>
      <c r="X123" s="45">
        <f t="shared" si="168"/>
        <v>0.23427083750683125</v>
      </c>
      <c r="Y123" s="45">
        <f t="shared" si="168"/>
        <v>0.21602597085506567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1358.8515907136714</v>
      </c>
      <c r="C3" s="79">
        <f t="shared" si="0"/>
        <v>1221.9308684436801</v>
      </c>
      <c r="D3" s="79">
        <f t="shared" ref="D3" si="1">SUM(D4:D5)</f>
        <v>1184.0068787618227</v>
      </c>
      <c r="E3" s="79">
        <f t="shared" ref="E3" si="2">SUM(E4:E5)</f>
        <v>1191.3895958727428</v>
      </c>
      <c r="F3" s="79">
        <f t="shared" ref="F3" si="3">SUM(F4:F5)</f>
        <v>1238.7981083404989</v>
      </c>
      <c r="G3" s="79">
        <f t="shared" ref="G3" si="4">SUM(G4:G5)</f>
        <v>1211.373860705073</v>
      </c>
      <c r="H3" s="79">
        <f t="shared" ref="H3" si="5">SUM(H4:H5)</f>
        <v>1328.2960447119515</v>
      </c>
      <c r="I3" s="79">
        <f t="shared" ref="I3" si="6">SUM(I4:I5)</f>
        <v>1345.0917454858122</v>
      </c>
      <c r="J3" s="79">
        <f t="shared" ref="J3" si="7">SUM(J4:J5)</f>
        <v>1369.3083404987103</v>
      </c>
      <c r="K3" s="79">
        <f t="shared" ref="K3" si="8">SUM(K4:K5)</f>
        <v>1143.0926053310404</v>
      </c>
      <c r="L3" s="79">
        <f t="shared" ref="L3" si="9">SUM(L4:L5)</f>
        <v>919.19836629406711</v>
      </c>
      <c r="M3" s="79">
        <f t="shared" ref="M3" si="10">SUM(M4:M5)</f>
        <v>961.30696474634556</v>
      </c>
      <c r="N3" s="79">
        <f t="shared" ref="N3" si="11">SUM(N4:N5)</f>
        <v>845.28993981083386</v>
      </c>
      <c r="O3" s="79">
        <f t="shared" ref="O3" si="12">SUM(O4:O5)</f>
        <v>850.43473774720542</v>
      </c>
      <c r="P3" s="79">
        <f t="shared" ref="P3" si="13">SUM(P4:P5)</f>
        <v>957.24651762682686</v>
      </c>
      <c r="Q3" s="79">
        <f t="shared" ref="Q3" si="14">SUM(Q4:Q5)</f>
        <v>991.11487532244155</v>
      </c>
      <c r="R3" s="79">
        <f t="shared" ref="R3" si="15">SUM(R4:R5)</f>
        <v>1068.1665520206363</v>
      </c>
      <c r="S3" s="79">
        <f t="shared" ref="S3" si="16">SUM(S4:S5)</f>
        <v>1181.7203783319003</v>
      </c>
      <c r="T3" s="79">
        <f t="shared" ref="T3" si="17">SUM(T4:T5)</f>
        <v>1311.5122098022352</v>
      </c>
      <c r="U3" s="79">
        <f t="shared" ref="U3" si="18">SUM(U4:U5)</f>
        <v>1355.2780739466896</v>
      </c>
      <c r="V3" s="79">
        <f t="shared" ref="V3:W3" si="19">SUM(V4:V5)</f>
        <v>445.99208942390368</v>
      </c>
      <c r="W3" s="79">
        <f t="shared" si="19"/>
        <v>847.87033533963881</v>
      </c>
      <c r="X3" s="79">
        <f t="shared" ref="X3:Y3" si="20">SUM(X4:X5)</f>
        <v>1385.5389509888219</v>
      </c>
      <c r="Y3" s="79">
        <f t="shared" si="20"/>
        <v>1484.7844368013757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523.5764402407566</v>
      </c>
      <c r="C4" s="96">
        <f t="shared" si="21"/>
        <v>445.64110060189159</v>
      </c>
      <c r="D4" s="96">
        <f t="shared" ref="D4:V4" si="22">SUM(D7,D11)</f>
        <v>407.71711092003437</v>
      </c>
      <c r="E4" s="96">
        <f t="shared" si="22"/>
        <v>389.82037833190032</v>
      </c>
      <c r="F4" s="96">
        <f t="shared" si="22"/>
        <v>413.00275150472913</v>
      </c>
      <c r="G4" s="96">
        <f t="shared" si="22"/>
        <v>414.01788478073939</v>
      </c>
      <c r="H4" s="96">
        <f t="shared" si="22"/>
        <v>371.89019776440244</v>
      </c>
      <c r="I4" s="96">
        <f t="shared" si="22"/>
        <v>367.61969045571789</v>
      </c>
      <c r="J4" s="96">
        <f t="shared" si="22"/>
        <v>352.86380051590714</v>
      </c>
      <c r="K4" s="96">
        <f t="shared" si="22"/>
        <v>290.65159071367157</v>
      </c>
      <c r="L4" s="96">
        <f t="shared" si="22"/>
        <v>237.24557179707651</v>
      </c>
      <c r="M4" s="96">
        <f t="shared" si="22"/>
        <v>221.84006878761824</v>
      </c>
      <c r="N4" s="96">
        <f t="shared" si="22"/>
        <v>186.95898538263106</v>
      </c>
      <c r="O4" s="96">
        <f t="shared" si="22"/>
        <v>176.69819432502149</v>
      </c>
      <c r="P4" s="96">
        <f t="shared" si="22"/>
        <v>179.7792777300086</v>
      </c>
      <c r="Q4" s="96">
        <f t="shared" si="22"/>
        <v>167.43095442820294</v>
      </c>
      <c r="R4" s="96">
        <f t="shared" si="22"/>
        <v>189.02261392949271</v>
      </c>
      <c r="S4" s="96">
        <f t="shared" si="22"/>
        <v>195.16302665520209</v>
      </c>
      <c r="T4" s="96">
        <f t="shared" si="22"/>
        <v>222.15460017196901</v>
      </c>
      <c r="U4" s="96">
        <f t="shared" si="22"/>
        <v>224.65313843508164</v>
      </c>
      <c r="V4" s="96">
        <f t="shared" si="22"/>
        <v>90.574290627687006</v>
      </c>
      <c r="W4" s="96">
        <f t="shared" ref="W4:Y4" si="23">SUM(W7,W11)</f>
        <v>151.39905417024937</v>
      </c>
      <c r="X4" s="96">
        <f t="shared" si="23"/>
        <v>228.80068787618228</v>
      </c>
      <c r="Y4" s="96">
        <f t="shared" si="23"/>
        <v>281.35356835769562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835.27515047291479</v>
      </c>
      <c r="C5" s="96">
        <f t="shared" si="24"/>
        <v>776.28976784178849</v>
      </c>
      <c r="D5" s="96">
        <f t="shared" ref="D5:V5" si="25">SUM(D8:D9,D12:D13)</f>
        <v>776.28976784178838</v>
      </c>
      <c r="E5" s="96">
        <f t="shared" si="25"/>
        <v>801.56921754084249</v>
      </c>
      <c r="F5" s="96">
        <f t="shared" si="25"/>
        <v>825.79535683576978</v>
      </c>
      <c r="G5" s="96">
        <f t="shared" si="25"/>
        <v>797.35597592433362</v>
      </c>
      <c r="H5" s="96">
        <f t="shared" si="25"/>
        <v>956.40584694754898</v>
      </c>
      <c r="I5" s="96">
        <f t="shared" si="25"/>
        <v>977.47205503009445</v>
      </c>
      <c r="J5" s="96">
        <f t="shared" si="25"/>
        <v>1016.4445399828032</v>
      </c>
      <c r="K5" s="96">
        <f t="shared" si="25"/>
        <v>852.44101461736886</v>
      </c>
      <c r="L5" s="96">
        <f t="shared" si="25"/>
        <v>681.95279449699058</v>
      </c>
      <c r="M5" s="96">
        <f t="shared" si="25"/>
        <v>739.46689595872726</v>
      </c>
      <c r="N5" s="96">
        <f t="shared" si="25"/>
        <v>658.33095442820274</v>
      </c>
      <c r="O5" s="96">
        <f t="shared" si="25"/>
        <v>673.7365434221839</v>
      </c>
      <c r="P5" s="96">
        <f t="shared" si="25"/>
        <v>777.46723989681823</v>
      </c>
      <c r="Q5" s="96">
        <f t="shared" si="25"/>
        <v>823.68392089423867</v>
      </c>
      <c r="R5" s="96">
        <f t="shared" si="25"/>
        <v>879.14393809114358</v>
      </c>
      <c r="S5" s="96">
        <f t="shared" si="25"/>
        <v>986.5573516766982</v>
      </c>
      <c r="T5" s="96">
        <f t="shared" si="25"/>
        <v>1089.3576096302663</v>
      </c>
      <c r="U5" s="96">
        <f t="shared" si="25"/>
        <v>1130.6249355116079</v>
      </c>
      <c r="V5" s="96">
        <f t="shared" si="25"/>
        <v>355.41779879621669</v>
      </c>
      <c r="W5" s="96">
        <f t="shared" ref="W5:Y5" si="26">SUM(W8:W9,W12:W13)</f>
        <v>696.47128116938939</v>
      </c>
      <c r="X5" s="96">
        <f t="shared" si="26"/>
        <v>1156.7382631126395</v>
      </c>
      <c r="Y5" s="96">
        <f t="shared" si="26"/>
        <v>1203.4308684436801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1324.9533492648625</v>
      </c>
      <c r="C6" s="21">
        <f t="shared" si="27"/>
        <v>1184.9345322435695</v>
      </c>
      <c r="D6" s="21">
        <f t="shared" ref="D6:V6" si="28">SUM(D7:D9)</f>
        <v>1148.2038863655657</v>
      </c>
      <c r="E6" s="21">
        <f t="shared" si="28"/>
        <v>1161.1072829871368</v>
      </c>
      <c r="F6" s="21">
        <f t="shared" si="28"/>
        <v>1218.7372873479896</v>
      </c>
      <c r="G6" s="21">
        <f t="shared" si="28"/>
        <v>1191.6539255285443</v>
      </c>
      <c r="H6" s="21">
        <f t="shared" si="28"/>
        <v>1305.0724838300307</v>
      </c>
      <c r="I6" s="21">
        <f t="shared" si="28"/>
        <v>1324.8765056199668</v>
      </c>
      <c r="J6" s="21">
        <f t="shared" si="28"/>
        <v>1347.2338717143762</v>
      </c>
      <c r="K6" s="21">
        <f t="shared" si="28"/>
        <v>1127.0520790789146</v>
      </c>
      <c r="L6" s="21">
        <f t="shared" si="28"/>
        <v>906.67854510906318</v>
      </c>
      <c r="M6" s="21">
        <f t="shared" si="28"/>
        <v>948.94136015858692</v>
      </c>
      <c r="N6" s="21">
        <f t="shared" si="28"/>
        <v>834.66156304464971</v>
      </c>
      <c r="O6" s="21">
        <f t="shared" si="28"/>
        <v>840.3085518133737</v>
      </c>
      <c r="P6" s="21">
        <f t="shared" si="28"/>
        <v>949.12783395568943</v>
      </c>
      <c r="Q6" s="21">
        <f t="shared" si="28"/>
        <v>983.49721665643801</v>
      </c>
      <c r="R6" s="21">
        <f t="shared" si="28"/>
        <v>1060.7184519949772</v>
      </c>
      <c r="S6" s="21">
        <f t="shared" si="28"/>
        <v>1174.3105165725624</v>
      </c>
      <c r="T6" s="21">
        <f t="shared" si="28"/>
        <v>1301.1957327101377</v>
      </c>
      <c r="U6" s="21">
        <f t="shared" si="28"/>
        <v>1345.2637769090557</v>
      </c>
      <c r="V6" s="21">
        <f t="shared" si="28"/>
        <v>438.96492814551726</v>
      </c>
      <c r="W6" s="21">
        <f t="shared" ref="W6:Y6" si="29">SUM(W7:W9)</f>
        <v>839.51565625209435</v>
      </c>
      <c r="X6" s="21">
        <f t="shared" si="29"/>
        <v>1377.0767200542898</v>
      </c>
      <c r="Y6" s="21">
        <f t="shared" si="29"/>
        <v>1477.1717190020481</v>
      </c>
      <c r="DA6" s="189" t="s">
        <v>280</v>
      </c>
    </row>
    <row r="7" spans="1:105" ht="11.45" customHeight="1" x14ac:dyDescent="0.25">
      <c r="A7" s="83" t="s">
        <v>27</v>
      </c>
      <c r="B7" s="96">
        <v>507.78469107467771</v>
      </c>
      <c r="C7" s="96">
        <v>429.05997316269395</v>
      </c>
      <c r="D7" s="96">
        <v>391.95348172725431</v>
      </c>
      <c r="E7" s="96">
        <v>376.75398176740214</v>
      </c>
      <c r="F7" s="96">
        <v>405.60303071247887</v>
      </c>
      <c r="G7" s="96">
        <v>406.72328136423977</v>
      </c>
      <c r="H7" s="96">
        <v>365.37877180743044</v>
      </c>
      <c r="I7" s="96">
        <v>362.39887626665097</v>
      </c>
      <c r="J7" s="96">
        <v>347.17397269078594</v>
      </c>
      <c r="K7" s="96">
        <v>287.18619709710464</v>
      </c>
      <c r="L7" s="96">
        <v>234.45638596924061</v>
      </c>
      <c r="M7" s="96">
        <v>219.56811103647067</v>
      </c>
      <c r="N7" s="96">
        <v>185.27215132428353</v>
      </c>
      <c r="O7" s="96">
        <v>175.09210204889413</v>
      </c>
      <c r="P7" s="96">
        <v>178.78135559097163</v>
      </c>
      <c r="Q7" s="96">
        <v>166.6257362633113</v>
      </c>
      <c r="R7" s="96">
        <v>188.30235730190117</v>
      </c>
      <c r="S7" s="96">
        <v>194.65952058302594</v>
      </c>
      <c r="T7" s="96">
        <v>221.13384967654437</v>
      </c>
      <c r="U7" s="96">
        <v>223.76444346776836</v>
      </c>
      <c r="V7" s="96">
        <v>90.198796814516228</v>
      </c>
      <c r="W7" s="96">
        <v>150.88709740334011</v>
      </c>
      <c r="X7" s="96">
        <v>228.13484885785971</v>
      </c>
      <c r="Y7" s="96">
        <v>280.50088046698488</v>
      </c>
      <c r="DA7" s="171" t="s">
        <v>281</v>
      </c>
    </row>
    <row r="8" spans="1:105" ht="11.45" customHeight="1" x14ac:dyDescent="0.25">
      <c r="A8" s="83" t="s">
        <v>181</v>
      </c>
      <c r="B8" s="96">
        <v>699.93473428739935</v>
      </c>
      <c r="C8" s="96">
        <v>647.43141484715989</v>
      </c>
      <c r="D8" s="96">
        <v>647.75839173168572</v>
      </c>
      <c r="E8" s="96">
        <v>671.83919484047249</v>
      </c>
      <c r="F8" s="96">
        <v>677.67943115106993</v>
      </c>
      <c r="G8" s="96">
        <v>653.07512166808795</v>
      </c>
      <c r="H8" s="96">
        <v>785.26199311184678</v>
      </c>
      <c r="I8" s="96">
        <v>806.14343630061546</v>
      </c>
      <c r="J8" s="96">
        <v>833.10186701716236</v>
      </c>
      <c r="K8" s="96">
        <v>693.69691107719075</v>
      </c>
      <c r="L8" s="96">
        <v>552.34095324341558</v>
      </c>
      <c r="M8" s="96">
        <v>600.10067458892001</v>
      </c>
      <c r="N8" s="96">
        <v>532.2245575000743</v>
      </c>
      <c r="O8" s="96">
        <v>544.72237280268359</v>
      </c>
      <c r="P8" s="96">
        <v>636.47259128461803</v>
      </c>
      <c r="Q8" s="96">
        <v>677.04235949690735</v>
      </c>
      <c r="R8" s="96">
        <v>731.05532042487948</v>
      </c>
      <c r="S8" s="96">
        <v>826.3830761177004</v>
      </c>
      <c r="T8" s="96">
        <v>911.8980529475856</v>
      </c>
      <c r="U8" s="96">
        <v>942.71679151271917</v>
      </c>
      <c r="V8" s="96">
        <v>272.5848968072068</v>
      </c>
      <c r="W8" s="96">
        <v>561.82565106294646</v>
      </c>
      <c r="X8" s="96">
        <v>987.77144175140734</v>
      </c>
      <c r="Y8" s="96">
        <v>1025.9499762502862</v>
      </c>
      <c r="DA8" s="171" t="s">
        <v>282</v>
      </c>
    </row>
    <row r="9" spans="1:105" ht="11.45" customHeight="1" x14ac:dyDescent="0.25">
      <c r="A9" s="83" t="s">
        <v>182</v>
      </c>
      <c r="B9" s="96">
        <v>117.23392390278526</v>
      </c>
      <c r="C9" s="96">
        <v>108.44314423371576</v>
      </c>
      <c r="D9" s="96">
        <v>108.49201290662553</v>
      </c>
      <c r="E9" s="96">
        <v>112.51410637926206</v>
      </c>
      <c r="F9" s="96">
        <v>135.45482548444079</v>
      </c>
      <c r="G9" s="96">
        <v>131.85552249621657</v>
      </c>
      <c r="H9" s="96">
        <v>154.43171891075352</v>
      </c>
      <c r="I9" s="96">
        <v>156.33419305270047</v>
      </c>
      <c r="J9" s="96">
        <v>166.95803200642774</v>
      </c>
      <c r="K9" s="96">
        <v>146.1689709046193</v>
      </c>
      <c r="L9" s="96">
        <v>119.88120589640704</v>
      </c>
      <c r="M9" s="96">
        <v>129.27257453319623</v>
      </c>
      <c r="N9" s="96">
        <v>117.16485422029186</v>
      </c>
      <c r="O9" s="96">
        <v>120.49407696179594</v>
      </c>
      <c r="P9" s="96">
        <v>133.87388708009971</v>
      </c>
      <c r="Q9" s="96">
        <v>139.82912089621931</v>
      </c>
      <c r="R9" s="96">
        <v>141.36077426819656</v>
      </c>
      <c r="S9" s="96">
        <v>153.26791987183609</v>
      </c>
      <c r="T9" s="96">
        <v>168.16383008600769</v>
      </c>
      <c r="U9" s="96">
        <v>178.78254192856826</v>
      </c>
      <c r="V9" s="96">
        <v>76.181234523794203</v>
      </c>
      <c r="W9" s="96">
        <v>126.80290778580776</v>
      </c>
      <c r="X9" s="96">
        <v>161.17042944502285</v>
      </c>
      <c r="Y9" s="96">
        <v>170.72086228477704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33.898241448809138</v>
      </c>
      <c r="C10" s="22">
        <f t="shared" si="30"/>
        <v>36.996336200110456</v>
      </c>
      <c r="D10" s="22">
        <f t="shared" ref="D10:V10" si="31">SUM(D11:D13)</f>
        <v>35.802992396257245</v>
      </c>
      <c r="E10" s="22">
        <f t="shared" si="31"/>
        <v>30.282312885606046</v>
      </c>
      <c r="F10" s="22">
        <f t="shared" si="31"/>
        <v>20.060820992509321</v>
      </c>
      <c r="G10" s="22">
        <f t="shared" si="31"/>
        <v>19.719935176528566</v>
      </c>
      <c r="H10" s="22">
        <f t="shared" si="31"/>
        <v>23.223560881920793</v>
      </c>
      <c r="I10" s="22">
        <f t="shared" si="31"/>
        <v>20.215239865845472</v>
      </c>
      <c r="J10" s="22">
        <f t="shared" si="31"/>
        <v>22.0744687843343</v>
      </c>
      <c r="K10" s="22">
        <f t="shared" si="31"/>
        <v>16.040526252125687</v>
      </c>
      <c r="L10" s="22">
        <f t="shared" si="31"/>
        <v>12.519821185003773</v>
      </c>
      <c r="M10" s="22">
        <f t="shared" si="31"/>
        <v>12.36560458775859</v>
      </c>
      <c r="N10" s="22">
        <f t="shared" si="31"/>
        <v>10.628376766184072</v>
      </c>
      <c r="O10" s="22">
        <f t="shared" si="31"/>
        <v>10.126185933831719</v>
      </c>
      <c r="P10" s="22">
        <f t="shared" si="31"/>
        <v>8.1186836711374717</v>
      </c>
      <c r="Q10" s="22">
        <f t="shared" si="31"/>
        <v>7.6176586660037122</v>
      </c>
      <c r="R10" s="22">
        <f t="shared" si="31"/>
        <v>7.4481000256591132</v>
      </c>
      <c r="S10" s="22">
        <f t="shared" si="31"/>
        <v>7.4098617593379617</v>
      </c>
      <c r="T10" s="22">
        <f t="shared" si="31"/>
        <v>10.316477092097552</v>
      </c>
      <c r="U10" s="22">
        <f t="shared" si="31"/>
        <v>10.014297037633654</v>
      </c>
      <c r="V10" s="22">
        <f t="shared" si="31"/>
        <v>7.0271612783864619</v>
      </c>
      <c r="W10" s="22">
        <f t="shared" ref="W10:Y10" si="32">SUM(W11:W13)</f>
        <v>8.3546790875443566</v>
      </c>
      <c r="X10" s="22">
        <f t="shared" si="32"/>
        <v>8.462230934532041</v>
      </c>
      <c r="Y10" s="22">
        <f t="shared" si="32"/>
        <v>7.6127177993277018</v>
      </c>
      <c r="DA10" s="193" t="s">
        <v>284</v>
      </c>
    </row>
    <row r="11" spans="1:105" ht="11.45" customHeight="1" x14ac:dyDescent="0.25">
      <c r="A11" s="92" t="s">
        <v>27</v>
      </c>
      <c r="B11" s="97">
        <v>15.791749166078899</v>
      </c>
      <c r="C11" s="97">
        <v>16.581127439197633</v>
      </c>
      <c r="D11" s="97">
        <v>15.763629192780035</v>
      </c>
      <c r="E11" s="97">
        <v>13.066396564498159</v>
      </c>
      <c r="F11" s="97">
        <v>7.3997207922502888</v>
      </c>
      <c r="G11" s="97">
        <v>7.294603416499605</v>
      </c>
      <c r="H11" s="97">
        <v>6.5114259569719914</v>
      </c>
      <c r="I11" s="97">
        <v>5.2208141890669379</v>
      </c>
      <c r="J11" s="97">
        <v>5.689827825121224</v>
      </c>
      <c r="K11" s="97">
        <v>3.4653936165669132</v>
      </c>
      <c r="L11" s="97">
        <v>2.7891858278358899</v>
      </c>
      <c r="M11" s="97">
        <v>2.2719577511475815</v>
      </c>
      <c r="N11" s="97">
        <v>1.6868340583475179</v>
      </c>
      <c r="O11" s="97">
        <v>1.6060922761273664</v>
      </c>
      <c r="P11" s="97">
        <v>0.99792213903697879</v>
      </c>
      <c r="Q11" s="97">
        <v>0.80521816489164189</v>
      </c>
      <c r="R11" s="97">
        <v>0.72025662759153297</v>
      </c>
      <c r="S11" s="97">
        <v>0.50350607217615961</v>
      </c>
      <c r="T11" s="97">
        <v>1.0207504954246427</v>
      </c>
      <c r="U11" s="97">
        <v>0.8886949673132819</v>
      </c>
      <c r="V11" s="97">
        <v>0.37549381317078229</v>
      </c>
      <c r="W11" s="97">
        <v>0.51195676690925074</v>
      </c>
      <c r="X11" s="97">
        <v>0.6658390183225672</v>
      </c>
      <c r="Y11" s="97">
        <v>0.85268789071074613</v>
      </c>
      <c r="DA11" s="175" t="s">
        <v>285</v>
      </c>
    </row>
    <row r="12" spans="1:105" ht="11.45" customHeight="1" x14ac:dyDescent="0.25">
      <c r="A12" s="92" t="s">
        <v>181</v>
      </c>
      <c r="B12" s="97">
        <v>16.556128506155375</v>
      </c>
      <c r="C12" s="97">
        <v>18.923989163611196</v>
      </c>
      <c r="D12" s="97">
        <v>18.526554940649163</v>
      </c>
      <c r="E12" s="97">
        <v>15.546626856302765</v>
      </c>
      <c r="F12" s="97">
        <v>11.44090279654081</v>
      </c>
      <c r="G12" s="97">
        <v>11.231341186771436</v>
      </c>
      <c r="H12" s="97">
        <v>15.419369677180423</v>
      </c>
      <c r="I12" s="97">
        <v>13.922976331510561</v>
      </c>
      <c r="J12" s="97">
        <v>15.234233798665956</v>
      </c>
      <c r="K12" s="97">
        <v>11.647672984642213</v>
      </c>
      <c r="L12" s="97">
        <v>9.2623426207000588</v>
      </c>
      <c r="M12" s="97">
        <v>9.5370682971448897</v>
      </c>
      <c r="N12" s="97">
        <v>8.4059499562586861</v>
      </c>
      <c r="O12" s="97">
        <v>8.130573940700943</v>
      </c>
      <c r="P12" s="97">
        <v>6.7971214457365292</v>
      </c>
      <c r="Q12" s="97">
        <v>6.3384416457661974</v>
      </c>
      <c r="R12" s="97">
        <v>6.3059061242681951</v>
      </c>
      <c r="S12" s="97">
        <v>6.3992859124121173</v>
      </c>
      <c r="T12" s="97">
        <v>8.4413346316399895</v>
      </c>
      <c r="U12" s="97">
        <v>8.1197129998931565</v>
      </c>
      <c r="V12" s="97">
        <v>5.4373032811904576</v>
      </c>
      <c r="W12" s="97">
        <v>6.4005618603292476</v>
      </c>
      <c r="X12" s="97">
        <v>6.374368043459631</v>
      </c>
      <c r="Y12" s="97">
        <v>5.5903649901927848</v>
      </c>
      <c r="DA12" s="175" t="s">
        <v>286</v>
      </c>
    </row>
    <row r="13" spans="1:105" ht="11.45" customHeight="1" x14ac:dyDescent="0.25">
      <c r="A13" s="85" t="s">
        <v>182</v>
      </c>
      <c r="B13" s="98">
        <v>1.5503637765748637</v>
      </c>
      <c r="C13" s="98">
        <v>1.4912195973016309</v>
      </c>
      <c r="D13" s="98">
        <v>1.5128082628280459</v>
      </c>
      <c r="E13" s="98">
        <v>1.669289464805122</v>
      </c>
      <c r="F13" s="98">
        <v>1.2201974037182253</v>
      </c>
      <c r="G13" s="98">
        <v>1.1939905732575216</v>
      </c>
      <c r="H13" s="98">
        <v>1.2927652477683791</v>
      </c>
      <c r="I13" s="98">
        <v>1.0714493452679714</v>
      </c>
      <c r="J13" s="98">
        <v>1.1504071605471176</v>
      </c>
      <c r="K13" s="98">
        <v>0.92745965091656024</v>
      </c>
      <c r="L13" s="98">
        <v>0.4682927364678236</v>
      </c>
      <c r="M13" s="98">
        <v>0.55657853946611868</v>
      </c>
      <c r="N13" s="98">
        <v>0.53559275157786823</v>
      </c>
      <c r="O13" s="98">
        <v>0.38951971700341015</v>
      </c>
      <c r="P13" s="98">
        <v>0.32364008636396324</v>
      </c>
      <c r="Q13" s="98">
        <v>0.47399885534587355</v>
      </c>
      <c r="R13" s="98">
        <v>0.42193727379938523</v>
      </c>
      <c r="S13" s="98">
        <v>0.5070697747496844</v>
      </c>
      <c r="T13" s="98">
        <v>0.85439196503291914</v>
      </c>
      <c r="U13" s="98">
        <v>1.0058890704272165</v>
      </c>
      <c r="V13" s="98">
        <v>1.2143641840252228</v>
      </c>
      <c r="W13" s="98">
        <v>1.4421604603058586</v>
      </c>
      <c r="X13" s="98">
        <v>1.4220238727498415</v>
      </c>
      <c r="Y13" s="98">
        <v>1.1696649184241708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541.59399804618261</v>
      </c>
      <c r="C17" s="62">
        <f>IF(C3=0,0,C3/TrAvia_act!C13*100)</f>
        <v>519.12037058282669</v>
      </c>
      <c r="D17" s="62">
        <f>IF(D3=0,0,D3/TrAvia_act!D13*100)</f>
        <v>510.33014048280683</v>
      </c>
      <c r="E17" s="62">
        <f>IF(E3=0,0,E3/TrAvia_act!E13*100)</f>
        <v>505.36818097844343</v>
      </c>
      <c r="F17" s="62">
        <f>IF(F3=0,0,F3/TrAvia_act!F13*100)</f>
        <v>488.18961998496604</v>
      </c>
      <c r="G17" s="62">
        <f>IF(G3=0,0,G3/TrAvia_act!G13*100)</f>
        <v>493.00895035852557</v>
      </c>
      <c r="H17" s="62">
        <f>IF(H3=0,0,H3/TrAvia_act!H13*100)</f>
        <v>504.62376537570941</v>
      </c>
      <c r="I17" s="62">
        <f>IF(I3=0,0,I3/TrAvia_act!I13*100)</f>
        <v>483.53789624728097</v>
      </c>
      <c r="J17" s="62">
        <f>IF(J3=0,0,J3/TrAvia_act!J13*100)</f>
        <v>506.53561888916192</v>
      </c>
      <c r="K17" s="62">
        <f>IF(K3=0,0,K3/TrAvia_act!K13*100)</f>
        <v>436.59720651857936</v>
      </c>
      <c r="L17" s="62">
        <f>IF(L3=0,0,L3/TrAvia_act!L13*100)</f>
        <v>367.25773657638092</v>
      </c>
      <c r="M17" s="62">
        <f>IF(M3=0,0,M3/TrAvia_act!M13*100)</f>
        <v>383.62215480244885</v>
      </c>
      <c r="N17" s="62">
        <f>IF(N3=0,0,N3/TrAvia_act!N13*100)</f>
        <v>368.91710326353916</v>
      </c>
      <c r="O17" s="62">
        <f>IF(O3=0,0,O3/TrAvia_act!O13*100)</f>
        <v>365.58398174590269</v>
      </c>
      <c r="P17" s="62">
        <f>IF(P3=0,0,P3/TrAvia_act!P13*100)</f>
        <v>361.29689170621282</v>
      </c>
      <c r="Q17" s="62">
        <f>IF(Q3=0,0,Q3/TrAvia_act!Q13*100)</f>
        <v>358.54635249961467</v>
      </c>
      <c r="R17" s="62">
        <f>IF(R3=0,0,R3/TrAvia_act!R13*100)</f>
        <v>360.25618665269548</v>
      </c>
      <c r="S17" s="62">
        <f>IF(S3=0,0,S3/TrAvia_act!S13*100)</f>
        <v>368.87547556988744</v>
      </c>
      <c r="T17" s="62">
        <f>IF(T3=0,0,T3/TrAvia_act!T13*100)</f>
        <v>374.46310171634008</v>
      </c>
      <c r="U17" s="62">
        <f>IF(U3=0,0,U3/TrAvia_act!U13*100)</f>
        <v>377.55323998637994</v>
      </c>
      <c r="V17" s="62">
        <f>IF(V3=0,0,V3/TrAvia_act!V13*100)</f>
        <v>313.01790998491578</v>
      </c>
      <c r="W17" s="62">
        <f>IF(W3=0,0,W3/TrAvia_act!W13*100)</f>
        <v>329.61864575097007</v>
      </c>
      <c r="X17" s="62">
        <f>IF(X3=0,0,X3/TrAvia_act!X13*100)</f>
        <v>362.60449766389388</v>
      </c>
      <c r="Y17" s="62">
        <f>IF(Y3=0,0,Y3/TrAvia_act!Y13*100)</f>
        <v>387.06137296988112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540.99801670112004</v>
      </c>
      <c r="C18" s="14">
        <f>IF(C6=0,0,C6/TrAvia_act!C14*100)</f>
        <v>518.479827028459</v>
      </c>
      <c r="D18" s="14">
        <f>IF(D6=0,0,D6/TrAvia_act!D14*100)</f>
        <v>509.56384530543698</v>
      </c>
      <c r="E18" s="14">
        <f>IF(E6=0,0,E6/TrAvia_act!E14*100)</f>
        <v>504.67258294954888</v>
      </c>
      <c r="F18" s="14">
        <f>IF(F6=0,0,F6/TrAvia_act!F14*100)</f>
        <v>488.29000487022586</v>
      </c>
      <c r="G18" s="14">
        <f>IF(G6=0,0,G6/TrAvia_act!G14*100)</f>
        <v>493.12618318610265</v>
      </c>
      <c r="H18" s="14">
        <f>IF(H6=0,0,H6/TrAvia_act!H14*100)</f>
        <v>504.86601078786418</v>
      </c>
      <c r="I18" s="14">
        <f>IF(I6=0,0,I6/TrAvia_act!I14*100)</f>
        <v>483.89774029155086</v>
      </c>
      <c r="J18" s="14">
        <f>IF(J6=0,0,J6/TrAvia_act!J14*100)</f>
        <v>506.82097723959424</v>
      </c>
      <c r="K18" s="14">
        <f>IF(K6=0,0,K6/TrAvia_act!K14*100)</f>
        <v>436.99147089177978</v>
      </c>
      <c r="L18" s="14">
        <f>IF(L6=0,0,L6/TrAvia_act!L14*100)</f>
        <v>367.50500419407155</v>
      </c>
      <c r="M18" s="14">
        <f>IF(M6=0,0,M6/TrAvia_act!M14*100)</f>
        <v>383.84861752785127</v>
      </c>
      <c r="N18" s="14">
        <f>IF(N6=0,0,N6/TrAvia_act!N14*100)</f>
        <v>369.05355180239934</v>
      </c>
      <c r="O18" s="14">
        <f>IF(O6=0,0,O6/TrAvia_act!O14*100)</f>
        <v>365.62270324309611</v>
      </c>
      <c r="P18" s="14">
        <f>IF(P6=0,0,P6/TrAvia_act!P14*100)</f>
        <v>361.39057950281756</v>
      </c>
      <c r="Q18" s="14">
        <f>IF(Q6=0,0,Q6/TrAvia_act!Q14*100)</f>
        <v>358.68239067643822</v>
      </c>
      <c r="R18" s="14">
        <f>IF(R6=0,0,R6/TrAvia_act!R14*100)</f>
        <v>360.38964797932255</v>
      </c>
      <c r="S18" s="14">
        <f>IF(S6=0,0,S6/TrAvia_act!S14*100)</f>
        <v>369.05305090087745</v>
      </c>
      <c r="T18" s="14">
        <f>IF(T6=0,0,T6/TrAvia_act!T14*100)</f>
        <v>374.72594404670264</v>
      </c>
      <c r="U18" s="14">
        <f>IF(U6=0,0,U6/TrAvia_act!U14*100)</f>
        <v>377.86640634884537</v>
      </c>
      <c r="V18" s="14">
        <f>IF(V6=0,0,V6/TrAvia_act!V14*100)</f>
        <v>313.38398312223069</v>
      </c>
      <c r="W18" s="14">
        <f>IF(W6=0,0,W6/TrAvia_act!W14*100)</f>
        <v>330.13460508884151</v>
      </c>
      <c r="X18" s="14">
        <f>IF(X6=0,0,X6/TrAvia_act!X14*100)</f>
        <v>363.06563597473826</v>
      </c>
      <c r="Y18" s="14">
        <f>IF(Y6=0,0,Y6/TrAvia_act!Y14*100)</f>
        <v>387.47473454016034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1191.4313750563579</v>
      </c>
      <c r="C19" s="87">
        <f>IF(C7=0,0,C7/TrAvia_act!C15*100)</f>
        <v>1063.4347772925198</v>
      </c>
      <c r="D19" s="87">
        <f>IF(D7=0,0,D7/TrAvia_act!D15*100)</f>
        <v>1060.7701845287793</v>
      </c>
      <c r="E19" s="87">
        <f>IF(E7=0,0,E7/TrAvia_act!E15*100)</f>
        <v>1065.3812702410598</v>
      </c>
      <c r="F19" s="87">
        <f>IF(F7=0,0,F7/TrAvia_act!F15*100)</f>
        <v>1007.7500507271477</v>
      </c>
      <c r="G19" s="87">
        <f>IF(G7=0,0,G7/TrAvia_act!G15*100)</f>
        <v>1054.5044262174149</v>
      </c>
      <c r="H19" s="87">
        <f>IF(H7=0,0,H7/TrAvia_act!H15*100)</f>
        <v>914.45291468443145</v>
      </c>
      <c r="I19" s="87">
        <f>IF(I7=0,0,I7/TrAvia_act!I15*100)</f>
        <v>890.71996539597649</v>
      </c>
      <c r="J19" s="87">
        <f>IF(J7=0,0,J7/TrAvia_act!J15*100)</f>
        <v>902.54343767865123</v>
      </c>
      <c r="K19" s="87">
        <f>IF(K7=0,0,K7/TrAvia_act!K15*100)</f>
        <v>672.15224832998138</v>
      </c>
      <c r="L19" s="87">
        <f>IF(L7=0,0,L7/TrAvia_act!L15*100)</f>
        <v>626.1967361626173</v>
      </c>
      <c r="M19" s="87">
        <f>IF(M7=0,0,M7/TrAvia_act!M15*100)</f>
        <v>708.79698016096756</v>
      </c>
      <c r="N19" s="87">
        <f>IF(N7=0,0,N7/TrAvia_act!N15*100)</f>
        <v>650.61168923344587</v>
      </c>
      <c r="O19" s="87">
        <f>IF(O7=0,0,O7/TrAvia_act!O15*100)</f>
        <v>689.05496792187807</v>
      </c>
      <c r="P19" s="87">
        <f>IF(P7=0,0,P7/TrAvia_act!P15*100)</f>
        <v>661.7055526766037</v>
      </c>
      <c r="Q19" s="87">
        <f>IF(Q7=0,0,Q7/TrAvia_act!Q15*100)</f>
        <v>557.66924548873442</v>
      </c>
      <c r="R19" s="87">
        <f>IF(R7=0,0,R7/TrAvia_act!R15*100)</f>
        <v>590.23529657384245</v>
      </c>
      <c r="S19" s="87">
        <f>IF(S7=0,0,S7/TrAvia_act!S15*100)</f>
        <v>622.6881749190859</v>
      </c>
      <c r="T19" s="87">
        <f>IF(T7=0,0,T7/TrAvia_act!T15*100)</f>
        <v>673.91449388319279</v>
      </c>
      <c r="U19" s="87">
        <f>IF(U7=0,0,U7/TrAvia_act!U15*100)</f>
        <v>677.77078020198167</v>
      </c>
      <c r="V19" s="87">
        <f>IF(V7=0,0,V7/TrAvia_act!V15*100)</f>
        <v>449.60365025491387</v>
      </c>
      <c r="W19" s="87">
        <f>IF(W7=0,0,W7/TrAvia_act!W15*100)</f>
        <v>548.63141629228778</v>
      </c>
      <c r="X19" s="87">
        <f>IF(X7=0,0,X7/TrAvia_act!X15*100)</f>
        <v>688.04431112065333</v>
      </c>
      <c r="Y19" s="87">
        <f>IF(Y7=0,0,Y7/TrAvia_act!Y15*100)</f>
        <v>853.39715234359824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388.23877571574837</v>
      </c>
      <c r="C20" s="87">
        <f>IF(C8=0,0,C8/TrAvia_act!C16*100)</f>
        <v>386.01566318400222</v>
      </c>
      <c r="D20" s="87">
        <f>IF(D8=0,0,D8/TrAvia_act!D16*100)</f>
        <v>385.82438267950425</v>
      </c>
      <c r="E20" s="87">
        <f>IF(E8=0,0,E8/TrAvia_act!E16*100)</f>
        <v>387.1594677162384</v>
      </c>
      <c r="F20" s="87">
        <f>IF(F8=0,0,F8/TrAvia_act!F16*100)</f>
        <v>370.77178717419986</v>
      </c>
      <c r="G20" s="87">
        <f>IF(G8=0,0,G8/TrAvia_act!G16*100)</f>
        <v>369.16841206698194</v>
      </c>
      <c r="H20" s="87">
        <f>IF(H8=0,0,H8/TrAvia_act!H16*100)</f>
        <v>418.46373875096282</v>
      </c>
      <c r="I20" s="87">
        <f>IF(I8=0,0,I8/TrAvia_act!I16*100)</f>
        <v>409.5501882172673</v>
      </c>
      <c r="J20" s="87">
        <f>IF(J8=0,0,J8/TrAvia_act!J16*100)</f>
        <v>443.77932877599227</v>
      </c>
      <c r="K20" s="87">
        <f>IF(K8=0,0,K8/TrAvia_act!K16*100)</f>
        <v>387.0066381424424</v>
      </c>
      <c r="L20" s="87">
        <f>IF(L8=0,0,L8/TrAvia_act!L16*100)</f>
        <v>320.93831346235442</v>
      </c>
      <c r="M20" s="87">
        <f>IF(M8=0,0,M8/TrAvia_act!M16*100)</f>
        <v>339.4207048947876</v>
      </c>
      <c r="N20" s="87">
        <f>IF(N8=0,0,N8/TrAvia_act!N16*100)</f>
        <v>330.70442036686421</v>
      </c>
      <c r="O20" s="87">
        <f>IF(O8=0,0,O8/TrAvia_act!O16*100)</f>
        <v>338.4140221017982</v>
      </c>
      <c r="P20" s="87">
        <f>IF(P8=0,0,P8/TrAvia_act!P16*100)</f>
        <v>335.22564975839657</v>
      </c>
      <c r="Q20" s="87">
        <f>IF(Q8=0,0,Q8/TrAvia_act!Q16*100)</f>
        <v>333.32094913453341</v>
      </c>
      <c r="R20" s="87">
        <f>IF(R8=0,0,R8/TrAvia_act!R16*100)</f>
        <v>337.65348875029633</v>
      </c>
      <c r="S20" s="87">
        <f>IF(S8=0,0,S8/TrAvia_act!S16*100)</f>
        <v>353.30064628293991</v>
      </c>
      <c r="T20" s="87">
        <f>IF(T8=0,0,T8/TrAvia_act!T16*100)</f>
        <v>353.84183571180978</v>
      </c>
      <c r="U20" s="87">
        <f>IF(U8=0,0,U8/TrAvia_act!U16*100)</f>
        <v>362.57548953825307</v>
      </c>
      <c r="V20" s="87">
        <f>IF(V8=0,0,V8/TrAvia_act!V16*100)</f>
        <v>258.29241357146248</v>
      </c>
      <c r="W20" s="87">
        <f>IF(W8=0,0,W8/TrAvia_act!W16*100)</f>
        <v>298.95095998073941</v>
      </c>
      <c r="X20" s="87">
        <f>IF(X8=0,0,X8/TrAvia_act!X16*100)</f>
        <v>331.25147899607299</v>
      </c>
      <c r="Y20" s="87">
        <f>IF(Y8=0,0,Y8/TrAvia_act!Y16*100)</f>
        <v>344.69377639391291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532.76584066402711</v>
      </c>
      <c r="C21" s="87">
        <f>IF(C9=0,0,C9/TrAvia_act!C17*100)</f>
        <v>529.71489110417599</v>
      </c>
      <c r="D21" s="87">
        <f>IF(D9=0,0,D9/TrAvia_act!D17*100)</f>
        <v>529.45181050795907</v>
      </c>
      <c r="E21" s="87">
        <f>IF(E9=0,0,E9/TrAvia_act!E17*100)</f>
        <v>531.28460198704556</v>
      </c>
      <c r="F21" s="87">
        <f>IF(F9=0,0,F9/TrAvia_act!F17*100)</f>
        <v>509.81907433010446</v>
      </c>
      <c r="G21" s="87">
        <f>IF(G9=0,0,G9/TrAvia_act!G17*100)</f>
        <v>503.67934805940439</v>
      </c>
      <c r="H21" s="87">
        <f>IF(H9=0,0,H9/TrAvia_act!H17*100)</f>
        <v>499.95293911416132</v>
      </c>
      <c r="I21" s="87">
        <f>IF(I9=0,0,I9/TrAvia_act!I17*100)</f>
        <v>431.02535863098535</v>
      </c>
      <c r="J21" s="87">
        <f>IF(J9=0,0,J9/TrAvia_act!J17*100)</f>
        <v>421.34065490213129</v>
      </c>
      <c r="K21" s="87">
        <f>IF(K9=0,0,K9/TrAvia_act!K17*100)</f>
        <v>406.71912506801959</v>
      </c>
      <c r="L21" s="87">
        <f>IF(L9=0,0,L9/TrAvia_act!L17*100)</f>
        <v>322.53307139098456</v>
      </c>
      <c r="M21" s="87">
        <f>IF(M9=0,0,M9/TrAvia_act!M17*100)</f>
        <v>327.78188215056747</v>
      </c>
      <c r="N21" s="87">
        <f>IF(N9=0,0,N9/TrAvia_act!N17*100)</f>
        <v>318.82043130799815</v>
      </c>
      <c r="O21" s="87">
        <f>IF(O9=0,0,O9/TrAvia_act!O17*100)</f>
        <v>277.28054041943875</v>
      </c>
      <c r="P21" s="87">
        <f>IF(P9=0,0,P9/TrAvia_act!P17*100)</f>
        <v>292.62082510083803</v>
      </c>
      <c r="Q21" s="87">
        <f>IF(Q9=0,0,Q9/TrAvia_act!Q17*100)</f>
        <v>339.40728101911338</v>
      </c>
      <c r="R21" s="87">
        <f>IF(R9=0,0,R9/TrAvia_act!R17*100)</f>
        <v>307.89504645338218</v>
      </c>
      <c r="S21" s="87">
        <f>IF(S9=0,0,S9/TrAvia_act!S17*100)</f>
        <v>289.01685973546927</v>
      </c>
      <c r="T21" s="87">
        <f>IF(T9=0,0,T9/TrAvia_act!T17*100)</f>
        <v>296.51990406104051</v>
      </c>
      <c r="U21" s="87">
        <f>IF(U9=0,0,U9/TrAvia_act!U17*100)</f>
        <v>283.80304876650519</v>
      </c>
      <c r="V21" s="87">
        <f>IF(V9=0,0,V9/TrAvia_act!V17*100)</f>
        <v>526.21344910635298</v>
      </c>
      <c r="W21" s="87">
        <f>IF(W9=0,0,W9/TrAvia_act!W17*100)</f>
        <v>326.30595900816934</v>
      </c>
      <c r="X21" s="87">
        <f>IF(X9=0,0,X9/TrAvia_act!X17*100)</f>
        <v>336.18792912041027</v>
      </c>
      <c r="Y21" s="87">
        <f>IF(Y9=0,0,Y9/TrAvia_act!Y17*100)</f>
        <v>336.58991161738919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565.96362793539447</v>
      </c>
      <c r="C22" s="15">
        <f>IF(C10=0,0,C10/TrAvia_act!C18*100)</f>
        <v>540.50758551048159</v>
      </c>
      <c r="D22" s="15">
        <f>IF(D10=0,0,D10/TrAvia_act!D18*100)</f>
        <v>536.18935694532229</v>
      </c>
      <c r="E22" s="15">
        <f>IF(E10=0,0,E10/TrAvia_act!E18*100)</f>
        <v>533.5663130372335</v>
      </c>
      <c r="F22" s="15">
        <f>IF(F10=0,0,F10/TrAvia_act!F18*100)</f>
        <v>482.16749427412503</v>
      </c>
      <c r="G22" s="15">
        <f>IF(G10=0,0,G10/TrAvia_act!G18*100)</f>
        <v>486.02669122894292</v>
      </c>
      <c r="H22" s="15">
        <f>IF(H10=0,0,H10/TrAvia_act!H18*100)</f>
        <v>491.37431982238058</v>
      </c>
      <c r="I22" s="15">
        <f>IF(I10=0,0,I10/TrAvia_act!I18*100)</f>
        <v>461.06695707988246</v>
      </c>
      <c r="J22" s="15">
        <f>IF(J10=0,0,J10/TrAvia_act!J18*100)</f>
        <v>489.70787761556107</v>
      </c>
      <c r="K22" s="15">
        <f>IF(K10=0,0,K10/TrAvia_act!K18*100)</f>
        <v>410.57002249074674</v>
      </c>
      <c r="L22" s="15">
        <f>IF(L10=0,0,L10/TrAvia_act!L18*100)</f>
        <v>350.19423365452923</v>
      </c>
      <c r="M22" s="15">
        <f>IF(M10=0,0,M10/TrAvia_act!M18*100)</f>
        <v>367.0058753824855</v>
      </c>
      <c r="N22" s="15">
        <f>IF(N10=0,0,N10/TrAvia_act!N18*100)</f>
        <v>358.50780184951054</v>
      </c>
      <c r="O22" s="15">
        <f>IF(O10=0,0,O10/TrAvia_act!O18*100)</f>
        <v>362.39905877690404</v>
      </c>
      <c r="P22" s="15">
        <f>IF(P10=0,0,P10/TrAvia_act!P18*100)</f>
        <v>350.66910589920758</v>
      </c>
      <c r="Q22" s="15">
        <f>IF(Q10=0,0,Q10/TrAvia_act!Q18*100)</f>
        <v>341.80903289931047</v>
      </c>
      <c r="R22" s="15">
        <f>IF(R10=0,0,R10/TrAvia_act!R18*100)</f>
        <v>342.20822352582275</v>
      </c>
      <c r="S22" s="15">
        <f>IF(S10=0,0,S10/TrAvia_act!S18*100)</f>
        <v>342.73994057540739</v>
      </c>
      <c r="T22" s="15">
        <f>IF(T10=0,0,T10/TrAvia_act!T18*100)</f>
        <v>344.02724078452269</v>
      </c>
      <c r="U22" s="15">
        <f>IF(U10=0,0,U10/TrAvia_act!U18*100)</f>
        <v>339.73008035010639</v>
      </c>
      <c r="V22" s="15">
        <f>IF(V10=0,0,V10/TrAvia_act!V18*100)</f>
        <v>291.73050096810078</v>
      </c>
      <c r="W22" s="15">
        <f>IF(W10=0,0,W10/TrAvia_act!W18*100)</f>
        <v>284.87977023815512</v>
      </c>
      <c r="X22" s="15">
        <f>IF(X10=0,0,X10/TrAvia_act!X18*100)</f>
        <v>300.49517112465219</v>
      </c>
      <c r="Y22" s="15">
        <f>IF(Y10=0,0,Y10/TrAvia_act!Y18*100)</f>
        <v>320.67954328505726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1190.072237651018</v>
      </c>
      <c r="C23" s="101">
        <f>IF(C11=0,0,C11/TrAvia_act!C19*100)</f>
        <v>1062.2216533021524</v>
      </c>
      <c r="D23" s="101">
        <f>IF(D11=0,0,D11/TrAvia_act!D19*100)</f>
        <v>1059.5601001995885</v>
      </c>
      <c r="E23" s="101">
        <f>IF(E11=0,0,E11/TrAvia_act!E19*100)</f>
        <v>1064.1659257691517</v>
      </c>
      <c r="F23" s="101">
        <f>IF(F11=0,0,F11/TrAvia_act!F19*100)</f>
        <v>1006.6004496524648</v>
      </c>
      <c r="G23" s="101">
        <f>IF(G11=0,0,G11/TrAvia_act!G19*100)</f>
        <v>1053.2946544456336</v>
      </c>
      <c r="H23" s="101">
        <f>IF(H11=0,0,H11/TrAvia_act!H19*100)</f>
        <v>911.97768024381071</v>
      </c>
      <c r="I23" s="101">
        <f>IF(I11=0,0,I11/TrAvia_act!I19*100)</f>
        <v>886.86659752578566</v>
      </c>
      <c r="J23" s="101">
        <f>IF(J11=0,0,J11/TrAvia_act!J19*100)</f>
        <v>897.2610528203395</v>
      </c>
      <c r="K23" s="101">
        <f>IF(K11=0,0,K11/TrAvia_act!K19*100)</f>
        <v>667.01628776685823</v>
      </c>
      <c r="L23" s="101">
        <f>IF(L11=0,0,L11/TrAvia_act!L19*100)</f>
        <v>620.25165513158731</v>
      </c>
      <c r="M23" s="101">
        <f>IF(M11=0,0,M11/TrAvia_act!M19*100)</f>
        <v>680.83759794479533</v>
      </c>
      <c r="N23" s="101">
        <f>IF(N11=0,0,N11/TrAvia_act!N19*100)</f>
        <v>606.07474219560197</v>
      </c>
      <c r="O23" s="101">
        <f>IF(O11=0,0,O11/TrAvia_act!O19*100)</f>
        <v>639.38357436243643</v>
      </c>
      <c r="P23" s="101">
        <f>IF(P11=0,0,P11/TrAvia_act!P19*100)</f>
        <v>613.2758314882708</v>
      </c>
      <c r="Q23" s="101">
        <f>IF(Q11=0,0,Q11/TrAvia_act!Q19*100)</f>
        <v>516.36359599771947</v>
      </c>
      <c r="R23" s="101">
        <f>IF(R11=0,0,R11/TrAvia_act!R19*100)</f>
        <v>546.46415941949419</v>
      </c>
      <c r="S23" s="101">
        <f>IF(S11=0,0,S11/TrAvia_act!S19*100)</f>
        <v>573.99215980622841</v>
      </c>
      <c r="T23" s="101">
        <f>IF(T11=0,0,T11/TrAvia_act!T19*100)</f>
        <v>620.14617786766678</v>
      </c>
      <c r="U23" s="101">
        <f>IF(U11=0,0,U11/TrAvia_act!U19*100)</f>
        <v>603.59281941970619</v>
      </c>
      <c r="V23" s="101">
        <f>IF(V11=0,0,V11/TrAvia_act!V19*100)</f>
        <v>400.73147387168842</v>
      </c>
      <c r="W23" s="101">
        <f>IF(W11=0,0,W11/TrAvia_act!W19*100)</f>
        <v>503.69459978579874</v>
      </c>
      <c r="X23" s="101">
        <f>IF(X11=0,0,X11/TrAvia_act!X19*100)</f>
        <v>615.49577305467733</v>
      </c>
      <c r="Y23" s="101">
        <f>IF(Y11=0,0,Y11/TrAvia_act!Y19*100)</f>
        <v>772.18713019605423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388.06003979394808</v>
      </c>
      <c r="C24" s="101">
        <f>IF(C12=0,0,C12/TrAvia_act!C20*100)</f>
        <v>386.16144645038349</v>
      </c>
      <c r="D24" s="101">
        <f>IF(D12=0,0,D12/TrAvia_act!D20*100)</f>
        <v>385.92206913649363</v>
      </c>
      <c r="E24" s="101">
        <f>IF(E12=0,0,E12/TrAvia_act!E20*100)</f>
        <v>386.74237932323251</v>
      </c>
      <c r="F24" s="101">
        <f>IF(F12=0,0,F12/TrAvia_act!F20*100)</f>
        <v>369.10600291864807</v>
      </c>
      <c r="G24" s="101">
        <f>IF(G12=0,0,G12/TrAvia_act!G20*100)</f>
        <v>368.45349608528215</v>
      </c>
      <c r="H24" s="101">
        <f>IF(H12=0,0,H12/TrAvia_act!H20*100)</f>
        <v>423.24530986372082</v>
      </c>
      <c r="I24" s="101">
        <f>IF(I12=0,0,I12/TrAvia_act!I20*100)</f>
        <v>406.60273844707683</v>
      </c>
      <c r="J24" s="101">
        <f>IF(J12=0,0,J12/TrAvia_act!J20*100)</f>
        <v>441.25569065931353</v>
      </c>
      <c r="K24" s="101">
        <f>IF(K12=0,0,K12/TrAvia_act!K20*100)</f>
        <v>381.68392307482162</v>
      </c>
      <c r="L24" s="101">
        <f>IF(L12=0,0,L12/TrAvia_act!L20*100)</f>
        <v>317.13705699252199</v>
      </c>
      <c r="M24" s="101">
        <f>IF(M12=0,0,M12/TrAvia_act!M20*100)</f>
        <v>336.40167754891064</v>
      </c>
      <c r="N24" s="101">
        <f>IF(N12=0,0,N12/TrAvia_act!N20*100)</f>
        <v>332.5039503531562</v>
      </c>
      <c r="O24" s="101">
        <f>IF(O12=0,0,O12/TrAvia_act!O20*100)</f>
        <v>338.18526123266037</v>
      </c>
      <c r="P24" s="101">
        <f>IF(P12=0,0,P12/TrAvia_act!P20*100)</f>
        <v>333.3093322017952</v>
      </c>
      <c r="Q24" s="101">
        <f>IF(Q12=0,0,Q12/TrAvia_act!Q20*100)</f>
        <v>327.99538087242018</v>
      </c>
      <c r="R24" s="101">
        <f>IF(R12=0,0,R12/TrAvia_act!R20*100)</f>
        <v>332.89931513205363</v>
      </c>
      <c r="S24" s="101">
        <f>IF(S12=0,0,S12/TrAvia_act!S20*100)</f>
        <v>344.19135630996811</v>
      </c>
      <c r="T24" s="101">
        <f>IF(T12=0,0,T12/TrAvia_act!T20*100)</f>
        <v>344.28924707593313</v>
      </c>
      <c r="U24" s="101">
        <f>IF(U12=0,0,U12/TrAvia_act!U20*100)</f>
        <v>347.37207793592859</v>
      </c>
      <c r="V24" s="101">
        <f>IF(V12=0,0,V12/TrAvia_act!V20*100)</f>
        <v>266.48315848718295</v>
      </c>
      <c r="W24" s="101">
        <f>IF(W12=0,0,W12/TrAvia_act!W20*100)</f>
        <v>291.69880051513053</v>
      </c>
      <c r="X24" s="101">
        <f>IF(X12=0,0,X12/TrAvia_act!X20*100)</f>
        <v>311.22000216575975</v>
      </c>
      <c r="Y24" s="101">
        <f>IF(Y12=0,0,Y12/TrAvia_act!Y20*100)</f>
        <v>319.32592024693696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391.37450540937721</v>
      </c>
      <c r="C25" s="88">
        <f>IF(C13=0,0,C13/TrAvia_act!C21*100)</f>
        <v>389.1332508395883</v>
      </c>
      <c r="D25" s="88">
        <f>IF(D13=0,0,D13/TrAvia_act!D21*100)</f>
        <v>388.93998950342802</v>
      </c>
      <c r="E25" s="88">
        <f>IF(E13=0,0,E13/TrAvia_act!E21*100)</f>
        <v>390.28637435751699</v>
      </c>
      <c r="F25" s="88">
        <f>IF(F13=0,0,F13/TrAvia_act!F21*100)</f>
        <v>374.51760761448452</v>
      </c>
      <c r="G25" s="88">
        <f>IF(G13=0,0,G13/TrAvia_act!G21*100)</f>
        <v>377.14398396709043</v>
      </c>
      <c r="H25" s="88">
        <f>IF(H13=0,0,H13/TrAvia_act!H21*100)</f>
        <v>350.22098812432017</v>
      </c>
      <c r="I25" s="88">
        <f>IF(I13=0,0,I13/TrAvia_act!I21*100)</f>
        <v>288.3760582268722</v>
      </c>
      <c r="J25" s="88">
        <f>IF(J13=0,0,J13/TrAvia_act!J21*100)</f>
        <v>273.20719719989182</v>
      </c>
      <c r="K25" s="88">
        <f>IF(K13=0,0,K13/TrAvia_act!K21*100)</f>
        <v>276.27544834355456</v>
      </c>
      <c r="L25" s="88">
        <f>IF(L13=0,0,L13/TrAvia_act!L21*100)</f>
        <v>228.64773931094012</v>
      </c>
      <c r="M25" s="88">
        <f>IF(M13=0,0,M13/TrAvia_act!M21*100)</f>
        <v>277.46213901169205</v>
      </c>
      <c r="N25" s="88">
        <f>IF(N13=0,0,N13/TrAvia_act!N21*100)</f>
        <v>338.51386573432228</v>
      </c>
      <c r="O25" s="88">
        <f>IF(O13=0,0,O13/TrAvia_act!O21*100)</f>
        <v>280.55836684161306</v>
      </c>
      <c r="P25" s="88">
        <f>IF(P13=0,0,P13/TrAvia_act!P21*100)</f>
        <v>285.91465146818143</v>
      </c>
      <c r="Q25" s="88">
        <f>IF(Q13=0,0,Q13/TrAvia_act!Q21*100)</f>
        <v>338.06129951937282</v>
      </c>
      <c r="R25" s="88">
        <f>IF(R13=0,0,R13/TrAvia_act!R21*100)</f>
        <v>280.46774646803016</v>
      </c>
      <c r="S25" s="88">
        <f>IF(S13=0,0,S13/TrAvia_act!S21*100)</f>
        <v>235.84049586411754</v>
      </c>
      <c r="T25" s="88">
        <f>IF(T13=0,0,T13/TrAvia_act!T21*100)</f>
        <v>223.47252204215783</v>
      </c>
      <c r="U25" s="88">
        <f>IF(U13=0,0,U13/TrAvia_act!U21*100)</f>
        <v>217.24578644146052</v>
      </c>
      <c r="V25" s="88">
        <f>IF(V13=0,0,V13/TrAvia_act!V21*100)</f>
        <v>442.08482718047674</v>
      </c>
      <c r="W25" s="88">
        <f>IF(W13=0,0,W13/TrAvia_act!W21*100)</f>
        <v>226.46045682837178</v>
      </c>
      <c r="X25" s="88">
        <f>IF(X13=0,0,X13/TrAvia_act!X21*100)</f>
        <v>215.54665200786803</v>
      </c>
      <c r="Y25" s="88">
        <f>IF(Y13=0,0,Y13/TrAvia_act!Y21*100)</f>
        <v>228.07990542731596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39.53931357700484</v>
      </c>
      <c r="C28" s="14">
        <f>IF(C6=0,0,C6/TrAvia_act!C4*1000)</f>
        <v>37.907815709463954</v>
      </c>
      <c r="D28" s="14">
        <f>IF(D6=0,0,D6/TrAvia_act!D4*1000)</f>
        <v>37.19621656253576</v>
      </c>
      <c r="E28" s="14">
        <f>IF(E6=0,0,E6/TrAvia_act!E4*1000)</f>
        <v>37.089006908220739</v>
      </c>
      <c r="F28" s="14">
        <f>IF(F6=0,0,F6/TrAvia_act!F4*1000)</f>
        <v>36.363383557758553</v>
      </c>
      <c r="G28" s="14">
        <f>IF(G6=0,0,G6/TrAvia_act!G4*1000)</f>
        <v>34.637170236916859</v>
      </c>
      <c r="H28" s="14">
        <f>IF(H6=0,0,H6/TrAvia_act!H4*1000)</f>
        <v>36.337397524494676</v>
      </c>
      <c r="I28" s="14">
        <f>IF(I6=0,0,I6/TrAvia_act!I4*1000)</f>
        <v>36.14368473616301</v>
      </c>
      <c r="J28" s="14">
        <f>IF(J6=0,0,J6/TrAvia_act!J4*1000)</f>
        <v>38.144562791078336</v>
      </c>
      <c r="K28" s="14">
        <f>IF(K6=0,0,K6/TrAvia_act!K4*1000)</f>
        <v>34.356775994946595</v>
      </c>
      <c r="L28" s="14">
        <f>IF(L6=0,0,L6/TrAvia_act!L4*1000)</f>
        <v>27.984888542031925</v>
      </c>
      <c r="M28" s="14">
        <f>IF(M6=0,0,M6/TrAvia_act!M4*1000)</f>
        <v>27.998320306206182</v>
      </c>
      <c r="N28" s="14">
        <f>IF(N6=0,0,N6/TrAvia_act!N4*1000)</f>
        <v>26.436874786500251</v>
      </c>
      <c r="O28" s="14">
        <f>IF(O6=0,0,O6/TrAvia_act!O4*1000)</f>
        <v>25.063845682161837</v>
      </c>
      <c r="P28" s="14">
        <f>IF(P6=0,0,P6/TrAvia_act!P4*1000)</f>
        <v>25.266637487376528</v>
      </c>
      <c r="Q28" s="14">
        <f>IF(Q6=0,0,Q6/TrAvia_act!Q4*1000)</f>
        <v>25.380670671453789</v>
      </c>
      <c r="R28" s="14">
        <f>IF(R6=0,0,R6/TrAvia_act!R4*1000)</f>
        <v>25.14756018985446</v>
      </c>
      <c r="S28" s="14">
        <f>IF(S6=0,0,S6/TrAvia_act!S4*1000)</f>
        <v>24.831291115342616</v>
      </c>
      <c r="T28" s="14">
        <f>IF(T6=0,0,T6/TrAvia_act!T4*1000)</f>
        <v>25.164649254457164</v>
      </c>
      <c r="U28" s="14">
        <f>IF(U6=0,0,U6/TrAvia_act!U4*1000)</f>
        <v>25.008677983069081</v>
      </c>
      <c r="V28" s="14">
        <f>IF(V6=0,0,V6/TrAvia_act!V4*1000)</f>
        <v>27.71839443146057</v>
      </c>
      <c r="W28" s="14">
        <f>IF(W6=0,0,W6/TrAvia_act!W4*1000)</f>
        <v>27.808295119536396</v>
      </c>
      <c r="X28" s="14">
        <f>IF(X6=0,0,X6/TrAvia_act!X4*1000)</f>
        <v>24.615951276808261</v>
      </c>
      <c r="Y28" s="14">
        <f>IF(Y6=0,0,Y6/TrAvia_act!Y4*1000)</f>
        <v>24.706414777753992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204.05256427170619</v>
      </c>
      <c r="C29" s="87">
        <f>IF(C7=0,0,C7/TrAvia_act!C5*1000)</f>
        <v>180.90821849038838</v>
      </c>
      <c r="D29" s="87">
        <f>IF(D7=0,0,D7/TrAvia_act!D5*1000)</f>
        <v>179.27597526018897</v>
      </c>
      <c r="E29" s="87">
        <f>IF(E7=0,0,E7/TrAvia_act!E5*1000)</f>
        <v>179.12248515767871</v>
      </c>
      <c r="F29" s="87">
        <f>IF(F7=0,0,F7/TrAvia_act!F5*1000)</f>
        <v>165.73610250500047</v>
      </c>
      <c r="G29" s="87">
        <f>IF(G7=0,0,G7/TrAvia_act!G5*1000)</f>
        <v>162.67638459020168</v>
      </c>
      <c r="H29" s="87">
        <f>IF(H7=0,0,H7/TrAvia_act!H5*1000)</f>
        <v>139.01845478229359</v>
      </c>
      <c r="I29" s="87">
        <f>IF(I7=0,0,I7/TrAvia_act!I5*1000)</f>
        <v>128.73919344912525</v>
      </c>
      <c r="J29" s="87">
        <f>IF(J7=0,0,J7/TrAvia_act!J5*1000)</f>
        <v>125.16267041208712</v>
      </c>
      <c r="K29" s="87">
        <f>IF(K7=0,0,K7/TrAvia_act!K5*1000)</f>
        <v>101.73510774947091</v>
      </c>
      <c r="L29" s="87">
        <f>IF(L7=0,0,L7/TrAvia_act!L5*1000)</f>
        <v>93.099326993551472</v>
      </c>
      <c r="M29" s="87">
        <f>IF(M7=0,0,M7/TrAvia_act!M5*1000)</f>
        <v>103.92626381684245</v>
      </c>
      <c r="N29" s="87">
        <f>IF(N7=0,0,N7/TrAvia_act!N5*1000)</f>
        <v>96.10079210196578</v>
      </c>
      <c r="O29" s="87">
        <f>IF(O7=0,0,O7/TrAvia_act!O5*1000)</f>
        <v>93.97055649802671</v>
      </c>
      <c r="P29" s="87">
        <f>IF(P7=0,0,P7/TrAvia_act!P5*1000)</f>
        <v>78.998241627123278</v>
      </c>
      <c r="Q29" s="87">
        <f>IF(Q7=0,0,Q7/TrAvia_act!Q5*1000)</f>
        <v>61.499905687216675</v>
      </c>
      <c r="R29" s="87">
        <f>IF(R7=0,0,R7/TrAvia_act!R5*1000)</f>
        <v>64.716336929659917</v>
      </c>
      <c r="S29" s="87">
        <f>IF(S7=0,0,S7/TrAvia_act!S5*1000)</f>
        <v>67.183961688674017</v>
      </c>
      <c r="T29" s="87">
        <f>IF(T7=0,0,T7/TrAvia_act!T5*1000)</f>
        <v>76.103326605431477</v>
      </c>
      <c r="U29" s="87">
        <f>IF(U7=0,0,U7/TrAvia_act!U5*1000)</f>
        <v>77.834756297309809</v>
      </c>
      <c r="V29" s="87">
        <f>IF(V7=0,0,V7/TrAvia_act!V5*1000)</f>
        <v>70.526618487192252</v>
      </c>
      <c r="W29" s="87">
        <f>IF(W7=0,0,W7/TrAvia_act!W5*1000)</f>
        <v>75.349753230875095</v>
      </c>
      <c r="X29" s="87">
        <f>IF(X7=0,0,X7/TrAvia_act!X5*1000)</f>
        <v>74.421492790036751</v>
      </c>
      <c r="Y29" s="87">
        <f>IF(Y7=0,0,Y7/TrAvia_act!Y5*1000)</f>
        <v>88.862495512631384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24.897314885046246</v>
      </c>
      <c r="C30" s="87">
        <f>IF(C8=0,0,C8/TrAvia_act!C6*1000)</f>
        <v>24.742062880380644</v>
      </c>
      <c r="D30" s="87">
        <f>IF(D8=0,0,D8/TrAvia_act!D6*1000)</f>
        <v>24.968120411037884</v>
      </c>
      <c r="E30" s="87">
        <f>IF(E8=0,0,E8/TrAvia_act!E6*1000)</f>
        <v>25.496567541099491</v>
      </c>
      <c r="F30" s="87">
        <f>IF(F8=0,0,F8/TrAvia_act!F6*1000)</f>
        <v>24.490337090300748</v>
      </c>
      <c r="G30" s="87">
        <f>IF(G8=0,0,G8/TrAvia_act!G6*1000)</f>
        <v>23.164950464642182</v>
      </c>
      <c r="H30" s="87">
        <f>IF(H8=0,0,H8/TrAvia_act!H6*1000)</f>
        <v>27.281668836600218</v>
      </c>
      <c r="I30" s="87">
        <f>IF(I8=0,0,I8/TrAvia_act!I6*1000)</f>
        <v>28.230554220330905</v>
      </c>
      <c r="J30" s="87">
        <f>IF(J8=0,0,J8/TrAvia_act!J6*1000)</f>
        <v>31.130313516460575</v>
      </c>
      <c r="K30" s="87">
        <f>IF(K8=0,0,K8/TrAvia_act!K6*1000)</f>
        <v>27.677144367319869</v>
      </c>
      <c r="L30" s="87">
        <f>IF(L8=0,0,L8/TrAvia_act!L6*1000)</f>
        <v>22.678985404632737</v>
      </c>
      <c r="M30" s="87">
        <f>IF(M8=0,0,M8/TrAvia_act!M6*1000)</f>
        <v>23.393130749669208</v>
      </c>
      <c r="N30" s="87">
        <f>IF(N8=0,0,N8/TrAvia_act!N6*1000)</f>
        <v>22.255916337558542</v>
      </c>
      <c r="O30" s="87">
        <f>IF(O8=0,0,O8/TrAvia_act!O6*1000)</f>
        <v>22.123299562380737</v>
      </c>
      <c r="P30" s="87">
        <f>IF(P8=0,0,P8/TrAvia_act!P6*1000)</f>
        <v>22.625838501377569</v>
      </c>
      <c r="Q30" s="87">
        <f>IF(Q8=0,0,Q8/TrAvia_act!Q6*1000)</f>
        <v>22.757741420497375</v>
      </c>
      <c r="R30" s="87">
        <f>IF(R8=0,0,R8/TrAvia_act!R6*1000)</f>
        <v>22.700266639378107</v>
      </c>
      <c r="S30" s="87">
        <f>IF(S8=0,0,S8/TrAvia_act!S6*1000)</f>
        <v>23.086289010904785</v>
      </c>
      <c r="T30" s="87">
        <f>IF(T8=0,0,T8/TrAvia_act!T6*1000)</f>
        <v>23.44892303752334</v>
      </c>
      <c r="U30" s="87">
        <f>IF(U8=0,0,U8/TrAvia_act!U6*1000)</f>
        <v>23.509372264045549</v>
      </c>
      <c r="V30" s="87">
        <f>IF(V8=0,0,V8/TrAvia_act!V6*1000)</f>
        <v>20.822554908467161</v>
      </c>
      <c r="W30" s="87">
        <f>IF(W8=0,0,W8/TrAvia_act!W6*1000)</f>
        <v>24.212548729299712</v>
      </c>
      <c r="X30" s="87">
        <f>IF(X8=0,0,X8/TrAvia_act!X6*1000)</f>
        <v>22.467332199124236</v>
      </c>
      <c r="Y30" s="87">
        <f>IF(Y8=0,0,Y8/TrAvia_act!Y6*1000)</f>
        <v>22.049648527926387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40.308576005656271</v>
      </c>
      <c r="C31" s="87">
        <f>IF(C9=0,0,C9/TrAvia_act!C7*1000)</f>
        <v>39.877879263153964</v>
      </c>
      <c r="D31" s="87">
        <f>IF(D9=0,0,D9/TrAvia_act!D7*1000)</f>
        <v>39.608582899099353</v>
      </c>
      <c r="E31" s="87">
        <f>IF(E9=0,0,E9/TrAvia_act!E7*1000)</f>
        <v>39.444656803707311</v>
      </c>
      <c r="F31" s="87">
        <f>IF(F9=0,0,F9/TrAvia_act!F7*1000)</f>
        <v>39.875689572489897</v>
      </c>
      <c r="G31" s="87">
        <f>IF(G9=0,0,G9/TrAvia_act!G7*1000)</f>
        <v>35.527882458665189</v>
      </c>
      <c r="H31" s="87">
        <f>IF(H9=0,0,H9/TrAvia_act!H7*1000)</f>
        <v>34.290494592016046</v>
      </c>
      <c r="I31" s="87">
        <f>IF(I9=0,0,I9/TrAvia_act!I7*1000)</f>
        <v>29.580003476946551</v>
      </c>
      <c r="J31" s="87">
        <f>IF(J9=0,0,J9/TrAvia_act!J7*1000)</f>
        <v>28.86739136285161</v>
      </c>
      <c r="K31" s="87">
        <f>IF(K9=0,0,K9/TrAvia_act!K7*1000)</f>
        <v>29.723708420312484</v>
      </c>
      <c r="L31" s="87">
        <f>IF(L9=0,0,L9/TrAvia_act!L7*1000)</f>
        <v>21.694938891986318</v>
      </c>
      <c r="M31" s="87">
        <f>IF(M9=0,0,M9/TrAvia_act!M7*1000)</f>
        <v>21.098121741662524</v>
      </c>
      <c r="N31" s="87">
        <f>IF(N9=0,0,N9/TrAvia_act!N7*1000)</f>
        <v>20.447156775853859</v>
      </c>
      <c r="O31" s="87">
        <f>IF(O9=0,0,O9/TrAvia_act!O7*1000)</f>
        <v>17.112372771883749</v>
      </c>
      <c r="P31" s="87">
        <f>IF(P9=0,0,P9/TrAvia_act!P7*1000)</f>
        <v>18.668733696512977</v>
      </c>
      <c r="Q31" s="87">
        <f>IF(Q9=0,0,Q9/TrAvia_act!Q7*1000)</f>
        <v>22.228599017566172</v>
      </c>
      <c r="R31" s="87">
        <f>IF(R9=0,0,R9/TrAvia_act!R7*1000)</f>
        <v>20.007422063966811</v>
      </c>
      <c r="S31" s="87">
        <f>IF(S9=0,0,S9/TrAvia_act!S7*1000)</f>
        <v>17.824452528454653</v>
      </c>
      <c r="T31" s="87">
        <f>IF(T9=0,0,T9/TrAvia_act!T7*1000)</f>
        <v>16.964166935427766</v>
      </c>
      <c r="U31" s="87">
        <f>IF(U9=0,0,U9/TrAvia_act!U7*1000)</f>
        <v>16.527314939633971</v>
      </c>
      <c r="V31" s="87">
        <f>IF(V9=0,0,V9/TrAvia_act!V7*1000)</f>
        <v>51.936589175823379</v>
      </c>
      <c r="W31" s="87">
        <f>IF(W9=0,0,W9/TrAvia_act!W7*1000)</f>
        <v>25.447084165585853</v>
      </c>
      <c r="X31" s="87">
        <f>IF(X9=0,0,X9/TrAvia_act!X7*1000)</f>
        <v>18.08419599507479</v>
      </c>
      <c r="Y31" s="87">
        <f>IF(Y9=0,0,Y9/TrAvia_act!Y7*1000)</f>
        <v>16.897471223767511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225.60626860968958</v>
      </c>
      <c r="C32" s="15">
        <f>IF(C10=0,0,C10/TrAvia_act!C8*1000)</f>
        <v>211.88124502949918</v>
      </c>
      <c r="D32" s="15">
        <f>IF(D10=0,0,D10/TrAvia_act!D8*1000)</f>
        <v>219.4798802123571</v>
      </c>
      <c r="E32" s="15">
        <f>IF(E10=0,0,E10/TrAvia_act!E8*1000)</f>
        <v>209.46029326525857</v>
      </c>
      <c r="F32" s="15">
        <f>IF(F10=0,0,F10/TrAvia_act!F8*1000)</f>
        <v>197.58402702632097</v>
      </c>
      <c r="G32" s="15">
        <f>IF(G10=0,0,G10/TrAvia_act!G8*1000)</f>
        <v>204.82194564203365</v>
      </c>
      <c r="H32" s="15">
        <f>IF(H10=0,0,H10/TrAvia_act!H8*1000)</f>
        <v>234.38503695314307</v>
      </c>
      <c r="I32" s="15">
        <f>IF(I10=0,0,I10/TrAvia_act!I8*1000)</f>
        <v>217.76010600759582</v>
      </c>
      <c r="J32" s="15">
        <f>IF(J10=0,0,J10/TrAvia_act!J8*1000)</f>
        <v>233.37541386575728</v>
      </c>
      <c r="K32" s="15">
        <f>IF(K10=0,0,K10/TrAvia_act!K8*1000)</f>
        <v>188.57128909784765</v>
      </c>
      <c r="L32" s="15">
        <f>IF(L10=0,0,L10/TrAvia_act!L8*1000)</f>
        <v>170.04421295239197</v>
      </c>
      <c r="M32" s="15">
        <f>IF(M10=0,0,M10/TrAvia_act!M8*1000)</f>
        <v>167.59005646446298</v>
      </c>
      <c r="N32" s="15">
        <f>IF(N10=0,0,N10/TrAvia_act!N8*1000)</f>
        <v>154.1018900553747</v>
      </c>
      <c r="O32" s="15">
        <f>IF(O10=0,0,O10/TrAvia_act!O8*1000)</f>
        <v>160.22297794715544</v>
      </c>
      <c r="P32" s="15">
        <f>IF(P10=0,0,P10/TrAvia_act!P8*1000)</f>
        <v>136.11112743855674</v>
      </c>
      <c r="Q32" s="15">
        <f>IF(Q10=0,0,Q10/TrAvia_act!Q8*1000)</f>
        <v>127.63199291086225</v>
      </c>
      <c r="R32" s="15">
        <f>IF(R10=0,0,R10/TrAvia_act!R8*1000)</f>
        <v>114.61774354614424</v>
      </c>
      <c r="S32" s="15">
        <f>IF(S10=0,0,S10/TrAvia_act!S8*1000)</f>
        <v>112.34333652615373</v>
      </c>
      <c r="T32" s="15">
        <f>IF(T10=0,0,T10/TrAvia_act!T8*1000)</f>
        <v>102.80521603562326</v>
      </c>
      <c r="U32" s="15">
        <f>IF(U10=0,0,U10/TrAvia_act!U8*1000)</f>
        <v>90.8349493721486</v>
      </c>
      <c r="V32" s="15">
        <f>IF(V10=0,0,V10/TrAvia_act!V8*1000)</f>
        <v>108.60656803843318</v>
      </c>
      <c r="W32" s="15">
        <f>IF(W10=0,0,W10/TrAvia_act!W8*1000)</f>
        <v>90.122714799407959</v>
      </c>
      <c r="X32" s="15">
        <f>IF(X10=0,0,X10/TrAvia_act!X8*1000)</f>
        <v>87.183600076774113</v>
      </c>
      <c r="Y32" s="15">
        <f>IF(Y10=0,0,Y10/TrAvia_act!Y8*1000)</f>
        <v>93.777872693914304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1112.4259760099806</v>
      </c>
      <c r="C33" s="101">
        <f>IF(C11=0,0,C11/TrAvia_act!C9*1000)</f>
        <v>1000.5474342291569</v>
      </c>
      <c r="D33" s="101">
        <f>IF(D11=0,0,D11/TrAvia_act!D9*1000)</f>
        <v>970.54674787984493</v>
      </c>
      <c r="E33" s="101">
        <f>IF(E11=0,0,E11/TrAvia_act!E9*1000)</f>
        <v>916.39751802196452</v>
      </c>
      <c r="F33" s="101">
        <f>IF(F11=0,0,F11/TrAvia_act!F9*1000)</f>
        <v>920.53577334989973</v>
      </c>
      <c r="G33" s="101">
        <f>IF(G11=0,0,G11/TrAvia_act!G9*1000)</f>
        <v>984.26783556356236</v>
      </c>
      <c r="H33" s="101">
        <f>IF(H11=0,0,H11/TrAvia_act!H9*1000)</f>
        <v>885.97518297759302</v>
      </c>
      <c r="I33" s="101">
        <f>IF(I11=0,0,I11/TrAvia_act!I9*1000)</f>
        <v>864.79101600291528</v>
      </c>
      <c r="J33" s="101">
        <f>IF(J11=0,0,J11/TrAvia_act!J9*1000)</f>
        <v>909.39967612622411</v>
      </c>
      <c r="K33" s="101">
        <f>IF(K11=0,0,K11/TrAvia_act!K9*1000)</f>
        <v>670.25086284649251</v>
      </c>
      <c r="L33" s="101">
        <f>IF(L11=0,0,L11/TrAvia_act!L9*1000)</f>
        <v>582.72456818370108</v>
      </c>
      <c r="M33" s="101">
        <f>IF(M11=0,0,M11/TrAvia_act!M9*1000)</f>
        <v>579.08456111158273</v>
      </c>
      <c r="N33" s="101">
        <f>IF(N11=0,0,N11/TrAvia_act!N9*1000)</f>
        <v>494.56955388239965</v>
      </c>
      <c r="O33" s="101">
        <f>IF(O11=0,0,O11/TrAvia_act!O9*1000)</f>
        <v>499.72546855379198</v>
      </c>
      <c r="P33" s="101">
        <f>IF(P11=0,0,P11/TrAvia_act!P9*1000)</f>
        <v>427.6615086953492</v>
      </c>
      <c r="Q33" s="101">
        <f>IF(Q11=0,0,Q11/TrAvia_act!Q9*1000)</f>
        <v>351.96494931942584</v>
      </c>
      <c r="R33" s="101">
        <f>IF(R11=0,0,R11/TrAvia_act!R9*1000)</f>
        <v>334.81832241623385</v>
      </c>
      <c r="S33" s="101">
        <f>IF(S11=0,0,S11/TrAvia_act!S9*1000)</f>
        <v>380.59636675202677</v>
      </c>
      <c r="T33" s="101">
        <f>IF(T11=0,0,T11/TrAvia_act!T9*1000)</f>
        <v>413.00151149543461</v>
      </c>
      <c r="U33" s="101">
        <f>IF(U11=0,0,U11/TrAvia_act!U9*1000)</f>
        <v>363.65246603959247</v>
      </c>
      <c r="V33" s="101">
        <f>IF(V11=0,0,V11/TrAvia_act!V9*1000)</f>
        <v>256.48907513932352</v>
      </c>
      <c r="W33" s="101">
        <f>IF(W11=0,0,W11/TrAvia_act!W9*1000)</f>
        <v>309.60388156455997</v>
      </c>
      <c r="X33" s="101">
        <f>IF(X11=0,0,X11/TrAvia_act!X9*1000)</f>
        <v>383.38608433895337</v>
      </c>
      <c r="Y33" s="101">
        <f>IF(Y11=0,0,Y11/TrAvia_act!Y9*1000)</f>
        <v>497.05926816277469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163.69187247738657</v>
      </c>
      <c r="C34" s="101">
        <f>IF(C12=0,0,C12/TrAvia_act!C10*1000)</f>
        <v>154.30453838402516</v>
      </c>
      <c r="D34" s="101">
        <f>IF(D12=0,0,D12/TrAvia_act!D10*1000)</f>
        <v>164.004852134239</v>
      </c>
      <c r="E34" s="101">
        <f>IF(E12=0,0,E12/TrAvia_act!E10*1000)</f>
        <v>161.23489640312292</v>
      </c>
      <c r="F34" s="101">
        <f>IF(F12=0,0,F12/TrAvia_act!F10*1000)</f>
        <v>167.18073511284152</v>
      </c>
      <c r="G34" s="101">
        <f>IF(G12=0,0,G12/TrAvia_act!G10*1000)</f>
        <v>170.2517563674399</v>
      </c>
      <c r="H34" s="101">
        <f>IF(H12=0,0,H12/TrAvia_act!H10*1000)</f>
        <v>233.89642920961634</v>
      </c>
      <c r="I34" s="101">
        <f>IF(I12=0,0,I12/TrAvia_act!I10*1000)</f>
        <v>227.31280197705485</v>
      </c>
      <c r="J34" s="101">
        <f>IF(J12=0,0,J12/TrAvia_act!J10*1000)</f>
        <v>254.0569091023327</v>
      </c>
      <c r="K34" s="101">
        <f>IF(K12=0,0,K12/TrAvia_act!K10*1000)</f>
        <v>214.16237534263456</v>
      </c>
      <c r="L34" s="101">
        <f>IF(L12=0,0,L12/TrAvia_act!L10*1000)</f>
        <v>174.69137113403303</v>
      </c>
      <c r="M34" s="101">
        <f>IF(M12=0,0,M12/TrAvia_act!M10*1000)</f>
        <v>177.95144588042473</v>
      </c>
      <c r="N34" s="101">
        <f>IF(N12=0,0,N12/TrAvia_act!N10*1000)</f>
        <v>161.82897391682874</v>
      </c>
      <c r="O34" s="101">
        <f>IF(O12=0,0,O12/TrAvia_act!O10*1000)</f>
        <v>166.7459358334691</v>
      </c>
      <c r="P34" s="101">
        <f>IF(P12=0,0,P12/TrAvia_act!P10*1000)</f>
        <v>144.93605019118655</v>
      </c>
      <c r="Q34" s="101">
        <f>IF(Q12=0,0,Q12/TrAvia_act!Q10*1000)</f>
        <v>143.58795191778231</v>
      </c>
      <c r="R34" s="101">
        <f>IF(R12=0,0,R12/TrAvia_act!R10*1000)</f>
        <v>132.70729336265185</v>
      </c>
      <c r="S34" s="101">
        <f>IF(S12=0,0,S12/TrAvia_act!S10*1000)</f>
        <v>148.51403073682044</v>
      </c>
      <c r="T34" s="101">
        <f>IF(T12=0,0,T12/TrAvia_act!T10*1000)</f>
        <v>146.80658809483768</v>
      </c>
      <c r="U34" s="101">
        <f>IF(U12=0,0,U12/TrAvia_act!U10*1000)</f>
        <v>139.00332809605263</v>
      </c>
      <c r="V34" s="101">
        <f>IF(V12=0,0,V12/TrAvia_act!V10*1000)</f>
        <v>122.59546792397717</v>
      </c>
      <c r="W34" s="101">
        <f>IF(W12=0,0,W12/TrAvia_act!W10*1000)</f>
        <v>139.76897761611684</v>
      </c>
      <c r="X34" s="101">
        <f>IF(X12=0,0,X12/TrAvia_act!X10*1000)</f>
        <v>149.95351617799707</v>
      </c>
      <c r="Y34" s="101">
        <f>IF(Y12=0,0,Y12/TrAvia_act!Y10*1000)</f>
        <v>153.25626568526974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44.402444451548561</v>
      </c>
      <c r="C35" s="88">
        <f>IF(C13=0,0,C13/TrAvia_act!C11*1000)</f>
        <v>42.129307803104318</v>
      </c>
      <c r="D35" s="88">
        <f>IF(D13=0,0,D13/TrAvia_act!D11*1000)</f>
        <v>44.597893744789744</v>
      </c>
      <c r="E35" s="88">
        <f>IF(E13=0,0,E13/TrAvia_act!E11*1000)</f>
        <v>49.252635405080511</v>
      </c>
      <c r="F35" s="88">
        <f>IF(F13=0,0,F13/TrAvia_act!F11*1000)</f>
        <v>48.695409714173735</v>
      </c>
      <c r="G35" s="88">
        <f>IF(G13=0,0,G13/TrAvia_act!G11*1000)</f>
        <v>52.143394232807807</v>
      </c>
      <c r="H35" s="88">
        <f>IF(H13=0,0,H13/TrAvia_act!H11*1000)</f>
        <v>50.088573530944771</v>
      </c>
      <c r="I35" s="88">
        <f>IF(I13=0,0,I13/TrAvia_act!I11*1000)</f>
        <v>41.943215059572694</v>
      </c>
      <c r="J35" s="88">
        <f>IF(J13=0,0,J13/TrAvia_act!J11*1000)</f>
        <v>40.554047515654695</v>
      </c>
      <c r="K35" s="88">
        <f>IF(K13=0,0,K13/TrAvia_act!K11*1000)</f>
        <v>36.36233269967952</v>
      </c>
      <c r="L35" s="88">
        <f>IF(L13=0,0,L13/TrAvia_act!L11*1000)</f>
        <v>29.602766779903035</v>
      </c>
      <c r="M35" s="88">
        <f>IF(M13=0,0,M13/TrAvia_act!M11*1000)</f>
        <v>34.213469788826934</v>
      </c>
      <c r="N35" s="88">
        <f>IF(N13=0,0,N13/TrAvia_act!N11*1000)</f>
        <v>39.336489006231318</v>
      </c>
      <c r="O35" s="88">
        <f>IF(O13=0,0,O13/TrAvia_act!O11*1000)</f>
        <v>34.696812759883578</v>
      </c>
      <c r="P35" s="88">
        <f>IF(P13=0,0,P13/TrAvia_act!P11*1000)</f>
        <v>31.069520183161298</v>
      </c>
      <c r="Q35" s="88">
        <f>IF(Q13=0,0,Q13/TrAvia_act!Q11*1000)</f>
        <v>35.764035475157257</v>
      </c>
      <c r="R35" s="88">
        <f>IF(R13=0,0,R13/TrAvia_act!R11*1000)</f>
        <v>27.553297189790516</v>
      </c>
      <c r="S35" s="88">
        <f>IF(S13=0,0,S13/TrAvia_act!S11*1000)</f>
        <v>23.534742025042686</v>
      </c>
      <c r="T35" s="88">
        <f>IF(T13=0,0,T13/TrAvia_act!T11*1000)</f>
        <v>21.159575064643846</v>
      </c>
      <c r="U35" s="88">
        <f>IF(U13=0,0,U13/TrAvia_act!U11*1000)</f>
        <v>20.366425117218132</v>
      </c>
      <c r="V35" s="88">
        <f>IF(V13=0,0,V13/TrAvia_act!V11*1000)</f>
        <v>64.295099851196028</v>
      </c>
      <c r="W35" s="88">
        <f>IF(W13=0,0,W13/TrAvia_act!W11*1000)</f>
        <v>31.866784388922238</v>
      </c>
      <c r="X35" s="88">
        <f>IF(X13=0,0,X13/TrAvia_act!X11*1000)</f>
        <v>26.923859182440967</v>
      </c>
      <c r="Y35" s="88">
        <f>IF(Y13=0,0,Y13/TrAvia_act!Y11*1000)</f>
        <v>27.210693744269843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6439.7497308832344</v>
      </c>
      <c r="C37" s="62">
        <f>IF(C3=0,0,C3/TrAvia_act!C23*1000000)</f>
        <v>6129.4217272889073</v>
      </c>
      <c r="D37" s="62">
        <f>IF(D3=0,0,D3/TrAvia_act!D23*1000000)</f>
        <v>6209.5223245810839</v>
      </c>
      <c r="E37" s="62">
        <f>IF(E3=0,0,E3/TrAvia_act!E23*1000000)</f>
        <v>6312.3322871290811</v>
      </c>
      <c r="F37" s="62">
        <f>IF(F3=0,0,F3/TrAvia_act!F23*1000000)</f>
        <v>5997.1345985065182</v>
      </c>
      <c r="G37" s="62">
        <f>IF(G3=0,0,G3/TrAvia_act!G23*1000000)</f>
        <v>6020.3558453234773</v>
      </c>
      <c r="H37" s="62">
        <f>IF(H3=0,0,H3/TrAvia_act!H23*1000000)</f>
        <v>6248.0704666284946</v>
      </c>
      <c r="I37" s="62">
        <f>IF(I3=0,0,I3/TrAvia_act!I23*1000000)</f>
        <v>6029.9087527942447</v>
      </c>
      <c r="J37" s="62">
        <f>IF(J3=0,0,J3/TrAvia_act!J23*1000000)</f>
        <v>6401.5686646160875</v>
      </c>
      <c r="K37" s="62">
        <f>IF(K3=0,0,K3/TrAvia_act!K23*1000000)</f>
        <v>5142.7647446868723</v>
      </c>
      <c r="L37" s="62">
        <f>IF(L3=0,0,L3/TrAvia_act!L23*1000000)</f>
        <v>4443.4482529466759</v>
      </c>
      <c r="M37" s="62">
        <f>IF(M3=0,0,M3/TrAvia_act!M23*1000000)</f>
        <v>4797.5154946018765</v>
      </c>
      <c r="N37" s="62">
        <f>IF(N3=0,0,N3/TrAvia_act!N23*1000000)</f>
        <v>4508.9103904648391</v>
      </c>
      <c r="O37" s="62">
        <f>IF(O3=0,0,O3/TrAvia_act!O23*1000000)</f>
        <v>4668.9472664782033</v>
      </c>
      <c r="P37" s="62">
        <f>IF(P3=0,0,P3/TrAvia_act!P23*1000000)</f>
        <v>4743.4937098087576</v>
      </c>
      <c r="Q37" s="62">
        <f>IF(Q3=0,0,Q3/TrAvia_act!Q23*1000000)</f>
        <v>4593.2368849434433</v>
      </c>
      <c r="R37" s="62">
        <f>IF(R3=0,0,R3/TrAvia_act!R23*1000000)</f>
        <v>4677.0843364901784</v>
      </c>
      <c r="S37" s="62">
        <f>IF(S3=0,0,S3/TrAvia_act!S23*1000000)</f>
        <v>4938.4857507768893</v>
      </c>
      <c r="T37" s="62">
        <f>IF(T3=0,0,T3/TrAvia_act!T23*1000000)</f>
        <v>5087.2848535008852</v>
      </c>
      <c r="U37" s="62">
        <f>IF(U3=0,0,U3/TrAvia_act!U23*1000000)</f>
        <v>5152.4041163128131</v>
      </c>
      <c r="V37" s="62">
        <f>IF(V3=0,0,V3/TrAvia_act!V23*1000000)</f>
        <v>3503.4452944116988</v>
      </c>
      <c r="W37" s="62">
        <f>IF(W3=0,0,W3/TrAvia_act!W23*1000000)</f>
        <v>4202.9749286903789</v>
      </c>
      <c r="X37" s="62">
        <f>IF(X3=0,0,X3/TrAvia_act!X23*1000000)</f>
        <v>5058.5761575939378</v>
      </c>
      <c r="Y37" s="62">
        <f>IF(Y3=0,0,Y3/TrAvia_act!Y23*1000000)</f>
        <v>5375.4858073862133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6454.6857761234587</v>
      </c>
      <c r="C38" s="14">
        <f>IF(C6=0,0,C6/TrAvia_act!C24*1000000)</f>
        <v>6148.541040502545</v>
      </c>
      <c r="D38" s="14">
        <f>IF(D6=0,0,D6/TrAvia_act!D24*1000000)</f>
        <v>6231.1288733621268</v>
      </c>
      <c r="E38" s="14">
        <f>IF(E6=0,0,E6/TrAvia_act!E24*1000000)</f>
        <v>6332.7712885651781</v>
      </c>
      <c r="F38" s="14">
        <f>IF(F6=0,0,F6/TrAvia_act!F24*1000000)</f>
        <v>6005.9988534791528</v>
      </c>
      <c r="G38" s="14">
        <f>IF(G6=0,0,G6/TrAvia_act!G24*1000000)</f>
        <v>6028.5931669350184</v>
      </c>
      <c r="H38" s="14">
        <f>IF(H6=0,0,H6/TrAvia_act!H24*1000000)</f>
        <v>6253.4019675800955</v>
      </c>
      <c r="I38" s="14">
        <f>IF(I6=0,0,I6/TrAvia_act!I24*1000000)</f>
        <v>6035.3339359510146</v>
      </c>
      <c r="J38" s="14">
        <f>IF(J6=0,0,J6/TrAvia_act!J24*1000000)</f>
        <v>6409.9966776306455</v>
      </c>
      <c r="K38" s="14">
        <f>IF(K6=0,0,K6/TrAvia_act!K24*1000000)</f>
        <v>5146.121542755649</v>
      </c>
      <c r="L38" s="14">
        <f>IF(L6=0,0,L6/TrAvia_act!L24*1000000)</f>
        <v>4446.3553201533141</v>
      </c>
      <c r="M38" s="14">
        <f>IF(M6=0,0,M6/TrAvia_act!M24*1000000)</f>
        <v>4797.9642034512435</v>
      </c>
      <c r="N38" s="14">
        <f>IF(N6=0,0,N6/TrAvia_act!N24*1000000)</f>
        <v>4505.8630366426596</v>
      </c>
      <c r="O38" s="14">
        <f>IF(O6=0,0,O6/TrAvia_act!O24*1000000)</f>
        <v>4666.8511533073815</v>
      </c>
      <c r="P38" s="14">
        <f>IF(P6=0,0,P6/TrAvia_act!P24*1000000)</f>
        <v>4741.4429927298816</v>
      </c>
      <c r="Q38" s="14">
        <f>IF(Q6=0,0,Q6/TrAvia_act!Q24*1000000)</f>
        <v>4592.5408550809379</v>
      </c>
      <c r="R38" s="14">
        <f>IF(R6=0,0,R6/TrAvia_act!R24*1000000)</f>
        <v>4675.9407351021273</v>
      </c>
      <c r="S38" s="14">
        <f>IF(S6=0,0,S6/TrAvia_act!S24*1000000)</f>
        <v>4937.7915178750509</v>
      </c>
      <c r="T38" s="14">
        <f>IF(T6=0,0,T6/TrAvia_act!T24*1000000)</f>
        <v>5089.9933996907257</v>
      </c>
      <c r="U38" s="14">
        <f>IF(U6=0,0,U6/TrAvia_act!U24*1000000)</f>
        <v>5157.310355186798</v>
      </c>
      <c r="V38" s="14">
        <f>IF(V6=0,0,V6/TrAvia_act!V24*1000000)</f>
        <v>3501.6626500332427</v>
      </c>
      <c r="W38" s="14">
        <f>IF(W6=0,0,W6/TrAvia_act!W24*1000000)</f>
        <v>4212.9555690876414</v>
      </c>
      <c r="X38" s="14">
        <f>IF(X6=0,0,X6/TrAvia_act!X24*1000000)</f>
        <v>5072.7784164909153</v>
      </c>
      <c r="Y38" s="14">
        <f>IF(Y6=0,0,Y6/TrAvia_act!Y24*1000000)</f>
        <v>5386.7339073241155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4738.8309449453845</v>
      </c>
      <c r="C39" s="87">
        <f>IF(C7=0,0,C7/TrAvia_act!C25*1000000)</f>
        <v>4229.7338613619413</v>
      </c>
      <c r="D39" s="87">
        <f>IF(D7=0,0,D7/TrAvia_act!D25*1000000)</f>
        <v>4219.1356389977755</v>
      </c>
      <c r="E39" s="87">
        <f>IF(E7=0,0,E7/TrAvia_act!E25*1000000)</f>
        <v>4237.4758943583647</v>
      </c>
      <c r="F39" s="87">
        <f>IF(F7=0,0,F7/TrAvia_act!F25*1000000)</f>
        <v>4008.2519439528705</v>
      </c>
      <c r="G39" s="87">
        <f>IF(G7=0,0,G7/TrAvia_act!G25*1000000)</f>
        <v>4153.7131208178253</v>
      </c>
      <c r="H39" s="87">
        <f>IF(H7=0,0,H7/TrAvia_act!H25*1000000)</f>
        <v>3566.306226342132</v>
      </c>
      <c r="I39" s="87">
        <f>IF(I7=0,0,I7/TrAvia_act!I25*1000000)</f>
        <v>3427.7824927797942</v>
      </c>
      <c r="J39" s="87">
        <f>IF(J7=0,0,J7/TrAvia_act!J25*1000000)</f>
        <v>3491.2558470931099</v>
      </c>
      <c r="K39" s="87">
        <f>IF(K7=0,0,K7/TrAvia_act!K25*1000000)</f>
        <v>2541.7631860046258</v>
      </c>
      <c r="L39" s="87">
        <f>IF(L7=0,0,L7/TrAvia_act!L25*1000000)</f>
        <v>2322.4540966918989</v>
      </c>
      <c r="M39" s="87">
        <f>IF(M7=0,0,M7/TrAvia_act!M25*1000000)</f>
        <v>2423.1948774041857</v>
      </c>
      <c r="N39" s="87">
        <f>IF(N7=0,0,N7/TrAvia_act!N25*1000000)</f>
        <v>2161.6165129422884</v>
      </c>
      <c r="O39" s="87">
        <f>IF(O7=0,0,O7/TrAvia_act!O25*1000000)</f>
        <v>2232.1503046735015</v>
      </c>
      <c r="P39" s="87">
        <f>IF(P7=0,0,P7/TrAvia_act!P25*1000000)</f>
        <v>2155.8623817163279</v>
      </c>
      <c r="Q39" s="87">
        <f>IF(Q7=0,0,Q7/TrAvia_act!Q25*1000000)</f>
        <v>1831.635754947305</v>
      </c>
      <c r="R39" s="87">
        <f>IF(R7=0,0,R7/TrAvia_act!R25*1000000)</f>
        <v>1971.6492047735842</v>
      </c>
      <c r="S39" s="87">
        <f>IF(S7=0,0,S7/TrAvia_act!S25*1000000)</f>
        <v>2021.4494800775306</v>
      </c>
      <c r="T39" s="87">
        <f>IF(T7=0,0,T7/TrAvia_act!T25*1000000)</f>
        <v>2187.1270008658585</v>
      </c>
      <c r="U39" s="87">
        <f>IF(U7=0,0,U7/TrAvia_act!U25*1000000)</f>
        <v>2171.64805042526</v>
      </c>
      <c r="V39" s="87">
        <f>IF(V7=0,0,V7/TrAvia_act!V25*1000000)</f>
        <v>1413.4862303059913</v>
      </c>
      <c r="W39" s="87">
        <f>IF(W7=0,0,W7/TrAvia_act!W25*1000000)</f>
        <v>1729.3451926435239</v>
      </c>
      <c r="X39" s="87">
        <f>IF(X7=0,0,X7/TrAvia_act!X25*1000000)</f>
        <v>2171.4720051195477</v>
      </c>
      <c r="Y39" s="87">
        <f>IF(Y7=0,0,Y7/TrAvia_act!Y25*1000000)</f>
        <v>2663.648954646746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7860.6373806744987</v>
      </c>
      <c r="C40" s="87">
        <f>IF(C8=0,0,C8/TrAvia_act!C26*1000000)</f>
        <v>7815.6331013201661</v>
      </c>
      <c r="D40" s="87">
        <f>IF(D8=0,0,D8/TrAvia_act!D26*1000000)</f>
        <v>7811.753255890374</v>
      </c>
      <c r="E40" s="87">
        <f>IF(E8=0,0,E8/TrAvia_act!E26*1000000)</f>
        <v>7838.7902369756557</v>
      </c>
      <c r="F40" s="87">
        <f>IF(F8=0,0,F8/TrAvia_act!F26*1000000)</f>
        <v>7465.6498204429727</v>
      </c>
      <c r="G40" s="87">
        <f>IF(G8=0,0,G8/TrAvia_act!G26*1000000)</f>
        <v>7366.1458133758333</v>
      </c>
      <c r="H40" s="87">
        <f>IF(H8=0,0,H8/TrAvia_act!H26*1000000)</f>
        <v>8358.2968931543037</v>
      </c>
      <c r="I40" s="87">
        <f>IF(I8=0,0,I8/TrAvia_act!I26*1000000)</f>
        <v>8080.3423641382378</v>
      </c>
      <c r="J40" s="87">
        <f>IF(J8=0,0,J8/TrAvia_act!J26*1000000)</f>
        <v>8722.6663911335181</v>
      </c>
      <c r="K40" s="87">
        <f>IF(K8=0,0,K8/TrAvia_act!K26*1000000)</f>
        <v>7610.1642393881866</v>
      </c>
      <c r="L40" s="87">
        <f>IF(L8=0,0,L8/TrAvia_act!L26*1000000)</f>
        <v>6362.7886052370241</v>
      </c>
      <c r="M40" s="87">
        <f>IF(M8=0,0,M8/TrAvia_act!M26*1000000)</f>
        <v>6723.8170822287957</v>
      </c>
      <c r="N40" s="87">
        <f>IF(N8=0,0,N8/TrAvia_act!N26*1000000)</f>
        <v>6575.0569206640766</v>
      </c>
      <c r="O40" s="87">
        <f>IF(O8=0,0,O8/TrAvia_act!O26*1000000)</f>
        <v>6817.2103124084351</v>
      </c>
      <c r="P40" s="87">
        <f>IF(P8=0,0,P8/TrAvia_act!P26*1000000)</f>
        <v>6746.0819240104929</v>
      </c>
      <c r="Q40" s="87">
        <f>IF(Q8=0,0,Q8/TrAvia_act!Q26*1000000)</f>
        <v>6667.0181435624199</v>
      </c>
      <c r="R40" s="87">
        <f>IF(R8=0,0,R8/TrAvia_act!R26*1000000)</f>
        <v>6753.5226556137713</v>
      </c>
      <c r="S40" s="87">
        <f>IF(S8=0,0,S8/TrAvia_act!S26*1000000)</f>
        <v>7097.8645513300216</v>
      </c>
      <c r="T40" s="87">
        <f>IF(T8=0,0,T8/TrAvia_act!T26*1000000)</f>
        <v>7092.67438455293</v>
      </c>
      <c r="U40" s="87">
        <f>IF(U8=0,0,U8/TrAvia_act!U26*1000000)</f>
        <v>7272.4781028228399</v>
      </c>
      <c r="V40" s="87">
        <f>IF(V8=0,0,V8/TrAvia_act!V26*1000000)</f>
        <v>4996.1490644477863</v>
      </c>
      <c r="W40" s="87">
        <f>IF(W8=0,0,W8/TrAvia_act!W26*1000000)</f>
        <v>5825.1664219366548</v>
      </c>
      <c r="X40" s="87">
        <f>IF(X8=0,0,X8/TrAvia_act!X26*1000000)</f>
        <v>6740.2587667617936</v>
      </c>
      <c r="Y40" s="87">
        <f>IF(Y8=0,0,Y8/TrAvia_act!Y26*1000000)</f>
        <v>6980.4386885544218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12921.186366448283</v>
      </c>
      <c r="C41" s="87">
        <f>IF(C9=0,0,C9/TrAvia_act!C27*1000000)</f>
        <v>12847.191592668612</v>
      </c>
      <c r="D41" s="87">
        <f>IF(D9=0,0,D9/TrAvia_act!D27*1000000)</f>
        <v>12840.811090854011</v>
      </c>
      <c r="E41" s="87">
        <f>IF(E9=0,0,E9/TrAvia_act!E27*1000000)</f>
        <v>12885.261839127583</v>
      </c>
      <c r="F41" s="87">
        <f>IF(F9=0,0,F9/TrAvia_act!F27*1000000)</f>
        <v>12364.657734773235</v>
      </c>
      <c r="G41" s="87">
        <f>IF(G9=0,0,G9/TrAvia_act!G27*1000000)</f>
        <v>11889.587240416282</v>
      </c>
      <c r="H41" s="87">
        <f>IF(H9=0,0,H9/TrAvia_act!H27*1000000)</f>
        <v>12560.530208276008</v>
      </c>
      <c r="I41" s="87">
        <f>IF(I9=0,0,I9/TrAvia_act!I27*1000000)</f>
        <v>11142.850538325052</v>
      </c>
      <c r="J41" s="87">
        <f>IF(J9=0,0,J9/TrAvia_act!J27*1000000)</f>
        <v>10965.32457680466</v>
      </c>
      <c r="K41" s="87">
        <f>IF(K9=0,0,K9/TrAvia_act!K27*1000000)</f>
        <v>9830.4506627627488</v>
      </c>
      <c r="L41" s="87">
        <f>IF(L9=0,0,L9/TrAvia_act!L27*1000000)</f>
        <v>7420.6874587686189</v>
      </c>
      <c r="M41" s="87">
        <f>IF(M9=0,0,M9/TrAvia_act!M27*1000000)</f>
        <v>7214.2739289690408</v>
      </c>
      <c r="N41" s="87">
        <f>IF(N9=0,0,N9/TrAvia_act!N27*1000000)</f>
        <v>6304.9482979223949</v>
      </c>
      <c r="O41" s="87">
        <f>IF(O9=0,0,O9/TrAvia_act!O27*1000000)</f>
        <v>5549.1423487978236</v>
      </c>
      <c r="P41" s="87">
        <f>IF(P9=0,0,P9/TrAvia_act!P27*1000000)</f>
        <v>5845.510744917462</v>
      </c>
      <c r="Q41" s="87">
        <f>IF(Q9=0,0,Q9/TrAvia_act!Q27*1000000)</f>
        <v>6464.8906974996216</v>
      </c>
      <c r="R41" s="87">
        <f>IF(R9=0,0,R9/TrAvia_act!R27*1000000)</f>
        <v>6121.368997886656</v>
      </c>
      <c r="S41" s="87">
        <f>IF(S9=0,0,S9/TrAvia_act!S27*1000000)</f>
        <v>6107.0215512545756</v>
      </c>
      <c r="T41" s="87">
        <f>IF(T9=0,0,T9/TrAvia_act!T27*1000000)</f>
        <v>6477.3064511982011</v>
      </c>
      <c r="U41" s="87">
        <f>IF(U9=0,0,U9/TrAvia_act!U27*1000000)</f>
        <v>6344.5311021884472</v>
      </c>
      <c r="V41" s="87">
        <f>IF(V9=0,0,V9/TrAvia_act!V27*1000000)</f>
        <v>10903.282456532732</v>
      </c>
      <c r="W41" s="87">
        <f>IF(W9=0,0,W9/TrAvia_act!W27*1000000)</f>
        <v>8143.5301384501818</v>
      </c>
      <c r="X41" s="87">
        <f>IF(X9=0,0,X9/TrAvia_act!X27*1000000)</f>
        <v>8116.9636102449067</v>
      </c>
      <c r="Y41" s="87">
        <f>IF(Y9=0,0,Y9/TrAvia_act!Y27*1000000)</f>
        <v>7780.5515579608527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5905.6169771444493</v>
      </c>
      <c r="C42" s="15">
        <f>IF(C10=0,0,C10/TrAvia_act!C28*1000000)</f>
        <v>5574.2558686319808</v>
      </c>
      <c r="D42" s="15">
        <f>IF(D10=0,0,D10/TrAvia_act!D28*1000000)</f>
        <v>5588.1055714464255</v>
      </c>
      <c r="E42" s="15">
        <f>IF(E10=0,0,E10/TrAvia_act!E28*1000000)</f>
        <v>5617.1977157495912</v>
      </c>
      <c r="F42" s="15">
        <f>IF(F10=0,0,F10/TrAvia_act!F28*1000000)</f>
        <v>5503.6545932810204</v>
      </c>
      <c r="G42" s="15">
        <f>IF(G10=0,0,G10/TrAvia_act!G28*1000000)</f>
        <v>5561.1774327491721</v>
      </c>
      <c r="H42" s="15">
        <f>IF(H10=0,0,H10/TrAvia_act!H28*1000000)</f>
        <v>5962.4033072967377</v>
      </c>
      <c r="I42" s="15">
        <f>IF(I10=0,0,I10/TrAvia_act!I28*1000000)</f>
        <v>5694.4337650268935</v>
      </c>
      <c r="J42" s="15">
        <f>IF(J10=0,0,J10/TrAvia_act!J28*1000000)</f>
        <v>5926.0318884118924</v>
      </c>
      <c r="K42" s="15">
        <f>IF(K10=0,0,K10/TrAvia_act!K28*1000000)</f>
        <v>4917.3900221108788</v>
      </c>
      <c r="L42" s="15">
        <f>IF(L10=0,0,L10/TrAvia_act!L28*1000000)</f>
        <v>4242.5690223665779</v>
      </c>
      <c r="M42" s="15">
        <f>IF(M10=0,0,M10/TrAvia_act!M28*1000000)</f>
        <v>4763.3299644678691</v>
      </c>
      <c r="N42" s="15">
        <f>IF(N10=0,0,N10/TrAvia_act!N28*1000000)</f>
        <v>4761.8175475735088</v>
      </c>
      <c r="O42" s="15">
        <f>IF(O10=0,0,O10/TrAvia_act!O28*1000000)</f>
        <v>4849.7059070075284</v>
      </c>
      <c r="P42" s="15">
        <f>IF(P10=0,0,P10/TrAvia_act!P28*1000000)</f>
        <v>4996.1130283922903</v>
      </c>
      <c r="Q42" s="15">
        <f>IF(Q10=0,0,Q10/TrAvia_act!Q28*1000000)</f>
        <v>4684.9069286615695</v>
      </c>
      <c r="R42" s="15">
        <f>IF(R10=0,0,R10/TrAvia_act!R28*1000000)</f>
        <v>4845.8685918406727</v>
      </c>
      <c r="S42" s="15">
        <f>IF(S10=0,0,S10/TrAvia_act!S28*1000000)</f>
        <v>5051.0305107961567</v>
      </c>
      <c r="T42" s="15">
        <f>IF(T10=0,0,T10/TrAvia_act!T28*1000000)</f>
        <v>4767.3184344258561</v>
      </c>
      <c r="U42" s="15">
        <f>IF(U10=0,0,U10/TrAvia_act!U28*1000000)</f>
        <v>4568.5661668036737</v>
      </c>
      <c r="V42" s="15">
        <f>IF(V10=0,0,V10/TrAvia_act!V28*1000000)</f>
        <v>3618.5176510743881</v>
      </c>
      <c r="W42" s="15">
        <f>IF(W10=0,0,W10/TrAvia_act!W28*1000000)</f>
        <v>3394.8309985958376</v>
      </c>
      <c r="X42" s="15">
        <f>IF(X10=0,0,X10/TrAvia_act!X28*1000000)</f>
        <v>3475.2488437503252</v>
      </c>
      <c r="Y42" s="15">
        <f>IF(Y10=0,0,Y10/TrAvia_act!Y28*1000000)</f>
        <v>3825.4863313204532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4736.5774343368021</v>
      </c>
      <c r="C43" s="101">
        <f>IF(C11=0,0,C11/TrAvia_act!C29*1000000)</f>
        <v>4227.7224475261683</v>
      </c>
      <c r="D43" s="101">
        <f>IF(D11=0,0,D11/TrAvia_act!D29*1000000)</f>
        <v>4217.1292650561891</v>
      </c>
      <c r="E43" s="101">
        <f>IF(E11=0,0,E11/TrAvia_act!E29*1000000)</f>
        <v>4235.4607988648813</v>
      </c>
      <c r="F43" s="101">
        <f>IF(F11=0,0,F11/TrAvia_act!F29*1000000)</f>
        <v>4006.3458539525118</v>
      </c>
      <c r="G43" s="101">
        <f>IF(G11=0,0,G11/TrAvia_act!G29*1000000)</f>
        <v>4151.7378579963606</v>
      </c>
      <c r="H43" s="101">
        <f>IF(H11=0,0,H11/TrAvia_act!H29*1000000)</f>
        <v>3567.9046339572556</v>
      </c>
      <c r="I43" s="101">
        <f>IF(I11=0,0,I11/TrAvia_act!I29*1000000)</f>
        <v>3432.4879612537393</v>
      </c>
      <c r="J43" s="101">
        <f>IF(J11=0,0,J11/TrAvia_act!J29*1000000)</f>
        <v>3499.2791052406051</v>
      </c>
      <c r="K43" s="101">
        <f>IF(K11=0,0,K11/TrAvia_act!K29*1000000)</f>
        <v>2549.9585110867647</v>
      </c>
      <c r="L43" s="101">
        <f>IF(L11=0,0,L11/TrAvia_act!L29*1000000)</f>
        <v>2332.0951737758278</v>
      </c>
      <c r="M43" s="101">
        <f>IF(M11=0,0,M11/TrAvia_act!M29*1000000)</f>
        <v>2450.8713604612526</v>
      </c>
      <c r="N43" s="101">
        <f>IF(N11=0,0,N11/TrAvia_act!N29*1000000)</f>
        <v>2202.1332354406236</v>
      </c>
      <c r="O43" s="101">
        <f>IF(O11=0,0,O11/TrAvia_act!O29*1000000)</f>
        <v>2274.9182381407459</v>
      </c>
      <c r="P43" s="101">
        <f>IF(P11=0,0,P11/TrAvia_act!P29*1000000)</f>
        <v>2198.0663855440062</v>
      </c>
      <c r="Q43" s="101">
        <f>IF(Q11=0,0,Q11/TrAvia_act!Q29*1000000)</f>
        <v>1868.2556029968489</v>
      </c>
      <c r="R43" s="101">
        <f>IF(R11=0,0,R11/TrAvia_act!R29*1000000)</f>
        <v>2011.8900212053995</v>
      </c>
      <c r="S43" s="101">
        <f>IF(S11=0,0,S11/TrAvia_act!S29*1000000)</f>
        <v>2063.5494761318014</v>
      </c>
      <c r="T43" s="101">
        <f>IF(T11=0,0,T11/TrAvia_act!T29*1000000)</f>
        <v>2233.5897055243822</v>
      </c>
      <c r="U43" s="101">
        <f>IF(U11=0,0,U11/TrAvia_act!U29*1000000)</f>
        <v>2238.5263660284177</v>
      </c>
      <c r="V43" s="101">
        <f>IF(V11=0,0,V11/TrAvia_act!V29*1000000)</f>
        <v>1455.402376630939</v>
      </c>
      <c r="W43" s="101">
        <f>IF(W11=0,0,W11/TrAvia_act!W29*1000000)</f>
        <v>1765.3681617560369</v>
      </c>
      <c r="X43" s="101">
        <f>IF(X11=0,0,X11/TrAvia_act!X29*1000000)</f>
        <v>2234.3591218878091</v>
      </c>
      <c r="Y43" s="101">
        <f>IF(Y11=0,0,Y11/TrAvia_act!Y29*1000000)</f>
        <v>2732.9740086882889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7772.8302845799881</v>
      </c>
      <c r="C44" s="101">
        <f>IF(C12=0,0,C12/TrAvia_act!C30*1000000)</f>
        <v>7730.3877302333321</v>
      </c>
      <c r="D44" s="101">
        <f>IF(D12=0,0,D12/TrAvia_act!D30*1000000)</f>
        <v>7725.8360886777164</v>
      </c>
      <c r="E44" s="101">
        <f>IF(E12=0,0,E12/TrAvia_act!E30*1000000)</f>
        <v>7742.3440519436081</v>
      </c>
      <c r="F44" s="101">
        <f>IF(F12=0,0,F12/TrAvia_act!F30*1000000)</f>
        <v>7282.5606597968235</v>
      </c>
      <c r="G44" s="101">
        <f>IF(G12=0,0,G12/TrAvia_act!G30*1000000)</f>
        <v>7208.8197604437973</v>
      </c>
      <c r="H44" s="101">
        <f>IF(H12=0,0,H12/TrAvia_act!H30*1000000)</f>
        <v>8486.1693325153683</v>
      </c>
      <c r="I44" s="101">
        <f>IF(I12=0,0,I12/TrAvia_act!I30*1000000)</f>
        <v>7839.5137001748653</v>
      </c>
      <c r="J44" s="101">
        <f>IF(J12=0,0,J12/TrAvia_act!J30*1000000)</f>
        <v>8449.3809199478401</v>
      </c>
      <c r="K44" s="101">
        <f>IF(K12=0,0,K12/TrAvia_act!K30*1000000)</f>
        <v>7203.2609676204165</v>
      </c>
      <c r="L44" s="101">
        <f>IF(L12=0,0,L12/TrAvia_act!L30*1000000)</f>
        <v>5979.5626989671136</v>
      </c>
      <c r="M44" s="101">
        <f>IF(M12=0,0,M12/TrAvia_act!M30*1000000)</f>
        <v>6452.6849101115631</v>
      </c>
      <c r="N44" s="101">
        <f>IF(N12=0,0,N12/TrAvia_act!N30*1000000)</f>
        <v>6441.3409626503335</v>
      </c>
      <c r="O44" s="101">
        <f>IF(O12=0,0,O12/TrAvia_act!O30*1000000)</f>
        <v>6551.6308950047887</v>
      </c>
      <c r="P44" s="101">
        <f>IF(P12=0,0,P12/TrAvia_act!P30*1000000)</f>
        <v>6455.0061213072458</v>
      </c>
      <c r="Q44" s="101">
        <f>IF(Q12=0,0,Q12/TrAvia_act!Q30*1000000)</f>
        <v>6159.8072359243897</v>
      </c>
      <c r="R44" s="101">
        <f>IF(R12=0,0,R12/TrAvia_act!R30*1000000)</f>
        <v>6224.9813665036481</v>
      </c>
      <c r="S44" s="101">
        <f>IF(S12=0,0,S12/TrAvia_act!S30*1000000)</f>
        <v>6335.9266459525916</v>
      </c>
      <c r="T44" s="101">
        <f>IF(T12=0,0,T12/TrAvia_act!T30*1000000)</f>
        <v>6271.4224603566036</v>
      </c>
      <c r="U44" s="101">
        <f>IF(U12=0,0,U12/TrAvia_act!U30*1000000)</f>
        <v>5730.213831964119</v>
      </c>
      <c r="V44" s="101">
        <f>IF(V12=0,0,V12/TrAvia_act!V30*1000000)</f>
        <v>3810.3036308272303</v>
      </c>
      <c r="W44" s="101">
        <f>IF(W12=0,0,W12/TrAvia_act!W30*1000000)</f>
        <v>4158.9095908572108</v>
      </c>
      <c r="X44" s="101">
        <f>IF(X12=0,0,X12/TrAvia_act!X30*1000000)</f>
        <v>4663.0344136500598</v>
      </c>
      <c r="Y44" s="101">
        <f>IF(Y12=0,0,Y12/TrAvia_act!Y30*1000000)</f>
        <v>4895.2407970164486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5617.2600600538544</v>
      </c>
      <c r="C45" s="88">
        <f>IF(C13=0,0,C13/TrAvia_act!C31*1000000)</f>
        <v>5585.092124725209</v>
      </c>
      <c r="D45" s="88">
        <f>IF(D13=0,0,D13/TrAvia_act!D31*1000000)</f>
        <v>5582.3183130186198</v>
      </c>
      <c r="E45" s="88">
        <f>IF(E13=0,0,E13/TrAvia_act!E31*1000000)</f>
        <v>5601.6424993460469</v>
      </c>
      <c r="F45" s="88">
        <f>IF(F13=0,0,F13/TrAvia_act!F31*1000000)</f>
        <v>5375.3189591111241</v>
      </c>
      <c r="G45" s="88">
        <f>IF(G13=0,0,G13/TrAvia_act!G31*1000000)</f>
        <v>5168.7903604221719</v>
      </c>
      <c r="H45" s="88">
        <f>IF(H13=0,0,H13/TrAvia_act!H31*1000000)</f>
        <v>5109.7440623256098</v>
      </c>
      <c r="I45" s="88">
        <f>IF(I13=0,0,I13/TrAvia_act!I31*1000000)</f>
        <v>4234.9776492805195</v>
      </c>
      <c r="J45" s="88">
        <f>IF(J13=0,0,J13/TrAvia_act!J31*1000000)</f>
        <v>3886.5106775240456</v>
      </c>
      <c r="K45" s="88">
        <f>IF(K13=0,0,K13/TrAvia_act!K31*1000000)</f>
        <v>3242.8659122956656</v>
      </c>
      <c r="L45" s="88">
        <f>IF(L13=0,0,L13/TrAvia_act!L31*1000000)</f>
        <v>2273.2657110088526</v>
      </c>
      <c r="M45" s="88">
        <f>IF(M13=0,0,M13/TrAvia_act!M31*1000000)</f>
        <v>2914.0237668383174</v>
      </c>
      <c r="N45" s="88">
        <f>IF(N13=0,0,N13/TrAvia_act!N31*1000000)</f>
        <v>3326.6630532786844</v>
      </c>
      <c r="O45" s="88">
        <f>IF(O13=0,0,O13/TrAvia_act!O31*1000000)</f>
        <v>2762.5511844213488</v>
      </c>
      <c r="P45" s="88">
        <f>IF(P13=0,0,P13/TrAvia_act!P31*1000000)</f>
        <v>2742.7125963047733</v>
      </c>
      <c r="Q45" s="88">
        <f>IF(Q13=0,0,Q13/TrAvia_act!Q31*1000000)</f>
        <v>2855.4147912402018</v>
      </c>
      <c r="R45" s="88">
        <f>IF(R13=0,0,R13/TrAvia_act!R31*1000000)</f>
        <v>2541.7908060203927</v>
      </c>
      <c r="S45" s="88">
        <f>IF(S13=0,0,S13/TrAvia_act!S31*1000000)</f>
        <v>2380.6092711252791</v>
      </c>
      <c r="T45" s="88">
        <f>IF(T13=0,0,T13/TrAvia_act!T31*1000000)</f>
        <v>2366.7367452435433</v>
      </c>
      <c r="U45" s="88">
        <f>IF(U13=0,0,U13/TrAvia_act!U31*1000000)</f>
        <v>2661.0821968973983</v>
      </c>
      <c r="V45" s="88">
        <f>IF(V13=0,0,V13/TrAvia_act!V31*1000000)</f>
        <v>4725.1524670242134</v>
      </c>
      <c r="W45" s="88">
        <f>IF(W13=0,0,W13/TrAvia_act!W31*1000000)</f>
        <v>2281.8994625092701</v>
      </c>
      <c r="X45" s="88">
        <f>IF(X13=0,0,X13/TrAvia_act!X31*1000000)</f>
        <v>1846.7842503244694</v>
      </c>
      <c r="Y45" s="88">
        <f>IF(Y13=0,0,Y13/TrAvia_act!Y31*1000000)</f>
        <v>2182.2106687018108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0.97505375739303102</v>
      </c>
      <c r="C48" s="16">
        <f t="shared" si="36"/>
        <v>0.96972305295206163</v>
      </c>
      <c r="D48" s="16">
        <f t="shared" ref="D48:V48" si="37">IF(D6=0,0,D6/D$3)</f>
        <v>0.96976116183235517</v>
      </c>
      <c r="E48" s="16">
        <f t="shared" si="37"/>
        <v>0.97458235912877611</v>
      </c>
      <c r="F48" s="16">
        <f t="shared" si="37"/>
        <v>0.98380622245267813</v>
      </c>
      <c r="G48" s="16">
        <f t="shared" si="37"/>
        <v>0.9837210164291883</v>
      </c>
      <c r="H48" s="16">
        <f t="shared" si="37"/>
        <v>0.98251627641716199</v>
      </c>
      <c r="I48" s="16">
        <f t="shared" si="37"/>
        <v>0.9849711070388405</v>
      </c>
      <c r="J48" s="16">
        <f t="shared" si="37"/>
        <v>0.98387911025482067</v>
      </c>
      <c r="K48" s="16">
        <f t="shared" si="37"/>
        <v>0.98596743065494641</v>
      </c>
      <c r="L48" s="16">
        <f t="shared" si="37"/>
        <v>0.9863796307259769</v>
      </c>
      <c r="M48" s="16">
        <f t="shared" si="37"/>
        <v>0.98713667429734941</v>
      </c>
      <c r="N48" s="16">
        <f t="shared" si="37"/>
        <v>0.98742635365024856</v>
      </c>
      <c r="O48" s="16">
        <f t="shared" si="37"/>
        <v>0.98809293002228971</v>
      </c>
      <c r="P48" s="16">
        <f t="shared" si="37"/>
        <v>0.99151871171987649</v>
      </c>
      <c r="Q48" s="16">
        <f t="shared" si="37"/>
        <v>0.99231405071634582</v>
      </c>
      <c r="R48" s="16">
        <f t="shared" si="37"/>
        <v>0.99302721096109059</v>
      </c>
      <c r="S48" s="16">
        <f t="shared" si="37"/>
        <v>0.99372959805449279</v>
      </c>
      <c r="T48" s="16">
        <f t="shared" si="37"/>
        <v>0.99213390693964398</v>
      </c>
      <c r="U48" s="16">
        <f t="shared" si="37"/>
        <v>0.99261089127748414</v>
      </c>
      <c r="V48" s="16">
        <f t="shared" si="37"/>
        <v>0.98424375354400673</v>
      </c>
      <c r="W48" s="16">
        <f t="shared" ref="W48:Y48" si="38">IF(W6=0,0,W6/W$3)</f>
        <v>0.9901462773972417</v>
      </c>
      <c r="X48" s="16">
        <f t="shared" si="38"/>
        <v>0.99389246262005637</v>
      </c>
      <c r="Y48" s="16">
        <f t="shared" si="38"/>
        <v>0.99487284644784701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0.37368664432882492</v>
      </c>
      <c r="C49" s="103">
        <f t="shared" si="39"/>
        <v>0.35113277210941474</v>
      </c>
      <c r="D49" s="103">
        <f t="shared" ref="D49:V49" si="40">IF(D7=0,0,D7/D$3)</f>
        <v>0.33103986873550967</v>
      </c>
      <c r="E49" s="103">
        <f t="shared" si="40"/>
        <v>0.31623071333891756</v>
      </c>
      <c r="F49" s="103">
        <f t="shared" si="40"/>
        <v>0.32741657254855439</v>
      </c>
      <c r="G49" s="103">
        <f t="shared" si="40"/>
        <v>0.33575372109111623</v>
      </c>
      <c r="H49" s="103">
        <f t="shared" si="40"/>
        <v>0.27507329654562429</v>
      </c>
      <c r="I49" s="103">
        <f t="shared" si="40"/>
        <v>0.26942316573042524</v>
      </c>
      <c r="J49" s="103">
        <f t="shared" si="40"/>
        <v>0.25353966117254723</v>
      </c>
      <c r="K49" s="103">
        <f t="shared" si="40"/>
        <v>0.25123616035809743</v>
      </c>
      <c r="L49" s="103">
        <f t="shared" si="40"/>
        <v>0.25506614738067762</v>
      </c>
      <c r="M49" s="103">
        <f t="shared" si="40"/>
        <v>0.22840582570251827</v>
      </c>
      <c r="N49" s="103">
        <f t="shared" si="40"/>
        <v>0.21918177727957497</v>
      </c>
      <c r="O49" s="103">
        <f t="shared" si="40"/>
        <v>0.20588540693047377</v>
      </c>
      <c r="P49" s="103">
        <f t="shared" si="40"/>
        <v>0.18676626375638358</v>
      </c>
      <c r="Q49" s="103">
        <f t="shared" si="40"/>
        <v>0.16811949897240983</v>
      </c>
      <c r="R49" s="103">
        <f t="shared" si="40"/>
        <v>0.17628557732470851</v>
      </c>
      <c r="S49" s="103">
        <f t="shared" si="40"/>
        <v>0.16472553418923397</v>
      </c>
      <c r="T49" s="103">
        <f t="shared" si="40"/>
        <v>0.16860982919090739</v>
      </c>
      <c r="U49" s="103">
        <f t="shared" si="40"/>
        <v>0.16510592753570233</v>
      </c>
      <c r="V49" s="103">
        <f t="shared" si="40"/>
        <v>0.20224304186880915</v>
      </c>
      <c r="W49" s="103">
        <f t="shared" ref="W49:Y49" si="41">IF(W7=0,0,W7/W$3)</f>
        <v>0.17796010912788682</v>
      </c>
      <c r="X49" s="103">
        <f t="shared" si="41"/>
        <v>0.16465422981796796</v>
      </c>
      <c r="Y49" s="103">
        <f t="shared" si="41"/>
        <v>0.18891690505004152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0.51509284683531353</v>
      </c>
      <c r="C50" s="103">
        <f t="shared" si="42"/>
        <v>0.52984291629506419</v>
      </c>
      <c r="D50" s="103">
        <f t="shared" ref="D50:V50" si="43">IF(D8=0,0,D8/D$3)</f>
        <v>0.54709005779517106</v>
      </c>
      <c r="E50" s="103">
        <f t="shared" si="43"/>
        <v>0.56391225604779782</v>
      </c>
      <c r="F50" s="103">
        <f t="shared" si="43"/>
        <v>0.54704590408108811</v>
      </c>
      <c r="G50" s="103">
        <f t="shared" si="43"/>
        <v>0.53911937747110494</v>
      </c>
      <c r="H50" s="103">
        <f t="shared" si="43"/>
        <v>0.5911799528712256</v>
      </c>
      <c r="I50" s="103">
        <f t="shared" si="43"/>
        <v>0.59932226854121196</v>
      </c>
      <c r="J50" s="103">
        <f t="shared" si="43"/>
        <v>0.60841071537893476</v>
      </c>
      <c r="K50" s="103">
        <f t="shared" si="43"/>
        <v>0.60685976607844094</v>
      </c>
      <c r="L50" s="103">
        <f t="shared" si="43"/>
        <v>0.60089418508247472</v>
      </c>
      <c r="M50" s="103">
        <f t="shared" si="43"/>
        <v>0.62425499512246341</v>
      </c>
      <c r="N50" s="103">
        <f t="shared" si="43"/>
        <v>0.62963550426162651</v>
      </c>
      <c r="O50" s="103">
        <f t="shared" si="43"/>
        <v>0.64052225129661167</v>
      </c>
      <c r="P50" s="103">
        <f t="shared" si="43"/>
        <v>0.66489935410006962</v>
      </c>
      <c r="Q50" s="103">
        <f t="shared" si="43"/>
        <v>0.68311189384242033</v>
      </c>
      <c r="R50" s="103">
        <f t="shared" si="43"/>
        <v>0.68440199615121067</v>
      </c>
      <c r="S50" s="103">
        <f t="shared" si="43"/>
        <v>0.69930509050221423</v>
      </c>
      <c r="T50" s="103">
        <f t="shared" si="43"/>
        <v>0.69530275519515905</v>
      </c>
      <c r="U50" s="103">
        <f t="shared" si="43"/>
        <v>0.69558920020556703</v>
      </c>
      <c r="V50" s="103">
        <f t="shared" si="43"/>
        <v>0.61118773913526092</v>
      </c>
      <c r="W50" s="103">
        <f t="shared" ref="W50:Y50" si="44">IF(W8=0,0,W8/W$3)</f>
        <v>0.66263156952871938</v>
      </c>
      <c r="X50" s="103">
        <f t="shared" si="44"/>
        <v>0.71291495706162678</v>
      </c>
      <c r="Y50" s="103">
        <f t="shared" si="44"/>
        <v>0.69097570719454593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8.6274266228892435E-2</v>
      </c>
      <c r="C51" s="103">
        <f t="shared" si="45"/>
        <v>8.8747364547582835E-2</v>
      </c>
      <c r="D51" s="103">
        <f t="shared" ref="D51:V51" si="46">IF(D9=0,0,D9/D$3)</f>
        <v>9.1631235301674302E-2</v>
      </c>
      <c r="E51" s="103">
        <f t="shared" si="46"/>
        <v>9.443938974206062E-2</v>
      </c>
      <c r="F51" s="103">
        <f t="shared" si="46"/>
        <v>0.10934374582303558</v>
      </c>
      <c r="G51" s="103">
        <f t="shared" si="46"/>
        <v>0.10884791786696706</v>
      </c>
      <c r="H51" s="103">
        <f t="shared" si="46"/>
        <v>0.1162630270003122</v>
      </c>
      <c r="I51" s="103">
        <f t="shared" si="46"/>
        <v>0.11622567276720341</v>
      </c>
      <c r="J51" s="103">
        <f t="shared" si="46"/>
        <v>0.12192873370333859</v>
      </c>
      <c r="K51" s="103">
        <f t="shared" si="46"/>
        <v>0.12787150421840815</v>
      </c>
      <c r="L51" s="103">
        <f t="shared" si="46"/>
        <v>0.13041929826282461</v>
      </c>
      <c r="M51" s="103">
        <f t="shared" si="46"/>
        <v>0.13447585347236785</v>
      </c>
      <c r="N51" s="103">
        <f t="shared" si="46"/>
        <v>0.13860907210904699</v>
      </c>
      <c r="O51" s="103">
        <f t="shared" si="46"/>
        <v>0.14168527179520413</v>
      </c>
      <c r="P51" s="103">
        <f t="shared" si="46"/>
        <v>0.13985309386342332</v>
      </c>
      <c r="Q51" s="103">
        <f t="shared" si="46"/>
        <v>0.14108265790151561</v>
      </c>
      <c r="R51" s="103">
        <f t="shared" si="46"/>
        <v>0.13233963748517147</v>
      </c>
      <c r="S51" s="103">
        <f t="shared" si="46"/>
        <v>0.12969897336304456</v>
      </c>
      <c r="T51" s="103">
        <f t="shared" si="46"/>
        <v>0.12822132255357757</v>
      </c>
      <c r="U51" s="103">
        <f t="shared" si="46"/>
        <v>0.1319157635362149</v>
      </c>
      <c r="V51" s="103">
        <f t="shared" si="46"/>
        <v>0.17081297253993658</v>
      </c>
      <c r="W51" s="103">
        <f t="shared" ref="W51:Y51" si="47">IF(W9=0,0,W9/W$3)</f>
        <v>0.14955459874063551</v>
      </c>
      <c r="X51" s="103">
        <f t="shared" si="47"/>
        <v>0.11632327574046175</v>
      </c>
      <c r="Y51" s="103">
        <f t="shared" si="47"/>
        <v>0.11498023420325958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2.4946242606969107E-2</v>
      </c>
      <c r="C52" s="17">
        <f t="shared" si="48"/>
        <v>3.0276947047938211E-2</v>
      </c>
      <c r="D52" s="17">
        <f t="shared" ref="D52:V52" si="49">IF(D10=0,0,D10/D$3)</f>
        <v>3.0238838167645013E-2</v>
      </c>
      <c r="E52" s="17">
        <f t="shared" si="49"/>
        <v>2.541764087122398E-2</v>
      </c>
      <c r="F52" s="17">
        <f t="shared" si="49"/>
        <v>1.6193777547321986E-2</v>
      </c>
      <c r="G52" s="17">
        <f t="shared" si="49"/>
        <v>1.6278983570811652E-2</v>
      </c>
      <c r="H52" s="17">
        <f t="shared" si="49"/>
        <v>1.7483723582838007E-2</v>
      </c>
      <c r="I52" s="17">
        <f t="shared" si="49"/>
        <v>1.5028892961159503E-2</v>
      </c>
      <c r="J52" s="17">
        <f t="shared" si="49"/>
        <v>1.6120889745179414E-2</v>
      </c>
      <c r="K52" s="17">
        <f t="shared" si="49"/>
        <v>1.4032569345053491E-2</v>
      </c>
      <c r="L52" s="17">
        <f t="shared" si="49"/>
        <v>1.3620369274022916E-2</v>
      </c>
      <c r="M52" s="17">
        <f t="shared" si="49"/>
        <v>1.2863325702650485E-2</v>
      </c>
      <c r="N52" s="17">
        <f t="shared" si="49"/>
        <v>1.2573646349751401E-2</v>
      </c>
      <c r="O52" s="17">
        <f t="shared" si="49"/>
        <v>1.1907069977710344E-2</v>
      </c>
      <c r="P52" s="17">
        <f t="shared" si="49"/>
        <v>8.4812882801235338E-3</v>
      </c>
      <c r="Q52" s="17">
        <f t="shared" si="49"/>
        <v>7.6859492836543726E-3</v>
      </c>
      <c r="R52" s="17">
        <f t="shared" si="49"/>
        <v>6.9727890389093741E-3</v>
      </c>
      <c r="S52" s="17">
        <f t="shared" si="49"/>
        <v>6.2704019455072924E-3</v>
      </c>
      <c r="T52" s="17">
        <f t="shared" si="49"/>
        <v>7.8660930603560199E-3</v>
      </c>
      <c r="U52" s="17">
        <f t="shared" si="49"/>
        <v>7.3891087225156204E-3</v>
      </c>
      <c r="V52" s="17">
        <f t="shared" si="49"/>
        <v>1.5756246455993373E-2</v>
      </c>
      <c r="W52" s="17">
        <f t="shared" ref="W52:Y52" si="50">IF(W10=0,0,W10/W$3)</f>
        <v>9.8537226027581807E-3</v>
      </c>
      <c r="X52" s="17">
        <f t="shared" si="50"/>
        <v>6.1075373799435772E-3</v>
      </c>
      <c r="Y52" s="17">
        <f t="shared" si="50"/>
        <v>5.1271535521530244E-3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1.1621393589998334E-2</v>
      </c>
      <c r="C53" s="104">
        <f t="shared" si="51"/>
        <v>1.3569611724692978E-2</v>
      </c>
      <c r="D53" s="104">
        <f t="shared" ref="D53:V53" si="52">IF(D11=0,0,D11/D$3)</f>
        <v>1.3313798657373409E-2</v>
      </c>
      <c r="E53" s="104">
        <f t="shared" si="52"/>
        <v>1.0967358293007819E-2</v>
      </c>
      <c r="F53" s="104">
        <f t="shared" si="52"/>
        <v>5.9733064996062984E-3</v>
      </c>
      <c r="G53" s="104">
        <f t="shared" si="52"/>
        <v>6.0217606249600136E-3</v>
      </c>
      <c r="H53" s="104">
        <f t="shared" si="52"/>
        <v>4.9020893970846925E-3</v>
      </c>
      <c r="I53" s="104">
        <f t="shared" si="52"/>
        <v>3.8813814794330741E-3</v>
      </c>
      <c r="J53" s="104">
        <f t="shared" si="52"/>
        <v>4.1552568233455397E-3</v>
      </c>
      <c r="K53" s="104">
        <f t="shared" si="52"/>
        <v>3.0315948160327157E-3</v>
      </c>
      <c r="L53" s="104">
        <f t="shared" si="52"/>
        <v>3.0343676948437724E-3</v>
      </c>
      <c r="M53" s="104">
        <f t="shared" si="52"/>
        <v>2.3634050667125559E-3</v>
      </c>
      <c r="N53" s="104">
        <f t="shared" si="52"/>
        <v>1.9955685959364569E-3</v>
      </c>
      <c r="O53" s="104">
        <f t="shared" si="52"/>
        <v>1.888554412043294E-3</v>
      </c>
      <c r="P53" s="104">
        <f t="shared" si="52"/>
        <v>1.0424923158884856E-3</v>
      </c>
      <c r="Q53" s="104">
        <f t="shared" si="52"/>
        <v>8.1243676685780603E-4</v>
      </c>
      <c r="R53" s="104">
        <f t="shared" si="52"/>
        <v>6.7429243710078097E-4</v>
      </c>
      <c r="S53" s="104">
        <f t="shared" si="52"/>
        <v>4.2607886045504406E-4</v>
      </c>
      <c r="T53" s="104">
        <f t="shared" si="52"/>
        <v>7.7830041367175917E-4</v>
      </c>
      <c r="U53" s="104">
        <f t="shared" si="52"/>
        <v>6.5572887542209219E-4</v>
      </c>
      <c r="V53" s="104">
        <f t="shared" si="52"/>
        <v>8.4192931236922765E-4</v>
      </c>
      <c r="W53" s="104">
        <f t="shared" ref="W53:Y53" si="53">IF(W11=0,0,W11/W$3)</f>
        <v>6.0381492967809963E-4</v>
      </c>
      <c r="X53" s="104">
        <f t="shared" si="53"/>
        <v>4.8056319011989941E-4</v>
      </c>
      <c r="Y53" s="104">
        <f t="shared" si="53"/>
        <v>5.7428396309680129E-4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1.2183912223600567E-2</v>
      </c>
      <c r="C54" s="104">
        <f t="shared" si="54"/>
        <v>1.5486955647264935E-2</v>
      </c>
      <c r="D54" s="104">
        <f t="shared" ref="D54:V54" si="55">IF(D12=0,0,D12/D$3)</f>
        <v>1.5647337251978925E-2</v>
      </c>
      <c r="E54" s="104">
        <f t="shared" si="55"/>
        <v>1.3049154458088255E-2</v>
      </c>
      <c r="F54" s="104">
        <f t="shared" si="55"/>
        <v>9.235486169628649E-3</v>
      </c>
      <c r="G54" s="104">
        <f t="shared" si="55"/>
        <v>9.271573005739369E-3</v>
      </c>
      <c r="H54" s="104">
        <f t="shared" si="55"/>
        <v>1.1608383340872027E-2</v>
      </c>
      <c r="I54" s="104">
        <f t="shared" si="55"/>
        <v>1.0350949203455221E-2</v>
      </c>
      <c r="J54" s="104">
        <f t="shared" si="55"/>
        <v>1.1125495513390034E-2</v>
      </c>
      <c r="K54" s="104">
        <f t="shared" si="55"/>
        <v>1.018961449870375E-2</v>
      </c>
      <c r="L54" s="104">
        <f t="shared" si="55"/>
        <v>1.0076543823770111E-2</v>
      </c>
      <c r="M54" s="104">
        <f t="shared" si="55"/>
        <v>9.920939561341241E-3</v>
      </c>
      <c r="N54" s="104">
        <f t="shared" si="55"/>
        <v>9.9444575882919432E-3</v>
      </c>
      <c r="O54" s="104">
        <f t="shared" si="55"/>
        <v>9.5604913343953542E-3</v>
      </c>
      <c r="P54" s="104">
        <f t="shared" si="55"/>
        <v>7.1007011470647311E-3</v>
      </c>
      <c r="Q54" s="104">
        <f t="shared" si="55"/>
        <v>6.3952643670130557E-3</v>
      </c>
      <c r="R54" s="104">
        <f t="shared" si="55"/>
        <v>5.9034858490367419E-3</v>
      </c>
      <c r="S54" s="104">
        <f t="shared" si="55"/>
        <v>5.4152285343892085E-3</v>
      </c>
      <c r="T54" s="104">
        <f t="shared" si="55"/>
        <v>6.4363370531738094E-3</v>
      </c>
      <c r="U54" s="104">
        <f t="shared" si="55"/>
        <v>5.9911786045854301E-3</v>
      </c>
      <c r="V54" s="104">
        <f t="shared" si="55"/>
        <v>1.2191479199135401E-2</v>
      </c>
      <c r="W54" s="104">
        <f t="shared" ref="W54:Y54" si="56">IF(W12=0,0,W12/W$3)</f>
        <v>7.5489866711344706E-3</v>
      </c>
      <c r="X54" s="104">
        <f t="shared" si="56"/>
        <v>4.6006415329647833E-3</v>
      </c>
      <c r="Y54" s="104">
        <f t="shared" si="56"/>
        <v>3.7651020926889101E-3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1.1409367933702089E-3</v>
      </c>
      <c r="C55" s="105">
        <f t="shared" si="57"/>
        <v>1.2203796759803049E-3</v>
      </c>
      <c r="D55" s="105">
        <f t="shared" ref="D55:V55" si="58">IF(D13=0,0,D13/D$3)</f>
        <v>1.277702258292678E-3</v>
      </c>
      <c r="E55" s="105">
        <f t="shared" si="58"/>
        <v>1.4011281201279061E-3</v>
      </c>
      <c r="F55" s="105">
        <f t="shared" si="58"/>
        <v>9.8498487808704269E-4</v>
      </c>
      <c r="G55" s="105">
        <f t="shared" si="58"/>
        <v>9.8564994011226766E-4</v>
      </c>
      <c r="H55" s="105">
        <f t="shared" si="58"/>
        <v>9.7325084488128738E-4</v>
      </c>
      <c r="I55" s="105">
        <f t="shared" si="58"/>
        <v>7.9656227827120578E-4</v>
      </c>
      <c r="J55" s="105">
        <f t="shared" si="58"/>
        <v>8.4013740844383694E-4</v>
      </c>
      <c r="K55" s="105">
        <f t="shared" si="58"/>
        <v>8.1136003031702516E-4</v>
      </c>
      <c r="L55" s="105">
        <f t="shared" si="58"/>
        <v>5.0945775540903084E-4</v>
      </c>
      <c r="M55" s="105">
        <f t="shared" si="58"/>
        <v>5.7898107459668701E-4</v>
      </c>
      <c r="N55" s="105">
        <f t="shared" si="58"/>
        <v>6.3362016552300112E-4</v>
      </c>
      <c r="O55" s="105">
        <f t="shared" si="58"/>
        <v>4.5802423127169599E-4</v>
      </c>
      <c r="P55" s="105">
        <f t="shared" si="58"/>
        <v>3.3809481717031551E-4</v>
      </c>
      <c r="Q55" s="105">
        <f t="shared" si="58"/>
        <v>4.7824814978351168E-4</v>
      </c>
      <c r="R55" s="105">
        <f t="shared" si="58"/>
        <v>3.9501075277185207E-4</v>
      </c>
      <c r="S55" s="105">
        <f t="shared" si="58"/>
        <v>4.2909455066304E-4</v>
      </c>
      <c r="T55" s="105">
        <f t="shared" si="58"/>
        <v>6.5145559351045162E-4</v>
      </c>
      <c r="U55" s="105">
        <f t="shared" si="58"/>
        <v>7.4220124250809916E-4</v>
      </c>
      <c r="V55" s="105">
        <f t="shared" si="58"/>
        <v>2.722837944488746E-3</v>
      </c>
      <c r="W55" s="105">
        <f t="shared" ref="W55:Y55" si="59">IF(W13=0,0,W13/W$3)</f>
        <v>1.7009210019456099E-3</v>
      </c>
      <c r="X55" s="105">
        <f t="shared" si="59"/>
        <v>1.0263326568588933E-3</v>
      </c>
      <c r="Y55" s="105">
        <f t="shared" si="59"/>
        <v>7.8776749636731312E-4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398.16980488568993</v>
      </c>
      <c r="C57" s="62">
        <v>398.37115105553323</v>
      </c>
      <c r="D57" s="62">
        <v>396.13995284496025</v>
      </c>
      <c r="E57" s="62">
        <v>394.53889248644714</v>
      </c>
      <c r="F57" s="62">
        <v>399.19482751924238</v>
      </c>
      <c r="G57" s="62">
        <v>398.6509944528774</v>
      </c>
      <c r="H57" s="62">
        <v>402.41117776221074</v>
      </c>
      <c r="I57" s="62">
        <v>404.67156033939983</v>
      </c>
      <c r="J57" s="62">
        <v>406.32954636154835</v>
      </c>
      <c r="K57" s="62">
        <v>405.24410870224665</v>
      </c>
      <c r="L57" s="62">
        <v>402.3184954124273</v>
      </c>
      <c r="M57" s="62">
        <v>395.89546602796543</v>
      </c>
      <c r="N57" s="62">
        <v>391.81227231762387</v>
      </c>
      <c r="O57" s="62">
        <v>392.96537325956945</v>
      </c>
      <c r="P57" s="62">
        <v>389.05718459527543</v>
      </c>
      <c r="Q57" s="62">
        <v>387.03361793893174</v>
      </c>
      <c r="R57" s="62">
        <v>388.11432441995339</v>
      </c>
      <c r="S57" s="62">
        <v>389.88436765743273</v>
      </c>
      <c r="T57" s="62">
        <v>389.27086739381662</v>
      </c>
      <c r="U57" s="62">
        <v>395.15168957544063</v>
      </c>
      <c r="V57" s="62">
        <v>392.35372352971183</v>
      </c>
      <c r="W57" s="62">
        <v>399.64380193064346</v>
      </c>
      <c r="X57" s="62">
        <v>397.36931923633688</v>
      </c>
      <c r="Y57" s="62">
        <v>397.54397861318307</v>
      </c>
      <c r="DA57" s="172" t="s">
        <v>314</v>
      </c>
    </row>
    <row r="58" spans="1:105" ht="11.45" customHeight="1" x14ac:dyDescent="0.25">
      <c r="A58" s="10" t="s">
        <v>33</v>
      </c>
      <c r="B58" s="14">
        <v>399.11133120489029</v>
      </c>
      <c r="C58" s="14">
        <v>399.57211390816002</v>
      </c>
      <c r="D58" s="14">
        <v>397.27523891078255</v>
      </c>
      <c r="E58" s="14">
        <v>395.39603487895062</v>
      </c>
      <c r="F58" s="14">
        <v>399.88822548390516</v>
      </c>
      <c r="G58" s="14">
        <v>399.34148080328174</v>
      </c>
      <c r="H58" s="14">
        <v>403.25720860807945</v>
      </c>
      <c r="I58" s="14">
        <v>405.53516779809655</v>
      </c>
      <c r="J58" s="14">
        <v>407.28599931165422</v>
      </c>
      <c r="K58" s="14">
        <v>406.13094609829653</v>
      </c>
      <c r="L58" s="14">
        <v>403.18550331964786</v>
      </c>
      <c r="M58" s="14">
        <v>396.59259249954926</v>
      </c>
      <c r="N58" s="14">
        <v>392.37748880157801</v>
      </c>
      <c r="O58" s="14">
        <v>393.52591622884017</v>
      </c>
      <c r="P58" s="14">
        <v>389.45038866581393</v>
      </c>
      <c r="Q58" s="14">
        <v>387.37760962596889</v>
      </c>
      <c r="R58" s="14">
        <v>388.44235359741913</v>
      </c>
      <c r="S58" s="14">
        <v>390.21102159701792</v>
      </c>
      <c r="T58" s="14">
        <v>389.68327126849795</v>
      </c>
      <c r="U58" s="14">
        <v>395.53264570324092</v>
      </c>
      <c r="V58" s="14">
        <v>393.35385873030623</v>
      </c>
      <c r="W58" s="14">
        <v>400.29499601213024</v>
      </c>
      <c r="X58" s="14">
        <v>397.73391707067304</v>
      </c>
      <c r="Y58" s="14">
        <v>397.83966791512762</v>
      </c>
      <c r="DA58" s="189" t="s">
        <v>315</v>
      </c>
    </row>
    <row r="59" spans="1:105" ht="11.45" customHeight="1" x14ac:dyDescent="0.25">
      <c r="A59" s="83" t="s">
        <v>27</v>
      </c>
      <c r="B59" s="87">
        <v>550.07673330198531</v>
      </c>
      <c r="C59" s="87">
        <v>550.07673330198531</v>
      </c>
      <c r="D59" s="87">
        <v>550.07673330198543</v>
      </c>
      <c r="E59" s="87">
        <v>550.07673330198531</v>
      </c>
      <c r="F59" s="87">
        <v>550.07673330198531</v>
      </c>
      <c r="G59" s="87">
        <v>554.05972006692116</v>
      </c>
      <c r="H59" s="87">
        <v>558.15674334960431</v>
      </c>
      <c r="I59" s="87">
        <v>563.71270649748215</v>
      </c>
      <c r="J59" s="87">
        <v>561.49427321345752</v>
      </c>
      <c r="K59" s="87">
        <v>571.11032085557144</v>
      </c>
      <c r="L59" s="87">
        <v>579.52721842931396</v>
      </c>
      <c r="M59" s="87">
        <v>617.20357706735069</v>
      </c>
      <c r="N59" s="87">
        <v>631.35798465110804</v>
      </c>
      <c r="O59" s="87">
        <v>644.06493589254194</v>
      </c>
      <c r="P59" s="87">
        <v>641.16351180557672</v>
      </c>
      <c r="Q59" s="87">
        <v>637.10084159024507</v>
      </c>
      <c r="R59" s="87">
        <v>628.70120190017997</v>
      </c>
      <c r="S59" s="87">
        <v>642.99908749875431</v>
      </c>
      <c r="T59" s="87">
        <v>643.14651890647315</v>
      </c>
      <c r="U59" s="87">
        <v>649.65648628453971</v>
      </c>
      <c r="V59" s="87">
        <v>659.50961154413733</v>
      </c>
      <c r="W59" s="87">
        <v>658.04841983495862</v>
      </c>
      <c r="X59" s="87">
        <v>657.35515765817581</v>
      </c>
      <c r="Y59" s="87">
        <v>663.20708235367681</v>
      </c>
      <c r="DA59" s="171" t="s">
        <v>316</v>
      </c>
    </row>
    <row r="60" spans="1:105" ht="11.45" customHeight="1" x14ac:dyDescent="0.25">
      <c r="A60" s="83" t="s">
        <v>181</v>
      </c>
      <c r="B60" s="87">
        <v>338.4864331163684</v>
      </c>
      <c r="C60" s="87">
        <v>338.48634732242903</v>
      </c>
      <c r="D60" s="87">
        <v>338.48615152795458</v>
      </c>
      <c r="E60" s="87">
        <v>338.48742961443327</v>
      </c>
      <c r="F60" s="87">
        <v>337.2301159842504</v>
      </c>
      <c r="G60" s="87">
        <v>336.72998870680556</v>
      </c>
      <c r="H60" s="87">
        <v>336.99336162647302</v>
      </c>
      <c r="I60" s="87">
        <v>335.94456649300776</v>
      </c>
      <c r="J60" s="87">
        <v>335.55826537842518</v>
      </c>
      <c r="K60" s="87">
        <v>335.99537373967706</v>
      </c>
      <c r="L60" s="87">
        <v>336.33765338721935</v>
      </c>
      <c r="M60" s="87">
        <v>335.84945561914878</v>
      </c>
      <c r="N60" s="87">
        <v>337.0144630924238</v>
      </c>
      <c r="O60" s="87">
        <v>337.19996486670971</v>
      </c>
      <c r="P60" s="87">
        <v>336.66046007184593</v>
      </c>
      <c r="Q60" s="87">
        <v>336.20997097583171</v>
      </c>
      <c r="R60" s="87">
        <v>336.1375197267231</v>
      </c>
      <c r="S60" s="87">
        <v>335.58054465383742</v>
      </c>
      <c r="T60" s="87">
        <v>334.6564951644188</v>
      </c>
      <c r="U60" s="87">
        <v>335.12258193169754</v>
      </c>
      <c r="V60" s="87">
        <v>330.63610126529954</v>
      </c>
      <c r="W60" s="87">
        <v>328.77605112001277</v>
      </c>
      <c r="X60" s="87">
        <v>334.27708324696135</v>
      </c>
      <c r="Y60" s="87">
        <v>334.67720406463872</v>
      </c>
      <c r="DA60" s="171" t="s">
        <v>317</v>
      </c>
    </row>
    <row r="61" spans="1:105" ht="11.45" customHeight="1" x14ac:dyDescent="0.25">
      <c r="A61" s="83" t="s">
        <v>182</v>
      </c>
      <c r="B61" s="87">
        <v>603.4139354244727</v>
      </c>
      <c r="C61" s="87">
        <v>603.4139354244727</v>
      </c>
      <c r="D61" s="87">
        <v>603.41393542447281</v>
      </c>
      <c r="E61" s="87">
        <v>603.41393542447281</v>
      </c>
      <c r="F61" s="87">
        <v>603.41393542447281</v>
      </c>
      <c r="G61" s="87">
        <v>594.49240524385857</v>
      </c>
      <c r="H61" s="87">
        <v>605.44663030246181</v>
      </c>
      <c r="I61" s="87">
        <v>605.76332204690789</v>
      </c>
      <c r="J61" s="87">
        <v>597.40540493526089</v>
      </c>
      <c r="K61" s="87">
        <v>559.79897465421357</v>
      </c>
      <c r="L61" s="87">
        <v>535.07550495291207</v>
      </c>
      <c r="M61" s="87">
        <v>495.61945680105782</v>
      </c>
      <c r="N61" s="87">
        <v>449.64590599529072</v>
      </c>
      <c r="O61" s="87">
        <v>455.66044809468787</v>
      </c>
      <c r="P61" s="87">
        <v>459.87781931950803</v>
      </c>
      <c r="Q61" s="87">
        <v>458.53913617226868</v>
      </c>
      <c r="R61" s="87">
        <v>468.15104265426982</v>
      </c>
      <c r="S61" s="87">
        <v>482.15422087749971</v>
      </c>
      <c r="T61" s="87">
        <v>493.08492454330565</v>
      </c>
      <c r="U61" s="87">
        <v>511.68608443932936</v>
      </c>
      <c r="V61" s="87">
        <v>481.71631582868469</v>
      </c>
      <c r="W61" s="87">
        <v>563.74979239732227</v>
      </c>
      <c r="X61" s="87">
        <v>612.87889994612942</v>
      </c>
      <c r="Y61" s="87">
        <v>596.52462528070589</v>
      </c>
      <c r="DA61" s="171" t="s">
        <v>318</v>
      </c>
    </row>
    <row r="62" spans="1:105" ht="11.45" customHeight="1" x14ac:dyDescent="0.25">
      <c r="A62" s="12" t="s">
        <v>34</v>
      </c>
      <c r="B62" s="15">
        <v>348.71402937151856</v>
      </c>
      <c r="C62" s="15">
        <v>346.42546473487982</v>
      </c>
      <c r="D62" s="15">
        <v>346.84574616102134</v>
      </c>
      <c r="E62" s="15">
        <v>350.19949545817644</v>
      </c>
      <c r="F62" s="15">
        <v>348.67059911701773</v>
      </c>
      <c r="G62" s="15">
        <v>349.06208225864549</v>
      </c>
      <c r="H62" s="15">
        <v>347.90371308269539</v>
      </c>
      <c r="I62" s="15">
        <v>342.37864470857909</v>
      </c>
      <c r="J62" s="15">
        <v>340.69339972607571</v>
      </c>
      <c r="K62" s="15">
        <v>337.72071071264691</v>
      </c>
      <c r="L62" s="15">
        <v>333.87935724123759</v>
      </c>
      <c r="M62" s="15">
        <v>339.12224512654427</v>
      </c>
      <c r="N62" s="15">
        <v>344.22593363500209</v>
      </c>
      <c r="O62" s="15">
        <v>342.30531935005496</v>
      </c>
      <c r="P62" s="15">
        <v>341.08083698888089</v>
      </c>
      <c r="Q62" s="15">
        <v>341.52677520298715</v>
      </c>
      <c r="R62" s="15">
        <v>340.89549729250177</v>
      </c>
      <c r="S62" s="15">
        <v>339.77425111658465</v>
      </c>
      <c r="T62" s="15">
        <v>338.74307831395032</v>
      </c>
      <c r="U62" s="15">
        <v>346.72213219411276</v>
      </c>
      <c r="V62" s="15">
        <v>331.8412165311143</v>
      </c>
      <c r="W62" s="15">
        <v>341.15151162121919</v>
      </c>
      <c r="X62" s="15">
        <v>346.30096541147236</v>
      </c>
      <c r="Y62" s="15">
        <v>347.74262333687977</v>
      </c>
      <c r="DA62" s="193" t="s">
        <v>319</v>
      </c>
    </row>
    <row r="63" spans="1:105" ht="11.45" customHeight="1" x14ac:dyDescent="0.25">
      <c r="A63" s="92" t="s">
        <v>27</v>
      </c>
      <c r="B63" s="101">
        <v>549.44922769848199</v>
      </c>
      <c r="C63" s="101">
        <v>549.44922769848199</v>
      </c>
      <c r="D63" s="101">
        <v>549.44922769848199</v>
      </c>
      <c r="E63" s="101">
        <v>549.44922769848199</v>
      </c>
      <c r="F63" s="101">
        <v>549.4492276984821</v>
      </c>
      <c r="G63" s="101">
        <v>553.42407948300979</v>
      </c>
      <c r="H63" s="101">
        <v>556.64592877160021</v>
      </c>
      <c r="I63" s="101">
        <v>561.27401362472267</v>
      </c>
      <c r="J63" s="101">
        <v>558.2079728283145</v>
      </c>
      <c r="K63" s="101">
        <v>566.74642846006941</v>
      </c>
      <c r="L63" s="101">
        <v>574.02521550549966</v>
      </c>
      <c r="M63" s="101">
        <v>592.85721104234892</v>
      </c>
      <c r="N63" s="101">
        <v>588.13902995102274</v>
      </c>
      <c r="O63" s="101">
        <v>597.63670534797654</v>
      </c>
      <c r="P63" s="101">
        <v>594.23724681161775</v>
      </c>
      <c r="Q63" s="101">
        <v>589.91182360863763</v>
      </c>
      <c r="R63" s="101">
        <v>582.07747963684426</v>
      </c>
      <c r="S63" s="101">
        <v>592.71470031497381</v>
      </c>
      <c r="T63" s="101">
        <v>591.83302797146064</v>
      </c>
      <c r="U63" s="101">
        <v>578.5554669292876</v>
      </c>
      <c r="V63" s="101">
        <v>587.82053596936612</v>
      </c>
      <c r="W63" s="101">
        <v>604.14957223641954</v>
      </c>
      <c r="X63" s="101">
        <v>588.04253504444557</v>
      </c>
      <c r="Y63" s="101">
        <v>600.09571421934152</v>
      </c>
      <c r="DA63" s="175" t="s">
        <v>320</v>
      </c>
    </row>
    <row r="64" spans="1:105" ht="11.45" customHeight="1" x14ac:dyDescent="0.25">
      <c r="A64" s="92" t="s">
        <v>181</v>
      </c>
      <c r="B64" s="101">
        <v>335.36112757987416</v>
      </c>
      <c r="C64" s="101">
        <v>335.00060965624624</v>
      </c>
      <c r="D64" s="101">
        <v>335.04236765282036</v>
      </c>
      <c r="E64" s="101">
        <v>335.05624757987277</v>
      </c>
      <c r="F64" s="101">
        <v>333.54981747779533</v>
      </c>
      <c r="G64" s="101">
        <v>333.94631459760535</v>
      </c>
      <c r="H64" s="101">
        <v>335.40658698518376</v>
      </c>
      <c r="I64" s="101">
        <v>330.66693763778028</v>
      </c>
      <c r="J64" s="101">
        <v>329.75089841425654</v>
      </c>
      <c r="K64" s="101">
        <v>328.39332591259102</v>
      </c>
      <c r="L64" s="101">
        <v>327.73710836451477</v>
      </c>
      <c r="M64" s="101">
        <v>330.13429404513658</v>
      </c>
      <c r="N64" s="101">
        <v>332.57008459681288</v>
      </c>
      <c r="O64" s="101">
        <v>332.48988260564238</v>
      </c>
      <c r="P64" s="101">
        <v>332.30049600867505</v>
      </c>
      <c r="Q64" s="101">
        <v>329.48695642285674</v>
      </c>
      <c r="R64" s="101">
        <v>330.33772724495759</v>
      </c>
      <c r="S64" s="101">
        <v>328.51251538573348</v>
      </c>
      <c r="T64" s="101">
        <v>327.17868807927596</v>
      </c>
      <c r="U64" s="101">
        <v>329.19464533075171</v>
      </c>
      <c r="V64" s="101">
        <v>315.97857190899265</v>
      </c>
      <c r="W64" s="101">
        <v>313.99493789338663</v>
      </c>
      <c r="X64" s="101">
        <v>317.21283570739047</v>
      </c>
      <c r="Y64" s="101">
        <v>318.0429860979433</v>
      </c>
      <c r="DA64" s="175" t="s">
        <v>321</v>
      </c>
    </row>
    <row r="65" spans="1:105" ht="11.45" customHeight="1" x14ac:dyDescent="0.25">
      <c r="A65" s="85" t="s">
        <v>182</v>
      </c>
      <c r="B65" s="88">
        <v>492.52580174504124</v>
      </c>
      <c r="C65" s="88">
        <v>492.52580174504129</v>
      </c>
      <c r="D65" s="88">
        <v>492.52580174504129</v>
      </c>
      <c r="E65" s="88">
        <v>492.52580174504129</v>
      </c>
      <c r="F65" s="88">
        <v>492.52580174504129</v>
      </c>
      <c r="G65" s="88">
        <v>494.6031085841704</v>
      </c>
      <c r="H65" s="88">
        <v>471.24461464706428</v>
      </c>
      <c r="I65" s="88">
        <v>450.31544621138937</v>
      </c>
      <c r="J65" s="88">
        <v>430.41302770489062</v>
      </c>
      <c r="K65" s="88">
        <v>422.51028664503178</v>
      </c>
      <c r="L65" s="88">
        <v>421.46859559242654</v>
      </c>
      <c r="M65" s="88">
        <v>466.14885659667692</v>
      </c>
      <c r="N65" s="88">
        <v>530.46709719467606</v>
      </c>
      <c r="O65" s="88">
        <v>512.27440370352497</v>
      </c>
      <c r="P65" s="88">
        <v>499.26501446358498</v>
      </c>
      <c r="Q65" s="88">
        <v>507.46746173845452</v>
      </c>
      <c r="R65" s="88">
        <v>473.83125968248049</v>
      </c>
      <c r="S65" s="88">
        <v>437.15823606201616</v>
      </c>
      <c r="T65" s="88">
        <v>412.90438464302565</v>
      </c>
      <c r="U65" s="88">
        <v>435.20652911437531</v>
      </c>
      <c r="V65" s="88">
        <v>449.6685488344458</v>
      </c>
      <c r="W65" s="88">
        <v>434.72164015518371</v>
      </c>
      <c r="X65" s="88">
        <v>436.60763495281861</v>
      </c>
      <c r="Y65" s="88">
        <v>449.12972209783806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1.3602086130103919</v>
      </c>
      <c r="C67" s="59">
        <f t="shared" ref="C67:W67" si="61">IF(C3=0,0,C17/C57)</f>
        <v>1.3031073389911734</v>
      </c>
      <c r="D67" s="59">
        <f t="shared" si="61"/>
        <v>1.2882571849109548</v>
      </c>
      <c r="E67" s="59">
        <f t="shared" si="61"/>
        <v>1.2809083986461574</v>
      </c>
      <c r="F67" s="59">
        <f t="shared" si="61"/>
        <v>1.2229357354622383</v>
      </c>
      <c r="G67" s="59">
        <f t="shared" si="61"/>
        <v>1.2366931406634225</v>
      </c>
      <c r="H67" s="59">
        <f t="shared" si="61"/>
        <v>1.2540003689308483</v>
      </c>
      <c r="I67" s="59">
        <f t="shared" si="61"/>
        <v>1.1948897417988444</v>
      </c>
      <c r="J67" s="59">
        <f t="shared" si="61"/>
        <v>1.24661281323227</v>
      </c>
      <c r="K67" s="59">
        <f t="shared" si="61"/>
        <v>1.0773684234836574</v>
      </c>
      <c r="L67" s="59">
        <f t="shared" si="61"/>
        <v>0.91285322639690059</v>
      </c>
      <c r="M67" s="59">
        <f t="shared" si="61"/>
        <v>0.96899860625165735</v>
      </c>
      <c r="N67" s="59">
        <f t="shared" si="61"/>
        <v>0.94156597260556285</v>
      </c>
      <c r="O67" s="59">
        <f t="shared" si="61"/>
        <v>0.93032110873651896</v>
      </c>
      <c r="P67" s="59">
        <f t="shared" si="61"/>
        <v>0.92864726834966227</v>
      </c>
      <c r="Q67" s="59">
        <f t="shared" si="61"/>
        <v>0.92639588883513491</v>
      </c>
      <c r="R67" s="59">
        <f t="shared" si="61"/>
        <v>0.92822182533743736</v>
      </c>
      <c r="S67" s="59">
        <f t="shared" si="61"/>
        <v>0.94611506941462065</v>
      </c>
      <c r="T67" s="59">
        <f t="shared" si="61"/>
        <v>0.96196025205632496</v>
      </c>
      <c r="U67" s="59">
        <f t="shared" si="61"/>
        <v>0.95546406594396993</v>
      </c>
      <c r="V67" s="59">
        <f t="shared" si="61"/>
        <v>0.7977951812689037</v>
      </c>
      <c r="W67" s="59">
        <f t="shared" si="61"/>
        <v>0.82478107794644095</v>
      </c>
      <c r="X67" s="59">
        <f t="shared" ref="X67:Y67" si="62">IF(X3=0,0,X17/X57)</f>
        <v>0.91251256730324848</v>
      </c>
      <c r="Y67" s="59">
        <f t="shared" si="62"/>
        <v>0.97363158239782643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1.3555065326456239</v>
      </c>
      <c r="C68" s="23">
        <f t="shared" ref="C68:W68" si="64">IF(C6=0,0,C18/C58)</f>
        <v>1.2975876168065859</v>
      </c>
      <c r="D68" s="23">
        <f t="shared" si="64"/>
        <v>1.282646879031571</v>
      </c>
      <c r="E68" s="23">
        <f t="shared" si="64"/>
        <v>1.2763723923130716</v>
      </c>
      <c r="F68" s="23">
        <f t="shared" si="64"/>
        <v>1.2210662223908835</v>
      </c>
      <c r="G68" s="23">
        <f t="shared" si="64"/>
        <v>1.2348483863839326</v>
      </c>
      <c r="H68" s="23">
        <f t="shared" si="64"/>
        <v>1.2519702066343892</v>
      </c>
      <c r="I68" s="23">
        <f t="shared" si="64"/>
        <v>1.1932324955168097</v>
      </c>
      <c r="J68" s="23">
        <f t="shared" si="64"/>
        <v>1.2443859550688265</v>
      </c>
      <c r="K68" s="23">
        <f t="shared" si="64"/>
        <v>1.0759866370439402</v>
      </c>
      <c r="L68" s="23">
        <f t="shared" si="64"/>
        <v>0.91150351678867625</v>
      </c>
      <c r="M68" s="23">
        <f t="shared" si="64"/>
        <v>0.96786633131148947</v>
      </c>
      <c r="N68" s="23">
        <f t="shared" si="64"/>
        <v>0.94055740284587686</v>
      </c>
      <c r="O68" s="23">
        <f t="shared" si="64"/>
        <v>0.92909434465424634</v>
      </c>
      <c r="P68" s="23">
        <f t="shared" si="64"/>
        <v>0.92795023453661407</v>
      </c>
      <c r="Q68" s="23">
        <f t="shared" si="64"/>
        <v>0.9259244255824769</v>
      </c>
      <c r="R68" s="23">
        <f t="shared" si="64"/>
        <v>0.92778154761370246</v>
      </c>
      <c r="S68" s="23">
        <f t="shared" si="64"/>
        <v>0.94577813151061907</v>
      </c>
      <c r="T68" s="23">
        <f t="shared" si="64"/>
        <v>0.96161670688837586</v>
      </c>
      <c r="U68" s="23">
        <f t="shared" si="64"/>
        <v>0.9553355720537664</v>
      </c>
      <c r="V68" s="23">
        <f t="shared" si="64"/>
        <v>0.79669736591320695</v>
      </c>
      <c r="W68" s="23">
        <f t="shared" si="64"/>
        <v>0.82472828383504793</v>
      </c>
      <c r="X68" s="23">
        <f t="shared" ref="X68:Y68" si="65">IF(X6=0,0,X18/X58)</f>
        <v>0.91283549225253879</v>
      </c>
      <c r="Y68" s="23">
        <f t="shared" si="65"/>
        <v>0.97394695850897783</v>
      </c>
      <c r="DA68" s="189"/>
    </row>
    <row r="69" spans="1:105" ht="11.45" customHeight="1" x14ac:dyDescent="0.25">
      <c r="A69" s="83" t="s">
        <v>27</v>
      </c>
      <c r="B69" s="91">
        <f t="shared" si="63"/>
        <v>2.1659366828777991</v>
      </c>
      <c r="C69" s="91">
        <f t="shared" ref="C69:W69" si="66">IF(C7=0,0,C19/C59)</f>
        <v>1.9332480596097259</v>
      </c>
      <c r="D69" s="91">
        <f t="shared" si="66"/>
        <v>1.9284040213102949</v>
      </c>
      <c r="E69" s="91">
        <f t="shared" si="66"/>
        <v>1.9367866440120431</v>
      </c>
      <c r="F69" s="91">
        <f t="shared" si="66"/>
        <v>1.8320172254475366</v>
      </c>
      <c r="G69" s="91">
        <f t="shared" si="66"/>
        <v>1.9032324278871029</v>
      </c>
      <c r="H69" s="91">
        <f t="shared" si="66"/>
        <v>1.638344292315858</v>
      </c>
      <c r="I69" s="91">
        <f t="shared" si="66"/>
        <v>1.5800955967983932</v>
      </c>
      <c r="J69" s="91">
        <f t="shared" si="66"/>
        <v>1.6073956240254308</v>
      </c>
      <c r="K69" s="91">
        <f t="shared" si="66"/>
        <v>1.176921907702597</v>
      </c>
      <c r="L69" s="91">
        <f t="shared" si="66"/>
        <v>1.0805303292911612</v>
      </c>
      <c r="M69" s="91">
        <f t="shared" si="66"/>
        <v>1.1484006355388021</v>
      </c>
      <c r="N69" s="91">
        <f t="shared" si="66"/>
        <v>1.0304957014093636</v>
      </c>
      <c r="O69" s="91">
        <f t="shared" si="66"/>
        <v>1.069853254729648</v>
      </c>
      <c r="P69" s="91">
        <f t="shared" si="66"/>
        <v>1.0320386929274541</v>
      </c>
      <c r="Q69" s="91">
        <f t="shared" si="66"/>
        <v>0.87532335398703254</v>
      </c>
      <c r="R69" s="91">
        <f t="shared" si="66"/>
        <v>0.93881687324586216</v>
      </c>
      <c r="S69" s="91">
        <f t="shared" si="66"/>
        <v>0.96841222176740993</v>
      </c>
      <c r="T69" s="91">
        <f t="shared" si="66"/>
        <v>1.0478397597938238</v>
      </c>
      <c r="U69" s="91">
        <f t="shared" si="66"/>
        <v>1.0432756302922963</v>
      </c>
      <c r="V69" s="91">
        <f t="shared" si="66"/>
        <v>0.68172418170258064</v>
      </c>
      <c r="W69" s="91">
        <f t="shared" si="66"/>
        <v>0.83372499614828788</v>
      </c>
      <c r="X69" s="91">
        <f t="shared" ref="X69:Y69" si="67">IF(X7=0,0,X19/X59)</f>
        <v>1.0466858031080299</v>
      </c>
      <c r="Y69" s="91">
        <f t="shared" si="67"/>
        <v>1.2867732794935631</v>
      </c>
      <c r="DA69" s="171"/>
    </row>
    <row r="70" spans="1:105" ht="11.45" customHeight="1" x14ac:dyDescent="0.25">
      <c r="A70" s="83" t="s">
        <v>181</v>
      </c>
      <c r="B70" s="91">
        <f t="shared" si="63"/>
        <v>1.1469847466006875</v>
      </c>
      <c r="C70" s="91">
        <f t="shared" ref="C70:W70" si="68">IF(C8=0,0,C20/C60)</f>
        <v>1.1404172317068333</v>
      </c>
      <c r="D70" s="91">
        <f t="shared" si="68"/>
        <v>1.1398527855212421</v>
      </c>
      <c r="E70" s="91">
        <f t="shared" si="68"/>
        <v>1.1437927492824382</v>
      </c>
      <c r="F70" s="91">
        <f t="shared" si="68"/>
        <v>1.0994622650828609</v>
      </c>
      <c r="G70" s="91">
        <f t="shared" si="68"/>
        <v>1.0963336336177081</v>
      </c>
      <c r="H70" s="91">
        <f t="shared" si="68"/>
        <v>1.2417566231313257</v>
      </c>
      <c r="I70" s="91">
        <f t="shared" si="68"/>
        <v>1.2191004977179518</v>
      </c>
      <c r="J70" s="91">
        <f t="shared" si="68"/>
        <v>1.3225104983646312</v>
      </c>
      <c r="K70" s="91">
        <f t="shared" si="68"/>
        <v>1.1518213296659492</v>
      </c>
      <c r="L70" s="91">
        <f t="shared" si="68"/>
        <v>0.95421464183453775</v>
      </c>
      <c r="M70" s="91">
        <f t="shared" si="68"/>
        <v>1.0106334824007832</v>
      </c>
      <c r="N70" s="91">
        <f t="shared" si="68"/>
        <v>0.98127664116353042</v>
      </c>
      <c r="O70" s="91">
        <f t="shared" si="68"/>
        <v>1.0036004073593792</v>
      </c>
      <c r="P70" s="91">
        <f t="shared" si="68"/>
        <v>0.99573810861797329</v>
      </c>
      <c r="Q70" s="91">
        <f t="shared" si="68"/>
        <v>0.99140709053656839</v>
      </c>
      <c r="R70" s="91">
        <f t="shared" si="68"/>
        <v>1.0045099667088806</v>
      </c>
      <c r="S70" s="91">
        <f t="shared" si="68"/>
        <v>1.0528043175070871</v>
      </c>
      <c r="T70" s="91">
        <f t="shared" si="68"/>
        <v>1.0573284571631132</v>
      </c>
      <c r="U70" s="91">
        <f t="shared" si="68"/>
        <v>1.0819190024387877</v>
      </c>
      <c r="V70" s="91">
        <f t="shared" si="68"/>
        <v>0.78119846133865123</v>
      </c>
      <c r="W70" s="91">
        <f t="shared" si="68"/>
        <v>0.90928447787583433</v>
      </c>
      <c r="X70" s="91">
        <f t="shared" ref="X70:Y70" si="69">IF(X8=0,0,X20/X60)</f>
        <v>0.99094881341700269</v>
      </c>
      <c r="Y70" s="91">
        <f t="shared" si="69"/>
        <v>1.0299290546461588</v>
      </c>
      <c r="DA70" s="171"/>
    </row>
    <row r="71" spans="1:105" ht="11.45" customHeight="1" x14ac:dyDescent="0.25">
      <c r="A71" s="83" t="s">
        <v>182</v>
      </c>
      <c r="B71" s="91">
        <f t="shared" si="63"/>
        <v>0.88291935168724922</v>
      </c>
      <c r="C71" s="91">
        <f t="shared" ref="C71:W71" si="70">IF(C9=0,0,C21/C61)</f>
        <v>0.87786320468642642</v>
      </c>
      <c r="D71" s="91">
        <f t="shared" si="70"/>
        <v>0.87742721774483889</v>
      </c>
      <c r="E71" s="91">
        <f t="shared" si="70"/>
        <v>0.88046458790069582</v>
      </c>
      <c r="F71" s="91">
        <f t="shared" si="70"/>
        <v>0.84489111768933733</v>
      </c>
      <c r="G71" s="91">
        <f t="shared" si="70"/>
        <v>0.84724269581340905</v>
      </c>
      <c r="H71" s="91">
        <f t="shared" si="70"/>
        <v>0.82575889284312443</v>
      </c>
      <c r="I71" s="91">
        <f t="shared" si="70"/>
        <v>0.71154086578653641</v>
      </c>
      <c r="J71" s="91">
        <f t="shared" si="70"/>
        <v>0.70528430345853799</v>
      </c>
      <c r="K71" s="91">
        <f t="shared" si="70"/>
        <v>0.7265449625363265</v>
      </c>
      <c r="L71" s="91">
        <f t="shared" si="70"/>
        <v>0.60278048313829702</v>
      </c>
      <c r="M71" s="91">
        <f t="shared" si="70"/>
        <v>0.6613579786923891</v>
      </c>
      <c r="N71" s="91">
        <f t="shared" si="70"/>
        <v>0.70904777972411304</v>
      </c>
      <c r="O71" s="91">
        <f t="shared" si="70"/>
        <v>0.60852448699216233</v>
      </c>
      <c r="P71" s="91">
        <f t="shared" si="70"/>
        <v>0.63630123656286774</v>
      </c>
      <c r="Q71" s="91">
        <f t="shared" si="70"/>
        <v>0.74019261224324673</v>
      </c>
      <c r="R71" s="91">
        <f t="shared" si="70"/>
        <v>0.65768313727918593</v>
      </c>
      <c r="S71" s="91">
        <f t="shared" si="70"/>
        <v>0.59942824768695613</v>
      </c>
      <c r="T71" s="91">
        <f t="shared" si="70"/>
        <v>0.60135666150344524</v>
      </c>
      <c r="U71" s="91">
        <f t="shared" si="70"/>
        <v>0.5546428902350885</v>
      </c>
      <c r="V71" s="91">
        <f t="shared" si="70"/>
        <v>1.0923720700660118</v>
      </c>
      <c r="W71" s="91">
        <f t="shared" si="70"/>
        <v>0.57881344420645719</v>
      </c>
      <c r="X71" s="91">
        <f t="shared" ref="X71:Y71" si="71">IF(X9=0,0,X21/X61)</f>
        <v>0.54853891878144345</v>
      </c>
      <c r="Y71" s="91">
        <f t="shared" si="71"/>
        <v>0.56425149499737826</v>
      </c>
      <c r="DA71" s="171"/>
    </row>
    <row r="72" spans="1:105" ht="11.45" customHeight="1" x14ac:dyDescent="0.25">
      <c r="A72" s="12" t="s">
        <v>34</v>
      </c>
      <c r="B72" s="24">
        <f t="shared" si="63"/>
        <v>1.6230021744620404</v>
      </c>
      <c r="C72" s="24">
        <f t="shared" ref="C72:W72" si="72">IF(C10=0,0,C22/C62)</f>
        <v>1.5602420737867329</v>
      </c>
      <c r="D72" s="24">
        <f t="shared" si="72"/>
        <v>1.5459014933295423</v>
      </c>
      <c r="E72" s="24">
        <f t="shared" si="72"/>
        <v>1.5236067440335765</v>
      </c>
      <c r="F72" s="24">
        <f t="shared" si="72"/>
        <v>1.3828739661307212</v>
      </c>
      <c r="G72" s="24">
        <f t="shared" si="72"/>
        <v>1.3923789375347002</v>
      </c>
      <c r="H72" s="24">
        <f t="shared" si="72"/>
        <v>1.412385960093455</v>
      </c>
      <c r="I72" s="24">
        <f t="shared" si="72"/>
        <v>1.3466580471814378</v>
      </c>
      <c r="J72" s="24">
        <f t="shared" si="72"/>
        <v>1.437385866615837</v>
      </c>
      <c r="K72" s="24">
        <f t="shared" si="72"/>
        <v>1.2157087482860487</v>
      </c>
      <c r="L72" s="24">
        <f t="shared" si="72"/>
        <v>1.0488645855440044</v>
      </c>
      <c r="M72" s="24">
        <f t="shared" si="72"/>
        <v>1.0822229466118816</v>
      </c>
      <c r="N72" s="24">
        <f t="shared" si="72"/>
        <v>1.041489808927796</v>
      </c>
      <c r="O72" s="24">
        <f t="shared" si="72"/>
        <v>1.0587012187394624</v>
      </c>
      <c r="P72" s="24">
        <f t="shared" si="72"/>
        <v>1.0281114265901701</v>
      </c>
      <c r="Q72" s="24">
        <f t="shared" si="72"/>
        <v>1.0008264584706588</v>
      </c>
      <c r="R72" s="24">
        <f t="shared" si="72"/>
        <v>1.0038508171675691</v>
      </c>
      <c r="S72" s="24">
        <f t="shared" si="72"/>
        <v>1.0087284114351713</v>
      </c>
      <c r="T72" s="24">
        <f t="shared" si="72"/>
        <v>1.0155993223444553</v>
      </c>
      <c r="U72" s="24">
        <f t="shared" si="72"/>
        <v>0.97983384619908875</v>
      </c>
      <c r="V72" s="24">
        <f t="shared" si="72"/>
        <v>0.87912678243435549</v>
      </c>
      <c r="W72" s="24">
        <f t="shared" si="72"/>
        <v>0.83505351884372525</v>
      </c>
      <c r="X72" s="24">
        <f t="shared" ref="X72:Y72" si="73">IF(X10=0,0,X22/X62)</f>
        <v>0.86772836676214848</v>
      </c>
      <c r="Y72" s="24">
        <f t="shared" si="73"/>
        <v>0.92217497011976923</v>
      </c>
      <c r="DA72" s="193"/>
    </row>
    <row r="73" spans="1:105" ht="11.45" customHeight="1" x14ac:dyDescent="0.25">
      <c r="A73" s="92" t="s">
        <v>27</v>
      </c>
      <c r="B73" s="93">
        <f t="shared" si="63"/>
        <v>2.1659366828777982</v>
      </c>
      <c r="C73" s="93">
        <f t="shared" ref="C73:W73" si="74">IF(C11=0,0,C23/C63)</f>
        <v>1.9332480596097252</v>
      </c>
      <c r="D73" s="93">
        <f t="shared" si="74"/>
        <v>1.9284040213102949</v>
      </c>
      <c r="E73" s="93">
        <f t="shared" si="74"/>
        <v>1.9367866440120429</v>
      </c>
      <c r="F73" s="93">
        <f t="shared" si="74"/>
        <v>1.8320172254475364</v>
      </c>
      <c r="G73" s="93">
        <f t="shared" si="74"/>
        <v>1.9032324278871027</v>
      </c>
      <c r="H73" s="93">
        <f t="shared" si="74"/>
        <v>1.6383442923158578</v>
      </c>
      <c r="I73" s="93">
        <f t="shared" si="74"/>
        <v>1.5800955967983932</v>
      </c>
      <c r="J73" s="93">
        <f t="shared" si="74"/>
        <v>1.6073956240254312</v>
      </c>
      <c r="K73" s="93">
        <f t="shared" si="74"/>
        <v>1.176921907702597</v>
      </c>
      <c r="L73" s="93">
        <f t="shared" si="74"/>
        <v>1.0805303292911612</v>
      </c>
      <c r="M73" s="93">
        <f t="shared" si="74"/>
        <v>1.1484006355388023</v>
      </c>
      <c r="N73" s="93">
        <f t="shared" si="74"/>
        <v>1.0304957014093639</v>
      </c>
      <c r="O73" s="93">
        <f t="shared" si="74"/>
        <v>1.0698532547296482</v>
      </c>
      <c r="P73" s="93">
        <f t="shared" si="74"/>
        <v>1.0320386929274539</v>
      </c>
      <c r="Q73" s="93">
        <f t="shared" si="74"/>
        <v>0.87532335398703265</v>
      </c>
      <c r="R73" s="93">
        <f t="shared" si="74"/>
        <v>0.93881687324586227</v>
      </c>
      <c r="S73" s="93">
        <f t="shared" si="74"/>
        <v>0.96841222176741004</v>
      </c>
      <c r="T73" s="93">
        <f t="shared" si="74"/>
        <v>1.0478397597938238</v>
      </c>
      <c r="U73" s="93">
        <f t="shared" si="74"/>
        <v>1.0432756302922961</v>
      </c>
      <c r="V73" s="93">
        <f t="shared" si="74"/>
        <v>0.68172418170258053</v>
      </c>
      <c r="W73" s="93">
        <f t="shared" si="74"/>
        <v>0.83372499614828799</v>
      </c>
      <c r="X73" s="93">
        <f t="shared" ref="X73:Y73" si="75">IF(X11=0,0,X23/X63)</f>
        <v>1.0466858031080299</v>
      </c>
      <c r="Y73" s="93">
        <f t="shared" si="75"/>
        <v>1.2867732794935633</v>
      </c>
      <c r="DA73" s="175"/>
    </row>
    <row r="74" spans="1:105" ht="11.45" customHeight="1" x14ac:dyDescent="0.25">
      <c r="A74" s="92" t="s">
        <v>181</v>
      </c>
      <c r="B74" s="93">
        <f t="shared" si="63"/>
        <v>1.1571407890782524</v>
      </c>
      <c r="C74" s="93">
        <f t="shared" ref="C74:W74" si="76">IF(C12=0,0,C24/C64)</f>
        <v>1.1527186378754202</v>
      </c>
      <c r="D74" s="93">
        <f t="shared" si="76"/>
        <v>1.1518605000320321</v>
      </c>
      <c r="E74" s="93">
        <f t="shared" si="76"/>
        <v>1.154261059498789</v>
      </c>
      <c r="F74" s="93">
        <f t="shared" si="76"/>
        <v>1.1065993251314543</v>
      </c>
      <c r="G74" s="93">
        <f t="shared" si="76"/>
        <v>1.1033315235991057</v>
      </c>
      <c r="H74" s="93">
        <f t="shared" si="76"/>
        <v>1.2618872922803308</v>
      </c>
      <c r="I74" s="93">
        <f t="shared" si="76"/>
        <v>1.2296443707126179</v>
      </c>
      <c r="J74" s="93">
        <f t="shared" si="76"/>
        <v>1.3381485623883782</v>
      </c>
      <c r="K74" s="93">
        <f t="shared" si="76"/>
        <v>1.1622767363317701</v>
      </c>
      <c r="L74" s="93">
        <f t="shared" si="76"/>
        <v>0.96765684720631873</v>
      </c>
      <c r="M74" s="93">
        <f t="shared" si="76"/>
        <v>1.0189843455127905</v>
      </c>
      <c r="N74" s="93">
        <f t="shared" si="76"/>
        <v>0.99980114193452829</v>
      </c>
      <c r="O74" s="93">
        <f t="shared" si="76"/>
        <v>1.0171294794968939</v>
      </c>
      <c r="P74" s="93">
        <f t="shared" si="76"/>
        <v>1.003035915399578</v>
      </c>
      <c r="Q74" s="93">
        <f t="shared" si="76"/>
        <v>0.99547303612067028</v>
      </c>
      <c r="R74" s="93">
        <f t="shared" si="76"/>
        <v>1.0077544515077339</v>
      </c>
      <c r="S74" s="93">
        <f t="shared" si="76"/>
        <v>1.0477267689659397</v>
      </c>
      <c r="T74" s="93">
        <f t="shared" si="76"/>
        <v>1.0522972908079857</v>
      </c>
      <c r="U74" s="93">
        <f t="shared" si="76"/>
        <v>1.0552178866303048</v>
      </c>
      <c r="V74" s="93">
        <f t="shared" si="76"/>
        <v>0.84335832293062818</v>
      </c>
      <c r="W74" s="93">
        <f t="shared" si="76"/>
        <v>0.92899204831822324</v>
      </c>
      <c r="X74" s="93">
        <f t="shared" ref="X74:Y74" si="77">IF(X12=0,0,X24/X64)</f>
        <v>0.98110784663468431</v>
      </c>
      <c r="Y74" s="93">
        <f t="shared" si="77"/>
        <v>1.0040338388364853</v>
      </c>
      <c r="DA74" s="175"/>
    </row>
    <row r="75" spans="1:105" ht="11.45" customHeight="1" x14ac:dyDescent="0.25">
      <c r="A75" s="85" t="s">
        <v>182</v>
      </c>
      <c r="B75" s="94">
        <f t="shared" si="63"/>
        <v>0.79462741651852475</v>
      </c>
      <c r="C75" s="94">
        <f t="shared" ref="C75:W75" si="78">IF(C13=0,0,C25/C65)</f>
        <v>0.7900768842177841</v>
      </c>
      <c r="D75" s="94">
        <f t="shared" si="78"/>
        <v>0.78968449597035517</v>
      </c>
      <c r="E75" s="94">
        <f t="shared" si="78"/>
        <v>0.79241812911062659</v>
      </c>
      <c r="F75" s="94">
        <f t="shared" si="78"/>
        <v>0.76040200592040386</v>
      </c>
      <c r="G75" s="94">
        <f t="shared" si="78"/>
        <v>0.76251842623206834</v>
      </c>
      <c r="H75" s="94">
        <f t="shared" si="78"/>
        <v>0.74318300355881206</v>
      </c>
      <c r="I75" s="94">
        <f t="shared" si="78"/>
        <v>0.64038677920788278</v>
      </c>
      <c r="J75" s="94">
        <f t="shared" si="78"/>
        <v>0.63475587311268433</v>
      </c>
      <c r="K75" s="94">
        <f t="shared" si="78"/>
        <v>0.65389046628269409</v>
      </c>
      <c r="L75" s="94">
        <f t="shared" si="78"/>
        <v>0.54250243482446725</v>
      </c>
      <c r="M75" s="94">
        <f t="shared" si="78"/>
        <v>0.59522218082315037</v>
      </c>
      <c r="N75" s="94">
        <f t="shared" si="78"/>
        <v>0.63814300175170169</v>
      </c>
      <c r="O75" s="94">
        <f t="shared" si="78"/>
        <v>0.54767203829294608</v>
      </c>
      <c r="P75" s="94">
        <f t="shared" si="78"/>
        <v>0.5726711129065809</v>
      </c>
      <c r="Q75" s="94">
        <f t="shared" si="78"/>
        <v>0.66617335101892194</v>
      </c>
      <c r="R75" s="94">
        <f t="shared" si="78"/>
        <v>0.59191482355126734</v>
      </c>
      <c r="S75" s="94">
        <f t="shared" si="78"/>
        <v>0.53948542291826052</v>
      </c>
      <c r="T75" s="94">
        <f t="shared" si="78"/>
        <v>0.54122099535310053</v>
      </c>
      <c r="U75" s="94">
        <f t="shared" si="78"/>
        <v>0.49917860121157975</v>
      </c>
      <c r="V75" s="94">
        <f t="shared" si="78"/>
        <v>0.98313486305941056</v>
      </c>
      <c r="W75" s="94">
        <f t="shared" si="78"/>
        <v>0.52093209978581145</v>
      </c>
      <c r="X75" s="94">
        <f t="shared" ref="X75:Y75" si="79">IF(X13=0,0,X25/X65)</f>
        <v>0.49368502690329907</v>
      </c>
      <c r="Y75" s="94">
        <f t="shared" si="79"/>
        <v>0.5078263454976405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4090.5634449600011</v>
      </c>
      <c r="C3" s="79">
        <f t="shared" si="0"/>
        <v>3678.3897350399998</v>
      </c>
      <c r="D3" s="79">
        <f t="shared" ref="D3" si="1">SUM(D4:D5)</f>
        <v>3564.2267999999999</v>
      </c>
      <c r="E3" s="79">
        <f t="shared" ref="E3" si="2">SUM(E4:E5)</f>
        <v>3586.4510612399999</v>
      </c>
      <c r="F3" s="79">
        <f t="shared" ref="F3" si="3">SUM(F4:F5)</f>
        <v>3729.1653424800006</v>
      </c>
      <c r="G3" s="79">
        <f t="shared" ref="G3" si="4">SUM(G4:G5)</f>
        <v>3646.6098775199998</v>
      </c>
      <c r="H3" s="79">
        <f t="shared" ref="H3" si="5">SUM(H4:H5)</f>
        <v>3998.5818037199997</v>
      </c>
      <c r="I3" s="79">
        <f t="shared" ref="I3" si="6">SUM(I4:I5)</f>
        <v>4049.1420562800004</v>
      </c>
      <c r="J3" s="79">
        <f t="shared" ref="J3" si="7">SUM(J4:J5)</f>
        <v>4122.04149504</v>
      </c>
      <c r="K3" s="79">
        <f t="shared" ref="K3" si="8">SUM(K4:K5)</f>
        <v>3440.6536877999997</v>
      </c>
      <c r="L3" s="79">
        <f t="shared" ref="L3" si="9">SUM(L4:L5)</f>
        <v>2766.8262009600003</v>
      </c>
      <c r="M3" s="79">
        <f t="shared" ref="M3" si="10">SUM(M4:M5)</f>
        <v>2893.6677992400009</v>
      </c>
      <c r="N3" s="79">
        <f t="shared" ref="N3" si="11">SUM(N4:N5)</f>
        <v>2544.4176447599998</v>
      </c>
      <c r="O3" s="79">
        <f t="shared" ref="O3" si="12">SUM(O4:O5)</f>
        <v>2559.9043180800004</v>
      </c>
      <c r="P3" s="79">
        <f t="shared" ref="P3" si="13">SUM(P4:P5)</f>
        <v>2881.4408017199989</v>
      </c>
      <c r="Q3" s="79">
        <f t="shared" ref="Q3" si="14">SUM(Q4:Q5)</f>
        <v>2983.4786289600011</v>
      </c>
      <c r="R3" s="79">
        <f t="shared" ref="R3" si="15">SUM(R4:R5)</f>
        <v>3215.34440172</v>
      </c>
      <c r="S3" s="79">
        <f t="shared" ref="S3" si="16">SUM(S4:S5)</f>
        <v>3557.1450355200004</v>
      </c>
      <c r="T3" s="79">
        <f t="shared" ref="T3" si="17">SUM(T4:T5)</f>
        <v>3947.8723884000005</v>
      </c>
      <c r="U3" s="79">
        <f t="shared" ref="U3" si="18">SUM(U4:U5)</f>
        <v>4079.6170365599996</v>
      </c>
      <c r="V3" s="79">
        <f t="shared" ref="V3:W3" si="19">SUM(V4:V5)</f>
        <v>1342.3860486000001</v>
      </c>
      <c r="W3" s="79">
        <f t="shared" si="19"/>
        <v>2552.1589213200004</v>
      </c>
      <c r="X3" s="79">
        <f t="shared" ref="X3:Y3" si="20">SUM(X4:X5)</f>
        <v>4170.7207112400001</v>
      </c>
      <c r="Y3" s="79">
        <f t="shared" si="20"/>
        <v>4469.4673826400012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1576.1269749600006</v>
      </c>
      <c r="C4" s="96">
        <f t="shared" si="21"/>
        <v>1341.5175050399998</v>
      </c>
      <c r="D4" s="96">
        <f t="shared" ref="D4:V4" si="22">SUM(D7,D11)</f>
        <v>1227.35457</v>
      </c>
      <c r="E4" s="96">
        <f t="shared" si="22"/>
        <v>1173.4798712400004</v>
      </c>
      <c r="F4" s="96">
        <f t="shared" si="22"/>
        <v>1243.2659824800003</v>
      </c>
      <c r="G4" s="96">
        <f t="shared" si="22"/>
        <v>1246.3218475199999</v>
      </c>
      <c r="H4" s="96">
        <f t="shared" si="22"/>
        <v>1119.5044837200001</v>
      </c>
      <c r="I4" s="96">
        <f t="shared" si="22"/>
        <v>1106.6489362799998</v>
      </c>
      <c r="J4" s="96">
        <f t="shared" si="22"/>
        <v>1062.2291450400003</v>
      </c>
      <c r="K4" s="96">
        <f t="shared" si="22"/>
        <v>874.5426590400001</v>
      </c>
      <c r="L4" s="96">
        <f t="shared" si="22"/>
        <v>713.93742971999995</v>
      </c>
      <c r="M4" s="96">
        <f t="shared" si="22"/>
        <v>667.64379924000013</v>
      </c>
      <c r="N4" s="96">
        <f t="shared" si="22"/>
        <v>562.63791599999979</v>
      </c>
      <c r="O4" s="96">
        <f t="shared" si="22"/>
        <v>531.74900304000028</v>
      </c>
      <c r="P4" s="96">
        <f t="shared" si="22"/>
        <v>541.02401676000011</v>
      </c>
      <c r="Q4" s="96">
        <f t="shared" si="22"/>
        <v>503.93534400000016</v>
      </c>
      <c r="R4" s="96">
        <f t="shared" si="22"/>
        <v>568.84931676000019</v>
      </c>
      <c r="S4" s="96">
        <f t="shared" si="22"/>
        <v>587.31688080000015</v>
      </c>
      <c r="T4" s="96">
        <f t="shared" si="22"/>
        <v>668.59135415999992</v>
      </c>
      <c r="U4" s="96">
        <f t="shared" si="22"/>
        <v>676.09566791999998</v>
      </c>
      <c r="V4" s="96">
        <f t="shared" si="22"/>
        <v>272.49527160000002</v>
      </c>
      <c r="W4" s="96">
        <f t="shared" ref="W4:Y4" si="23">SUM(W7,W11)</f>
        <v>455.59477692000007</v>
      </c>
      <c r="X4" s="96">
        <f t="shared" si="23"/>
        <v>688.62998015999995</v>
      </c>
      <c r="Y4" s="96">
        <f t="shared" si="23"/>
        <v>846.77497524000023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2514.4364700000006</v>
      </c>
      <c r="C5" s="96">
        <f t="shared" si="24"/>
        <v>2336.8722299999999</v>
      </c>
      <c r="D5" s="96">
        <f t="shared" ref="D5:V5" si="25">SUM(D8:D9,D12:D13)</f>
        <v>2336.8722299999999</v>
      </c>
      <c r="E5" s="96">
        <f t="shared" si="25"/>
        <v>2412.9711899999993</v>
      </c>
      <c r="F5" s="96">
        <f t="shared" si="25"/>
        <v>2485.8993600000003</v>
      </c>
      <c r="G5" s="96">
        <f t="shared" si="25"/>
        <v>2400.2880299999997</v>
      </c>
      <c r="H5" s="96">
        <f t="shared" si="25"/>
        <v>2879.0773199999999</v>
      </c>
      <c r="I5" s="96">
        <f t="shared" si="25"/>
        <v>2942.4931200000005</v>
      </c>
      <c r="J5" s="96">
        <f t="shared" si="25"/>
        <v>3059.8123499999997</v>
      </c>
      <c r="K5" s="96">
        <f t="shared" si="25"/>
        <v>2566.1110287599995</v>
      </c>
      <c r="L5" s="96">
        <f t="shared" si="25"/>
        <v>2052.8887712400001</v>
      </c>
      <c r="M5" s="96">
        <f t="shared" si="25"/>
        <v>2226.0240000000008</v>
      </c>
      <c r="N5" s="96">
        <f t="shared" si="25"/>
        <v>1981.7797287600001</v>
      </c>
      <c r="O5" s="96">
        <f t="shared" si="25"/>
        <v>2028.15531504</v>
      </c>
      <c r="P5" s="96">
        <f t="shared" si="25"/>
        <v>2340.4167849599989</v>
      </c>
      <c r="Q5" s="96">
        <f t="shared" si="25"/>
        <v>2479.5432849600011</v>
      </c>
      <c r="R5" s="96">
        <f t="shared" si="25"/>
        <v>2646.49508496</v>
      </c>
      <c r="S5" s="96">
        <f t="shared" si="25"/>
        <v>2969.8281547200004</v>
      </c>
      <c r="T5" s="96">
        <f t="shared" si="25"/>
        <v>3279.2810342400007</v>
      </c>
      <c r="U5" s="96">
        <f t="shared" si="25"/>
        <v>3403.5213686399998</v>
      </c>
      <c r="V5" s="96">
        <f t="shared" si="25"/>
        <v>1069.8907770000001</v>
      </c>
      <c r="W5" s="96">
        <f t="shared" ref="W5:Y5" si="26">SUM(W8:W9,W12:W13)</f>
        <v>2096.5641444000003</v>
      </c>
      <c r="X5" s="96">
        <f t="shared" si="26"/>
        <v>3482.0907310800003</v>
      </c>
      <c r="Y5" s="96">
        <f t="shared" si="26"/>
        <v>3622.6924074000008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3988.5192568628295</v>
      </c>
      <c r="C6" s="21">
        <f t="shared" si="27"/>
        <v>3567.0193238105139</v>
      </c>
      <c r="D6" s="21">
        <f t="shared" ref="D6:V6" si="28">SUM(D7:D9)</f>
        <v>3456.4487226020169</v>
      </c>
      <c r="E6" s="21">
        <f t="shared" si="28"/>
        <v>3495.2919361631816</v>
      </c>
      <c r="F6" s="21">
        <f t="shared" si="28"/>
        <v>3668.7760684866962</v>
      </c>
      <c r="G6" s="21">
        <f t="shared" si="28"/>
        <v>3587.246775234692</v>
      </c>
      <c r="H6" s="21">
        <f t="shared" si="28"/>
        <v>3928.6717047403936</v>
      </c>
      <c r="I6" s="21">
        <f t="shared" si="28"/>
        <v>3988.287933731639</v>
      </c>
      <c r="J6" s="21">
        <f t="shared" si="28"/>
        <v>4055.5905185734055</v>
      </c>
      <c r="K6" s="21">
        <f t="shared" si="28"/>
        <v>3392.3716145140952</v>
      </c>
      <c r="L6" s="21">
        <f t="shared" si="28"/>
        <v>2729.1405495643098</v>
      </c>
      <c r="M6" s="21">
        <f t="shared" si="28"/>
        <v>2856.4451794420397</v>
      </c>
      <c r="N6" s="21">
        <f t="shared" si="28"/>
        <v>2512.4244460810032</v>
      </c>
      <c r="O6" s="21">
        <f t="shared" si="28"/>
        <v>2529.4228871336036</v>
      </c>
      <c r="P6" s="21">
        <f t="shared" si="28"/>
        <v>2857.0019816528616</v>
      </c>
      <c r="Q6" s="21">
        <f t="shared" si="28"/>
        <v>2960.5475230416832</v>
      </c>
      <c r="R6" s="21">
        <f t="shared" si="28"/>
        <v>3192.9239547818329</v>
      </c>
      <c r="S6" s="21">
        <f t="shared" si="28"/>
        <v>3534.8396372781303</v>
      </c>
      <c r="T6" s="21">
        <f t="shared" si="28"/>
        <v>3916.8175394263735</v>
      </c>
      <c r="U6" s="21">
        <f t="shared" si="28"/>
        <v>4049.4716919604134</v>
      </c>
      <c r="V6" s="21">
        <f t="shared" si="28"/>
        <v>1321.2332888103167</v>
      </c>
      <c r="W6" s="21">
        <f t="shared" ref="W6:Y6" si="29">SUM(W7:W9)</f>
        <v>2527.0096409498374</v>
      </c>
      <c r="X6" s="21">
        <f t="shared" si="29"/>
        <v>4145.2474913155775</v>
      </c>
      <c r="Y6" s="21">
        <f t="shared" si="29"/>
        <v>4446.5513498190794</v>
      </c>
      <c r="DA6" s="189" t="s">
        <v>327</v>
      </c>
    </row>
    <row r="7" spans="1:105" ht="11.45" customHeight="1" x14ac:dyDescent="0.25">
      <c r="A7" s="83" t="s">
        <v>27</v>
      </c>
      <c r="B7" s="96">
        <v>1528.5889271612609</v>
      </c>
      <c r="C7" s="96">
        <v>1291.6031845634107</v>
      </c>
      <c r="D7" s="96">
        <v>1179.9011720155856</v>
      </c>
      <c r="E7" s="96">
        <v>1134.1459774510431</v>
      </c>
      <c r="F7" s="96">
        <v>1220.9905349016578</v>
      </c>
      <c r="G7" s="96">
        <v>1224.3628357449597</v>
      </c>
      <c r="H7" s="96">
        <v>1099.9030782566085</v>
      </c>
      <c r="I7" s="96">
        <v>1090.9326712951611</v>
      </c>
      <c r="J7" s="96">
        <v>1045.1010039916218</v>
      </c>
      <c r="K7" s="96">
        <v>864.1156232181379</v>
      </c>
      <c r="L7" s="96">
        <v>705.54399946183764</v>
      </c>
      <c r="M7" s="96">
        <v>660.80617737584032</v>
      </c>
      <c r="N7" s="96">
        <v>557.5615255965962</v>
      </c>
      <c r="O7" s="96">
        <v>526.91568841625235</v>
      </c>
      <c r="P7" s="96">
        <v>538.02089064395057</v>
      </c>
      <c r="Q7" s="96">
        <v>501.5117903966327</v>
      </c>
      <c r="R7" s="96">
        <v>566.68175869919514</v>
      </c>
      <c r="S7" s="96">
        <v>585.80164699346153</v>
      </c>
      <c r="T7" s="96">
        <v>665.51932704254591</v>
      </c>
      <c r="U7" s="96">
        <v>673.42113231507483</v>
      </c>
      <c r="V7" s="96">
        <v>271.36558802318143</v>
      </c>
      <c r="W7" s="96">
        <v>454.05418057816019</v>
      </c>
      <c r="X7" s="96">
        <v>686.62597958538038</v>
      </c>
      <c r="Y7" s="96">
        <v>844.20868552930392</v>
      </c>
      <c r="DA7" s="171" t="s">
        <v>328</v>
      </c>
    </row>
    <row r="8" spans="1:105" ht="11.45" customHeight="1" x14ac:dyDescent="0.25">
      <c r="A8" s="83" t="s">
        <v>181</v>
      </c>
      <c r="B8" s="96">
        <v>2107.0199700249141</v>
      </c>
      <c r="C8" s="96">
        <v>1948.9687444834217</v>
      </c>
      <c r="D8" s="96">
        <v>1949.9530460070973</v>
      </c>
      <c r="E8" s="96">
        <v>2022.4437091488669</v>
      </c>
      <c r="F8" s="96">
        <v>2040.024626244832</v>
      </c>
      <c r="G8" s="96">
        <v>1965.9580470485646</v>
      </c>
      <c r="H8" s="96">
        <v>2363.8814022749298</v>
      </c>
      <c r="I8" s="96">
        <v>2426.7410028153577</v>
      </c>
      <c r="J8" s="96">
        <v>2507.8942148189399</v>
      </c>
      <c r="K8" s="96">
        <v>2088.2421934272493</v>
      </c>
      <c r="L8" s="96">
        <v>1662.7170530854239</v>
      </c>
      <c r="M8" s="96">
        <v>1806.4885816412332</v>
      </c>
      <c r="N8" s="96">
        <v>1602.1604819084034</v>
      </c>
      <c r="O8" s="96">
        <v>1639.7827702937486</v>
      </c>
      <c r="P8" s="96">
        <v>1915.9792970919257</v>
      </c>
      <c r="Q8" s="96">
        <v>2038.1068435832492</v>
      </c>
      <c r="R8" s="96">
        <v>2200.7025567839623</v>
      </c>
      <c r="S8" s="96">
        <v>2487.6564163932471</v>
      </c>
      <c r="T8" s="96">
        <v>2745.0765145950086</v>
      </c>
      <c r="U8" s="96">
        <v>2837.8612957420823</v>
      </c>
      <c r="V8" s="96">
        <v>820.54435098997544</v>
      </c>
      <c r="W8" s="96">
        <v>1691.244918878831</v>
      </c>
      <c r="X8" s="96">
        <v>2973.4555270029782</v>
      </c>
      <c r="Y8" s="96">
        <v>3088.4210192652727</v>
      </c>
      <c r="DA8" s="171" t="s">
        <v>329</v>
      </c>
    </row>
    <row r="9" spans="1:105" ht="11.45" customHeight="1" x14ac:dyDescent="0.25">
      <c r="A9" s="83" t="s">
        <v>182</v>
      </c>
      <c r="B9" s="96">
        <v>352.91035967665448</v>
      </c>
      <c r="C9" s="96">
        <v>326.44739476368147</v>
      </c>
      <c r="D9" s="96">
        <v>326.5945045793336</v>
      </c>
      <c r="E9" s="96">
        <v>338.70224956327132</v>
      </c>
      <c r="F9" s="96">
        <v>407.76090734020659</v>
      </c>
      <c r="G9" s="96">
        <v>396.92589244116772</v>
      </c>
      <c r="H9" s="96">
        <v>464.88722420885551</v>
      </c>
      <c r="I9" s="96">
        <v>470.61425962112042</v>
      </c>
      <c r="J9" s="96">
        <v>502.59529976284387</v>
      </c>
      <c r="K9" s="96">
        <v>440.0137978687078</v>
      </c>
      <c r="L9" s="96">
        <v>360.87949701704838</v>
      </c>
      <c r="M9" s="96">
        <v>389.15042042496651</v>
      </c>
      <c r="N9" s="96">
        <v>352.70243857600349</v>
      </c>
      <c r="O9" s="96">
        <v>362.72442842360249</v>
      </c>
      <c r="P9" s="96">
        <v>403.00179391698538</v>
      </c>
      <c r="Q9" s="96">
        <v>420.9288890618015</v>
      </c>
      <c r="R9" s="96">
        <v>425.53963929867535</v>
      </c>
      <c r="S9" s="96">
        <v>461.38157389142162</v>
      </c>
      <c r="T9" s="96">
        <v>506.22169778881909</v>
      </c>
      <c r="U9" s="96">
        <v>538.18926390325635</v>
      </c>
      <c r="V9" s="96">
        <v>229.32334979715992</v>
      </c>
      <c r="W9" s="96">
        <v>381.71054149284646</v>
      </c>
      <c r="X9" s="96">
        <v>485.16598472721932</v>
      </c>
      <c r="Y9" s="96">
        <v>513.9216450245035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102.04418809717153</v>
      </c>
      <c r="C10" s="22">
        <f t="shared" si="30"/>
        <v>111.37041122948555</v>
      </c>
      <c r="D10" s="22">
        <f t="shared" ref="D10:V10" si="31">SUM(D11:D13)</f>
        <v>107.77807739798322</v>
      </c>
      <c r="E10" s="22">
        <f t="shared" si="31"/>
        <v>91.159125076818441</v>
      </c>
      <c r="F10" s="22">
        <f t="shared" si="31"/>
        <v>60.389273993303952</v>
      </c>
      <c r="G10" s="22">
        <f t="shared" si="31"/>
        <v>59.363102285307562</v>
      </c>
      <c r="H10" s="22">
        <f t="shared" si="31"/>
        <v>69.910098979606303</v>
      </c>
      <c r="I10" s="22">
        <f t="shared" si="31"/>
        <v>60.854122548361403</v>
      </c>
      <c r="J10" s="22">
        <f t="shared" si="31"/>
        <v>66.450976466594341</v>
      </c>
      <c r="K10" s="22">
        <f t="shared" si="31"/>
        <v>48.282073285904978</v>
      </c>
      <c r="L10" s="22">
        <f t="shared" si="31"/>
        <v>37.685651395690094</v>
      </c>
      <c r="M10" s="22">
        <f t="shared" si="31"/>
        <v>37.222619797960846</v>
      </c>
      <c r="N10" s="22">
        <f t="shared" si="31"/>
        <v>31.993198678996944</v>
      </c>
      <c r="O10" s="22">
        <f t="shared" si="31"/>
        <v>30.481430946396959</v>
      </c>
      <c r="P10" s="22">
        <f t="shared" si="31"/>
        <v>24.43882006713778</v>
      </c>
      <c r="Q10" s="22">
        <f t="shared" si="31"/>
        <v>22.931105918317716</v>
      </c>
      <c r="R10" s="22">
        <f t="shared" si="31"/>
        <v>22.42044693816711</v>
      </c>
      <c r="S10" s="22">
        <f t="shared" si="31"/>
        <v>22.305398241870115</v>
      </c>
      <c r="T10" s="22">
        <f t="shared" si="31"/>
        <v>31.054848973626711</v>
      </c>
      <c r="U10" s="22">
        <f t="shared" si="31"/>
        <v>30.145344599586664</v>
      </c>
      <c r="V10" s="22">
        <f t="shared" si="31"/>
        <v>21.152759789683195</v>
      </c>
      <c r="W10" s="22">
        <f t="shared" ref="W10:Y10" si="32">SUM(W11:W13)</f>
        <v>25.149280370162458</v>
      </c>
      <c r="X10" s="22">
        <f t="shared" si="32"/>
        <v>25.473219924422025</v>
      </c>
      <c r="Y10" s="22">
        <f t="shared" si="32"/>
        <v>22.916032820921039</v>
      </c>
      <c r="DA10" s="193" t="s">
        <v>331</v>
      </c>
    </row>
    <row r="11" spans="1:105" ht="11.45" customHeight="1" x14ac:dyDescent="0.25">
      <c r="A11" s="92" t="s">
        <v>27</v>
      </c>
      <c r="B11" s="97">
        <v>47.538047798739655</v>
      </c>
      <c r="C11" s="97">
        <v>49.914320476589076</v>
      </c>
      <c r="D11" s="97">
        <v>47.453397984414316</v>
      </c>
      <c r="E11" s="97">
        <v>39.333893788957212</v>
      </c>
      <c r="F11" s="97">
        <v>22.275447578342337</v>
      </c>
      <c r="G11" s="97">
        <v>21.959011775040199</v>
      </c>
      <c r="H11" s="97">
        <v>19.601405463391593</v>
      </c>
      <c r="I11" s="97">
        <v>15.716264984838745</v>
      </c>
      <c r="J11" s="97">
        <v>17.128141048378417</v>
      </c>
      <c r="K11" s="97">
        <v>10.427035821862153</v>
      </c>
      <c r="L11" s="97">
        <v>8.393430258162331</v>
      </c>
      <c r="M11" s="97">
        <v>6.8376218641598259</v>
      </c>
      <c r="N11" s="97">
        <v>5.0763904034036402</v>
      </c>
      <c r="O11" s="97">
        <v>4.8333146237478841</v>
      </c>
      <c r="P11" s="97">
        <v>3.003126116049569</v>
      </c>
      <c r="Q11" s="97">
        <v>2.4235536033674254</v>
      </c>
      <c r="R11" s="97">
        <v>2.1675580608050109</v>
      </c>
      <c r="S11" s="97">
        <v>1.5152338065386293</v>
      </c>
      <c r="T11" s="97">
        <v>3.0720271174540579</v>
      </c>
      <c r="U11" s="97">
        <v>2.6745356049252007</v>
      </c>
      <c r="V11" s="97">
        <v>1.1296835768185904</v>
      </c>
      <c r="W11" s="97">
        <v>1.5405963418398838</v>
      </c>
      <c r="X11" s="97">
        <v>2.004000574619575</v>
      </c>
      <c r="Y11" s="97">
        <v>2.5662897106962914</v>
      </c>
      <c r="DA11" s="175" t="s">
        <v>332</v>
      </c>
    </row>
    <row r="12" spans="1:105" ht="11.45" customHeight="1" x14ac:dyDescent="0.25">
      <c r="A12" s="92" t="s">
        <v>181</v>
      </c>
      <c r="B12" s="97">
        <v>49.839065958461809</v>
      </c>
      <c r="C12" s="97">
        <v>56.967058679919091</v>
      </c>
      <c r="D12" s="97">
        <v>55.770658782141631</v>
      </c>
      <c r="E12" s="97">
        <v>46.800153854495299</v>
      </c>
      <c r="F12" s="97">
        <v>34.440654944732529</v>
      </c>
      <c r="G12" s="97">
        <v>33.809809702876976</v>
      </c>
      <c r="H12" s="97">
        <v>46.417070397417277</v>
      </c>
      <c r="I12" s="97">
        <v>41.912463742128509</v>
      </c>
      <c r="J12" s="97">
        <v>45.859754159075067</v>
      </c>
      <c r="K12" s="97">
        <v>35.063097144259913</v>
      </c>
      <c r="L12" s="97">
        <v>27.882515204645497</v>
      </c>
      <c r="M12" s="97">
        <v>28.709524435923601</v>
      </c>
      <c r="N12" s="97">
        <v>25.304508488065132</v>
      </c>
      <c r="O12" s="97">
        <v>24.475541534972312</v>
      </c>
      <c r="P12" s="97">
        <v>20.461437221617977</v>
      </c>
      <c r="Q12" s="97">
        <v>19.080669199913135</v>
      </c>
      <c r="R12" s="97">
        <v>18.982727220220891</v>
      </c>
      <c r="S12" s="97">
        <v>19.263735088978962</v>
      </c>
      <c r="T12" s="97">
        <v>25.410855275161261</v>
      </c>
      <c r="U12" s="97">
        <v>24.442780124830026</v>
      </c>
      <c r="V12" s="97">
        <v>16.367555738627885</v>
      </c>
      <c r="W12" s="97">
        <v>19.267396751592361</v>
      </c>
      <c r="X12" s="97">
        <v>19.188548168966328</v>
      </c>
      <c r="Y12" s="97">
        <v>16.828696467423189</v>
      </c>
      <c r="DA12" s="175" t="s">
        <v>333</v>
      </c>
    </row>
    <row r="13" spans="1:105" ht="11.45" customHeight="1" x14ac:dyDescent="0.25">
      <c r="A13" s="85" t="s">
        <v>182</v>
      </c>
      <c r="B13" s="98">
        <v>4.6670743399700569</v>
      </c>
      <c r="C13" s="98">
        <v>4.4890320729773938</v>
      </c>
      <c r="D13" s="98">
        <v>4.5540206314272842</v>
      </c>
      <c r="E13" s="98">
        <v>5.0250774333659356</v>
      </c>
      <c r="F13" s="98">
        <v>3.6731714702290881</v>
      </c>
      <c r="G13" s="98">
        <v>3.5942808073903914</v>
      </c>
      <c r="H13" s="98">
        <v>3.8916231187974328</v>
      </c>
      <c r="I13" s="98">
        <v>3.2253938213941518</v>
      </c>
      <c r="J13" s="98">
        <v>3.4630812591408642</v>
      </c>
      <c r="K13" s="98">
        <v>2.7919403197829098</v>
      </c>
      <c r="L13" s="98">
        <v>1.409705932882265</v>
      </c>
      <c r="M13" s="98">
        <v>1.6754734978774208</v>
      </c>
      <c r="N13" s="98">
        <v>1.6122997875281717</v>
      </c>
      <c r="O13" s="98">
        <v>1.1725747876767623</v>
      </c>
      <c r="P13" s="98">
        <v>0.97425672947023334</v>
      </c>
      <c r="Q13" s="98">
        <v>1.4268831150371533</v>
      </c>
      <c r="R13" s="98">
        <v>1.2701616571412084</v>
      </c>
      <c r="S13" s="98">
        <v>1.5264293463525258</v>
      </c>
      <c r="T13" s="98">
        <v>2.5719665810113908</v>
      </c>
      <c r="U13" s="98">
        <v>3.0280288698314388</v>
      </c>
      <c r="V13" s="98">
        <v>3.6555204742367189</v>
      </c>
      <c r="W13" s="98">
        <v>4.3412872767302151</v>
      </c>
      <c r="X13" s="98">
        <v>4.280671180836122</v>
      </c>
      <c r="Y13" s="98">
        <v>3.5210466428015592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3.0103092000000014</v>
      </c>
      <c r="C18" s="97">
        <f>IF(C4=0,0,C4/TrAvia_ene!C4)</f>
        <v>3.0103092</v>
      </c>
      <c r="D18" s="97">
        <f>IF(D4=0,0,D4/TrAvia_ene!D4)</f>
        <v>3.0103092</v>
      </c>
      <c r="E18" s="97">
        <f>IF(E4=0,0,E4/TrAvia_ene!E4)</f>
        <v>3.0103092000000005</v>
      </c>
      <c r="F18" s="97">
        <f>IF(F4=0,0,F4/TrAvia_ene!F4)</f>
        <v>3.0103092000000009</v>
      </c>
      <c r="G18" s="97">
        <f>IF(G4=0,0,G4/TrAvia_ene!G4)</f>
        <v>3.0103092000000005</v>
      </c>
      <c r="H18" s="97">
        <f>IF(H4=0,0,H4/TrAvia_ene!H4)</f>
        <v>3.0103092</v>
      </c>
      <c r="I18" s="97">
        <f>IF(I4=0,0,I4/TrAvia_ene!I4)</f>
        <v>3.0103092</v>
      </c>
      <c r="J18" s="97">
        <f>IF(J4=0,0,J4/TrAvia_ene!J4)</f>
        <v>3.0103092000000009</v>
      </c>
      <c r="K18" s="97">
        <f>IF(K4=0,0,K4/TrAvia_ene!K4)</f>
        <v>3.0089037424244989</v>
      </c>
      <c r="L18" s="97">
        <f>IF(L4=0,0,L4/TrAvia_ene!L4)</f>
        <v>3.0092761028671706</v>
      </c>
      <c r="M18" s="97">
        <f>IF(M4=0,0,M4/TrAvia_ene!M4)</f>
        <v>3.0095726299074426</v>
      </c>
      <c r="N18" s="97">
        <f>IF(N4=0,0,N4/TrAvia_ene!N4)</f>
        <v>3.0094189634614383</v>
      </c>
      <c r="O18" s="97">
        <f>IF(O4=0,0,O4/TrAvia_ene!O4)</f>
        <v>3.0093629709757681</v>
      </c>
      <c r="P18" s="97">
        <f>IF(P4=0,0,P4/TrAvia_ene!P4)</f>
        <v>3.0093791875863838</v>
      </c>
      <c r="Q18" s="97">
        <f>IF(Q4=0,0,Q4/TrAvia_ene!Q4)</f>
        <v>3.0098098987788764</v>
      </c>
      <c r="R18" s="97">
        <f>IF(R4=0,0,R4/TrAvia_ene!R4)</f>
        <v>3.0094246658348855</v>
      </c>
      <c r="S18" s="97">
        <f>IF(S4=0,0,S4/TrAvia_ene!S4)</f>
        <v>3.009365507728178</v>
      </c>
      <c r="T18" s="97">
        <f>IF(T4=0,0,T4/TrAvia_ene!T4)</f>
        <v>3.0095769056433941</v>
      </c>
      <c r="U18" s="97">
        <f>IF(U4=0,0,U4/TrAvia_ene!U4)</f>
        <v>3.0095091153839917</v>
      </c>
      <c r="V18" s="97">
        <f>IF(V4=0,0,V4/TrAvia_ene!V4)</f>
        <v>3.0085278031060052</v>
      </c>
      <c r="W18" s="97">
        <f>IF(W4=0,0,W4/TrAvia_ene!W4)</f>
        <v>3.0092313285371013</v>
      </c>
      <c r="X18" s="97">
        <f>IF(X4=0,0,X4/TrAvia_ene!X4)</f>
        <v>3.0097373681527513</v>
      </c>
      <c r="Y18" s="97">
        <f>IF(Y4=0,0,Y4/TrAvia_ene!Y4)</f>
        <v>3.0096471858621059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3.0103092</v>
      </c>
      <c r="D19" s="98">
        <f>IF(D5=0,0,D5/TrAvia_ene!D5)</f>
        <v>3.0103092000000005</v>
      </c>
      <c r="E19" s="98">
        <f>IF(E5=0,0,E5/TrAvia_ene!E5)</f>
        <v>3.0103091999999996</v>
      </c>
      <c r="F19" s="98">
        <f>IF(F5=0,0,F5/TrAvia_ene!F5)</f>
        <v>3.0103091999999996</v>
      </c>
      <c r="G19" s="98">
        <f>IF(G5=0,0,G5/TrAvia_ene!G5)</f>
        <v>3.0103091999999996</v>
      </c>
      <c r="H19" s="98">
        <f>IF(H5=0,0,H5/TrAvia_ene!H5)</f>
        <v>3.0103092000000014</v>
      </c>
      <c r="I19" s="98">
        <f>IF(I5=0,0,I5/TrAvia_ene!I5)</f>
        <v>3.0103092000000009</v>
      </c>
      <c r="J19" s="98">
        <f>IF(J5=0,0,J5/TrAvia_ene!J5)</f>
        <v>3.0103091999999991</v>
      </c>
      <c r="K19" s="98">
        <f>IF(K5=0,0,K5/TrAvia_ene!K5)</f>
        <v>3.0103091999999996</v>
      </c>
      <c r="L19" s="98">
        <f>IF(L5=0,0,L5/TrAvia_ene!L5)</f>
        <v>3.0103092</v>
      </c>
      <c r="M19" s="98">
        <f>IF(M5=0,0,M5/TrAvia_ene!M5)</f>
        <v>3.0103092000000018</v>
      </c>
      <c r="N19" s="98">
        <f>IF(N5=0,0,N5/TrAvia_ene!N5)</f>
        <v>3.0103092000000009</v>
      </c>
      <c r="O19" s="98">
        <f>IF(O5=0,0,O5/TrAvia_ene!O5)</f>
        <v>3.0103092000000005</v>
      </c>
      <c r="P19" s="98">
        <f>IF(P5=0,0,P5/TrAvia_ene!P5)</f>
        <v>3.0103092</v>
      </c>
      <c r="Q19" s="98">
        <f>IF(Q5=0,0,Q5/TrAvia_ene!Q5)</f>
        <v>3.0103092000000027</v>
      </c>
      <c r="R19" s="98">
        <f>IF(R5=0,0,R5/TrAvia_ene!R5)</f>
        <v>3.0103092</v>
      </c>
      <c r="S19" s="98">
        <f>IF(S5=0,0,S5/TrAvia_ene!S5)</f>
        <v>3.0102944848291333</v>
      </c>
      <c r="T19" s="98">
        <f>IF(T5=0,0,T5/TrAvia_ene!T5)</f>
        <v>3.0102888209070353</v>
      </c>
      <c r="U19" s="98">
        <f>IF(U5=0,0,U5/TrAvia_ene!U5)</f>
        <v>3.0103009952632136</v>
      </c>
      <c r="V19" s="98">
        <f>IF(V5=0,0,V5/TrAvia_ene!V5)</f>
        <v>3.0102340980774449</v>
      </c>
      <c r="W19" s="98">
        <f>IF(W5=0,0,W5/TrAvia_ene!W5)</f>
        <v>3.0102664691067038</v>
      </c>
      <c r="X19" s="98">
        <f>IF(X5=0,0,X5/TrAvia_ene!X5)</f>
        <v>3.0102667492904791</v>
      </c>
      <c r="Y19" s="98">
        <f>IF(Y5=0,0,Y5/TrAvia_ene!Y5)</f>
        <v>3.0103037094976601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16303.65394983206</v>
      </c>
      <c r="C21" s="54">
        <f>IF(C3=0,0,C3/TrAvia_act!C13*1000)</f>
        <v>15627.128274728922</v>
      </c>
      <c r="D21" s="54">
        <f>IF(D3=0,0,D3/TrAvia_act!D13*1000)</f>
        <v>15362.51516932686</v>
      </c>
      <c r="E21" s="54">
        <f>IF(E3=0,0,E3/TrAvia_act!E13*1000)</f>
        <v>15213.144845866733</v>
      </c>
      <c r="F21" s="54">
        <f>IF(F3=0,0,F3/TrAvia_act!F13*1000)</f>
        <v>14696.017043852471</v>
      </c>
      <c r="G21" s="54">
        <f>IF(G3=0,0,G3/TrAvia_act!G13*1000)</f>
        <v>14841.093789466129</v>
      </c>
      <c r="H21" s="54">
        <f>IF(H3=0,0,H3/TrAvia_act!H13*1000)</f>
        <v>15190.735634491399</v>
      </c>
      <c r="I21" s="54">
        <f>IF(I3=0,0,I3/TrAvia_act!I13*1000)</f>
        <v>14555.985776218358</v>
      </c>
      <c r="J21" s="54">
        <f>IF(J3=0,0,J3/TrAvia_act!J13*1000)</f>
        <v>15248.288336697377</v>
      </c>
      <c r="K21" s="54">
        <f>IF(K3=0,0,K3/TrAvia_act!K13*1000)</f>
        <v>13141.365639893154</v>
      </c>
      <c r="L21" s="54">
        <f>IF(L3=0,0,L3/TrAvia_act!L13*1000)</f>
        <v>11054.614165183542</v>
      </c>
      <c r="M21" s="54">
        <f>IF(M3=0,0,M3/TrAvia_act!M13*1000)</f>
        <v>11547.56094708851</v>
      </c>
      <c r="N21" s="54">
        <f>IF(N3=0,0,N3/TrAvia_act!N13*1000)</f>
        <v>11104.81910156841</v>
      </c>
      <c r="O21" s="54">
        <f>IF(O3=0,0,O3/TrAvia_act!O13*1000)</f>
        <v>11004.489491707522</v>
      </c>
      <c r="P21" s="54">
        <f>IF(P3=0,0,P3/TrAvia_act!P13*1000)</f>
        <v>10875.522513028758</v>
      </c>
      <c r="Q21" s="54">
        <f>IF(Q3=0,0,Q3/TrAvia_act!Q13*1000)</f>
        <v>10793.05140916331</v>
      </c>
      <c r="R21" s="54">
        <f>IF(R3=0,0,R3/TrAvia_act!R13*1000)</f>
        <v>10844.261231991481</v>
      </c>
      <c r="S21" s="54">
        <f>IF(S3=0,0,S3/TrAvia_act!S13*1000)</f>
        <v>11103.672160589356</v>
      </c>
      <c r="T21" s="54">
        <f>IF(T3=0,0,T3/TrAvia_act!T13*1000)</f>
        <v>11271.969324353295</v>
      </c>
      <c r="U21" s="54">
        <f>IF(U3=0,0,U3/TrAvia_act!U13*1000)</f>
        <v>11364.993352039199</v>
      </c>
      <c r="V21" s="54">
        <f>IF(V3=0,0,V3/TrAvia_act!V13*1000)</f>
        <v>9421.4871808253374</v>
      </c>
      <c r="W21" s="54">
        <f>IF(W3=0,0,W3/TrAvia_act!W13*1000)</f>
        <v>9921.7903059407399</v>
      </c>
      <c r="X21" s="54">
        <f>IF(X3=0,0,X3/TrAvia_act!X13*1000)</f>
        <v>10915.045638495221</v>
      </c>
      <c r="Y21" s="54">
        <f>IF(Y3=0,0,Y3/TrAvia_act!Y13*1000)</f>
        <v>11651.241343124084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16285.713068571358</v>
      </c>
      <c r="C22" s="11">
        <f>IF(C6=0,0,C6/TrAvia_act!C14*1000)</f>
        <v>15607.845933181788</v>
      </c>
      <c r="D22" s="11">
        <f>IF(D6=0,0,D6/TrAvia_act!D14*1000)</f>
        <v>15339.447315103338</v>
      </c>
      <c r="E22" s="11">
        <f>IF(E6=0,0,E6/TrAvia_act!E14*1000)</f>
        <v>15192.205194407903</v>
      </c>
      <c r="F22" s="11">
        <f>IF(F6=0,0,F6/TrAvia_act!F14*1000)</f>
        <v>14699.038939288852</v>
      </c>
      <c r="G22" s="11">
        <f>IF(G6=0,0,G6/TrAvia_act!G14*1000)</f>
        <v>14844.622860060103</v>
      </c>
      <c r="H22" s="11">
        <f>IF(H6=0,0,H6/TrAvia_act!H14*1000)</f>
        <v>15198.027970420071</v>
      </c>
      <c r="I22" s="11">
        <f>IF(I6=0,0,I6/TrAvia_act!I14*1000)</f>
        <v>14566.818194588668</v>
      </c>
      <c r="J22" s="11">
        <f>IF(J6=0,0,J6/TrAvia_act!J14*1000)</f>
        <v>15256.878505373408</v>
      </c>
      <c r="K22" s="11">
        <f>IF(K6=0,0,K6/TrAvia_act!K14*1000)</f>
        <v>13153.229466109153</v>
      </c>
      <c r="L22" s="11">
        <f>IF(L6=0,0,L6/TrAvia_act!L14*1000)</f>
        <v>11062.055174066087</v>
      </c>
      <c r="M22" s="11">
        <f>IF(M6=0,0,M6/TrAvia_act!M14*1000)</f>
        <v>11554.376057438205</v>
      </c>
      <c r="N22" s="11">
        <f>IF(N6=0,0,N6/TrAvia_act!N14*1000)</f>
        <v>11108.923742445882</v>
      </c>
      <c r="O22" s="11">
        <f>IF(O6=0,0,O6/TrAvia_act!O14*1000)</f>
        <v>11005.653002614441</v>
      </c>
      <c r="P22" s="11">
        <f>IF(P6=0,0,P6/TrAvia_act!P14*1000)</f>
        <v>10878.340776153324</v>
      </c>
      <c r="Q22" s="11">
        <f>IF(Q6=0,0,Q6/TrAvia_act!Q14*1000)</f>
        <v>10797.145587110974</v>
      </c>
      <c r="R22" s="11">
        <f>IF(R6=0,0,R6/TrAvia_act!R14*1000)</f>
        <v>10848.276825243915</v>
      </c>
      <c r="S22" s="11">
        <f>IF(S6=0,0,S6/TrAvia_act!S14*1000)</f>
        <v>11109.015325779343</v>
      </c>
      <c r="T22" s="11">
        <f>IF(T6=0,0,T6/TrAvia_act!T14*1000)</f>
        <v>11279.879830709468</v>
      </c>
      <c r="U22" s="11">
        <f>IF(U6=0,0,U6/TrAvia_act!U14*1000)</f>
        <v>11374.418475521799</v>
      </c>
      <c r="V22" s="11">
        <f>IF(V6=0,0,V6/TrAvia_act!V14*1000)</f>
        <v>9432.4927604194072</v>
      </c>
      <c r="W22" s="11">
        <f>IF(W6=0,0,W6/TrAvia_act!W14*1000)</f>
        <v>9937.3171144309854</v>
      </c>
      <c r="X22" s="11">
        <f>IF(X6=0,0,X6/TrAvia_act!X14*1000)</f>
        <v>10928.925707551323</v>
      </c>
      <c r="Y22" s="11">
        <f>IF(Y6=0,0,Y6/TrAvia_act!Y14*1000)</f>
        <v>11663.683251763843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35865.768295008063</v>
      </c>
      <c r="C23" s="84">
        <f>IF(C7=0,0,C7/TrAvia_act!C15*1000)</f>
        <v>32012.674936836233</v>
      </c>
      <c r="D23" s="84">
        <f>IF(D7=0,0,D7/TrAvia_act!D15*1000)</f>
        <v>31932.462455726822</v>
      </c>
      <c r="E23" s="84">
        <f>IF(E7=0,0,E7/TrAvia_act!E15*1000)</f>
        <v>32071.270393143484</v>
      </c>
      <c r="F23" s="84">
        <f>IF(F7=0,0,F7/TrAvia_act!F15*1000)</f>
        <v>30336.392490044</v>
      </c>
      <c r="G23" s="84">
        <f>IF(G7=0,0,G7/TrAvia_act!G15*1000)</f>
        <v>31743.843756830054</v>
      </c>
      <c r="H23" s="84">
        <f>IF(H7=0,0,H7/TrAvia_act!H15*1000)</f>
        <v>27527.86022041359</v>
      </c>
      <c r="I23" s="84">
        <f>IF(I7=0,0,I7/TrAvia_act!I15*1000)</f>
        <v>26813.425064551899</v>
      </c>
      <c r="J23" s="84">
        <f>IF(J7=0,0,J7/TrAvia_act!J15*1000)</f>
        <v>27169.348138436708</v>
      </c>
      <c r="K23" s="84">
        <f>IF(K7=0,0,K7/TrAvia_act!K15*1000)</f>
        <v>20224.414154791219</v>
      </c>
      <c r="L23" s="84">
        <f>IF(L7=0,0,L7/TrAvia_act!L15*1000)</f>
        <v>18843.988738275828</v>
      </c>
      <c r="M23" s="84">
        <f>IF(M7=0,0,M7/TrAvia_act!M15*1000)</f>
        <v>21331.759916534964</v>
      </c>
      <c r="N23" s="84">
        <f>IF(N7=0,0,N7/TrAvia_act!N15*1000)</f>
        <v>19579.631554288128</v>
      </c>
      <c r="O23" s="84">
        <f>IF(O7=0,0,O7/TrAvia_act!O15*1000)</f>
        <v>20736.165054309953</v>
      </c>
      <c r="P23" s="84">
        <f>IF(P7=0,0,P7/TrAvia_act!P15*1000)</f>
        <v>19913.229185353164</v>
      </c>
      <c r="Q23" s="84">
        <f>IF(Q7=0,0,Q7/TrAvia_act!Q15*1000)</f>
        <v>16784.784153165401</v>
      </c>
      <c r="R23" s="84">
        <f>IF(R7=0,0,R7/TrAvia_act!R15*1000)</f>
        <v>17762.686601556899</v>
      </c>
      <c r="S23" s="84">
        <f>IF(S7=0,0,S7/TrAvia_act!S15*1000)</f>
        <v>18738.963156717073</v>
      </c>
      <c r="T23" s="84">
        <f>IF(T7=0,0,T7/TrAvia_act!T15*1000)</f>
        <v>20281.974971692136</v>
      </c>
      <c r="U23" s="84">
        <f>IF(U7=0,0,U7/TrAvia_act!U15*1000)</f>
        <v>20397.57341158784</v>
      </c>
      <c r="V23" s="84">
        <f>IF(V7=0,0,V7/TrAvia_act!V15*1000)</f>
        <v>13526.450821698565</v>
      </c>
      <c r="W23" s="84">
        <f>IF(W7=0,0,W7/TrAvia_act!W15*1000)</f>
        <v>16509.58845726433</v>
      </c>
      <c r="X23" s="84">
        <f>IF(X7=0,0,X7/TrAvia_act!X15*1000)</f>
        <v>20708.326741247478</v>
      </c>
      <c r="Y23" s="84">
        <f>IF(Y7=0,0,Y7/TrAvia_act!Y15*1000)</f>
        <v>25684.24337973645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11687.187583338542</v>
      </c>
      <c r="C24" s="84">
        <f>IF(C8=0,0,C8/TrAvia_act!C16*1000)</f>
        <v>11620.265022269032</v>
      </c>
      <c r="D24" s="84">
        <f>IF(D8=0,0,D8/TrAvia_act!D16*1000)</f>
        <v>11614.506887644324</v>
      </c>
      <c r="E24" s="84">
        <f>IF(E8=0,0,E8/TrAvia_act!E16*1000)</f>
        <v>11654.697075332955</v>
      </c>
      <c r="F24" s="84">
        <f>IF(F8=0,0,F8/TrAvia_act!F16*1000)</f>
        <v>11161.377220309356</v>
      </c>
      <c r="G24" s="84">
        <f>IF(G8=0,0,G8/TrAvia_act!G16*1000)</f>
        <v>11113.110671946268</v>
      </c>
      <c r="H24" s="84">
        <f>IF(H8=0,0,H8/TrAvia_act!H16*1000)</f>
        <v>12597.052426284203</v>
      </c>
      <c r="I24" s="84">
        <f>IF(I8=0,0,I8/TrAvia_act!I16*1000)</f>
        <v>12328.726994521718</v>
      </c>
      <c r="J24" s="84">
        <f>IF(J8=0,0,J8/TrAvia_act!J16*1000)</f>
        <v>13359.12996184194</v>
      </c>
      <c r="K24" s="84">
        <f>IF(K8=0,0,K8/TrAvia_act!K16*1000)</f>
        <v>11650.096432612652</v>
      </c>
      <c r="L24" s="84">
        <f>IF(L8=0,0,L8/TrAvia_act!L16*1000)</f>
        <v>9661.235576482095</v>
      </c>
      <c r="M24" s="84">
        <f>IF(M8=0,0,M8/TrAvia_act!M16*1000)</f>
        <v>10217.612706152648</v>
      </c>
      <c r="N24" s="84">
        <f>IF(N8=0,0,N8/TrAvia_act!N16*1000)</f>
        <v>9955.225591110393</v>
      </c>
      <c r="O24" s="84">
        <f>IF(O8=0,0,O8/TrAvia_act!O16*1000)</f>
        <v>10187.308441420468</v>
      </c>
      <c r="P24" s="84">
        <f>IF(P8=0,0,P8/TrAvia_act!P16*1000)</f>
        <v>10091.32857543679</v>
      </c>
      <c r="Q24" s="84">
        <f>IF(Q8=0,0,Q8/TrAvia_act!Q16*1000)</f>
        <v>10033.991197324187</v>
      </c>
      <c r="R24" s="84">
        <f>IF(R8=0,0,R8/TrAvia_act!R16*1000)</f>
        <v>10164.414035971133</v>
      </c>
      <c r="S24" s="84">
        <f>IF(S8=0,0,S8/TrAvia_act!S16*1000)</f>
        <v>10635.389869921024</v>
      </c>
      <c r="T24" s="84">
        <f>IF(T8=0,0,T8/TrAvia_act!T16*1000)</f>
        <v>10651.661224124848</v>
      </c>
      <c r="U24" s="84">
        <f>IF(U8=0,0,U8/TrAvia_act!U16*1000)</f>
        <v>10914.613570150503</v>
      </c>
      <c r="V24" s="84">
        <f>IF(V8=0,0,V8/TrAvia_act!V16*1000)</f>
        <v>7775.2063060753753</v>
      </c>
      <c r="W24" s="84">
        <f>IF(W8=0,0,W8/TrAvia_act!W16*1000)</f>
        <v>8999.2205073727982</v>
      </c>
      <c r="X24" s="84">
        <f>IF(X8=0,0,X8/TrAvia_act!X16*1000)</f>
        <v>9971.5531287517188</v>
      </c>
      <c r="Y24" s="84">
        <f>IF(Y8=0,0,Y8/TrAvia_act!Y16*1000)</f>
        <v>10376.329537193529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16037.899115966553</v>
      </c>
      <c r="C25" s="84">
        <f>IF(C9=0,0,C9/TrAvia_act!C17*1000)</f>
        <v>15946.05610067899</v>
      </c>
      <c r="D25" s="84">
        <f>IF(D9=0,0,D9/TrAvia_act!D17*1000)</f>
        <v>15938.136561287658</v>
      </c>
      <c r="E25" s="84">
        <f>IF(E9=0,0,E9/TrAvia_act!E17*1000)</f>
        <v>15993.309251799421</v>
      </c>
      <c r="F25" s="84">
        <f>IF(F9=0,0,F9/TrAvia_act!F17*1000)</f>
        <v>15347.130497913973</v>
      </c>
      <c r="G25" s="84">
        <f>IF(G9=0,0,G9/TrAvia_act!G17*1000)</f>
        <v>15162.305753132274</v>
      </c>
      <c r="H25" s="84">
        <f>IF(H9=0,0,H9/TrAvia_act!H17*1000)</f>
        <v>15050.129321824003</v>
      </c>
      <c r="I25" s="84">
        <f>IF(I9=0,0,I9/TrAvia_act!I17*1000)</f>
        <v>12975.196025201549</v>
      </c>
      <c r="J25" s="84">
        <f>IF(J9=0,0,J9/TrAvia_act!J17*1000)</f>
        <v>12683.656497859109</v>
      </c>
      <c r="K25" s="84">
        <f>IF(K9=0,0,K9/TrAvia_act!K17*1000)</f>
        <v>12243.5032400821</v>
      </c>
      <c r="L25" s="84">
        <f>IF(L9=0,0,L9/TrAvia_act!L17*1000)</f>
        <v>9709.242721125378</v>
      </c>
      <c r="M25" s="84">
        <f>IF(M9=0,0,M9/TrAvia_act!M17*1000)</f>
        <v>9867.2481543116955</v>
      </c>
      <c r="N25" s="84">
        <f>IF(N9=0,0,N9/TrAvia_act!N17*1000)</f>
        <v>9597.4807751443495</v>
      </c>
      <c r="O25" s="84">
        <f>IF(O9=0,0,O9/TrAvia_act!O17*1000)</f>
        <v>8347.0016180560851</v>
      </c>
      <c r="P25" s="84">
        <f>IF(P9=0,0,P9/TrAvia_act!P17*1000)</f>
        <v>8808.7916191264376</v>
      </c>
      <c r="Q25" s="84">
        <f>IF(Q9=0,0,Q9/TrAvia_act!Q17*1000)</f>
        <v>10217.208605988229</v>
      </c>
      <c r="R25" s="84">
        <f>IF(R9=0,0,R9/TrAvia_act!R17*1000)</f>
        <v>9268.5929097304379</v>
      </c>
      <c r="S25" s="84">
        <f>IF(S9=0,0,S9/TrAvia_act!S17*1000)</f>
        <v>8700.2585888431822</v>
      </c>
      <c r="T25" s="84">
        <f>IF(T9=0,0,T9/TrAvia_act!T17*1000)</f>
        <v>8926.105523713768</v>
      </c>
      <c r="U25" s="84">
        <f>IF(U9=0,0,U9/TrAvia_act!U17*1000)</f>
        <v>8543.3260016054501</v>
      </c>
      <c r="V25" s="84">
        <f>IF(V9=0,0,V9/TrAvia_act!V17*1000)</f>
        <v>15840.256673668839</v>
      </c>
      <c r="W25" s="84">
        <f>IF(W9=0,0,W9/TrAvia_act!W17*1000)</f>
        <v>9822.6788707199867</v>
      </c>
      <c r="X25" s="84">
        <f>IF(X9=0,0,X9/TrAvia_act!X17*1000)</f>
        <v>10120.153445439952</v>
      </c>
      <c r="Y25" s="84">
        <f>IF(Y9=0,0,Y9/TrAvia_act!Y17*1000)</f>
        <v>10132.378595213164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17037.255160392961</v>
      </c>
      <c r="C26" s="13">
        <f>IF(C10=0,0,C10/TrAvia_act!C18*1000)</f>
        <v>16270.949573319893</v>
      </c>
      <c r="D26" s="13">
        <f>IF(D10=0,0,D10/TrAvia_act!D18*1000)</f>
        <v>16140.957541545873</v>
      </c>
      <c r="E26" s="13">
        <f>IF(E10=0,0,E10/TrAvia_act!E18*1000)</f>
        <v>16061.995809460641</v>
      </c>
      <c r="F26" s="13">
        <f>IF(F10=0,0,F10/TrAvia_act!F18*1000)</f>
        <v>14514.732439543461</v>
      </c>
      <c r="G26" s="13">
        <f>IF(G10=0,0,G10/TrAvia_act!G18*1000)</f>
        <v>14630.906200520461</v>
      </c>
      <c r="H26" s="13">
        <f>IF(H10=0,0,H10/TrAvia_act!H18*1000)</f>
        <v>14791.886356050551</v>
      </c>
      <c r="I26" s="13">
        <f>IF(I10=0,0,I10/TrAvia_act!I18*1000)</f>
        <v>13879.541027135756</v>
      </c>
      <c r="J26" s="13">
        <f>IF(J10=0,0,J10/TrAvia_act!J18*1000)</f>
        <v>14741.721292985971</v>
      </c>
      <c r="K26" s="13">
        <f>IF(K10=0,0,K10/TrAvia_act!K18*1000)</f>
        <v>12358.180525571554</v>
      </c>
      <c r="L26" s="13">
        <f>IF(L10=0,0,L10/TrAvia_act!L18*1000)</f>
        <v>10541.123243911135</v>
      </c>
      <c r="M26" s="13">
        <f>IF(M10=0,0,M10/TrAvia_act!M18*1000)</f>
        <v>11047.514956530125</v>
      </c>
      <c r="N26" s="13">
        <f>IF(N10=0,0,N10/TrAvia_act!N18*1000)</f>
        <v>10791.686806808495</v>
      </c>
      <c r="O26" s="13">
        <f>IF(O10=0,0,O10/TrAvia_act!O18*1000)</f>
        <v>10908.788321021388</v>
      </c>
      <c r="P26" s="13">
        <f>IF(P10=0,0,P10/TrAvia_act!P18*1000)</f>
        <v>10555.823492226447</v>
      </c>
      <c r="Q26" s="13">
        <f>IF(Q10=0,0,Q10/TrAvia_act!Q18*1000)</f>
        <v>10289.328363098928</v>
      </c>
      <c r="R26" s="13">
        <f>IF(R10=0,0,R10/TrAvia_act!R18*1000)</f>
        <v>10301.232919715214</v>
      </c>
      <c r="S26" s="13">
        <f>IF(S10=0,0,S10/TrAvia_act!S18*1000)</f>
        <v>10317.265174745178</v>
      </c>
      <c r="T26" s="13">
        <f>IF(T10=0,0,T10/TrAvia_act!T18*1000)</f>
        <v>10355.97123901978</v>
      </c>
      <c r="U26" s="13">
        <f>IF(U10=0,0,U10/TrAvia_act!U18*1000)</f>
        <v>10226.659249783153</v>
      </c>
      <c r="V26" s="13">
        <f>IF(V10=0,0,V10/TrAvia_act!V18*1000)</f>
        <v>8781.5050286125006</v>
      </c>
      <c r="W26" s="13">
        <f>IF(W10=0,0,W10/TrAvia_act!W18*1000)</f>
        <v>8575.4594981249647</v>
      </c>
      <c r="X26" s="13">
        <f>IF(X10=0,0,X10/TrAvia_act!X18*1000)</f>
        <v>9045.5810524490153</v>
      </c>
      <c r="Y26" s="13">
        <f>IF(Y10=0,0,Y10/TrAvia_act!Y18*1000)</f>
        <v>9653.1923718061953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35824.854056654476</v>
      </c>
      <c r="C27" s="102">
        <f>IF(C11=0,0,C11/TrAvia_act!C19*1000)</f>
        <v>31976.156153746797</v>
      </c>
      <c r="D27" s="102">
        <f>IF(D11=0,0,D11/TrAvia_act!D19*1000)</f>
        <v>31896.035175837431</v>
      </c>
      <c r="E27" s="102">
        <f>IF(E11=0,0,E11/TrAvia_act!E19*1000)</f>
        <v>32034.68476669395</v>
      </c>
      <c r="F27" s="102">
        <f>IF(F11=0,0,F11/TrAvia_act!F19*1000)</f>
        <v>30301.785943129522</v>
      </c>
      <c r="G27" s="102">
        <f>IF(G11=0,0,G11/TrAvia_act!G19*1000)</f>
        <v>31707.425885885124</v>
      </c>
      <c r="H27" s="102">
        <f>IF(H11=0,0,H11/TrAvia_act!H19*1000)</f>
        <v>27453.348010326023</v>
      </c>
      <c r="I27" s="102">
        <f>IF(I11=0,0,I11/TrAvia_act!I19*1000)</f>
        <v>26697.426777045697</v>
      </c>
      <c r="J27" s="102">
        <f>IF(J11=0,0,J11/TrAvia_act!J19*1000)</f>
        <v>27010.332021067548</v>
      </c>
      <c r="K27" s="102">
        <f>IF(K11=0,0,K11/TrAvia_act!K19*1000)</f>
        <v>20069.878045197962</v>
      </c>
      <c r="L27" s="102">
        <f>IF(L11=0,0,L11/TrAvia_act!L19*1000)</f>
        <v>18665.084835512956</v>
      </c>
      <c r="M27" s="102">
        <f>IF(M11=0,0,M11/TrAvia_act!M19*1000)</f>
        <v>20490.302001865839</v>
      </c>
      <c r="N27" s="102">
        <f>IF(N11=0,0,N11/TrAvia_act!N19*1000)</f>
        <v>18239.328224384477</v>
      </c>
      <c r="O27" s="102">
        <f>IF(O11=0,0,O11/TrAvia_act!O19*1000)</f>
        <v>19241.372529364471</v>
      </c>
      <c r="P27" s="102">
        <f>IF(P11=0,0,P11/TrAvia_act!P19*1000)</f>
        <v>18455.795235305362</v>
      </c>
      <c r="Q27" s="102">
        <f>IF(Q11=0,0,Q11/TrAvia_act!Q19*1000)</f>
        <v>15541.562626029927</v>
      </c>
      <c r="R27" s="102">
        <f>IF(R11=0,0,R11/TrAvia_act!R19*1000)</f>
        <v>16445.427203517527</v>
      </c>
      <c r="S27" s="102">
        <f>IF(S11=0,0,S11/TrAvia_act!S19*1000)</f>
        <v>17273.522074272641</v>
      </c>
      <c r="T27" s="102">
        <f>IF(T11=0,0,T11/TrAvia_act!T19*1000)</f>
        <v>18663.776150335507</v>
      </c>
      <c r="U27" s="102">
        <f>IF(U11=0,0,U11/TrAvia_act!U19*1000)</f>
        <v>18165.180920239298</v>
      </c>
      <c r="V27" s="102">
        <f>IF(V11=0,0,V11/TrAvia_act!V19*1000)</f>
        <v>12056.117807226225</v>
      </c>
      <c r="W27" s="102">
        <f>IF(W11=0,0,W11/TrAvia_act!W19*1000)</f>
        <v>15157.335696903829</v>
      </c>
      <c r="X27" s="102">
        <f>IF(X11=0,0,X11/TrAvia_act!X19*1000)</f>
        <v>18524.806281027279</v>
      </c>
      <c r="Y27" s="102">
        <f>IF(Y11=0,0,Y11/TrAvia_act!Y19*1000)</f>
        <v>23240.108233534898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11681.807079440887</v>
      </c>
      <c r="C28" s="102">
        <f>IF(C12=0,0,C12/TrAvia_act!C20*1000)</f>
        <v>11624.653549348968</v>
      </c>
      <c r="D28" s="102">
        <f>IF(D12=0,0,D12/TrAvia_act!D20*1000)</f>
        <v>11617.447552046227</v>
      </c>
      <c r="E28" s="102">
        <f>IF(E12=0,0,E12/TrAvia_act!E20*1000)</f>
        <v>11642.141425066167</v>
      </c>
      <c r="F28" s="102">
        <f>IF(F12=0,0,F12/TrAvia_act!F20*1000)</f>
        <v>11111.231963612332</v>
      </c>
      <c r="G28" s="102">
        <f>IF(G12=0,0,G12/TrAvia_act!G20*1000)</f>
        <v>11091.589490376888</v>
      </c>
      <c r="H28" s="102">
        <f>IF(H12=0,0,H12/TrAvia_act!H20*1000)</f>
        <v>12740.9925013961</v>
      </c>
      <c r="I28" s="102">
        <f>IF(I12=0,0,I12/TrAvia_act!I20*1000)</f>
        <v>12239.999642924296</v>
      </c>
      <c r="J28" s="102">
        <f>IF(J12=0,0,J12/TrAvia_act!J20*1000)</f>
        <v>13283.160651440852</v>
      </c>
      <c r="K28" s="102">
        <f>IF(K12=0,0,K12/TrAvia_act!K20*1000)</f>
        <v>11489.866251242278</v>
      </c>
      <c r="L28" s="102">
        <f>IF(L12=0,0,L12/TrAvia_act!L20*1000)</f>
        <v>9546.806003255133</v>
      </c>
      <c r="M28" s="102">
        <f>IF(M12=0,0,M12/TrAvia_act!M20*1000)</f>
        <v>10126.730648209195</v>
      </c>
      <c r="N28" s="102">
        <f>IF(N12=0,0,N12/TrAvia_act!N20*1000)</f>
        <v>10009.397007844498</v>
      </c>
      <c r="O28" s="102">
        <f>IF(O12=0,0,O12/TrAvia_act!O20*1000)</f>
        <v>10180.422031930811</v>
      </c>
      <c r="P28" s="102">
        <f>IF(P12=0,0,P12/TrAvia_act!P20*1000)</f>
        <v>10033.641491729204</v>
      </c>
      <c r="Q28" s="102">
        <f>IF(Q12=0,0,Q12/TrAvia_act!Q20*1000)</f>
        <v>9873.6751259775101</v>
      </c>
      <c r="R28" s="102">
        <f>IF(R12=0,0,R12/TrAvia_act!R20*1000)</f>
        <v>10021.298710157202</v>
      </c>
      <c r="S28" s="102">
        <f>IF(S12=0,0,S12/TrAvia_act!S20*1000)</f>
        <v>10361.173416257559</v>
      </c>
      <c r="T28" s="102">
        <f>IF(T12=0,0,T12/TrAvia_act!T20*1000)</f>
        <v>10364.100716311814</v>
      </c>
      <c r="U28" s="102">
        <f>IF(U12=0,0,U12/TrAvia_act!U20*1000)</f>
        <v>10456.945119371765</v>
      </c>
      <c r="V28" s="102">
        <f>IF(V12=0,0,V12/TrAvia_act!V20*1000)</f>
        <v>8021.7669024149391</v>
      </c>
      <c r="W28" s="102">
        <f>IF(W12=0,0,W12/TrAvia_act!W20*1000)</f>
        <v>8780.9111826934277</v>
      </c>
      <c r="X28" s="102">
        <f>IF(X12=0,0,X12/TrAvia_act!X20*1000)</f>
        <v>9368.5522423369712</v>
      </c>
      <c r="Y28" s="102">
        <f>IF(Y12=0,0,Y12/TrAvia_act!Y20*1000)</f>
        <v>9612.6800225810821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11781.582742792982</v>
      </c>
      <c r="C29" s="86">
        <f>IF(C13=0,0,C13/TrAvia_act!C21*1000)</f>
        <v>11714.1140502832</v>
      </c>
      <c r="D29" s="86">
        <f>IF(D13=0,0,D13/TrAvia_act!D21*1000)</f>
        <v>11708.296286500728</v>
      </c>
      <c r="E29" s="86">
        <f>IF(E13=0,0,E13/TrAvia_act!E21*1000)</f>
        <v>11748.826633630777</v>
      </c>
      <c r="F29" s="86">
        <f>IF(F13=0,0,F13/TrAvia_act!F21*1000)</f>
        <v>11274.137997638727</v>
      </c>
      <c r="G29" s="86">
        <f>IF(G13=0,0,G13/TrAvia_act!G21*1000)</f>
        <v>11353.20004660785</v>
      </c>
      <c r="H29" s="86">
        <f>IF(H13=0,0,H13/TrAvia_act!H21*1000)</f>
        <v>10542.734625837322</v>
      </c>
      <c r="I29" s="86">
        <f>IF(I13=0,0,I13/TrAvia_act!I21*1000)</f>
        <v>8681.0110114008949</v>
      </c>
      <c r="J29" s="86">
        <f>IF(J13=0,0,J13/TrAvia_act!J21*1000)</f>
        <v>8224.3813923704838</v>
      </c>
      <c r="K29" s="86">
        <f>IF(K13=0,0,K13/TrAvia_act!K21*1000)</f>
        <v>8316.7452388272704</v>
      </c>
      <c r="L29" s="86">
        <f>IF(L13=0,0,L13/TrAvia_act!L21*1000)</f>
        <v>6883.0039320692467</v>
      </c>
      <c r="M29" s="86">
        <f>IF(M13=0,0,M13/TrAvia_act!M21*1000)</f>
        <v>8352.4682971857565</v>
      </c>
      <c r="N29" s="86">
        <f>IF(N13=0,0,N13/TrAvia_act!N21*1000)</f>
        <v>10190.314043475953</v>
      </c>
      <c r="O29" s="86">
        <f>IF(O13=0,0,O13/TrAvia_act!O21*1000)</f>
        <v>8445.6743284028307</v>
      </c>
      <c r="P29" s="86">
        <f>IF(P13=0,0,P13/TrAvia_act!P21*1000)</f>
        <v>8606.9150572946037</v>
      </c>
      <c r="Q29" s="86">
        <f>IF(Q13=0,0,Q13/TrAvia_act!Q21*1000)</f>
        <v>10176.690401071242</v>
      </c>
      <c r="R29" s="86">
        <f>IF(R13=0,0,R13/TrAvia_act!R21*1000)</f>
        <v>8442.946374959789</v>
      </c>
      <c r="S29" s="86">
        <f>IF(S13=0,0,S13/TrAvia_act!S21*1000)</f>
        <v>7099.4934399912108</v>
      </c>
      <c r="T29" s="86">
        <f>IF(T13=0,0,T13/TrAvia_act!T21*1000)</f>
        <v>6727.1683488340868</v>
      </c>
      <c r="U29" s="86">
        <f>IF(U13=0,0,U13/TrAvia_act!U21*1000)</f>
        <v>6539.7520714146822</v>
      </c>
      <c r="V29" s="86">
        <f>IF(V13=0,0,V13/TrAvia_act!V21*1000)</f>
        <v>13307.788210213454</v>
      </c>
      <c r="W29" s="86">
        <f>IF(W13=0,0,W13/TrAvia_act!W21*1000)</f>
        <v>6817.0631976903378</v>
      </c>
      <c r="X29" s="86">
        <f>IF(X13=0,0,X13/TrAvia_act!X21*1000)</f>
        <v>6488.5291946017087</v>
      </c>
      <c r="Y29" s="86">
        <f>IF(Y13=0,0,Y13/TrAvia_act!Y21*1000)</f>
        <v>6865.8978536972481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119.0255594225426</v>
      </c>
      <c r="C32" s="14">
        <f>IF(C6=0,0,C6/TrAvia_act!C4*1000)</f>
        <v>114.11424638210387</v>
      </c>
      <c r="D32" s="14">
        <f>IF(D6=0,0,D6/TrAvia_act!D4*1000)</f>
        <v>111.97211292339375</v>
      </c>
      <c r="E32" s="14">
        <f>IF(E6=0,0,E6/TrAvia_act!E4*1000)</f>
        <v>111.64937871468048</v>
      </c>
      <c r="F32" s="14">
        <f>IF(F6=0,0,F6/TrAvia_act!F4*1000)</f>
        <v>109.46502806704927</v>
      </c>
      <c r="G32" s="14">
        <f>IF(G6=0,0,G6/TrAvia_act!G4*1000)</f>
        <v>104.268592226157</v>
      </c>
      <c r="H32" s="14">
        <f>IF(H6=0,0,H6/TrAvia_act!H4*1000)</f>
        <v>109.38680207204357</v>
      </c>
      <c r="I32" s="14">
        <f>IF(I6=0,0,I6/TrAvia_act!I4*1000)</f>
        <v>108.80366668317112</v>
      </c>
      <c r="J32" s="14">
        <f>IF(J6=0,0,J6/TrAvia_act!J4*1000)</f>
        <v>114.82692829996076</v>
      </c>
      <c r="K32" s="14">
        <f>IF(K6=0,0,K6/TrAvia_act!K4*1000)</f>
        <v>103.41221476360487</v>
      </c>
      <c r="L32" s="14">
        <f>IF(L6=0,0,L6/TrAvia_act!L4*1000)</f>
        <v>84.235691367230871</v>
      </c>
      <c r="M32" s="14">
        <f>IF(M6=0,0,M6/TrAvia_act!M4*1000)</f>
        <v>84.278829471371452</v>
      </c>
      <c r="N32" s="14">
        <f>IF(N6=0,0,N6/TrAvia_act!N4*1000)</f>
        <v>79.577943243604949</v>
      </c>
      <c r="O32" s="14">
        <f>IF(O6=0,0,O6/TrAvia_act!O4*1000)</f>
        <v>75.444983597078661</v>
      </c>
      <c r="P32" s="14">
        <f>IF(P6=0,0,P6/TrAvia_act!P4*1000)</f>
        <v>76.055965054028007</v>
      </c>
      <c r="Q32" s="14">
        <f>IF(Q6=0,0,Q6/TrAvia_act!Q4*1000)</f>
        <v>76.401519411475746</v>
      </c>
      <c r="R32" s="14">
        <f>IF(R6=0,0,R6/TrAvia_act!R4*1000)</f>
        <v>75.697982988311864</v>
      </c>
      <c r="S32" s="14">
        <f>IF(S6=0,0,S6/TrAvia_act!S4*1000)</f>
        <v>74.745674879495667</v>
      </c>
      <c r="T32" s="14">
        <f>IF(T6=0,0,T6/TrAvia_act!T4*1000)</f>
        <v>75.749817721948872</v>
      </c>
      <c r="U32" s="14">
        <f>IF(U6=0,0,U6/TrAvia_act!U4*1000)</f>
        <v>75.280354146217533</v>
      </c>
      <c r="V32" s="14">
        <f>IF(V6=0,0,V6/TrAvia_act!V4*1000)</f>
        <v>83.429137698854703</v>
      </c>
      <c r="W32" s="14">
        <f>IF(W6=0,0,W6/TrAvia_act!W4*1000)</f>
        <v>83.705204711924011</v>
      </c>
      <c r="X32" s="14">
        <f>IF(X6=0,0,X6/TrAvia_act!X4*1000)</f>
        <v>74.098420800050377</v>
      </c>
      <c r="Y32" s="14">
        <f>IF(Y6=0,0,Y6/TrAvia_act!Y4*1000)</f>
        <v>74.370731964344998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614.26131151070877</v>
      </c>
      <c r="C33" s="87">
        <f>IF(C7=0,0,C7/TrAvia_act!C5*1000)</f>
        <v>544.58967447722614</v>
      </c>
      <c r="D33" s="87">
        <f>IF(D7=0,0,D7/TrAvia_act!D5*1000)</f>
        <v>539.6761176647193</v>
      </c>
      <c r="E33" s="87">
        <f>IF(E7=0,0,E7/TrAvia_act!E5*1000)</f>
        <v>539.21406499702368</v>
      </c>
      <c r="F33" s="87">
        <f>IF(F7=0,0,F7/TrAvia_act!F5*1000)</f>
        <v>498.9169141429461</v>
      </c>
      <c r="G33" s="87">
        <f>IF(G7=0,0,G7/TrAvia_act!G5*1000)</f>
        <v>489.70621715462244</v>
      </c>
      <c r="H33" s="87">
        <f>IF(H7=0,0,H7/TrAvia_act!H5*1000)</f>
        <v>418.48853340092239</v>
      </c>
      <c r="I33" s="87">
        <f>IF(I7=0,0,I7/TrAvia_act!I5*1000)</f>
        <v>387.54477844048154</v>
      </c>
      <c r="J33" s="87">
        <f>IF(J7=0,0,J7/TrAvia_act!J5*1000)</f>
        <v>376.77833823807367</v>
      </c>
      <c r="K33" s="87">
        <f>IF(K7=0,0,K7/TrAvia_act!K5*1000)</f>
        <v>306.11114644334265</v>
      </c>
      <c r="L33" s="87">
        <f>IF(L7=0,0,L7/TrAvia_act!L5*1000)</f>
        <v>280.16157991471096</v>
      </c>
      <c r="M33" s="87">
        <f>IF(M7=0,0,M7/TrAvia_act!M5*1000)</f>
        <v>312.7736391117092</v>
      </c>
      <c r="N33" s="87">
        <f>IF(N7=0,0,N7/TrAvia_act!N5*1000)</f>
        <v>289.2075461553211</v>
      </c>
      <c r="O33" s="87">
        <f>IF(O7=0,0,O7/TrAvia_act!O5*1000)</f>
        <v>282.79151308714791</v>
      </c>
      <c r="P33" s="87">
        <f>IF(P7=0,0,P7/TrAvia_act!P5*1000)</f>
        <v>237.73566420858512</v>
      </c>
      <c r="Q33" s="87">
        <f>IF(Q7=0,0,Q7/TrAvia_act!Q5*1000)</f>
        <v>185.10302491135207</v>
      </c>
      <c r="R33" s="87">
        <f>IF(R7=0,0,R7/TrAvia_act!R5*1000)</f>
        <v>194.75894063859965</v>
      </c>
      <c r="S33" s="87">
        <f>IF(S7=0,0,S7/TrAvia_act!S5*1000)</f>
        <v>202.18109697842692</v>
      </c>
      <c r="T33" s="87">
        <f>IF(T7=0,0,T7/TrAvia_act!T5*1000)</f>
        <v>229.03881419434308</v>
      </c>
      <c r="U33" s="87">
        <f>IF(U7=0,0,U7/TrAvia_act!U5*1000)</f>
        <v>234.24440857044539</v>
      </c>
      <c r="V33" s="87">
        <f>IF(V7=0,0,V7/TrAvia_act!V5*1000)</f>
        <v>212.18129257776786</v>
      </c>
      <c r="W33" s="87">
        <f>IF(W7=0,0,W7/TrAvia_act!W5*1000)</f>
        <v>226.74483801988902</v>
      </c>
      <c r="X33" s="87">
        <f>IF(X7=0,0,X7/TrAvia_act!X5*1000)</f>
        <v>223.98914784388415</v>
      </c>
      <c r="Y33" s="87">
        <f>IF(Y7=0,0,Y7/TrAvia_act!Y5*1000)</f>
        <v>267.44475954827499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74.948616053751664</v>
      </c>
      <c r="C34" s="87">
        <f>IF(C8=0,0,C8/TrAvia_act!C6*1000)</f>
        <v>74.481259515788338</v>
      </c>
      <c r="D34" s="87">
        <f>IF(D8=0,0,D8/TrAvia_act!D6*1000)</f>
        <v>75.161762580055125</v>
      </c>
      <c r="E34" s="87">
        <f>IF(E8=0,0,E8/TrAvia_act!E6*1000)</f>
        <v>76.752551837393185</v>
      </c>
      <c r="F34" s="87">
        <f>IF(F8=0,0,F8/TrAvia_act!F6*1000)</f>
        <v>73.723487054033555</v>
      </c>
      <c r="G34" s="87">
        <f>IF(G8=0,0,G8/TrAvia_act!G6*1000)</f>
        <v>69.733663501256643</v>
      </c>
      <c r="H34" s="87">
        <f>IF(H8=0,0,H8/TrAvia_act!H6*1000)</f>
        <v>82.126258690170971</v>
      </c>
      <c r="I34" s="87">
        <f>IF(I8=0,0,I8/TrAvia_act!I6*1000)</f>
        <v>84.98269709056099</v>
      </c>
      <c r="J34" s="87">
        <f>IF(J8=0,0,J8/TrAvia_act!J6*1000)</f>
        <v>93.711869177485596</v>
      </c>
      <c r="K34" s="87">
        <f>IF(K8=0,0,K8/TrAvia_act!K6*1000)</f>
        <v>83.316762318671195</v>
      </c>
      <c r="L34" s="87">
        <f>IF(L8=0,0,L8/TrAvia_act!L6*1000)</f>
        <v>68.27075841023165</v>
      </c>
      <c r="M34" s="87">
        <f>IF(M8=0,0,M8/TrAvia_act!M6*1000)</f>
        <v>70.420556712532147</v>
      </c>
      <c r="N34" s="87">
        <f>IF(N8=0,0,N8/TrAvia_act!N6*1000)</f>
        <v>66.997189705382823</v>
      </c>
      <c r="O34" s="87">
        <f>IF(O8=0,0,O8/TrAvia_act!O6*1000)</f>
        <v>66.597972206990718</v>
      </c>
      <c r="P34" s="87">
        <f>IF(P8=0,0,P8/TrAvia_act!P6*1000)</f>
        <v>68.110769798411113</v>
      </c>
      <c r="Q34" s="87">
        <f>IF(Q8=0,0,Q8/TrAvia_act!Q6*1000)</f>
        <v>68.50783836934437</v>
      </c>
      <c r="R34" s="87">
        <f>IF(R8=0,0,R8/TrAvia_act!R6*1000)</f>
        <v>68.334821506972986</v>
      </c>
      <c r="S34" s="87">
        <f>IF(S8=0,0,S8/TrAvia_act!S6*1000)</f>
        <v>69.496528484698104</v>
      </c>
      <c r="T34" s="87">
        <f>IF(T8=0,0,T8/TrAvia_act!T6*1000)</f>
        <v>70.588030882165953</v>
      </c>
      <c r="U34" s="87">
        <f>IF(U8=0,0,U8/TrAvia_act!U6*1000)</f>
        <v>70.770286724469727</v>
      </c>
      <c r="V34" s="87">
        <f>IF(V8=0,0,V8/TrAvia_act!V6*1000)</f>
        <v>62.68076479455771</v>
      </c>
      <c r="W34" s="87">
        <f>IF(W8=0,0,W8/TrAvia_act!W6*1000)</f>
        <v>72.886223571423059</v>
      </c>
      <c r="X34" s="87">
        <f>IF(X8=0,0,X8/TrAvia_act!X6*1000)</f>
        <v>67.632663064287016</v>
      </c>
      <c r="Y34" s="87">
        <f>IF(Y8=0,0,Y8/TrAvia_act!Y6*1000)</f>
        <v>66.376138756736424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121.34127718872635</v>
      </c>
      <c r="C35" s="87">
        <f>IF(C9=0,0,C9/TrAvia_act!C7*1000)</f>
        <v>120.04474682236157</v>
      </c>
      <c r="D35" s="87">
        <f>IF(D9=0,0,D9/TrAvia_act!D7*1000)</f>
        <v>119.23408150012148</v>
      </c>
      <c r="E35" s="87">
        <f>IF(E9=0,0,E9/TrAvia_act!E7*1000)</f>
        <v>118.74061326704272</v>
      </c>
      <c r="F35" s="87">
        <f>IF(F9=0,0,F9/TrAvia_act!F7*1000)</f>
        <v>120.03815517641041</v>
      </c>
      <c r="G35" s="87">
        <f>IF(G9=0,0,G9/TrAvia_act!G7*1000)</f>
        <v>106.94991142183844</v>
      </c>
      <c r="H35" s="87">
        <f>IF(H9=0,0,H9/TrAvia_act!H7*1000)</f>
        <v>103.2249913428962</v>
      </c>
      <c r="I35" s="87">
        <f>IF(I9=0,0,I9/TrAvia_act!I7*1000)</f>
        <v>89.044956602684223</v>
      </c>
      <c r="J35" s="87">
        <f>IF(J9=0,0,J9/TrAvia_act!J7*1000)</f>
        <v>86.899773799592722</v>
      </c>
      <c r="K35" s="87">
        <f>IF(K9=0,0,K9/TrAvia_act!K7*1000)</f>
        <v>89.477552915784131</v>
      </c>
      <c r="L35" s="87">
        <f>IF(L9=0,0,L9/TrAvia_act!L7*1000)</f>
        <v>65.308474139984227</v>
      </c>
      <c r="M35" s="87">
        <f>IF(M9=0,0,M9/TrAvia_act!M7*1000)</f>
        <v>63.511869981646747</v>
      </c>
      <c r="N35" s="87">
        <f>IF(N9=0,0,N9/TrAvia_act!N7*1000)</f>
        <v>61.552264156195221</v>
      </c>
      <c r="O35" s="87">
        <f>IF(O9=0,0,O9/TrAvia_act!O7*1000)</f>
        <v>51.513533189031165</v>
      </c>
      <c r="P35" s="87">
        <f>IF(P9=0,0,P9/TrAvia_act!P7*1000)</f>
        <v>56.198660798963033</v>
      </c>
      <c r="Q35" s="87">
        <f>IF(Q9=0,0,Q9/TrAvia_act!Q7*1000)</f>
        <v>66.914956125690452</v>
      </c>
      <c r="R35" s="87">
        <f>IF(R9=0,0,R9/TrAvia_act!R7*1000)</f>
        <v>60.228526707442278</v>
      </c>
      <c r="S35" s="87">
        <f>IF(S9=0,0,S9/TrAvia_act!S7*1000)</f>
        <v>53.656851141505733</v>
      </c>
      <c r="T35" s="87">
        <f>IF(T9=0,0,T9/TrAvia_act!T7*1000)</f>
        <v>51.067042081718959</v>
      </c>
      <c r="U35" s="87">
        <f>IF(U9=0,0,U9/TrAvia_act!U7*1000)</f>
        <v>49.752192611808738</v>
      </c>
      <c r="V35" s="87">
        <f>IF(V9=0,0,V9/TrAvia_act!V7*1000)</f>
        <v>156.34129167490346</v>
      </c>
      <c r="W35" s="87">
        <f>IF(W9=0,0,W9/TrAvia_act!W7*1000)</f>
        <v>76.602504200199235</v>
      </c>
      <c r="X35" s="87">
        <f>IF(X9=0,0,X9/TrAvia_act!X7*1000)</f>
        <v>54.438253891625678</v>
      </c>
      <c r="Y35" s="87">
        <f>IF(Y9=0,0,Y9/TrAvia_act!Y7*1000)</f>
        <v>50.866520306037309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679.14462597342003</v>
      </c>
      <c r="C36" s="15">
        <f>IF(C10=0,0,C10/TrAvia_act!C8*1000)</f>
        <v>637.8280612197558</v>
      </c>
      <c r="D36" s="15">
        <f>IF(D10=0,0,D10/TrAvia_act!D8*1000)</f>
        <v>660.70230261815641</v>
      </c>
      <c r="E36" s="15">
        <f>IF(E10=0,0,E10/TrAvia_act!E8*1000)</f>
        <v>630.54024785110607</v>
      </c>
      <c r="F36" s="15">
        <f>IF(F10=0,0,F10/TrAvia_act!F8*1000)</f>
        <v>594.78901433038277</v>
      </c>
      <c r="G36" s="15">
        <f>IF(G10=0,0,G10/TrAvia_act!G8*1000)</f>
        <v>616.57738732811379</v>
      </c>
      <c r="H36" s="15">
        <f>IF(H10=0,0,H10/TrAvia_act!H8*1000)</f>
        <v>705.57143308238676</v>
      </c>
      <c r="I36" s="15">
        <f>IF(I10=0,0,I10/TrAvia_act!I8*1000)</f>
        <v>655.52525050764109</v>
      </c>
      <c r="J36" s="15">
        <f>IF(J10=0,0,J10/TrAvia_act!J8*1000)</f>
        <v>702.53215541389648</v>
      </c>
      <c r="K36" s="15">
        <f>IF(K10=0,0,K10/TrAvia_act!K8*1000)</f>
        <v>567.60062960112134</v>
      </c>
      <c r="L36" s="15">
        <f>IF(L10=0,0,L10/TrAvia_act!L8*1000)</f>
        <v>511.84652212557967</v>
      </c>
      <c r="M36" s="15">
        <f>IF(M10=0,0,M10/TrAvia_act!M8*1000)</f>
        <v>504.47520858551343</v>
      </c>
      <c r="N36" s="15">
        <f>IF(N10=0,0,N10/TrAvia_act!N8*1000)</f>
        <v>463.87256434461636</v>
      </c>
      <c r="O36" s="15">
        <f>IF(O10=0,0,O10/TrAvia_act!O8*1000)</f>
        <v>482.29665840969568</v>
      </c>
      <c r="P36" s="15">
        <f>IF(P10=0,0,P10/TrAvia_act!P8*1000)</f>
        <v>409.72101973029601</v>
      </c>
      <c r="Q36" s="15">
        <f>IF(Q10=0,0,Q10/TrAvia_act!Q8*1000)</f>
        <v>384.20502628537326</v>
      </c>
      <c r="R36" s="15">
        <f>IF(R10=0,0,R10/TrAvia_act!R8*1000)</f>
        <v>345.02504376897946</v>
      </c>
      <c r="S36" s="15">
        <f>IF(S10=0,0,S10/TrAvia_act!S8*1000)</f>
        <v>338.17943470785883</v>
      </c>
      <c r="T36" s="15">
        <f>IF(T10=0,0,T10/TrAvia_act!T8*1000)</f>
        <v>309.46615101126793</v>
      </c>
      <c r="U36" s="15">
        <f>IF(U10=0,0,U10/TrAvia_act!U8*1000)</f>
        <v>273.43415521020614</v>
      </c>
      <c r="V36" s="15">
        <f>IF(V10=0,0,V10/TrAvia_act!V8*1000)</f>
        <v>326.92129215317533</v>
      </c>
      <c r="W36" s="15">
        <f>IF(W10=0,0,W10/TrAvia_act!W8*1000)</f>
        <v>271.28766987466497</v>
      </c>
      <c r="X36" s="15">
        <f>IF(X10=0,0,X10/TrAvia_act!X8*1000)</f>
        <v>262.44226088133058</v>
      </c>
      <c r="Y36" s="15">
        <f>IF(Y10=0,0,Y10/TrAvia_act!Y8*1000)</f>
        <v>282.29298197808936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3348.7461499018245</v>
      </c>
      <c r="C37" s="101">
        <f>IF(C11=0,0,C11/TrAvia_act!C9*1000)</f>
        <v>3011.9571462964263</v>
      </c>
      <c r="D37" s="101">
        <f>IF(D11=0,0,D11/TrAvia_act!D9*1000)</f>
        <v>2921.6458041727778</v>
      </c>
      <c r="E37" s="101">
        <f>IF(E11=0,0,E11/TrAvia_act!E9*1000)</f>
        <v>2758.6398793586864</v>
      </c>
      <c r="F37" s="101">
        <f>IF(F11=0,0,F11/TrAvia_act!F9*1000)</f>
        <v>2771.0973074443186</v>
      </c>
      <c r="G37" s="101">
        <f>IF(G11=0,0,G11/TrAvia_act!G9*1000)</f>
        <v>2962.9505206610797</v>
      </c>
      <c r="H37" s="101">
        <f>IF(H11=0,0,H11/TrAvia_act!H9*1000)</f>
        <v>2667.059244289132</v>
      </c>
      <c r="I37" s="101">
        <f>IF(I11=0,0,I11/TrAvia_act!I9*1000)</f>
        <v>2603.2883515509234</v>
      </c>
      <c r="J37" s="101">
        <f>IF(J11=0,0,J11/TrAvia_act!J9*1000)</f>
        <v>2737.5742115197936</v>
      </c>
      <c r="K37" s="101">
        <f>IF(K11=0,0,K11/TrAvia_act!K9*1000)</f>
        <v>2016.7203295820607</v>
      </c>
      <c r="L37" s="101">
        <f>IF(L11=0,0,L11/TrAvia_act!L9*1000)</f>
        <v>1753.5791175888032</v>
      </c>
      <c r="M37" s="101">
        <f>IF(M11=0,0,M11/TrAvia_act!M9*1000)</f>
        <v>1742.7970455233831</v>
      </c>
      <c r="N37" s="101">
        <f>IF(N11=0,0,N11/TrAvia_act!N9*1000)</f>
        <v>1488.3669942043575</v>
      </c>
      <c r="O37" s="101">
        <f>IF(O11=0,0,O11/TrAvia_act!O9*1000)</f>
        <v>1503.855320719297</v>
      </c>
      <c r="P37" s="101">
        <f>IF(P11=0,0,P11/TrAvia_act!P9*1000)</f>
        <v>1286.9956435995769</v>
      </c>
      <c r="Q37" s="101">
        <f>IF(Q11=0,0,Q11/TrAvia_act!Q9*1000)</f>
        <v>1059.3475884848133</v>
      </c>
      <c r="R37" s="101">
        <f>IF(R11=0,0,R11/TrAvia_act!R9*1000)</f>
        <v>1007.6105180528716</v>
      </c>
      <c r="S37" s="101">
        <f>IF(S11=0,0,S11/TrAvia_act!S9*1000)</f>
        <v>1145.3535784702128</v>
      </c>
      <c r="T37" s="101">
        <f>IF(T11=0,0,T11/TrAvia_act!T9*1000)</f>
        <v>1242.9598109924748</v>
      </c>
      <c r="U37" s="101">
        <f>IF(U11=0,0,U11/TrAvia_act!U9*1000)</f>
        <v>1094.4154113780212</v>
      </c>
      <c r="V37" s="101">
        <f>IF(V11=0,0,V11/TrAvia_act!V9*1000)</f>
        <v>771.65451374960003</v>
      </c>
      <c r="W37" s="101">
        <f>IF(W11=0,0,W11/TrAvia_act!W9*1000)</f>
        <v>931.66969984076434</v>
      </c>
      <c r="X37" s="101">
        <f>IF(X11=0,0,X11/TrAvia_act!X9*1000)</f>
        <v>1153.8914244647103</v>
      </c>
      <c r="Y37" s="101">
        <f>IF(Y11=0,0,Y11/TrAvia_act!Y9*1000)</f>
        <v>1495.9730276327723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492.76314968390386</v>
      </c>
      <c r="C38" s="101">
        <f>IF(C12=0,0,C12/TrAvia_act!C10*1000)</f>
        <v>464.50437149918406</v>
      </c>
      <c r="D38" s="101">
        <f>IF(D12=0,0,D12/TrAvia_act!D10*1000)</f>
        <v>493.70531522433936</v>
      </c>
      <c r="E38" s="101">
        <f>IF(E12=0,0,E12/TrAvia_act!E10*1000)</f>
        <v>485.36689200336787</v>
      </c>
      <c r="F38" s="101">
        <f>IF(F12=0,0,F12/TrAvia_act!F10*1000)</f>
        <v>503.26570497294989</v>
      </c>
      <c r="G38" s="101">
        <f>IF(G12=0,0,G12/TrAvia_act!G10*1000)</f>
        <v>512.51042850906288</v>
      </c>
      <c r="H38" s="101">
        <f>IF(H12=0,0,H12/TrAvia_act!H10*1000)</f>
        <v>704.10057269685694</v>
      </c>
      <c r="I38" s="101">
        <f>IF(I12=0,0,I12/TrAvia_act!I10*1000)</f>
        <v>684.28181906930661</v>
      </c>
      <c r="J38" s="101">
        <f>IF(J12=0,0,J12/TrAvia_act!J10*1000)</f>
        <v>764.78985079431573</v>
      </c>
      <c r="K38" s="101">
        <f>IF(K12=0,0,K12/TrAvia_act!K10*1000)</f>
        <v>644.69496878778591</v>
      </c>
      <c r="L38" s="101">
        <f>IF(L12=0,0,L12/TrAvia_act!L10*1000)</f>
        <v>525.87504168539408</v>
      </c>
      <c r="M38" s="101">
        <f>IF(M12=0,0,M12/TrAvia_act!M10*1000)</f>
        <v>535.68887468714479</v>
      </c>
      <c r="N38" s="101">
        <f>IF(N12=0,0,N12/TrAvia_act!N10*1000)</f>
        <v>487.15524900838977</v>
      </c>
      <c r="O38" s="101">
        <f>IF(O12=0,0,O12/TrAvia_act!O10*1000)</f>
        <v>501.95682470210193</v>
      </c>
      <c r="P38" s="101">
        <f>IF(P12=0,0,P12/TrAvia_act!P10*1000)</f>
        <v>436.3023253021907</v>
      </c>
      <c r="Q38" s="101">
        <f>IF(Q12=0,0,Q12/TrAvia_act!Q10*1000)</f>
        <v>432.24413266725799</v>
      </c>
      <c r="R38" s="101">
        <f>IF(R12=0,0,R12/TrAvia_act!R10*1000)</f>
        <v>399.48998611668986</v>
      </c>
      <c r="S38" s="101">
        <f>IF(S12=0,0,S12/TrAvia_act!S10*1000)</f>
        <v>447.07096764679494</v>
      </c>
      <c r="T38" s="101">
        <f>IF(T12=0,0,T12/TrAvia_act!T10*1000)</f>
        <v>441.93023097739365</v>
      </c>
      <c r="U38" s="101">
        <f>IF(U12=0,0,U12/TrAvia_act!U10*1000)</f>
        <v>418.44185691244627</v>
      </c>
      <c r="V38" s="101">
        <f>IF(V12=0,0,V12/TrAvia_act!V10*1000)</f>
        <v>369.04105781451568</v>
      </c>
      <c r="W38" s="101">
        <f>IF(W12=0,0,W12/TrAvia_act!W10*1000)</f>
        <v>420.74186673912197</v>
      </c>
      <c r="X38" s="101">
        <f>IF(X12=0,0,X12/TrAvia_act!X10*1000)</f>
        <v>451.40008368981631</v>
      </c>
      <c r="Y38" s="101">
        <f>IF(Y12=0,0,Y12/TrAvia_act!Y10*1000)</f>
        <v>461.3479050961264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133.66508703498562</v>
      </c>
      <c r="C39" s="88">
        <f>IF(C13=0,0,C13/TrAvia_act!C11*1000)</f>
        <v>126.82224286931668</v>
      </c>
      <c r="D39" s="88">
        <f>IF(D13=0,0,D13/TrAvia_act!D11*1000)</f>
        <v>134.25344984056301</v>
      </c>
      <c r="E39" s="88">
        <f>IF(E13=0,0,E13/TrAvia_act!E11*1000)</f>
        <v>148.26566148415961</v>
      </c>
      <c r="F39" s="88">
        <f>IF(F13=0,0,F13/TrAvia_act!F11*1000)</f>
        <v>146.58823986034659</v>
      </c>
      <c r="G39" s="88">
        <f>IF(G13=0,0,G13/TrAvia_act!G11*1000)</f>
        <v>156.96773937824833</v>
      </c>
      <c r="H39" s="88">
        <f>IF(H13=0,0,H13/TrAvia_act!H11*1000)</f>
        <v>150.78209371507961</v>
      </c>
      <c r="I39" s="88">
        <f>IF(I13=0,0,I13/TrAvia_act!I11*1000)</f>
        <v>126.26204617141026</v>
      </c>
      <c r="J39" s="88">
        <f>IF(J13=0,0,J13/TrAvia_act!J11*1000)</f>
        <v>122.08022233361244</v>
      </c>
      <c r="K39" s="88">
        <f>IF(K13=0,0,K13/TrAvia_act!K11*1000)</f>
        <v>109.46186465930609</v>
      </c>
      <c r="L39" s="88">
        <f>IF(L13=0,0,L13/TrAvia_act!L11*1000)</f>
        <v>89.11348118299648</v>
      </c>
      <c r="M39" s="88">
        <f>IF(M13=0,0,M13/TrAvia_act!M11*1000)</f>
        <v>102.99312286922782</v>
      </c>
      <c r="N39" s="88">
        <f>IF(N13=0,0,N13/TrAvia_act!N11*1000)</f>
        <v>118.41499475115701</v>
      </c>
      <c r="O39" s="88">
        <f>IF(O13=0,0,O13/TrAvia_act!O11*1000)</f>
        <v>104.44813466175495</v>
      </c>
      <c r="P39" s="88">
        <f>IF(P13=0,0,P13/TrAvia_act!P11*1000)</f>
        <v>93.528862446956168</v>
      </c>
      <c r="Q39" s="88">
        <f>IF(Q13=0,0,Q13/TrAvia_act!Q11*1000)</f>
        <v>107.66080501999234</v>
      </c>
      <c r="R39" s="88">
        <f>IF(R13=0,0,R13/TrAvia_act!R11*1000)</f>
        <v>82.943944020760554</v>
      </c>
      <c r="S39" s="88">
        <f>IF(S13=0,0,S13/TrAvia_act!S11*1000)</f>
        <v>70.846504119862416</v>
      </c>
      <c r="T39" s="88">
        <f>IF(T13=0,0,T13/TrAvia_act!T11*1000)</f>
        <v>63.696432272240614</v>
      </c>
      <c r="U39" s="88">
        <f>IF(U13=0,0,U13/TrAvia_act!U11*1000)</f>
        <v>61.309069800315456</v>
      </c>
      <c r="V39" s="88">
        <f>IF(V13=0,0,V13/TrAvia_act!V11*1000)</f>
        <v>193.54330191136435</v>
      </c>
      <c r="W39" s="88">
        <f>IF(W13=0,0,W13/TrAvia_act!W11*1000)</f>
        <v>95.927512524225563</v>
      </c>
      <c r="X39" s="88">
        <f>IF(X13=0,0,X13/TrAvia_act!X11*1000)</f>
        <v>81.047998059481159</v>
      </c>
      <c r="Y39" s="88">
        <f>IF(Y13=0,0,Y13/TrAvia_act!Y11*1000)</f>
        <v>81.912452316380282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19385.637860575334</v>
      </c>
      <c r="C41" s="54">
        <f>IF(C3=0,0,C3/TrAvia_act!C23*1000000)</f>
        <v>18451.454616337687</v>
      </c>
      <c r="D41" s="54">
        <f>IF(D3=0,0,D3/TrAvia_act!D23*1000000)</f>
        <v>18692.582181291826</v>
      </c>
      <c r="E41" s="54">
        <f>IF(E3=0,0,E3/TrAvia_act!E23*1000000)</f>
        <v>19002.071957401717</v>
      </c>
      <c r="F41" s="54">
        <f>IF(F3=0,0,F3/TrAvia_act!F23*1000000)</f>
        <v>18053.229455522476</v>
      </c>
      <c r="G41" s="54">
        <f>IF(G3=0,0,G3/TrAvia_act!G23*1000000)</f>
        <v>18123.132588451044</v>
      </c>
      <c r="H41" s="54">
        <f>IF(H3=0,0,H3/TrAvia_act!H23*1000000)</f>
        <v>18808.624007940056</v>
      </c>
      <c r="I41" s="54">
        <f>IF(I3=0,0,I3/TrAvia_act!I23*1000000)</f>
        <v>18151.889793697046</v>
      </c>
      <c r="J41" s="54">
        <f>IF(J3=0,0,J3/TrAvia_act!J23*1000000)</f>
        <v>19270.701045525522</v>
      </c>
      <c r="K41" s="54">
        <f>IF(K3=0,0,K3/TrAvia_act!K23*1000000)</f>
        <v>15479.474192880793</v>
      </c>
      <c r="L41" s="54">
        <f>IF(L3=0,0,L3/TrAvia_act!L23*1000000)</f>
        <v>13374.968341631782</v>
      </c>
      <c r="M41" s="54">
        <f>IF(M3=0,0,M3/TrAvia_act!M23*1000000)</f>
        <v>14441.189559827528</v>
      </c>
      <c r="N41" s="54">
        <f>IF(N3=0,0,N3/TrAvia_act!N23*1000000)</f>
        <v>13572.326625238036</v>
      </c>
      <c r="O41" s="54">
        <f>IF(O3=0,0,O3/TrAvia_act!O23*1000000)</f>
        <v>14054.05698737833</v>
      </c>
      <c r="P41" s="54">
        <f>IF(P3=0,0,P3/TrAvia_act!P23*1000000)</f>
        <v>14278.554234943158</v>
      </c>
      <c r="Q41" s="54">
        <f>IF(Q3=0,0,Q3/TrAvia_act!Q23*1000000)</f>
        <v>13826.675822539015</v>
      </c>
      <c r="R41" s="54">
        <f>IF(R3=0,0,R3/TrAvia_act!R23*1000000)</f>
        <v>14078.737917095406</v>
      </c>
      <c r="S41" s="54">
        <f>IF(S3=0,0,S3/TrAvia_act!S23*1000000)</f>
        <v>14865.538746280634</v>
      </c>
      <c r="T41" s="54">
        <f>IF(T3=0,0,T3/TrAvia_act!T23*1000000)</f>
        <v>15313.583247608633</v>
      </c>
      <c r="U41" s="54">
        <f>IF(U3=0,0,U3/TrAvia_act!U23*1000000)</f>
        <v>15509.610917662085</v>
      </c>
      <c r="V41" s="54">
        <f>IF(V3=0,0,V3/TrAvia_act!V23*1000000)</f>
        <v>10544.976462085922</v>
      </c>
      <c r="W41" s="54">
        <f>IF(W3=0,0,W3/TrAvia_act!W23*1000000)</f>
        <v>12651.297625650001</v>
      </c>
      <c r="X41" s="54">
        <f>IF(X3=0,0,X3/TrAvia_act!X23*1000000)</f>
        <v>15227.221389052171</v>
      </c>
      <c r="Y41" s="54">
        <f>IF(Y3=0,0,Y3/TrAvia_act!Y23*1000000)</f>
        <v>16181.176126626462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19430.599974973593</v>
      </c>
      <c r="C42" s="11">
        <f>IF(C6=0,0,C6/TrAvia_act!C24*1000000)</f>
        <v>18509.009660802385</v>
      </c>
      <c r="D42" s="11">
        <f>IF(D6=0,0,D6/TrAvia_act!D24*1000000)</f>
        <v>18757.624573867644</v>
      </c>
      <c r="E42" s="11">
        <f>IF(E6=0,0,E6/TrAvia_act!E24*1000000)</f>
        <v>19063.599671463609</v>
      </c>
      <c r="F42" s="11">
        <f>IF(F6=0,0,F6/TrAvia_act!F24*1000000)</f>
        <v>18079.913603817742</v>
      </c>
      <c r="G42" s="11">
        <f>IF(G6=0,0,G6/TrAvia_act!G24*1000000)</f>
        <v>18147.929473481621</v>
      </c>
      <c r="H42" s="11">
        <f>IF(H6=0,0,H6/TrAvia_act!H24*1000000)</f>
        <v>18824.673474304469</v>
      </c>
      <c r="I42" s="11">
        <f>IF(I6=0,0,I6/TrAvia_act!I24*1000000)</f>
        <v>18168.221272465555</v>
      </c>
      <c r="J42" s="11">
        <f>IF(J6=0,0,J6/TrAvia_act!J24*1000000)</f>
        <v>19296.071970640962</v>
      </c>
      <c r="K42" s="11">
        <f>IF(K6=0,0,K6/TrAvia_act!K24*1000000)</f>
        <v>15489.57405832654</v>
      </c>
      <c r="L42" s="11">
        <f>IF(L6=0,0,L6/TrAvia_act!L24*1000000)</f>
        <v>13383.716497385232</v>
      </c>
      <c r="M42" s="11">
        <f>IF(M6=0,0,M6/TrAvia_act!M24*1000000)</f>
        <v>14442.538069784809</v>
      </c>
      <c r="N42" s="11">
        <f>IF(N6=0,0,N6/TrAvia_act!N24*1000000)</f>
        <v>13563.150557285471</v>
      </c>
      <c r="O42" s="11">
        <f>IF(O6=0,0,O6/TrAvia_act!O24*1000000)</f>
        <v>14047.744834379861</v>
      </c>
      <c r="P42" s="11">
        <f>IF(P6=0,0,P6/TrAvia_act!P24*1000000)</f>
        <v>14272.37885297942</v>
      </c>
      <c r="Q42" s="11">
        <f>IF(Q6=0,0,Q6/TrAvia_act!Q24*1000000)</f>
        <v>13824.579493169227</v>
      </c>
      <c r="R42" s="11">
        <f>IF(R6=0,0,R6/TrAvia_act!R24*1000000)</f>
        <v>14075.293171498872</v>
      </c>
      <c r="S42" s="11">
        <f>IF(S6=0,0,S6/TrAvia_act!S24*1000000)</f>
        <v>14863.446193894275</v>
      </c>
      <c r="T42" s="11">
        <f>IF(T6=0,0,T6/TrAvia_act!T24*1000000)</f>
        <v>15321.734403439135</v>
      </c>
      <c r="U42" s="11">
        <f>IF(U6=0,0,U6/TrAvia_act!U24*1000000)</f>
        <v>15524.377187920893</v>
      </c>
      <c r="V42" s="11">
        <f>IF(V6=0,0,V6/TrAvia_act!V24*1000000)</f>
        <v>10539.596589078699</v>
      </c>
      <c r="W42" s="11">
        <f>IF(W6=0,0,W6/TrAvia_act!W24*1000000)</f>
        <v>12681.335077783095</v>
      </c>
      <c r="X42" s="11">
        <f>IF(X6=0,0,X6/TrAvia_act!X24*1000000)</f>
        <v>15269.971308591848</v>
      </c>
      <c r="Y42" s="11">
        <f>IF(Y6=0,0,Y6/TrAvia_act!Y24*1000000)</f>
        <v>16215.033512088949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14265.346390813791</v>
      </c>
      <c r="C43" s="84">
        <f>IF(C7=0,0,C7/TrAvia_act!C25*1000000)</f>
        <v>12732.806756409376</v>
      </c>
      <c r="D43" s="84">
        <f>IF(D7=0,0,D7/TrAvia_act!D25*1000000)</f>
        <v>12700.902830122883</v>
      </c>
      <c r="E43" s="84">
        <f>IF(E7=0,0,E7/TrAvia_act!E25*1000000)</f>
        <v>12756.112669565215</v>
      </c>
      <c r="F43" s="84">
        <f>IF(F7=0,0,F7/TrAvia_act!F25*1000000)</f>
        <v>12066.077702799214</v>
      </c>
      <c r="G43" s="84">
        <f>IF(G7=0,0,G7/TrAvia_act!G25*1000000)</f>
        <v>12503.960821758612</v>
      </c>
      <c r="H43" s="84">
        <f>IF(H7=0,0,H7/TrAvia_act!H25*1000000)</f>
        <v>10735.684443175003</v>
      </c>
      <c r="I43" s="84">
        <f>IF(I7=0,0,I7/TrAvia_act!I25*1000000)</f>
        <v>10318.685173613949</v>
      </c>
      <c r="J43" s="84">
        <f>IF(J7=0,0,J7/TrAvia_act!J25*1000000)</f>
        <v>10509.759596058184</v>
      </c>
      <c r="K43" s="84">
        <f>IF(K7=0,0,K7/TrAvia_act!K25*1000000)</f>
        <v>7647.9207627261358</v>
      </c>
      <c r="L43" s="84">
        <f>IF(L7=0,0,L7/TrAvia_act!L25*1000000)</f>
        <v>6988.9056131808939</v>
      </c>
      <c r="M43" s="84">
        <f>IF(M7=0,0,M7/TrAvia_act!M25*1000000)</f>
        <v>7292.780979967557</v>
      </c>
      <c r="N43" s="84">
        <f>IF(N7=0,0,N7/TrAvia_act!N25*1000000)</f>
        <v>6505.2097257799114</v>
      </c>
      <c r="O43" s="84">
        <f>IF(O7=0,0,O7/TrAvia_act!O25*1000000)</f>
        <v>6717.3504725367129</v>
      </c>
      <c r="P43" s="84">
        <f>IF(P7=0,0,P7/TrAvia_act!P25*1000000)</f>
        <v>6487.8073828375282</v>
      </c>
      <c r="Q43" s="84">
        <f>IF(Q7=0,0,Q7/TrAvia_act!Q25*1000000)</f>
        <v>5512.8754261977192</v>
      </c>
      <c r="R43" s="84">
        <f>IF(R7=0,0,R7/TrAvia_act!R25*1000000)</f>
        <v>5933.5297492193622</v>
      </c>
      <c r="S43" s="84">
        <f>IF(S7=0,0,S7/TrAvia_act!S25*1000000)</f>
        <v>6083.2803409603775</v>
      </c>
      <c r="T43" s="84">
        <f>IF(T7=0,0,T7/TrAvia_act!T25*1000000)</f>
        <v>6582.3269115149878</v>
      </c>
      <c r="U43" s="84">
        <f>IF(U7=0,0,U7/TrAvia_act!U25*1000000)</f>
        <v>6535.5946031606945</v>
      </c>
      <c r="V43" s="84">
        <f>IF(V7=0,0,V7/TrAvia_act!V25*1000000)</f>
        <v>4252.5126231830727</v>
      </c>
      <c r="W43" s="84">
        <f>IF(W7=0,0,W7/TrAvia_act!W25*1000000)</f>
        <v>5203.9997315579212</v>
      </c>
      <c r="X43" s="84">
        <f>IF(X7=0,0,X7/TrAvia_act!X25*1000000)</f>
        <v>6535.5604377058853</v>
      </c>
      <c r="Y43" s="84">
        <f>IF(Y7=0,0,Y7/TrAvia_act!Y25*1000000)</f>
        <v>8016.6435804771181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23662.94902490835</v>
      </c>
      <c r="C44" s="84">
        <f>IF(C8=0,0,C8/TrAvia_act!C26*1000000)</f>
        <v>23527.472228728624</v>
      </c>
      <c r="D44" s="84">
        <f>IF(D8=0,0,D8/TrAvia_act!D26*1000000)</f>
        <v>23515.792694336746</v>
      </c>
      <c r="E44" s="84">
        <f>IF(E8=0,0,E8/TrAvia_act!E26*1000000)</f>
        <v>23597.182367237994</v>
      </c>
      <c r="F44" s="84">
        <f>IF(F8=0,0,F8/TrAvia_act!F26*1000000)</f>
        <v>22473.91433845782</v>
      </c>
      <c r="G44" s="84">
        <f>IF(G8=0,0,G8/TrAvia_act!G26*1000000)</f>
        <v>22174.376510546754</v>
      </c>
      <c r="H44" s="84">
        <f>IF(H8=0,0,H8/TrAvia_act!H26*1000000)</f>
        <v>25161.058033793826</v>
      </c>
      <c r="I44" s="84">
        <f>IF(I8=0,0,I8/TrAvia_act!I26*1000000)</f>
        <v>24324.328957915099</v>
      </c>
      <c r="J44" s="84">
        <f>IF(J8=0,0,J8/TrAvia_act!J26*1000000)</f>
        <v>26257.922885760025</v>
      </c>
      <c r="K44" s="84">
        <f>IF(K8=0,0,K8/TrAvia_act!K26*1000000)</f>
        <v>22908.947423341262</v>
      </c>
      <c r="L44" s="84">
        <f>IF(L8=0,0,L8/TrAvia_act!L26*1000000)</f>
        <v>19153.961076000181</v>
      </c>
      <c r="M44" s="84">
        <f>IF(M8=0,0,M8/TrAvia_act!M26*1000000)</f>
        <v>20240.768421750512</v>
      </c>
      <c r="N44" s="84">
        <f>IF(N8=0,0,N8/TrAvia_act!N26*1000000)</f>
        <v>19792.954338798747</v>
      </c>
      <c r="O44" s="84">
        <f>IF(O8=0,0,O8/TrAvia_act!O26*1000000)</f>
        <v>20521.910921777991</v>
      </c>
      <c r="P44" s="84">
        <f>IF(P8=0,0,P8/TrAvia_act!P26*1000000)</f>
        <v>20307.792479802491</v>
      </c>
      <c r="Q44" s="84">
        <f>IF(Q8=0,0,Q8/TrAvia_act!Q26*1000000)</f>
        <v>20069.786054132892</v>
      </c>
      <c r="R44" s="84">
        <f>IF(R8=0,0,R8/TrAvia_act!R26*1000000)</f>
        <v>20330.191382602567</v>
      </c>
      <c r="S44" s="84">
        <f>IF(S8=0,0,S8/TrAvia_act!S26*1000000)</f>
        <v>21366.662512932973</v>
      </c>
      <c r="T44" s="84">
        <f>IF(T8=0,0,T8/TrAvia_act!T26*1000000)</f>
        <v>21350.99841015337</v>
      </c>
      <c r="U44" s="84">
        <f>IF(U8=0,0,U8/TrAvia_act!U26*1000000)</f>
        <v>21892.348070957527</v>
      </c>
      <c r="V44" s="84">
        <f>IF(V8=0,0,V8/TrAvia_act!V26*1000000)</f>
        <v>15039.578272878452</v>
      </c>
      <c r="W44" s="84">
        <f>IF(W8=0,0,W8/TrAvia_act!W26*1000000)</f>
        <v>17535.303156922186</v>
      </c>
      <c r="X44" s="84">
        <f>IF(X8=0,0,X8/TrAvia_act!X26*1000000)</f>
        <v>20289.976847196674</v>
      </c>
      <c r="Y44" s="84">
        <f>IF(Y8=0,0,Y8/TrAvia_act!Y26*1000000)</f>
        <v>21013.240478076357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38896.766193833842</v>
      </c>
      <c r="C45" s="84">
        <f>IF(C9=0,0,C9/TrAvia_act!C27*1000000)</f>
        <v>38674.019045572975</v>
      </c>
      <c r="D45" s="84">
        <f>IF(D9=0,0,D9/TrAvia_act!D27*1000000)</f>
        <v>38654.811762259866</v>
      </c>
      <c r="E45" s="84">
        <f>IF(E9=0,0,E9/TrAvia_act!E27*1000000)</f>
        <v>38788.622258734686</v>
      </c>
      <c r="F45" s="84">
        <f>IF(F9=0,0,F9/TrAvia_act!F27*1000000)</f>
        <v>37221.442933839033</v>
      </c>
      <c r="G45" s="84">
        <f>IF(G9=0,0,G9/TrAvia_act!G27*1000000)</f>
        <v>35791.333854027747</v>
      </c>
      <c r="H45" s="84">
        <f>IF(H9=0,0,H9/TrAvia_act!H27*1000000)</f>
        <v>37811.079642851197</v>
      </c>
      <c r="I45" s="84">
        <f>IF(I9=0,0,I9/TrAvia_act!I27*1000000)</f>
        <v>33543.425489744863</v>
      </c>
      <c r="J45" s="84">
        <f>IF(J9=0,0,J9/TrAvia_act!J27*1000000)</f>
        <v>33009.017454541172</v>
      </c>
      <c r="K45" s="84">
        <f>IF(K9=0,0,K9/TrAvia_act!K27*1000000)</f>
        <v>29592.696070260798</v>
      </c>
      <c r="L45" s="84">
        <f>IF(L9=0,0,L9/TrAvia_act!L27*1000000)</f>
        <v>22338.563727455796</v>
      </c>
      <c r="M45" s="84">
        <f>IF(M9=0,0,M9/TrAvia_act!M27*1000000)</f>
        <v>21717.19517969566</v>
      </c>
      <c r="N45" s="84">
        <f>IF(N9=0,0,N9/TrAvia_act!N27*1000000)</f>
        <v>18979.843866760129</v>
      </c>
      <c r="O45" s="84">
        <f>IF(O9=0,0,O9/TrAvia_act!O27*1000000)</f>
        <v>16704.634264695702</v>
      </c>
      <c r="P45" s="84">
        <f>IF(P9=0,0,P9/TrAvia_act!P27*1000000)</f>
        <v>17596.794774123893</v>
      </c>
      <c r="Q45" s="84">
        <f>IF(Q9=0,0,Q9/TrAvia_act!Q27*1000000)</f>
        <v>19461.319943677539</v>
      </c>
      <c r="R45" s="84">
        <f>IF(R9=0,0,R9/TrAvia_act!R27*1000000)</f>
        <v>18427.213410932982</v>
      </c>
      <c r="S45" s="84">
        <f>IF(S9=0,0,S9/TrAvia_act!S27*1000000)</f>
        <v>18383.933294474304</v>
      </c>
      <c r="T45" s="84">
        <f>IF(T9=0,0,T9/TrAvia_act!T27*1000000)</f>
        <v>19498.563199630964</v>
      </c>
      <c r="U45" s="84">
        <f>IF(U9=0,0,U9/TrAvia_act!U27*1000000)</f>
        <v>19098.9482913963</v>
      </c>
      <c r="V45" s="84">
        <f>IF(V9=0,0,V9/TrAvia_act!V27*1000000)</f>
        <v>32821.432631624433</v>
      </c>
      <c r="W45" s="84">
        <f>IF(W9=0,0,W9/TrAvia_act!W27*1000000)</f>
        <v>24514.19571593645</v>
      </c>
      <c r="X45" s="84">
        <f>IF(X9=0,0,X9/TrAvia_act!X27*1000000)</f>
        <v>24434.225661121036</v>
      </c>
      <c r="Y45" s="84">
        <f>IF(Y9=0,0,Y9/TrAvia_act!Y27*1000000)</f>
        <v>23421.823216867357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17777.733117974134</v>
      </c>
      <c r="C46" s="13">
        <f>IF(C10=0,0,C10/TrAvia_act!C28*1000000)</f>
        <v>16780.233724496844</v>
      </c>
      <c r="D46" s="13">
        <f>IF(D10=0,0,D10/TrAvia_act!D28*1000000)</f>
        <v>16821.925612296429</v>
      </c>
      <c r="E46" s="13">
        <f>IF(E10=0,0,E10/TrAvia_act!E28*1000000)</f>
        <v>16909.501961939983</v>
      </c>
      <c r="F46" s="13">
        <f>IF(F10=0,0,F10/TrAvia_act!F28*1000000)</f>
        <v>16567.702055776121</v>
      </c>
      <c r="G46" s="13">
        <f>IF(G10=0,0,G10/TrAvia_act!G28*1000000)</f>
        <v>16740.863588637214</v>
      </c>
      <c r="H46" s="13">
        <f>IF(H10=0,0,H10/TrAvia_act!H28*1000000)</f>
        <v>17948.677530065805</v>
      </c>
      <c r="I46" s="13">
        <f>IF(I10=0,0,I10/TrAvia_act!I28*1000000)</f>
        <v>17142.0063516511</v>
      </c>
      <c r="J46" s="13">
        <f>IF(J10=0,0,J10/TrAvia_act!J28*1000000)</f>
        <v>17839.188313179689</v>
      </c>
      <c r="K46" s="13">
        <f>IF(K10=0,0,K10/TrAvia_act!K28*1000000)</f>
        <v>14801.371332282337</v>
      </c>
      <c r="L46" s="13">
        <f>IF(L10=0,0,L10/TrAvia_act!L28*1000000)</f>
        <v>12770.468111043745</v>
      </c>
      <c r="M46" s="13">
        <f>IF(M10=0,0,M10/TrAvia_act!M28*1000000)</f>
        <v>14338.451385963346</v>
      </c>
      <c r="N46" s="13">
        <f>IF(N10=0,0,N10/TrAvia_act!N28*1000000)</f>
        <v>14333.870375894687</v>
      </c>
      <c r="O46" s="13">
        <f>IF(O10=0,0,O10/TrAvia_act!O28*1000000)</f>
        <v>14598.386468580919</v>
      </c>
      <c r="P46" s="13">
        <f>IF(P10=0,0,P10/TrAvia_act!P28*1000000)</f>
        <v>15039.273887469402</v>
      </c>
      <c r="Q46" s="13">
        <f>IF(Q10=0,0,Q10/TrAvia_act!Q28*1000000)</f>
        <v>14102.771167477071</v>
      </c>
      <c r="R46" s="13">
        <f>IF(R10=0,0,R10/TrAvia_act!R28*1000000)</f>
        <v>14587.148300694282</v>
      </c>
      <c r="S46" s="13">
        <f>IF(S10=0,0,S10/TrAvia_act!S28*1000000)</f>
        <v>15204.770444355907</v>
      </c>
      <c r="T46" s="13">
        <f>IF(T10=0,0,T10/TrAvia_act!T28*1000000)</f>
        <v>14350.66958115837</v>
      </c>
      <c r="U46" s="13">
        <f>IF(U10=0,0,U10/TrAvia_act!U28*1000000)</f>
        <v>13752.438229738442</v>
      </c>
      <c r="V46" s="13">
        <f>IF(V10=0,0,V10/TrAvia_act!V28*1000000)</f>
        <v>10892.255298498041</v>
      </c>
      <c r="W46" s="13">
        <f>IF(W10=0,0,W10/TrAvia_act!W28*1000000)</f>
        <v>10219.130585194009</v>
      </c>
      <c r="X46" s="13">
        <f>IF(X10=0,0,X10/TrAvia_act!X28*1000000)</f>
        <v>10461.281283130196</v>
      </c>
      <c r="Y46" s="13">
        <f>IF(Y10=0,0,Y10/TrAvia_act!Y28*1000000)</f>
        <v>11515.594382372381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14258.562627096479</v>
      </c>
      <c r="C47" s="102">
        <f>IF(C11=0,0,C11/TrAvia_act!C29*1000000)</f>
        <v>12726.751778834541</v>
      </c>
      <c r="D47" s="102">
        <f>IF(D11=0,0,D11/TrAvia_act!D29*1000000)</f>
        <v>12694.863024187885</v>
      </c>
      <c r="E47" s="102">
        <f>IF(E11=0,0,E11/TrAvia_act!E29*1000000)</f>
        <v>12750.046609062305</v>
      </c>
      <c r="F47" s="102">
        <f>IF(F11=0,0,F11/TrAvia_act!F29*1000000)</f>
        <v>12060.339782535104</v>
      </c>
      <c r="G47" s="102">
        <f>IF(G11=0,0,G11/TrAvia_act!G29*1000000)</f>
        <v>12498.014669914741</v>
      </c>
      <c r="H47" s="102">
        <f>IF(H11=0,0,H11/TrAvia_act!H29*1000000)</f>
        <v>10740.496144324161</v>
      </c>
      <c r="I47" s="102">
        <f>IF(I11=0,0,I11/TrAvia_act!I29*1000000)</f>
        <v>10332.850088651378</v>
      </c>
      <c r="J47" s="102">
        <f>IF(J11=0,0,J11/TrAvia_act!J29*1000000)</f>
        <v>10533.912083873565</v>
      </c>
      <c r="K47" s="102">
        <f>IF(K11=0,0,K11/TrAvia_act!K29*1000000)</f>
        <v>7672.5797070361687</v>
      </c>
      <c r="L47" s="102">
        <f>IF(L11=0,0,L11/TrAvia_act!L29*1000000)</f>
        <v>7017.9182760554604</v>
      </c>
      <c r="M47" s="102">
        <f>IF(M11=0,0,M11/TrAvia_act!M29*1000000)</f>
        <v>7376.0753658682052</v>
      </c>
      <c r="N47" s="102">
        <f>IF(N11=0,0,N11/TrAvia_act!N29*1000000)</f>
        <v>6627.1415188037081</v>
      </c>
      <c r="O47" s="102">
        <f>IF(O11=0,0,O11/TrAvia_act!O29*1000000)</f>
        <v>6846.0547078581931</v>
      </c>
      <c r="P47" s="102">
        <f>IF(P11=0,0,P11/TrAvia_act!P29*1000000)</f>
        <v>6614.8152335893592</v>
      </c>
      <c r="Q47" s="102">
        <f>IF(Q11=0,0,Q11/TrAvia_act!Q29*1000000)</f>
        <v>5623.0942073490151</v>
      </c>
      <c r="R47" s="102">
        <f>IF(R11=0,0,R11/TrAvia_act!R29*1000000)</f>
        <v>6054.6314547626007</v>
      </c>
      <c r="S47" s="102">
        <f>IF(S11=0,0,S11/TrAvia_act!S29*1000000)</f>
        <v>6209.9746169615955</v>
      </c>
      <c r="T47" s="102">
        <f>IF(T11=0,0,T11/TrAvia_act!T29*1000000)</f>
        <v>6722.159994429011</v>
      </c>
      <c r="U47" s="102">
        <f>IF(U11=0,0,U11/TrAvia_act!U29*1000000)</f>
        <v>6736.8655035899264</v>
      </c>
      <c r="V47" s="102">
        <f>IF(V11=0,0,V11/TrAvia_act!V29*1000000)</f>
        <v>4378.618514800738</v>
      </c>
      <c r="W47" s="102">
        <f>IF(W11=0,0,W11/TrAvia_act!W29*1000000)</f>
        <v>5312.4011787582194</v>
      </c>
      <c r="X47" s="102">
        <f>IF(X11=0,0,X11/TrAvia_act!X29*1000000)</f>
        <v>6724.8341430187074</v>
      </c>
      <c r="Y47" s="102">
        <f>IF(Y11=0,0,Y11/TrAvia_act!Y29*1000000)</f>
        <v>8225.2875342829848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23398.622515709772</v>
      </c>
      <c r="C48" s="102">
        <f>IF(C12=0,0,C12/TrAvia_act!C30*1000000)</f>
        <v>23270.857303888519</v>
      </c>
      <c r="D48" s="102">
        <f>IF(D12=0,0,D12/TrAvia_act!D30*1000000)</f>
        <v>23257.155455438548</v>
      </c>
      <c r="E48" s="102">
        <f>IF(E12=0,0,E12/TrAvia_act!E30*1000000)</f>
        <v>23306.849529131126</v>
      </c>
      <c r="F48" s="102">
        <f>IF(F12=0,0,F12/TrAvia_act!F30*1000000)</f>
        <v>21922.759353744452</v>
      </c>
      <c r="G48" s="102">
        <f>IF(G12=0,0,G12/TrAvia_act!G30*1000000)</f>
        <v>21700.776446005762</v>
      </c>
      <c r="H48" s="102">
        <f>IF(H12=0,0,H12/TrAvia_act!H30*1000000)</f>
        <v>25545.993614428884</v>
      </c>
      <c r="I48" s="102">
        <f>IF(I12=0,0,I12/TrAvia_act!I30*1000000)</f>
        <v>23599.360215162451</v>
      </c>
      <c r="J48" s="102">
        <f>IF(J12=0,0,J12/TrAvia_act!J30*1000000)</f>
        <v>25435.249117623443</v>
      </c>
      <c r="K48" s="102">
        <f>IF(K12=0,0,K12/TrAvia_act!K30*1000000)</f>
        <v>21684.042760828641</v>
      </c>
      <c r="L48" s="102">
        <f>IF(L12=0,0,L12/TrAvia_act!L30*1000000)</f>
        <v>18000.332604677533</v>
      </c>
      <c r="M48" s="102">
        <f>IF(M12=0,0,M12/TrAvia_act!M30*1000000)</f>
        <v>19424.576749610016</v>
      </c>
      <c r="N48" s="102">
        <f>IF(N12=0,0,N12/TrAvia_act!N30*1000000)</f>
        <v>19390.427960203164</v>
      </c>
      <c r="O48" s="102">
        <f>IF(O12=0,0,O12/TrAvia_act!O30*1000000)</f>
        <v>19722.434758237159</v>
      </c>
      <c r="P48" s="102">
        <f>IF(P12=0,0,P12/TrAvia_act!P30*1000000)</f>
        <v>19431.56431302752</v>
      </c>
      <c r="Q48" s="102">
        <f>IF(Q12=0,0,Q12/TrAvia_act!Q30*1000000)</f>
        <v>18542.924392529771</v>
      </c>
      <c r="R48" s="102">
        <f>IF(R12=0,0,R12/TrAvia_act!R30*1000000)</f>
        <v>18739.118677414503</v>
      </c>
      <c r="S48" s="102">
        <f>IF(S12=0,0,S12/TrAvia_act!S30*1000000)</f>
        <v>19073.005038593034</v>
      </c>
      <c r="T48" s="102">
        <f>IF(T12=0,0,T12/TrAvia_act!T30*1000000)</f>
        <v>18878.792923596779</v>
      </c>
      <c r="U48" s="102">
        <f>IF(U12=0,0,U12/TrAvia_act!U30*1000000)</f>
        <v>17249.668401432624</v>
      </c>
      <c r="V48" s="102">
        <f>IF(V12=0,0,V12/TrAvia_act!V30*1000000)</f>
        <v>11469.905913544419</v>
      </c>
      <c r="W48" s="102">
        <f>IF(W12=0,0,W12/TrAvia_act!W30*1000000)</f>
        <v>12519.426089403743</v>
      </c>
      <c r="X48" s="102">
        <f>IF(X12=0,0,X12/TrAvia_act!X30*1000000)</f>
        <v>14036.977446207995</v>
      </c>
      <c r="Y48" s="102">
        <f>IF(Y12=0,0,Y12/TrAvia_act!Y30*1000000)</f>
        <v>14736.161530142897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16909.689637572672</v>
      </c>
      <c r="C49" s="86">
        <f>IF(C13=0,0,C13/TrAvia_act!C31*1000000)</f>
        <v>16812.854205907843</v>
      </c>
      <c r="D49" s="86">
        <f>IF(D13=0,0,D13/TrAvia_act!D31*1000000)</f>
        <v>16804.504175008431</v>
      </c>
      <c r="E49" s="86">
        <f>IF(E13=0,0,E13/TrAvia_act!E31*1000000)</f>
        <v>16862.675950892401</v>
      </c>
      <c r="F49" s="86">
        <f>IF(F13=0,0,F13/TrAvia_act!F31*1000000)</f>
        <v>16181.372115546645</v>
      </c>
      <c r="G49" s="86">
        <f>IF(G13=0,0,G13/TrAvia_act!G31*1000000)</f>
        <v>15559.657174850179</v>
      </c>
      <c r="H49" s="86">
        <f>IF(H13=0,0,H13/TrAvia_act!H31*1000000)</f>
        <v>15381.909560464162</v>
      </c>
      <c r="I49" s="86">
        <f>IF(I13=0,0,I13/TrAvia_act!I31*1000000)</f>
        <v>12748.592179423524</v>
      </c>
      <c r="J49" s="86">
        <f>IF(J13=0,0,J13/TrAvia_act!J31*1000000)</f>
        <v>11699.598848448864</v>
      </c>
      <c r="K49" s="86">
        <f>IF(K13=0,0,K13/TrAvia_act!K31*1000000)</f>
        <v>9762.0290901500339</v>
      </c>
      <c r="L49" s="86">
        <f>IF(L13=0,0,L13/TrAvia_act!L31*1000000)</f>
        <v>6843.23268389449</v>
      </c>
      <c r="M49" s="86">
        <f>IF(M13=0,0,M13/TrAvia_act!M31*1000000)</f>
        <v>8772.112554332045</v>
      </c>
      <c r="N49" s="86">
        <f>IF(N13=0,0,N13/TrAvia_act!N31*1000000)</f>
        <v>10014.284394584916</v>
      </c>
      <c r="O49" s="86">
        <f>IF(O13=0,0,O13/TrAvia_act!O31*1000000)</f>
        <v>8316.1332459344849</v>
      </c>
      <c r="P49" s="86">
        <f>IF(P13=0,0,P13/TrAvia_act!P31*1000000)</f>
        <v>8256.4129616121463</v>
      </c>
      <c r="Q49" s="86">
        <f>IF(Q13=0,0,Q13/TrAvia_act!Q31*1000000)</f>
        <v>8595.6814158864654</v>
      </c>
      <c r="R49" s="86">
        <f>IF(R13=0,0,R13/TrAvia_act!R31*1000000)</f>
        <v>7651.576247838605</v>
      </c>
      <c r="S49" s="86">
        <f>IF(S13=0,0,S13/TrAvia_act!S31*1000000)</f>
        <v>7166.3349594015299</v>
      </c>
      <c r="T49" s="86">
        <f>IF(T13=0,0,T13/TrAvia_act!T31*1000000)</f>
        <v>7124.56116623654</v>
      </c>
      <c r="U49" s="86">
        <f>IF(U13=0,0,U13/TrAvia_act!U31*1000000)</f>
        <v>8010.6583857974565</v>
      </c>
      <c r="V49" s="86">
        <f>IF(V13=0,0,V13/TrAvia_act!V31*1000000)</f>
        <v>14223.815074851047</v>
      </c>
      <c r="W49" s="86">
        <f>IF(W13=0,0,W13/TrAvia_act!W31*1000000)</f>
        <v>6869.1254378642643</v>
      </c>
      <c r="X49" s="86">
        <f>IF(X13=0,0,X13/TrAvia_act!X31*1000000)</f>
        <v>5559.3132218650935</v>
      </c>
      <c r="Y49" s="86">
        <f>IF(Y13=0,0,Y13/TrAvia_act!Y31*1000000)</f>
        <v>6569.1168708984314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0.97505375739303091</v>
      </c>
      <c r="C52" s="16">
        <f t="shared" si="36"/>
        <v>0.96972305295206174</v>
      </c>
      <c r="D52" s="16">
        <f t="shared" ref="D52:V52" si="37">IF(D6=0,0,D6/D$3)</f>
        <v>0.96976116183235506</v>
      </c>
      <c r="E52" s="16">
        <f t="shared" si="37"/>
        <v>0.974582359128776</v>
      </c>
      <c r="F52" s="16">
        <f t="shared" si="37"/>
        <v>0.9838062224526779</v>
      </c>
      <c r="G52" s="16">
        <f t="shared" si="37"/>
        <v>0.9837210164291883</v>
      </c>
      <c r="H52" s="16">
        <f t="shared" si="37"/>
        <v>0.98251627641716199</v>
      </c>
      <c r="I52" s="16">
        <f t="shared" si="37"/>
        <v>0.9849711070388405</v>
      </c>
      <c r="J52" s="16">
        <f t="shared" si="37"/>
        <v>0.98387911025482055</v>
      </c>
      <c r="K52" s="16">
        <f t="shared" si="37"/>
        <v>0.98596718017360918</v>
      </c>
      <c r="L52" s="16">
        <f t="shared" si="37"/>
        <v>0.98637946561926626</v>
      </c>
      <c r="M52" s="16">
        <f t="shared" si="37"/>
        <v>0.98713652624266768</v>
      </c>
      <c r="N52" s="16">
        <f t="shared" si="37"/>
        <v>0.98742612135830621</v>
      </c>
      <c r="O52" s="16">
        <f t="shared" si="37"/>
        <v>0.98809274599401486</v>
      </c>
      <c r="P52" s="16">
        <f t="shared" si="37"/>
        <v>0.99151854167798648</v>
      </c>
      <c r="Q52" s="16">
        <f t="shared" si="37"/>
        <v>0.9923139701100151</v>
      </c>
      <c r="R52" s="16">
        <f t="shared" si="37"/>
        <v>0.99302704651913076</v>
      </c>
      <c r="S52" s="16">
        <f t="shared" si="37"/>
        <v>0.99372940995682246</v>
      </c>
      <c r="T52" s="16">
        <f t="shared" si="37"/>
        <v>0.99213377588777307</v>
      </c>
      <c r="U52" s="16">
        <f t="shared" si="37"/>
        <v>0.99261074156484908</v>
      </c>
      <c r="V52" s="16">
        <f t="shared" si="37"/>
        <v>0.98424241684294622</v>
      </c>
      <c r="W52" s="16">
        <f t="shared" ref="W52:Y52" si="38">IF(W6=0,0,W6/W$3)</f>
        <v>0.99014587996065873</v>
      </c>
      <c r="X52" s="16">
        <f t="shared" si="38"/>
        <v>0.99389236976339057</v>
      </c>
      <c r="Y52" s="16">
        <f t="shared" si="38"/>
        <v>0.99487275980356615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0.37368664432882498</v>
      </c>
      <c r="C53" s="103">
        <f t="shared" si="39"/>
        <v>0.35113277210941474</v>
      </c>
      <c r="D53" s="103">
        <f t="shared" ref="D53:V53" si="40">IF(D7=0,0,D7/D$3)</f>
        <v>0.33103986873550967</v>
      </c>
      <c r="E53" s="103">
        <f t="shared" si="40"/>
        <v>0.31623071333891756</v>
      </c>
      <c r="F53" s="103">
        <f t="shared" si="40"/>
        <v>0.32741657254855439</v>
      </c>
      <c r="G53" s="103">
        <f t="shared" si="40"/>
        <v>0.33575372109111629</v>
      </c>
      <c r="H53" s="103">
        <f t="shared" si="40"/>
        <v>0.27507329654562424</v>
      </c>
      <c r="I53" s="103">
        <f t="shared" si="40"/>
        <v>0.26942316573042518</v>
      </c>
      <c r="J53" s="103">
        <f t="shared" si="40"/>
        <v>0.25353966117254728</v>
      </c>
      <c r="K53" s="103">
        <f t="shared" si="40"/>
        <v>0.25114867743945046</v>
      </c>
      <c r="L53" s="103">
        <f t="shared" si="40"/>
        <v>0.2550011992864013</v>
      </c>
      <c r="M53" s="103">
        <f t="shared" si="40"/>
        <v>0.22836283333884969</v>
      </c>
      <c r="N53" s="103">
        <f t="shared" si="40"/>
        <v>0.21913129188710204</v>
      </c>
      <c r="O53" s="103">
        <f t="shared" si="40"/>
        <v>0.20583413399273212</v>
      </c>
      <c r="P53" s="103">
        <f t="shared" si="40"/>
        <v>0.1867193975745722</v>
      </c>
      <c r="Q53" s="103">
        <f t="shared" si="40"/>
        <v>0.16809632404554972</v>
      </c>
      <c r="R53" s="103">
        <f t="shared" si="40"/>
        <v>0.1762429425588305</v>
      </c>
      <c r="S53" s="103">
        <f t="shared" si="40"/>
        <v>0.16468309308277229</v>
      </c>
      <c r="T53" s="103">
        <f t="shared" si="40"/>
        <v>0.16857670703795685</v>
      </c>
      <c r="U53" s="103">
        <f t="shared" si="40"/>
        <v>0.16506969313053821</v>
      </c>
      <c r="V53" s="103">
        <f t="shared" si="40"/>
        <v>0.20215167485254615</v>
      </c>
      <c r="W53" s="103">
        <f t="shared" ref="W53:Y53" si="41">IF(W7=0,0,W7/W$3)</f>
        <v>0.17790983813160002</v>
      </c>
      <c r="X53" s="103">
        <f t="shared" si="41"/>
        <v>0.16463005488114765</v>
      </c>
      <c r="Y53" s="103">
        <f t="shared" si="41"/>
        <v>0.18888350965672585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0.51509284683531342</v>
      </c>
      <c r="C54" s="103">
        <f t="shared" si="42"/>
        <v>0.52984291629506408</v>
      </c>
      <c r="D54" s="103">
        <f t="shared" ref="D54:V54" si="43">IF(D8=0,0,D8/D$3)</f>
        <v>0.54709005779517095</v>
      </c>
      <c r="E54" s="103">
        <f t="shared" si="43"/>
        <v>0.56391225604779782</v>
      </c>
      <c r="F54" s="103">
        <f t="shared" si="43"/>
        <v>0.547045904081088</v>
      </c>
      <c r="G54" s="103">
        <f t="shared" si="43"/>
        <v>0.53911937747110494</v>
      </c>
      <c r="H54" s="103">
        <f t="shared" si="43"/>
        <v>0.5911799528712256</v>
      </c>
      <c r="I54" s="103">
        <f t="shared" si="43"/>
        <v>0.59932226854121196</v>
      </c>
      <c r="J54" s="103">
        <f t="shared" si="43"/>
        <v>0.60841071537893465</v>
      </c>
      <c r="K54" s="103">
        <f t="shared" si="43"/>
        <v>0.60693181671605534</v>
      </c>
      <c r="L54" s="103">
        <f t="shared" si="43"/>
        <v>0.6009474149509334</v>
      </c>
      <c r="M54" s="103">
        <f t="shared" si="43"/>
        <v>0.62429024579659531</v>
      </c>
      <c r="N54" s="103">
        <f t="shared" si="43"/>
        <v>0.62967669054170783</v>
      </c>
      <c r="O54" s="103">
        <f t="shared" si="43"/>
        <v>0.64056408620914063</v>
      </c>
      <c r="P54" s="103">
        <f t="shared" si="43"/>
        <v>0.66493793519833311</v>
      </c>
      <c r="Q54" s="103">
        <f t="shared" si="43"/>
        <v>0.6831310349602554</v>
      </c>
      <c r="R54" s="103">
        <f t="shared" si="43"/>
        <v>0.68443758485303463</v>
      </c>
      <c r="S54" s="103">
        <f t="shared" si="43"/>
        <v>0.69934073296215471</v>
      </c>
      <c r="T54" s="103">
        <f t="shared" si="43"/>
        <v>0.69533060963693849</v>
      </c>
      <c r="U54" s="103">
        <f t="shared" si="43"/>
        <v>0.69561953249783803</v>
      </c>
      <c r="V54" s="103">
        <f t="shared" si="43"/>
        <v>0.61125810406457715</v>
      </c>
      <c r="W54" s="103">
        <f t="shared" ref="W54:Y54" si="44">IF(W8=0,0,W8/W$3)</f>
        <v>0.66267225945479258</v>
      </c>
      <c r="X54" s="103">
        <f t="shared" si="44"/>
        <v>0.71293566097331362</v>
      </c>
      <c r="Y54" s="103">
        <f t="shared" si="44"/>
        <v>0.6910042640116596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8.6274266228892421E-2</v>
      </c>
      <c r="C55" s="103">
        <f t="shared" si="45"/>
        <v>8.8747364547582835E-2</v>
      </c>
      <c r="D55" s="103">
        <f t="shared" ref="D55:V55" si="46">IF(D9=0,0,D9/D$3)</f>
        <v>9.1631235301674302E-2</v>
      </c>
      <c r="E55" s="103">
        <f t="shared" si="46"/>
        <v>9.4439389742060634E-2</v>
      </c>
      <c r="F55" s="103">
        <f t="shared" si="46"/>
        <v>0.10934374582303558</v>
      </c>
      <c r="G55" s="103">
        <f t="shared" si="46"/>
        <v>0.10884791786696706</v>
      </c>
      <c r="H55" s="103">
        <f t="shared" si="46"/>
        <v>0.11626302700031223</v>
      </c>
      <c r="I55" s="103">
        <f t="shared" si="46"/>
        <v>0.1162256727672034</v>
      </c>
      <c r="J55" s="103">
        <f t="shared" si="46"/>
        <v>0.12192873370333859</v>
      </c>
      <c r="K55" s="103">
        <f t="shared" si="46"/>
        <v>0.1278866860181033</v>
      </c>
      <c r="L55" s="103">
        <f t="shared" si="46"/>
        <v>0.13043085138193167</v>
      </c>
      <c r="M55" s="103">
        <f t="shared" si="46"/>
        <v>0.13448344710722282</v>
      </c>
      <c r="N55" s="103">
        <f t="shared" si="46"/>
        <v>0.13861813892949632</v>
      </c>
      <c r="O55" s="103">
        <f t="shared" si="46"/>
        <v>0.14169452579214209</v>
      </c>
      <c r="P55" s="103">
        <f t="shared" si="46"/>
        <v>0.13986120890508119</v>
      </c>
      <c r="Q55" s="103">
        <f t="shared" si="46"/>
        <v>0.14108661110421006</v>
      </c>
      <c r="R55" s="103">
        <f t="shared" si="46"/>
        <v>0.13234651910726558</v>
      </c>
      <c r="S55" s="103">
        <f t="shared" si="46"/>
        <v>0.12970558391189541</v>
      </c>
      <c r="T55" s="103">
        <f t="shared" si="46"/>
        <v>0.12822645921287779</v>
      </c>
      <c r="U55" s="103">
        <f t="shared" si="46"/>
        <v>0.13192151593647292</v>
      </c>
      <c r="V55" s="103">
        <f t="shared" si="46"/>
        <v>0.1708326379258229</v>
      </c>
      <c r="W55" s="103">
        <f t="shared" ref="W55:Y55" si="47">IF(W9=0,0,W9/W$3)</f>
        <v>0.14956378237426618</v>
      </c>
      <c r="X55" s="103">
        <f t="shared" si="47"/>
        <v>0.11632665390892939</v>
      </c>
      <c r="Y55" s="103">
        <f t="shared" si="47"/>
        <v>0.11498498613518084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2.4946242606969111E-2</v>
      </c>
      <c r="C56" s="17">
        <f t="shared" si="48"/>
        <v>3.0276947047938214E-2</v>
      </c>
      <c r="D56" s="17">
        <f t="shared" ref="D56:V56" si="49">IF(D10=0,0,D10/D$3)</f>
        <v>3.0238838167645006E-2</v>
      </c>
      <c r="E56" s="17">
        <f t="shared" si="49"/>
        <v>2.541764087122398E-2</v>
      </c>
      <c r="F56" s="17">
        <f t="shared" si="49"/>
        <v>1.6193777547321989E-2</v>
      </c>
      <c r="G56" s="17">
        <f t="shared" si="49"/>
        <v>1.6278983570811652E-2</v>
      </c>
      <c r="H56" s="17">
        <f t="shared" si="49"/>
        <v>1.748372358283801E-2</v>
      </c>
      <c r="I56" s="17">
        <f t="shared" si="49"/>
        <v>1.50288929611595E-2</v>
      </c>
      <c r="J56" s="17">
        <f t="shared" si="49"/>
        <v>1.6120889745179411E-2</v>
      </c>
      <c r="K56" s="17">
        <f t="shared" si="49"/>
        <v>1.4032819826390951E-2</v>
      </c>
      <c r="L56" s="17">
        <f t="shared" si="49"/>
        <v>1.3620534380733556E-2</v>
      </c>
      <c r="M56" s="17">
        <f t="shared" si="49"/>
        <v>1.2863473757332156E-2</v>
      </c>
      <c r="N56" s="17">
        <f t="shared" si="49"/>
        <v>1.2573878641693934E-2</v>
      </c>
      <c r="O56" s="17">
        <f t="shared" si="49"/>
        <v>1.1907254005985224E-2</v>
      </c>
      <c r="P56" s="17">
        <f t="shared" si="49"/>
        <v>8.4814583220136543E-3</v>
      </c>
      <c r="Q56" s="17">
        <f t="shared" si="49"/>
        <v>7.6860298899848927E-3</v>
      </c>
      <c r="R56" s="17">
        <f t="shared" si="49"/>
        <v>6.9729534808693058E-3</v>
      </c>
      <c r="S56" s="17">
        <f t="shared" si="49"/>
        <v>6.2705900431775357E-3</v>
      </c>
      <c r="T56" s="17">
        <f t="shared" si="49"/>
        <v>7.8662241122268561E-3</v>
      </c>
      <c r="U56" s="17">
        <f t="shared" si="49"/>
        <v>7.3892584351509909E-3</v>
      </c>
      <c r="V56" s="17">
        <f t="shared" si="49"/>
        <v>1.5757583157053674E-2</v>
      </c>
      <c r="W56" s="17">
        <f t="shared" ref="W56:Y56" si="50">IF(W10=0,0,W10/W$3)</f>
        <v>9.8541200393410522E-3</v>
      </c>
      <c r="X56" s="17">
        <f t="shared" si="50"/>
        <v>6.1076302366092896E-3</v>
      </c>
      <c r="Y56" s="17">
        <f t="shared" si="50"/>
        <v>5.1272401964336783E-3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1.1621393589998332E-2</v>
      </c>
      <c r="C57" s="104">
        <f t="shared" si="51"/>
        <v>1.3569611724692978E-2</v>
      </c>
      <c r="D57" s="104">
        <f t="shared" ref="D57:V57" si="52">IF(D11=0,0,D11/D$3)</f>
        <v>1.3313798657373407E-2</v>
      </c>
      <c r="E57" s="104">
        <f t="shared" si="52"/>
        <v>1.0967358293007821E-2</v>
      </c>
      <c r="F57" s="104">
        <f t="shared" si="52"/>
        <v>5.9733064996062993E-3</v>
      </c>
      <c r="G57" s="104">
        <f t="shared" si="52"/>
        <v>6.0217606249600153E-3</v>
      </c>
      <c r="H57" s="104">
        <f t="shared" si="52"/>
        <v>4.9020893970846916E-3</v>
      </c>
      <c r="I57" s="104">
        <f t="shared" si="52"/>
        <v>3.8813814794330733E-3</v>
      </c>
      <c r="J57" s="104">
        <f t="shared" si="52"/>
        <v>4.1552568233455415E-3</v>
      </c>
      <c r="K57" s="104">
        <f t="shared" si="52"/>
        <v>3.0305391847004924E-3</v>
      </c>
      <c r="L57" s="104">
        <f t="shared" si="52"/>
        <v>3.0335950466458929E-3</v>
      </c>
      <c r="M57" s="104">
        <f t="shared" si="52"/>
        <v>2.3629602077873879E-3</v>
      </c>
      <c r="N57" s="104">
        <f t="shared" si="52"/>
        <v>1.9951089452071719E-3</v>
      </c>
      <c r="O57" s="104">
        <f t="shared" si="52"/>
        <v>1.8880840934605732E-3</v>
      </c>
      <c r="P57" s="104">
        <f t="shared" si="52"/>
        <v>1.0422307181382777E-3</v>
      </c>
      <c r="Q57" s="104">
        <f t="shared" si="52"/>
        <v>8.1232477412189214E-4</v>
      </c>
      <c r="R57" s="104">
        <f t="shared" si="52"/>
        <v>6.7412935909618528E-4</v>
      </c>
      <c r="S57" s="104">
        <f t="shared" si="52"/>
        <v>4.2596908234221752E-4</v>
      </c>
      <c r="T57" s="104">
        <f t="shared" si="52"/>
        <v>7.7814752231621489E-4</v>
      </c>
      <c r="U57" s="104">
        <f t="shared" si="52"/>
        <v>6.555849681372086E-4</v>
      </c>
      <c r="V57" s="104">
        <f t="shared" si="52"/>
        <v>8.4154895530742357E-4</v>
      </c>
      <c r="W57" s="104">
        <f t="shared" ref="W57:Y57" si="53">IF(W11=0,0,W11/W$3)</f>
        <v>6.0364436123870884E-4</v>
      </c>
      <c r="X57" s="104">
        <f t="shared" si="53"/>
        <v>4.8049263265671034E-4</v>
      </c>
      <c r="Y57" s="104">
        <f t="shared" si="53"/>
        <v>5.7418244524260267E-4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1.2183912223600568E-2</v>
      </c>
      <c r="C58" s="104">
        <f t="shared" si="54"/>
        <v>1.5486955647264935E-2</v>
      </c>
      <c r="D58" s="104">
        <f t="shared" ref="D58:V58" si="55">IF(D12=0,0,D12/D$3)</f>
        <v>1.5647337251978925E-2</v>
      </c>
      <c r="E58" s="104">
        <f t="shared" si="55"/>
        <v>1.3049154458088255E-2</v>
      </c>
      <c r="F58" s="104">
        <f t="shared" si="55"/>
        <v>9.235486169628649E-3</v>
      </c>
      <c r="G58" s="104">
        <f t="shared" si="55"/>
        <v>9.271573005739369E-3</v>
      </c>
      <c r="H58" s="104">
        <f t="shared" si="55"/>
        <v>1.160838334087203E-2</v>
      </c>
      <c r="I58" s="104">
        <f t="shared" si="55"/>
        <v>1.0350949203455221E-2</v>
      </c>
      <c r="J58" s="104">
        <f t="shared" si="55"/>
        <v>1.1125495513390034E-2</v>
      </c>
      <c r="K58" s="104">
        <f t="shared" si="55"/>
        <v>1.0190824281033564E-2</v>
      </c>
      <c r="L58" s="104">
        <f t="shared" si="55"/>
        <v>1.0077436448654113E-2</v>
      </c>
      <c r="M58" s="104">
        <f t="shared" si="55"/>
        <v>9.9214997808193227E-3</v>
      </c>
      <c r="N58" s="104">
        <f t="shared" si="55"/>
        <v>9.9451080840354568E-3</v>
      </c>
      <c r="O58" s="104">
        <f t="shared" si="55"/>
        <v>9.5611157659711479E-3</v>
      </c>
      <c r="P58" s="104">
        <f t="shared" si="55"/>
        <v>7.1011131685940138E-3</v>
      </c>
      <c r="Q58" s="104">
        <f t="shared" si="55"/>
        <v>6.3954435653404999E-3</v>
      </c>
      <c r="R58" s="104">
        <f t="shared" si="55"/>
        <v>5.9037928285586971E-3</v>
      </c>
      <c r="S58" s="104">
        <f t="shared" si="55"/>
        <v>5.4155045399105848E-3</v>
      </c>
      <c r="T58" s="104">
        <f t="shared" si="55"/>
        <v>6.4365948985143891E-3</v>
      </c>
      <c r="U58" s="104">
        <f t="shared" si="55"/>
        <v>5.9914398596199077E-3</v>
      </c>
      <c r="V58" s="104">
        <f t="shared" si="55"/>
        <v>1.2192882781892676E-2</v>
      </c>
      <c r="W58" s="104">
        <f t="shared" ref="W58:Y58" si="56">IF(W12=0,0,W12/W$3)</f>
        <v>7.549450228447014E-3</v>
      </c>
      <c r="X58" s="104">
        <f t="shared" si="56"/>
        <v>4.60077514115333E-3</v>
      </c>
      <c r="Y58" s="104">
        <f t="shared" si="56"/>
        <v>3.7652576977713404E-3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1.1409367933702085E-3</v>
      </c>
      <c r="C59" s="105">
        <f t="shared" si="57"/>
        <v>1.2203796759803047E-3</v>
      </c>
      <c r="D59" s="105">
        <f t="shared" ref="D59:V59" si="58">IF(D13=0,0,D13/D$3)</f>
        <v>1.2777022582926777E-3</v>
      </c>
      <c r="E59" s="105">
        <f t="shared" si="58"/>
        <v>1.4011281201279063E-3</v>
      </c>
      <c r="F59" s="105">
        <f t="shared" si="58"/>
        <v>9.8498487808704269E-4</v>
      </c>
      <c r="G59" s="105">
        <f t="shared" si="58"/>
        <v>9.8564994011226766E-4</v>
      </c>
      <c r="H59" s="105">
        <f t="shared" si="58"/>
        <v>9.732508448812877E-4</v>
      </c>
      <c r="I59" s="105">
        <f t="shared" si="58"/>
        <v>7.9656227827120567E-4</v>
      </c>
      <c r="J59" s="105">
        <f t="shared" si="58"/>
        <v>8.4013740844383683E-4</v>
      </c>
      <c r="K59" s="105">
        <f t="shared" si="58"/>
        <v>8.1145636065689422E-4</v>
      </c>
      <c r="L59" s="105">
        <f t="shared" si="58"/>
        <v>5.0950288543354907E-4</v>
      </c>
      <c r="M59" s="105">
        <f t="shared" si="58"/>
        <v>5.7901376872544622E-4</v>
      </c>
      <c r="N59" s="105">
        <f t="shared" si="58"/>
        <v>6.336616124513044E-4</v>
      </c>
      <c r="O59" s="105">
        <f t="shared" si="58"/>
        <v>4.5805414655350322E-4</v>
      </c>
      <c r="P59" s="105">
        <f t="shared" si="58"/>
        <v>3.3811443528136231E-4</v>
      </c>
      <c r="Q59" s="105">
        <f t="shared" si="58"/>
        <v>4.7826155052250021E-4</v>
      </c>
      <c r="R59" s="105">
        <f t="shared" si="58"/>
        <v>3.950312932144235E-4</v>
      </c>
      <c r="S59" s="105">
        <f t="shared" si="58"/>
        <v>4.2911642092473328E-4</v>
      </c>
      <c r="T59" s="105">
        <f t="shared" si="58"/>
        <v>6.5148169139625132E-4</v>
      </c>
      <c r="U59" s="105">
        <f t="shared" si="58"/>
        <v>7.4223360739387502E-4</v>
      </c>
      <c r="V59" s="105">
        <f t="shared" si="58"/>
        <v>2.7231514198535738E-3</v>
      </c>
      <c r="W59" s="105">
        <f t="shared" ref="W59:Y59" si="59">IF(W13=0,0,W13/W$3)</f>
        <v>1.7010254496553298E-3</v>
      </c>
      <c r="X59" s="105">
        <f t="shared" si="59"/>
        <v>1.0263624627992491E-3</v>
      </c>
      <c r="Y59" s="105">
        <f t="shared" si="59"/>
        <v>7.8780005341973572E-4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27368775</v>
      </c>
      <c r="C4" s="11">
        <f t="shared" si="0"/>
        <v>25739083</v>
      </c>
      <c r="D4" s="11">
        <f t="shared" ref="D4" si="1">SUM(D5:D7)</f>
        <v>25088132</v>
      </c>
      <c r="E4" s="11">
        <f t="shared" ref="E4" si="2">SUM(E5:E7)</f>
        <v>25387744</v>
      </c>
      <c r="F4" s="11">
        <f t="shared" ref="F4" si="3">SUM(F5:F7)</f>
        <v>28042409</v>
      </c>
      <c r="G4" s="11">
        <f t="shared" ref="G4" si="4">SUM(G5:G7)</f>
        <v>29091736</v>
      </c>
      <c r="H4" s="11">
        <f t="shared" ref="H4" si="5">SUM(H5:H7)</f>
        <v>30892360</v>
      </c>
      <c r="I4" s="11">
        <f t="shared" ref="I4" si="6">SUM(I5:I7)</f>
        <v>32826580</v>
      </c>
      <c r="J4" s="11">
        <f t="shared" ref="J4" si="7">SUM(J5:J7)</f>
        <v>32060819</v>
      </c>
      <c r="K4" s="11">
        <f t="shared" ref="K4" si="8">SUM(K5:K7)</f>
        <v>30964261</v>
      </c>
      <c r="L4" s="11">
        <f t="shared" ref="L4" si="9">SUM(L5:L7)</f>
        <v>29582505</v>
      </c>
      <c r="M4" s="11">
        <f t="shared" ref="M4" si="10">SUM(M5:M7)</f>
        <v>29790584</v>
      </c>
      <c r="N4" s="11">
        <f t="shared" ref="N4" si="11">SUM(N5:N7)</f>
        <v>27983328</v>
      </c>
      <c r="O4" s="11">
        <f t="shared" ref="O4" si="12">SUM(O5:O7)</f>
        <v>27940390</v>
      </c>
      <c r="P4" s="11">
        <f t="shared" ref="P4" si="13">SUM(P5:P7)</f>
        <v>31956812</v>
      </c>
      <c r="Q4" s="11">
        <f t="shared" ref="Q4" si="14">SUM(Q5:Q7)</f>
        <v>34180454</v>
      </c>
      <c r="R4" s="11">
        <f t="shared" ref="R4" si="15">SUM(R5:R7)</f>
        <v>36454956</v>
      </c>
      <c r="S4" s="11">
        <f t="shared" ref="S4" si="16">SUM(S5:S7)</f>
        <v>37819276</v>
      </c>
      <c r="T4" s="11">
        <f t="shared" ref="T4" si="17">SUM(T5:T7)</f>
        <v>39958157</v>
      </c>
      <c r="U4" s="11">
        <f t="shared" ref="U4" si="18">SUM(U5:U7)</f>
        <v>40620119</v>
      </c>
      <c r="V4" s="11">
        <f t="shared" ref="V4:W4" si="19">SUM(V5:V7)</f>
        <v>17423122</v>
      </c>
      <c r="W4" s="11">
        <f t="shared" si="19"/>
        <v>33310038</v>
      </c>
      <c r="X4" s="11">
        <f t="shared" ref="X4:Y4" si="20">SUM(X5:X7)</f>
        <v>46400123</v>
      </c>
      <c r="Y4" s="11">
        <f t="shared" si="20"/>
        <v>47055377</v>
      </c>
      <c r="DA4" s="189" t="s">
        <v>362</v>
      </c>
    </row>
    <row r="5" spans="1:105" ht="11.45" customHeight="1" x14ac:dyDescent="0.25">
      <c r="A5" s="83" t="s">
        <v>27</v>
      </c>
      <c r="B5" s="84">
        <v>9862567</v>
      </c>
      <c r="C5" s="84">
        <v>9398991</v>
      </c>
      <c r="D5" s="84">
        <v>8664770</v>
      </c>
      <c r="E5" s="84">
        <v>8333912</v>
      </c>
      <c r="F5" s="84">
        <v>9689026</v>
      </c>
      <c r="G5" s="84">
        <v>9979680</v>
      </c>
      <c r="H5" s="84">
        <v>10612685</v>
      </c>
      <c r="I5" s="84">
        <v>11538743</v>
      </c>
      <c r="J5" s="84">
        <v>11264785</v>
      </c>
      <c r="K5" s="84">
        <v>11631128</v>
      </c>
      <c r="L5" s="84">
        <v>10459288</v>
      </c>
      <c r="M5" s="84">
        <v>9829051</v>
      </c>
      <c r="N5" s="84">
        <v>9127668</v>
      </c>
      <c r="O5" s="84">
        <v>8185055</v>
      </c>
      <c r="P5" s="84">
        <v>9289544</v>
      </c>
      <c r="Q5" s="84">
        <v>10506238</v>
      </c>
      <c r="R5" s="84">
        <v>11582224</v>
      </c>
      <c r="S5" s="84">
        <v>10895305</v>
      </c>
      <c r="T5" s="84">
        <v>11006944</v>
      </c>
      <c r="U5" s="84">
        <v>10839882</v>
      </c>
      <c r="V5" s="84">
        <v>6280416</v>
      </c>
      <c r="W5" s="84">
        <v>10804425</v>
      </c>
      <c r="X5" s="84">
        <v>13009741</v>
      </c>
      <c r="Y5" s="84">
        <v>13040327</v>
      </c>
      <c r="DA5" s="171" t="s">
        <v>363</v>
      </c>
    </row>
    <row r="6" spans="1:105" ht="11.45" customHeight="1" x14ac:dyDescent="0.25">
      <c r="A6" s="83" t="s">
        <v>181</v>
      </c>
      <c r="B6" s="84">
        <v>16060826</v>
      </c>
      <c r="C6" s="84">
        <v>14989989</v>
      </c>
      <c r="D6" s="84">
        <v>15065305</v>
      </c>
      <c r="E6" s="84">
        <v>15642467</v>
      </c>
      <c r="F6" s="84">
        <v>16686550</v>
      </c>
      <c r="G6" s="84">
        <v>17248273</v>
      </c>
      <c r="H6" s="84">
        <v>18167423</v>
      </c>
      <c r="I6" s="84">
        <v>18898078</v>
      </c>
      <c r="J6" s="84">
        <v>18227853</v>
      </c>
      <c r="K6" s="84">
        <v>16993846</v>
      </c>
      <c r="L6" s="84">
        <v>16389324</v>
      </c>
      <c r="M6" s="84">
        <v>17029469</v>
      </c>
      <c r="N6" s="84">
        <v>15727078</v>
      </c>
      <c r="O6" s="84">
        <v>15857673</v>
      </c>
      <c r="P6" s="84">
        <v>18556974</v>
      </c>
      <c r="Q6" s="84">
        <v>19912941</v>
      </c>
      <c r="R6" s="84">
        <v>20749221</v>
      </c>
      <c r="S6" s="84">
        <v>22413259</v>
      </c>
      <c r="T6" s="84">
        <v>24012893</v>
      </c>
      <c r="U6" s="84">
        <v>24367312</v>
      </c>
      <c r="V6" s="84">
        <v>9843064</v>
      </c>
      <c r="W6" s="84">
        <v>19037899</v>
      </c>
      <c r="X6" s="84">
        <v>28968384</v>
      </c>
      <c r="Y6" s="84">
        <v>29128493</v>
      </c>
      <c r="DA6" s="171" t="s">
        <v>364</v>
      </c>
    </row>
    <row r="7" spans="1:105" ht="11.45" customHeight="1" x14ac:dyDescent="0.25">
      <c r="A7" s="85" t="s">
        <v>182</v>
      </c>
      <c r="B7" s="86">
        <v>1445382</v>
      </c>
      <c r="C7" s="86">
        <v>1350103</v>
      </c>
      <c r="D7" s="86">
        <v>1358057</v>
      </c>
      <c r="E7" s="86">
        <v>1411365</v>
      </c>
      <c r="F7" s="86">
        <v>1666833</v>
      </c>
      <c r="G7" s="86">
        <v>1863783</v>
      </c>
      <c r="H7" s="86">
        <v>2112252</v>
      </c>
      <c r="I7" s="86">
        <v>2389759</v>
      </c>
      <c r="J7" s="86">
        <v>2568181</v>
      </c>
      <c r="K7" s="86">
        <v>2339287</v>
      </c>
      <c r="L7" s="86">
        <v>2733893</v>
      </c>
      <c r="M7" s="86">
        <v>2932064</v>
      </c>
      <c r="N7" s="86">
        <v>3128582</v>
      </c>
      <c r="O7" s="86">
        <v>3897662</v>
      </c>
      <c r="P7" s="86">
        <v>4110294</v>
      </c>
      <c r="Q7" s="86">
        <v>3761275</v>
      </c>
      <c r="R7" s="86">
        <v>4123511</v>
      </c>
      <c r="S7" s="86">
        <v>4510712</v>
      </c>
      <c r="T7" s="86">
        <v>4938320</v>
      </c>
      <c r="U7" s="86">
        <v>5412925</v>
      </c>
      <c r="V7" s="86">
        <v>1299642</v>
      </c>
      <c r="W7" s="86">
        <v>3467714</v>
      </c>
      <c r="X7" s="86">
        <v>4421998</v>
      </c>
      <c r="Y7" s="86">
        <v>4886557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133.33061333852973</v>
      </c>
      <c r="C12" s="14">
        <f>IF(C4=0,0,C4/TrAvia_act!C24)</f>
        <v>133.55827167156156</v>
      </c>
      <c r="D12" s="14">
        <f>IF(D4=0,0,D4/TrAvia_act!D24)</f>
        <v>136.14949883051409</v>
      </c>
      <c r="E12" s="14">
        <f>IF(E4=0,0,E4/TrAvia_act!E24)</f>
        <v>138.46677102138545</v>
      </c>
      <c r="F12" s="14">
        <f>IF(F4=0,0,F4/TrAvia_act!F24)</f>
        <v>138.19440666272422</v>
      </c>
      <c r="G12" s="14">
        <f>IF(G4=0,0,G4/TrAvia_act!G24)</f>
        <v>147.17548199750084</v>
      </c>
      <c r="H12" s="14">
        <f>IF(H4=0,0,H4/TrAvia_act!H24)</f>
        <v>148.02422639411972</v>
      </c>
      <c r="I12" s="14">
        <f>IF(I4=0,0,I4/TrAvia_act!I24)</f>
        <v>149.53799198250729</v>
      </c>
      <c r="J12" s="14">
        <f>IF(J4=0,0,J4/TrAvia_act!J24)</f>
        <v>152.54199555612649</v>
      </c>
      <c r="K12" s="14">
        <f>IF(K4=0,0,K4/TrAvia_act!K24)</f>
        <v>141.38286379617369</v>
      </c>
      <c r="L12" s="14">
        <f>IF(L4=0,0,L4/TrAvia_act!L24)</f>
        <v>145.07272638109015</v>
      </c>
      <c r="M12" s="14">
        <f>IF(M4=0,0,M4/TrAvia_act!M24)</f>
        <v>150.6248559004955</v>
      </c>
      <c r="N12" s="14">
        <f>IF(N4=0,0,N4/TrAvia_act!N24)</f>
        <v>151.06607139965126</v>
      </c>
      <c r="O12" s="14">
        <f>IF(O4=0,0,O4/TrAvia_act!O24)</f>
        <v>155.17352645521746</v>
      </c>
      <c r="P12" s="14">
        <f>IF(P4=0,0,P4/TrAvia_act!P24)</f>
        <v>159.64277614311334</v>
      </c>
      <c r="Q12" s="14">
        <f>IF(Q4=0,0,Q4/TrAvia_act!Q24)</f>
        <v>159.60912627071554</v>
      </c>
      <c r="R12" s="14">
        <f>IF(R4=0,0,R4/TrAvia_act!R24)</f>
        <v>160.70354337303721</v>
      </c>
      <c r="S12" s="14">
        <f>IF(S4=0,0,S4/TrAvia_act!S24)</f>
        <v>159.02412318508459</v>
      </c>
      <c r="T12" s="14">
        <f>IF(T4=0,0,T4/TrAvia_act!T24)</f>
        <v>156.30757946784124</v>
      </c>
      <c r="U12" s="14">
        <f>IF(U4=0,0,U4/TrAvia_act!U24)</f>
        <v>155.72452328193646</v>
      </c>
      <c r="V12" s="14">
        <f>IF(V4=0,0,V4/TrAvia_act!V24)</f>
        <v>138.98580875724917</v>
      </c>
      <c r="W12" s="14">
        <f>IF(W4=0,0,W4/TrAvia_act!W24)</f>
        <v>167.16032518693231</v>
      </c>
      <c r="X12" s="14">
        <f>IF(X4=0,0,X4/TrAvia_act!X24)</f>
        <v>170.92551130168272</v>
      </c>
      <c r="Y12" s="14">
        <f>IF(Y4=0,0,Y4/TrAvia_act!Y24)</f>
        <v>171.5946707800922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92.041053063814701</v>
      </c>
      <c r="C13" s="87">
        <f>IF(C5=0,0,C5/TrAvia_act!C25)</f>
        <v>92.656581788069673</v>
      </c>
      <c r="D13" s="87">
        <f>IF(D5=0,0,D5/TrAvia_act!D25)</f>
        <v>93.270864056663683</v>
      </c>
      <c r="E13" s="87">
        <f>IF(E5=0,0,E5/TrAvia_act!E25)</f>
        <v>93.734248116072436</v>
      </c>
      <c r="F13" s="87">
        <f>IF(F5=0,0,F5/TrAvia_act!F25)</f>
        <v>95.748932721954304</v>
      </c>
      <c r="G13" s="87">
        <f>IF(G5=0,0,G5/TrAvia_act!G25)</f>
        <v>101.91874834044813</v>
      </c>
      <c r="H13" s="87">
        <f>IF(H5=0,0,H5/TrAvia_act!H25)</f>
        <v>103.58588816335295</v>
      </c>
      <c r="I13" s="87">
        <f>IF(I5=0,0,I5/TrAvia_act!I25)</f>
        <v>109.14024251825508</v>
      </c>
      <c r="J13" s="87">
        <f>IF(J5=0,0,J5/TrAvia_act!J25)</f>
        <v>113.28109130036907</v>
      </c>
      <c r="K13" s="87">
        <f>IF(K5=0,0,K5/TrAvia_act!K25)</f>
        <v>102.94217918875623</v>
      </c>
      <c r="L13" s="87">
        <f>IF(L5=0,0,L5/TrAvia_act!L25)</f>
        <v>103.60654568507806</v>
      </c>
      <c r="M13" s="87">
        <f>IF(M5=0,0,M5/TrAvia_act!M25)</f>
        <v>108.47525134917394</v>
      </c>
      <c r="N13" s="87">
        <f>IF(N5=0,0,N5/TrAvia_act!N25)</f>
        <v>106.49478473923696</v>
      </c>
      <c r="O13" s="87">
        <f>IF(O5=0,0,O5/TrAvia_act!O25)</f>
        <v>104.34664269960862</v>
      </c>
      <c r="P13" s="87">
        <f>IF(P5=0,0,P5/TrAvia_act!P25)</f>
        <v>112.01939031448968</v>
      </c>
      <c r="Q13" s="87">
        <f>IF(Q5=0,0,Q5/TrAvia_act!Q25)</f>
        <v>115.48996933088567</v>
      </c>
      <c r="R13" s="87">
        <f>IF(R5=0,0,R5/TrAvia_act!R25)</f>
        <v>121.27348306371394</v>
      </c>
      <c r="S13" s="87">
        <f>IF(S5=0,0,S5/TrAvia_act!S25)</f>
        <v>113.14272511085495</v>
      </c>
      <c r="T13" s="87">
        <f>IF(T5=0,0,T5/TrAvia_act!T25)</f>
        <v>108.86431206543563</v>
      </c>
      <c r="U13" s="87">
        <f>IF(U5=0,0,U5/TrAvia_act!U25)</f>
        <v>105.20173914731315</v>
      </c>
      <c r="V13" s="87">
        <f>IF(V5=0,0,V5/TrAvia_act!V25)</f>
        <v>98.419068214940523</v>
      </c>
      <c r="W13" s="87">
        <f>IF(W5=0,0,W5/TrAvia_act!W25)</f>
        <v>123.83153201682502</v>
      </c>
      <c r="X13" s="87">
        <f>IF(X5=0,0,X5/TrAvia_act!X25)</f>
        <v>123.83153436131734</v>
      </c>
      <c r="Y13" s="87">
        <f>IF(Y5=0,0,Y5/TrAvia_act!Y25)</f>
        <v>123.831530667477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180.37157328481746</v>
      </c>
      <c r="C14" s="87">
        <f>IF(C6=0,0,C6/TrAvia_act!C26)</f>
        <v>180.95546729761705</v>
      </c>
      <c r="D14" s="87">
        <f>IF(D6=0,0,D6/TrAvia_act!D26)</f>
        <v>181.68262563162529</v>
      </c>
      <c r="E14" s="87">
        <f>IF(E6=0,0,E6/TrAvia_act!E26)</f>
        <v>182.51096176508335</v>
      </c>
      <c r="F14" s="87">
        <f>IF(F6=0,0,F6/TrAvia_act!F26)</f>
        <v>183.82723937734789</v>
      </c>
      <c r="G14" s="87">
        <f>IF(G6=0,0,G6/TrAvia_act!G26)</f>
        <v>194.5462164021701</v>
      </c>
      <c r="H14" s="87">
        <f>IF(H6=0,0,H6/TrAvia_act!H26)</f>
        <v>193.37331559340075</v>
      </c>
      <c r="I14" s="87">
        <f>IF(I6=0,0,I6/TrAvia_act!I26)</f>
        <v>189.4240322354309</v>
      </c>
      <c r="J14" s="87">
        <f>IF(J6=0,0,J6/TrAvia_act!J26)</f>
        <v>190.8475866401424</v>
      </c>
      <c r="K14" s="87">
        <f>IF(K6=0,0,K6/TrAvia_act!K26)</f>
        <v>186.43006340917569</v>
      </c>
      <c r="L14" s="87">
        <f>IF(L6=0,0,L6/TrAvia_act!L26)</f>
        <v>188.799695880564</v>
      </c>
      <c r="M14" s="87">
        <f>IF(M6=0,0,M6/TrAvia_act!M26)</f>
        <v>190.80637535014006</v>
      </c>
      <c r="N14" s="87">
        <f>IF(N6=0,0,N6/TrAvia_act!N26)</f>
        <v>194.29098411286537</v>
      </c>
      <c r="O14" s="87">
        <f>IF(O6=0,0,O6/TrAvia_act!O26)</f>
        <v>198.45906337605126</v>
      </c>
      <c r="P14" s="87">
        <f>IF(P6=0,0,P6/TrAvia_act!P26)</f>
        <v>196.68854335590956</v>
      </c>
      <c r="Q14" s="87">
        <f>IF(Q6=0,0,Q6/TrAvia_act!Q26)</f>
        <v>196.08808381995254</v>
      </c>
      <c r="R14" s="87">
        <f>IF(R6=0,0,R6/TrAvia_act!R26)</f>
        <v>191.68225740891288</v>
      </c>
      <c r="S14" s="87">
        <f>IF(S6=0,0,S6/TrAvia_act!S26)</f>
        <v>192.50911730096971</v>
      </c>
      <c r="T14" s="87">
        <f>IF(T6=0,0,T6/TrAvia_act!T26)</f>
        <v>186.77047344227614</v>
      </c>
      <c r="U14" s="87">
        <f>IF(U6=0,0,U6/TrAvia_act!U26)</f>
        <v>187.9787700188231</v>
      </c>
      <c r="V14" s="87">
        <f>IF(V6=0,0,V6/TrAvia_act!V26)</f>
        <v>180.41137117615793</v>
      </c>
      <c r="W14" s="87">
        <f>IF(W6=0,0,W6/TrAvia_act!W26)</f>
        <v>197.39029321499669</v>
      </c>
      <c r="X14" s="87">
        <f>IF(X6=0,0,X6/TrAvia_act!X26)</f>
        <v>197.67164342058575</v>
      </c>
      <c r="Y14" s="87">
        <f>IF(Y6=0,0,Y6/TrAvia_act!Y26)</f>
        <v>198.18671882973294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159.30585252948308</v>
      </c>
      <c r="C15" s="88">
        <f>IF(C7=0,0,C7/TrAvia_act!C27)</f>
        <v>159.94585949532046</v>
      </c>
      <c r="D15" s="88">
        <f>IF(D7=0,0,D7/TrAvia_act!D27)</f>
        <v>160.73582672505623</v>
      </c>
      <c r="E15" s="88">
        <f>IF(E7=0,0,E7/TrAvia_act!E27)</f>
        <v>161.63135593220338</v>
      </c>
      <c r="F15" s="88">
        <f>IF(F7=0,0,F7/TrAvia_act!F27)</f>
        <v>152.15271565495209</v>
      </c>
      <c r="G15" s="88">
        <f>IF(G7=0,0,G7/TrAvia_act!G27)</f>
        <v>168.05978358881876</v>
      </c>
      <c r="H15" s="88">
        <f>IF(H7=0,0,H7/TrAvia_act!H27)</f>
        <v>171.79764131760879</v>
      </c>
      <c r="I15" s="88">
        <f>IF(I7=0,0,I7/TrAvia_act!I27)</f>
        <v>170.33207412687099</v>
      </c>
      <c r="J15" s="88">
        <f>IF(J7=0,0,J7/TrAvia_act!J27)</f>
        <v>168.67076054117956</v>
      </c>
      <c r="K15" s="88">
        <f>IF(K7=0,0,K7/TrAvia_act!K27)</f>
        <v>157.32645100544758</v>
      </c>
      <c r="L15" s="88">
        <f>IF(L7=0,0,L7/TrAvia_act!L27)</f>
        <v>169.22890745899102</v>
      </c>
      <c r="M15" s="88">
        <f>IF(M7=0,0,M7/TrAvia_act!M27)</f>
        <v>163.62877392711647</v>
      </c>
      <c r="N15" s="88">
        <f>IF(N7=0,0,N7/TrAvia_act!N27)</f>
        <v>168.35720820104396</v>
      </c>
      <c r="O15" s="88">
        <f>IF(O7=0,0,O7/TrAvia_act!O27)</f>
        <v>179.49995394676245</v>
      </c>
      <c r="P15" s="88">
        <f>IF(P7=0,0,P7/TrAvia_act!P27)</f>
        <v>179.47314645009169</v>
      </c>
      <c r="Q15" s="88">
        <f>IF(Q7=0,0,Q7/TrAvia_act!Q27)</f>
        <v>173.89962550279716</v>
      </c>
      <c r="R15" s="88">
        <f>IF(R7=0,0,R7/TrAvia_act!R27)</f>
        <v>178.56107911488328</v>
      </c>
      <c r="S15" s="88">
        <f>IF(S7=0,0,S7/TrAvia_act!S27)</f>
        <v>179.73112324182173</v>
      </c>
      <c r="T15" s="88">
        <f>IF(T7=0,0,T7/TrAvia_act!T27)</f>
        <v>190.21338879901396</v>
      </c>
      <c r="U15" s="88">
        <f>IF(U7=0,0,U7/TrAvia_act!U27)</f>
        <v>192.09074133219772</v>
      </c>
      <c r="V15" s="88">
        <f>IF(V7=0,0,V7/TrAvia_act!V27)</f>
        <v>186.00858737655645</v>
      </c>
      <c r="W15" s="88">
        <f>IF(W7=0,0,W7/TrAvia_act!W27)</f>
        <v>222.70335880804058</v>
      </c>
      <c r="X15" s="88">
        <f>IF(X7=0,0,X7/TrAvia_act!X27)</f>
        <v>222.70336422240129</v>
      </c>
      <c r="Y15" s="88">
        <f>IF(Y7=0,0,Y7/TrAvia_act!Y27)</f>
        <v>222.70335429769392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0.64991798134918355</v>
      </c>
      <c r="C18" s="25">
        <f>IF(TrAvia_act!C34=0,0,(TrAvia_act!C34/TrAvia_act!C24)/TrAvia_png!C12)</f>
        <v>0.64979894582880049</v>
      </c>
      <c r="D18" s="25">
        <f>IF(TrAvia_act!D34=0,0,(TrAvia_act!D34/TrAvia_act!D24)/TrAvia_png!D12)</f>
        <v>0.65190541089308673</v>
      </c>
      <c r="E18" s="25">
        <f>IF(TrAvia_act!E34=0,0,(TrAvia_act!E34/TrAvia_act!E24)/TrAvia_png!E12)</f>
        <v>0.65399871686117517</v>
      </c>
      <c r="F18" s="25">
        <f>IF(TrAvia_act!F34=0,0,(TrAvia_act!F34/TrAvia_act!F24)/TrAvia_png!F12)</f>
        <v>0.65384286350006526</v>
      </c>
      <c r="G18" s="25">
        <f>IF(TrAvia_act!G34=0,0,(TrAvia_act!G34/TrAvia_act!G24)/TrAvia_png!G12)</f>
        <v>0.65540251705845265</v>
      </c>
      <c r="H18" s="25">
        <f>IF(TrAvia_act!H34=0,0,(TrAvia_act!H34/TrAvia_act!H24)/TrAvia_png!H12)</f>
        <v>0.65637112218037086</v>
      </c>
      <c r="I18" s="25">
        <f>IF(TrAvia_act!I34=0,0,(TrAvia_act!I34/TrAvia_act!I24)/TrAvia_png!I12)</f>
        <v>0.65701209203029987</v>
      </c>
      <c r="J18" s="25">
        <f>IF(TrAvia_act!J34=0,0,(TrAvia_act!J34/TrAvia_act!J24)/TrAvia_png!J12)</f>
        <v>0.65962999884687923</v>
      </c>
      <c r="K18" s="25">
        <f>IF(TrAvia_act!K34=0,0,(TrAvia_act!K34/TrAvia_act!K24)/TrAvia_png!K12)</f>
        <v>0.66075476498534869</v>
      </c>
      <c r="L18" s="25">
        <f>IF(TrAvia_act!L34=0,0,(TrAvia_act!L34/TrAvia_act!L24)/TrAvia_png!L12)</f>
        <v>0.66647814307814712</v>
      </c>
      <c r="M18" s="25">
        <f>IF(TrAvia_act!M34=0,0,(TrAvia_act!M34/TrAvia_act!M24)/TrAvia_png!M12)</f>
        <v>0.67097513093398908</v>
      </c>
      <c r="N18" s="25">
        <f>IF(TrAvia_act!N34=0,0,(TrAvia_act!N34/TrAvia_act!N24)/TrAvia_png!N12)</f>
        <v>0.67562264216750767</v>
      </c>
      <c r="O18" s="25">
        <f>IF(TrAvia_act!O34=0,0,(TrAvia_act!O34/TrAvia_act!O24)/TrAvia_png!O12)</f>
        <v>0.70665985693113087</v>
      </c>
      <c r="P18" s="25">
        <f>IF(TrAvia_act!P34=0,0,(TrAvia_act!P34/TrAvia_act!P24)/TrAvia_png!P12)</f>
        <v>0.71340777046221004</v>
      </c>
      <c r="Q18" s="25">
        <f>IF(TrAvia_act!Q34=0,0,(TrAvia_act!Q34/TrAvia_act!Q24)/TrAvia_png!Q12)</f>
        <v>0.72851440182743032</v>
      </c>
      <c r="R18" s="25">
        <f>IF(TrAvia_act!R34=0,0,(TrAvia_act!R34/TrAvia_act!R24)/TrAvia_png!R12)</f>
        <v>0.7373539005231553</v>
      </c>
      <c r="S18" s="25">
        <f>IF(TrAvia_act!S34=0,0,(TrAvia_act!S34/TrAvia_act!S24)/TrAvia_png!S12)</f>
        <v>0.77538990963232601</v>
      </c>
      <c r="T18" s="25">
        <f>IF(TrAvia_act!T34=0,0,(TrAvia_act!T34/TrAvia_act!T24)/TrAvia_png!T12)</f>
        <v>0.78768292541620477</v>
      </c>
      <c r="U18" s="25">
        <f>IF(TrAvia_act!U34=0,0,(TrAvia_act!U34/TrAvia_act!U24)/TrAvia_png!U12)</f>
        <v>0.79885612841262243</v>
      </c>
      <c r="V18" s="25">
        <f>IF(TrAvia_act!V34=0,0,(TrAvia_act!V34/TrAvia_act!V24)/TrAvia_png!V12)</f>
        <v>0.62447774859178518</v>
      </c>
      <c r="W18" s="25">
        <f>IF(TrAvia_act!W34=0,0,(TrAvia_act!W34/TrAvia_act!W24)/TrAvia_png!W12)</f>
        <v>0.58384841830561707</v>
      </c>
      <c r="X18" s="25">
        <f>IF(TrAvia_act!X34=0,0,(TrAvia_act!X34/TrAvia_act!X24)/TrAvia_png!X12)</f>
        <v>0.73560561466615082</v>
      </c>
      <c r="Y18" s="25">
        <f>IF(TrAvia_act!Y34=0,0,(TrAvia_act!Y34/TrAvia_act!Y24)/TrAvia_png!Y12)</f>
        <v>0.7783127951562262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0.59436503701318333</v>
      </c>
      <c r="C19" s="89">
        <f>IF(TrAvia_act!C35=0,0,(TrAvia_act!C35/TrAvia_act!C25)/TrAvia_png!C13)</f>
        <v>0.59440731457238338</v>
      </c>
      <c r="D19" s="89">
        <f>IF(TrAvia_act!D35=0,0,(TrAvia_act!D35/TrAvia_act!D25)/TrAvia_png!D13)</f>
        <v>0.5943757306887546</v>
      </c>
      <c r="E19" s="89">
        <f>IF(TrAvia_act!E35=0,0,(TrAvia_act!E35/TrAvia_act!E25)/TrAvia_png!E13)</f>
        <v>0.59451731671752706</v>
      </c>
      <c r="F19" s="89">
        <f>IF(TrAvia_act!F35=0,0,(TrAvia_act!F35/TrAvia_act!F25)/TrAvia_png!F13)</f>
        <v>0.59498994016529627</v>
      </c>
      <c r="G19" s="89">
        <f>IF(TrAvia_act!G35=0,0,(TrAvia_act!G35/TrAvia_act!G25)/TrAvia_png!G13)</f>
        <v>0.59590588074968331</v>
      </c>
      <c r="H19" s="89">
        <f>IF(TrAvia_act!H35=0,0,(TrAvia_act!H35/TrAvia_act!H25)/TrAvia_png!H13)</f>
        <v>0.59497148930737132</v>
      </c>
      <c r="I19" s="89">
        <f>IF(TrAvia_act!I35=0,0,(TrAvia_act!I35/TrAvia_act!I25)/TrAvia_png!I13)</f>
        <v>0.59395473146425048</v>
      </c>
      <c r="J19" s="89">
        <f>IF(TrAvia_act!J35=0,0,(TrAvia_act!J35/TrAvia_act!J25)/TrAvia_png!J13)</f>
        <v>0.59640836465143365</v>
      </c>
      <c r="K19" s="89">
        <f>IF(TrAvia_act!K35=0,0,(TrAvia_act!K35/TrAvia_act!K25)/TrAvia_png!K13)</f>
        <v>0.60132783337953122</v>
      </c>
      <c r="L19" s="89">
        <f>IF(TrAvia_act!L35=0,0,(TrAvia_act!L35/TrAvia_act!L25)/TrAvia_png!L13)</f>
        <v>0.60825392703595116</v>
      </c>
      <c r="M19" s="89">
        <f>IF(TrAvia_act!M35=0,0,(TrAvia_act!M35/TrAvia_act!M25)/TrAvia_png!M13)</f>
        <v>0.58265167206884982</v>
      </c>
      <c r="N19" s="89">
        <f>IF(TrAvia_act!N35=0,0,(TrAvia_act!N35/TrAvia_act!N25)/TrAvia_png!N13)</f>
        <v>0.58056318437524246</v>
      </c>
      <c r="O19" s="89">
        <f>IF(TrAvia_act!O35=0,0,(TrAvia_act!O35/TrAvia_act!O25)/TrAvia_png!O13)</f>
        <v>0.63010902186973694</v>
      </c>
      <c r="P19" s="89">
        <f>IF(TrAvia_act!P35=0,0,(TrAvia_act!P35/TrAvia_act!P25)/TrAvia_png!P13)</f>
        <v>0.67093282512037178</v>
      </c>
      <c r="Q19" s="89">
        <f>IF(TrAvia_act!Q35=0,0,(TrAvia_act!Q35/TrAvia_act!Q25)/TrAvia_png!Q13)</f>
        <v>0.70859740660738879</v>
      </c>
      <c r="R19" s="89">
        <f>IF(TrAvia_act!R35=0,0,(TrAvia_act!R35/TrAvia_act!R25)/TrAvia_png!R13)</f>
        <v>0.70320561923167779</v>
      </c>
      <c r="S19" s="89">
        <f>IF(TrAvia_act!S35=0,0,(TrAvia_act!S35/TrAvia_act!S25)/TrAvia_png!S13)</f>
        <v>0.7624720923370204</v>
      </c>
      <c r="T19" s="89">
        <f>IF(TrAvia_act!T35=0,0,(TrAvia_act!T35/TrAvia_act!T25)/TrAvia_png!T13)</f>
        <v>0.77399412588998362</v>
      </c>
      <c r="U19" s="89">
        <f>IF(TrAvia_act!U35=0,0,(TrAvia_act!U35/TrAvia_act!U25)/TrAvia_png!U13)</f>
        <v>0.7880968630470333</v>
      </c>
      <c r="V19" s="89">
        <f>IF(TrAvia_act!V35=0,0,(TrAvia_act!V35/TrAvia_act!V25)/TrAvia_png!V13)</f>
        <v>0.60386493506162653</v>
      </c>
      <c r="W19" s="89">
        <f>IF(TrAvia_act!W35=0,0,(TrAvia_act!W35/TrAvia_act!W25)/TrAvia_png!W13)</f>
        <v>0.53250543180224763</v>
      </c>
      <c r="X19" s="89">
        <f>IF(TrAvia_act!X35=0,0,(TrAvia_act!X35/TrAvia_act!X25)/TrAvia_png!X13)</f>
        <v>0.69306767905679301</v>
      </c>
      <c r="Y19" s="89">
        <f>IF(TrAvia_act!Y35=0,0,(TrAvia_act!Y35/TrAvia_act!Y25)/TrAvia_png!Y13)</f>
        <v>0.73840510287817163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0.68737548118633496</v>
      </c>
      <c r="C20" s="89">
        <f>IF(TrAvia_act!C36=0,0,(TrAvia_act!C36/TrAvia_act!C26)/TrAvia_png!C14)</f>
        <v>0.68781157878101173</v>
      </c>
      <c r="D20" s="89">
        <f>IF(TrAvia_act!D36=0,0,(TrAvia_act!D36/TrAvia_act!D26)/TrAvia_png!D14)</f>
        <v>0.68839243546678941</v>
      </c>
      <c r="E20" s="89">
        <f>IF(TrAvia_act!E36=0,0,(TrAvia_act!E36/TrAvia_act!E26)/TrAvia_png!E14)</f>
        <v>0.68916629327074819</v>
      </c>
      <c r="F20" s="89">
        <f>IF(TrAvia_act!F36=0,0,(TrAvia_act!F36/TrAvia_act!F26)/TrAvia_png!F14)</f>
        <v>0.69133619591826945</v>
      </c>
      <c r="G20" s="89">
        <f>IF(TrAvia_act!G36=0,0,(TrAvia_act!G36/TrAvia_act!G26)/TrAvia_png!G14)</f>
        <v>0.69332518101957219</v>
      </c>
      <c r="H20" s="89">
        <f>IF(TrAvia_act!H36=0,0,(TrAvia_act!H36/TrAvia_act!H26)/TrAvia_png!H14)</f>
        <v>0.69567742216383688</v>
      </c>
      <c r="I20" s="89">
        <f>IF(TrAvia_act!I36=0,0,(TrAvia_act!I36/TrAvia_act!I26)/TrAvia_png!I14)</f>
        <v>0.69869920105102756</v>
      </c>
      <c r="J20" s="89">
        <f>IF(TrAvia_act!J36=0,0,(TrAvia_act!J36/TrAvia_act!J26)/TrAvia_png!J14)</f>
        <v>0.70159294130800809</v>
      </c>
      <c r="K20" s="89">
        <f>IF(TrAvia_act!K36=0,0,(TrAvia_act!K36/TrAvia_act!K26)/TrAvia_png!K14)</f>
        <v>0.70396130458049333</v>
      </c>
      <c r="L20" s="89">
        <f>IF(TrAvia_act!L36=0,0,(TrAvia_act!L36/TrAvia_act!L26)/TrAvia_png!L14)</f>
        <v>0.70658051546238276</v>
      </c>
      <c r="M20" s="89">
        <f>IF(TrAvia_act!M36=0,0,(TrAvia_act!M36/TrAvia_act!M26)/TrAvia_png!M14)</f>
        <v>0.71756259693123714</v>
      </c>
      <c r="N20" s="89">
        <f>IF(TrAvia_act!N36=0,0,(TrAvia_act!N36/TrAvia_act!N26)/TrAvia_png!N14)</f>
        <v>0.72632163457191468</v>
      </c>
      <c r="O20" s="89">
        <f>IF(TrAvia_act!O36=0,0,(TrAvia_act!O36/TrAvia_act!O26)/TrAvia_png!O14)</f>
        <v>0.7402355314048914</v>
      </c>
      <c r="P20" s="89">
        <f>IF(TrAvia_act!P36=0,0,(TrAvia_act!P36/TrAvia_act!P26)/TrAvia_png!P14)</f>
        <v>0.7346041978611384</v>
      </c>
      <c r="Q20" s="89">
        <f>IF(TrAvia_act!Q36=0,0,(TrAvia_act!Q36/TrAvia_act!Q26)/TrAvia_png!Q14)</f>
        <v>0.74496675302759152</v>
      </c>
      <c r="R20" s="89">
        <f>IF(TrAvia_act!R36=0,0,(TrAvia_act!R36/TrAvia_act!R26)/TrAvia_png!R14)</f>
        <v>0.76552705279875322</v>
      </c>
      <c r="S20" s="89">
        <f>IF(TrAvia_act!S36=0,0,(TrAvia_act!S36/TrAvia_act!S26)/TrAvia_png!S14)</f>
        <v>0.79050320169860178</v>
      </c>
      <c r="T20" s="89">
        <f>IF(TrAvia_act!T36=0,0,(TrAvia_act!T36/TrAvia_act!T26)/TrAvia_png!T14)</f>
        <v>0.80792464281584053</v>
      </c>
      <c r="U20" s="89">
        <f>IF(TrAvia_act!U36=0,0,(TrAvia_act!U36/TrAvia_act!U26)/TrAvia_png!U14)</f>
        <v>0.82050748970588139</v>
      </c>
      <c r="V20" s="89">
        <f>IF(TrAvia_act!V36=0,0,(TrAvia_act!V36/TrAvia_act!V26)/TrAvia_png!V14)</f>
        <v>0.66098808257266228</v>
      </c>
      <c r="W20" s="89">
        <f>IF(TrAvia_act!W36=0,0,(TrAvia_act!W36/TrAvia_act!W26)/TrAvia_png!W14)</f>
        <v>0.63290880994798848</v>
      </c>
      <c r="X20" s="89">
        <f>IF(TrAvia_act!X36=0,0,(TrAvia_act!X36/TrAvia_act!X26)/TrAvia_png!X14)</f>
        <v>0.76298225679416565</v>
      </c>
      <c r="Y20" s="89">
        <f>IF(TrAvia_act!Y36=0,0,(TrAvia_act!Y36/TrAvia_act!Y26)/TrAvia_png!Y14)</f>
        <v>0.80540067761143708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0.61276257764383402</v>
      </c>
      <c r="C21" s="90">
        <f>IF(TrAvia_act!C37=0,0,(TrAvia_act!C37/TrAvia_act!C27)/TrAvia_png!C15)</f>
        <v>0.61336949847530153</v>
      </c>
      <c r="D21" s="90">
        <f>IF(TrAvia_act!D37=0,0,(TrAvia_act!D37/TrAvia_act!D27)/TrAvia_png!D15)</f>
        <v>0.6141995512706756</v>
      </c>
      <c r="E21" s="90">
        <f>IF(TrAvia_act!E37=0,0,(TrAvia_act!E37/TrAvia_act!E27)/TrAvia_png!E15)</f>
        <v>0.61545808490362175</v>
      </c>
      <c r="F21" s="90">
        <f>IF(TrAvia_act!F37=0,0,(TrAvia_act!F37/TrAvia_act!F27)/TrAvia_png!F15)</f>
        <v>0.62060206391402128</v>
      </c>
      <c r="G21" s="90">
        <f>IF(TrAvia_act!G37=0,0,(TrAvia_act!G37/TrAvia_act!G27)/TrAvia_png!G15)</f>
        <v>0.62302585655089671</v>
      </c>
      <c r="H21" s="90">
        <f>IF(TrAvia_act!H37=0,0,(TrAvia_act!H37/TrAvia_act!H27)/TrAvia_png!H15)</f>
        <v>0.62679168962794207</v>
      </c>
      <c r="I21" s="90">
        <f>IF(TrAvia_act!I37=0,0,(TrAvia_act!I37/TrAvia_act!I27)/TrAvia_png!I15)</f>
        <v>0.63181977764285013</v>
      </c>
      <c r="J21" s="90">
        <f>IF(TrAvia_act!J37=0,0,(TrAvia_act!J37/TrAvia_act!J27)/TrAvia_png!J15)</f>
        <v>0.63910331865238468</v>
      </c>
      <c r="K21" s="90">
        <f>IF(TrAvia_act!K37=0,0,(TrAvia_act!K37/TrAvia_act!K27)/TrAvia_png!K15)</f>
        <v>0.64235470038520281</v>
      </c>
      <c r="L21" s="90">
        <f>IF(TrAvia_act!L37=0,0,(TrAvia_act!L37/TrAvia_act!L27)/TrAvia_png!L15)</f>
        <v>0.64882312511864959</v>
      </c>
      <c r="M21" s="90">
        <f>IF(TrAvia_act!M37=0,0,(TrAvia_act!M37/TrAvia_act!M27)/TrAvia_png!M15)</f>
        <v>0.69647797592412719</v>
      </c>
      <c r="N21" s="90">
        <f>IF(TrAvia_act!N37=0,0,(TrAvia_act!N37/TrAvia_act!N27)/TrAvia_png!N15)</f>
        <v>0.69810060915775896</v>
      </c>
      <c r="O21" s="90">
        <f>IF(TrAvia_act!O37=0,0,(TrAvia_act!O37/TrAvia_act!O27)/TrAvia_png!O15)</f>
        <v>0.73081298480986812</v>
      </c>
      <c r="P21" s="90">
        <f>IF(TrAvia_act!P37=0,0,(TrAvia_act!P37/TrAvia_act!P27)/TrAvia_png!P15)</f>
        <v>0.71370734064278607</v>
      </c>
      <c r="Q21" s="90">
        <f>IF(TrAvia_act!Q37=0,0,(TrAvia_act!Q37/TrAvia_act!Q27)/TrAvia_png!Q15)</f>
        <v>0.69704581558115275</v>
      </c>
      <c r="R21" s="90">
        <f>IF(TrAvia_act!R37=0,0,(TrAvia_act!R37/TrAvia_act!R27)/TrAvia_png!R15)</f>
        <v>0.69150512754785909</v>
      </c>
      <c r="S21" s="90">
        <f>IF(TrAvia_act!S37=0,0,(TrAvia_act!S37/TrAvia_act!S27)/TrAvia_png!S15)</f>
        <v>0.73149560424163629</v>
      </c>
      <c r="T21" s="90">
        <f>IF(TrAvia_act!T37=0,0,(TrAvia_act!T37/TrAvia_act!T27)/TrAvia_png!T15)</f>
        <v>0.71976704628294641</v>
      </c>
      <c r="U21" s="90">
        <f>IF(TrAvia_act!U37=0,0,(TrAvia_act!U37/TrAvia_act!U27)/TrAvia_png!U15)</f>
        <v>0.72293482728838843</v>
      </c>
      <c r="V21" s="90">
        <f>IF(TrAvia_act!V37=0,0,(TrAvia_act!V37/TrAvia_act!V27)/TrAvia_png!V15)</f>
        <v>0.44757017701797885</v>
      </c>
      <c r="W21" s="90">
        <f>IF(TrAvia_act!W37=0,0,(TrAvia_act!W37/TrAvia_act!W27)/TrAvia_png!W15)</f>
        <v>0.47447511530651032</v>
      </c>
      <c r="X21" s="90">
        <f>IF(TrAvia_act!X37=0,0,(TrAvia_act!X37/TrAvia_act!X27)/TrAvia_png!X15)</f>
        <v>0.68141075595239975</v>
      </c>
      <c r="Y21" s="90">
        <f>IF(TrAvia_act!Y37=0,0,(TrAvia_act!Y37/TrAvia_act!Y27)/TrAvia_png!Y15)</f>
        <v>0.72334160841672368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4.0575678994854147E-2</v>
      </c>
      <c r="C24" s="23">
        <f>IF(TrAvia_ene!C6=0,0,TrAvia_ene!C6/(C12*TrAvia_act!C14))</f>
        <v>3.8820495394210647E-2</v>
      </c>
      <c r="D24" s="23">
        <f>IF(TrAvia_ene!D6=0,0,TrAvia_ene!D6/(D12*TrAvia_act!D14))</f>
        <v>3.7426788176412484E-2</v>
      </c>
      <c r="E24" s="23">
        <f>IF(TrAvia_ene!E6=0,0,TrAvia_ene!E6/(E12*TrAvia_act!E14))</f>
        <v>3.6447198069752405E-2</v>
      </c>
      <c r="F24" s="23">
        <f>IF(TrAvia_ene!F6=0,0,TrAvia_ene!F6/(F12*TrAvia_act!F14))</f>
        <v>3.5333557751142643E-2</v>
      </c>
      <c r="G24" s="23">
        <f>IF(TrAvia_ene!G6=0,0,TrAvia_ene!G6/(G12*TrAvia_act!G14))</f>
        <v>3.3506000897247028E-2</v>
      </c>
      <c r="H24" s="23">
        <f>IF(TrAvia_ene!H6=0,0,TrAvia_ene!H6/(H12*TrAvia_act!H14))</f>
        <v>3.4106985260888345E-2</v>
      </c>
      <c r="I24" s="23">
        <f>IF(TrAvia_ene!I6=0,0,TrAvia_ene!I6/(I12*TrAvia_act!I14))</f>
        <v>3.2359518399053828E-2</v>
      </c>
      <c r="J24" s="23">
        <f>IF(TrAvia_ene!J6=0,0,TrAvia_ene!J6/(J12*TrAvia_act!J14))</f>
        <v>3.3225012914762472E-2</v>
      </c>
      <c r="K24" s="23">
        <f>IF(TrAvia_ene!K6=0,0,TrAvia_ene!K6/(K12*TrAvia_act!K14))</f>
        <v>3.0908375962858826E-2</v>
      </c>
      <c r="L24" s="23">
        <f>IF(TrAvia_ene!L6=0,0,TrAvia_ene!L6/(L12*TrAvia_act!L14))</f>
        <v>2.5332466919293719E-2</v>
      </c>
      <c r="M24" s="23">
        <f>IF(TrAvia_ene!M6=0,0,TrAvia_ene!M6/(M12*TrAvia_act!M14))</f>
        <v>2.5483750024725405E-2</v>
      </c>
      <c r="N24" s="23">
        <f>IF(TrAvia_ene!N6=0,0,TrAvia_ene!N6/(N12*TrAvia_act!N14))</f>
        <v>2.4429943029765672E-2</v>
      </c>
      <c r="O24" s="23">
        <f>IF(TrAvia_ene!O6=0,0,TrAvia_ene!O6/(O12*TrAvia_act!O14))</f>
        <v>2.3562183034398821E-2</v>
      </c>
      <c r="P24" s="23">
        <f>IF(TrAvia_ene!P6=0,0,TrAvia_ene!P6/(P12*TrAvia_act!P14))</f>
        <v>2.2637452707465162E-2</v>
      </c>
      <c r="Q24" s="23">
        <f>IF(TrAvia_ene!Q6=0,0,TrAvia_ene!Q6/(Q12*TrAvia_act!Q14))</f>
        <v>2.2472548973676568E-2</v>
      </c>
      <c r="R24" s="23">
        <f>IF(TrAvia_ene!R6=0,0,TrAvia_ene!R6/(R12*TrAvia_act!R14))</f>
        <v>2.2425743727551722E-2</v>
      </c>
      <c r="S24" s="23">
        <f>IF(TrAvia_ene!S6=0,0,TrAvia_ene!S6/(S12*TrAvia_act!S14))</f>
        <v>2.3207362726430189E-2</v>
      </c>
      <c r="T24" s="23">
        <f>IF(TrAvia_ene!T6=0,0,TrAvia_ene!T6/(T12*TrAvia_act!T14))</f>
        <v>2.3973625931799351E-2</v>
      </c>
      <c r="U24" s="23">
        <f>IF(TrAvia_ene!U6=0,0,TrAvia_ene!U6/(U12*TrAvia_act!U14))</f>
        <v>2.4265054622432527E-2</v>
      </c>
      <c r="V24" s="23">
        <f>IF(TrAvia_ene!V6=0,0,TrAvia_ene!V6/(V12*TrAvia_act!V14))</f>
        <v>2.2547912331796635E-2</v>
      </c>
      <c r="W24" s="23">
        <f>IF(TrAvia_ene!W6=0,0,TrAvia_ene!W6/(W12*TrAvia_act!W14))</f>
        <v>1.9749579017608279E-2</v>
      </c>
      <c r="X24" s="23">
        <f>IF(TrAvia_ene!X6=0,0,TrAvia_ene!X6/(X12*TrAvia_act!X14))</f>
        <v>2.1241161322836655E-2</v>
      </c>
      <c r="Y24" s="23">
        <f>IF(TrAvia_ene!Y6=0,0,TrAvia_ene!Y6/(Y12*TrAvia_act!Y14))</f>
        <v>2.2580814006556767E-2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0.12944564793606875</v>
      </c>
      <c r="C25" s="91">
        <f>IF(TrAvia_ene!C7=0,0,TrAvia_ene!C7/(C13*TrAvia_act!C15))</f>
        <v>0.11477163918315904</v>
      </c>
      <c r="D25" s="91">
        <f>IF(TrAvia_ene!D7=0,0,TrAvia_ene!D7/(D13*TrAvia_act!D15))</f>
        <v>0.11373006943350956</v>
      </c>
      <c r="E25" s="91">
        <f>IF(TrAvia_ene!E7=0,0,TrAvia_ene!E7/(E13*TrAvia_act!E15))</f>
        <v>0.11365976595041155</v>
      </c>
      <c r="F25" s="91">
        <f>IF(TrAvia_ene!F7=0,0,TrAvia_ene!F7/(F13*TrAvia_act!F15))</f>
        <v>0.10524922023450194</v>
      </c>
      <c r="G25" s="91">
        <f>IF(TrAvia_ene!G7=0,0,TrAvia_ene!G7/(G13*TrAvia_act!G15))</f>
        <v>0.10346520570434804</v>
      </c>
      <c r="H25" s="91">
        <f>IF(TrAvia_ene!H7=0,0,TrAvia_ene!H7/(H13*TrAvia_act!H15))</f>
        <v>8.8279680842467359E-2</v>
      </c>
      <c r="I25" s="91">
        <f>IF(TrAvia_ene!I7=0,0,TrAvia_ene!I7/(I13*TrAvia_act!I15))</f>
        <v>8.1612423139612547E-2</v>
      </c>
      <c r="J25" s="91">
        <f>IF(TrAvia_ene!J7=0,0,TrAvia_ene!J7/(J13*TrAvia_act!J15))</f>
        <v>7.9672911632314991E-2</v>
      </c>
      <c r="K25" s="91">
        <f>IF(TrAvia_ene!K7=0,0,TrAvia_ene!K7/(K13*TrAvia_act!K15))</f>
        <v>6.5294153827607782E-2</v>
      </c>
      <c r="L25" s="91">
        <f>IF(TrAvia_ene!L7=0,0,TrAvia_ene!L7/(L13*TrAvia_act!L15))</f>
        <v>6.0439881671762494E-2</v>
      </c>
      <c r="M25" s="91">
        <f>IF(TrAvia_ene!M7=0,0,TrAvia_ene!M7/(M13*TrAvia_act!M15))</f>
        <v>6.5341814961958622E-2</v>
      </c>
      <c r="N25" s="91">
        <f>IF(TrAvia_ene!N7=0,0,TrAvia_ene!N7/(N13*TrAvia_act!N15))</f>
        <v>6.1093291171631849E-2</v>
      </c>
      <c r="O25" s="91">
        <f>IF(TrAvia_ene!O7=0,0,TrAvia_ene!O7/(O13*TrAvia_act!O15))</f>
        <v>6.6035183317351004E-2</v>
      </c>
      <c r="P25" s="91">
        <f>IF(TrAvia_ene!P7=0,0,TrAvia_ene!P7/(P13*TrAvia_act!P15))</f>
        <v>5.9070626149534775E-2</v>
      </c>
      <c r="Q25" s="91">
        <f>IF(TrAvia_ene!Q7=0,0,TrAvia_ene!Q7/(Q13*TrAvia_act!Q15))</f>
        <v>4.8287245093206206E-2</v>
      </c>
      <c r="R25" s="91">
        <f>IF(TrAvia_ene!R7=0,0,TrAvia_ene!R7/(R13*TrAvia_act!R15))</f>
        <v>4.8669773611082649E-2</v>
      </c>
      <c r="S25" s="91">
        <f>IF(TrAvia_ene!S7=0,0,TrAvia_ene!S7/(S13*TrAvia_act!S15))</f>
        <v>5.5035635239383582E-2</v>
      </c>
      <c r="T25" s="91">
        <f>IF(TrAvia_ene!T7=0,0,TrAvia_ene!T7/(T13*TrAvia_act!T15))</f>
        <v>6.1904078673470114E-2</v>
      </c>
      <c r="U25" s="91">
        <f>IF(TrAvia_ene!U7=0,0,TrAvia_ene!U7/(U13*TrAvia_act!U15))</f>
        <v>6.4425815171449269E-2</v>
      </c>
      <c r="V25" s="91">
        <f>IF(TrAvia_ene!V7=0,0,TrAvia_ene!V7/(V13*TrAvia_act!V15))</f>
        <v>4.5682575379906075E-2</v>
      </c>
      <c r="W25" s="91">
        <f>IF(TrAvia_ene!W7=0,0,TrAvia_ene!W7/(W13*TrAvia_act!W15))</f>
        <v>4.4304661935196367E-2</v>
      </c>
      <c r="X25" s="91">
        <f>IF(TrAvia_ene!X7=0,0,TrAvia_ene!X7/(X13*TrAvia_act!X15))</f>
        <v>5.5562931903360598E-2</v>
      </c>
      <c r="Y25" s="91">
        <f>IF(TrAvia_ene!Y7=0,0,TrAvia_ene!Y7/(Y13*TrAvia_act!Y15))</f>
        <v>6.8915981878251445E-2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2.1524388164131398E-2</v>
      </c>
      <c r="C26" s="93">
        <f>IF(TrAvia_ene!C8=0,0,TrAvia_ene!C8/(C14*TrAvia_act!C16))</f>
        <v>2.1332080701884689E-2</v>
      </c>
      <c r="D26" s="93">
        <f>IF(TrAvia_ene!D8=0,0,TrAvia_ene!D8/(D14*TrAvia_act!D16))</f>
        <v>2.1236173868479376E-2</v>
      </c>
      <c r="E26" s="93">
        <f>IF(TrAvia_ene!E8=0,0,TrAvia_ene!E8/(E14*TrAvia_act!E16))</f>
        <v>2.1212943264994996E-2</v>
      </c>
      <c r="F26" s="93">
        <f>IF(TrAvia_ene!F8=0,0,TrAvia_ene!F8/(F14*TrAvia_act!F16))</f>
        <v>2.0169578155558605E-2</v>
      </c>
      <c r="G26" s="93">
        <f>IF(TrAvia_ene!G8=0,0,TrAvia_ene!G8/(G14*TrAvia_act!G16))</f>
        <v>1.8975872103512367E-2</v>
      </c>
      <c r="H26" s="93">
        <f>IF(TrAvia_ene!H8=0,0,TrAvia_ene!H8/(H14*TrAvia_act!H16))</f>
        <v>2.1640200845025163E-2</v>
      </c>
      <c r="I26" s="93">
        <f>IF(TrAvia_ene!I8=0,0,TrAvia_ene!I8/(I14*TrAvia_act!I16))</f>
        <v>2.1620814602248913E-2</v>
      </c>
      <c r="J26" s="93">
        <f>IF(TrAvia_ene!J8=0,0,TrAvia_ene!J8/(J14*TrAvia_act!J16))</f>
        <v>2.3253075220320805E-2</v>
      </c>
      <c r="K26" s="93">
        <f>IF(TrAvia_ene!K8=0,0,TrAvia_ene!K8/(K14*TrAvia_act!K16))</f>
        <v>2.0758810626644603E-2</v>
      </c>
      <c r="L26" s="93">
        <f>IF(TrAvia_ene!L8=0,0,TrAvia_ene!L8/(L14*TrAvia_act!L16))</f>
        <v>1.6998878730471168E-2</v>
      </c>
      <c r="M26" s="93">
        <f>IF(TrAvia_ene!M8=0,0,TrAvia_ene!M8/(M14*TrAvia_act!M16))</f>
        <v>1.7788750730783089E-2</v>
      </c>
      <c r="N26" s="93">
        <f>IF(TrAvia_ene!N8=0,0,TrAvia_ene!N8/(N14*TrAvia_act!N16))</f>
        <v>1.7021089366388461E-2</v>
      </c>
      <c r="O26" s="93">
        <f>IF(TrAvia_ene!O8=0,0,TrAvia_ene!O8/(O14*TrAvia_act!O16))</f>
        <v>1.7052081993380798E-2</v>
      </c>
      <c r="P26" s="93">
        <f>IF(TrAvia_ene!P8=0,0,TrAvia_ene!P8/(P14*TrAvia_act!P16))</f>
        <v>1.7043476149589606E-2</v>
      </c>
      <c r="Q26" s="93">
        <f>IF(TrAvia_ene!Q8=0,0,TrAvia_ene!Q8/(Q14*TrAvia_act!Q16))</f>
        <v>1.6998531610956411E-2</v>
      </c>
      <c r="R26" s="93">
        <f>IF(TrAvia_ene!R8=0,0,TrAvia_ene!R8/(R14*TrAvia_act!R16))</f>
        <v>1.761527088185242E-2</v>
      </c>
      <c r="S26" s="93">
        <f>IF(TrAvia_ene!S8=0,0,TrAvia_ene!S8/(S14*TrAvia_act!S16))</f>
        <v>1.8352411108435343E-2</v>
      </c>
      <c r="T26" s="93">
        <f>IF(TrAvia_ene!T8=0,0,TrAvia_ene!T8/(T14*TrAvia_act!T16))</f>
        <v>1.8945277012491442E-2</v>
      </c>
      <c r="U26" s="93">
        <f>IF(TrAvia_ene!U8=0,0,TrAvia_ene!U8/(U14*TrAvia_act!U16))</f>
        <v>1.9288108412558867E-2</v>
      </c>
      <c r="V26" s="93">
        <f>IF(TrAvia_ene!V8=0,0,TrAvia_ene!V8/(V14*TrAvia_act!V16))</f>
        <v>1.4316858848063389E-2</v>
      </c>
      <c r="W26" s="93">
        <f>IF(TrAvia_ene!W8=0,0,TrAvia_ene!W8/(W14*TrAvia_act!W16))</f>
        <v>1.5145170267066944E-2</v>
      </c>
      <c r="X26" s="93">
        <f>IF(TrAvia_ene!X8=0,0,TrAvia_ene!X8/(X14*TrAvia_act!X16))</f>
        <v>1.6757663024598302E-2</v>
      </c>
      <c r="Y26" s="93">
        <f>IF(TrAvia_ene!Y8=0,0,TrAvia_ene!Y8/(Y14*TrAvia_act!Y16))</f>
        <v>1.7392375151538169E-2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3.3442954681494011E-2</v>
      </c>
      <c r="C27" s="94">
        <f>IF(TrAvia_ene!C9=0,0,TrAvia_ene!C9/(C15*TrAvia_act!C17))</f>
        <v>3.3118387232754461E-2</v>
      </c>
      <c r="D27" s="94">
        <f>IF(TrAvia_ene!D9=0,0,TrAvia_ene!D9/(D15*TrAvia_act!D17))</f>
        <v>3.2939253263903838E-2</v>
      </c>
      <c r="E27" s="94">
        <f>IF(TrAvia_ene!E9=0,0,TrAvia_ene!E9/(E15*TrAvia_act!E17))</f>
        <v>3.2870144466887609E-2</v>
      </c>
      <c r="F27" s="94">
        <f>IF(TrAvia_ene!F9=0,0,TrAvia_ene!F9/(F15*TrAvia_act!F17))</f>
        <v>3.3507063750755434E-2</v>
      </c>
      <c r="G27" s="94">
        <f>IF(TrAvia_ene!G9=0,0,TrAvia_ene!G9/(G15*TrAvia_act!G17))</f>
        <v>2.997024852130744E-2</v>
      </c>
      <c r="H27" s="94">
        <f>IF(TrAvia_ene!H9=0,0,TrAvia_ene!H9/(H15*TrAvia_act!H17))</f>
        <v>2.910126910240167E-2</v>
      </c>
      <c r="I27" s="94">
        <f>IF(TrAvia_ene!I9=0,0,TrAvia_ene!I9/(I15*TrAvia_act!I17))</f>
        <v>2.5305002645006146E-2</v>
      </c>
      <c r="J27" s="94">
        <f>IF(TrAvia_ene!J9=0,0,TrAvia_ene!J9/(J15*TrAvia_act!J17))</f>
        <v>2.4980064923538686E-2</v>
      </c>
      <c r="K27" s="94">
        <f>IF(TrAvia_ene!K9=0,0,TrAvia_ene!K9/(K15*TrAvia_act!K17))</f>
        <v>2.5851922703953742E-2</v>
      </c>
      <c r="L27" s="94">
        <f>IF(TrAvia_ene!L9=0,0,TrAvia_ene!L9/(L15*TrAvia_act!L17))</f>
        <v>1.9058982075455606E-2</v>
      </c>
      <c r="M27" s="94">
        <f>IF(TrAvia_ene!M9=0,0,TrAvia_ene!M9/(M15*TrAvia_act!M17))</f>
        <v>2.0032044137699653E-2</v>
      </c>
      <c r="N27" s="94">
        <f>IF(TrAvia_ene!N9=0,0,TrAvia_ene!N9/(N15*TrAvia_act!N17))</f>
        <v>1.8937141730651551E-2</v>
      </c>
      <c r="O27" s="94">
        <f>IF(TrAvia_ene!O9=0,0,TrAvia_ene!O9/(O15*TrAvia_act!O17))</f>
        <v>1.5447387830621776E-2</v>
      </c>
      <c r="P27" s="94">
        <f>IF(TrAvia_ene!P9=0,0,TrAvia_ene!P9/(P15*TrAvia_act!P17))</f>
        <v>1.6304435002604173E-2</v>
      </c>
      <c r="Q27" s="94">
        <f>IF(TrAvia_ene!Q9=0,0,TrAvia_ene!Q9/(Q15*TrAvia_act!Q17))</f>
        <v>1.9517424493456084E-2</v>
      </c>
      <c r="R27" s="94">
        <f>IF(TrAvia_ene!R9=0,0,TrAvia_ene!R9/(R15*TrAvia_act!R17))</f>
        <v>1.724312196026143E-2</v>
      </c>
      <c r="S27" s="94">
        <f>IF(TrAvia_ene!S9=0,0,TrAvia_ene!S9/(S15*TrAvia_act!S17))</f>
        <v>1.6080512630336566E-2</v>
      </c>
      <c r="T27" s="94">
        <f>IF(TrAvia_ene!T9=0,0,TrAvia_ene!T9/(T15*TrAvia_act!T17))</f>
        <v>1.5588802971927157E-2</v>
      </c>
      <c r="U27" s="94">
        <f>IF(TrAvia_ene!U9=0,0,TrAvia_ene!U9/(U15*TrAvia_act!U17))</f>
        <v>1.477442623201199E-2</v>
      </c>
      <c r="V27" s="94">
        <f>IF(TrAvia_ene!V9=0,0,TrAvia_ene!V9/(V15*TrAvia_act!V17))</f>
        <v>2.8289739550630778E-2</v>
      </c>
      <c r="W27" s="94">
        <f>IF(TrAvia_ene!W9=0,0,TrAvia_ene!W9/(W15*TrAvia_act!W17))</f>
        <v>1.4652044798723901E-2</v>
      </c>
      <c r="X27" s="94">
        <f>IF(TrAvia_ene!X9=0,0,TrAvia_ene!X9/(X15*TrAvia_act!X17))</f>
        <v>1.5095772364923878E-2</v>
      </c>
      <c r="Y27" s="94">
        <f>IF(TrAvia_ene!Y9=0,0,TrAvia_ene!Y9/(Y15*TrAvia_act!Y17))</f>
        <v>1.5113823169787551E-2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11104.962</v>
      </c>
      <c r="C3" s="54">
        <f t="shared" si="0"/>
        <v>4476.2839999999997</v>
      </c>
      <c r="D3" s="54">
        <f t="shared" si="0"/>
        <v>5768.0540000000001</v>
      </c>
      <c r="E3" s="54">
        <f t="shared" si="0"/>
        <v>6880.18</v>
      </c>
      <c r="F3" s="54">
        <f t="shared" si="0"/>
        <v>6676.83</v>
      </c>
      <c r="G3" s="54">
        <f t="shared" si="0"/>
        <v>6170.8639999999996</v>
      </c>
      <c r="H3" s="54">
        <f t="shared" si="0"/>
        <v>6359.5829999999996</v>
      </c>
      <c r="I3" s="54">
        <f t="shared" si="0"/>
        <v>6490.7039999999997</v>
      </c>
      <c r="J3" s="54">
        <f t="shared" si="0"/>
        <v>5779.1660000000002</v>
      </c>
      <c r="K3" s="54">
        <f t="shared" si="0"/>
        <v>5137.6329999999998</v>
      </c>
      <c r="L3" s="54">
        <f t="shared" si="0"/>
        <v>4662.5950000000003</v>
      </c>
      <c r="M3" s="54">
        <f t="shared" si="0"/>
        <v>4692.0420000000004</v>
      </c>
      <c r="N3" s="54">
        <f t="shared" si="0"/>
        <v>4779.2709999999997</v>
      </c>
      <c r="O3" s="54">
        <f t="shared" si="0"/>
        <v>4886.317</v>
      </c>
      <c r="P3" s="54">
        <f t="shared" si="0"/>
        <v>4883.9089999999997</v>
      </c>
      <c r="Q3" s="54">
        <f t="shared" si="0"/>
        <v>5462.6589999999997</v>
      </c>
      <c r="R3" s="54">
        <f t="shared" ref="R3:V3" si="1">SUM(R4:R5)</f>
        <v>5305.98</v>
      </c>
      <c r="S3" s="54">
        <f t="shared" si="1"/>
        <v>5340.6120000000001</v>
      </c>
      <c r="T3" s="54">
        <f t="shared" si="1"/>
        <v>5453.2139999999999</v>
      </c>
      <c r="U3" s="54">
        <f t="shared" si="1"/>
        <v>5544.518</v>
      </c>
      <c r="V3" s="54">
        <f t="shared" si="1"/>
        <v>4717.97</v>
      </c>
      <c r="W3" s="54">
        <f t="shared" ref="W3:Y3" si="2">SUM(W4:W5)</f>
        <v>4838.3500000000004</v>
      </c>
      <c r="X3" s="54">
        <f t="shared" si="2"/>
        <v>4867.982</v>
      </c>
      <c r="Y3" s="54">
        <f t="shared" si="2"/>
        <v>5332.0929999999998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11104.962</v>
      </c>
      <c r="C4" s="56">
        <v>4476.2839999999997</v>
      </c>
      <c r="D4" s="56">
        <v>5768.0540000000001</v>
      </c>
      <c r="E4" s="56">
        <v>6880.18</v>
      </c>
      <c r="F4" s="56">
        <v>6676.83</v>
      </c>
      <c r="G4" s="56">
        <v>6170.8639999999996</v>
      </c>
      <c r="H4" s="56">
        <v>6359.5829999999996</v>
      </c>
      <c r="I4" s="56">
        <v>6490.7039999999997</v>
      </c>
      <c r="J4" s="56">
        <v>5779.1660000000002</v>
      </c>
      <c r="K4" s="56">
        <v>5137.6329999999998</v>
      </c>
      <c r="L4" s="56">
        <v>4662.5950000000003</v>
      </c>
      <c r="M4" s="56">
        <v>4692.0420000000004</v>
      </c>
      <c r="N4" s="56">
        <v>4779.2709999999997</v>
      </c>
      <c r="O4" s="56">
        <v>4886.317</v>
      </c>
      <c r="P4" s="56">
        <v>4883.9089999999997</v>
      </c>
      <c r="Q4" s="56">
        <v>5462.6589999999997</v>
      </c>
      <c r="R4" s="56">
        <v>5305.98</v>
      </c>
      <c r="S4" s="56">
        <v>5340.6120000000001</v>
      </c>
      <c r="T4" s="56">
        <v>5453.2139999999999</v>
      </c>
      <c r="U4" s="56">
        <v>5544.518</v>
      </c>
      <c r="V4" s="56">
        <v>4717.97</v>
      </c>
      <c r="W4" s="56">
        <v>4838.3500000000004</v>
      </c>
      <c r="X4" s="56">
        <v>4867.982</v>
      </c>
      <c r="Y4" s="56">
        <v>5332.0929999999998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6.04</v>
      </c>
      <c r="C7" s="59">
        <f t="shared" si="3"/>
        <v>3.9870000000000001</v>
      </c>
      <c r="D7" s="59">
        <f t="shared" si="3"/>
        <v>4.2619999999999996</v>
      </c>
      <c r="E7" s="59">
        <f t="shared" si="3"/>
        <v>5.141</v>
      </c>
      <c r="F7" s="59">
        <f t="shared" si="3"/>
        <v>5.569</v>
      </c>
      <c r="G7" s="59">
        <f t="shared" si="3"/>
        <v>5.1630000000000003</v>
      </c>
      <c r="H7" s="59">
        <f t="shared" si="3"/>
        <v>5.9509999999999996</v>
      </c>
      <c r="I7" s="59">
        <f t="shared" si="3"/>
        <v>6.37</v>
      </c>
      <c r="J7" s="59">
        <f t="shared" si="3"/>
        <v>5.4009999999999998</v>
      </c>
      <c r="K7" s="59">
        <f t="shared" si="3"/>
        <v>5.5250000000000004</v>
      </c>
      <c r="L7" s="59">
        <f t="shared" si="3"/>
        <v>4.2389999999999999</v>
      </c>
      <c r="M7" s="59">
        <f t="shared" si="3"/>
        <v>4.2409999999999997</v>
      </c>
      <c r="N7" s="59">
        <f t="shared" si="3"/>
        <v>3.9710000000000001</v>
      </c>
      <c r="O7" s="59">
        <f t="shared" si="3"/>
        <v>4.03</v>
      </c>
      <c r="P7" s="59">
        <f t="shared" si="3"/>
        <v>4.0640000000000001</v>
      </c>
      <c r="Q7" s="59">
        <f t="shared" si="3"/>
        <v>4.5880000000000001</v>
      </c>
      <c r="R7" s="59">
        <f t="shared" ref="R7:V7" si="4">SUM(R8:R9)</f>
        <v>4.2720000000000002</v>
      </c>
      <c r="S7" s="59">
        <f t="shared" si="4"/>
        <v>4.2539999999999996</v>
      </c>
      <c r="T7" s="59">
        <f t="shared" si="4"/>
        <v>4.202</v>
      </c>
      <c r="U7" s="59">
        <f t="shared" si="4"/>
        <v>4.2130000000000001</v>
      </c>
      <c r="V7" s="59">
        <f t="shared" si="4"/>
        <v>3.7109999999999999</v>
      </c>
      <c r="W7" s="59">
        <f t="shared" ref="W7:Y7" si="5">SUM(W8:W9)</f>
        <v>3.6160000000000001</v>
      </c>
      <c r="X7" s="59">
        <f t="shared" si="5"/>
        <v>3.496</v>
      </c>
      <c r="Y7" s="59">
        <f t="shared" si="5"/>
        <v>3.9529999999999998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6.04</v>
      </c>
      <c r="C8" s="60">
        <v>3.9870000000000001</v>
      </c>
      <c r="D8" s="60">
        <v>4.2619999999999996</v>
      </c>
      <c r="E8" s="60">
        <v>5.141</v>
      </c>
      <c r="F8" s="60">
        <v>5.569</v>
      </c>
      <c r="G8" s="60">
        <v>5.1630000000000003</v>
      </c>
      <c r="H8" s="60">
        <v>5.9509999999999996</v>
      </c>
      <c r="I8" s="60">
        <v>6.37</v>
      </c>
      <c r="J8" s="60">
        <v>5.4009999999999998</v>
      </c>
      <c r="K8" s="60">
        <v>5.5250000000000004</v>
      </c>
      <c r="L8" s="60">
        <v>4.2389999999999999</v>
      </c>
      <c r="M8" s="60">
        <v>4.2409999999999997</v>
      </c>
      <c r="N8" s="60">
        <v>3.9710000000000001</v>
      </c>
      <c r="O8" s="60">
        <v>4.03</v>
      </c>
      <c r="P8" s="60">
        <v>4.0640000000000001</v>
      </c>
      <c r="Q8" s="60">
        <v>4.5880000000000001</v>
      </c>
      <c r="R8" s="60">
        <v>4.2720000000000002</v>
      </c>
      <c r="S8" s="60">
        <v>4.2539999999999996</v>
      </c>
      <c r="T8" s="60">
        <v>4.202</v>
      </c>
      <c r="U8" s="60">
        <v>4.2130000000000001</v>
      </c>
      <c r="V8" s="60">
        <v>3.7109999999999999</v>
      </c>
      <c r="W8" s="60">
        <v>3.6160000000000001</v>
      </c>
      <c r="X8" s="60">
        <v>3.496</v>
      </c>
      <c r="Y8" s="60">
        <v>3.9529999999999998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1838.5698675496687</v>
      </c>
      <c r="C13" s="62">
        <f t="shared" si="6"/>
        <v>1122.7198394783043</v>
      </c>
      <c r="D13" s="62">
        <f t="shared" si="6"/>
        <v>1353.3679023932427</v>
      </c>
      <c r="E13" s="62">
        <f t="shared" si="6"/>
        <v>1338.2960513518772</v>
      </c>
      <c r="F13" s="62">
        <f t="shared" ref="F13:V13" si="7">IF(F3=0,0,F3/F7)</f>
        <v>1198.9279942539056</v>
      </c>
      <c r="G13" s="62">
        <f t="shared" si="7"/>
        <v>1195.2089870230484</v>
      </c>
      <c r="H13" s="62">
        <f t="shared" si="7"/>
        <v>1068.6578726264493</v>
      </c>
      <c r="I13" s="62">
        <f t="shared" si="7"/>
        <v>1018.9488226059653</v>
      </c>
      <c r="J13" s="62">
        <f t="shared" si="7"/>
        <v>1070.0177744862062</v>
      </c>
      <c r="K13" s="62">
        <f t="shared" si="7"/>
        <v>929.8883257918551</v>
      </c>
      <c r="L13" s="62">
        <f t="shared" si="7"/>
        <v>1099.9280490681765</v>
      </c>
      <c r="M13" s="62">
        <f t="shared" si="7"/>
        <v>1106.3527469936337</v>
      </c>
      <c r="N13" s="62">
        <f t="shared" si="7"/>
        <v>1203.5434399395617</v>
      </c>
      <c r="O13" s="62">
        <f t="shared" si="7"/>
        <v>1212.4856079404465</v>
      </c>
      <c r="P13" s="62">
        <f t="shared" si="7"/>
        <v>1201.7492618110234</v>
      </c>
      <c r="Q13" s="62">
        <f t="shared" si="7"/>
        <v>1190.6405841325195</v>
      </c>
      <c r="R13" s="62">
        <f t="shared" si="7"/>
        <v>1242.0365168539324</v>
      </c>
      <c r="S13" s="62">
        <f t="shared" si="7"/>
        <v>1255.4330042313118</v>
      </c>
      <c r="T13" s="62">
        <f t="shared" si="7"/>
        <v>1297.7663017610662</v>
      </c>
      <c r="U13" s="62">
        <f t="shared" si="7"/>
        <v>1316.049845715642</v>
      </c>
      <c r="V13" s="62">
        <f t="shared" si="7"/>
        <v>1271.3473457289142</v>
      </c>
      <c r="W13" s="62">
        <f t="shared" ref="W13:Y13" si="8">IF(W3=0,0,W3/W7)</f>
        <v>1338.0392699115046</v>
      </c>
      <c r="X13" s="62">
        <f t="shared" si="8"/>
        <v>1392.4433638443936</v>
      </c>
      <c r="Y13" s="62">
        <f t="shared" si="8"/>
        <v>1348.8725018972932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1838.5698675496687</v>
      </c>
      <c r="C14" s="63">
        <f t="shared" si="6"/>
        <v>1122.7198394783043</v>
      </c>
      <c r="D14" s="63">
        <f t="shared" si="6"/>
        <v>1353.3679023932427</v>
      </c>
      <c r="E14" s="63">
        <f t="shared" si="6"/>
        <v>1338.2960513518772</v>
      </c>
      <c r="F14" s="63">
        <f t="shared" ref="F14:V14" si="9">IF(F4=0,0,F4/F8)</f>
        <v>1198.9279942539056</v>
      </c>
      <c r="G14" s="63">
        <f t="shared" si="9"/>
        <v>1195.2089870230484</v>
      </c>
      <c r="H14" s="63">
        <f t="shared" si="9"/>
        <v>1068.6578726264493</v>
      </c>
      <c r="I14" s="63">
        <f t="shared" si="9"/>
        <v>1018.9488226059653</v>
      </c>
      <c r="J14" s="63">
        <f t="shared" si="9"/>
        <v>1070.0177744862062</v>
      </c>
      <c r="K14" s="63">
        <f t="shared" si="9"/>
        <v>929.8883257918551</v>
      </c>
      <c r="L14" s="63">
        <f t="shared" si="9"/>
        <v>1099.9280490681765</v>
      </c>
      <c r="M14" s="63">
        <f t="shared" si="9"/>
        <v>1106.3527469936337</v>
      </c>
      <c r="N14" s="63">
        <f t="shared" si="9"/>
        <v>1203.5434399395617</v>
      </c>
      <c r="O14" s="63">
        <f t="shared" si="9"/>
        <v>1212.4856079404465</v>
      </c>
      <c r="P14" s="63">
        <f t="shared" si="9"/>
        <v>1201.7492618110234</v>
      </c>
      <c r="Q14" s="63">
        <f t="shared" si="9"/>
        <v>1190.6405841325195</v>
      </c>
      <c r="R14" s="63">
        <f t="shared" si="9"/>
        <v>1242.0365168539324</v>
      </c>
      <c r="S14" s="63">
        <f t="shared" si="9"/>
        <v>1255.4330042313118</v>
      </c>
      <c r="T14" s="63">
        <f t="shared" si="9"/>
        <v>1297.7663017610662</v>
      </c>
      <c r="U14" s="63">
        <f t="shared" si="9"/>
        <v>1316.049845715642</v>
      </c>
      <c r="V14" s="63">
        <f t="shared" si="9"/>
        <v>1271.3473457289142</v>
      </c>
      <c r="W14" s="63">
        <f t="shared" ref="W14:Y14" si="10">IF(W4=0,0,W4/W8)</f>
        <v>1338.0392699115046</v>
      </c>
      <c r="X14" s="63">
        <f t="shared" si="10"/>
        <v>1392.4433638443936</v>
      </c>
      <c r="Y14" s="63">
        <f t="shared" si="10"/>
        <v>1348.8725018972932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:Y15" si="12">IF(W5=0,0,W5/W9)</f>
        <v>0</v>
      </c>
      <c r="X15" s="64">
        <f t="shared" si="12"/>
        <v>0</v>
      </c>
      <c r="Y15" s="64">
        <f t="shared" si="12"/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:Y18" si="18">IF(W4=0,0,W4/W$3)</f>
        <v>1</v>
      </c>
      <c r="X18" s="66">
        <f t="shared" si="18"/>
        <v>1</v>
      </c>
      <c r="Y18" s="66">
        <f t="shared" si="18"/>
        <v>1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:Y19" si="21">IF(W5=0,0,W5/W$3)</f>
        <v>0</v>
      </c>
      <c r="X19" s="67">
        <f t="shared" si="21"/>
        <v>0</v>
      </c>
      <c r="Y19" s="67">
        <f t="shared" si="21"/>
        <v>0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:Y22" si="27">IF(W8=0,0,W8/W$7)</f>
        <v>1</v>
      </c>
      <c r="X22" s="66">
        <f t="shared" si="27"/>
        <v>1</v>
      </c>
      <c r="Y22" s="66">
        <f t="shared" si="27"/>
        <v>1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:Y23" si="30">IF(W9=0,0,W9/W$7)</f>
        <v>0</v>
      </c>
      <c r="X23" s="67">
        <f t="shared" si="30"/>
        <v>0</v>
      </c>
      <c r="Y23" s="67">
        <f t="shared" si="30"/>
        <v>0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497.83602751504731</v>
      </c>
      <c r="C3" s="62">
        <f t="shared" ref="C3:V3" si="0">SUM(C4,C10)</f>
        <v>677.58185726569207</v>
      </c>
      <c r="D3" s="62">
        <f t="shared" si="0"/>
        <v>611.99965606190881</v>
      </c>
      <c r="E3" s="62">
        <f t="shared" si="0"/>
        <v>604.4091143594153</v>
      </c>
      <c r="F3" s="62">
        <f t="shared" si="0"/>
        <v>678.17901977644021</v>
      </c>
      <c r="G3" s="62">
        <f t="shared" si="0"/>
        <v>651.43783319002569</v>
      </c>
      <c r="H3" s="62">
        <f t="shared" si="0"/>
        <v>714.09191745485805</v>
      </c>
      <c r="I3" s="62">
        <f t="shared" si="0"/>
        <v>666.38005159071372</v>
      </c>
      <c r="J3" s="62">
        <f t="shared" si="0"/>
        <v>599.11625107480654</v>
      </c>
      <c r="K3" s="62">
        <f t="shared" si="0"/>
        <v>880.6821152192606</v>
      </c>
      <c r="L3" s="62">
        <f t="shared" si="0"/>
        <v>717.12519346517615</v>
      </c>
      <c r="M3" s="62">
        <f t="shared" si="0"/>
        <v>515.62536543422175</v>
      </c>
      <c r="N3" s="62">
        <f t="shared" si="0"/>
        <v>525.21255374032671</v>
      </c>
      <c r="O3" s="62">
        <f t="shared" si="0"/>
        <v>430.52932072226992</v>
      </c>
      <c r="P3" s="62">
        <f t="shared" si="0"/>
        <v>449.10189165950123</v>
      </c>
      <c r="Q3" s="62">
        <f t="shared" si="0"/>
        <v>534.28392089423915</v>
      </c>
      <c r="R3" s="62">
        <f t="shared" si="0"/>
        <v>556.84058469475485</v>
      </c>
      <c r="S3" s="62">
        <f t="shared" si="0"/>
        <v>570.55064488392077</v>
      </c>
      <c r="T3" s="62">
        <f t="shared" si="0"/>
        <v>615.65838349097157</v>
      </c>
      <c r="U3" s="62">
        <f t="shared" si="0"/>
        <v>640.72433361994854</v>
      </c>
      <c r="V3" s="62">
        <f t="shared" si="0"/>
        <v>514.79716251074797</v>
      </c>
      <c r="W3" s="62">
        <f t="shared" ref="W3:Y3" si="1">SUM(W4,W10)</f>
        <v>574.65391229578688</v>
      </c>
      <c r="X3" s="62">
        <f t="shared" si="1"/>
        <v>617.9036973344796</v>
      </c>
      <c r="Y3" s="62">
        <f t="shared" si="1"/>
        <v>642.05743766122089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497.83602751504731</v>
      </c>
      <c r="C4" s="71">
        <f t="shared" ref="C4:V4" si="2">SUM(C5:C9)</f>
        <v>677.58185726569207</v>
      </c>
      <c r="D4" s="71">
        <f t="shared" si="2"/>
        <v>611.99965606190881</v>
      </c>
      <c r="E4" s="71">
        <f t="shared" si="2"/>
        <v>604.4091143594153</v>
      </c>
      <c r="F4" s="71">
        <f t="shared" si="2"/>
        <v>678.17901977644021</v>
      </c>
      <c r="G4" s="71">
        <f t="shared" si="2"/>
        <v>651.43783319002569</v>
      </c>
      <c r="H4" s="71">
        <f t="shared" si="2"/>
        <v>714.09191745485805</v>
      </c>
      <c r="I4" s="71">
        <f t="shared" si="2"/>
        <v>666.38005159071372</v>
      </c>
      <c r="J4" s="71">
        <f t="shared" si="2"/>
        <v>599.11625107480654</v>
      </c>
      <c r="K4" s="71">
        <f t="shared" si="2"/>
        <v>880.6821152192606</v>
      </c>
      <c r="L4" s="71">
        <f t="shared" si="2"/>
        <v>717.12519346517615</v>
      </c>
      <c r="M4" s="71">
        <f t="shared" si="2"/>
        <v>515.62536543422175</v>
      </c>
      <c r="N4" s="71">
        <f t="shared" si="2"/>
        <v>525.21255374032671</v>
      </c>
      <c r="O4" s="71">
        <f t="shared" si="2"/>
        <v>430.52932072226992</v>
      </c>
      <c r="P4" s="71">
        <f t="shared" si="2"/>
        <v>449.10189165950123</v>
      </c>
      <c r="Q4" s="71">
        <f t="shared" si="2"/>
        <v>534.28392089423915</v>
      </c>
      <c r="R4" s="71">
        <f t="shared" si="2"/>
        <v>556.84058469475485</v>
      </c>
      <c r="S4" s="71">
        <f t="shared" si="2"/>
        <v>570.55064488392077</v>
      </c>
      <c r="T4" s="71">
        <f t="shared" si="2"/>
        <v>615.65838349097157</v>
      </c>
      <c r="U4" s="71">
        <f t="shared" si="2"/>
        <v>640.72433361994854</v>
      </c>
      <c r="V4" s="71">
        <f t="shared" si="2"/>
        <v>514.79716251074797</v>
      </c>
      <c r="W4" s="71">
        <f t="shared" ref="W4:Y4" si="3">SUM(W5:W9)</f>
        <v>574.65391229578688</v>
      </c>
      <c r="X4" s="71">
        <f t="shared" si="3"/>
        <v>617.9036973344796</v>
      </c>
      <c r="Y4" s="71">
        <f t="shared" si="3"/>
        <v>642.05743766122089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270.11083404987102</v>
      </c>
      <c r="C5" s="73">
        <v>354.32785898538259</v>
      </c>
      <c r="D5" s="73">
        <v>338.92235597592429</v>
      </c>
      <c r="E5" s="73">
        <v>309.13826311263972</v>
      </c>
      <c r="F5" s="73">
        <v>316.32751504729151</v>
      </c>
      <c r="G5" s="73">
        <v>336.86827171109189</v>
      </c>
      <c r="H5" s="73">
        <v>367.67936371453129</v>
      </c>
      <c r="I5" s="73">
        <v>328.6519346517627</v>
      </c>
      <c r="J5" s="73">
        <v>317.35451418744623</v>
      </c>
      <c r="K5" s="73">
        <v>278.79045571797081</v>
      </c>
      <c r="L5" s="73">
        <v>275.73800515907129</v>
      </c>
      <c r="M5" s="73">
        <v>261.49329320722268</v>
      </c>
      <c r="N5" s="73">
        <v>199.42674118658641</v>
      </c>
      <c r="O5" s="73">
        <v>182.1295786758383</v>
      </c>
      <c r="P5" s="73">
        <v>190.26938950988821</v>
      </c>
      <c r="Q5" s="73">
        <v>222.82889079965611</v>
      </c>
      <c r="R5" s="73">
        <v>249.2834909716251</v>
      </c>
      <c r="S5" s="73">
        <v>256.48830610490108</v>
      </c>
      <c r="T5" s="73">
        <v>274.58830610490111</v>
      </c>
      <c r="U5" s="73">
        <v>297.26388650042992</v>
      </c>
      <c r="V5" s="73">
        <v>222.74041272570929</v>
      </c>
      <c r="W5" s="73">
        <v>276.89896818572657</v>
      </c>
      <c r="X5" s="73">
        <v>303.62932072226988</v>
      </c>
      <c r="Y5" s="73">
        <v>322.5656921754084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227.72519346517629</v>
      </c>
      <c r="C6" s="73">
        <v>323.25399828030947</v>
      </c>
      <c r="D6" s="73">
        <v>273.07730008598452</v>
      </c>
      <c r="E6" s="73">
        <v>295.27085124677558</v>
      </c>
      <c r="F6" s="73">
        <v>361.8515047291487</v>
      </c>
      <c r="G6" s="73">
        <v>314.56956147893379</v>
      </c>
      <c r="H6" s="73">
        <v>346.41255374032676</v>
      </c>
      <c r="I6" s="73">
        <v>337.72811693895102</v>
      </c>
      <c r="J6" s="73">
        <v>281.76173688736031</v>
      </c>
      <c r="K6" s="73">
        <v>601.89165950128972</v>
      </c>
      <c r="L6" s="73">
        <v>441.38718830610486</v>
      </c>
      <c r="M6" s="73">
        <v>254.13207222699907</v>
      </c>
      <c r="N6" s="73">
        <v>325.7858125537403</v>
      </c>
      <c r="O6" s="73">
        <v>248.39974204643161</v>
      </c>
      <c r="P6" s="73">
        <v>257.95356835769553</v>
      </c>
      <c r="Q6" s="73">
        <v>311.45503009458304</v>
      </c>
      <c r="R6" s="73">
        <v>306.67815993121229</v>
      </c>
      <c r="S6" s="73">
        <v>313.61582115219255</v>
      </c>
      <c r="T6" s="73">
        <v>340.7677558039552</v>
      </c>
      <c r="U6" s="73">
        <v>343.05460017196918</v>
      </c>
      <c r="V6" s="73">
        <v>291.69294926913159</v>
      </c>
      <c r="W6" s="73">
        <v>297.37592433362005</v>
      </c>
      <c r="X6" s="73">
        <v>314.27437661220972</v>
      </c>
      <c r="Y6" s="73">
        <v>319.49174548581249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0.8789337919174548</v>
      </c>
      <c r="Q7" s="73">
        <v>0</v>
      </c>
      <c r="R7" s="73">
        <v>0.8789337919174548</v>
      </c>
      <c r="S7" s="73">
        <v>0.44651762682717111</v>
      </c>
      <c r="T7" s="73">
        <v>0.30232158211521931</v>
      </c>
      <c r="U7" s="73">
        <v>0.40584694754944095</v>
      </c>
      <c r="V7" s="73">
        <v>0.36380051590713663</v>
      </c>
      <c r="W7" s="73">
        <v>0.37901977644024071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:Y10" si="5">SUM(W11:W15)</f>
        <v>0</v>
      </c>
      <c r="X10" s="71">
        <f t="shared" si="5"/>
        <v>0</v>
      </c>
      <c r="Y10" s="71">
        <f t="shared" si="5"/>
        <v>0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>
        <v>0</v>
      </c>
      <c r="Y11" s="73">
        <v>0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8242.318336341843</v>
      </c>
      <c r="C19" s="62">
        <f>IF(C3=0,0,C3/TrNavi_act!C7*100)</f>
        <v>16994.779464903237</v>
      </c>
      <c r="D19" s="62">
        <f>IF(D3=0,0,D3/TrNavi_act!D7*100)</f>
        <v>14359.447584746806</v>
      </c>
      <c r="E19" s="62">
        <f>IF(E3=0,0,E3/TrNavi_act!E7*100)</f>
        <v>11756.644900980651</v>
      </c>
      <c r="F19" s="62">
        <f>IF(F3=0,0,F3/TrNavi_act!F7*100)</f>
        <v>12177.75219566242</v>
      </c>
      <c r="G19" s="62">
        <f>IF(G3=0,0,G3/TrNavi_act!G7*100)</f>
        <v>12617.428494867821</v>
      </c>
      <c r="H19" s="62">
        <f>IF(H3=0,0,H3/TrNavi_act!H7*100)</f>
        <v>11999.52810376169</v>
      </c>
      <c r="I19" s="62">
        <f>IF(I3=0,0,I3/TrNavi_act!I7*100)</f>
        <v>10461.225299697233</v>
      </c>
      <c r="J19" s="62">
        <f>IF(J3=0,0,J3/TrNavi_act!J7*100)</f>
        <v>11092.691188202307</v>
      </c>
      <c r="K19" s="62">
        <f>IF(K3=0,0,K3/TrNavi_act!K7*100)</f>
        <v>15939.947786773948</v>
      </c>
      <c r="L19" s="62">
        <f>IF(L3=0,0,L3/TrNavi_act!L7*100)</f>
        <v>16917.319968510878</v>
      </c>
      <c r="M19" s="62">
        <f>IF(M3=0,0,M3/TrNavi_act!M7*100)</f>
        <v>12158.108121533171</v>
      </c>
      <c r="N19" s="62">
        <f>IF(N3=0,0,N3/TrNavi_act!N7*100)</f>
        <v>13226.203821211953</v>
      </c>
      <c r="O19" s="62">
        <f>IF(O3=0,0,O3/TrNavi_act!O7*100)</f>
        <v>10683.109695341685</v>
      </c>
      <c r="P19" s="62">
        <f>IF(P3=0,0,P3/TrNavi_act!P7*100)</f>
        <v>11050.73552311765</v>
      </c>
      <c r="Q19" s="62">
        <f>IF(Q3=0,0,Q3/TrNavi_act!Q7*100)</f>
        <v>11645.246750092396</v>
      </c>
      <c r="R19" s="62">
        <f>IF(R3=0,0,R3/TrNavi_act!R7*100)</f>
        <v>13034.657881431527</v>
      </c>
      <c r="S19" s="62">
        <f>IF(S3=0,0,S3/TrNavi_act!S7*100)</f>
        <v>13412.097905122726</v>
      </c>
      <c r="T19" s="62">
        <f>IF(T3=0,0,T3/TrNavi_act!T7*100)</f>
        <v>14651.556008828453</v>
      </c>
      <c r="U19" s="62">
        <f>IF(U3=0,0,U3/TrNavi_act!U7*100)</f>
        <v>15208.268065985012</v>
      </c>
      <c r="V19" s="62">
        <f>IF(V3=0,0,V3/TrNavi_act!V7*100)</f>
        <v>13872.195163318458</v>
      </c>
      <c r="W19" s="62">
        <f>IF(W3=0,0,W3/TrNavi_act!W7*100)</f>
        <v>15891.977663047202</v>
      </c>
      <c r="X19" s="62">
        <f>IF(X3=0,0,X3/TrNavi_act!X7*100)</f>
        <v>17674.590884853536</v>
      </c>
      <c r="Y19" s="62">
        <f>IF(Y3=0,0,Y3/TrNavi_act!Y7*100)</f>
        <v>16242.282764007612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8242.318336341843</v>
      </c>
      <c r="C20" s="63">
        <f>IF(C4=0,0,C4/TrNavi_act!C8*100)</f>
        <v>16994.779464903237</v>
      </c>
      <c r="D20" s="63">
        <f>IF(D4=0,0,D4/TrNavi_act!D8*100)</f>
        <v>14359.447584746806</v>
      </c>
      <c r="E20" s="63">
        <f>IF(E4=0,0,E4/TrNavi_act!E8*100)</f>
        <v>11756.644900980651</v>
      </c>
      <c r="F20" s="63">
        <f>IF(F4=0,0,F4/TrNavi_act!F8*100)</f>
        <v>12177.75219566242</v>
      </c>
      <c r="G20" s="63">
        <f>IF(G4=0,0,G4/TrNavi_act!G8*100)</f>
        <v>12617.428494867821</v>
      </c>
      <c r="H20" s="63">
        <f>IF(H4=0,0,H4/TrNavi_act!H8*100)</f>
        <v>11999.52810376169</v>
      </c>
      <c r="I20" s="63">
        <f>IF(I4=0,0,I4/TrNavi_act!I8*100)</f>
        <v>10461.225299697233</v>
      </c>
      <c r="J20" s="63">
        <f>IF(J4=0,0,J4/TrNavi_act!J8*100)</f>
        <v>11092.691188202307</v>
      </c>
      <c r="K20" s="63">
        <f>IF(K4=0,0,K4/TrNavi_act!K8*100)</f>
        <v>15939.947786773948</v>
      </c>
      <c r="L20" s="63">
        <f>IF(L4=0,0,L4/TrNavi_act!L8*100)</f>
        <v>16917.319968510878</v>
      </c>
      <c r="M20" s="63">
        <f>IF(M4=0,0,M4/TrNavi_act!M8*100)</f>
        <v>12158.108121533171</v>
      </c>
      <c r="N20" s="63">
        <f>IF(N4=0,0,N4/TrNavi_act!N8*100)</f>
        <v>13226.203821211953</v>
      </c>
      <c r="O20" s="63">
        <f>IF(O4=0,0,O4/TrNavi_act!O8*100)</f>
        <v>10683.109695341685</v>
      </c>
      <c r="P20" s="63">
        <f>IF(P4=0,0,P4/TrNavi_act!P8*100)</f>
        <v>11050.73552311765</v>
      </c>
      <c r="Q20" s="63">
        <f>IF(Q4=0,0,Q4/TrNavi_act!Q8*100)</f>
        <v>11645.246750092396</v>
      </c>
      <c r="R20" s="63">
        <f>IF(R4=0,0,R4/TrNavi_act!R8*100)</f>
        <v>13034.657881431527</v>
      </c>
      <c r="S20" s="63">
        <f>IF(S4=0,0,S4/TrNavi_act!S8*100)</f>
        <v>13412.097905122726</v>
      </c>
      <c r="T20" s="63">
        <f>IF(T4=0,0,T4/TrNavi_act!T8*100)</f>
        <v>14651.556008828453</v>
      </c>
      <c r="U20" s="63">
        <f>IF(U4=0,0,U4/TrNavi_act!U8*100)</f>
        <v>15208.268065985012</v>
      </c>
      <c r="V20" s="63">
        <f>IF(V4=0,0,V4/TrNavi_act!V8*100)</f>
        <v>13872.195163318458</v>
      </c>
      <c r="W20" s="63">
        <f>IF(W4=0,0,W4/TrNavi_act!W8*100)</f>
        <v>15891.977663047202</v>
      </c>
      <c r="X20" s="63">
        <f>IF(X4=0,0,X4/TrNavi_act!X8*100)</f>
        <v>17674.590884853536</v>
      </c>
      <c r="Y20" s="63">
        <f>IF(Y4=0,0,Y4/TrNavi_act!Y8*100)</f>
        <v>16242.282764007612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>
        <f>IF(X10=0,0,X10/TrNavi_act!X9*100)</f>
        <v>0</v>
      </c>
      <c r="Y21" s="64">
        <f>IF(Y10=0,0,Y10/TrNavi_act!Y9*100)</f>
        <v>0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44.83005232391136</v>
      </c>
      <c r="C23" s="62">
        <f>IF(C3=0,0,C3/TrNavi_act!C3*1000)</f>
        <v>151.37150754190128</v>
      </c>
      <c r="D23" s="62">
        <f>IF(D3=0,0,D3/TrNavi_act!D3*1000)</f>
        <v>106.10158227747327</v>
      </c>
      <c r="E23" s="62">
        <f>IF(E3=0,0,E3/TrNavi_act!E3*1000)</f>
        <v>87.847863625575968</v>
      </c>
      <c r="F23" s="62">
        <f>IF(F3=0,0,F3/TrNavi_act!F3*1000)</f>
        <v>101.57200644264422</v>
      </c>
      <c r="G23" s="62">
        <f>IF(G3=0,0,G3/TrNavi_act!G3*1000)</f>
        <v>105.56671370330406</v>
      </c>
      <c r="H23" s="62">
        <f>IF(H3=0,0,H3/TrNavi_act!H3*1000)</f>
        <v>112.2859655192578</v>
      </c>
      <c r="I23" s="62">
        <f>IF(I3=0,0,I3/TrNavi_act!I3*1000)</f>
        <v>102.66683730928321</v>
      </c>
      <c r="J23" s="62">
        <f>IF(J3=0,0,J3/TrNavi_act!J3*1000)</f>
        <v>103.6682890013553</v>
      </c>
      <c r="K23" s="62">
        <f>IF(K3=0,0,K3/TrNavi_act!K3*1000)</f>
        <v>171.41787185251664</v>
      </c>
      <c r="L23" s="62">
        <f>IF(L3=0,0,L3/TrNavi_act!L3*1000)</f>
        <v>153.80387819769382</v>
      </c>
      <c r="M23" s="62">
        <f>IF(M3=0,0,M3/TrNavi_act!M3*1000)</f>
        <v>109.89359546104271</v>
      </c>
      <c r="N23" s="62">
        <f>IF(N3=0,0,N3/TrNavi_act!N3*1000)</f>
        <v>109.89386325661941</v>
      </c>
      <c r="O23" s="62">
        <f>IF(O3=0,0,O3/TrNavi_act!O3*1000)</f>
        <v>88.109167031584306</v>
      </c>
      <c r="P23" s="62">
        <f>IF(P3=0,0,P3/TrNavi_act!P3*1000)</f>
        <v>91.955417609030235</v>
      </c>
      <c r="Q23" s="62">
        <f>IF(Q3=0,0,Q3/TrNavi_act!Q3*1000)</f>
        <v>97.80656652634535</v>
      </c>
      <c r="R23" s="62">
        <f>IF(R3=0,0,R3/TrNavi_act!R3*1000)</f>
        <v>104.9458506618485</v>
      </c>
      <c r="S23" s="62">
        <f>IF(S3=0,0,S3/TrNavi_act!S3*1000)</f>
        <v>106.83244633459999</v>
      </c>
      <c r="T23" s="62">
        <f>IF(T3=0,0,T3/TrNavi_act!T3*1000)</f>
        <v>112.89826210579149</v>
      </c>
      <c r="U23" s="62">
        <f>IF(U3=0,0,U3/TrNavi_act!U3*1000)</f>
        <v>115.55996997754332</v>
      </c>
      <c r="V23" s="62">
        <f>IF(V3=0,0,V3/TrNavi_act!V3*1000)</f>
        <v>109.11412376737196</v>
      </c>
      <c r="W23" s="62">
        <f>IF(W3=0,0,W3/TrNavi_act!W3*1000)</f>
        <v>118.7706371584914</v>
      </c>
      <c r="X23" s="62">
        <f>IF(X3=0,0,X3/TrNavi_act!X3*1000)</f>
        <v>126.93220667917005</v>
      </c>
      <c r="Y23" s="62">
        <f>IF(Y3=0,0,Y3/TrNavi_act!Y3*1000)</f>
        <v>120.41377328962959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44.83005232391136</v>
      </c>
      <c r="C24" s="63">
        <f>IF(C4=0,0,C4/TrNavi_act!C4*1000)</f>
        <v>151.37150754190128</v>
      </c>
      <c r="D24" s="63">
        <f>IF(D4=0,0,D4/TrNavi_act!D4*1000)</f>
        <v>106.10158227747327</v>
      </c>
      <c r="E24" s="63">
        <f>IF(E4=0,0,E4/TrNavi_act!E4*1000)</f>
        <v>87.847863625575968</v>
      </c>
      <c r="F24" s="63">
        <f>IF(F4=0,0,F4/TrNavi_act!F4*1000)</f>
        <v>101.57200644264422</v>
      </c>
      <c r="G24" s="63">
        <f>IF(G4=0,0,G4/TrNavi_act!G4*1000)</f>
        <v>105.56671370330406</v>
      </c>
      <c r="H24" s="63">
        <f>IF(H4=0,0,H4/TrNavi_act!H4*1000)</f>
        <v>112.2859655192578</v>
      </c>
      <c r="I24" s="63">
        <f>IF(I4=0,0,I4/TrNavi_act!I4*1000)</f>
        <v>102.66683730928321</v>
      </c>
      <c r="J24" s="63">
        <f>IF(J4=0,0,J4/TrNavi_act!J4*1000)</f>
        <v>103.6682890013553</v>
      </c>
      <c r="K24" s="63">
        <f>IF(K4=0,0,K4/TrNavi_act!K4*1000)</f>
        <v>171.41787185251664</v>
      </c>
      <c r="L24" s="63">
        <f>IF(L4=0,0,L4/TrNavi_act!L4*1000)</f>
        <v>153.80387819769382</v>
      </c>
      <c r="M24" s="63">
        <f>IF(M4=0,0,M4/TrNavi_act!M4*1000)</f>
        <v>109.89359546104271</v>
      </c>
      <c r="N24" s="63">
        <f>IF(N4=0,0,N4/TrNavi_act!N4*1000)</f>
        <v>109.89386325661941</v>
      </c>
      <c r="O24" s="63">
        <f>IF(O4=0,0,O4/TrNavi_act!O4*1000)</f>
        <v>88.109167031584306</v>
      </c>
      <c r="P24" s="63">
        <f>IF(P4=0,0,P4/TrNavi_act!P4*1000)</f>
        <v>91.955417609030235</v>
      </c>
      <c r="Q24" s="63">
        <f>IF(Q4=0,0,Q4/TrNavi_act!Q4*1000)</f>
        <v>97.80656652634535</v>
      </c>
      <c r="R24" s="63">
        <f>IF(R4=0,0,R4/TrNavi_act!R4*1000)</f>
        <v>104.9458506618485</v>
      </c>
      <c r="S24" s="63">
        <f>IF(S4=0,0,S4/TrNavi_act!S4*1000)</f>
        <v>106.83244633459999</v>
      </c>
      <c r="T24" s="63">
        <f>IF(T4=0,0,T4/TrNavi_act!T4*1000)</f>
        <v>112.89826210579149</v>
      </c>
      <c r="U24" s="63">
        <f>IF(U4=0,0,U4/TrNavi_act!U4*1000)</f>
        <v>115.55996997754332</v>
      </c>
      <c r="V24" s="63">
        <f>IF(V4=0,0,V4/TrNavi_act!V4*1000)</f>
        <v>109.11412376737196</v>
      </c>
      <c r="W24" s="63">
        <f>IF(W4=0,0,W4/TrNavi_act!W4*1000)</f>
        <v>118.7706371584914</v>
      </c>
      <c r="X24" s="63">
        <f>IF(X4=0,0,X4/TrNavi_act!X4*1000)</f>
        <v>126.93220667917005</v>
      </c>
      <c r="Y24" s="63">
        <f>IF(Y4=0,0,Y4/TrNavi_act!Y4*1000)</f>
        <v>120.41377328962959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>
        <f>IF(X10=0,0,X10/TrNavi_act!X5*1000)</f>
        <v>0</v>
      </c>
      <c r="Y25" s="64">
        <f>IF(Y10=0,0,Y10/TrNavi_act!Y5*1000)</f>
        <v>0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1</v>
      </c>
      <c r="C28" s="77">
        <f t="shared" si="9"/>
        <v>1</v>
      </c>
      <c r="D28" s="77">
        <f t="shared" si="9"/>
        <v>1</v>
      </c>
      <c r="E28" s="77">
        <f t="shared" si="9"/>
        <v>1</v>
      </c>
      <c r="F28" s="77">
        <f t="shared" si="9"/>
        <v>1</v>
      </c>
      <c r="G28" s="77">
        <f t="shared" si="9"/>
        <v>1</v>
      </c>
      <c r="H28" s="77">
        <f t="shared" si="9"/>
        <v>1</v>
      </c>
      <c r="I28" s="77">
        <f t="shared" si="9"/>
        <v>1</v>
      </c>
      <c r="J28" s="77">
        <f t="shared" si="9"/>
        <v>1</v>
      </c>
      <c r="K28" s="77">
        <f t="shared" si="9"/>
        <v>1</v>
      </c>
      <c r="L28" s="77">
        <f t="shared" si="9"/>
        <v>1</v>
      </c>
      <c r="M28" s="77">
        <f t="shared" si="9"/>
        <v>1</v>
      </c>
      <c r="N28" s="77">
        <f t="shared" si="9"/>
        <v>1</v>
      </c>
      <c r="O28" s="77">
        <f t="shared" si="9"/>
        <v>1</v>
      </c>
      <c r="P28" s="77">
        <f t="shared" si="9"/>
        <v>1</v>
      </c>
      <c r="Q28" s="77">
        <f t="shared" si="9"/>
        <v>1</v>
      </c>
      <c r="R28" s="77">
        <f t="shared" si="9"/>
        <v>1</v>
      </c>
      <c r="S28" s="77">
        <f t="shared" si="9"/>
        <v>1</v>
      </c>
      <c r="T28" s="77">
        <f t="shared" si="9"/>
        <v>1</v>
      </c>
      <c r="U28" s="77">
        <f t="shared" si="9"/>
        <v>1</v>
      </c>
      <c r="V28" s="77">
        <f t="shared" ref="V28:W28" si="10">IF(V4=0,0,V4/V$3)</f>
        <v>1</v>
      </c>
      <c r="W28" s="77">
        <f t="shared" si="10"/>
        <v>1</v>
      </c>
      <c r="X28" s="77">
        <f t="shared" ref="X28:Y28" si="11">IF(X4=0,0,X4/X$3)</f>
        <v>1</v>
      </c>
      <c r="Y28" s="77">
        <f t="shared" si="11"/>
        <v>1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</v>
      </c>
      <c r="C29" s="78">
        <f t="shared" si="12"/>
        <v>0</v>
      </c>
      <c r="D29" s="78">
        <f t="shared" si="12"/>
        <v>0</v>
      </c>
      <c r="E29" s="78">
        <f t="shared" si="12"/>
        <v>0</v>
      </c>
      <c r="F29" s="78">
        <f t="shared" si="12"/>
        <v>0</v>
      </c>
      <c r="G29" s="78">
        <f t="shared" si="12"/>
        <v>0</v>
      </c>
      <c r="H29" s="78">
        <f t="shared" si="12"/>
        <v>0</v>
      </c>
      <c r="I29" s="78">
        <f t="shared" si="12"/>
        <v>0</v>
      </c>
      <c r="J29" s="78">
        <f t="shared" si="12"/>
        <v>0</v>
      </c>
      <c r="K29" s="78">
        <f t="shared" si="12"/>
        <v>0</v>
      </c>
      <c r="L29" s="78">
        <f t="shared" si="12"/>
        <v>0</v>
      </c>
      <c r="M29" s="78">
        <f t="shared" si="12"/>
        <v>0</v>
      </c>
      <c r="N29" s="78">
        <f t="shared" si="12"/>
        <v>0</v>
      </c>
      <c r="O29" s="78">
        <f t="shared" si="12"/>
        <v>0</v>
      </c>
      <c r="P29" s="78">
        <f t="shared" si="12"/>
        <v>0</v>
      </c>
      <c r="Q29" s="78">
        <f t="shared" si="12"/>
        <v>0</v>
      </c>
      <c r="R29" s="78">
        <f t="shared" si="12"/>
        <v>0</v>
      </c>
      <c r="S29" s="78">
        <f t="shared" si="12"/>
        <v>0</v>
      </c>
      <c r="T29" s="78">
        <f t="shared" si="12"/>
        <v>0</v>
      </c>
      <c r="U29" s="78">
        <f t="shared" si="12"/>
        <v>0</v>
      </c>
      <c r="V29" s="78">
        <f t="shared" ref="V29:W29" si="13">IF(V10=0,0,V10/V$3)</f>
        <v>0</v>
      </c>
      <c r="W29" s="78">
        <f t="shared" si="13"/>
        <v>0</v>
      </c>
      <c r="X29" s="78">
        <f t="shared" ref="X29:Y29" si="14">IF(X10=0,0,X10/X$3)</f>
        <v>0</v>
      </c>
      <c r="Y29" s="78">
        <f t="shared" si="14"/>
        <v>0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1575.9593658000001</v>
      </c>
      <c r="C3" s="54">
        <f t="shared" ref="C3:V3" si="1">SUM(C4:C5)</f>
        <v>2146.80488724</v>
      </c>
      <c r="D3" s="54">
        <f t="shared" si="1"/>
        <v>1936.4087998800001</v>
      </c>
      <c r="E3" s="54">
        <f t="shared" si="1"/>
        <v>1915.9261192800002</v>
      </c>
      <c r="F3" s="54">
        <f t="shared" si="1"/>
        <v>2153.99033676</v>
      </c>
      <c r="G3" s="54">
        <f t="shared" si="1"/>
        <v>2064.4952954399996</v>
      </c>
      <c r="H3" s="54">
        <f t="shared" si="1"/>
        <v>2263.2740722799999</v>
      </c>
      <c r="I3" s="54">
        <f t="shared" si="1"/>
        <v>2114.0520026400004</v>
      </c>
      <c r="J3" s="54">
        <f t="shared" si="1"/>
        <v>1897.6389620400003</v>
      </c>
      <c r="K3" s="54">
        <f t="shared" si="1"/>
        <v>2815.4047510800006</v>
      </c>
      <c r="L3" s="54">
        <f t="shared" si="1"/>
        <v>2285.8066782000001</v>
      </c>
      <c r="M3" s="54">
        <f t="shared" si="1"/>
        <v>1634.7978327599999</v>
      </c>
      <c r="N3" s="54">
        <f t="shared" si="1"/>
        <v>1674.4413020400002</v>
      </c>
      <c r="O3" s="54">
        <f t="shared" si="1"/>
        <v>1370.0022598799999</v>
      </c>
      <c r="P3" s="54">
        <f t="shared" si="1"/>
        <v>1426.2153310799999</v>
      </c>
      <c r="Q3" s="54">
        <f t="shared" si="1"/>
        <v>1700.6044780800003</v>
      </c>
      <c r="R3" s="54">
        <f t="shared" si="1"/>
        <v>1767.1978817999998</v>
      </c>
      <c r="S3" s="54">
        <f t="shared" si="1"/>
        <v>1812.0262388400004</v>
      </c>
      <c r="T3" s="54">
        <f t="shared" si="1"/>
        <v>1956.1603579199998</v>
      </c>
      <c r="U3" s="54">
        <f t="shared" si="1"/>
        <v>2033.9111037600005</v>
      </c>
      <c r="V3" s="54">
        <f t="shared" si="1"/>
        <v>1636.2640292399997</v>
      </c>
      <c r="W3" s="54">
        <f t="shared" ref="W3:Y3" si="2">SUM(W4:W5)</f>
        <v>1822.7121386400001</v>
      </c>
      <c r="X3" s="54">
        <f t="shared" si="2"/>
        <v>1960.4068761599997</v>
      </c>
      <c r="Y3" s="54">
        <f t="shared" si="2"/>
        <v>2036.0734505999999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1575.9593658000001</v>
      </c>
      <c r="C4" s="56">
        <v>2146.80488724</v>
      </c>
      <c r="D4" s="56">
        <v>1936.4087998800001</v>
      </c>
      <c r="E4" s="56">
        <v>1915.9261192800002</v>
      </c>
      <c r="F4" s="56">
        <v>2153.99033676</v>
      </c>
      <c r="G4" s="56">
        <v>2064.4952954399996</v>
      </c>
      <c r="H4" s="56">
        <v>2263.2740722799999</v>
      </c>
      <c r="I4" s="56">
        <v>2114.0520026400004</v>
      </c>
      <c r="J4" s="56">
        <v>1897.6389620400003</v>
      </c>
      <c r="K4" s="56">
        <v>2815.4047510800006</v>
      </c>
      <c r="L4" s="56">
        <v>2285.8066782000001</v>
      </c>
      <c r="M4" s="56">
        <v>1634.7978327599999</v>
      </c>
      <c r="N4" s="56">
        <v>1674.4413020400002</v>
      </c>
      <c r="O4" s="56">
        <v>1370.0022598799999</v>
      </c>
      <c r="P4" s="56">
        <v>1426.2153310799999</v>
      </c>
      <c r="Q4" s="56">
        <v>1700.6044780800003</v>
      </c>
      <c r="R4" s="56">
        <v>1767.1978817999998</v>
      </c>
      <c r="S4" s="56">
        <v>1812.0262388400004</v>
      </c>
      <c r="T4" s="56">
        <v>1956.1603579199998</v>
      </c>
      <c r="U4" s="56">
        <v>2033.9111037600005</v>
      </c>
      <c r="V4" s="56">
        <v>1636.2640292399997</v>
      </c>
      <c r="W4" s="56">
        <v>1822.7121386400001</v>
      </c>
      <c r="X4" s="56">
        <v>1960.4068761599997</v>
      </c>
      <c r="Y4" s="56">
        <v>2036.0734505999999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>
        <v>0</v>
      </c>
      <c r="Y5" s="58">
        <v>0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3.165619357976992</v>
      </c>
      <c r="C9" s="79">
        <f>IF(C3=0,0,C3/TrNavi_ene!C3)</f>
        <v>3.1683328947194629</v>
      </c>
      <c r="D9" s="79">
        <f>IF(D3=0,0,D3/TrNavi_ene!D3)</f>
        <v>3.1640684446465053</v>
      </c>
      <c r="E9" s="79">
        <f>IF(E3=0,0,E3/TrNavi_ene!E3)</f>
        <v>3.1699159952453728</v>
      </c>
      <c r="F9" s="79">
        <f>IF(F3=0,0,F3/TrNavi_ene!F3)</f>
        <v>3.1761382672528806</v>
      </c>
      <c r="G9" s="79">
        <f>IF(G3=0,0,G3/TrNavi_ene!G3)</f>
        <v>3.1691363170148921</v>
      </c>
      <c r="H9" s="79">
        <f>IF(H3=0,0,H3/TrNavi_ene!H3)</f>
        <v>3.1694436205729422</v>
      </c>
      <c r="I9" s="79">
        <f>IF(I3=0,0,I3/TrNavi_ene!I3)</f>
        <v>3.1724419084778326</v>
      </c>
      <c r="J9" s="79">
        <f>IF(J3=0,0,J3/TrNavi_ene!J3)</f>
        <v>3.1673969094239411</v>
      </c>
      <c r="K9" s="79">
        <f>IF(K3=0,0,K3/TrNavi_ene!K3)</f>
        <v>3.1968456068612889</v>
      </c>
      <c r="L9" s="79">
        <f>IF(L3=0,0,L3/TrNavi_ene!L3)</f>
        <v>3.1874583392543991</v>
      </c>
      <c r="M9" s="79">
        <f>IF(M3=0,0,M3/TrNavi_ene!M3)</f>
        <v>3.1705147619789678</v>
      </c>
      <c r="N9" s="79">
        <f>IF(N3=0,0,N3/TrNavi_ene!N3)</f>
        <v>3.1881212475128118</v>
      </c>
      <c r="O9" s="79">
        <f>IF(O3=0,0,O3/TrNavi_ene!O3)</f>
        <v>3.1821346280937144</v>
      </c>
      <c r="P9" s="79">
        <f>IF(P3=0,0,P3/TrNavi_ene!P3)</f>
        <v>3.175705463653054</v>
      </c>
      <c r="Q9" s="79">
        <f>IF(Q3=0,0,Q3/TrNavi_ene!Q3)</f>
        <v>3.1829602418760286</v>
      </c>
      <c r="R9" s="79">
        <f>IF(R3=0,0,R3/TrNavi_ene!R3)</f>
        <v>3.1736154482502932</v>
      </c>
      <c r="S9" s="79">
        <f>IF(S3=0,0,S3/TrNavi_ene!S3)</f>
        <v>3.1759253189673622</v>
      </c>
      <c r="T9" s="79">
        <f>IF(T3=0,0,T3/TrNavi_ene!T3)</f>
        <v>3.1773470651499482</v>
      </c>
      <c r="U9" s="79">
        <f>IF(U3=0,0,U3/TrNavi_ene!U3)</f>
        <v>3.1743934123257964</v>
      </c>
      <c r="V9" s="79">
        <f>IF(V3=0,0,V3/TrNavi_ene!V3)</f>
        <v>3.1784635743905012</v>
      </c>
      <c r="W9" s="79">
        <f>IF(W3=0,0,W3/TrNavi_ene!W3)</f>
        <v>3.171843260160057</v>
      </c>
      <c r="X9" s="79">
        <f>IF(X3=0,0,X3/TrNavi_ene!X3)</f>
        <v>3.1726738076124588</v>
      </c>
      <c r="Y9" s="79">
        <f>IF(Y3=0,0,Y3/TrNavi_ene!Y3)</f>
        <v>3.1711702585623285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3.165619357976992</v>
      </c>
      <c r="C10" s="80">
        <f>IF(C4=0,0,C4/TrNavi_ene!C4)</f>
        <v>3.1683328947194629</v>
      </c>
      <c r="D10" s="80">
        <f>IF(D4=0,0,D4/TrNavi_ene!D4)</f>
        <v>3.1640684446465053</v>
      </c>
      <c r="E10" s="80">
        <f>IF(E4=0,0,E4/TrNavi_ene!E4)</f>
        <v>3.1699159952453728</v>
      </c>
      <c r="F10" s="80">
        <f>IF(F4=0,0,F4/TrNavi_ene!F4)</f>
        <v>3.1761382672528806</v>
      </c>
      <c r="G10" s="80">
        <f>IF(G4=0,0,G4/TrNavi_ene!G4)</f>
        <v>3.1691363170148921</v>
      </c>
      <c r="H10" s="80">
        <f>IF(H4=0,0,H4/TrNavi_ene!H4)</f>
        <v>3.1694436205729422</v>
      </c>
      <c r="I10" s="80">
        <f>IF(I4=0,0,I4/TrNavi_ene!I4)</f>
        <v>3.1724419084778326</v>
      </c>
      <c r="J10" s="80">
        <f>IF(J4=0,0,J4/TrNavi_ene!J4)</f>
        <v>3.1673969094239411</v>
      </c>
      <c r="K10" s="80">
        <f>IF(K4=0,0,K4/TrNavi_ene!K4)</f>
        <v>3.1968456068612889</v>
      </c>
      <c r="L10" s="80">
        <f>IF(L4=0,0,L4/TrNavi_ene!L4)</f>
        <v>3.1874583392543991</v>
      </c>
      <c r="M10" s="80">
        <f>IF(M4=0,0,M4/TrNavi_ene!M4)</f>
        <v>3.1705147619789678</v>
      </c>
      <c r="N10" s="80">
        <f>IF(N4=0,0,N4/TrNavi_ene!N4)</f>
        <v>3.1881212475128118</v>
      </c>
      <c r="O10" s="80">
        <f>IF(O4=0,0,O4/TrNavi_ene!O4)</f>
        <v>3.1821346280937144</v>
      </c>
      <c r="P10" s="80">
        <f>IF(P4=0,0,P4/TrNavi_ene!P4)</f>
        <v>3.175705463653054</v>
      </c>
      <c r="Q10" s="80">
        <f>IF(Q4=0,0,Q4/TrNavi_ene!Q4)</f>
        <v>3.1829602418760286</v>
      </c>
      <c r="R10" s="80">
        <f>IF(R4=0,0,R4/TrNavi_ene!R4)</f>
        <v>3.1736154482502932</v>
      </c>
      <c r="S10" s="80">
        <f>IF(S4=0,0,S4/TrNavi_ene!S4)</f>
        <v>3.1759253189673622</v>
      </c>
      <c r="T10" s="80">
        <f>IF(T4=0,0,T4/TrNavi_ene!T4)</f>
        <v>3.1773470651499482</v>
      </c>
      <c r="U10" s="80">
        <f>IF(U4=0,0,U4/TrNavi_ene!U4)</f>
        <v>3.1743934123257964</v>
      </c>
      <c r="V10" s="80">
        <f>IF(V4=0,0,V4/TrNavi_ene!V4)</f>
        <v>3.1784635743905012</v>
      </c>
      <c r="W10" s="80">
        <f>IF(W4=0,0,W4/TrNavi_ene!W4)</f>
        <v>3.171843260160057</v>
      </c>
      <c r="X10" s="80">
        <f>IF(X4=0,0,X4/TrNavi_ene!X4)</f>
        <v>3.1726738076124588</v>
      </c>
      <c r="Y10" s="80">
        <f>IF(Y4=0,0,Y4/TrNavi_ene!Y4)</f>
        <v>3.1711702585623285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>
        <f>IF(X5=0,0,X5/TrNavi_ene!X10)</f>
        <v>0</v>
      </c>
      <c r="Y11" s="81">
        <f>IF(Y5=0,0,Y5/TrNavi_ene!Y10)</f>
        <v>0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260920.42480132455</v>
      </c>
      <c r="C13" s="54">
        <f>IF(C3=0,0,C3/TrNavi_act!C7*1000)</f>
        <v>538451.1881715575</v>
      </c>
      <c r="D13" s="54">
        <f>IF(D3=0,0,D3/TrNavi_act!D7*1000)</f>
        <v>454342.74985452846</v>
      </c>
      <c r="E13" s="54">
        <f>IF(E3=0,0,E3/TrNavi_act!E7*1000)</f>
        <v>372675.7672203852</v>
      </c>
      <c r="F13" s="54">
        <f>IF(F3=0,0,F3/TrNavi_act!F7*1000)</f>
        <v>386782.24757766206</v>
      </c>
      <c r="G13" s="54">
        <f>IF(G3=0,0,G3/TrNavi_act!G7*1000)</f>
        <v>399863.5087042416</v>
      </c>
      <c r="H13" s="54">
        <f>IF(H3=0,0,H3/TrNavi_act!H7*1000)</f>
        <v>380318.27798353217</v>
      </c>
      <c r="I13" s="54">
        <f>IF(I3=0,0,I3/TrNavi_act!I7*1000)</f>
        <v>331876.29554788076</v>
      </c>
      <c r="J13" s="54">
        <f>IF(J3=0,0,J3/TrNavi_act!J7*1000)</f>
        <v>351349.5578670617</v>
      </c>
      <c r="K13" s="54">
        <f>IF(K3=0,0,K3/TrNavi_act!K7*1000)</f>
        <v>509575.52055746614</v>
      </c>
      <c r="L13" s="54">
        <f>IF(L3=0,0,L3/TrNavi_act!L7*1000)</f>
        <v>539232.52611464961</v>
      </c>
      <c r="M13" s="54">
        <f>IF(M3=0,0,M3/TrNavi_act!M7*1000)</f>
        <v>385474.612770573</v>
      </c>
      <c r="N13" s="54">
        <f>IF(N3=0,0,N3/TrNavi_act!N7*1000)</f>
        <v>421667.41426340974</v>
      </c>
      <c r="O13" s="54">
        <f>IF(O3=0,0,O3/TrNavi_act!O7*1000)</f>
        <v>339950.93297270464</v>
      </c>
      <c r="P13" s="54">
        <f>IF(P3=0,0,P3/TrNavi_act!P7*1000)</f>
        <v>350938.81178149604</v>
      </c>
      <c r="Q13" s="54">
        <f>IF(Q3=0,0,Q3/TrNavi_act!Q7*1000)</f>
        <v>370663.57412380126</v>
      </c>
      <c r="R13" s="54">
        <f>IF(R3=0,0,R3/TrNavi_act!R7*1000)</f>
        <v>413669.91615168529</v>
      </c>
      <c r="S13" s="54">
        <f>IF(S3=0,0,S3/TrNavi_act!S7*1000)</f>
        <v>425958.21317348391</v>
      </c>
      <c r="T13" s="54">
        <f>IF(T3=0,0,T3/TrNavi_act!T7*1000)</f>
        <v>465530.78484531172</v>
      </c>
      <c r="U13" s="54">
        <f>IF(U3=0,0,U3/TrNavi_act!U7*1000)</f>
        <v>482770.25961547601</v>
      </c>
      <c r="V13" s="54">
        <f>IF(V3=0,0,V3/TrNavi_act!V7*1000)</f>
        <v>440922.67023443809</v>
      </c>
      <c r="W13" s="54">
        <f>IF(W3=0,0,W3/TrNavi_act!W7*1000)</f>
        <v>504068.62241150445</v>
      </c>
      <c r="X13" s="54">
        <f>IF(X3=0,0,X3/TrNavi_act!X7*1000)</f>
        <v>560757.11560640717</v>
      </c>
      <c r="Y13" s="54">
        <f>IF(Y3=0,0,Y3/TrNavi_act!Y7*1000)</f>
        <v>515070.44032380474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260920.42480132455</v>
      </c>
      <c r="C14" s="56">
        <f>IF(C4=0,0,C4/TrNavi_act!C8*1000)</f>
        <v>538451.1881715575</v>
      </c>
      <c r="D14" s="56">
        <f>IF(D4=0,0,D4/TrNavi_act!D8*1000)</f>
        <v>454342.74985452846</v>
      </c>
      <c r="E14" s="56">
        <f>IF(E4=0,0,E4/TrNavi_act!E8*1000)</f>
        <v>372675.7672203852</v>
      </c>
      <c r="F14" s="56">
        <f>IF(F4=0,0,F4/TrNavi_act!F8*1000)</f>
        <v>386782.24757766206</v>
      </c>
      <c r="G14" s="56">
        <f>IF(G4=0,0,G4/TrNavi_act!G8*1000)</f>
        <v>399863.5087042416</v>
      </c>
      <c r="H14" s="56">
        <f>IF(H4=0,0,H4/TrNavi_act!H8*1000)</f>
        <v>380318.27798353217</v>
      </c>
      <c r="I14" s="56">
        <f>IF(I4=0,0,I4/TrNavi_act!I8*1000)</f>
        <v>331876.29554788076</v>
      </c>
      <c r="J14" s="56">
        <f>IF(J4=0,0,J4/TrNavi_act!J8*1000)</f>
        <v>351349.5578670617</v>
      </c>
      <c r="K14" s="56">
        <f>IF(K4=0,0,K4/TrNavi_act!K8*1000)</f>
        <v>509575.52055746614</v>
      </c>
      <c r="L14" s="56">
        <f>IF(L4=0,0,L4/TrNavi_act!L8*1000)</f>
        <v>539232.52611464961</v>
      </c>
      <c r="M14" s="56">
        <f>IF(M4=0,0,M4/TrNavi_act!M8*1000)</f>
        <v>385474.612770573</v>
      </c>
      <c r="N14" s="56">
        <f>IF(N4=0,0,N4/TrNavi_act!N8*1000)</f>
        <v>421667.41426340974</v>
      </c>
      <c r="O14" s="56">
        <f>IF(O4=0,0,O4/TrNavi_act!O8*1000)</f>
        <v>339950.93297270464</v>
      </c>
      <c r="P14" s="56">
        <f>IF(P4=0,0,P4/TrNavi_act!P8*1000)</f>
        <v>350938.81178149604</v>
      </c>
      <c r="Q14" s="56">
        <f>IF(Q4=0,0,Q4/TrNavi_act!Q8*1000)</f>
        <v>370663.57412380126</v>
      </c>
      <c r="R14" s="56">
        <f>IF(R4=0,0,R4/TrNavi_act!R8*1000)</f>
        <v>413669.91615168529</v>
      </c>
      <c r="S14" s="56">
        <f>IF(S4=0,0,S4/TrNavi_act!S8*1000)</f>
        <v>425958.21317348391</v>
      </c>
      <c r="T14" s="56">
        <f>IF(T4=0,0,T4/TrNavi_act!T8*1000)</f>
        <v>465530.78484531172</v>
      </c>
      <c r="U14" s="56">
        <f>IF(U4=0,0,U4/TrNavi_act!U8*1000)</f>
        <v>482770.25961547601</v>
      </c>
      <c r="V14" s="56">
        <f>IF(V4=0,0,V4/TrNavi_act!V8*1000)</f>
        <v>440922.67023443809</v>
      </c>
      <c r="W14" s="56">
        <f>IF(W4=0,0,W4/TrNavi_act!W8*1000)</f>
        <v>504068.62241150445</v>
      </c>
      <c r="X14" s="56">
        <f>IF(X4=0,0,X4/TrNavi_act!X8*1000)</f>
        <v>560757.11560640717</v>
      </c>
      <c r="Y14" s="56">
        <f>IF(Y4=0,0,Y4/TrNavi_act!Y8*1000)</f>
        <v>515070.44032380474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58">
        <f>IF(X5=0,0,X5/TrNavi_act!X9*1000)</f>
        <v>0</v>
      </c>
      <c r="Y15" s="58">
        <f>IF(Y5=0,0,Y5/TrNavi_act!Y9*1000)</f>
        <v>0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141.91488145569522</v>
      </c>
      <c r="C17" s="62">
        <f>IF(C3=0,0,C3/TrNavi_act!C3*1000)</f>
        <v>479.59532666828113</v>
      </c>
      <c r="D17" s="62">
        <f>IF(D3=0,0,D3/TrNavi_act!D3*1000)</f>
        <v>335.71266841121803</v>
      </c>
      <c r="E17" s="62">
        <f>IF(E3=0,0,E3/TrNavi_act!E3*1000)</f>
        <v>278.47034805484742</v>
      </c>
      <c r="F17" s="62">
        <f>IF(F3=0,0,F3/TrNavi_act!F3*1000)</f>
        <v>322.60673654413847</v>
      </c>
      <c r="G17" s="62">
        <f>IF(G3=0,0,G3/TrNavi_act!G3*1000)</f>
        <v>334.55530626505458</v>
      </c>
      <c r="H17" s="62">
        <f>IF(H3=0,0,H3/TrNavi_act!H3*1000)</f>
        <v>355.884037094885</v>
      </c>
      <c r="I17" s="62">
        <f>IF(I3=0,0,I3/TrNavi_act!I3*1000)</f>
        <v>325.70457729084558</v>
      </c>
      <c r="J17" s="62">
        <f>IF(J3=0,0,J3/TrNavi_act!J3*1000)</f>
        <v>328.35861818816073</v>
      </c>
      <c r="K17" s="62">
        <f>IF(K3=0,0,K3/TrNavi_act!K3*1000)</f>
        <v>547.99647056922913</v>
      </c>
      <c r="L17" s="62">
        <f>IF(L3=0,0,L3/TrNavi_act!L3*1000)</f>
        <v>490.243454170907</v>
      </c>
      <c r="M17" s="62">
        <f>IF(M3=0,0,M3/TrNavi_act!M3*1000)</f>
        <v>348.41926665618081</v>
      </c>
      <c r="N17" s="62">
        <f>IF(N3=0,0,N3/TrNavi_act!N3*1000)</f>
        <v>350.35496041969589</v>
      </c>
      <c r="O17" s="62">
        <f>IF(O3=0,0,O3/TrNavi_act!O3*1000)</f>
        <v>280.37523146369745</v>
      </c>
      <c r="P17" s="62">
        <f>IF(P3=0,0,P3/TrNavi_act!P3*1000)</f>
        <v>292.02332211349557</v>
      </c>
      <c r="Q17" s="62">
        <f>IF(Q3=0,0,Q3/TrNavi_act!Q3*1000)</f>
        <v>311.31441264776004</v>
      </c>
      <c r="R17" s="62">
        <f>IF(R3=0,0,R3/TrNavi_act!R3*1000)</f>
        <v>333.05777289021069</v>
      </c>
      <c r="S17" s="62">
        <f>IF(S3=0,0,S3/TrNavi_act!S3*1000)</f>
        <v>339.29187120127813</v>
      </c>
      <c r="T17" s="62">
        <f>IF(T3=0,0,T3/TrNavi_act!T3*1000)</f>
        <v>358.71696176236617</v>
      </c>
      <c r="U17" s="62">
        <f>IF(U3=0,0,U3/TrNavi_act!U3*1000)</f>
        <v>366.83280742528035</v>
      </c>
      <c r="V17" s="62">
        <f>IF(V3=0,0,V3/TrNavi_act!V3*1000)</f>
        <v>346.81526784612868</v>
      </c>
      <c r="W17" s="62">
        <f>IF(W3=0,0,W3/TrNavi_act!W3*1000)</f>
        <v>376.72184497607657</v>
      </c>
      <c r="X17" s="62">
        <f>IF(X3=0,0,X3/TrNavi_act!X3*1000)</f>
        <v>402.71448747345403</v>
      </c>
      <c r="Y17" s="62">
        <f>IF(Y3=0,0,Y3/TrNavi_act!Y3*1000)</f>
        <v>381.85257657734024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141.91488145569522</v>
      </c>
      <c r="C18" s="63">
        <f>IF(C4=0,0,C4/TrNavi_act!C4*1000)</f>
        <v>479.59532666828113</v>
      </c>
      <c r="D18" s="63">
        <f>IF(D4=0,0,D4/TrNavi_act!D4*1000)</f>
        <v>335.71266841121803</v>
      </c>
      <c r="E18" s="63">
        <f>IF(E4=0,0,E4/TrNavi_act!E4*1000)</f>
        <v>278.47034805484742</v>
      </c>
      <c r="F18" s="63">
        <f>IF(F4=0,0,F4/TrNavi_act!F4*1000)</f>
        <v>322.60673654413847</v>
      </c>
      <c r="G18" s="63">
        <f>IF(G4=0,0,G4/TrNavi_act!G4*1000)</f>
        <v>334.55530626505458</v>
      </c>
      <c r="H18" s="63">
        <f>IF(H4=0,0,H4/TrNavi_act!H4*1000)</f>
        <v>355.884037094885</v>
      </c>
      <c r="I18" s="63">
        <f>IF(I4=0,0,I4/TrNavi_act!I4*1000)</f>
        <v>325.70457729084558</v>
      </c>
      <c r="J18" s="63">
        <f>IF(J4=0,0,J4/TrNavi_act!J4*1000)</f>
        <v>328.35861818816073</v>
      </c>
      <c r="K18" s="63">
        <f>IF(K4=0,0,K4/TrNavi_act!K4*1000)</f>
        <v>547.99647056922913</v>
      </c>
      <c r="L18" s="63">
        <f>IF(L4=0,0,L4/TrNavi_act!L4*1000)</f>
        <v>490.243454170907</v>
      </c>
      <c r="M18" s="63">
        <f>IF(M4=0,0,M4/TrNavi_act!M4*1000)</f>
        <v>348.41926665618081</v>
      </c>
      <c r="N18" s="63">
        <f>IF(N4=0,0,N4/TrNavi_act!N4*1000)</f>
        <v>350.35496041969589</v>
      </c>
      <c r="O18" s="63">
        <f>IF(O4=0,0,O4/TrNavi_act!O4*1000)</f>
        <v>280.37523146369745</v>
      </c>
      <c r="P18" s="63">
        <f>IF(P4=0,0,P4/TrNavi_act!P4*1000)</f>
        <v>292.02332211349557</v>
      </c>
      <c r="Q18" s="63">
        <f>IF(Q4=0,0,Q4/TrNavi_act!Q4*1000)</f>
        <v>311.31441264776004</v>
      </c>
      <c r="R18" s="63">
        <f>IF(R4=0,0,R4/TrNavi_act!R4*1000)</f>
        <v>333.05777289021069</v>
      </c>
      <c r="S18" s="63">
        <f>IF(S4=0,0,S4/TrNavi_act!S4*1000)</f>
        <v>339.29187120127813</v>
      </c>
      <c r="T18" s="63">
        <f>IF(T4=0,0,T4/TrNavi_act!T4*1000)</f>
        <v>358.71696176236617</v>
      </c>
      <c r="U18" s="63">
        <f>IF(U4=0,0,U4/TrNavi_act!U4*1000)</f>
        <v>366.83280742528035</v>
      </c>
      <c r="V18" s="63">
        <f>IF(V4=0,0,V4/TrNavi_act!V4*1000)</f>
        <v>346.81526784612868</v>
      </c>
      <c r="W18" s="63">
        <f>IF(W4=0,0,W4/TrNavi_act!W4*1000)</f>
        <v>376.72184497607657</v>
      </c>
      <c r="X18" s="63">
        <f>IF(X4=0,0,X4/TrNavi_act!X4*1000)</f>
        <v>402.71448747345403</v>
      </c>
      <c r="Y18" s="63">
        <f>IF(Y4=0,0,Y4/TrNavi_act!Y4*1000)</f>
        <v>381.85257657734024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>
        <f>IF(X5=0,0,X5/TrNavi_act!X5*1000)</f>
        <v>0</v>
      </c>
      <c r="Y19" s="64">
        <f>IF(Y5=0,0,Y5/TrNavi_act!Y5*1000)</f>
        <v>0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1</v>
      </c>
      <c r="C22" s="77">
        <f t="shared" si="6"/>
        <v>1</v>
      </c>
      <c r="D22" s="77">
        <f t="shared" si="6"/>
        <v>1</v>
      </c>
      <c r="E22" s="77">
        <f t="shared" si="6"/>
        <v>1</v>
      </c>
      <c r="F22" s="77">
        <f t="shared" si="6"/>
        <v>1</v>
      </c>
      <c r="G22" s="77">
        <f t="shared" si="6"/>
        <v>1</v>
      </c>
      <c r="H22" s="77">
        <f t="shared" si="6"/>
        <v>1</v>
      </c>
      <c r="I22" s="77">
        <f t="shared" si="6"/>
        <v>1</v>
      </c>
      <c r="J22" s="77">
        <f t="shared" si="6"/>
        <v>1</v>
      </c>
      <c r="K22" s="77">
        <f t="shared" si="6"/>
        <v>1</v>
      </c>
      <c r="L22" s="77">
        <f t="shared" si="6"/>
        <v>1</v>
      </c>
      <c r="M22" s="77">
        <f t="shared" si="6"/>
        <v>1</v>
      </c>
      <c r="N22" s="77">
        <f t="shared" si="6"/>
        <v>1</v>
      </c>
      <c r="O22" s="77">
        <f t="shared" si="6"/>
        <v>1</v>
      </c>
      <c r="P22" s="77">
        <f t="shared" si="6"/>
        <v>1</v>
      </c>
      <c r="Q22" s="77">
        <f t="shared" si="6"/>
        <v>1</v>
      </c>
      <c r="R22" s="77">
        <f t="shared" si="6"/>
        <v>1</v>
      </c>
      <c r="S22" s="77">
        <f t="shared" si="6"/>
        <v>1</v>
      </c>
      <c r="T22" s="77">
        <f t="shared" si="6"/>
        <v>1</v>
      </c>
      <c r="U22" s="77">
        <f t="shared" si="6"/>
        <v>1</v>
      </c>
      <c r="V22" s="77">
        <f t="shared" ref="V22:W22" si="7">IF(V4=0,0,V4/V$3)</f>
        <v>1</v>
      </c>
      <c r="W22" s="77">
        <f t="shared" si="7"/>
        <v>1</v>
      </c>
      <c r="X22" s="77">
        <f t="shared" ref="X22:Y22" si="8">IF(X4=0,0,X4/X$3)</f>
        <v>1</v>
      </c>
      <c r="Y22" s="77">
        <f t="shared" si="8"/>
        <v>1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</v>
      </c>
      <c r="C23" s="78">
        <f t="shared" si="9"/>
        <v>0</v>
      </c>
      <c r="D23" s="78">
        <f t="shared" si="9"/>
        <v>0</v>
      </c>
      <c r="E23" s="78">
        <f t="shared" si="9"/>
        <v>0</v>
      </c>
      <c r="F23" s="78">
        <f t="shared" si="9"/>
        <v>0</v>
      </c>
      <c r="G23" s="78">
        <f t="shared" si="9"/>
        <v>0</v>
      </c>
      <c r="H23" s="78">
        <f t="shared" si="9"/>
        <v>0</v>
      </c>
      <c r="I23" s="78">
        <f t="shared" si="9"/>
        <v>0</v>
      </c>
      <c r="J23" s="78">
        <f t="shared" si="9"/>
        <v>0</v>
      </c>
      <c r="K23" s="78">
        <f t="shared" si="9"/>
        <v>0</v>
      </c>
      <c r="L23" s="78">
        <f t="shared" si="9"/>
        <v>0</v>
      </c>
      <c r="M23" s="78">
        <f t="shared" si="9"/>
        <v>0</v>
      </c>
      <c r="N23" s="78">
        <f t="shared" si="9"/>
        <v>0</v>
      </c>
      <c r="O23" s="78">
        <f t="shared" si="9"/>
        <v>0</v>
      </c>
      <c r="P23" s="78">
        <f t="shared" si="9"/>
        <v>0</v>
      </c>
      <c r="Q23" s="78">
        <f t="shared" si="9"/>
        <v>0</v>
      </c>
      <c r="R23" s="78">
        <f t="shared" si="9"/>
        <v>0</v>
      </c>
      <c r="S23" s="78">
        <f t="shared" si="9"/>
        <v>0</v>
      </c>
      <c r="T23" s="78">
        <f t="shared" si="9"/>
        <v>0</v>
      </c>
      <c r="U23" s="78">
        <f t="shared" si="9"/>
        <v>0</v>
      </c>
      <c r="V23" s="78">
        <f t="shared" ref="V23:W23" si="10">IF(V5=0,0,V5/V$3)</f>
        <v>0</v>
      </c>
      <c r="W23" s="78">
        <f t="shared" si="10"/>
        <v>0</v>
      </c>
      <c r="X23" s="78">
        <f t="shared" ref="X23:Y23" si="11">IF(X5=0,0,X5/X$3)</f>
        <v>0</v>
      </c>
      <c r="Y23" s="78">
        <f t="shared" si="11"/>
        <v>0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76319.078676000005</v>
      </c>
      <c r="C3" s="54">
        <f t="shared" si="0"/>
        <v>107675.05111900001</v>
      </c>
      <c r="D3" s="54">
        <f t="shared" si="0"/>
        <v>113285.97455599999</v>
      </c>
      <c r="E3" s="54">
        <f t="shared" si="0"/>
        <v>128164.97952399999</v>
      </c>
      <c r="F3" s="54">
        <f t="shared" si="0"/>
        <v>129305.38149699999</v>
      </c>
      <c r="G3" s="54">
        <f t="shared" si="0"/>
        <v>128433.737788</v>
      </c>
      <c r="H3" s="54">
        <f t="shared" si="0"/>
        <v>127172.196205</v>
      </c>
      <c r="I3" s="54">
        <f t="shared" si="0"/>
        <v>132434.087486</v>
      </c>
      <c r="J3" s="54">
        <f t="shared" si="0"/>
        <v>110262.345714</v>
      </c>
      <c r="K3" s="54">
        <f t="shared" si="0"/>
        <v>99718.654808000007</v>
      </c>
      <c r="L3" s="54">
        <f t="shared" si="0"/>
        <v>103575.33001000001</v>
      </c>
      <c r="M3" s="54">
        <f t="shared" si="0"/>
        <v>131568.88694900001</v>
      </c>
      <c r="N3" s="54">
        <f t="shared" si="0"/>
        <v>171151.44077400002</v>
      </c>
      <c r="O3" s="54">
        <f t="shared" si="0"/>
        <v>183469.47256200001</v>
      </c>
      <c r="P3" s="54">
        <f t="shared" si="0"/>
        <v>205875.90151499998</v>
      </c>
      <c r="Q3" s="54">
        <f t="shared" si="0"/>
        <v>207668.46083699999</v>
      </c>
      <c r="R3" s="54">
        <f t="shared" ref="R3:W3" si="1">SUM(R4:R5)</f>
        <v>230835.14663799998</v>
      </c>
      <c r="S3" s="54">
        <f t="shared" si="1"/>
        <v>237551.273308</v>
      </c>
      <c r="T3" s="54">
        <f t="shared" si="1"/>
        <v>252349.85549600003</v>
      </c>
      <c r="U3" s="54">
        <f t="shared" si="1"/>
        <v>268500.297617</v>
      </c>
      <c r="V3" s="54">
        <f t="shared" si="1"/>
        <v>261093.36698300001</v>
      </c>
      <c r="W3" s="54">
        <f t="shared" si="1"/>
        <v>267094.16463200003</v>
      </c>
      <c r="X3" s="54">
        <f t="shared" ref="X3:Y3" si="2">SUM(X4:X5)</f>
        <v>234823.89479200001</v>
      </c>
      <c r="Y3" s="54">
        <f t="shared" si="2"/>
        <v>258739.42531800002</v>
      </c>
      <c r="DA3" s="172" t="s">
        <v>388</v>
      </c>
    </row>
    <row r="4" spans="1:105" ht="11.45" customHeight="1" x14ac:dyDescent="0.25">
      <c r="A4" s="55" t="s">
        <v>166</v>
      </c>
      <c r="B4" s="56">
        <v>42664.711851</v>
      </c>
      <c r="C4" s="56">
        <v>34945.89183</v>
      </c>
      <c r="D4" s="56">
        <v>32645.760199</v>
      </c>
      <c r="E4" s="56">
        <v>39228.227635000003</v>
      </c>
      <c r="F4" s="56">
        <v>35441.027677999999</v>
      </c>
      <c r="G4" s="56">
        <v>32943.818490999998</v>
      </c>
      <c r="H4" s="56">
        <v>29876.122778000001</v>
      </c>
      <c r="I4" s="56">
        <v>36134.745738000005</v>
      </c>
      <c r="J4" s="56">
        <v>33632.609439</v>
      </c>
      <c r="K4" s="56">
        <v>31069.483886000002</v>
      </c>
      <c r="L4" s="56">
        <v>29064.891910999999</v>
      </c>
      <c r="M4" s="56">
        <v>30706.255432000002</v>
      </c>
      <c r="N4" s="56">
        <v>35510.680774</v>
      </c>
      <c r="O4" s="56">
        <v>34505.919642000001</v>
      </c>
      <c r="P4" s="56">
        <v>35867.444308999999</v>
      </c>
      <c r="Q4" s="56">
        <v>37683.285981000001</v>
      </c>
      <c r="R4" s="56">
        <v>39657.924308000001</v>
      </c>
      <c r="S4" s="56">
        <v>41335.494875000004</v>
      </c>
      <c r="T4" s="56">
        <v>44131.421795999995</v>
      </c>
      <c r="U4" s="56">
        <v>48557.972991000002</v>
      </c>
      <c r="V4" s="56">
        <v>46718.189897000004</v>
      </c>
      <c r="W4" s="56">
        <v>48249.522215000005</v>
      </c>
      <c r="X4" s="56">
        <v>49599.329690999999</v>
      </c>
      <c r="Y4" s="56">
        <v>52606.578126</v>
      </c>
      <c r="DA4" s="181" t="s">
        <v>389</v>
      </c>
    </row>
    <row r="5" spans="1:105" ht="11.45" customHeight="1" x14ac:dyDescent="0.25">
      <c r="A5" s="57" t="s">
        <v>167</v>
      </c>
      <c r="B5" s="58">
        <v>33654.366824999997</v>
      </c>
      <c r="C5" s="58">
        <v>72729.159289000003</v>
      </c>
      <c r="D5" s="58">
        <v>80640.21435699999</v>
      </c>
      <c r="E5" s="58">
        <v>88936.751888999992</v>
      </c>
      <c r="F5" s="58">
        <v>93864.353818999996</v>
      </c>
      <c r="G5" s="58">
        <v>95489.919297</v>
      </c>
      <c r="H5" s="58">
        <v>97296.073426999996</v>
      </c>
      <c r="I5" s="58">
        <v>96299.341748000006</v>
      </c>
      <c r="J5" s="58">
        <v>76629.736275000003</v>
      </c>
      <c r="K5" s="58">
        <v>68649.170922000005</v>
      </c>
      <c r="L5" s="58">
        <v>74510.438099000006</v>
      </c>
      <c r="M5" s="58">
        <v>100862.631517</v>
      </c>
      <c r="N5" s="58">
        <v>135640.76</v>
      </c>
      <c r="O5" s="58">
        <v>148963.55292000002</v>
      </c>
      <c r="P5" s="58">
        <v>170008.45720599999</v>
      </c>
      <c r="Q5" s="58">
        <v>169985.174856</v>
      </c>
      <c r="R5" s="58">
        <v>191177.22232999999</v>
      </c>
      <c r="S5" s="58">
        <v>196215.778433</v>
      </c>
      <c r="T5" s="58">
        <v>208218.43370000002</v>
      </c>
      <c r="U5" s="58">
        <v>219942.32462599999</v>
      </c>
      <c r="V5" s="58">
        <v>214375.17708600001</v>
      </c>
      <c r="W5" s="58">
        <v>218844.642417</v>
      </c>
      <c r="X5" s="58">
        <v>185224.56510100001</v>
      </c>
      <c r="Y5" s="58">
        <v>206132.84719200002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14.015824</v>
      </c>
      <c r="C7" s="59">
        <f t="shared" si="3"/>
        <v>13.518667999999998</v>
      </c>
      <c r="D7" s="59">
        <f t="shared" si="3"/>
        <v>12.632387999999999</v>
      </c>
      <c r="E7" s="59">
        <f t="shared" si="3"/>
        <v>15.007145999999999</v>
      </c>
      <c r="F7" s="59">
        <f t="shared" si="3"/>
        <v>14.309908</v>
      </c>
      <c r="G7" s="59">
        <f t="shared" si="3"/>
        <v>14.233014000000001</v>
      </c>
      <c r="H7" s="59">
        <f t="shared" si="3"/>
        <v>13.810748</v>
      </c>
      <c r="I7" s="59">
        <f t="shared" si="3"/>
        <v>15.619418999999999</v>
      </c>
      <c r="J7" s="59">
        <f t="shared" si="3"/>
        <v>13.797437</v>
      </c>
      <c r="K7" s="59">
        <f t="shared" si="3"/>
        <v>10.791694</v>
      </c>
      <c r="L7" s="59">
        <f t="shared" si="3"/>
        <v>10.293829000000001</v>
      </c>
      <c r="M7" s="59">
        <f t="shared" si="3"/>
        <v>15.215039000000001</v>
      </c>
      <c r="N7" s="59">
        <f t="shared" si="3"/>
        <v>18.414522999999999</v>
      </c>
      <c r="O7" s="59">
        <f t="shared" si="3"/>
        <v>17.104364</v>
      </c>
      <c r="P7" s="59">
        <f t="shared" si="3"/>
        <v>17.701112999999999</v>
      </c>
      <c r="Q7" s="59">
        <f t="shared" si="3"/>
        <v>16.138771999999999</v>
      </c>
      <c r="R7" s="59">
        <f t="shared" si="3"/>
        <v>17.053742</v>
      </c>
      <c r="S7" s="59">
        <f t="shared" si="3"/>
        <v>17.093409000000001</v>
      </c>
      <c r="T7" s="59">
        <f t="shared" si="3"/>
        <v>18.024470000000001</v>
      </c>
      <c r="U7" s="59">
        <f t="shared" si="3"/>
        <v>20.280522000000001</v>
      </c>
      <c r="V7" s="59">
        <f t="shared" si="3"/>
        <v>17.343989000000001</v>
      </c>
      <c r="W7" s="59">
        <f t="shared" si="3"/>
        <v>18.410436000000001</v>
      </c>
      <c r="X7" s="59">
        <f t="shared" ref="X7:Y7" si="4">SUM(X8:X9)</f>
        <v>18.744251999999999</v>
      </c>
      <c r="Y7" s="59">
        <f t="shared" si="4"/>
        <v>19.709941000000001</v>
      </c>
      <c r="DA7" s="172" t="s">
        <v>963</v>
      </c>
    </row>
    <row r="8" spans="1:105" ht="11.45" customHeight="1" x14ac:dyDescent="0.25">
      <c r="A8" s="55" t="s">
        <v>166</v>
      </c>
      <c r="B8" s="60">
        <v>10.453200000000001</v>
      </c>
      <c r="C8" s="60">
        <v>8.2729369999999989</v>
      </c>
      <c r="D8" s="60">
        <v>7.0559289999999999</v>
      </c>
      <c r="E8" s="60">
        <v>8.8150899999999996</v>
      </c>
      <c r="F8" s="60">
        <v>8.0533429999999999</v>
      </c>
      <c r="G8" s="60">
        <v>7.9364490000000005</v>
      </c>
      <c r="H8" s="60">
        <v>7.0960570000000001</v>
      </c>
      <c r="I8" s="60">
        <v>8.5767589999999991</v>
      </c>
      <c r="J8" s="60">
        <v>8.4005580000000002</v>
      </c>
      <c r="K8" s="60">
        <v>6.5023459999999993</v>
      </c>
      <c r="L8" s="60">
        <v>5.9002730000000003</v>
      </c>
      <c r="M8" s="60">
        <v>8.9718800000000005</v>
      </c>
      <c r="N8" s="60">
        <v>10.582241</v>
      </c>
      <c r="O8" s="60">
        <v>9.7067800000000002</v>
      </c>
      <c r="P8" s="60">
        <v>9.8578360000000007</v>
      </c>
      <c r="Q8" s="60">
        <v>9.4081679999999999</v>
      </c>
      <c r="R8" s="60">
        <v>9.4369169999999993</v>
      </c>
      <c r="S8" s="60">
        <v>9.7483249999999995</v>
      </c>
      <c r="T8" s="60">
        <v>10.366669</v>
      </c>
      <c r="U8" s="60">
        <v>11.894842000000001</v>
      </c>
      <c r="V8" s="60">
        <v>9.8209739999999996</v>
      </c>
      <c r="W8" s="60">
        <v>10.908259000000001</v>
      </c>
      <c r="X8" s="60">
        <v>11.586326</v>
      </c>
      <c r="Y8" s="60">
        <v>11.624206000000001</v>
      </c>
      <c r="DA8" s="181" t="s">
        <v>964</v>
      </c>
    </row>
    <row r="9" spans="1:105" ht="11.45" customHeight="1" x14ac:dyDescent="0.25">
      <c r="A9" s="57" t="s">
        <v>167</v>
      </c>
      <c r="B9" s="61">
        <v>3.562624</v>
      </c>
      <c r="C9" s="61">
        <v>5.2457310000000001</v>
      </c>
      <c r="D9" s="61">
        <v>5.5764589999999998</v>
      </c>
      <c r="E9" s="61">
        <v>6.192056</v>
      </c>
      <c r="F9" s="61">
        <v>6.2565650000000002</v>
      </c>
      <c r="G9" s="61">
        <v>6.2965650000000002</v>
      </c>
      <c r="H9" s="61">
        <v>6.7146910000000002</v>
      </c>
      <c r="I9" s="61">
        <v>7.0426599999999997</v>
      </c>
      <c r="J9" s="61">
        <v>5.3968790000000002</v>
      </c>
      <c r="K9" s="61">
        <v>4.2893480000000004</v>
      </c>
      <c r="L9" s="61">
        <v>4.3935560000000002</v>
      </c>
      <c r="M9" s="61">
        <v>6.2431590000000003</v>
      </c>
      <c r="N9" s="61">
        <v>7.8322820000000002</v>
      </c>
      <c r="O9" s="61">
        <v>7.3975839999999993</v>
      </c>
      <c r="P9" s="61">
        <v>7.8432769999999996</v>
      </c>
      <c r="Q9" s="61">
        <v>6.7306039999999996</v>
      </c>
      <c r="R9" s="61">
        <v>7.6168249999999995</v>
      </c>
      <c r="S9" s="61">
        <v>7.3450839999999999</v>
      </c>
      <c r="T9" s="61">
        <v>7.6578009999999992</v>
      </c>
      <c r="U9" s="61">
        <v>8.3856800000000007</v>
      </c>
      <c r="V9" s="61">
        <v>7.523015</v>
      </c>
      <c r="W9" s="61">
        <v>7.5021769999999997</v>
      </c>
      <c r="X9" s="61">
        <v>7.1579259999999998</v>
      </c>
      <c r="Y9" s="61">
        <v>8.0857349999999997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5445.2081216202487</v>
      </c>
      <c r="C13" s="62">
        <f t="shared" si="5"/>
        <v>7964.9157090772569</v>
      </c>
      <c r="D13" s="62">
        <f t="shared" si="5"/>
        <v>8967.8985917785303</v>
      </c>
      <c r="E13" s="62">
        <f t="shared" si="5"/>
        <v>8540.2633867892</v>
      </c>
      <c r="F13" s="62">
        <f t="shared" si="5"/>
        <v>9036.0735720313496</v>
      </c>
      <c r="G13" s="62">
        <f t="shared" si="5"/>
        <v>9023.6500707439754</v>
      </c>
      <c r="H13" s="62">
        <f t="shared" si="5"/>
        <v>9208.2048130195417</v>
      </c>
      <c r="I13" s="62">
        <f t="shared" si="5"/>
        <v>8478.8100944087619</v>
      </c>
      <c r="J13" s="62">
        <f t="shared" si="5"/>
        <v>7991.50927190318</v>
      </c>
      <c r="K13" s="62">
        <f t="shared" si="5"/>
        <v>9240.3152654254282</v>
      </c>
      <c r="L13" s="62">
        <f t="shared" si="5"/>
        <v>10061.885621958554</v>
      </c>
      <c r="M13" s="62">
        <f t="shared" si="5"/>
        <v>8647.292126494056</v>
      </c>
      <c r="N13" s="62">
        <f t="shared" si="5"/>
        <v>9294.3727499213546</v>
      </c>
      <c r="O13" s="62">
        <f t="shared" si="5"/>
        <v>10726.471476051376</v>
      </c>
      <c r="P13" s="62">
        <f t="shared" si="5"/>
        <v>11630.675512607597</v>
      </c>
      <c r="Q13" s="62">
        <f t="shared" si="5"/>
        <v>12867.674246652719</v>
      </c>
      <c r="R13" s="62">
        <f t="shared" si="5"/>
        <v>13535.7475583951</v>
      </c>
      <c r="S13" s="62">
        <f t="shared" si="5"/>
        <v>13897.243862122528</v>
      </c>
      <c r="T13" s="62">
        <f t="shared" si="5"/>
        <v>14000.403645488606</v>
      </c>
      <c r="U13" s="62">
        <f t="shared" si="5"/>
        <v>13239.318870441302</v>
      </c>
      <c r="V13" s="62">
        <f t="shared" si="5"/>
        <v>15053.824525776625</v>
      </c>
      <c r="W13" s="62">
        <f t="shared" si="5"/>
        <v>14507.758785940758</v>
      </c>
      <c r="X13" s="62">
        <f t="shared" ref="X13:Y13" si="6">IF(X3=0,0,X3/X7)</f>
        <v>12527.781572292135</v>
      </c>
      <c r="Y13" s="62">
        <f t="shared" si="6"/>
        <v>13127.35666321883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4081.497708931236</v>
      </c>
      <c r="C14" s="63">
        <f t="shared" si="5"/>
        <v>4224.1215943019997</v>
      </c>
      <c r="D14" s="63">
        <f t="shared" si="5"/>
        <v>4626.7132505159843</v>
      </c>
      <c r="E14" s="63">
        <f t="shared" si="5"/>
        <v>4450.1221921727411</v>
      </c>
      <c r="F14" s="63">
        <f t="shared" si="5"/>
        <v>4400.7845782801005</v>
      </c>
      <c r="G14" s="63">
        <f t="shared" si="5"/>
        <v>4150.9519548352164</v>
      </c>
      <c r="H14" s="63">
        <f t="shared" si="5"/>
        <v>4210.2427838446056</v>
      </c>
      <c r="I14" s="63">
        <f t="shared" si="5"/>
        <v>4213.1002792546706</v>
      </c>
      <c r="J14" s="63">
        <f t="shared" si="5"/>
        <v>4003.6161215719239</v>
      </c>
      <c r="K14" s="63">
        <f t="shared" si="5"/>
        <v>4778.196036630472</v>
      </c>
      <c r="L14" s="63">
        <f t="shared" si="5"/>
        <v>4926.0249332530884</v>
      </c>
      <c r="M14" s="63">
        <f t="shared" si="5"/>
        <v>3422.4995688751969</v>
      </c>
      <c r="N14" s="63">
        <f t="shared" si="5"/>
        <v>3355.6862647524281</v>
      </c>
      <c r="O14" s="63">
        <f t="shared" si="5"/>
        <v>3554.8265894560295</v>
      </c>
      <c r="P14" s="63">
        <f t="shared" si="5"/>
        <v>3638.4703812276848</v>
      </c>
      <c r="Q14" s="63">
        <f t="shared" si="5"/>
        <v>4005.3797913685216</v>
      </c>
      <c r="R14" s="63">
        <f t="shared" si="5"/>
        <v>4202.4237691186645</v>
      </c>
      <c r="S14" s="63">
        <f t="shared" si="5"/>
        <v>4240.2663919186125</v>
      </c>
      <c r="T14" s="63">
        <f t="shared" si="5"/>
        <v>4257.0493758409757</v>
      </c>
      <c r="U14" s="63">
        <f t="shared" si="5"/>
        <v>4082.2713736760857</v>
      </c>
      <c r="V14" s="63">
        <f t="shared" si="5"/>
        <v>4756.9813235428592</v>
      </c>
      <c r="W14" s="63">
        <f t="shared" si="5"/>
        <v>4423.2101763443643</v>
      </c>
      <c r="X14" s="63">
        <f t="shared" ref="X14:Y14" si="7">IF(X4=0,0,X4/X8)</f>
        <v>4280.8505207776825</v>
      </c>
      <c r="Y14" s="63">
        <f t="shared" si="7"/>
        <v>4525.6061468628477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9446.5110056520134</v>
      </c>
      <c r="C15" s="64">
        <f t="shared" si="5"/>
        <v>13864.446973929849</v>
      </c>
      <c r="D15" s="64">
        <f t="shared" si="5"/>
        <v>14460.827983672074</v>
      </c>
      <c r="E15" s="64">
        <f t="shared" si="5"/>
        <v>14363.040626409062</v>
      </c>
      <c r="F15" s="64">
        <f t="shared" si="5"/>
        <v>15002.537945182379</v>
      </c>
      <c r="G15" s="64">
        <f t="shared" si="5"/>
        <v>15165.398800298257</v>
      </c>
      <c r="H15" s="64">
        <f t="shared" si="5"/>
        <v>14490.029910088193</v>
      </c>
      <c r="I15" s="64">
        <f t="shared" si="5"/>
        <v>13673.717281254527</v>
      </c>
      <c r="J15" s="64">
        <f t="shared" si="5"/>
        <v>14198.898340133252</v>
      </c>
      <c r="K15" s="64">
        <f t="shared" si="5"/>
        <v>16004.570140263741</v>
      </c>
      <c r="L15" s="64">
        <f t="shared" si="5"/>
        <v>16959.027744041501</v>
      </c>
      <c r="M15" s="64">
        <f t="shared" si="5"/>
        <v>16155.704430561515</v>
      </c>
      <c r="N15" s="64">
        <f t="shared" si="5"/>
        <v>17318.166021090663</v>
      </c>
      <c r="O15" s="64">
        <f t="shared" si="5"/>
        <v>20136.784241990361</v>
      </c>
      <c r="P15" s="64">
        <f t="shared" si="5"/>
        <v>21675.692087121239</v>
      </c>
      <c r="Q15" s="64">
        <f t="shared" si="5"/>
        <v>25255.560252244821</v>
      </c>
      <c r="R15" s="64">
        <f t="shared" si="5"/>
        <v>25099.33237667926</v>
      </c>
      <c r="S15" s="64">
        <f t="shared" si="5"/>
        <v>26713.891690414977</v>
      </c>
      <c r="T15" s="64">
        <f t="shared" si="5"/>
        <v>27190.368840872208</v>
      </c>
      <c r="U15" s="64">
        <f t="shared" si="5"/>
        <v>26228.323120605601</v>
      </c>
      <c r="V15" s="64">
        <f t="shared" si="5"/>
        <v>28495.912488011789</v>
      </c>
      <c r="W15" s="64">
        <f t="shared" si="5"/>
        <v>29170.818339396686</v>
      </c>
      <c r="X15" s="64">
        <f t="shared" ref="X15:Y15" si="8">IF(X5=0,0,X5/X9)</f>
        <v>25876.848279934722</v>
      </c>
      <c r="Y15" s="64">
        <f t="shared" si="8"/>
        <v>25493.396356917463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0.55903075077892328</v>
      </c>
      <c r="C18" s="66">
        <f t="shared" si="9"/>
        <v>0.32454957268957874</v>
      </c>
      <c r="D18" s="66">
        <f t="shared" si="9"/>
        <v>0.28817124385386661</v>
      </c>
      <c r="E18" s="66">
        <f t="shared" si="9"/>
        <v>0.3060760262334703</v>
      </c>
      <c r="F18" s="66">
        <f t="shared" si="9"/>
        <v>0.2740878010465656</v>
      </c>
      <c r="G18" s="66">
        <f t="shared" si="9"/>
        <v>0.25650439719646662</v>
      </c>
      <c r="H18" s="66">
        <f t="shared" si="9"/>
        <v>0.23492653008712738</v>
      </c>
      <c r="I18" s="66">
        <f t="shared" si="9"/>
        <v>0.27285079260141326</v>
      </c>
      <c r="J18" s="66">
        <f t="shared" si="9"/>
        <v>0.30502352567608826</v>
      </c>
      <c r="K18" s="66">
        <f t="shared" si="9"/>
        <v>0.31157143009822702</v>
      </c>
      <c r="L18" s="66">
        <f t="shared" si="9"/>
        <v>0.28061597204849686</v>
      </c>
      <c r="M18" s="66">
        <f t="shared" si="9"/>
        <v>0.23338538574019141</v>
      </c>
      <c r="N18" s="66">
        <f t="shared" si="9"/>
        <v>0.20748105077824447</v>
      </c>
      <c r="O18" s="66">
        <f t="shared" si="9"/>
        <v>0.18807444726445913</v>
      </c>
      <c r="P18" s="66">
        <f t="shared" si="9"/>
        <v>0.17421876016113874</v>
      </c>
      <c r="Q18" s="66">
        <f t="shared" si="9"/>
        <v>0.18145887839260194</v>
      </c>
      <c r="R18" s="66">
        <f t="shared" si="9"/>
        <v>0.17180193261554014</v>
      </c>
      <c r="S18" s="66">
        <f t="shared" si="9"/>
        <v>0.17400662307293113</v>
      </c>
      <c r="T18" s="66">
        <f t="shared" si="9"/>
        <v>0.1748818984233558</v>
      </c>
      <c r="U18" s="66">
        <f t="shared" si="9"/>
        <v>0.18084886095830371</v>
      </c>
      <c r="V18" s="66">
        <f t="shared" si="9"/>
        <v>0.1789328868704729</v>
      </c>
      <c r="W18" s="66">
        <f t="shared" si="9"/>
        <v>0.18064611138726211</v>
      </c>
      <c r="X18" s="66">
        <f t="shared" ref="X18:Y18" si="11">IF(X4=0,0,X4/X$3)</f>
        <v>0.21121926171496988</v>
      </c>
      <c r="Y18" s="66">
        <f t="shared" si="11"/>
        <v>0.20331875616305722</v>
      </c>
      <c r="DA18" s="181"/>
    </row>
    <row r="19" spans="1:105" ht="11.45" customHeight="1" x14ac:dyDescent="0.25">
      <c r="A19" s="57" t="s">
        <v>167</v>
      </c>
      <c r="B19" s="67">
        <f t="shared" si="9"/>
        <v>0.44096924922107655</v>
      </c>
      <c r="C19" s="67">
        <f t="shared" si="9"/>
        <v>0.67545042731042115</v>
      </c>
      <c r="D19" s="67">
        <f t="shared" si="9"/>
        <v>0.71182875614613339</v>
      </c>
      <c r="E19" s="67">
        <f t="shared" si="9"/>
        <v>0.6939239737665297</v>
      </c>
      <c r="F19" s="67">
        <f t="shared" si="9"/>
        <v>0.7259121989534344</v>
      </c>
      <c r="G19" s="67">
        <f t="shared" si="9"/>
        <v>0.74349560280353333</v>
      </c>
      <c r="H19" s="67">
        <f t="shared" si="9"/>
        <v>0.76507346991287262</v>
      </c>
      <c r="I19" s="67">
        <f t="shared" si="9"/>
        <v>0.72714920739858679</v>
      </c>
      <c r="J19" s="67">
        <f t="shared" si="9"/>
        <v>0.69497647432391174</v>
      </c>
      <c r="K19" s="67">
        <f t="shared" si="9"/>
        <v>0.68842856990177304</v>
      </c>
      <c r="L19" s="67">
        <f t="shared" si="9"/>
        <v>0.71938402795150314</v>
      </c>
      <c r="M19" s="67">
        <f t="shared" si="9"/>
        <v>0.76661461425980859</v>
      </c>
      <c r="N19" s="67">
        <f t="shared" si="9"/>
        <v>0.79251894922175548</v>
      </c>
      <c r="O19" s="67">
        <f t="shared" si="9"/>
        <v>0.8119255527355409</v>
      </c>
      <c r="P19" s="67">
        <f t="shared" si="9"/>
        <v>0.82578123983886131</v>
      </c>
      <c r="Q19" s="67">
        <f t="shared" si="9"/>
        <v>0.81854112160739811</v>
      </c>
      <c r="R19" s="67">
        <f t="shared" si="9"/>
        <v>0.82819806738445989</v>
      </c>
      <c r="S19" s="67">
        <f t="shared" si="9"/>
        <v>0.82599337692706887</v>
      </c>
      <c r="T19" s="67">
        <f t="shared" si="9"/>
        <v>0.82511810157664411</v>
      </c>
      <c r="U19" s="67">
        <f t="shared" si="9"/>
        <v>0.81915113904169623</v>
      </c>
      <c r="V19" s="67">
        <f t="shared" si="9"/>
        <v>0.82106711312952707</v>
      </c>
      <c r="W19" s="67">
        <f t="shared" si="9"/>
        <v>0.81935388861273772</v>
      </c>
      <c r="X19" s="67">
        <f t="shared" ref="X19:Y19" si="12">IF(X5=0,0,X5/X$3)</f>
        <v>0.78878073828503015</v>
      </c>
      <c r="Y19" s="67">
        <f t="shared" si="12"/>
        <v>0.79668124383694272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0.7458141597668464</v>
      </c>
      <c r="C22" s="66">
        <f t="shared" si="13"/>
        <v>0.61196391537982886</v>
      </c>
      <c r="D22" s="66">
        <f t="shared" si="13"/>
        <v>0.55855860348811326</v>
      </c>
      <c r="E22" s="66">
        <f t="shared" si="13"/>
        <v>0.58739283272115839</v>
      </c>
      <c r="F22" s="66">
        <f t="shared" si="13"/>
        <v>0.56278090676753478</v>
      </c>
      <c r="G22" s="66">
        <f t="shared" si="13"/>
        <v>0.55760845875652199</v>
      </c>
      <c r="H22" s="66">
        <f t="shared" si="13"/>
        <v>0.51380685535642245</v>
      </c>
      <c r="I22" s="66">
        <f t="shared" si="13"/>
        <v>0.54910870884506013</v>
      </c>
      <c r="J22" s="66">
        <f t="shared" si="13"/>
        <v>0.60884916524713972</v>
      </c>
      <c r="K22" s="66">
        <f t="shared" si="13"/>
        <v>0.60253246617259526</v>
      </c>
      <c r="L22" s="66">
        <f t="shared" si="13"/>
        <v>0.57318544926285442</v>
      </c>
      <c r="M22" s="66">
        <f t="shared" si="13"/>
        <v>0.5896718371868781</v>
      </c>
      <c r="N22" s="66">
        <f t="shared" si="13"/>
        <v>0.57466821160667592</v>
      </c>
      <c r="O22" s="66">
        <f t="shared" si="13"/>
        <v>0.56750312376420431</v>
      </c>
      <c r="P22" s="66">
        <f t="shared" si="13"/>
        <v>0.55690486807242012</v>
      </c>
      <c r="Q22" s="66">
        <f t="shared" si="13"/>
        <v>0.58295439082973599</v>
      </c>
      <c r="R22" s="66">
        <f t="shared" si="13"/>
        <v>0.55336342018074391</v>
      </c>
      <c r="S22" s="66">
        <f t="shared" si="13"/>
        <v>0.57029729997100043</v>
      </c>
      <c r="T22" s="66">
        <f t="shared" si="13"/>
        <v>0.57514417899666392</v>
      </c>
      <c r="U22" s="66">
        <f t="shared" si="13"/>
        <v>0.58651557390879783</v>
      </c>
      <c r="V22" s="66">
        <f t="shared" si="13"/>
        <v>0.56624655377721922</v>
      </c>
      <c r="W22" s="66">
        <f t="shared" si="13"/>
        <v>0.59250411016881954</v>
      </c>
      <c r="X22" s="66">
        <f t="shared" ref="X22:Y22" si="15">IF(X8=0,0,X8/X$7)</f>
        <v>0.61812687964289004</v>
      </c>
      <c r="Y22" s="66">
        <f t="shared" si="15"/>
        <v>0.5897636121792551</v>
      </c>
      <c r="DA22" s="181"/>
    </row>
    <row r="23" spans="1:105" ht="11.45" customHeight="1" x14ac:dyDescent="0.25">
      <c r="A23" s="57" t="s">
        <v>167</v>
      </c>
      <c r="B23" s="67">
        <f t="shared" si="13"/>
        <v>0.2541858402331536</v>
      </c>
      <c r="C23" s="67">
        <f t="shared" si="13"/>
        <v>0.3880360846201712</v>
      </c>
      <c r="D23" s="67">
        <f t="shared" si="13"/>
        <v>0.4414413965118868</v>
      </c>
      <c r="E23" s="67">
        <f t="shared" si="13"/>
        <v>0.41260716727884172</v>
      </c>
      <c r="F23" s="67">
        <f t="shared" si="13"/>
        <v>0.43721909323246522</v>
      </c>
      <c r="G23" s="67">
        <f t="shared" si="13"/>
        <v>0.44239154124347801</v>
      </c>
      <c r="H23" s="67">
        <f t="shared" si="13"/>
        <v>0.4861931446435776</v>
      </c>
      <c r="I23" s="67">
        <f t="shared" si="13"/>
        <v>0.45089129115493992</v>
      </c>
      <c r="J23" s="67">
        <f t="shared" si="13"/>
        <v>0.39115083475286028</v>
      </c>
      <c r="K23" s="67">
        <f t="shared" si="13"/>
        <v>0.39746753382740474</v>
      </c>
      <c r="L23" s="67">
        <f t="shared" si="13"/>
        <v>0.42681455073714553</v>
      </c>
      <c r="M23" s="67">
        <f t="shared" si="13"/>
        <v>0.41032816281312195</v>
      </c>
      <c r="N23" s="67">
        <f t="shared" si="13"/>
        <v>0.42533178839332414</v>
      </c>
      <c r="O23" s="67">
        <f t="shared" si="13"/>
        <v>0.43249687623579569</v>
      </c>
      <c r="P23" s="67">
        <f t="shared" si="13"/>
        <v>0.44309513192757993</v>
      </c>
      <c r="Q23" s="67">
        <f t="shared" si="13"/>
        <v>0.41704560917026401</v>
      </c>
      <c r="R23" s="67">
        <f t="shared" si="13"/>
        <v>0.44663657981925609</v>
      </c>
      <c r="S23" s="67">
        <f t="shared" si="13"/>
        <v>0.42970270002899946</v>
      </c>
      <c r="T23" s="67">
        <f t="shared" si="13"/>
        <v>0.42485582100333597</v>
      </c>
      <c r="U23" s="67">
        <f t="shared" si="13"/>
        <v>0.41348442609120217</v>
      </c>
      <c r="V23" s="67">
        <f t="shared" si="13"/>
        <v>0.43375344622278067</v>
      </c>
      <c r="W23" s="67">
        <f t="shared" si="13"/>
        <v>0.40749588983118051</v>
      </c>
      <c r="X23" s="67">
        <f t="shared" ref="X23:Y23" si="16">IF(X9=0,0,X9/X$7)</f>
        <v>0.38187312035711002</v>
      </c>
      <c r="Y23" s="67">
        <f t="shared" si="16"/>
        <v>0.41023638782074484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3603.1527085124681</v>
      </c>
      <c r="C3" s="62">
        <f t="shared" ref="C3:W3" si="0">SUM(C4,C10)</f>
        <v>3496.154600171968</v>
      </c>
      <c r="D3" s="62">
        <f t="shared" si="0"/>
        <v>3142.8871883061047</v>
      </c>
      <c r="E3" s="62">
        <f t="shared" si="0"/>
        <v>3212.0570077386074</v>
      </c>
      <c r="F3" s="62">
        <f t="shared" si="0"/>
        <v>3244.2390369733448</v>
      </c>
      <c r="G3" s="62">
        <f t="shared" si="0"/>
        <v>2869.3369733447976</v>
      </c>
      <c r="H3" s="62">
        <f t="shared" si="0"/>
        <v>3096.9571797076524</v>
      </c>
      <c r="I3" s="62">
        <f t="shared" si="0"/>
        <v>3227.7252794496985</v>
      </c>
      <c r="J3" s="62">
        <f t="shared" si="0"/>
        <v>3087.5084264832321</v>
      </c>
      <c r="K3" s="62">
        <f t="shared" si="0"/>
        <v>2598.3758383490976</v>
      </c>
      <c r="L3" s="62">
        <f t="shared" si="0"/>
        <v>2710.0507308684437</v>
      </c>
      <c r="M3" s="62">
        <f t="shared" si="0"/>
        <v>2752.3073086844365</v>
      </c>
      <c r="N3" s="62">
        <f t="shared" si="0"/>
        <v>2248.5525365434223</v>
      </c>
      <c r="O3" s="62">
        <f t="shared" si="0"/>
        <v>2120.6314703353391</v>
      </c>
      <c r="P3" s="62">
        <f t="shared" si="0"/>
        <v>1864.9183147033536</v>
      </c>
      <c r="Q3" s="62">
        <f t="shared" si="0"/>
        <v>1783.0563198624243</v>
      </c>
      <c r="R3" s="62">
        <f t="shared" si="0"/>
        <v>1719.1983662940672</v>
      </c>
      <c r="S3" s="62">
        <f t="shared" si="0"/>
        <v>2134.2343078245913</v>
      </c>
      <c r="T3" s="62">
        <f t="shared" si="0"/>
        <v>2185.1139294926907</v>
      </c>
      <c r="U3" s="62">
        <f t="shared" si="0"/>
        <v>2518.2967325881336</v>
      </c>
      <c r="V3" s="62">
        <f t="shared" si="0"/>
        <v>1626.8252794496993</v>
      </c>
      <c r="W3" s="62">
        <f t="shared" si="0"/>
        <v>1810.7943250214962</v>
      </c>
      <c r="X3" s="62">
        <f t="shared" ref="X3:Y3" si="1">SUM(X4,X10)</f>
        <v>1953.7924333619947</v>
      </c>
      <c r="Y3" s="62">
        <f t="shared" si="1"/>
        <v>2020.9736027515046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2203.1935745592918</v>
      </c>
      <c r="C4" s="71">
        <f t="shared" ref="C4:W4" si="2">SUM(C5:C9)</f>
        <v>1863.7342438870264</v>
      </c>
      <c r="D4" s="71">
        <f t="shared" si="2"/>
        <v>1596.2332189515373</v>
      </c>
      <c r="E4" s="71">
        <f t="shared" si="2"/>
        <v>1700.4677173403516</v>
      </c>
      <c r="F4" s="71">
        <f t="shared" si="2"/>
        <v>1654.0195894446433</v>
      </c>
      <c r="G4" s="71">
        <f t="shared" si="2"/>
        <v>1438.7040966464424</v>
      </c>
      <c r="H4" s="71">
        <f t="shared" si="2"/>
        <v>1483.9514918918401</v>
      </c>
      <c r="I4" s="71">
        <f t="shared" si="2"/>
        <v>1634.0298160059745</v>
      </c>
      <c r="J4" s="71">
        <f t="shared" si="2"/>
        <v>1644.4025550146614</v>
      </c>
      <c r="K4" s="71">
        <f t="shared" si="2"/>
        <v>1407.4493159668748</v>
      </c>
      <c r="L4" s="71">
        <f t="shared" si="2"/>
        <v>1403.0998171071387</v>
      </c>
      <c r="M4" s="71">
        <f t="shared" si="2"/>
        <v>1365.467616696536</v>
      </c>
      <c r="N4" s="71">
        <f t="shared" si="2"/>
        <v>1076.5688197119189</v>
      </c>
      <c r="O4" s="71">
        <f t="shared" si="2"/>
        <v>967.08428914217302</v>
      </c>
      <c r="P4" s="71">
        <f t="shared" si="2"/>
        <v>826.17533954880787</v>
      </c>
      <c r="Q4" s="71">
        <f t="shared" si="2"/>
        <v>812.53383326319499</v>
      </c>
      <c r="R4" s="71">
        <f t="shared" si="2"/>
        <v>750.59031251205079</v>
      </c>
      <c r="S4" s="71">
        <f t="shared" si="2"/>
        <v>948.45108166467935</v>
      </c>
      <c r="T4" s="71">
        <f t="shared" si="2"/>
        <v>970.27247906684977</v>
      </c>
      <c r="U4" s="71">
        <f t="shared" si="2"/>
        <v>1141.8390781401129</v>
      </c>
      <c r="V4" s="71">
        <f t="shared" si="2"/>
        <v>662.96952094011124</v>
      </c>
      <c r="W4" s="71">
        <f t="shared" si="2"/>
        <v>748.22078760989655</v>
      </c>
      <c r="X4" s="71">
        <f t="shared" ref="X4:Y4" si="3">SUM(X5:X9)</f>
        <v>923.61902446978684</v>
      </c>
      <c r="Y4" s="71">
        <f t="shared" si="3"/>
        <v>940.1940746504888</v>
      </c>
      <c r="DA4" s="186" t="s">
        <v>971</v>
      </c>
    </row>
    <row r="5" spans="1:105" ht="11.45" customHeight="1" x14ac:dyDescent="0.25">
      <c r="A5" s="72" t="s">
        <v>144</v>
      </c>
      <c r="B5" s="73">
        <v>684.05436316667169</v>
      </c>
      <c r="C5" s="73">
        <v>536.18232271620104</v>
      </c>
      <c r="D5" s="73">
        <v>472.79824554011742</v>
      </c>
      <c r="E5" s="73">
        <v>435.54643733174066</v>
      </c>
      <c r="F5" s="73">
        <v>407.13301680329403</v>
      </c>
      <c r="G5" s="73">
        <v>330.09737638093827</v>
      </c>
      <c r="H5" s="73">
        <v>336.64909619570511</v>
      </c>
      <c r="I5" s="73">
        <v>313.90798481288647</v>
      </c>
      <c r="J5" s="73">
        <v>299.62769182931385</v>
      </c>
      <c r="K5" s="73">
        <v>278.50252898655344</v>
      </c>
      <c r="L5" s="73">
        <v>297.31199508662291</v>
      </c>
      <c r="M5" s="73">
        <v>259.15149890236682</v>
      </c>
      <c r="N5" s="73">
        <v>223.05300977911091</v>
      </c>
      <c r="O5" s="73">
        <v>231.37422751057028</v>
      </c>
      <c r="P5" s="73">
        <v>215.8859264996392</v>
      </c>
      <c r="Q5" s="73">
        <v>252.06888134716178</v>
      </c>
      <c r="R5" s="73">
        <v>250.70327107636982</v>
      </c>
      <c r="S5" s="73">
        <v>276.95751336640745</v>
      </c>
      <c r="T5" s="73">
        <v>263.05183720467198</v>
      </c>
      <c r="U5" s="73">
        <v>317.30481987745389</v>
      </c>
      <c r="V5" s="73">
        <v>271.17763741324103</v>
      </c>
      <c r="W5" s="73">
        <v>310.64482044733137</v>
      </c>
      <c r="X5" s="73">
        <v>408.95519759944165</v>
      </c>
      <c r="Y5" s="73">
        <v>400.42723032868923</v>
      </c>
      <c r="DA5" s="187" t="s">
        <v>972</v>
      </c>
    </row>
    <row r="6" spans="1:105" ht="11.45" customHeight="1" x14ac:dyDescent="0.25">
      <c r="A6" s="72" t="s">
        <v>145</v>
      </c>
      <c r="B6" s="73">
        <v>1519.1392113926199</v>
      </c>
      <c r="C6" s="73">
        <v>1327.5519211708254</v>
      </c>
      <c r="D6" s="73">
        <v>1123.4349734114198</v>
      </c>
      <c r="E6" s="73">
        <v>1264.9212800086109</v>
      </c>
      <c r="F6" s="73">
        <v>1246.8865726413492</v>
      </c>
      <c r="G6" s="73">
        <v>1108.6067202655042</v>
      </c>
      <c r="H6" s="73">
        <v>1147.3023956961349</v>
      </c>
      <c r="I6" s="73">
        <v>1320.1218311930879</v>
      </c>
      <c r="J6" s="73">
        <v>1344.7748631853476</v>
      </c>
      <c r="K6" s="73">
        <v>1128.9467869803213</v>
      </c>
      <c r="L6" s="73">
        <v>1105.7878220205159</v>
      </c>
      <c r="M6" s="73">
        <v>1106.316117794169</v>
      </c>
      <c r="N6" s="73">
        <v>853.51580993280788</v>
      </c>
      <c r="O6" s="73">
        <v>735.71006163160268</v>
      </c>
      <c r="P6" s="73">
        <v>610.28941304916873</v>
      </c>
      <c r="Q6" s="73">
        <v>560.46495191603321</v>
      </c>
      <c r="R6" s="73">
        <v>499.88704143568094</v>
      </c>
      <c r="S6" s="73">
        <v>671.49356829827195</v>
      </c>
      <c r="T6" s="73">
        <v>707.21128767626328</v>
      </c>
      <c r="U6" s="73">
        <v>824.51753289868316</v>
      </c>
      <c r="V6" s="73">
        <v>391.78112602794874</v>
      </c>
      <c r="W6" s="73">
        <v>437.56726259872516</v>
      </c>
      <c r="X6" s="73">
        <v>514.66382687034513</v>
      </c>
      <c r="Y6" s="73">
        <v>539.76684432179957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9.3541859144775346E-3</v>
      </c>
      <c r="U7" s="73">
        <v>1.6725363975798262E-2</v>
      </c>
      <c r="V7" s="73">
        <v>1.0757498921437124E-2</v>
      </c>
      <c r="W7" s="73">
        <v>8.7045638401195991E-3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1399.959133953176</v>
      </c>
      <c r="C10" s="71">
        <f t="shared" ref="C10:W10" si="4">SUM(C11:C15)</f>
        <v>1632.4203562849414</v>
      </c>
      <c r="D10" s="71">
        <f t="shared" si="4"/>
        <v>1546.6539693545674</v>
      </c>
      <c r="E10" s="71">
        <f t="shared" si="4"/>
        <v>1511.5892903982556</v>
      </c>
      <c r="F10" s="71">
        <f t="shared" si="4"/>
        <v>1590.2194475287015</v>
      </c>
      <c r="G10" s="71">
        <f t="shared" si="4"/>
        <v>1430.6328766983552</v>
      </c>
      <c r="H10" s="71">
        <f t="shared" si="4"/>
        <v>1613.0056878158123</v>
      </c>
      <c r="I10" s="71">
        <f t="shared" si="4"/>
        <v>1593.6954634437241</v>
      </c>
      <c r="J10" s="71">
        <f t="shared" si="4"/>
        <v>1443.1058714685707</v>
      </c>
      <c r="K10" s="71">
        <f t="shared" si="4"/>
        <v>1190.9265223822231</v>
      </c>
      <c r="L10" s="71">
        <f t="shared" si="4"/>
        <v>1306.9509137613049</v>
      </c>
      <c r="M10" s="71">
        <f t="shared" si="4"/>
        <v>1386.8396919879006</v>
      </c>
      <c r="N10" s="71">
        <f t="shared" si="4"/>
        <v>1171.9837168315034</v>
      </c>
      <c r="O10" s="71">
        <f t="shared" si="4"/>
        <v>1153.5471811931664</v>
      </c>
      <c r="P10" s="71">
        <f t="shared" si="4"/>
        <v>1038.7429751545458</v>
      </c>
      <c r="Q10" s="71">
        <f t="shared" si="4"/>
        <v>970.5224865992293</v>
      </c>
      <c r="R10" s="71">
        <f t="shared" si="4"/>
        <v>968.60805378201644</v>
      </c>
      <c r="S10" s="71">
        <f t="shared" si="4"/>
        <v>1185.7832261599119</v>
      </c>
      <c r="T10" s="71">
        <f t="shared" si="4"/>
        <v>1214.8414504258408</v>
      </c>
      <c r="U10" s="71">
        <f t="shared" si="4"/>
        <v>1376.4576544480208</v>
      </c>
      <c r="V10" s="71">
        <f t="shared" si="4"/>
        <v>963.8557585095881</v>
      </c>
      <c r="W10" s="71">
        <f t="shared" si="4"/>
        <v>1062.5735374115998</v>
      </c>
      <c r="X10" s="71">
        <f t="shared" ref="X10:Y10" si="5">SUM(X11:X15)</f>
        <v>1030.1734088922078</v>
      </c>
      <c r="Y10" s="71">
        <f t="shared" si="5"/>
        <v>1080.7795281010158</v>
      </c>
      <c r="DA10" s="186" t="s">
        <v>977</v>
      </c>
    </row>
    <row r="11" spans="1:105" ht="11.45" customHeight="1" x14ac:dyDescent="0.25">
      <c r="A11" s="72" t="s">
        <v>144</v>
      </c>
      <c r="B11" s="73">
        <v>86.223624795495056</v>
      </c>
      <c r="C11" s="73">
        <v>92.364538848717174</v>
      </c>
      <c r="D11" s="73">
        <v>91.045262628412203</v>
      </c>
      <c r="E11" s="73">
        <v>74.891137904716729</v>
      </c>
      <c r="F11" s="73">
        <v>77.62863409954349</v>
      </c>
      <c r="G11" s="73">
        <v>64.284996791890663</v>
      </c>
      <c r="H11" s="73">
        <v>72.11178084642728</v>
      </c>
      <c r="I11" s="73">
        <v>60.960630836296616</v>
      </c>
      <c r="J11" s="73">
        <v>48.538000346094556</v>
      </c>
      <c r="K11" s="73">
        <v>45.05723025678278</v>
      </c>
      <c r="L11" s="73">
        <v>52.702364328682279</v>
      </c>
      <c r="M11" s="73">
        <v>52.198458105371778</v>
      </c>
      <c r="N11" s="73">
        <v>45.562639404036105</v>
      </c>
      <c r="O11" s="73">
        <v>54.538670167847513</v>
      </c>
      <c r="P11" s="73">
        <v>52.729722683507831</v>
      </c>
      <c r="Q11" s="73">
        <v>58.263620802451214</v>
      </c>
      <c r="R11" s="73">
        <v>63.69913649026816</v>
      </c>
      <c r="S11" s="73">
        <v>68.749795318029328</v>
      </c>
      <c r="T11" s="73">
        <v>65.596400112610823</v>
      </c>
      <c r="U11" s="73">
        <v>72.862506003887404</v>
      </c>
      <c r="V11" s="73">
        <v>76.902500161995377</v>
      </c>
      <c r="W11" s="73">
        <v>79.570312828678937</v>
      </c>
      <c r="X11" s="73">
        <v>89.086676863155063</v>
      </c>
      <c r="Y11" s="73">
        <v>86.40810931017576</v>
      </c>
      <c r="DA11" s="187" t="s">
        <v>978</v>
      </c>
    </row>
    <row r="12" spans="1:105" ht="11.45" customHeight="1" x14ac:dyDescent="0.25">
      <c r="A12" s="72" t="s">
        <v>145</v>
      </c>
      <c r="B12" s="73">
        <v>1313.735509157681</v>
      </c>
      <c r="C12" s="73">
        <v>1540.0558174362243</v>
      </c>
      <c r="D12" s="73">
        <v>1455.6087067261551</v>
      </c>
      <c r="E12" s="73">
        <v>1436.6981524935388</v>
      </c>
      <c r="F12" s="73">
        <v>1512.5908134291581</v>
      </c>
      <c r="G12" s="73">
        <v>1366.3478799064644</v>
      </c>
      <c r="H12" s="73">
        <v>1540.8939069693849</v>
      </c>
      <c r="I12" s="73">
        <v>1532.7348326074275</v>
      </c>
      <c r="J12" s="73">
        <v>1394.5678711224762</v>
      </c>
      <c r="K12" s="73">
        <v>1145.8692921254403</v>
      </c>
      <c r="L12" s="73">
        <v>1254.2485494326227</v>
      </c>
      <c r="M12" s="73">
        <v>1334.6412338825287</v>
      </c>
      <c r="N12" s="73">
        <v>1126.4210774274673</v>
      </c>
      <c r="O12" s="73">
        <v>1099.0085110253187</v>
      </c>
      <c r="P12" s="73">
        <v>986.01325247103784</v>
      </c>
      <c r="Q12" s="73">
        <v>912.25886579677808</v>
      </c>
      <c r="R12" s="73">
        <v>904.90891729174825</v>
      </c>
      <c r="S12" s="73">
        <v>1117.0334308418826</v>
      </c>
      <c r="T12" s="73">
        <v>1149.233338291062</v>
      </c>
      <c r="U12" s="73">
        <v>1303.5749864478341</v>
      </c>
      <c r="V12" s="73">
        <v>886.93761859801896</v>
      </c>
      <c r="W12" s="73">
        <v>982.99086293867845</v>
      </c>
      <c r="X12" s="73">
        <v>941.08673202905277</v>
      </c>
      <c r="Y12" s="73">
        <v>994.37141879084004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1.1712022168067606E-2</v>
      </c>
      <c r="U13" s="73">
        <v>2.0161996299352211E-2</v>
      </c>
      <c r="V13" s="73">
        <v>1.5639749573833728E-2</v>
      </c>
      <c r="W13" s="73">
        <v>1.2361644242425541E-2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25707.74796053709</v>
      </c>
      <c r="C19" s="62">
        <f>IF(C3=0,0,C3/MBunk_act!C7*100)</f>
        <v>25861.679569111162</v>
      </c>
      <c r="D19" s="62">
        <f>IF(D3=0,0,D3/MBunk_act!D7*100)</f>
        <v>24879.596702587864</v>
      </c>
      <c r="E19" s="62">
        <f>IF(E3=0,0,E3/MBunk_act!E7*100)</f>
        <v>21403.516749544568</v>
      </c>
      <c r="F19" s="62">
        <f>IF(F3=0,0,F3/MBunk_act!F7*100)</f>
        <v>22671.278089092848</v>
      </c>
      <c r="G19" s="62">
        <f>IF(G3=0,0,G3/MBunk_act!G7*100)</f>
        <v>20159.728454878197</v>
      </c>
      <c r="H19" s="62">
        <f>IF(H3=0,0,H3/MBunk_act!H7*100)</f>
        <v>22424.253774724239</v>
      </c>
      <c r="I19" s="62">
        <f>IF(I3=0,0,I3/MBunk_act!I7*100)</f>
        <v>20664.822932592426</v>
      </c>
      <c r="J19" s="62">
        <f>IF(J3=0,0,J3/MBunk_act!J7*100)</f>
        <v>22377.405502799051</v>
      </c>
      <c r="K19" s="62">
        <f>IF(K3=0,0,K3/MBunk_act!K7*100)</f>
        <v>24077.552962019658</v>
      </c>
      <c r="L19" s="62">
        <f>IF(L3=0,0,L3/MBunk_act!L7*100)</f>
        <v>26326.945307411301</v>
      </c>
      <c r="M19" s="62">
        <f>IF(M3=0,0,M3/MBunk_act!M7*100)</f>
        <v>18089.387143105163</v>
      </c>
      <c r="N19" s="62">
        <f>IF(N3=0,0,N3/MBunk_act!N7*100)</f>
        <v>12210.756349993006</v>
      </c>
      <c r="O19" s="62">
        <f>IF(O3=0,0,O3/MBunk_act!O7*100)</f>
        <v>12398.189551715219</v>
      </c>
      <c r="P19" s="62">
        <f>IF(P3=0,0,P3/MBunk_act!P7*100)</f>
        <v>10535.599172229191</v>
      </c>
      <c r="Q19" s="62">
        <f>IF(Q3=0,0,Q3/MBunk_act!Q7*100)</f>
        <v>11048.277526087018</v>
      </c>
      <c r="R19" s="62">
        <f>IF(R3=0,0,R3/MBunk_act!R7*100)</f>
        <v>10081.062363286997</v>
      </c>
      <c r="S19" s="62">
        <f>IF(S3=0,0,S3/MBunk_act!S7*100)</f>
        <v>12485.714861351478</v>
      </c>
      <c r="T19" s="62">
        <f>IF(T3=0,0,T3/MBunk_act!T7*100)</f>
        <v>12123.04122946578</v>
      </c>
      <c r="U19" s="62">
        <f>IF(U3=0,0,U3/MBunk_act!U7*100)</f>
        <v>12417.317131127757</v>
      </c>
      <c r="V19" s="62">
        <f>IF(V3=0,0,V3/MBunk_act!V7*100)</f>
        <v>9379.7642482920128</v>
      </c>
      <c r="W19" s="62">
        <f>IF(W3=0,0,W3/MBunk_act!W7*100)</f>
        <v>9835.694955955938</v>
      </c>
      <c r="X19" s="62">
        <f>IF(X3=0,0,X3/MBunk_act!X7*100)</f>
        <v>10423.421715425053</v>
      </c>
      <c r="Y19" s="62">
        <f>IF(Y3=0,0,Y3/MBunk_act!Y7*100)</f>
        <v>10253.575100765165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21076.737980324608</v>
      </c>
      <c r="C20" s="63">
        <f>IF(C4=0,0,C4/MBunk_act!C8*100)</f>
        <v>22528.084571259598</v>
      </c>
      <c r="D20" s="63">
        <f>IF(D4=0,0,D4/MBunk_act!D8*100)</f>
        <v>22622.580512807559</v>
      </c>
      <c r="E20" s="63">
        <f>IF(E4=0,0,E4/MBunk_act!E8*100)</f>
        <v>19290.418105094239</v>
      </c>
      <c r="F20" s="63">
        <f>IF(F4=0,0,F4/MBunk_act!F8*100)</f>
        <v>20538.298063855513</v>
      </c>
      <c r="G20" s="63">
        <f>IF(G4=0,0,G4/MBunk_act!G8*100)</f>
        <v>18127.806234834272</v>
      </c>
      <c r="H20" s="63">
        <f>IF(H4=0,0,H4/MBunk_act!H8*100)</f>
        <v>20912.338949529858</v>
      </c>
      <c r="I20" s="63">
        <f>IF(I4=0,0,I4/MBunk_act!I8*100)</f>
        <v>19051.833169218986</v>
      </c>
      <c r="J20" s="63">
        <f>IF(J4=0,0,J4/MBunk_act!J8*100)</f>
        <v>19574.920559023118</v>
      </c>
      <c r="K20" s="63">
        <f>IF(K4=0,0,K4/MBunk_act!K8*100)</f>
        <v>21645.254127769807</v>
      </c>
      <c r="L20" s="63">
        <f>IF(L4=0,0,L4/MBunk_act!L8*100)</f>
        <v>23780.252491827727</v>
      </c>
      <c r="M20" s="63">
        <f>IF(M4=0,0,M4/MBunk_act!M8*100)</f>
        <v>15219.414623206461</v>
      </c>
      <c r="N20" s="63">
        <f>IF(N4=0,0,N4/MBunk_act!N8*100)</f>
        <v>10173.353826584736</v>
      </c>
      <c r="O20" s="63">
        <f>IF(O4=0,0,O4/MBunk_act!O8*100)</f>
        <v>9962.9773121691542</v>
      </c>
      <c r="P20" s="63">
        <f>IF(P4=0,0,P4/MBunk_act!P8*100)</f>
        <v>8380.8996168003596</v>
      </c>
      <c r="Q20" s="63">
        <f>IF(Q4=0,0,Q4/MBunk_act!Q8*100)</f>
        <v>8636.4724063515332</v>
      </c>
      <c r="R20" s="63">
        <f>IF(R4=0,0,R4/MBunk_act!R8*100)</f>
        <v>7953.7661771535222</v>
      </c>
      <c r="S20" s="63">
        <f>IF(S4=0,0,S4/MBunk_act!S8*100)</f>
        <v>9729.3748583954621</v>
      </c>
      <c r="T20" s="63">
        <f>IF(T4=0,0,T4/MBunk_act!T8*100)</f>
        <v>9359.5394920668332</v>
      </c>
      <c r="U20" s="63">
        <f>IF(U4=0,0,U4/MBunk_act!U8*100)</f>
        <v>9599.447206949977</v>
      </c>
      <c r="V20" s="63">
        <f>IF(V4=0,0,V4/MBunk_act!V8*100)</f>
        <v>6750.5475621879386</v>
      </c>
      <c r="W20" s="63">
        <f>IF(W4=0,0,W4/MBunk_act!W8*100)</f>
        <v>6859.213625289759</v>
      </c>
      <c r="X20" s="63">
        <f>IF(X4=0,0,X4/MBunk_act!X8*100)</f>
        <v>7971.6298718833468</v>
      </c>
      <c r="Y20" s="63">
        <f>IF(Y4=0,0,Y4/MBunk_act!Y8*100)</f>
        <v>8088.2434004566749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39295.730729742347</v>
      </c>
      <c r="C21" s="64">
        <f>IF(C10=0,0,C10/MBunk_act!C9*100)</f>
        <v>31119.025285226046</v>
      </c>
      <c r="D21" s="64">
        <f>IF(D10=0,0,D10/MBunk_act!D9*100)</f>
        <v>27735.413626363385</v>
      </c>
      <c r="E21" s="64">
        <f>IF(E10=0,0,E10/MBunk_act!E9*100)</f>
        <v>24411.750966048363</v>
      </c>
      <c r="F21" s="64">
        <f>IF(F10=0,0,F10/MBunk_act!F9*100)</f>
        <v>25416.813339727174</v>
      </c>
      <c r="G21" s="64">
        <f>IF(G10=0,0,G10/MBunk_act!G9*100)</f>
        <v>22720.846631430872</v>
      </c>
      <c r="H21" s="64">
        <f>IF(H10=0,0,H10/MBunk_act!H9*100)</f>
        <v>24022.038956309563</v>
      </c>
      <c r="I21" s="64">
        <f>IF(I10=0,0,I10/MBunk_act!I9*100)</f>
        <v>22629.16942524166</v>
      </c>
      <c r="J21" s="64">
        <f>IF(J10=0,0,J10/MBunk_act!J9*100)</f>
        <v>26739.637324990439</v>
      </c>
      <c r="K21" s="64">
        <f>IF(K10=0,0,K10/MBunk_act!K9*100)</f>
        <v>27764.744720694682</v>
      </c>
      <c r="L21" s="64">
        <f>IF(L10=0,0,L10/MBunk_act!L9*100)</f>
        <v>29746.995685529102</v>
      </c>
      <c r="M21" s="64">
        <f>IF(M10=0,0,M10/MBunk_act!M9*100)</f>
        <v>22213.749353298554</v>
      </c>
      <c r="N21" s="64">
        <f>IF(N10=0,0,N10/MBunk_act!N9*100)</f>
        <v>14963.502550489162</v>
      </c>
      <c r="O21" s="64">
        <f>IF(O10=0,0,O10/MBunk_act!O9*100)</f>
        <v>15593.566510271008</v>
      </c>
      <c r="P21" s="64">
        <f>IF(P10=0,0,P10/MBunk_act!P9*100)</f>
        <v>13243.736962937124</v>
      </c>
      <c r="Q21" s="64">
        <f>IF(Q10=0,0,Q10/MBunk_act!Q9*100)</f>
        <v>14419.545208709789</v>
      </c>
      <c r="R21" s="64">
        <f>IF(R10=0,0,R10/MBunk_act!R9*100)</f>
        <v>12716.690402917444</v>
      </c>
      <c r="S21" s="64">
        <f>IF(S10=0,0,S10/MBunk_act!S9*100)</f>
        <v>16143.902862920449</v>
      </c>
      <c r="T21" s="64">
        <f>IF(T10=0,0,T10/MBunk_act!T9*100)</f>
        <v>15864.103159978182</v>
      </c>
      <c r="U21" s="64">
        <f>IF(U10=0,0,U10/MBunk_act!U9*100)</f>
        <v>16414.383263468444</v>
      </c>
      <c r="V21" s="64">
        <f>IF(V10=0,0,V10/MBunk_act!V9*100)</f>
        <v>12812.094067466143</v>
      </c>
      <c r="W21" s="64">
        <f>IF(W10=0,0,W10/MBunk_act!W9*100)</f>
        <v>14163.535963115772</v>
      </c>
      <c r="X21" s="64">
        <f>IF(X10=0,0,X10/MBunk_act!X9*100)</f>
        <v>14392.065647119121</v>
      </c>
      <c r="Y21" s="64">
        <f>IF(Y10=0,0,Y10/MBunk_act!Y9*100)</f>
        <v>13366.497023474252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47.211690327251667</v>
      </c>
      <c r="C23" s="62">
        <f>IF(C3=0,0,C3/MBunk_act!C3*1000)</f>
        <v>32.469495615173635</v>
      </c>
      <c r="D23" s="62">
        <f>IF(D3=0,0,D3/MBunk_act!D3*1000)</f>
        <v>27.742950534026608</v>
      </c>
      <c r="E23" s="62">
        <f>IF(E3=0,0,E3/MBunk_act!E3*1000)</f>
        <v>25.061893035586387</v>
      </c>
      <c r="F23" s="62">
        <f>IF(F3=0,0,F3/MBunk_act!F3*1000)</f>
        <v>25.08974490786073</v>
      </c>
      <c r="G23" s="62">
        <f>IF(G3=0,0,G3/MBunk_act!G3*1000)</f>
        <v>22.340990948041142</v>
      </c>
      <c r="H23" s="62">
        <f>IF(H3=0,0,H3/MBunk_act!H3*1000)</f>
        <v>24.352470682470528</v>
      </c>
      <c r="I23" s="62">
        <f>IF(I3=0,0,I3/MBunk_act!I3*1000)</f>
        <v>24.372314867884075</v>
      </c>
      <c r="J23" s="62">
        <f>IF(J3=0,0,J3/MBunk_act!J3*1000)</f>
        <v>28.001475993369983</v>
      </c>
      <c r="K23" s="62">
        <f>IF(K3=0,0,K3/MBunk_act!K3*1000)</f>
        <v>26.057068693436097</v>
      </c>
      <c r="L23" s="62">
        <f>IF(L3=0,0,L3/MBunk_act!L3*1000)</f>
        <v>26.16502144484399</v>
      </c>
      <c r="M23" s="62">
        <f>IF(M3=0,0,M3/MBunk_act!M3*1000)</f>
        <v>20.919135006069574</v>
      </c>
      <c r="N23" s="62">
        <f>IF(N3=0,0,N3/MBunk_act!N3*1000)</f>
        <v>13.137794963190311</v>
      </c>
      <c r="O23" s="62">
        <f>IF(O3=0,0,O3/MBunk_act!O3*1000)</f>
        <v>11.558497665701374</v>
      </c>
      <c r="P23" s="62">
        <f>IF(P3=0,0,P3/MBunk_act!P3*1000)</f>
        <v>9.0584585227303887</v>
      </c>
      <c r="Q23" s="62">
        <f>IF(Q3=0,0,Q3/MBunk_act!Q3*1000)</f>
        <v>8.5860718217676499</v>
      </c>
      <c r="R23" s="62">
        <f>IF(R3=0,0,R3/MBunk_act!R3*1000)</f>
        <v>7.4477322510603052</v>
      </c>
      <c r="S23" s="62">
        <f>IF(S3=0,0,S3/MBunk_act!S3*1000)</f>
        <v>8.984310115894111</v>
      </c>
      <c r="T23" s="62">
        <f>IF(T3=0,0,T3/MBunk_act!T3*1000)</f>
        <v>8.6590655072807294</v>
      </c>
      <c r="U23" s="62">
        <f>IF(U3=0,0,U3/MBunk_act!U3*1000)</f>
        <v>9.3791208238448096</v>
      </c>
      <c r="V23" s="62">
        <f>IF(V3=0,0,V3/MBunk_act!V3*1000)</f>
        <v>6.2308181101958953</v>
      </c>
      <c r="W23" s="62">
        <f>IF(W3=0,0,W3/MBunk_act!W3*1000)</f>
        <v>6.7796102079444251</v>
      </c>
      <c r="X23" s="62">
        <f>IF(X3=0,0,X3/MBunk_act!X3*1000)</f>
        <v>8.3202454123870382</v>
      </c>
      <c r="Y23" s="62">
        <f>IF(Y3=0,0,Y3/MBunk_act!Y3*1000)</f>
        <v>7.8108452172205896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51.639715328527458</v>
      </c>
      <c r="C24" s="63">
        <f>IF(C4=0,0,C4/MBunk_act!C4*1000)</f>
        <v>53.331998306223404</v>
      </c>
      <c r="D24" s="63">
        <f>IF(D4=0,0,D4/MBunk_act!D4*1000)</f>
        <v>48.895575082991414</v>
      </c>
      <c r="E24" s="63">
        <f>IF(E4=0,0,E4/MBunk_act!E4*1000)</f>
        <v>43.348063877940007</v>
      </c>
      <c r="F24" s="63">
        <f>IF(F4=0,0,F4/MBunk_act!F4*1000)</f>
        <v>46.669628332233017</v>
      </c>
      <c r="G24" s="63">
        <f>IF(G4=0,0,G4/MBunk_act!G4*1000)</f>
        <v>43.671443158281285</v>
      </c>
      <c r="H24" s="63">
        <f>IF(H4=0,0,H4/MBunk_act!H4*1000)</f>
        <v>49.670149735245545</v>
      </c>
      <c r="I24" s="63">
        <f>IF(I4=0,0,I4/MBunk_act!I4*1000)</f>
        <v>45.220459771703794</v>
      </c>
      <c r="J24" s="63">
        <f>IF(J4=0,0,J4/MBunk_act!J4*1000)</f>
        <v>48.893100548654736</v>
      </c>
      <c r="K24" s="63">
        <f>IF(K4=0,0,K4/MBunk_act!K4*1000)</f>
        <v>45.30005458510611</v>
      </c>
      <c r="L24" s="63">
        <f>IF(L4=0,0,L4/MBunk_act!L4*1000)</f>
        <v>48.274730262324383</v>
      </c>
      <c r="M24" s="63">
        <f>IF(M4=0,0,M4/MBunk_act!M4*1000)</f>
        <v>44.468711586158989</v>
      </c>
      <c r="N24" s="63">
        <f>IF(N4=0,0,N4/MBunk_act!N4*1000)</f>
        <v>30.316760936336504</v>
      </c>
      <c r="O24" s="63">
        <f>IF(O4=0,0,O4/MBunk_act!O4*1000)</f>
        <v>28.026619756137581</v>
      </c>
      <c r="P24" s="63">
        <f>IF(P4=0,0,P4/MBunk_act!P4*1000)</f>
        <v>23.0341290121276</v>
      </c>
      <c r="Q24" s="63">
        <f>IF(Q4=0,0,Q4/MBunk_act!Q4*1000)</f>
        <v>21.562181007061763</v>
      </c>
      <c r="R24" s="63">
        <f>IF(R4=0,0,R4/MBunk_act!R4*1000)</f>
        <v>18.926616196113873</v>
      </c>
      <c r="S24" s="63">
        <f>IF(S4=0,0,S4/MBunk_act!S4*1000)</f>
        <v>22.945197209633726</v>
      </c>
      <c r="T24" s="63">
        <f>IF(T4=0,0,T4/MBunk_act!T4*1000)</f>
        <v>21.985978234555628</v>
      </c>
      <c r="U24" s="63">
        <f>IF(U4=0,0,U4/MBunk_act!U4*1000)</f>
        <v>23.514965881128266</v>
      </c>
      <c r="V24" s="63">
        <f>IF(V4=0,0,V4/MBunk_act!V4*1000)</f>
        <v>14.190822084540644</v>
      </c>
      <c r="W24" s="63">
        <f>IF(W4=0,0,W4/MBunk_act!W4*1000)</f>
        <v>15.507320140411395</v>
      </c>
      <c r="X24" s="63">
        <f>IF(X4=0,0,X4/MBunk_act!X4*1000)</f>
        <v>18.621602957617821</v>
      </c>
      <c r="Y24" s="63">
        <f>IF(Y4=0,0,Y4/MBunk_act!Y4*1000)</f>
        <v>17.872176981338619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41.598142114301275</v>
      </c>
      <c r="C25" s="64">
        <f>IF(C10=0,0,C10/MBunk_act!C5*1000)</f>
        <v>22.445197665468388</v>
      </c>
      <c r="D25" s="64">
        <f>IF(D10=0,0,D10/MBunk_act!D5*1000)</f>
        <v>19.179685739765272</v>
      </c>
      <c r="E25" s="64">
        <f>IF(E10=0,0,E10/MBunk_act!E5*1000)</f>
        <v>16.996227749410465</v>
      </c>
      <c r="F25" s="64">
        <f>IF(F10=0,0,F10/MBunk_act!F5*1000)</f>
        <v>16.941675756860214</v>
      </c>
      <c r="G25" s="64">
        <f>IF(G10=0,0,G10/MBunk_act!G5*1000)</f>
        <v>14.982030430339899</v>
      </c>
      <c r="H25" s="64">
        <f>IF(H10=0,0,H10/MBunk_act!H5*1000)</f>
        <v>16.578322546860331</v>
      </c>
      <c r="I25" s="64">
        <f>IF(I10=0,0,I10/MBunk_act!I5*1000)</f>
        <v>16.549391039599946</v>
      </c>
      <c r="J25" s="64">
        <f>IF(J10=0,0,J10/MBunk_act!J5*1000)</f>
        <v>18.832191543628937</v>
      </c>
      <c r="K25" s="64">
        <f>IF(K10=0,0,K10/MBunk_act!K5*1000)</f>
        <v>17.348010272918923</v>
      </c>
      <c r="L25" s="64">
        <f>IF(L10=0,0,L10/MBunk_act!L5*1000)</f>
        <v>17.540507707454282</v>
      </c>
      <c r="M25" s="64">
        <f>IF(M10=0,0,M10/MBunk_act!M5*1000)</f>
        <v>13.749786924349223</v>
      </c>
      <c r="N25" s="64">
        <f>IF(N10=0,0,N10/MBunk_act!N5*1000)</f>
        <v>8.6403505615237144</v>
      </c>
      <c r="O25" s="64">
        <f>IF(O10=0,0,O10/MBunk_act!O5*1000)</f>
        <v>7.7438216166384803</v>
      </c>
      <c r="P25" s="64">
        <f>IF(P10=0,0,P10/MBunk_act!P5*1000)</f>
        <v>6.1099488356387841</v>
      </c>
      <c r="Q25" s="64">
        <f>IF(Q10=0,0,Q10/MBunk_act!Q5*1000)</f>
        <v>5.7094537063093336</v>
      </c>
      <c r="R25" s="64">
        <f>IF(R10=0,0,R10/MBunk_act!R5*1000)</f>
        <v>5.0665452817912406</v>
      </c>
      <c r="S25" s="64">
        <f>IF(S10=0,0,S10/MBunk_act!S5*1000)</f>
        <v>6.0432613301014957</v>
      </c>
      <c r="T25" s="64">
        <f>IF(T10=0,0,T10/MBunk_act!T5*1000)</f>
        <v>5.8344567713739393</v>
      </c>
      <c r="U25" s="64">
        <f>IF(U10=0,0,U10/MBunk_act!U5*1000)</f>
        <v>6.2582663740988123</v>
      </c>
      <c r="V25" s="64">
        <f>IF(V10=0,0,V10/MBunk_act!V5*1000)</f>
        <v>4.4961164422638449</v>
      </c>
      <c r="W25" s="64">
        <f>IF(W10=0,0,W10/MBunk_act!W5*1000)</f>
        <v>4.855378343632955</v>
      </c>
      <c r="X25" s="64">
        <f>IF(X10=0,0,X10/MBunk_act!X5*1000)</f>
        <v>5.5617536925000772</v>
      </c>
      <c r="Y25" s="64">
        <f>IF(Y10=0,0,Y10/MBunk_act!Y5*1000)</f>
        <v>5.2431213308490143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0.61146272522789136</v>
      </c>
      <c r="C28" s="77">
        <f t="shared" si="6"/>
        <v>0.53308118691185835</v>
      </c>
      <c r="D28" s="77">
        <f t="shared" si="6"/>
        <v>0.50788753248628238</v>
      </c>
      <c r="E28" s="77">
        <f t="shared" si="6"/>
        <v>0.52940147489397649</v>
      </c>
      <c r="F28" s="77">
        <f t="shared" si="6"/>
        <v>0.50983283617341946</v>
      </c>
      <c r="G28" s="77">
        <f t="shared" si="6"/>
        <v>0.50140646079966666</v>
      </c>
      <c r="H28" s="77">
        <f t="shared" si="6"/>
        <v>0.4791643557796697</v>
      </c>
      <c r="I28" s="77">
        <f t="shared" si="6"/>
        <v>0.50624810804361997</v>
      </c>
      <c r="J28" s="77">
        <f t="shared" si="6"/>
        <v>0.53259856423701712</v>
      </c>
      <c r="K28" s="77">
        <f t="shared" si="6"/>
        <v>0.54166502597295962</v>
      </c>
      <c r="L28" s="77">
        <f t="shared" si="6"/>
        <v>0.51773931798594464</v>
      </c>
      <c r="M28" s="77">
        <f t="shared" si="6"/>
        <v>0.49611742569154094</v>
      </c>
      <c r="N28" s="77">
        <f t="shared" si="6"/>
        <v>0.47878304029616742</v>
      </c>
      <c r="O28" s="77">
        <f t="shared" si="6"/>
        <v>0.45603599808374357</v>
      </c>
      <c r="P28" s="77">
        <f t="shared" si="6"/>
        <v>0.44300886158663999</v>
      </c>
      <c r="Q28" s="77">
        <f t="shared" si="6"/>
        <v>0.45569723413217134</v>
      </c>
      <c r="R28" s="77">
        <f t="shared" si="6"/>
        <v>0.43659319786932782</v>
      </c>
      <c r="S28" s="77">
        <f t="shared" si="6"/>
        <v>0.44439876080495971</v>
      </c>
      <c r="T28" s="77">
        <f t="shared" si="6"/>
        <v>0.44403747830764784</v>
      </c>
      <c r="U28" s="77">
        <f t="shared" si="6"/>
        <v>0.45341720988003209</v>
      </c>
      <c r="V28" s="77">
        <f t="shared" si="6"/>
        <v>0.40752349334304155</v>
      </c>
      <c r="W28" s="77">
        <f t="shared" si="6"/>
        <v>0.41320031616567737</v>
      </c>
      <c r="X28" s="77">
        <f t="shared" ref="X28:Y28" si="8">IF(X4=0,0,X4/X$3)</f>
        <v>0.47273139597560343</v>
      </c>
      <c r="Y28" s="77">
        <f t="shared" si="8"/>
        <v>0.46521838453032649</v>
      </c>
      <c r="DA28" s="184"/>
    </row>
    <row r="29" spans="1:105" ht="11.45" customHeight="1" x14ac:dyDescent="0.25">
      <c r="A29" s="57" t="s">
        <v>167</v>
      </c>
      <c r="B29" s="78">
        <f>IF(B10=0,0,B10/B$3)</f>
        <v>0.38853727477210853</v>
      </c>
      <c r="C29" s="78">
        <f t="shared" ref="C29:W29" si="9">IF(C10=0,0,C10/C$3)</f>
        <v>0.46691881308814154</v>
      </c>
      <c r="D29" s="78">
        <f t="shared" si="9"/>
        <v>0.49211246751371768</v>
      </c>
      <c r="E29" s="78">
        <f t="shared" si="9"/>
        <v>0.47059852510602346</v>
      </c>
      <c r="F29" s="78">
        <f t="shared" si="9"/>
        <v>0.4901671638265806</v>
      </c>
      <c r="G29" s="78">
        <f t="shared" si="9"/>
        <v>0.49859353920033334</v>
      </c>
      <c r="H29" s="78">
        <f t="shared" si="9"/>
        <v>0.52083564422033024</v>
      </c>
      <c r="I29" s="78">
        <f t="shared" si="9"/>
        <v>0.49375189195638003</v>
      </c>
      <c r="J29" s="78">
        <f t="shared" si="9"/>
        <v>0.46740143576298288</v>
      </c>
      <c r="K29" s="78">
        <f t="shared" si="9"/>
        <v>0.45833497402704043</v>
      </c>
      <c r="L29" s="78">
        <f t="shared" si="9"/>
        <v>0.48226068201405542</v>
      </c>
      <c r="M29" s="78">
        <f t="shared" si="9"/>
        <v>0.50388257430845906</v>
      </c>
      <c r="N29" s="78">
        <f t="shared" si="9"/>
        <v>0.52121695970383253</v>
      </c>
      <c r="O29" s="78">
        <f t="shared" si="9"/>
        <v>0.54396400191625649</v>
      </c>
      <c r="P29" s="78">
        <f t="shared" si="9"/>
        <v>0.55699113841336001</v>
      </c>
      <c r="Q29" s="78">
        <f t="shared" si="9"/>
        <v>0.54430276586782866</v>
      </c>
      <c r="R29" s="78">
        <f t="shared" si="9"/>
        <v>0.56340680213067218</v>
      </c>
      <c r="S29" s="78">
        <f t="shared" si="9"/>
        <v>0.55560123919504023</v>
      </c>
      <c r="T29" s="78">
        <f t="shared" si="9"/>
        <v>0.55596252169235205</v>
      </c>
      <c r="U29" s="78">
        <f t="shared" si="9"/>
        <v>0.54658279011996791</v>
      </c>
      <c r="V29" s="78">
        <f t="shared" si="9"/>
        <v>0.5924765066569585</v>
      </c>
      <c r="W29" s="78">
        <f t="shared" si="9"/>
        <v>0.58679968383432268</v>
      </c>
      <c r="X29" s="78">
        <f t="shared" ref="X29:Y29" si="10">IF(X10=0,0,X10/X$3)</f>
        <v>0.52726860402439657</v>
      </c>
      <c r="Y29" s="78">
        <f t="shared" si="10"/>
        <v>0.53478161546967351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11563.627983120005</v>
      </c>
      <c r="C3" s="62">
        <f t="shared" ref="C3:W3" si="1">SUM(C4:C5)</f>
        <v>11236.309081919999</v>
      </c>
      <c r="D3" s="62">
        <f t="shared" si="1"/>
        <v>10098.808137</v>
      </c>
      <c r="E3" s="62">
        <f t="shared" si="1"/>
        <v>10331.326410480004</v>
      </c>
      <c r="F3" s="62">
        <f t="shared" si="1"/>
        <v>10437.843897359999</v>
      </c>
      <c r="G3" s="62">
        <f t="shared" si="1"/>
        <v>9240.0447319200011</v>
      </c>
      <c r="H3" s="62">
        <f t="shared" si="1"/>
        <v>9975.3507014400002</v>
      </c>
      <c r="I3" s="62">
        <f t="shared" si="1"/>
        <v>10391.931272519996</v>
      </c>
      <c r="J3" s="62">
        <f t="shared" si="1"/>
        <v>9953.2681527599998</v>
      </c>
      <c r="K3" s="62">
        <f t="shared" si="1"/>
        <v>8371.9324490400031</v>
      </c>
      <c r="L3" s="62">
        <f t="shared" si="1"/>
        <v>8729.4803407200015</v>
      </c>
      <c r="M3" s="62">
        <f t="shared" si="1"/>
        <v>8872.7915408400004</v>
      </c>
      <c r="N3" s="62">
        <f t="shared" si="1"/>
        <v>7248.1308591600018</v>
      </c>
      <c r="O3" s="62">
        <f t="shared" si="1"/>
        <v>6831.202137119999</v>
      </c>
      <c r="P3" s="62">
        <f t="shared" si="1"/>
        <v>6003.3824449200019</v>
      </c>
      <c r="Q3" s="62">
        <f t="shared" si="1"/>
        <v>5733.5434459199996</v>
      </c>
      <c r="R3" s="62">
        <f t="shared" si="1"/>
        <v>5526.3885282000019</v>
      </c>
      <c r="S3" s="62">
        <f t="shared" si="1"/>
        <v>6867.1262318400022</v>
      </c>
      <c r="T3" s="62">
        <f t="shared" si="1"/>
        <v>7034.3287822799975</v>
      </c>
      <c r="U3" s="62">
        <f t="shared" si="1"/>
        <v>8105.5124323199998</v>
      </c>
      <c r="V3" s="62">
        <f t="shared" si="1"/>
        <v>5222.4896235600008</v>
      </c>
      <c r="W3" s="62">
        <f t="shared" si="1"/>
        <v>5812.9823473200022</v>
      </c>
      <c r="X3" s="62">
        <f t="shared" ref="X3:Y3" si="2">SUM(X4:X5)</f>
        <v>6261.8465930399998</v>
      </c>
      <c r="Y3" s="62">
        <f t="shared" si="2"/>
        <v>6480.9356317199999</v>
      </c>
      <c r="DA3" s="172" t="s">
        <v>987</v>
      </c>
    </row>
    <row r="4" spans="1:105" ht="11.45" customHeight="1" x14ac:dyDescent="0.25">
      <c r="A4" s="55" t="s">
        <v>166</v>
      </c>
      <c r="B4" s="63">
        <v>7041.7614840749575</v>
      </c>
      <c r="C4" s="63">
        <v>5962.5287536288943</v>
      </c>
      <c r="D4" s="63">
        <v>5103.884669443768</v>
      </c>
      <c r="E4" s="63">
        <v>5447.0117868351745</v>
      </c>
      <c r="F4" s="63">
        <v>5299.9385843524933</v>
      </c>
      <c r="G4" s="63">
        <v>4614.9345812293896</v>
      </c>
      <c r="H4" s="63">
        <v>4760.596752682045</v>
      </c>
      <c r="I4" s="63">
        <v>5244.4406359154855</v>
      </c>
      <c r="J4" s="63">
        <v>5285.4835247322762</v>
      </c>
      <c r="K4" s="63">
        <v>4520.6828239316364</v>
      </c>
      <c r="L4" s="63">
        <v>4503.7666649411276</v>
      </c>
      <c r="M4" s="63">
        <v>4387.6230259484391</v>
      </c>
      <c r="N4" s="63">
        <v>3457.2989886387859</v>
      </c>
      <c r="O4" s="63">
        <v>3101.3970125062806</v>
      </c>
      <c r="P4" s="63">
        <v>2646.3429909510519</v>
      </c>
      <c r="Q4" s="63">
        <v>2597.6012115100157</v>
      </c>
      <c r="R4" s="63">
        <v>2397.2218819883647</v>
      </c>
      <c r="S4" s="63">
        <v>3034.7909679798759</v>
      </c>
      <c r="T4" s="63">
        <v>3107.4020039963457</v>
      </c>
      <c r="U4" s="63">
        <v>3655.8609547172778</v>
      </c>
      <c r="V4" s="63">
        <v>2110.5397370688879</v>
      </c>
      <c r="W4" s="63">
        <v>2381.3953385634545</v>
      </c>
      <c r="X4" s="63">
        <v>2936.2894843066483</v>
      </c>
      <c r="Y4" s="63">
        <v>2991.1236626909522</v>
      </c>
      <c r="DA4" s="181" t="s">
        <v>988</v>
      </c>
    </row>
    <row r="5" spans="1:105" ht="11.45" customHeight="1" x14ac:dyDescent="0.25">
      <c r="A5" s="57" t="s">
        <v>167</v>
      </c>
      <c r="B5" s="64">
        <v>4521.8664990450461</v>
      </c>
      <c r="C5" s="64">
        <v>5273.7803282911045</v>
      </c>
      <c r="D5" s="64">
        <v>4994.9234675562311</v>
      </c>
      <c r="E5" s="64">
        <v>4884.3146236448292</v>
      </c>
      <c r="F5" s="64">
        <v>5137.9053130075063</v>
      </c>
      <c r="G5" s="64">
        <v>4625.1101506906116</v>
      </c>
      <c r="H5" s="64">
        <v>5214.7539487579552</v>
      </c>
      <c r="I5" s="64">
        <v>5147.4906366045116</v>
      </c>
      <c r="J5" s="64">
        <v>4667.7846280277226</v>
      </c>
      <c r="K5" s="64">
        <v>3851.2496251083662</v>
      </c>
      <c r="L5" s="64">
        <v>4225.7136757788749</v>
      </c>
      <c r="M5" s="64">
        <v>4485.1685148915612</v>
      </c>
      <c r="N5" s="64">
        <v>3790.8318705212159</v>
      </c>
      <c r="O5" s="64">
        <v>3729.8051246137184</v>
      </c>
      <c r="P5" s="64">
        <v>3357.0394539689505</v>
      </c>
      <c r="Q5" s="64">
        <v>3135.9422344099839</v>
      </c>
      <c r="R5" s="64">
        <v>3129.1666462116373</v>
      </c>
      <c r="S5" s="64">
        <v>3832.3352638601264</v>
      </c>
      <c r="T5" s="64">
        <v>3926.9267782836519</v>
      </c>
      <c r="U5" s="64">
        <v>4449.6514776027216</v>
      </c>
      <c r="V5" s="64">
        <v>3111.9498864911134</v>
      </c>
      <c r="W5" s="64">
        <v>3431.5870087565477</v>
      </c>
      <c r="X5" s="64">
        <v>3325.5571087333515</v>
      </c>
      <c r="Y5" s="64">
        <v>3489.8119690290478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3.2093083248458689</v>
      </c>
      <c r="C9" s="79">
        <f>IF(C3=0,0,C3/MBunk_ene!C3)</f>
        <v>3.2139050948625982</v>
      </c>
      <c r="D9" s="79">
        <f>IF(D3=0,0,D3/MBunk_ene!D3)</f>
        <v>3.2132264163267243</v>
      </c>
      <c r="E9" s="79">
        <f>IF(E3=0,0,E3/MBunk_ene!E3)</f>
        <v>3.2164206256580714</v>
      </c>
      <c r="F9" s="79">
        <f>IF(F3=0,0,F3/MBunk_ene!F3)</f>
        <v>3.2173473589349939</v>
      </c>
      <c r="G9" s="79">
        <f>IF(G3=0,0,G3/MBunk_ene!G3)</f>
        <v>3.2202717274955837</v>
      </c>
      <c r="H9" s="79">
        <f>IF(H3=0,0,H3/MBunk_ene!H3)</f>
        <v>3.2210166697821947</v>
      </c>
      <c r="I9" s="79">
        <f>IF(I3=0,0,I3/MBunk_ene!I3)</f>
        <v>3.2195835682433724</v>
      </c>
      <c r="J9" s="79">
        <f>IF(J3=0,0,J3/MBunk_ene!J3)</f>
        <v>3.2237217775295535</v>
      </c>
      <c r="K9" s="79">
        <f>IF(K3=0,0,K3/MBunk_ene!K3)</f>
        <v>3.2219867216588609</v>
      </c>
      <c r="L9" s="79">
        <f>IF(L3=0,0,L3/MBunk_ene!L3)</f>
        <v>3.2211501582933888</v>
      </c>
      <c r="M9" s="79">
        <f>IF(M3=0,0,M3/MBunk_ene!M3)</f>
        <v>3.2237648437161863</v>
      </c>
      <c r="N9" s="79">
        <f>IF(N3=0,0,N3/MBunk_ene!N3)</f>
        <v>3.2234652032200946</v>
      </c>
      <c r="O9" s="79">
        <f>IF(O3=0,0,O3/MBunk_ene!O3)</f>
        <v>3.2213056500759034</v>
      </c>
      <c r="P9" s="79">
        <f>IF(P3=0,0,P3/MBunk_ene!P3)</f>
        <v>3.2191128145336165</v>
      </c>
      <c r="Q9" s="79">
        <f>IF(Q3=0,0,Q3/MBunk_ene!Q3)</f>
        <v>3.2155705807219728</v>
      </c>
      <c r="R9" s="79">
        <f>IF(R3=0,0,R3/MBunk_ene!R3)</f>
        <v>3.2145147625476036</v>
      </c>
      <c r="S9" s="79">
        <f>IF(S3=0,0,S3/MBunk_ene!S3)</f>
        <v>3.2176065236434193</v>
      </c>
      <c r="T9" s="79">
        <f>IF(T3=0,0,T3/MBunk_ene!T3)</f>
        <v>3.2192045857824585</v>
      </c>
      <c r="U9" s="79">
        <f>IF(U3=0,0,U3/MBunk_ene!U3)</f>
        <v>3.2186486713143241</v>
      </c>
      <c r="V9" s="79">
        <f>IF(V3=0,0,V3/MBunk_ene!V3)</f>
        <v>3.2102338766991587</v>
      </c>
      <c r="W9" s="79">
        <f>IF(W3=0,0,W3/MBunk_ene!W3)</f>
        <v>3.2101836564188457</v>
      </c>
      <c r="X9" s="79">
        <f>IF(X3=0,0,X3/MBunk_ene!X3)</f>
        <v>3.2049702343584712</v>
      </c>
      <c r="Y9" s="79">
        <f>IF(Y3=0,0,Y3/MBunk_ene!Y3)</f>
        <v>3.2068383391531534</v>
      </c>
      <c r="DA9" s="172"/>
    </row>
    <row r="10" spans="1:105" ht="11.45" customHeight="1" x14ac:dyDescent="0.25">
      <c r="A10" s="55" t="s">
        <v>166</v>
      </c>
      <c r="B10" s="80">
        <f>IF(B4=0,0,B4/MBunk_ene!B4)</f>
        <v>3.1961610479385731</v>
      </c>
      <c r="C10" s="80">
        <f>IF(C4=0,0,C4/MBunk_ene!C4)</f>
        <v>3.1992376451662836</v>
      </c>
      <c r="D10" s="80">
        <f>IF(D4=0,0,D4/MBunk_ene!D4)</f>
        <v>3.1974554901170276</v>
      </c>
      <c r="E10" s="80">
        <f>IF(E4=0,0,E4/MBunk_ene!E4)</f>
        <v>3.203243279063642</v>
      </c>
      <c r="F10" s="80">
        <f>IF(F4=0,0,F4/MBunk_ene!F4)</f>
        <v>3.2042780014062653</v>
      </c>
      <c r="G10" s="80">
        <f>IF(G4=0,0,G4/MBunk_ene!G4)</f>
        <v>3.2077023982809281</v>
      </c>
      <c r="H10" s="80">
        <f>IF(H4=0,0,H4/MBunk_ene!H4)</f>
        <v>3.2080541572237782</v>
      </c>
      <c r="I10" s="80">
        <f>IF(I4=0,0,I4/MBunk_ene!I4)</f>
        <v>3.2095134278114728</v>
      </c>
      <c r="J10" s="80">
        <f>IF(J4=0,0,J4/MBunk_ene!J4)</f>
        <v>3.2142272636429654</v>
      </c>
      <c r="K10" s="80">
        <f>IF(K4=0,0,K4/MBunk_ene!K4)</f>
        <v>3.2119684685242573</v>
      </c>
      <c r="L10" s="80">
        <f>IF(L4=0,0,L4/MBunk_ene!L4)</f>
        <v>3.2098690414106343</v>
      </c>
      <c r="M10" s="80">
        <f>IF(M4=0,0,M4/MBunk_ene!M4)</f>
        <v>3.2132750511970234</v>
      </c>
      <c r="N10" s="80">
        <f>IF(N4=0,0,N4/MBunk_ene!N4)</f>
        <v>3.2114054627403488</v>
      </c>
      <c r="O10" s="80">
        <f>IF(O4=0,0,O4/MBunk_ene!O4)</f>
        <v>3.2069562574088493</v>
      </c>
      <c r="P10" s="80">
        <f>IF(P4=0,0,P4/MBunk_ene!P4)</f>
        <v>3.2031251288573643</v>
      </c>
      <c r="Q10" s="80">
        <f>IF(Q4=0,0,Q4/MBunk_ene!Q4)</f>
        <v>3.1969145224117748</v>
      </c>
      <c r="R10" s="80">
        <f>IF(R4=0,0,R4/MBunk_ene!R4)</f>
        <v>3.1937820699622699</v>
      </c>
      <c r="S10" s="80">
        <f>IF(S4=0,0,S4/MBunk_ene!S4)</f>
        <v>3.1997337834792123</v>
      </c>
      <c r="T10" s="80">
        <f>IF(T4=0,0,T4/MBunk_ene!T4)</f>
        <v>3.2026075881126297</v>
      </c>
      <c r="U10" s="80">
        <f>IF(U4=0,0,U4/MBunk_ene!U4)</f>
        <v>3.2017304580888362</v>
      </c>
      <c r="V10" s="80">
        <f>IF(V4=0,0,V4/MBunk_ene!V4)</f>
        <v>3.1834642022095938</v>
      </c>
      <c r="W10" s="80">
        <f>IF(W4=0,0,W4/MBunk_ene!W4)</f>
        <v>3.1827441551985509</v>
      </c>
      <c r="X10" s="80">
        <f>IF(X4=0,0,X4/MBunk_ene!X4)</f>
        <v>3.1791132561309636</v>
      </c>
      <c r="Y10" s="80">
        <f>IF(Y4=0,0,Y4/MBunk_ene!Y4)</f>
        <v>3.1813896123551761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3.229998925951711</v>
      </c>
      <c r="C11" s="81">
        <f>IF(C5=0,0,C5/MBunk_ene!C10)</f>
        <v>3.2306509214900765</v>
      </c>
      <c r="D11" s="81">
        <f>IF(D5=0,0,D5/MBunk_ene!D10)</f>
        <v>3.2295028923894709</v>
      </c>
      <c r="E11" s="81">
        <f>IF(E5=0,0,E5/MBunk_ene!E10)</f>
        <v>3.2312445283056803</v>
      </c>
      <c r="F11" s="81">
        <f>IF(F5=0,0,F5/MBunk_ene!F10)</f>
        <v>3.2309410635067546</v>
      </c>
      <c r="G11" s="81">
        <f>IF(G5=0,0,G5/MBunk_ene!G10)</f>
        <v>3.2329119692569477</v>
      </c>
      <c r="H11" s="81">
        <f>IF(H5=0,0,H5/MBunk_ene!H10)</f>
        <v>3.2329420709106782</v>
      </c>
      <c r="I11" s="81">
        <f>IF(I5=0,0,I5/MBunk_ene!I10)</f>
        <v>3.2299085707890502</v>
      </c>
      <c r="J11" s="81">
        <f>IF(J5=0,0,J5/MBunk_ene!J10)</f>
        <v>3.2345406669834769</v>
      </c>
      <c r="K11" s="81">
        <f>IF(K5=0,0,K5/MBunk_ene!K10)</f>
        <v>3.2338263971186656</v>
      </c>
      <c r="L11" s="81">
        <f>IF(L5=0,0,L5/MBunk_ene!L10)</f>
        <v>3.2332611969470175</v>
      </c>
      <c r="M11" s="81">
        <f>IF(M5=0,0,M5/MBunk_ene!M10)</f>
        <v>3.2340929819094706</v>
      </c>
      <c r="N11" s="81">
        <f>IF(N5=0,0,N5/MBunk_ene!N10)</f>
        <v>3.2345431221261798</v>
      </c>
      <c r="O11" s="81">
        <f>IF(O5=0,0,O5/MBunk_ene!O10)</f>
        <v>3.2333355630550034</v>
      </c>
      <c r="P11" s="81">
        <f>IF(P5=0,0,P5/MBunk_ene!P10)</f>
        <v>3.231828791399995</v>
      </c>
      <c r="Q11" s="81">
        <f>IF(Q5=0,0,Q5/MBunk_ene!Q10)</f>
        <v>3.2311896712445263</v>
      </c>
      <c r="R11" s="81">
        <f>IF(R5=0,0,R5/MBunk_ene!R10)</f>
        <v>3.2305808670426881</v>
      </c>
      <c r="S11" s="81">
        <f>IF(S5=0,0,S5/MBunk_ene!S10)</f>
        <v>3.2319020705588111</v>
      </c>
      <c r="T11" s="81">
        <f>IF(T5=0,0,T5/MBunk_ene!T10)</f>
        <v>3.2324603156297789</v>
      </c>
      <c r="U11" s="81">
        <f>IF(U5=0,0,U5/MBunk_ene!U10)</f>
        <v>3.2326831582676587</v>
      </c>
      <c r="V11" s="81">
        <f>IF(V5=0,0,V5/MBunk_ene!V10)</f>
        <v>3.22864687897194</v>
      </c>
      <c r="W11" s="81">
        <f>IF(W5=0,0,W5/MBunk_ene!W10)</f>
        <v>3.2295054299166912</v>
      </c>
      <c r="X11" s="81">
        <f>IF(X5=0,0,X5/MBunk_ene!X10)</f>
        <v>3.2281527362558053</v>
      </c>
      <c r="Y11" s="81">
        <f>IF(Y5=0,0,Y5/MBunk_ene!Y10)</f>
        <v>3.228976750846515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82504.089542791102</v>
      </c>
      <c r="C13" s="62">
        <f>IF(C3=0,0,C3/MBunk_act!C7*100)</f>
        <v>83116.983728870327</v>
      </c>
      <c r="D13" s="62">
        <f>IF(D3=0,0,D3/MBunk_act!D7*100)</f>
        <v>79943.777352310586</v>
      </c>
      <c r="E13" s="62">
        <f>IF(E3=0,0,E3/MBunk_act!E7*100)</f>
        <v>68842.71273485315</v>
      </c>
      <c r="F13" s="62">
        <f>IF(F3=0,0,F3/MBunk_act!F7*100)</f>
        <v>72941.376683623675</v>
      </c>
      <c r="G13" s="62">
        <f>IF(G3=0,0,G3/MBunk_act!G7*100)</f>
        <v>64919.80357723248</v>
      </c>
      <c r="H13" s="62">
        <f>IF(H3=0,0,H3/MBunk_act!H7*100)</f>
        <v>72228.895215813071</v>
      </c>
      <c r="I13" s="62">
        <f>IF(I3=0,0,I3/MBunk_act!I7*100)</f>
        <v>66532.124354433399</v>
      </c>
      <c r="J13" s="62">
        <f>IF(J3=0,0,J3/MBunk_act!J7*100)</f>
        <v>72138.529443982959</v>
      </c>
      <c r="K13" s="62">
        <f>IF(K3=0,0,K3/MBunk_act!K7*100)</f>
        <v>77577.55593366531</v>
      </c>
      <c r="L13" s="62">
        <f>IF(L3=0,0,L3/MBunk_act!L7*100)</f>
        <v>84803.044044349299</v>
      </c>
      <c r="M13" s="62">
        <f>IF(M3=0,0,M3/MBunk_act!M7*100)</f>
        <v>58315.930316314007</v>
      </c>
      <c r="N13" s="62">
        <f>IF(N3=0,0,N3/MBunk_act!N7*100)</f>
        <v>39360.948199201259</v>
      </c>
      <c r="O13" s="62">
        <f>IF(O3=0,0,O3/MBunk_act!O7*100)</f>
        <v>39938.358053652264</v>
      </c>
      <c r="P13" s="62">
        <f>IF(P3=0,0,P3/MBunk_act!P7*100)</f>
        <v>33915.282304112756</v>
      </c>
      <c r="Q13" s="62">
        <f>IF(Q3=0,0,Q3/MBunk_act!Q7*100)</f>
        <v>35526.516180537161</v>
      </c>
      <c r="R13" s="62">
        <f>IF(R3=0,0,R3/MBunk_act!R7*100)</f>
        <v>32405.723788949086</v>
      </c>
      <c r="S13" s="62">
        <f>IF(S3=0,0,S3/MBunk_act!S7*100)</f>
        <v>40174.117590236106</v>
      </c>
      <c r="T13" s="62">
        <f>IF(T3=0,0,T3/MBunk_act!T7*100)</f>
        <v>39026.549919526056</v>
      </c>
      <c r="U13" s="62">
        <f>IF(U3=0,0,U3/MBunk_act!U7*100)</f>
        <v>39966.981285392947</v>
      </c>
      <c r="V13" s="62">
        <f>IF(V3=0,0,V3/MBunk_act!V7*100)</f>
        <v>30111.236945318637</v>
      </c>
      <c r="W13" s="62">
        <f>IF(W3=0,0,W3/MBunk_act!W7*100)</f>
        <v>31574.387197131029</v>
      </c>
      <c r="X13" s="62">
        <f>IF(X3=0,0,X3/MBunk_act!X7*100)</f>
        <v>33406.756338103005</v>
      </c>
      <c r="Y13" s="62">
        <f>IF(Y3=0,0,Y3/MBunk_act!Y7*100)</f>
        <v>32881.557746519888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67364.648950321018</v>
      </c>
      <c r="C14" s="63">
        <f>IF(C4=0,0,C4/MBunk_act!C8*100)</f>
        <v>72072.696233863433</v>
      </c>
      <c r="D14" s="63">
        <f>IF(D4=0,0,D4/MBunk_act!D8*100)</f>
        <v>72334.694261291006</v>
      </c>
      <c r="E14" s="63">
        <f>IF(E4=0,0,E4/MBunk_act!E8*100)</f>
        <v>61791.902145470718</v>
      </c>
      <c r="F14" s="63">
        <f>IF(F4=0,0,F4/MBunk_act!F8*100)</f>
        <v>65810.416672337116</v>
      </c>
      <c r="G14" s="63">
        <f>IF(G4=0,0,G4/MBunk_act!G8*100)</f>
        <v>58148.607535049858</v>
      </c>
      <c r="H14" s="63">
        <f>IF(H4=0,0,H4/MBunk_act!H8*100)</f>
        <v>67087.915904312002</v>
      </c>
      <c r="I14" s="63">
        <f>IF(I4=0,0,I4/MBunk_act!I8*100)</f>
        <v>61147.114381032348</v>
      </c>
      <c r="J14" s="63">
        <f>IF(J4=0,0,J4/MBunk_act!J8*100)</f>
        <v>62918.243344457311</v>
      </c>
      <c r="K14" s="63">
        <f>IF(K4=0,0,K4/MBunk_act!K8*100)</f>
        <v>69523.873751591149</v>
      </c>
      <c r="L14" s="63">
        <f>IF(L4=0,0,L4/MBunk_act!L8*100)</f>
        <v>76331.496270445918</v>
      </c>
      <c r="M14" s="63">
        <f>IF(M4=0,0,M4/MBunk_act!M8*100)</f>
        <v>48904.165302572474</v>
      </c>
      <c r="N14" s="63">
        <f>IF(N4=0,0,N4/MBunk_act!N8*100)</f>
        <v>32670.764053084655</v>
      </c>
      <c r="O14" s="63">
        <f>IF(O4=0,0,O4/MBunk_act!O8*100)</f>
        <v>31950.83243368327</v>
      </c>
      <c r="P14" s="63">
        <f>IF(P4=0,0,P4/MBunk_act!P8*100)</f>
        <v>26845.070165004283</v>
      </c>
      <c r="Q14" s="63">
        <f>IF(Q4=0,0,Q4/MBunk_act!Q8*100)</f>
        <v>27610.064058273787</v>
      </c>
      <c r="R14" s="63">
        <f>IF(R4=0,0,R4/MBunk_act!R8*100)</f>
        <v>25402.595805265268</v>
      </c>
      <c r="S14" s="63">
        <f>IF(S4=0,0,S4/MBunk_act!S8*100)</f>
        <v>31131.409426541239</v>
      </c>
      <c r="T14" s="63">
        <f>IF(T4=0,0,T4/MBunk_act!T8*100)</f>
        <v>29974.932198533064</v>
      </c>
      <c r="U14" s="63">
        <f>IF(U4=0,0,U4/MBunk_act!U8*100)</f>
        <v>30734.842503307551</v>
      </c>
      <c r="V14" s="63">
        <f>IF(V4=0,0,V4/MBunk_act!V8*100)</f>
        <v>21490.126509538542</v>
      </c>
      <c r="W14" s="63">
        <f>IF(W4=0,0,W4/MBunk_act!W8*100)</f>
        <v>21831.122075149244</v>
      </c>
      <c r="X14" s="63">
        <f>IF(X4=0,0,X4/MBunk_act!X8*100)</f>
        <v>25342.714198673923</v>
      </c>
      <c r="Y14" s="63">
        <f>IF(Y4=0,0,Y4/MBunk_act!Y8*100)</f>
        <v>25731.853536413171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126925.16805155542</v>
      </c>
      <c r="C15" s="64">
        <f>IF(C5=0,0,C5/MBunk_act!C9*100)</f>
        <v>100534.70771358852</v>
      </c>
      <c r="D15" s="64">
        <f>IF(D5=0,0,D5/MBunk_act!D9*100)</f>
        <v>89571.598527958893</v>
      </c>
      <c r="E15" s="64">
        <f>IF(E5=0,0,E5/MBunk_act!E9*100)</f>
        <v>78880.336735404679</v>
      </c>
      <c r="F15" s="64">
        <f>IF(F5=0,0,F5/MBunk_act!F9*100)</f>
        <v>82120.225922810772</v>
      </c>
      <c r="G15" s="64">
        <f>IF(G5=0,0,G5/MBunk_act!G9*100)</f>
        <v>73454.497026404264</v>
      </c>
      <c r="H15" s="64">
        <f>IF(H5=0,0,H5/MBunk_act!H9*100)</f>
        <v>77661.860370908427</v>
      </c>
      <c r="I15" s="64">
        <f>IF(I5=0,0,I5/MBunk_act!I9*100)</f>
        <v>73090.148276425549</v>
      </c>
      <c r="J15" s="64">
        <f>IF(J5=0,0,J5/MBunk_act!J9*100)</f>
        <v>86490.444348070843</v>
      </c>
      <c r="K15" s="64">
        <f>IF(K5=0,0,K5/MBunk_act!K9*100)</f>
        <v>89786.364387043577</v>
      </c>
      <c r="L15" s="64">
        <f>IF(L5=0,0,L5/MBunk_act!L9*100)</f>
        <v>96179.806875771581</v>
      </c>
      <c r="M15" s="64">
        <f>IF(M5=0,0,M5/MBunk_act!M9*100)</f>
        <v>71841.3308853989</v>
      </c>
      <c r="N15" s="64">
        <f>IF(N5=0,0,N5/MBunk_act!N9*100)</f>
        <v>48400.094257602264</v>
      </c>
      <c r="O15" s="64">
        <f>IF(O5=0,0,O5/MBunk_act!O9*100)</f>
        <v>50419.233152522756</v>
      </c>
      <c r="P15" s="64">
        <f>IF(P5=0,0,P5/MBunk_act!P9*100)</f>
        <v>42801.490422548515</v>
      </c>
      <c r="Q15" s="64">
        <f>IF(Q5=0,0,Q5/MBunk_act!Q9*100)</f>
        <v>46592.285542426565</v>
      </c>
      <c r="R15" s="64">
        <f>IF(R5=0,0,R5/MBunk_act!R9*100)</f>
        <v>41082.29670777046</v>
      </c>
      <c r="S15" s="64">
        <f>IF(S5=0,0,S5/MBunk_act!S9*100)</f>
        <v>52175.513089572931</v>
      </c>
      <c r="T15" s="64">
        <f>IF(T5=0,0,T5/MBunk_act!T9*100)</f>
        <v>51280.083907686458</v>
      </c>
      <c r="U15" s="64">
        <f>IF(U5=0,0,U5/MBunk_act!U9*100)</f>
        <v>53062.50032916497</v>
      </c>
      <c r="V15" s="64">
        <f>IF(V5=0,0,V5/MBunk_act!V9*100)</f>
        <v>41365.727524019465</v>
      </c>
      <c r="W15" s="64">
        <f>IF(W5=0,0,W5/MBunk_act!W9*100)</f>
        <v>45741.216299702712</v>
      </c>
      <c r="X15" s="64">
        <f>IF(X5=0,0,X5/MBunk_act!X9*100)</f>
        <v>46459.786099120771</v>
      </c>
      <c r="Y15" s="64">
        <f>IF(Y5=0,0,Y5/MBunk_act!Y9*100)</f>
        <v>43160.108129057502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151.51687079729396</v>
      </c>
      <c r="C17" s="62">
        <f>IF(C3=0,0,C3/MBunk_act!C3*1000)</f>
        <v>104.35387738522535</v>
      </c>
      <c r="D17" s="62">
        <f>IF(D3=0,0,D3/MBunk_act!D3*1000)</f>
        <v>89.144381522779909</v>
      </c>
      <c r="E17" s="62">
        <f>IF(E3=0,0,E3/MBunk_act!E3*1000)</f>
        <v>80.60958967769642</v>
      </c>
      <c r="F17" s="62">
        <f>IF(F3=0,0,F3/MBunk_act!F3*1000)</f>
        <v>80.722424515658432</v>
      </c>
      <c r="G17" s="62">
        <f>IF(G3=0,0,G3/MBunk_act!G3*1000)</f>
        <v>71.944061514211654</v>
      </c>
      <c r="H17" s="62">
        <f>IF(H3=0,0,H3/MBunk_act!H3*1000)</f>
        <v>78.439714018619753</v>
      </c>
      <c r="I17" s="62">
        <f>IF(I3=0,0,I3/MBunk_act!I3*1000)</f>
        <v>78.468704468693204</v>
      </c>
      <c r="J17" s="62">
        <f>IF(J3=0,0,J3/MBunk_act!J3*1000)</f>
        <v>90.268967962797788</v>
      </c>
      <c r="K17" s="62">
        <f>IF(K3=0,0,K3/MBunk_act!K3*1000)</f>
        <v>83.955529335603899</v>
      </c>
      <c r="L17" s="62">
        <f>IF(L3=0,0,L3/MBunk_act!L3*1000)</f>
        <v>84.281462968809151</v>
      </c>
      <c r="M17" s="62">
        <f>IF(M3=0,0,M3/MBunk_act!M3*1000)</f>
        <v>67.438371993519695</v>
      </c>
      <c r="N17" s="62">
        <f>IF(N3=0,0,N3/MBunk_act!N3*1000)</f>
        <v>42.349224910884189</v>
      </c>
      <c r="O17" s="62">
        <f>IF(O3=0,0,O3/MBunk_act!O3*1000)</f>
        <v>37.233453836912979</v>
      </c>
      <c r="P17" s="62">
        <f>IF(P3=0,0,P3/MBunk_act!P3*1000)</f>
        <v>29.16019991044265</v>
      </c>
      <c r="Q17" s="62">
        <f>IF(Q3=0,0,Q3/MBunk_act!Q3*1000)</f>
        <v>27.609119954041969</v>
      </c>
      <c r="R17" s="62">
        <f>IF(R3=0,0,R3/MBunk_act!R3*1000)</f>
        <v>23.940845268535249</v>
      </c>
      <c r="S17" s="62">
        <f>IF(S3=0,0,S3/MBunk_act!S3*1000)</f>
        <v>28.907974839336458</v>
      </c>
      <c r="T17" s="62">
        <f>IF(T3=0,0,T3/MBunk_act!T3*1000)</f>
        <v>27.87530338962884</v>
      </c>
      <c r="U17" s="62">
        <f>IF(U3=0,0,U3/MBunk_act!U3*1000)</f>
        <v>30.188094777764604</v>
      </c>
      <c r="V17" s="62">
        <f>IF(V3=0,0,V3/MBunk_act!V3*1000)</f>
        <v>20.002383376901495</v>
      </c>
      <c r="W17" s="62">
        <f>IF(W3=0,0,W3/MBunk_act!W3*1000)</f>
        <v>21.763793886433564</v>
      </c>
      <c r="X17" s="62">
        <f>IF(X3=0,0,X3/MBunk_act!X3*1000)</f>
        <v>26.666138889258082</v>
      </c>
      <c r="Y17" s="62">
        <f>IF(Y3=0,0,Y3/MBunk_act!Y3*1000)</f>
        <v>25.048117903774031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165.04884665967592</v>
      </c>
      <c r="C18" s="63">
        <f>IF(C4=0,0,C4/MBunk_act!C4*1000)</f>
        <v>170.6217366732144</v>
      </c>
      <c r="D18" s="63">
        <f>IF(D4=0,0,D4/MBunk_act!D4*1000)</f>
        <v>156.34142499154021</v>
      </c>
      <c r="E18" s="63">
        <f>IF(E4=0,0,E4/MBunk_act!E4*1000)</f>
        <v>138.85439427743276</v>
      </c>
      <c r="F18" s="63">
        <f>IF(F4=0,0,F4/MBunk_act!F4*1000)</f>
        <v>149.54246339878082</v>
      </c>
      <c r="G18" s="63">
        <f>IF(G4=0,0,G4/MBunk_act!G4*1000)</f>
        <v>140.08499295520812</v>
      </c>
      <c r="H18" s="63">
        <f>IF(H4=0,0,H4/MBunk_act!H4*1000)</f>
        <v>159.344530348082</v>
      </c>
      <c r="I18" s="63">
        <f>IF(I4=0,0,I4/MBunk_act!I4*1000)</f>
        <v>145.13567284909186</v>
      </c>
      <c r="J18" s="63">
        <f>IF(J4=0,0,J4/MBunk_act!J4*1000)</f>
        <v>157.15353678752288</v>
      </c>
      <c r="K18" s="63">
        <f>IF(K4=0,0,K4/MBunk_act!K4*1000)</f>
        <v>145.50234694978852</v>
      </c>
      <c r="L18" s="63">
        <f>IF(L4=0,0,L4/MBunk_act!L4*1000)</f>
        <v>154.95556215148409</v>
      </c>
      <c r="M18" s="63">
        <f>IF(M4=0,0,M4/MBunk_act!M4*1000)</f>
        <v>142.89020149868071</v>
      </c>
      <c r="N18" s="63">
        <f>IF(N4=0,0,N4/MBunk_act!N4*1000)</f>
        <v>97.359411683544252</v>
      </c>
      <c r="O18" s="63">
        <f>IF(O4=0,0,O4/MBunk_act!O4*1000)</f>
        <v>89.880143600963891</v>
      </c>
      <c r="P18" s="63">
        <f>IF(P4=0,0,P4/MBunk_act!P4*1000)</f>
        <v>73.781197460088379</v>
      </c>
      <c r="Q18" s="63">
        <f>IF(Q4=0,0,Q4/MBunk_act!Q4*1000)</f>
        <v>68.932449596347084</v>
      </c>
      <c r="R18" s="63">
        <f>IF(R4=0,0,R4/MBunk_act!R4*1000)</f>
        <v>60.447487452205984</v>
      </c>
      <c r="S18" s="63">
        <f>IF(S4=0,0,S4/MBunk_act!S4*1000)</f>
        <v>73.418522680257993</v>
      </c>
      <c r="T18" s="63">
        <f>IF(T4=0,0,T4/MBunk_act!T4*1000)</f>
        <v>70.412460726066982</v>
      </c>
      <c r="U18" s="63">
        <f>IF(U4=0,0,U4/MBunk_act!U4*1000)</f>
        <v>75.288582482528156</v>
      </c>
      <c r="V18" s="63">
        <f>IF(V4=0,0,V4/MBunk_act!V4*1000)</f>
        <v>45.175974106060465</v>
      </c>
      <c r="W18" s="63">
        <f>IF(W4=0,0,W4/MBunk_act!W4*1000)</f>
        <v>49.355832539687135</v>
      </c>
      <c r="X18" s="63">
        <f>IF(X4=0,0,X4/MBunk_act!X4*1000)</f>
        <v>59.20018481297037</v>
      </c>
      <c r="Y18" s="63">
        <f>IF(Y4=0,0,Y4/MBunk_act!Y4*1000)</f>
        <v>56.858358198603966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134.36195435077974</v>
      </c>
      <c r="C19" s="64">
        <f>IF(C5=0,0,C5/MBunk_act!C5*1000)</f>
        <v>72.512598520972361</v>
      </c>
      <c r="D19" s="64">
        <f>IF(D5=0,0,D5/MBunk_act!D5*1000)</f>
        <v>61.940850571693026</v>
      </c>
      <c r="E19" s="64">
        <f>IF(E5=0,0,E5/MBunk_act!E5*1000)</f>
        <v>54.918967917119737</v>
      </c>
      <c r="F19" s="64">
        <f>IF(F5=0,0,F5/MBunk_act!F5*1000)</f>
        <v>54.73755588745653</v>
      </c>
      <c r="G19" s="64">
        <f>IF(G5=0,0,G5/MBunk_act!G5*1000)</f>
        <v>48.43558550201768</v>
      </c>
      <c r="H19" s="64">
        <f>IF(H5=0,0,H5/MBunk_act!H5*1000)</f>
        <v>53.596756426871828</v>
      </c>
      <c r="I19" s="64">
        <f>IF(I5=0,0,I5/MBunk_act!I5*1000)</f>
        <v>53.453019960143365</v>
      </c>
      <c r="J19" s="64">
        <f>IF(J5=0,0,J5/MBunk_act!J5*1000)</f>
        <v>60.913489396290139</v>
      </c>
      <c r="K19" s="64">
        <f>IF(K5=0,0,K5/MBunk_act!K5*1000)</f>
        <v>56.100453558050994</v>
      </c>
      <c r="L19" s="64">
        <f>IF(L5=0,0,L5/MBunk_act!L5*1000)</f>
        <v>56.713042945262018</v>
      </c>
      <c r="M19" s="64">
        <f>IF(M5=0,0,M5/MBunk_act!M5*1000)</f>
        <v>44.468089394788436</v>
      </c>
      <c r="N19" s="64">
        <f>IF(N5=0,0,N5/MBunk_act!N5*1000)</f>
        <v>27.947586481535605</v>
      </c>
      <c r="O19" s="64">
        <f>IF(O5=0,0,O5/MBunk_act!O5*1000)</f>
        <v>25.038373827031286</v>
      </c>
      <c r="P19" s="64">
        <f>IF(P5=0,0,P5/MBunk_act!P5*1000)</f>
        <v>19.746308560998298</v>
      </c>
      <c r="Q19" s="64">
        <f>IF(Q5=0,0,Q5/MBunk_act!Q5*1000)</f>
        <v>18.448327844275497</v>
      </c>
      <c r="R19" s="64">
        <f>IF(R5=0,0,R5/MBunk_act!R5*1000)</f>
        <v>16.367884249360184</v>
      </c>
      <c r="S19" s="64">
        <f>IF(S5=0,0,S5/MBunk_act!S5*1000)</f>
        <v>19.531228805683018</v>
      </c>
      <c r="T19" s="64">
        <f>IF(T5=0,0,T5/MBunk_act!T5*1000)</f>
        <v>18.859649976723706</v>
      </c>
      <c r="U19" s="64">
        <f>IF(U5=0,0,U5/MBunk_act!U5*1000)</f>
        <v>20.230992307502039</v>
      </c>
      <c r="V19" s="64">
        <f>IF(V5=0,0,V5/MBunk_act!V5*1000)</f>
        <v>14.516372318809584</v>
      </c>
      <c r="W19" s="64">
        <f>IF(W5=0,0,W5/MBunk_act!W5*1000)</f>
        <v>15.680470725062536</v>
      </c>
      <c r="X19" s="64">
        <f>IF(X5=0,0,X5/MBunk_act!X5*1000)</f>
        <v>17.954190400824956</v>
      </c>
      <c r="Y19" s="64">
        <f>IF(Y5=0,0,Y5/MBunk_act!Y5*1000)</f>
        <v>16.929916879178911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0.60895780237432084</v>
      </c>
      <c r="C22" s="77">
        <f t="shared" si="3"/>
        <v>0.53064833925074351</v>
      </c>
      <c r="D22" s="77">
        <f t="shared" si="3"/>
        <v>0.50539475552012536</v>
      </c>
      <c r="E22" s="77">
        <f t="shared" si="3"/>
        <v>0.52723257115463651</v>
      </c>
      <c r="F22" s="77">
        <f t="shared" si="3"/>
        <v>0.50776181714050972</v>
      </c>
      <c r="G22" s="77">
        <f t="shared" si="3"/>
        <v>0.49944937661253574</v>
      </c>
      <c r="H22" s="77">
        <f t="shared" si="3"/>
        <v>0.47723602860346803</v>
      </c>
      <c r="I22" s="77">
        <f t="shared" si="3"/>
        <v>0.50466467669812953</v>
      </c>
      <c r="J22" s="77">
        <f t="shared" si="3"/>
        <v>0.53102995354009763</v>
      </c>
      <c r="K22" s="77">
        <f t="shared" si="3"/>
        <v>0.53998080508282364</v>
      </c>
      <c r="L22" s="77">
        <f t="shared" si="3"/>
        <v>0.51592609057524497</v>
      </c>
      <c r="M22" s="77">
        <f t="shared" si="3"/>
        <v>0.49450311164788802</v>
      </c>
      <c r="N22" s="77">
        <f t="shared" si="3"/>
        <v>0.47699180048184975</v>
      </c>
      <c r="O22" s="77">
        <f t="shared" si="3"/>
        <v>0.4540045734635243</v>
      </c>
      <c r="P22" s="77">
        <f t="shared" si="3"/>
        <v>0.44080866332118473</v>
      </c>
      <c r="Q22" s="77">
        <f t="shared" si="3"/>
        <v>0.45305337545815122</v>
      </c>
      <c r="R22" s="77">
        <f t="shared" si="3"/>
        <v>0.43377729773356399</v>
      </c>
      <c r="S22" s="77">
        <f t="shared" si="3"/>
        <v>0.44193027265303714</v>
      </c>
      <c r="T22" s="77">
        <f t="shared" si="3"/>
        <v>0.44174818951086348</v>
      </c>
      <c r="U22" s="77">
        <f t="shared" si="3"/>
        <v>0.45103390874337096</v>
      </c>
      <c r="V22" s="77">
        <f t="shared" si="3"/>
        <v>0.40412521406413093</v>
      </c>
      <c r="W22" s="77">
        <f t="shared" si="3"/>
        <v>0.40966842771531298</v>
      </c>
      <c r="X22" s="77">
        <f t="shared" ref="X22:Y22" si="5">IF(X4=0,0,X4/X$3)</f>
        <v>0.46891750551192268</v>
      </c>
      <c r="Y22" s="77">
        <f t="shared" si="5"/>
        <v>0.46152651911111892</v>
      </c>
      <c r="DA22" s="184"/>
    </row>
    <row r="23" spans="1:105" ht="11.45" customHeight="1" x14ac:dyDescent="0.25">
      <c r="A23" s="57" t="s">
        <v>167</v>
      </c>
      <c r="B23" s="78">
        <f t="shared" si="3"/>
        <v>0.3910421976256791</v>
      </c>
      <c r="C23" s="78">
        <f t="shared" si="3"/>
        <v>0.46935166074925644</v>
      </c>
      <c r="D23" s="78">
        <f t="shared" si="3"/>
        <v>0.49460524447987453</v>
      </c>
      <c r="E23" s="78">
        <f t="shared" si="3"/>
        <v>0.47276742884536344</v>
      </c>
      <c r="F23" s="78">
        <f t="shared" si="3"/>
        <v>0.49223818285949034</v>
      </c>
      <c r="G23" s="78">
        <f t="shared" si="3"/>
        <v>0.50055062338746426</v>
      </c>
      <c r="H23" s="78">
        <f t="shared" si="3"/>
        <v>0.52276397139653197</v>
      </c>
      <c r="I23" s="78">
        <f t="shared" si="3"/>
        <v>0.49533532330187058</v>
      </c>
      <c r="J23" s="78">
        <f t="shared" si="3"/>
        <v>0.46897004645990226</v>
      </c>
      <c r="K23" s="78">
        <f t="shared" si="3"/>
        <v>0.4600191949171763</v>
      </c>
      <c r="L23" s="78">
        <f t="shared" si="3"/>
        <v>0.48407390942475514</v>
      </c>
      <c r="M23" s="78">
        <f t="shared" si="3"/>
        <v>0.50549688835211193</v>
      </c>
      <c r="N23" s="78">
        <f t="shared" si="3"/>
        <v>0.52300819951815025</v>
      </c>
      <c r="O23" s="78">
        <f t="shared" si="3"/>
        <v>0.5459954265364757</v>
      </c>
      <c r="P23" s="78">
        <f t="shared" si="3"/>
        <v>0.55919133667881538</v>
      </c>
      <c r="Q23" s="78">
        <f t="shared" si="3"/>
        <v>0.54694662454184884</v>
      </c>
      <c r="R23" s="78">
        <f t="shared" si="3"/>
        <v>0.56622270226643601</v>
      </c>
      <c r="S23" s="78">
        <f t="shared" si="3"/>
        <v>0.55806972734696281</v>
      </c>
      <c r="T23" s="78">
        <f t="shared" si="3"/>
        <v>0.55825181048913652</v>
      </c>
      <c r="U23" s="78">
        <f t="shared" si="3"/>
        <v>0.54896609125662899</v>
      </c>
      <c r="V23" s="78">
        <f t="shared" si="3"/>
        <v>0.59587478593586918</v>
      </c>
      <c r="W23" s="78">
        <f t="shared" si="3"/>
        <v>0.59033157228468702</v>
      </c>
      <c r="X23" s="78">
        <f t="shared" ref="X23:Y23" si="6">IF(X5=0,0,X5/X$3)</f>
        <v>0.53108249448807732</v>
      </c>
      <c r="Y23" s="78">
        <f t="shared" si="6"/>
        <v>0.53847348088888103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2025-11-06T10:22:56Z</dcterms:created>
  <dcterms:modified xsi:type="dcterms:W3CDTF">2025-11-06T10:22:56Z</dcterms:modified>
</cp:coreProperties>
</file>